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xuwenzhe\Desktop\RateStats\"/>
    </mc:Choice>
  </mc:AlternateContent>
  <xr:revisionPtr revIDLastSave="0" documentId="8_{AC37BEDE-C50B-49A0-8EC1-6899DE29B49D}" xr6:coauthVersionLast="47" xr6:coauthVersionMax="47" xr10:uidLastSave="{00000000-0000-0000-0000-000000000000}"/>
  <bookViews>
    <workbookView xWindow="-108" yWindow="-108" windowWidth="23256" windowHeight="13896" tabRatio="846" firstSheet="1" activeTab="4" xr2:uid="{00000000-000D-0000-FFFF-FFFF00000000}"/>
  </bookViews>
  <sheets>
    <sheet name="最高报价汇总 " sheetId="8" r:id="rId1"/>
    <sheet name="SGD促销" sheetId="6" r:id="rId2"/>
    <sheet name="USD促销" sheetId="5" r:id="rId3"/>
    <sheet name="其他外币促销利率" sheetId="7" r:id="rId4"/>
    <sheet name="SGD挂牌" sheetId="10" r:id="rId5"/>
    <sheet name="USD挂牌" sheetId="3" r:id="rId6"/>
    <sheet name="CNY挂牌" sheetId="2" r:id="rId7"/>
    <sheet name="NZD挂牌" sheetId="4" r:id="rId8"/>
    <sheet name="CAD挂牌" sheetId="9" r:id="rId9"/>
    <sheet name="HKD挂牌" sheetId="14" r:id="rId10"/>
    <sheet name="AUD挂牌" sheetId="13" r:id="rId11"/>
    <sheet name="EUR挂牌" sheetId="12" r:id="rId12"/>
    <sheet name="GBP挂牌" sheetId="11" r:id="rId13"/>
    <sheet name="Premier Rates" sheetId="15" r:id="rId14"/>
    <sheet name="Bank List" sheetId="1" r:id="rId15"/>
  </sheets>
  <externalReferences>
    <externalReference r:id="rId16"/>
    <externalReference r:id="rId17"/>
    <externalReference r:id="rId18"/>
    <externalReference r:id="rId19"/>
  </externalReferences>
  <definedNames>
    <definedName name="_xlnm._FilterDatabase" localSheetId="10" hidden="1">AUD挂牌!$A$2:$N$58</definedName>
    <definedName name="_xlnm._FilterDatabase" localSheetId="8" hidden="1">CAD挂牌!$A$2:$N$60</definedName>
    <definedName name="_xlnm._FilterDatabase" localSheetId="11" hidden="1">EUR挂牌!$A$2:$N$58</definedName>
    <definedName name="_xlnm._FilterDatabase" localSheetId="12" hidden="1">GBP挂牌!$A$2:$N$58</definedName>
    <definedName name="_xlnm._FilterDatabase" localSheetId="9" hidden="1">HKD挂牌!$A$2:$N$58</definedName>
    <definedName name="_xlnm._FilterDatabase" localSheetId="7" hidden="1">NZD挂牌!$A$2:$N$59</definedName>
    <definedName name="_xlnm._FilterDatabase" localSheetId="1" hidden="1">SGD促销!$B$1:$B$145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N104" i="2" l="1"/>
  <c r="LN103" i="2"/>
  <c r="LN102" i="2"/>
  <c r="LN101" i="2"/>
  <c r="LN100" i="2"/>
  <c r="LN99" i="2"/>
  <c r="LN98" i="2"/>
  <c r="LN97" i="2"/>
  <c r="LN96" i="2"/>
  <c r="LN95" i="2"/>
  <c r="LN94" i="2"/>
  <c r="LN93" i="2"/>
  <c r="LN92" i="2"/>
  <c r="LN91" i="2"/>
  <c r="LN90" i="2"/>
  <c r="LN89" i="2"/>
  <c r="LN88" i="2"/>
  <c r="LN87" i="2"/>
  <c r="LN86" i="2"/>
  <c r="LN85" i="2"/>
  <c r="LN81" i="2"/>
  <c r="LN80" i="2"/>
  <c r="LN79" i="2"/>
  <c r="LN78" i="2"/>
  <c r="LN77" i="2"/>
  <c r="LN69" i="2"/>
  <c r="LN68" i="2"/>
  <c r="LN67" i="2"/>
  <c r="LN66" i="2"/>
  <c r="LN65" i="2"/>
  <c r="LN64" i="2"/>
  <c r="LN63" i="2"/>
  <c r="LN62" i="2"/>
  <c r="LN61" i="2"/>
  <c r="LN60" i="2"/>
  <c r="LN59" i="2"/>
  <c r="LN58" i="2"/>
  <c r="LN57" i="2"/>
  <c r="LN56" i="2"/>
  <c r="LN55" i="2"/>
  <c r="LN54" i="2"/>
  <c r="LN53" i="2"/>
  <c r="LN52" i="2"/>
  <c r="LN51" i="2"/>
  <c r="LN50" i="2"/>
  <c r="LN46" i="2"/>
  <c r="LN45" i="2"/>
  <c r="LN44" i="2"/>
  <c r="LN43" i="2"/>
  <c r="LN42" i="2"/>
  <c r="LN41" i="2"/>
  <c r="LN40" i="2"/>
  <c r="LN39" i="2"/>
  <c r="LN38" i="2"/>
  <c r="LN37" i="2"/>
  <c r="LN36" i="2"/>
  <c r="LN35" i="2"/>
  <c r="LN34" i="2"/>
  <c r="LN33" i="2"/>
  <c r="LN32" i="2"/>
  <c r="LN31" i="2"/>
  <c r="LN30" i="2"/>
  <c r="LN29" i="2"/>
  <c r="LN28" i="2"/>
  <c r="LN27" i="2"/>
  <c r="LN23" i="2"/>
  <c r="LN22" i="2"/>
  <c r="LN21" i="2"/>
  <c r="LN20" i="2"/>
  <c r="LN19" i="2"/>
  <c r="LN18" i="2"/>
  <c r="LN17" i="2"/>
  <c r="LN16" i="2"/>
  <c r="LN15" i="2"/>
  <c r="LN14" i="2"/>
  <c r="LN13" i="2"/>
  <c r="LN12" i="2"/>
  <c r="LN11" i="2"/>
  <c r="LN10" i="2"/>
  <c r="LN9" i="2"/>
  <c r="LN8" i="2"/>
  <c r="LN7" i="2"/>
  <c r="LN6" i="2"/>
  <c r="LN5" i="2"/>
  <c r="LN4" i="2"/>
  <c r="HP246" i="3"/>
  <c r="HP245" i="3"/>
  <c r="HP244" i="3"/>
  <c r="HP243" i="3"/>
  <c r="HP242" i="3"/>
  <c r="HP241" i="3"/>
  <c r="HP240" i="3"/>
  <c r="HP239" i="3"/>
  <c r="HP235" i="3"/>
  <c r="HP234" i="3"/>
  <c r="HP233" i="3"/>
  <c r="HP232" i="3"/>
  <c r="HP227" i="3"/>
  <c r="HP226" i="3"/>
  <c r="HP225" i="3"/>
  <c r="HP224" i="3"/>
  <c r="HP223" i="3"/>
  <c r="HP222" i="3"/>
  <c r="HP221" i="3"/>
  <c r="HP220" i="3"/>
  <c r="HP219" i="3"/>
  <c r="HP218" i="3"/>
  <c r="HP217" i="3"/>
  <c r="HP216" i="3"/>
  <c r="HP215" i="3"/>
  <c r="HP214" i="3"/>
  <c r="HP213" i="3"/>
  <c r="HP212" i="3"/>
  <c r="HP211" i="3"/>
  <c r="HP210" i="3"/>
  <c r="HP209" i="3"/>
  <c r="HP208" i="3"/>
  <c r="HP207" i="3"/>
  <c r="HP206" i="3"/>
  <c r="HP205" i="3"/>
  <c r="HP204" i="3"/>
  <c r="HP203" i="3"/>
  <c r="HP202" i="3"/>
  <c r="HP201" i="3"/>
  <c r="HP200" i="3"/>
  <c r="HP199" i="3"/>
  <c r="HP198" i="3"/>
  <c r="HP197" i="3"/>
  <c r="HP196" i="3"/>
  <c r="HP195" i="3"/>
  <c r="HP194" i="3"/>
  <c r="HP193" i="3"/>
  <c r="HP192" i="3"/>
  <c r="HP191" i="3"/>
  <c r="HP190" i="3"/>
  <c r="HP189" i="3"/>
  <c r="HP188" i="3"/>
  <c r="HP187" i="3"/>
  <c r="HP182" i="3"/>
  <c r="HP181" i="3"/>
  <c r="HP180" i="3"/>
  <c r="HP179" i="3"/>
  <c r="HP178" i="3"/>
  <c r="HP177" i="3"/>
  <c r="HP176" i="3"/>
  <c r="HP175" i="3"/>
  <c r="HP174" i="3"/>
  <c r="HP173" i="3"/>
  <c r="HP172" i="3"/>
  <c r="HP171" i="3"/>
  <c r="HP166" i="3"/>
  <c r="HP165" i="3"/>
  <c r="HP164" i="3"/>
  <c r="HP163" i="3"/>
  <c r="HP162" i="3"/>
  <c r="HP161" i="3"/>
  <c r="HP160" i="3"/>
  <c r="HP159" i="3"/>
  <c r="HP158" i="3"/>
  <c r="HP157" i="3"/>
  <c r="HP156" i="3"/>
  <c r="HP155" i="3"/>
  <c r="HP154" i="3"/>
  <c r="HP153" i="3"/>
  <c r="HP152" i="3"/>
  <c r="HP151" i="3"/>
  <c r="HP150" i="3"/>
  <c r="HP149" i="3"/>
  <c r="HP148" i="3"/>
  <c r="HP147" i="3"/>
  <c r="HP146" i="3"/>
  <c r="HP145" i="3"/>
  <c r="HP144" i="3"/>
  <c r="HP143" i="3"/>
  <c r="HP142" i="3"/>
  <c r="HP141" i="3"/>
  <c r="HP140" i="3"/>
  <c r="HP139" i="3"/>
  <c r="HP138" i="3"/>
  <c r="HP137" i="3"/>
  <c r="HP136" i="3"/>
  <c r="HP135" i="3"/>
  <c r="HP134" i="3"/>
  <c r="HP133" i="3"/>
  <c r="HP132" i="3"/>
  <c r="HP131" i="3"/>
  <c r="HP130" i="3"/>
  <c r="HP129" i="3"/>
  <c r="HP128" i="3"/>
  <c r="HP127" i="3"/>
  <c r="HP126" i="3"/>
  <c r="HP125" i="3"/>
  <c r="HP124" i="3"/>
  <c r="HP123" i="3"/>
  <c r="HP119" i="3"/>
  <c r="HP118" i="3"/>
  <c r="HP117" i="3"/>
  <c r="HP116" i="3"/>
  <c r="HP115" i="3"/>
  <c r="HP114" i="3"/>
  <c r="HP113" i="3"/>
  <c r="HP112" i="3"/>
  <c r="HP111" i="3"/>
  <c r="HP110" i="3"/>
  <c r="HP109" i="3"/>
  <c r="HP108" i="3"/>
  <c r="HP107" i="3"/>
  <c r="HP106" i="3"/>
  <c r="HP105" i="3"/>
  <c r="HP104" i="3"/>
  <c r="HP103" i="3"/>
  <c r="HP102" i="3"/>
  <c r="HP101" i="3"/>
  <c r="HP100" i="3"/>
  <c r="HP99" i="3"/>
  <c r="HP98" i="3"/>
  <c r="HP97" i="3"/>
  <c r="HP96" i="3"/>
  <c r="HP95" i="3"/>
  <c r="HP94" i="3"/>
  <c r="HP93" i="3"/>
  <c r="HP92" i="3"/>
  <c r="HP91" i="3"/>
  <c r="HP90" i="3"/>
  <c r="HP89" i="3"/>
  <c r="HP88" i="3"/>
  <c r="HP87" i="3"/>
  <c r="HP86" i="3"/>
  <c r="HP85" i="3"/>
  <c r="HP84" i="3"/>
  <c r="HP83" i="3"/>
  <c r="HP82" i="3"/>
  <c r="HP81" i="3"/>
  <c r="HP80" i="3"/>
  <c r="HP79" i="3"/>
  <c r="HP78" i="3"/>
  <c r="HP77" i="3"/>
  <c r="HP76" i="3"/>
  <c r="HP72" i="3"/>
  <c r="HP71" i="3"/>
  <c r="HP70" i="3"/>
  <c r="HP69" i="3"/>
  <c r="HP68" i="3"/>
  <c r="HP67" i="3"/>
  <c r="HP66" i="3"/>
  <c r="HP65" i="3"/>
  <c r="HP64" i="3"/>
  <c r="HP63" i="3"/>
  <c r="HP62" i="3"/>
  <c r="HP61" i="3"/>
  <c r="HP60" i="3"/>
  <c r="HP59" i="3"/>
  <c r="HP58" i="3"/>
  <c r="HP57" i="3"/>
  <c r="HP56" i="3"/>
  <c r="HP55" i="3"/>
  <c r="HP54" i="3"/>
  <c r="HP53" i="3"/>
  <c r="HP52" i="3"/>
  <c r="HP51" i="3"/>
  <c r="HP50" i="3"/>
  <c r="HP49" i="3"/>
  <c r="HP48" i="3"/>
  <c r="HP47" i="3"/>
  <c r="HP46" i="3"/>
  <c r="HP45" i="3"/>
  <c r="HP44" i="3"/>
  <c r="HP43" i="3"/>
  <c r="HP42" i="3"/>
  <c r="HP41" i="3"/>
  <c r="HP40" i="3"/>
  <c r="HP39" i="3"/>
  <c r="HP38" i="3"/>
  <c r="HP37" i="3"/>
  <c r="HP36" i="3"/>
  <c r="HP35" i="3"/>
  <c r="HP34" i="3"/>
  <c r="HP33" i="3"/>
  <c r="HP32" i="3"/>
  <c r="HP31" i="3"/>
  <c r="HP30" i="3"/>
  <c r="HP29" i="3"/>
  <c r="HP25" i="3"/>
  <c r="HP24" i="3"/>
  <c r="HP23" i="3"/>
  <c r="HP22" i="3"/>
  <c r="HP21" i="3"/>
  <c r="HP20" i="3"/>
  <c r="HP19" i="3"/>
  <c r="HP18" i="3"/>
  <c r="HP17" i="3"/>
  <c r="HP16" i="3"/>
  <c r="HP15" i="3"/>
  <c r="HP14" i="3"/>
  <c r="HP13" i="3"/>
  <c r="HP12" i="3"/>
  <c r="HP11" i="3"/>
  <c r="HP10" i="3"/>
  <c r="HP9" i="3"/>
  <c r="HP8" i="3"/>
  <c r="HP7" i="3"/>
  <c r="HP6" i="3"/>
  <c r="HP5" i="3"/>
  <c r="HP4" i="3"/>
  <c r="CA98" i="7"/>
  <c r="CA97" i="7"/>
  <c r="CA96" i="7"/>
  <c r="CA95" i="7"/>
  <c r="CA91" i="7"/>
  <c r="CA90" i="7"/>
  <c r="CA89" i="7"/>
  <c r="CA88" i="7"/>
  <c r="CA84" i="7"/>
  <c r="CA83" i="7"/>
  <c r="CA82" i="7"/>
  <c r="CA81" i="7"/>
  <c r="CA80" i="7"/>
  <c r="CA74" i="7"/>
  <c r="CA73" i="7"/>
  <c r="CA72" i="7"/>
  <c r="CA68" i="7"/>
  <c r="CA67" i="7"/>
  <c r="CA66" i="7"/>
  <c r="CA65" i="7"/>
  <c r="CA61" i="7"/>
  <c r="CA60" i="7"/>
  <c r="CA59" i="7"/>
  <c r="CA58" i="7"/>
  <c r="CA54" i="7"/>
  <c r="CA53" i="7"/>
  <c r="CA52" i="7"/>
  <c r="CA51" i="7"/>
  <c r="CA45" i="7"/>
  <c r="CA44" i="7"/>
  <c r="CA43" i="7"/>
  <c r="CA39" i="7"/>
  <c r="CA38" i="7"/>
  <c r="CA37" i="7"/>
  <c r="CA33" i="7"/>
  <c r="CA32" i="7"/>
  <c r="CA31" i="7"/>
  <c r="CA30" i="7"/>
  <c r="CA24" i="7"/>
  <c r="CA23" i="7"/>
  <c r="CA22" i="7"/>
  <c r="CA21" i="7"/>
  <c r="CA20" i="7"/>
  <c r="CA16" i="7"/>
  <c r="CA15" i="7"/>
  <c r="CA14" i="7"/>
  <c r="CA13" i="7"/>
  <c r="CA12" i="7"/>
  <c r="CA8" i="7"/>
  <c r="CA7" i="7"/>
  <c r="CA6" i="7"/>
  <c r="CA5" i="7"/>
  <c r="HN64" i="5"/>
  <c r="HN62" i="5"/>
  <c r="HN61" i="5"/>
  <c r="HN60" i="5"/>
  <c r="HN59" i="5"/>
  <c r="HN58" i="5"/>
  <c r="HN57" i="5"/>
  <c r="HN56" i="5"/>
  <c r="HN55" i="5"/>
  <c r="HN51" i="5"/>
  <c r="HN50" i="5"/>
  <c r="HN49" i="5"/>
  <c r="HN46" i="5"/>
  <c r="HN45" i="5"/>
  <c r="HN44" i="5"/>
  <c r="HN43" i="5"/>
  <c r="HN42" i="5"/>
  <c r="HN41" i="5"/>
  <c r="HN40" i="5"/>
  <c r="HN39" i="5"/>
  <c r="HN38" i="5"/>
  <c r="HN37" i="5"/>
  <c r="HN36" i="5"/>
  <c r="HN35" i="5"/>
  <c r="HN30" i="5"/>
  <c r="HN29" i="5"/>
  <c r="HN28" i="5"/>
  <c r="HN27" i="5"/>
  <c r="HN26" i="5"/>
  <c r="HN24" i="5"/>
  <c r="HN23" i="5"/>
  <c r="HN22" i="5"/>
  <c r="HN21" i="5"/>
  <c r="HN20" i="5"/>
  <c r="HN19" i="5"/>
  <c r="HN18" i="5"/>
  <c r="HN17" i="5"/>
  <c r="HN16" i="5"/>
  <c r="HN15" i="5"/>
  <c r="HN10" i="5"/>
  <c r="HN9" i="5"/>
  <c r="HN8" i="5"/>
  <c r="HN7" i="5"/>
  <c r="HN6" i="5"/>
  <c r="HN5" i="5"/>
  <c r="HF134" i="6"/>
  <c r="HF121" i="6"/>
  <c r="HF115" i="6"/>
  <c r="HF113" i="6"/>
  <c r="HF112" i="6"/>
  <c r="HF110" i="6"/>
  <c r="HF109" i="6"/>
  <c r="HF108" i="6"/>
  <c r="HF106" i="6"/>
  <c r="HF104" i="6"/>
  <c r="HF102" i="6"/>
  <c r="HF100" i="6"/>
  <c r="HF98" i="6"/>
  <c r="HF96" i="6"/>
  <c r="HF94" i="6"/>
  <c r="HF93" i="6"/>
  <c r="HF88" i="6"/>
  <c r="HF85" i="6"/>
  <c r="HF84" i="6"/>
  <c r="HF83" i="6"/>
  <c r="HF82" i="6"/>
  <c r="HF80" i="6"/>
  <c r="HF78" i="6"/>
  <c r="HF76" i="6"/>
  <c r="HF74" i="6"/>
  <c r="HF70" i="6"/>
  <c r="HF64" i="6"/>
  <c r="HF63" i="6"/>
  <c r="HF57" i="6"/>
  <c r="HF56" i="6"/>
  <c r="HF54" i="6"/>
  <c r="HF53" i="6"/>
  <c r="HF51" i="6"/>
  <c r="HF49" i="6"/>
  <c r="HF47" i="6"/>
  <c r="HF45" i="6"/>
  <c r="HF43" i="6"/>
  <c r="HF39" i="6"/>
  <c r="HF35" i="6"/>
  <c r="HF33" i="6"/>
  <c r="HF31" i="6"/>
  <c r="HF29" i="6"/>
  <c r="HF28" i="6"/>
  <c r="HF27" i="6"/>
  <c r="HF25" i="6"/>
  <c r="HF23" i="6"/>
  <c r="HF22" i="6"/>
  <c r="HF20" i="6"/>
  <c r="HF18" i="6"/>
  <c r="HF13" i="6"/>
  <c r="HF11" i="6"/>
  <c r="HF9" i="6"/>
  <c r="HF8" i="6"/>
  <c r="HF5" i="6"/>
  <c r="G28" i="8" l="1"/>
  <c r="IG51" i="2" l="1"/>
  <c r="ET49" i="2"/>
  <c r="DT49" i="2"/>
  <c r="CT49" i="2"/>
  <c r="BT49" i="2"/>
  <c r="ET26" i="2"/>
  <c r="DT26" i="2"/>
  <c r="CT26" i="2"/>
  <c r="BT26" i="2"/>
  <c r="H17" i="8" l="1"/>
  <c r="F31" i="8" l="1"/>
  <c r="G31" i="8"/>
  <c r="D31" i="8"/>
  <c r="E31" i="8"/>
  <c r="F10" i="8"/>
  <c r="N72" i="8" l="1"/>
  <c r="M72" i="8"/>
  <c r="L72" i="8"/>
  <c r="K72" i="8"/>
  <c r="J72" i="8"/>
  <c r="I72" i="8"/>
  <c r="H72" i="8"/>
  <c r="G72" i="8"/>
  <c r="F72" i="8"/>
  <c r="E72" i="8"/>
  <c r="D72" i="8"/>
  <c r="C72" i="8"/>
  <c r="L71" i="8"/>
  <c r="I71" i="8"/>
  <c r="F71" i="8"/>
  <c r="C71" i="8"/>
  <c r="N70" i="8"/>
  <c r="H70" i="8"/>
  <c r="G70" i="8"/>
  <c r="F70" i="8"/>
  <c r="E70" i="8"/>
  <c r="N69" i="8"/>
  <c r="M69" i="8"/>
  <c r="L69" i="8"/>
  <c r="K69" i="8"/>
  <c r="J69" i="8"/>
  <c r="I69" i="8"/>
  <c r="H69" i="8"/>
  <c r="G69" i="8"/>
  <c r="F69" i="8"/>
  <c r="E69" i="8"/>
  <c r="D69" i="8"/>
  <c r="C69" i="8"/>
  <c r="N68" i="8"/>
  <c r="M68" i="8"/>
  <c r="L68" i="8"/>
  <c r="K68" i="8"/>
  <c r="J68" i="8"/>
  <c r="I68" i="8"/>
  <c r="H68" i="8"/>
  <c r="G68" i="8"/>
  <c r="F68" i="8"/>
  <c r="E68" i="8"/>
  <c r="D68" i="8"/>
  <c r="C68" i="8"/>
  <c r="G63" i="8"/>
  <c r="E63" i="8"/>
  <c r="D63" i="8"/>
  <c r="C63" i="8"/>
  <c r="G62" i="8"/>
  <c r="E62" i="8"/>
  <c r="D62" i="8"/>
  <c r="C62" i="8"/>
  <c r="G61" i="8"/>
  <c r="E61" i="8"/>
  <c r="D61" i="8"/>
  <c r="C61" i="8"/>
  <c r="G60" i="8"/>
  <c r="F60" i="8"/>
  <c r="E60" i="8"/>
  <c r="D60" i="8"/>
  <c r="C60" i="8"/>
  <c r="G59" i="8"/>
  <c r="F59" i="8"/>
  <c r="E59" i="8"/>
  <c r="D59" i="8"/>
  <c r="C59" i="8"/>
  <c r="H54" i="8"/>
  <c r="F54" i="8"/>
  <c r="E54" i="8"/>
  <c r="D54" i="8"/>
  <c r="H53" i="8"/>
  <c r="F53" i="8"/>
  <c r="E53" i="8"/>
  <c r="D53" i="8"/>
  <c r="C53" i="8"/>
  <c r="H52" i="8"/>
  <c r="F52" i="8"/>
  <c r="E52" i="8"/>
  <c r="D52" i="8"/>
  <c r="H51" i="8"/>
  <c r="F51" i="8"/>
  <c r="E51" i="8"/>
  <c r="D51" i="8"/>
  <c r="H50" i="8"/>
  <c r="F50" i="8"/>
  <c r="E50" i="8"/>
  <c r="D50" i="8"/>
  <c r="C50" i="8"/>
  <c r="J49" i="8"/>
  <c r="I49" i="8"/>
  <c r="H49" i="8"/>
  <c r="F49" i="8"/>
  <c r="E49" i="8"/>
  <c r="D49" i="8"/>
  <c r="J48" i="8"/>
  <c r="H48" i="8"/>
  <c r="G48" i="8"/>
  <c r="F48" i="8"/>
  <c r="E48" i="8"/>
  <c r="D48" i="8"/>
  <c r="C48" i="8"/>
  <c r="H47" i="8"/>
  <c r="G47" i="8"/>
  <c r="F47" i="8"/>
  <c r="E47" i="8"/>
  <c r="D47" i="8"/>
  <c r="F46" i="8"/>
  <c r="E46" i="8"/>
  <c r="D46" i="8"/>
  <c r="H45" i="8"/>
  <c r="F45" i="8"/>
  <c r="E45" i="8"/>
  <c r="D45" i="8"/>
  <c r="C45" i="8"/>
  <c r="H44" i="8"/>
  <c r="F44" i="8"/>
  <c r="E44" i="8"/>
  <c r="D44" i="8"/>
  <c r="C44" i="8"/>
  <c r="H43" i="8"/>
  <c r="F43" i="8"/>
  <c r="E43" i="8"/>
  <c r="D43" i="8"/>
  <c r="J42" i="8"/>
  <c r="I42" i="8"/>
  <c r="H42" i="8"/>
  <c r="G42" i="8"/>
  <c r="F42" i="8"/>
  <c r="E42" i="8"/>
  <c r="D42" i="8"/>
  <c r="C42" i="8"/>
  <c r="G36" i="8"/>
  <c r="E36" i="8"/>
  <c r="D36" i="8"/>
  <c r="G35" i="8"/>
  <c r="E35" i="8"/>
  <c r="D35" i="8"/>
  <c r="C35" i="8"/>
  <c r="G34" i="8"/>
  <c r="E34" i="8"/>
  <c r="C33" i="8"/>
  <c r="G32" i="8"/>
  <c r="E32" i="8"/>
  <c r="D32" i="8"/>
  <c r="C31" i="8"/>
  <c r="G30" i="8"/>
  <c r="E30" i="8"/>
  <c r="D30" i="8"/>
  <c r="C30" i="8"/>
  <c r="G29" i="8"/>
  <c r="E29" i="8"/>
  <c r="D29" i="8"/>
  <c r="C29" i="8"/>
  <c r="E28" i="8"/>
  <c r="D28" i="8"/>
  <c r="C28" i="8"/>
  <c r="I19" i="8"/>
  <c r="H19" i="8"/>
  <c r="G19" i="8"/>
  <c r="F19" i="8"/>
  <c r="E19" i="8"/>
  <c r="D19" i="8"/>
  <c r="C19" i="8"/>
  <c r="G18" i="8"/>
  <c r="F18" i="8"/>
  <c r="E18" i="8"/>
  <c r="G17" i="8"/>
  <c r="F17" i="8"/>
  <c r="E17" i="8"/>
  <c r="D17" i="8"/>
  <c r="G16" i="8"/>
  <c r="F16" i="8"/>
  <c r="E16" i="8"/>
  <c r="D16" i="8"/>
  <c r="G15" i="8"/>
  <c r="F15" i="8"/>
  <c r="E15" i="8"/>
  <c r="D15" i="8"/>
  <c r="G14" i="8"/>
  <c r="F14" i="8"/>
  <c r="E14" i="8"/>
  <c r="G13" i="8"/>
  <c r="E13" i="8"/>
  <c r="D13" i="8"/>
  <c r="G12" i="8"/>
  <c r="E12" i="8"/>
  <c r="D12" i="8"/>
  <c r="C12" i="8"/>
  <c r="G11" i="8"/>
  <c r="E11" i="8"/>
  <c r="E9" i="8"/>
  <c r="D9" i="8"/>
  <c r="G8" i="8"/>
  <c r="E8" i="8"/>
  <c r="D8" i="8"/>
  <c r="C8" i="8"/>
  <c r="G7" i="8"/>
  <c r="F7" i="8"/>
  <c r="E7" i="8"/>
  <c r="D7" i="8"/>
  <c r="C7" i="8"/>
  <c r="G6" i="8"/>
  <c r="F6" i="8"/>
  <c r="E6" i="8"/>
  <c r="D6" i="8"/>
  <c r="G5" i="8"/>
  <c r="D5" i="8"/>
  <c r="C5" i="8"/>
  <c r="G4" i="8"/>
  <c r="F4" i="8"/>
  <c r="E4" i="8"/>
  <c r="D4" i="8"/>
  <c r="C4" i="8"/>
  <c r="I14" i="8"/>
  <c r="H14" i="8"/>
  <c r="H13" i="8"/>
  <c r="I4" i="8"/>
  <c r="H4" i="8"/>
  <c r="G2" i="8"/>
  <c r="J5" i="8"/>
  <c r="E26" i="8"/>
  <c r="H40" i="8"/>
  <c r="M41" i="8"/>
  <c r="K50" i="8"/>
  <c r="K51" i="8"/>
  <c r="H57" i="8"/>
  <c r="L58" i="8"/>
  <c r="R3" i="2" l="1"/>
  <c r="E4" i="7"/>
  <c r="E4" i="5"/>
  <c r="E3" i="3"/>
  <c r="D3" i="6"/>
  <c r="Q3" i="2"/>
  <c r="Q84" i="2" s="1"/>
  <c r="D3" i="3"/>
  <c r="D231" i="3" s="1"/>
  <c r="D4" i="5"/>
  <c r="D54" i="5" s="1"/>
  <c r="C3" i="6"/>
  <c r="C126" i="6" s="1"/>
  <c r="R72" i="2" l="1"/>
  <c r="R26" i="2"/>
  <c r="R49" i="2"/>
  <c r="R84" i="2"/>
  <c r="E87" i="7"/>
  <c r="E29" i="7"/>
  <c r="E50" i="7"/>
  <c r="E64" i="7"/>
  <c r="E71" i="7"/>
  <c r="E19" i="7"/>
  <c r="E57" i="7"/>
  <c r="E11" i="7"/>
  <c r="E94" i="7"/>
  <c r="E36" i="7"/>
  <c r="E42" i="7"/>
  <c r="E79" i="7"/>
  <c r="D138" i="6"/>
  <c r="D126" i="6"/>
  <c r="D37" i="6"/>
  <c r="D91" i="6"/>
  <c r="D72" i="6"/>
  <c r="D119" i="6"/>
  <c r="D16" i="6"/>
  <c r="E238" i="3"/>
  <c r="E122" i="3"/>
  <c r="E186" i="3"/>
  <c r="E231" i="3"/>
  <c r="E28" i="3"/>
  <c r="E170" i="3"/>
  <c r="E75" i="3"/>
  <c r="E54" i="5"/>
  <c r="E34" i="5"/>
  <c r="E14" i="5"/>
  <c r="E126" i="6"/>
  <c r="E72" i="6"/>
  <c r="E91" i="6"/>
  <c r="E119" i="6"/>
  <c r="E138" i="6"/>
  <c r="E16" i="6"/>
  <c r="E37" i="6"/>
  <c r="F94" i="7"/>
  <c r="F79" i="7"/>
  <c r="F71" i="7"/>
  <c r="F64" i="7"/>
  <c r="F50" i="7"/>
  <c r="F57" i="7"/>
  <c r="F42" i="7"/>
  <c r="F19" i="7"/>
  <c r="F87" i="7"/>
  <c r="F36" i="7"/>
  <c r="F29" i="7"/>
  <c r="F11" i="7"/>
  <c r="F54" i="5"/>
  <c r="F14" i="5"/>
  <c r="F34" i="5"/>
  <c r="F238" i="3"/>
  <c r="F122" i="3"/>
  <c r="F28" i="3"/>
  <c r="F75" i="3"/>
  <c r="F170" i="3"/>
  <c r="F186" i="3"/>
  <c r="F231" i="3"/>
  <c r="S49" i="2"/>
  <c r="S84" i="2"/>
  <c r="S72" i="2"/>
  <c r="T26" i="2"/>
  <c r="T49" i="2"/>
  <c r="S26" i="2"/>
  <c r="C138" i="6"/>
  <c r="Q26" i="2"/>
  <c r="Q49" i="2"/>
  <c r="Q72" i="2"/>
  <c r="D238" i="3"/>
  <c r="D28" i="3"/>
  <c r="D75" i="3"/>
  <c r="D122" i="3"/>
  <c r="D170" i="3"/>
  <c r="D186" i="3"/>
  <c r="D14" i="5"/>
  <c r="D34" i="5"/>
  <c r="C16" i="6"/>
  <c r="C37" i="6"/>
  <c r="C72" i="6"/>
  <c r="C91" i="6"/>
  <c r="C119" i="6"/>
  <c r="D4" i="7"/>
  <c r="D79" i="7" s="1"/>
  <c r="D87" i="7" l="1"/>
  <c r="D94" i="7"/>
  <c r="D11" i="7"/>
  <c r="D57" i="7"/>
  <c r="D71" i="7"/>
  <c r="D19" i="7"/>
  <c r="D29" i="7"/>
  <c r="D36" i="7"/>
  <c r="D42" i="7"/>
  <c r="D50" i="7"/>
  <c r="D64" i="7"/>
  <c r="LN76" i="2" l="1"/>
  <c r="LN75" i="2"/>
  <c r="LN74" i="2"/>
  <c r="I1" i="15" l="1"/>
  <c r="F29" i="15" s="1"/>
  <c r="J1" i="11"/>
  <c r="J1" i="12"/>
  <c r="J1" i="13"/>
  <c r="J1" i="14"/>
  <c r="J1" i="9"/>
  <c r="J1" i="4"/>
  <c r="HL93" i="2"/>
  <c r="HL92" i="2"/>
  <c r="HL91" i="2"/>
  <c r="HL90" i="2"/>
  <c r="HL89" i="2"/>
  <c r="HL88" i="2"/>
  <c r="GT88" i="2"/>
  <c r="HL87" i="2"/>
  <c r="GT87" i="2"/>
  <c r="HL86" i="2"/>
  <c r="GT86" i="2"/>
  <c r="HL85" i="2"/>
  <c r="EV84" i="2"/>
  <c r="EU84" i="2"/>
  <c r="ET84" i="2"/>
  <c r="ES84" i="2"/>
  <c r="ER84" i="2"/>
  <c r="EQ84" i="2"/>
  <c r="EP84" i="2"/>
  <c r="EO84" i="2"/>
  <c r="EN84" i="2"/>
  <c r="EM84" i="2"/>
  <c r="EL84" i="2"/>
  <c r="EK84" i="2"/>
  <c r="EJ84" i="2"/>
  <c r="EI84" i="2"/>
  <c r="EH84" i="2"/>
  <c r="EG84" i="2"/>
  <c r="EF84" i="2"/>
  <c r="EE84" i="2"/>
  <c r="ED84" i="2"/>
  <c r="EC84" i="2"/>
  <c r="EB84" i="2"/>
  <c r="EA84" i="2"/>
  <c r="DZ84" i="2"/>
  <c r="DY84" i="2"/>
  <c r="DX84" i="2"/>
  <c r="DW84" i="2"/>
  <c r="DV84" i="2"/>
  <c r="DU84" i="2"/>
  <c r="DT84" i="2"/>
  <c r="DS84" i="2"/>
  <c r="DR84" i="2"/>
  <c r="DQ84" i="2"/>
  <c r="DP84" i="2"/>
  <c r="DO84" i="2"/>
  <c r="DN84" i="2"/>
  <c r="DM84" i="2"/>
  <c r="DL84" i="2"/>
  <c r="DK84" i="2"/>
  <c r="DJ84" i="2"/>
  <c r="DI84" i="2"/>
  <c r="DH84" i="2"/>
  <c r="DG84" i="2"/>
  <c r="DF84" i="2"/>
  <c r="DE84" i="2"/>
  <c r="DD84" i="2"/>
  <c r="DC84" i="2"/>
  <c r="DB84" i="2"/>
  <c r="DA84" i="2"/>
  <c r="CZ84" i="2"/>
  <c r="CY84" i="2"/>
  <c r="CX84" i="2"/>
  <c r="CW84" i="2"/>
  <c r="CV84" i="2"/>
  <c r="CU84" i="2"/>
  <c r="CT84" i="2"/>
  <c r="CS84" i="2"/>
  <c r="CR84" i="2"/>
  <c r="CQ84" i="2"/>
  <c r="CP84" i="2"/>
  <c r="CO84" i="2"/>
  <c r="CN84" i="2"/>
  <c r="CM84" i="2"/>
  <c r="CL84" i="2"/>
  <c r="CK84" i="2"/>
  <c r="CJ84" i="2"/>
  <c r="CI84" i="2"/>
  <c r="CH84" i="2"/>
  <c r="CG84" i="2"/>
  <c r="CF84" i="2"/>
  <c r="CE84" i="2"/>
  <c r="CD84" i="2"/>
  <c r="CC84" i="2"/>
  <c r="CB84" i="2"/>
  <c r="CA84" i="2"/>
  <c r="BZ84" i="2"/>
  <c r="BY84" i="2"/>
  <c r="BX84" i="2"/>
  <c r="BW84" i="2"/>
  <c r="BV84" i="2"/>
  <c r="BU84" i="2"/>
  <c r="BT84" i="2"/>
  <c r="BS84" i="2"/>
  <c r="BR84" i="2"/>
  <c r="BQ84" i="2"/>
  <c r="BP84" i="2"/>
  <c r="BO84" i="2"/>
  <c r="BN84" i="2"/>
  <c r="BM84" i="2"/>
  <c r="BK84" i="2"/>
  <c r="BJ84" i="2"/>
  <c r="BI84" i="2"/>
  <c r="BH84" i="2"/>
  <c r="BG84" i="2"/>
  <c r="BF84" i="2"/>
  <c r="BE84" i="2"/>
  <c r="BD84" i="2"/>
  <c r="BB84" i="2"/>
  <c r="AX84" i="2"/>
  <c r="AS84" i="2"/>
  <c r="AR84" i="2"/>
  <c r="AQ84" i="2"/>
  <c r="AP84" i="2"/>
  <c r="AO84" i="2"/>
  <c r="AN84" i="2"/>
  <c r="AM84" i="2"/>
  <c r="AL84" i="2"/>
  <c r="AK84" i="2"/>
  <c r="AJ84" i="2"/>
  <c r="AI84" i="2"/>
  <c r="AH84" i="2"/>
  <c r="AG84" i="2"/>
  <c r="AF84" i="2"/>
  <c r="AE84" i="2"/>
  <c r="AD84" i="2"/>
  <c r="AC84" i="2"/>
  <c r="AB84" i="2"/>
  <c r="AA84" i="2"/>
  <c r="Z84" i="2"/>
  <c r="Y84" i="2"/>
  <c r="X84" i="2"/>
  <c r="W84" i="2"/>
  <c r="HL81" i="2"/>
  <c r="HL80" i="2"/>
  <c r="HL79" i="2"/>
  <c r="HL78" i="2"/>
  <c r="HL77" i="2"/>
  <c r="HL76" i="2"/>
  <c r="HL75" i="2"/>
  <c r="HL74" i="2"/>
  <c r="HL73" i="2"/>
  <c r="IH72" i="2"/>
  <c r="IG72" i="2"/>
  <c r="EV72" i="2"/>
  <c r="EU72" i="2"/>
  <c r="ET72" i="2"/>
  <c r="ES72" i="2"/>
  <c r="ER72" i="2"/>
  <c r="EQ72" i="2"/>
  <c r="EP72" i="2"/>
  <c r="EO72" i="2"/>
  <c r="EN72" i="2"/>
  <c r="EM72" i="2"/>
  <c r="EL72" i="2"/>
  <c r="EK72" i="2"/>
  <c r="EJ72" i="2"/>
  <c r="EI72" i="2"/>
  <c r="EH72" i="2"/>
  <c r="EG72" i="2"/>
  <c r="EF72" i="2"/>
  <c r="EE72" i="2"/>
  <c r="ED72" i="2"/>
  <c r="EC72" i="2"/>
  <c r="EB72" i="2"/>
  <c r="EA72" i="2"/>
  <c r="DZ72" i="2"/>
  <c r="DY72" i="2"/>
  <c r="DX72" i="2"/>
  <c r="DW72" i="2"/>
  <c r="DV72" i="2"/>
  <c r="DU72" i="2"/>
  <c r="DT72" i="2"/>
  <c r="DS72" i="2"/>
  <c r="DR72" i="2"/>
  <c r="DQ72" i="2"/>
  <c r="DP72" i="2"/>
  <c r="DO72" i="2"/>
  <c r="DN72" i="2"/>
  <c r="DM72" i="2"/>
  <c r="DL72" i="2"/>
  <c r="DK72" i="2"/>
  <c r="DJ72" i="2"/>
  <c r="DI72" i="2"/>
  <c r="DH72" i="2"/>
  <c r="DG72" i="2"/>
  <c r="DF72" i="2"/>
  <c r="DE72" i="2"/>
  <c r="DD72" i="2"/>
  <c r="DC72" i="2"/>
  <c r="DB72" i="2"/>
  <c r="DA72" i="2"/>
  <c r="CZ72" i="2"/>
  <c r="CY72" i="2"/>
  <c r="CX72" i="2"/>
  <c r="CW72" i="2"/>
  <c r="CV72" i="2"/>
  <c r="CU72" i="2"/>
  <c r="CT72" i="2"/>
  <c r="CS72" i="2"/>
  <c r="CR72" i="2"/>
  <c r="CQ72" i="2"/>
  <c r="CP72" i="2"/>
  <c r="CO72" i="2"/>
  <c r="CN72" i="2"/>
  <c r="CM72" i="2"/>
  <c r="CL72" i="2"/>
  <c r="CK72" i="2"/>
  <c r="CJ72" i="2"/>
  <c r="CI72" i="2"/>
  <c r="CH72" i="2"/>
  <c r="CG72" i="2"/>
  <c r="CF72" i="2"/>
  <c r="CE72" i="2"/>
  <c r="CD72" i="2"/>
  <c r="CC72" i="2"/>
  <c r="CB72" i="2"/>
  <c r="CA72" i="2"/>
  <c r="BZ72" i="2"/>
  <c r="BY72" i="2"/>
  <c r="BX72" i="2"/>
  <c r="BW72" i="2"/>
  <c r="BV72" i="2"/>
  <c r="BU72" i="2"/>
  <c r="BT72" i="2"/>
  <c r="BS72" i="2"/>
  <c r="BR72" i="2"/>
  <c r="BQ72" i="2"/>
  <c r="BP72" i="2"/>
  <c r="BO72" i="2"/>
  <c r="BN72" i="2"/>
  <c r="BM72" i="2"/>
  <c r="BK72" i="2"/>
  <c r="BJ72" i="2"/>
  <c r="BI72" i="2"/>
  <c r="BH72" i="2"/>
  <c r="BG72" i="2"/>
  <c r="BF72" i="2"/>
  <c r="BE72" i="2"/>
  <c r="BD72" i="2"/>
  <c r="BB72" i="2"/>
  <c r="AX72" i="2"/>
  <c r="AS72" i="2"/>
  <c r="AR72" i="2"/>
  <c r="AQ72" i="2"/>
  <c r="AP72" i="2"/>
  <c r="AO72" i="2"/>
  <c r="AN72" i="2"/>
  <c r="AM72" i="2"/>
  <c r="AL72" i="2"/>
  <c r="AK72" i="2"/>
  <c r="AJ72" i="2"/>
  <c r="AI72" i="2"/>
  <c r="AH72" i="2"/>
  <c r="AG72" i="2"/>
  <c r="AF72" i="2"/>
  <c r="AE72" i="2"/>
  <c r="AD72" i="2"/>
  <c r="AC72" i="2"/>
  <c r="AB72" i="2"/>
  <c r="AA72" i="2"/>
  <c r="Z72" i="2"/>
  <c r="Y72" i="2"/>
  <c r="X72" i="2"/>
  <c r="W72" i="2"/>
  <c r="HL58" i="2"/>
  <c r="HL57" i="2"/>
  <c r="HL56" i="2"/>
  <c r="HL55" i="2"/>
  <c r="HL54" i="2"/>
  <c r="HL53" i="2"/>
  <c r="GT53" i="2"/>
  <c r="HL52" i="2"/>
  <c r="GT52" i="2"/>
  <c r="IH51" i="2"/>
  <c r="IH3" i="2" s="1"/>
  <c r="IG3" i="2"/>
  <c r="HL51" i="2"/>
  <c r="GT51" i="2"/>
  <c r="HL50" i="2"/>
  <c r="EV49" i="2"/>
  <c r="EU49" i="2"/>
  <c r="ES49" i="2"/>
  <c r="ER49" i="2"/>
  <c r="EQ49" i="2"/>
  <c r="EP49" i="2"/>
  <c r="EO49" i="2"/>
  <c r="EN49" i="2"/>
  <c r="EM49" i="2"/>
  <c r="EL49" i="2"/>
  <c r="EK49" i="2"/>
  <c r="EJ49" i="2"/>
  <c r="EI49" i="2"/>
  <c r="EH49" i="2"/>
  <c r="EG49" i="2"/>
  <c r="EF49" i="2"/>
  <c r="EE49" i="2"/>
  <c r="ED49" i="2"/>
  <c r="EC49" i="2"/>
  <c r="EB49" i="2"/>
  <c r="EA49" i="2"/>
  <c r="DZ49" i="2"/>
  <c r="DY49" i="2"/>
  <c r="DX49" i="2"/>
  <c r="DW49" i="2"/>
  <c r="DV49" i="2"/>
  <c r="DU49" i="2"/>
  <c r="DS49" i="2"/>
  <c r="DR49" i="2"/>
  <c r="DQ49" i="2"/>
  <c r="DP49" i="2"/>
  <c r="DO49" i="2"/>
  <c r="DN49" i="2"/>
  <c r="DM49" i="2"/>
  <c r="DL49" i="2"/>
  <c r="DK49" i="2"/>
  <c r="DJ49" i="2"/>
  <c r="DI49" i="2"/>
  <c r="DH49" i="2"/>
  <c r="DG49" i="2"/>
  <c r="DF49" i="2"/>
  <c r="DE49" i="2"/>
  <c r="DD49" i="2"/>
  <c r="DC49" i="2"/>
  <c r="DB49" i="2"/>
  <c r="DA49" i="2"/>
  <c r="CZ49" i="2"/>
  <c r="CY49" i="2"/>
  <c r="CX49" i="2"/>
  <c r="CW49" i="2"/>
  <c r="CV49" i="2"/>
  <c r="CU49" i="2"/>
  <c r="CS49" i="2"/>
  <c r="CR49" i="2"/>
  <c r="CQ49" i="2"/>
  <c r="CP49" i="2"/>
  <c r="CO49" i="2"/>
  <c r="CN49" i="2"/>
  <c r="CM49" i="2"/>
  <c r="CL49" i="2"/>
  <c r="CK49" i="2"/>
  <c r="CJ49" i="2"/>
  <c r="CI49" i="2"/>
  <c r="CH49" i="2"/>
  <c r="CG49" i="2"/>
  <c r="CF49" i="2"/>
  <c r="CE49" i="2"/>
  <c r="CD49" i="2"/>
  <c r="CC49" i="2"/>
  <c r="CB49" i="2"/>
  <c r="CA49" i="2"/>
  <c r="BZ49" i="2"/>
  <c r="BY49" i="2"/>
  <c r="BX49" i="2"/>
  <c r="BW49" i="2"/>
  <c r="BV49" i="2"/>
  <c r="BU49" i="2"/>
  <c r="BS49" i="2"/>
  <c r="BR49" i="2"/>
  <c r="BQ49" i="2"/>
  <c r="BP49" i="2"/>
  <c r="BO49" i="2"/>
  <c r="BN49" i="2"/>
  <c r="BM49" i="2"/>
  <c r="BK49" i="2"/>
  <c r="BJ49" i="2"/>
  <c r="BI49" i="2"/>
  <c r="BH49" i="2"/>
  <c r="BG49" i="2"/>
  <c r="BF49" i="2"/>
  <c r="BE49" i="2"/>
  <c r="BD49" i="2"/>
  <c r="BB49" i="2"/>
  <c r="AX49" i="2"/>
  <c r="AS49" i="2"/>
  <c r="AR49" i="2"/>
  <c r="AQ49" i="2"/>
  <c r="AP49" i="2"/>
  <c r="AO49" i="2"/>
  <c r="AN49" i="2"/>
  <c r="AM49" i="2"/>
  <c r="AL49" i="2"/>
  <c r="AK49" i="2"/>
  <c r="AJ49" i="2"/>
  <c r="AI49" i="2"/>
  <c r="AH49" i="2"/>
  <c r="AG49" i="2"/>
  <c r="AF49" i="2"/>
  <c r="AE49" i="2"/>
  <c r="AD49" i="2"/>
  <c r="AC49" i="2"/>
  <c r="AB49" i="2"/>
  <c r="AA49" i="2"/>
  <c r="Z49" i="2"/>
  <c r="Y49" i="2"/>
  <c r="X49" i="2"/>
  <c r="W49" i="2"/>
  <c r="HL35" i="2"/>
  <c r="HL34" i="2"/>
  <c r="HL33" i="2"/>
  <c r="HL32" i="2"/>
  <c r="HL31" i="2"/>
  <c r="HL30" i="2"/>
  <c r="HL29" i="2"/>
  <c r="JR28" i="2"/>
  <c r="JQ28" i="2"/>
  <c r="JP28" i="2"/>
  <c r="JO28" i="2"/>
  <c r="HL28" i="2"/>
  <c r="HL27" i="2"/>
  <c r="EV26" i="2"/>
  <c r="EU26" i="2"/>
  <c r="ES26" i="2"/>
  <c r="ER26" i="2"/>
  <c r="EQ26" i="2"/>
  <c r="EP26" i="2"/>
  <c r="EO26" i="2"/>
  <c r="EN26" i="2"/>
  <c r="EM26" i="2"/>
  <c r="EL26" i="2"/>
  <c r="EK26" i="2"/>
  <c r="EJ26" i="2"/>
  <c r="EI26" i="2"/>
  <c r="EH26" i="2"/>
  <c r="EG26" i="2"/>
  <c r="EF26" i="2"/>
  <c r="EE26" i="2"/>
  <c r="ED26" i="2"/>
  <c r="EC26" i="2"/>
  <c r="EB26" i="2"/>
  <c r="EA26" i="2"/>
  <c r="DZ26" i="2"/>
  <c r="DY26" i="2"/>
  <c r="DX26" i="2"/>
  <c r="DV26" i="2"/>
  <c r="DU26" i="2"/>
  <c r="DS26" i="2"/>
  <c r="DR26" i="2"/>
  <c r="DQ26" i="2"/>
  <c r="DP26" i="2"/>
  <c r="DO26" i="2"/>
  <c r="DN26" i="2"/>
  <c r="DM26" i="2"/>
  <c r="DL26" i="2"/>
  <c r="DK26" i="2"/>
  <c r="DJ26" i="2"/>
  <c r="DI26" i="2"/>
  <c r="DH26" i="2"/>
  <c r="DG26" i="2"/>
  <c r="DF26" i="2"/>
  <c r="DE26" i="2"/>
  <c r="DD26" i="2"/>
  <c r="DC26" i="2"/>
  <c r="DB26" i="2"/>
  <c r="DA26" i="2"/>
  <c r="CZ26" i="2"/>
  <c r="CY26" i="2"/>
  <c r="CX26" i="2"/>
  <c r="CW26" i="2"/>
  <c r="CV26" i="2"/>
  <c r="CU26" i="2"/>
  <c r="CS26" i="2"/>
  <c r="CR26" i="2"/>
  <c r="CQ26" i="2"/>
  <c r="CP26" i="2"/>
  <c r="CO26" i="2"/>
  <c r="CN26" i="2"/>
  <c r="CM26" i="2"/>
  <c r="CL26" i="2"/>
  <c r="CK26" i="2"/>
  <c r="CJ26" i="2"/>
  <c r="CI26" i="2"/>
  <c r="CH26" i="2"/>
  <c r="CG26" i="2"/>
  <c r="CF26" i="2"/>
  <c r="CE26" i="2"/>
  <c r="CD26" i="2"/>
  <c r="CC26" i="2"/>
  <c r="CB26" i="2"/>
  <c r="CA26" i="2"/>
  <c r="BZ26" i="2"/>
  <c r="BY26" i="2"/>
  <c r="BX26" i="2"/>
  <c r="BW26" i="2"/>
  <c r="BV26" i="2"/>
  <c r="BU26" i="2"/>
  <c r="BS26" i="2"/>
  <c r="BR26" i="2"/>
  <c r="BQ26" i="2"/>
  <c r="BP26" i="2"/>
  <c r="BO26" i="2"/>
  <c r="BN26" i="2"/>
  <c r="BM26" i="2"/>
  <c r="BK26" i="2"/>
  <c r="BJ26" i="2"/>
  <c r="BI26" i="2"/>
  <c r="BH26" i="2"/>
  <c r="BG26" i="2"/>
  <c r="BF26" i="2"/>
  <c r="BE26" i="2"/>
  <c r="BD26" i="2"/>
  <c r="BB26" i="2"/>
  <c r="AX26" i="2"/>
  <c r="AS26" i="2"/>
  <c r="AR26" i="2"/>
  <c r="AQ26" i="2"/>
  <c r="AP26" i="2"/>
  <c r="AO26" i="2"/>
  <c r="AN26" i="2"/>
  <c r="AM26" i="2"/>
  <c r="AL26" i="2"/>
  <c r="AK26" i="2"/>
  <c r="AJ26" i="2"/>
  <c r="AI26" i="2"/>
  <c r="AH26" i="2"/>
  <c r="AG26" i="2"/>
  <c r="AF26" i="2"/>
  <c r="AE26" i="2"/>
  <c r="AD26" i="2"/>
  <c r="AC26" i="2"/>
  <c r="AB26" i="2"/>
  <c r="AA26" i="2"/>
  <c r="Z26" i="2"/>
  <c r="Y26" i="2"/>
  <c r="X26" i="2"/>
  <c r="W26" i="2"/>
  <c r="HL12" i="2"/>
  <c r="HL11" i="2"/>
  <c r="HL10" i="2"/>
  <c r="HL9" i="2"/>
  <c r="HL8" i="2"/>
  <c r="HL7" i="2"/>
  <c r="HL6" i="2"/>
  <c r="HL5" i="2"/>
  <c r="HL4" i="2"/>
  <c r="JR3" i="2"/>
  <c r="JQ3" i="2"/>
  <c r="JP3" i="2"/>
  <c r="JO3" i="2"/>
  <c r="O2" i="2"/>
  <c r="O25" i="2" s="1"/>
  <c r="HO238" i="3"/>
  <c r="HN238" i="3"/>
  <c r="HM238" i="3"/>
  <c r="HL238" i="3"/>
  <c r="HK238" i="3"/>
  <c r="HJ238" i="3"/>
  <c r="HI238" i="3"/>
  <c r="HH238" i="3"/>
  <c r="HG238" i="3"/>
  <c r="HF238" i="3"/>
  <c r="HE238" i="3"/>
  <c r="HD238" i="3"/>
  <c r="HC238" i="3"/>
  <c r="HB238" i="3"/>
  <c r="HA238" i="3"/>
  <c r="GZ238" i="3"/>
  <c r="GY238" i="3"/>
  <c r="GX238" i="3"/>
  <c r="GW238" i="3"/>
  <c r="GV238" i="3"/>
  <c r="GU238" i="3"/>
  <c r="GT238" i="3"/>
  <c r="GS238" i="3"/>
  <c r="GR238" i="3"/>
  <c r="GQ238" i="3"/>
  <c r="GP238" i="3"/>
  <c r="GO238" i="3"/>
  <c r="GN238" i="3"/>
  <c r="GM238" i="3"/>
  <c r="GL238" i="3"/>
  <c r="GK238" i="3"/>
  <c r="GJ238" i="3"/>
  <c r="GI238" i="3"/>
  <c r="GH238" i="3"/>
  <c r="GG238" i="3"/>
  <c r="GF238" i="3"/>
  <c r="GE238" i="3"/>
  <c r="GD238" i="3"/>
  <c r="GC238" i="3"/>
  <c r="GB238" i="3"/>
  <c r="GA238" i="3"/>
  <c r="FZ238" i="3"/>
  <c r="FY238" i="3"/>
  <c r="FX238" i="3"/>
  <c r="FW238" i="3"/>
  <c r="FV238" i="3"/>
  <c r="FU238" i="3"/>
  <c r="FT238" i="3"/>
  <c r="FS238" i="3"/>
  <c r="FR238" i="3"/>
  <c r="FQ238" i="3"/>
  <c r="FP238" i="3"/>
  <c r="FO238" i="3"/>
  <c r="FN238" i="3"/>
  <c r="FM238" i="3"/>
  <c r="FL238" i="3"/>
  <c r="FK238" i="3"/>
  <c r="FJ238" i="3"/>
  <c r="FI238" i="3"/>
  <c r="FH238" i="3"/>
  <c r="FG238" i="3"/>
  <c r="FF238" i="3"/>
  <c r="FE238" i="3"/>
  <c r="FD238" i="3"/>
  <c r="FC238" i="3"/>
  <c r="FB238" i="3"/>
  <c r="FA238" i="3"/>
  <c r="EZ238" i="3"/>
  <c r="EY238" i="3"/>
  <c r="EX238" i="3"/>
  <c r="EW238" i="3"/>
  <c r="EV238" i="3"/>
  <c r="EU238" i="3"/>
  <c r="ET238" i="3"/>
  <c r="ES238" i="3"/>
  <c r="ER238" i="3"/>
  <c r="EQ238" i="3"/>
  <c r="EP238" i="3"/>
  <c r="EO238" i="3"/>
  <c r="EN238" i="3"/>
  <c r="EM238" i="3"/>
  <c r="EL238" i="3"/>
  <c r="EK238" i="3"/>
  <c r="EJ238" i="3"/>
  <c r="EI238" i="3"/>
  <c r="EH238" i="3"/>
  <c r="EG238" i="3"/>
  <c r="EF238" i="3"/>
  <c r="EE238" i="3"/>
  <c r="ED238" i="3"/>
  <c r="EC238" i="3"/>
  <c r="EB238" i="3"/>
  <c r="EA238" i="3"/>
  <c r="DZ238" i="3"/>
  <c r="DY238" i="3"/>
  <c r="DX238" i="3"/>
  <c r="DW238" i="3"/>
  <c r="DV238" i="3"/>
  <c r="DU238" i="3"/>
  <c r="DT238" i="3"/>
  <c r="DS238" i="3"/>
  <c r="DR238" i="3"/>
  <c r="DQ238" i="3"/>
  <c r="DP238" i="3"/>
  <c r="DO238" i="3"/>
  <c r="DN238" i="3"/>
  <c r="DM238" i="3"/>
  <c r="DL238" i="3"/>
  <c r="DK238" i="3"/>
  <c r="DJ238" i="3"/>
  <c r="DI238" i="3"/>
  <c r="DH238" i="3"/>
  <c r="DG238" i="3"/>
  <c r="DF238" i="3"/>
  <c r="DE238" i="3"/>
  <c r="DD238" i="3"/>
  <c r="DC238" i="3"/>
  <c r="DB238" i="3"/>
  <c r="DA238" i="3"/>
  <c r="CZ238" i="3"/>
  <c r="CY238" i="3"/>
  <c r="CX238" i="3"/>
  <c r="CW238" i="3"/>
  <c r="CV238" i="3"/>
  <c r="CU238" i="3"/>
  <c r="CT238" i="3"/>
  <c r="CS238" i="3"/>
  <c r="CR238" i="3"/>
  <c r="CQ238" i="3"/>
  <c r="CP238" i="3"/>
  <c r="CO238" i="3"/>
  <c r="CN238" i="3"/>
  <c r="CM238" i="3"/>
  <c r="CL238" i="3"/>
  <c r="CK238" i="3"/>
  <c r="CJ238" i="3"/>
  <c r="CI238" i="3"/>
  <c r="CH238" i="3"/>
  <c r="CG238" i="3"/>
  <c r="CF238" i="3"/>
  <c r="CE238" i="3"/>
  <c r="CD238" i="3"/>
  <c r="CC238" i="3"/>
  <c r="CB238" i="3"/>
  <c r="CA238" i="3"/>
  <c r="BZ238" i="3"/>
  <c r="BY238" i="3"/>
  <c r="BX238" i="3"/>
  <c r="BW238" i="3"/>
  <c r="BV238" i="3"/>
  <c r="BU238" i="3"/>
  <c r="BT238" i="3"/>
  <c r="BS238" i="3"/>
  <c r="BR238" i="3"/>
  <c r="BQ238" i="3"/>
  <c r="BP238" i="3"/>
  <c r="BO238" i="3"/>
  <c r="BN238" i="3"/>
  <c r="BM238" i="3"/>
  <c r="BL238" i="3"/>
  <c r="BK238" i="3"/>
  <c r="BJ238" i="3"/>
  <c r="BI238" i="3"/>
  <c r="BH238" i="3"/>
  <c r="BF238" i="3"/>
  <c r="BE238" i="3"/>
  <c r="BD238" i="3"/>
  <c r="BC238" i="3"/>
  <c r="BB238" i="3"/>
  <c r="BA238" i="3"/>
  <c r="AZ238" i="3"/>
  <c r="AY238" i="3"/>
  <c r="AX238" i="3"/>
  <c r="AW238" i="3"/>
  <c r="AV238" i="3"/>
  <c r="AU238" i="3"/>
  <c r="AT238" i="3"/>
  <c r="AS238" i="3"/>
  <c r="AR238" i="3"/>
  <c r="AQ238" i="3"/>
  <c r="AP238" i="3"/>
  <c r="AO238" i="3"/>
  <c r="AN238" i="3"/>
  <c r="AM238" i="3"/>
  <c r="AL238" i="3"/>
  <c r="AK238" i="3"/>
  <c r="AJ238" i="3"/>
  <c r="AI238" i="3"/>
  <c r="AH238" i="3"/>
  <c r="AG238" i="3"/>
  <c r="AF238" i="3"/>
  <c r="AE238" i="3"/>
  <c r="AD238" i="3"/>
  <c r="AC238" i="3"/>
  <c r="AB238" i="3"/>
  <c r="AA238" i="3"/>
  <c r="Z238" i="3"/>
  <c r="Y238" i="3"/>
  <c r="X238" i="3"/>
  <c r="W238" i="3"/>
  <c r="V238" i="3"/>
  <c r="U238" i="3"/>
  <c r="T238" i="3"/>
  <c r="S238" i="3"/>
  <c r="R238" i="3"/>
  <c r="Q238" i="3"/>
  <c r="P238" i="3"/>
  <c r="O238" i="3"/>
  <c r="N238" i="3"/>
  <c r="M238" i="3"/>
  <c r="L238" i="3"/>
  <c r="K238" i="3"/>
  <c r="J238" i="3"/>
  <c r="HO231" i="3"/>
  <c r="HN231" i="3"/>
  <c r="HM231" i="3"/>
  <c r="HL231" i="3"/>
  <c r="HK231" i="3"/>
  <c r="HJ231" i="3"/>
  <c r="HI231" i="3"/>
  <c r="HH231" i="3"/>
  <c r="HG231" i="3"/>
  <c r="HF231" i="3"/>
  <c r="HE231" i="3"/>
  <c r="HD231" i="3"/>
  <c r="HC231" i="3"/>
  <c r="HB231" i="3"/>
  <c r="HA231" i="3"/>
  <c r="GZ231" i="3"/>
  <c r="GY231" i="3"/>
  <c r="GX231" i="3"/>
  <c r="GW231" i="3"/>
  <c r="GV231" i="3"/>
  <c r="GU231" i="3"/>
  <c r="GT231" i="3"/>
  <c r="GS231" i="3"/>
  <c r="GR231" i="3"/>
  <c r="GQ231" i="3"/>
  <c r="GP231" i="3"/>
  <c r="GO231" i="3"/>
  <c r="GN231" i="3"/>
  <c r="GM231" i="3"/>
  <c r="GL231" i="3"/>
  <c r="GK231" i="3"/>
  <c r="GJ231" i="3"/>
  <c r="GI231" i="3"/>
  <c r="GH231" i="3"/>
  <c r="GG231" i="3"/>
  <c r="GF231" i="3"/>
  <c r="GE231" i="3"/>
  <c r="GD231" i="3"/>
  <c r="GC231" i="3"/>
  <c r="GB231" i="3"/>
  <c r="GA231" i="3"/>
  <c r="FZ231" i="3"/>
  <c r="FY231" i="3"/>
  <c r="FX231" i="3"/>
  <c r="FW231" i="3"/>
  <c r="FV231" i="3"/>
  <c r="FU231" i="3"/>
  <c r="FT231" i="3"/>
  <c r="FS231" i="3"/>
  <c r="FR231" i="3"/>
  <c r="FQ231" i="3"/>
  <c r="FP231" i="3"/>
  <c r="FO231" i="3"/>
  <c r="FN231" i="3"/>
  <c r="FM231" i="3"/>
  <c r="FL231" i="3"/>
  <c r="FK231" i="3"/>
  <c r="FJ231" i="3"/>
  <c r="FI231" i="3"/>
  <c r="FH231" i="3"/>
  <c r="FG231" i="3"/>
  <c r="FF231" i="3"/>
  <c r="FE231" i="3"/>
  <c r="FD231" i="3"/>
  <c r="FC231" i="3"/>
  <c r="FB231" i="3"/>
  <c r="FA231" i="3"/>
  <c r="EZ231" i="3"/>
  <c r="EY231" i="3"/>
  <c r="EX231" i="3"/>
  <c r="EW231" i="3"/>
  <c r="EV231" i="3"/>
  <c r="EU231" i="3"/>
  <c r="ET231" i="3"/>
  <c r="ES231" i="3"/>
  <c r="ER231" i="3"/>
  <c r="EQ231" i="3"/>
  <c r="EP231" i="3"/>
  <c r="EO231" i="3"/>
  <c r="EN231" i="3"/>
  <c r="EM231" i="3"/>
  <c r="EL231" i="3"/>
  <c r="EK231" i="3"/>
  <c r="EJ231" i="3"/>
  <c r="EI231" i="3"/>
  <c r="EH231" i="3"/>
  <c r="EG231" i="3"/>
  <c r="EF231" i="3"/>
  <c r="EE231" i="3"/>
  <c r="ED231" i="3"/>
  <c r="EC231" i="3"/>
  <c r="EB231" i="3"/>
  <c r="EA231" i="3"/>
  <c r="DZ231" i="3"/>
  <c r="DY231" i="3"/>
  <c r="DX231" i="3"/>
  <c r="DW231" i="3"/>
  <c r="DV231" i="3"/>
  <c r="DU231" i="3"/>
  <c r="DT231" i="3"/>
  <c r="DS231" i="3"/>
  <c r="DR231" i="3"/>
  <c r="DQ231" i="3"/>
  <c r="DP231" i="3"/>
  <c r="DO231" i="3"/>
  <c r="DN231" i="3"/>
  <c r="DM231" i="3"/>
  <c r="DL231" i="3"/>
  <c r="DK231" i="3"/>
  <c r="DJ231" i="3"/>
  <c r="DI231" i="3"/>
  <c r="DH231" i="3"/>
  <c r="DG231" i="3"/>
  <c r="DF231" i="3"/>
  <c r="DE231" i="3"/>
  <c r="DD231" i="3"/>
  <c r="DC231" i="3"/>
  <c r="DB231" i="3"/>
  <c r="DA231" i="3"/>
  <c r="CZ231" i="3"/>
  <c r="CY231" i="3"/>
  <c r="CX231" i="3"/>
  <c r="CW231" i="3"/>
  <c r="CV231" i="3"/>
  <c r="CU231" i="3"/>
  <c r="CT231" i="3"/>
  <c r="CS231" i="3"/>
  <c r="CR231" i="3"/>
  <c r="CQ231" i="3"/>
  <c r="CP231" i="3"/>
  <c r="CO231" i="3"/>
  <c r="CN231" i="3"/>
  <c r="CM231" i="3"/>
  <c r="CL231" i="3"/>
  <c r="CK231" i="3"/>
  <c r="CJ231" i="3"/>
  <c r="CI231" i="3"/>
  <c r="CH231" i="3"/>
  <c r="CG231" i="3"/>
  <c r="CF231" i="3"/>
  <c r="CE231" i="3"/>
  <c r="CD231" i="3"/>
  <c r="CC231" i="3"/>
  <c r="CB231" i="3"/>
  <c r="CA231" i="3"/>
  <c r="BZ231" i="3"/>
  <c r="BY231" i="3"/>
  <c r="BX231" i="3"/>
  <c r="BW231" i="3"/>
  <c r="BV231" i="3"/>
  <c r="BU231" i="3"/>
  <c r="BT231" i="3"/>
  <c r="BS231" i="3"/>
  <c r="BR231" i="3"/>
  <c r="BQ231" i="3"/>
  <c r="BP231" i="3"/>
  <c r="BO231" i="3"/>
  <c r="BN231" i="3"/>
  <c r="BM231" i="3"/>
  <c r="BL231" i="3"/>
  <c r="BK231" i="3"/>
  <c r="BJ231" i="3"/>
  <c r="BI231" i="3"/>
  <c r="BH231" i="3"/>
  <c r="BF231" i="3"/>
  <c r="BE231" i="3"/>
  <c r="BD231" i="3"/>
  <c r="BC231" i="3"/>
  <c r="BB231" i="3"/>
  <c r="BA231" i="3"/>
  <c r="AZ231" i="3"/>
  <c r="AY231" i="3"/>
  <c r="AX231" i="3"/>
  <c r="AW231" i="3"/>
  <c r="AV231" i="3"/>
  <c r="AU231" i="3"/>
  <c r="AT231" i="3"/>
  <c r="AS231" i="3"/>
  <c r="AR231" i="3"/>
  <c r="AQ231" i="3"/>
  <c r="AP231" i="3"/>
  <c r="AO231" i="3"/>
  <c r="AN231" i="3"/>
  <c r="AM231" i="3"/>
  <c r="AL231" i="3"/>
  <c r="AK231" i="3"/>
  <c r="AJ231" i="3"/>
  <c r="AI231" i="3"/>
  <c r="AH231" i="3"/>
  <c r="AG231" i="3"/>
  <c r="AF231" i="3"/>
  <c r="AE231" i="3"/>
  <c r="AD231" i="3"/>
  <c r="AC231" i="3"/>
  <c r="AB231" i="3"/>
  <c r="AA231" i="3"/>
  <c r="Z231" i="3"/>
  <c r="Y231" i="3"/>
  <c r="X231" i="3"/>
  <c r="W231" i="3"/>
  <c r="V231" i="3"/>
  <c r="U231" i="3"/>
  <c r="T231" i="3"/>
  <c r="S231" i="3"/>
  <c r="R231" i="3"/>
  <c r="Q231" i="3"/>
  <c r="P231" i="3"/>
  <c r="O231" i="3"/>
  <c r="N231" i="3"/>
  <c r="M231" i="3"/>
  <c r="L231" i="3"/>
  <c r="K231" i="3"/>
  <c r="J231" i="3"/>
  <c r="I231" i="3"/>
  <c r="BC218" i="3"/>
  <c r="BC219" i="3" s="1"/>
  <c r="BC220" i="3" s="1"/>
  <c r="BB218" i="3"/>
  <c r="BB219" i="3" s="1"/>
  <c r="BB220" i="3" s="1"/>
  <c r="BA218" i="3"/>
  <c r="BA219" i="3" s="1"/>
  <c r="BA220" i="3" s="1"/>
  <c r="AZ218" i="3"/>
  <c r="AZ219" i="3" s="1"/>
  <c r="AZ220" i="3" s="1"/>
  <c r="AY218" i="3"/>
  <c r="AY219" i="3" s="1"/>
  <c r="AY220" i="3" s="1"/>
  <c r="AX218" i="3"/>
  <c r="AX219" i="3" s="1"/>
  <c r="AX220" i="3" s="1"/>
  <c r="AW218" i="3"/>
  <c r="AW219" i="3" s="1"/>
  <c r="AW220" i="3" s="1"/>
  <c r="AV218" i="3"/>
  <c r="AV219" i="3" s="1"/>
  <c r="AV220" i="3" s="1"/>
  <c r="AU218" i="3"/>
  <c r="AU219" i="3" s="1"/>
  <c r="AU220" i="3" s="1"/>
  <c r="AT218" i="3"/>
  <c r="AT219" i="3" s="1"/>
  <c r="AT220" i="3" s="1"/>
  <c r="AS218" i="3"/>
  <c r="AS219" i="3" s="1"/>
  <c r="AS220" i="3" s="1"/>
  <c r="AR218" i="3"/>
  <c r="AR219" i="3" s="1"/>
  <c r="AR220" i="3" s="1"/>
  <c r="AU215" i="3"/>
  <c r="AU216" i="3" s="1"/>
  <c r="BC214" i="3"/>
  <c r="BC215" i="3" s="1"/>
  <c r="BC216" i="3" s="1"/>
  <c r="BB214" i="3"/>
  <c r="BB215" i="3" s="1"/>
  <c r="BB216" i="3" s="1"/>
  <c r="AU214" i="3"/>
  <c r="AT214" i="3"/>
  <c r="AT215" i="3" s="1"/>
  <c r="AT216" i="3" s="1"/>
  <c r="AS214" i="3"/>
  <c r="AS215" i="3" s="1"/>
  <c r="AS216" i="3" s="1"/>
  <c r="BC213" i="3"/>
  <c r="BB213" i="3"/>
  <c r="BA213" i="3"/>
  <c r="BA214" i="3" s="1"/>
  <c r="BA215" i="3" s="1"/>
  <c r="BA216" i="3" s="1"/>
  <c r="AZ213" i="3"/>
  <c r="AZ214" i="3" s="1"/>
  <c r="AZ215" i="3" s="1"/>
  <c r="AZ216" i="3" s="1"/>
  <c r="AY213" i="3"/>
  <c r="AY214" i="3" s="1"/>
  <c r="AY215" i="3" s="1"/>
  <c r="AY216" i="3" s="1"/>
  <c r="AX213" i="3"/>
  <c r="AX214" i="3" s="1"/>
  <c r="AX215" i="3" s="1"/>
  <c r="AX216" i="3" s="1"/>
  <c r="AW213" i="3"/>
  <c r="AW214" i="3" s="1"/>
  <c r="AW215" i="3" s="1"/>
  <c r="AW216" i="3" s="1"/>
  <c r="AV213" i="3"/>
  <c r="AV214" i="3" s="1"/>
  <c r="AV215" i="3" s="1"/>
  <c r="AV216" i="3" s="1"/>
  <c r="AV210" i="3"/>
  <c r="AV211" i="3" s="1"/>
  <c r="AT210" i="3"/>
  <c r="AT211" i="3" s="1"/>
  <c r="BC209" i="3"/>
  <c r="BC210" i="3" s="1"/>
  <c r="BC211" i="3" s="1"/>
  <c r="BB209" i="3"/>
  <c r="BB210" i="3" s="1"/>
  <c r="BB211" i="3" s="1"/>
  <c r="BA209" i="3"/>
  <c r="BA210" i="3" s="1"/>
  <c r="BA211" i="3" s="1"/>
  <c r="AZ209" i="3"/>
  <c r="AZ210" i="3" s="1"/>
  <c r="AZ211" i="3" s="1"/>
  <c r="AY209" i="3"/>
  <c r="AY210" i="3" s="1"/>
  <c r="AY211" i="3" s="1"/>
  <c r="AX209" i="3"/>
  <c r="AX210" i="3" s="1"/>
  <c r="AX211" i="3" s="1"/>
  <c r="AW209" i="3"/>
  <c r="AW210" i="3" s="1"/>
  <c r="AW211" i="3" s="1"/>
  <c r="AV209" i="3"/>
  <c r="AU209" i="3"/>
  <c r="AU210" i="3" s="1"/>
  <c r="AU211" i="3" s="1"/>
  <c r="AT209" i="3"/>
  <c r="BC208" i="3"/>
  <c r="BB208" i="3"/>
  <c r="BA208" i="3"/>
  <c r="AZ208" i="3"/>
  <c r="AY208" i="3"/>
  <c r="AX208" i="3"/>
  <c r="AW208" i="3"/>
  <c r="AV208" i="3"/>
  <c r="AU208" i="3"/>
  <c r="AT208" i="3"/>
  <c r="BC207" i="3"/>
  <c r="BB207" i="3"/>
  <c r="BA207" i="3"/>
  <c r="AZ207" i="3"/>
  <c r="AY207" i="3"/>
  <c r="AX207" i="3"/>
  <c r="AW207" i="3"/>
  <c r="AV207" i="3"/>
  <c r="AU207" i="3"/>
  <c r="AT207" i="3"/>
  <c r="HO186" i="3"/>
  <c r="HN186" i="3"/>
  <c r="HM186" i="3"/>
  <c r="HL186" i="3"/>
  <c r="HK186" i="3"/>
  <c r="HJ186" i="3"/>
  <c r="HI186" i="3"/>
  <c r="HH186" i="3"/>
  <c r="HG186" i="3"/>
  <c r="HF186" i="3"/>
  <c r="HE186" i="3"/>
  <c r="HD186" i="3"/>
  <c r="HC186" i="3"/>
  <c r="HB186" i="3"/>
  <c r="HA186" i="3"/>
  <c r="GZ186" i="3"/>
  <c r="GY186" i="3"/>
  <c r="GX186" i="3"/>
  <c r="GW186" i="3"/>
  <c r="GV186" i="3"/>
  <c r="GU186" i="3"/>
  <c r="GT186" i="3"/>
  <c r="GS186" i="3"/>
  <c r="GR186" i="3"/>
  <c r="GQ186" i="3"/>
  <c r="GP186" i="3"/>
  <c r="GO186" i="3"/>
  <c r="GN186" i="3"/>
  <c r="GM186" i="3"/>
  <c r="GL186" i="3"/>
  <c r="GK186" i="3"/>
  <c r="GJ186" i="3"/>
  <c r="GI186" i="3"/>
  <c r="GH186" i="3"/>
  <c r="GG186" i="3"/>
  <c r="GF186" i="3"/>
  <c r="GE186" i="3"/>
  <c r="GD186" i="3"/>
  <c r="GC186" i="3"/>
  <c r="GB186" i="3"/>
  <c r="GA186" i="3"/>
  <c r="FZ186" i="3"/>
  <c r="FY186" i="3"/>
  <c r="FX186" i="3"/>
  <c r="FW186" i="3"/>
  <c r="FV186" i="3"/>
  <c r="FU186" i="3"/>
  <c r="FT186" i="3"/>
  <c r="FS186" i="3"/>
  <c r="FR186" i="3"/>
  <c r="FQ186" i="3"/>
  <c r="FP186" i="3"/>
  <c r="FO186" i="3"/>
  <c r="FN186" i="3"/>
  <c r="FM186" i="3"/>
  <c r="FL186" i="3"/>
  <c r="FK186" i="3"/>
  <c r="FJ186" i="3"/>
  <c r="FI186" i="3"/>
  <c r="FH186" i="3"/>
  <c r="FG186" i="3"/>
  <c r="FF186" i="3"/>
  <c r="FE186" i="3"/>
  <c r="FD186" i="3"/>
  <c r="FC186" i="3"/>
  <c r="FB186" i="3"/>
  <c r="FA186" i="3"/>
  <c r="EZ186" i="3"/>
  <c r="EY186" i="3"/>
  <c r="EX186" i="3"/>
  <c r="EW186" i="3"/>
  <c r="EV186" i="3"/>
  <c r="EU186" i="3"/>
  <c r="ET186" i="3"/>
  <c r="ES186" i="3"/>
  <c r="ER186" i="3"/>
  <c r="EQ186" i="3"/>
  <c r="EP186" i="3"/>
  <c r="EO186" i="3"/>
  <c r="EN186" i="3"/>
  <c r="EM186" i="3"/>
  <c r="EL186" i="3"/>
  <c r="EK186" i="3"/>
  <c r="EJ186" i="3"/>
  <c r="EI186" i="3"/>
  <c r="EH186" i="3"/>
  <c r="EG186" i="3"/>
  <c r="EF186" i="3"/>
  <c r="EE186" i="3"/>
  <c r="ED186" i="3"/>
  <c r="EC186" i="3"/>
  <c r="EB186" i="3"/>
  <c r="EA186" i="3"/>
  <c r="DZ186" i="3"/>
  <c r="DY186" i="3"/>
  <c r="DX186" i="3"/>
  <c r="DW186" i="3"/>
  <c r="DV186" i="3"/>
  <c r="DU186" i="3"/>
  <c r="DT186" i="3"/>
  <c r="DS186" i="3"/>
  <c r="DR186" i="3"/>
  <c r="DQ186" i="3"/>
  <c r="DP186" i="3"/>
  <c r="DO186" i="3"/>
  <c r="DN186" i="3"/>
  <c r="DM186" i="3"/>
  <c r="DL186" i="3"/>
  <c r="DK186" i="3"/>
  <c r="DJ186" i="3"/>
  <c r="DI186" i="3"/>
  <c r="DH186" i="3"/>
  <c r="DG186" i="3"/>
  <c r="DF186" i="3"/>
  <c r="DE186" i="3"/>
  <c r="DD186" i="3"/>
  <c r="DC186" i="3"/>
  <c r="DB186" i="3"/>
  <c r="DA186" i="3"/>
  <c r="CZ186" i="3"/>
  <c r="CY186" i="3"/>
  <c r="CX186" i="3"/>
  <c r="CW186" i="3"/>
  <c r="CV186" i="3"/>
  <c r="CU186" i="3"/>
  <c r="CT186" i="3"/>
  <c r="CS186" i="3"/>
  <c r="CR186" i="3"/>
  <c r="CQ186" i="3"/>
  <c r="CP186" i="3"/>
  <c r="CO186" i="3"/>
  <c r="CN186" i="3"/>
  <c r="CM186" i="3"/>
  <c r="CL186" i="3"/>
  <c r="CK186" i="3"/>
  <c r="CJ186" i="3"/>
  <c r="CI186" i="3"/>
  <c r="CH186" i="3"/>
  <c r="CG186" i="3"/>
  <c r="CF186" i="3"/>
  <c r="CE186" i="3"/>
  <c r="CD186" i="3"/>
  <c r="CC186" i="3"/>
  <c r="CB186" i="3"/>
  <c r="CA186" i="3"/>
  <c r="BZ186" i="3"/>
  <c r="BY186" i="3"/>
  <c r="BX186" i="3"/>
  <c r="BW186" i="3"/>
  <c r="BV186" i="3"/>
  <c r="BU186" i="3"/>
  <c r="BT186" i="3"/>
  <c r="BS186" i="3"/>
  <c r="BR186" i="3"/>
  <c r="BQ186" i="3"/>
  <c r="BP186" i="3"/>
  <c r="BO186" i="3"/>
  <c r="BN186" i="3"/>
  <c r="BM186" i="3"/>
  <c r="BL186" i="3"/>
  <c r="BK186" i="3"/>
  <c r="BJ186" i="3"/>
  <c r="BI186" i="3"/>
  <c r="BH186" i="3"/>
  <c r="BF186" i="3"/>
  <c r="BE186" i="3"/>
  <c r="BD186" i="3"/>
  <c r="BC186" i="3"/>
  <c r="BB186" i="3"/>
  <c r="BA186" i="3"/>
  <c r="AZ186" i="3"/>
  <c r="AY186" i="3"/>
  <c r="AX186" i="3"/>
  <c r="AW186" i="3"/>
  <c r="AV186" i="3"/>
  <c r="AU186" i="3"/>
  <c r="AT186" i="3"/>
  <c r="AS186" i="3"/>
  <c r="AR186" i="3"/>
  <c r="AQ186" i="3"/>
  <c r="AP186" i="3"/>
  <c r="AO186" i="3"/>
  <c r="AN186" i="3"/>
  <c r="AM186" i="3"/>
  <c r="AL186" i="3"/>
  <c r="AK186" i="3"/>
  <c r="AJ186" i="3"/>
  <c r="AI186" i="3"/>
  <c r="AH186" i="3"/>
  <c r="AG186" i="3"/>
  <c r="AF186" i="3"/>
  <c r="AE186" i="3"/>
  <c r="AD186" i="3"/>
  <c r="AC186" i="3"/>
  <c r="AB186" i="3"/>
  <c r="AA186" i="3"/>
  <c r="Z186" i="3"/>
  <c r="Y186" i="3"/>
  <c r="X186" i="3"/>
  <c r="W186" i="3"/>
  <c r="V186" i="3"/>
  <c r="U186" i="3"/>
  <c r="T186" i="3"/>
  <c r="S186" i="3"/>
  <c r="R186" i="3"/>
  <c r="Q186" i="3"/>
  <c r="P186" i="3"/>
  <c r="O186" i="3"/>
  <c r="N186" i="3"/>
  <c r="M186" i="3"/>
  <c r="L186" i="3"/>
  <c r="K186" i="3"/>
  <c r="J186" i="3"/>
  <c r="HO170" i="3"/>
  <c r="HN170" i="3"/>
  <c r="HM170" i="3"/>
  <c r="HL170" i="3"/>
  <c r="HK170" i="3"/>
  <c r="HJ170" i="3"/>
  <c r="HI170" i="3"/>
  <c r="HH170" i="3"/>
  <c r="HG170" i="3"/>
  <c r="HF170" i="3"/>
  <c r="HE170" i="3"/>
  <c r="HD170" i="3"/>
  <c r="HC170" i="3"/>
  <c r="HB170" i="3"/>
  <c r="HA170" i="3"/>
  <c r="GZ170" i="3"/>
  <c r="GY170" i="3"/>
  <c r="GX170" i="3"/>
  <c r="GW170" i="3"/>
  <c r="GV170" i="3"/>
  <c r="GU170" i="3"/>
  <c r="GT170" i="3"/>
  <c r="GS170" i="3"/>
  <c r="GR170" i="3"/>
  <c r="GQ170" i="3"/>
  <c r="GP170" i="3"/>
  <c r="GO170" i="3"/>
  <c r="GN170" i="3"/>
  <c r="GM170" i="3"/>
  <c r="GL170" i="3"/>
  <c r="GK170" i="3"/>
  <c r="GJ170" i="3"/>
  <c r="GI170" i="3"/>
  <c r="GH170" i="3"/>
  <c r="GG170" i="3"/>
  <c r="GF170" i="3"/>
  <c r="GE170" i="3"/>
  <c r="GD170" i="3"/>
  <c r="GC170" i="3"/>
  <c r="GB170" i="3"/>
  <c r="GA170" i="3"/>
  <c r="FZ170" i="3"/>
  <c r="FY170" i="3"/>
  <c r="FX170" i="3"/>
  <c r="FW170" i="3"/>
  <c r="FV170" i="3"/>
  <c r="FU170" i="3"/>
  <c r="FT170" i="3"/>
  <c r="FS170" i="3"/>
  <c r="FR170" i="3"/>
  <c r="FQ170" i="3"/>
  <c r="FP170" i="3"/>
  <c r="FO170" i="3"/>
  <c r="FN170" i="3"/>
  <c r="FM170" i="3"/>
  <c r="FL170" i="3"/>
  <c r="FK170" i="3"/>
  <c r="FJ170" i="3"/>
  <c r="FI170" i="3"/>
  <c r="FH170" i="3"/>
  <c r="FG170" i="3"/>
  <c r="FF170" i="3"/>
  <c r="FE170" i="3"/>
  <c r="FD170" i="3"/>
  <c r="FC170" i="3"/>
  <c r="FB170" i="3"/>
  <c r="FA170" i="3"/>
  <c r="EZ170" i="3"/>
  <c r="EY170" i="3"/>
  <c r="EX170" i="3"/>
  <c r="EW170" i="3"/>
  <c r="EV170" i="3"/>
  <c r="EU170" i="3"/>
  <c r="ET170" i="3"/>
  <c r="ES170" i="3"/>
  <c r="ER170" i="3"/>
  <c r="EQ170" i="3"/>
  <c r="EP170" i="3"/>
  <c r="EO170" i="3"/>
  <c r="EN170" i="3"/>
  <c r="EM170" i="3"/>
  <c r="EL170" i="3"/>
  <c r="EK170" i="3"/>
  <c r="EJ170" i="3"/>
  <c r="EI170" i="3"/>
  <c r="EH170" i="3"/>
  <c r="EG170" i="3"/>
  <c r="EF170" i="3"/>
  <c r="EE170" i="3"/>
  <c r="ED170" i="3"/>
  <c r="EC170" i="3"/>
  <c r="EB170" i="3"/>
  <c r="EA170" i="3"/>
  <c r="DZ170" i="3"/>
  <c r="DY170" i="3"/>
  <c r="DX170" i="3"/>
  <c r="DW170" i="3"/>
  <c r="DV170" i="3"/>
  <c r="DU170" i="3"/>
  <c r="DT170" i="3"/>
  <c r="DS170" i="3"/>
  <c r="DR170" i="3"/>
  <c r="DQ170" i="3"/>
  <c r="DP170" i="3"/>
  <c r="DO170" i="3"/>
  <c r="DN170" i="3"/>
  <c r="DM170" i="3"/>
  <c r="DL170" i="3"/>
  <c r="DK170" i="3"/>
  <c r="DJ170" i="3"/>
  <c r="DI170" i="3"/>
  <c r="DH170" i="3"/>
  <c r="DG170" i="3"/>
  <c r="DF170" i="3"/>
  <c r="DE170" i="3"/>
  <c r="DD170" i="3"/>
  <c r="DC170" i="3"/>
  <c r="DB170" i="3"/>
  <c r="DA170" i="3"/>
  <c r="CZ170" i="3"/>
  <c r="CY170" i="3"/>
  <c r="CX170" i="3"/>
  <c r="CW170" i="3"/>
  <c r="CV170" i="3"/>
  <c r="CU170" i="3"/>
  <c r="CT170" i="3"/>
  <c r="CS170" i="3"/>
  <c r="CR170" i="3"/>
  <c r="CQ170" i="3"/>
  <c r="CP170" i="3"/>
  <c r="CO170" i="3"/>
  <c r="CN170" i="3"/>
  <c r="CM170" i="3"/>
  <c r="CL170" i="3"/>
  <c r="CK170" i="3"/>
  <c r="CJ170" i="3"/>
  <c r="CI170" i="3"/>
  <c r="CH170" i="3"/>
  <c r="CG170" i="3"/>
  <c r="CF170" i="3"/>
  <c r="CE170" i="3"/>
  <c r="CD170" i="3"/>
  <c r="CC170" i="3"/>
  <c r="CB170" i="3"/>
  <c r="CA170" i="3"/>
  <c r="BZ170" i="3"/>
  <c r="BY170" i="3"/>
  <c r="BX170" i="3"/>
  <c r="BW170" i="3"/>
  <c r="BV170" i="3"/>
  <c r="BU170" i="3"/>
  <c r="BT170" i="3"/>
  <c r="BS170" i="3"/>
  <c r="BR170" i="3"/>
  <c r="BQ170" i="3"/>
  <c r="BP170" i="3"/>
  <c r="BO170" i="3"/>
  <c r="BN170" i="3"/>
  <c r="BM170" i="3"/>
  <c r="BL170" i="3"/>
  <c r="BK170" i="3"/>
  <c r="BJ170" i="3"/>
  <c r="BI170" i="3"/>
  <c r="BH170" i="3"/>
  <c r="BF170" i="3"/>
  <c r="BE170" i="3"/>
  <c r="BD170" i="3"/>
  <c r="BC170" i="3"/>
  <c r="BB170" i="3"/>
  <c r="BA170" i="3"/>
  <c r="AZ170" i="3"/>
  <c r="AY170" i="3"/>
  <c r="AX170" i="3"/>
  <c r="AW170" i="3"/>
  <c r="AV170" i="3"/>
  <c r="AU170" i="3"/>
  <c r="AT170" i="3"/>
  <c r="AS170" i="3"/>
  <c r="AR170" i="3"/>
  <c r="AQ170" i="3"/>
  <c r="AP170" i="3"/>
  <c r="AO170" i="3"/>
  <c r="AN170" i="3"/>
  <c r="AM170" i="3"/>
  <c r="AL170" i="3"/>
  <c r="AK170" i="3"/>
  <c r="AJ170" i="3"/>
  <c r="AI170" i="3"/>
  <c r="AH170" i="3"/>
  <c r="AG170" i="3"/>
  <c r="AF170" i="3"/>
  <c r="AE170" i="3"/>
  <c r="AD170" i="3"/>
  <c r="AC170" i="3"/>
  <c r="AB170" i="3"/>
  <c r="AA170" i="3"/>
  <c r="Z170" i="3"/>
  <c r="Y170" i="3"/>
  <c r="X170" i="3"/>
  <c r="W170" i="3"/>
  <c r="V170" i="3"/>
  <c r="U170" i="3"/>
  <c r="T170" i="3"/>
  <c r="S170" i="3"/>
  <c r="R170" i="3"/>
  <c r="Q170" i="3"/>
  <c r="P170" i="3"/>
  <c r="O170" i="3"/>
  <c r="N170" i="3"/>
  <c r="M170" i="3"/>
  <c r="L170" i="3"/>
  <c r="K170" i="3"/>
  <c r="J170" i="3"/>
  <c r="BC157" i="3"/>
  <c r="BC158" i="3" s="1"/>
  <c r="BC159" i="3" s="1"/>
  <c r="BB157" i="3"/>
  <c r="BB158" i="3" s="1"/>
  <c r="BB159" i="3" s="1"/>
  <c r="BA157" i="3"/>
  <c r="BA158" i="3" s="1"/>
  <c r="BA159" i="3" s="1"/>
  <c r="AZ157" i="3"/>
  <c r="AZ158" i="3" s="1"/>
  <c r="AZ159" i="3" s="1"/>
  <c r="AY157" i="3"/>
  <c r="AY158" i="3" s="1"/>
  <c r="AY159" i="3" s="1"/>
  <c r="AX157" i="3"/>
  <c r="AX158" i="3" s="1"/>
  <c r="AX159" i="3" s="1"/>
  <c r="AW157" i="3"/>
  <c r="AW158" i="3" s="1"/>
  <c r="AW159" i="3" s="1"/>
  <c r="AV157" i="3"/>
  <c r="AV158" i="3" s="1"/>
  <c r="AV159" i="3" s="1"/>
  <c r="AU157" i="3"/>
  <c r="AU158" i="3" s="1"/>
  <c r="AU159" i="3" s="1"/>
  <c r="AT157" i="3"/>
  <c r="AT158" i="3" s="1"/>
  <c r="AT159" i="3" s="1"/>
  <c r="AS157" i="3"/>
  <c r="AS158" i="3" s="1"/>
  <c r="AS159" i="3" s="1"/>
  <c r="AR157" i="3"/>
  <c r="AR158" i="3" s="1"/>
  <c r="AR159" i="3" s="1"/>
  <c r="AW155" i="3"/>
  <c r="BB153" i="3"/>
  <c r="BB155" i="3" s="1"/>
  <c r="AW153" i="3"/>
  <c r="AW154" i="3" s="1"/>
  <c r="AV153" i="3"/>
  <c r="AV155" i="3" s="1"/>
  <c r="BC152" i="3"/>
  <c r="BC153" i="3" s="1"/>
  <c r="BB152" i="3"/>
  <c r="BA152" i="3"/>
  <c r="BA153" i="3" s="1"/>
  <c r="AZ152" i="3"/>
  <c r="AZ153" i="3" s="1"/>
  <c r="AY152" i="3"/>
  <c r="AY153" i="3" s="1"/>
  <c r="AX152" i="3"/>
  <c r="AX153" i="3" s="1"/>
  <c r="AW152" i="3"/>
  <c r="AV152" i="3"/>
  <c r="AU152" i="3"/>
  <c r="AU153" i="3" s="1"/>
  <c r="AU154" i="3" s="1"/>
  <c r="AT152" i="3"/>
  <c r="AT153" i="3" s="1"/>
  <c r="AS152" i="3"/>
  <c r="AS153" i="3" s="1"/>
  <c r="AT150" i="3"/>
  <c r="BA149" i="3"/>
  <c r="BA150" i="3" s="1"/>
  <c r="AU149" i="3"/>
  <c r="AU150" i="3" s="1"/>
  <c r="AT149" i="3"/>
  <c r="BC148" i="3"/>
  <c r="BC149" i="3" s="1"/>
  <c r="BC150" i="3" s="1"/>
  <c r="BB148" i="3"/>
  <c r="BB149" i="3" s="1"/>
  <c r="BB150" i="3" s="1"/>
  <c r="BA148" i="3"/>
  <c r="AZ148" i="3"/>
  <c r="AZ149" i="3" s="1"/>
  <c r="AZ150" i="3" s="1"/>
  <c r="AY148" i="3"/>
  <c r="AY149" i="3" s="1"/>
  <c r="AY150" i="3" s="1"/>
  <c r="AX148" i="3"/>
  <c r="AX149" i="3" s="1"/>
  <c r="AX150" i="3" s="1"/>
  <c r="AW148" i="3"/>
  <c r="AW149" i="3" s="1"/>
  <c r="AW150" i="3" s="1"/>
  <c r="AV148" i="3"/>
  <c r="AV149" i="3" s="1"/>
  <c r="AV150" i="3" s="1"/>
  <c r="AU148" i="3"/>
  <c r="AT148" i="3"/>
  <c r="AS148" i="3"/>
  <c r="AS149" i="3" s="1"/>
  <c r="AS150" i="3" s="1"/>
  <c r="BC147" i="3"/>
  <c r="BB147" i="3"/>
  <c r="BA147" i="3"/>
  <c r="AZ147" i="3"/>
  <c r="AY147" i="3"/>
  <c r="AX147" i="3"/>
  <c r="AW147" i="3"/>
  <c r="AV147" i="3"/>
  <c r="AU147" i="3"/>
  <c r="AT147" i="3"/>
  <c r="AS147" i="3"/>
  <c r="BC146" i="3"/>
  <c r="BB146" i="3"/>
  <c r="BA146" i="3"/>
  <c r="AZ146" i="3"/>
  <c r="AY146" i="3"/>
  <c r="AX146" i="3"/>
  <c r="AW146" i="3"/>
  <c r="AV146" i="3"/>
  <c r="AU146" i="3"/>
  <c r="AT146" i="3"/>
  <c r="AS146" i="3"/>
  <c r="HO122" i="3"/>
  <c r="HN122" i="3"/>
  <c r="HM122" i="3"/>
  <c r="HL122" i="3"/>
  <c r="HK122" i="3"/>
  <c r="HJ122" i="3"/>
  <c r="HI122" i="3"/>
  <c r="HH122" i="3"/>
  <c r="HG122" i="3"/>
  <c r="HF122" i="3"/>
  <c r="HE122" i="3"/>
  <c r="HD122" i="3"/>
  <c r="HC122" i="3"/>
  <c r="HB122" i="3"/>
  <c r="HA122" i="3"/>
  <c r="GZ122" i="3"/>
  <c r="GY122" i="3"/>
  <c r="GX122" i="3"/>
  <c r="GW122" i="3"/>
  <c r="GV122" i="3"/>
  <c r="GU122" i="3"/>
  <c r="GT122" i="3"/>
  <c r="GS122" i="3"/>
  <c r="GR122" i="3"/>
  <c r="GQ122" i="3"/>
  <c r="GP122" i="3"/>
  <c r="GO122" i="3"/>
  <c r="GN122" i="3"/>
  <c r="GM122" i="3"/>
  <c r="GL122" i="3"/>
  <c r="GK122" i="3"/>
  <c r="GJ122" i="3"/>
  <c r="GI122" i="3"/>
  <c r="GH122" i="3"/>
  <c r="GG122" i="3"/>
  <c r="GF122" i="3"/>
  <c r="GE122" i="3"/>
  <c r="GD122" i="3"/>
  <c r="GC122" i="3"/>
  <c r="GB122" i="3"/>
  <c r="GA122" i="3"/>
  <c r="FZ122" i="3"/>
  <c r="FY122" i="3"/>
  <c r="FX122" i="3"/>
  <c r="FW122" i="3"/>
  <c r="FV122" i="3"/>
  <c r="FU122" i="3"/>
  <c r="FT122" i="3"/>
  <c r="FS122" i="3"/>
  <c r="FR122" i="3"/>
  <c r="FQ122" i="3"/>
  <c r="FP122" i="3"/>
  <c r="FO122" i="3"/>
  <c r="FN122" i="3"/>
  <c r="FM122" i="3"/>
  <c r="FL122" i="3"/>
  <c r="FK122" i="3"/>
  <c r="FJ122" i="3"/>
  <c r="FI122" i="3"/>
  <c r="FH122" i="3"/>
  <c r="FG122" i="3"/>
  <c r="FF122" i="3"/>
  <c r="FE122" i="3"/>
  <c r="FD122" i="3"/>
  <c r="FC122" i="3"/>
  <c r="FB122" i="3"/>
  <c r="FA122" i="3"/>
  <c r="EZ122" i="3"/>
  <c r="EY122" i="3"/>
  <c r="EX122" i="3"/>
  <c r="EW122" i="3"/>
  <c r="EV122" i="3"/>
  <c r="EU122" i="3"/>
  <c r="ET122" i="3"/>
  <c r="ES122" i="3"/>
  <c r="ER122" i="3"/>
  <c r="EQ122" i="3"/>
  <c r="EP122" i="3"/>
  <c r="EO122" i="3"/>
  <c r="EN122" i="3"/>
  <c r="EM122" i="3"/>
  <c r="EL122" i="3"/>
  <c r="EK122" i="3"/>
  <c r="EJ122" i="3"/>
  <c r="EI122" i="3"/>
  <c r="EH122" i="3"/>
  <c r="EG122" i="3"/>
  <c r="EF122" i="3"/>
  <c r="EE122" i="3"/>
  <c r="ED122" i="3"/>
  <c r="EC122" i="3"/>
  <c r="EB122" i="3"/>
  <c r="EA122" i="3"/>
  <c r="DZ122" i="3"/>
  <c r="DY122" i="3"/>
  <c r="DX122" i="3"/>
  <c r="DW122" i="3"/>
  <c r="DV122" i="3"/>
  <c r="DU122" i="3"/>
  <c r="DT122" i="3"/>
  <c r="DS122" i="3"/>
  <c r="DR122" i="3"/>
  <c r="DQ122" i="3"/>
  <c r="DP122" i="3"/>
  <c r="DO122" i="3"/>
  <c r="DN122" i="3"/>
  <c r="DM122" i="3"/>
  <c r="DL122" i="3"/>
  <c r="DK122" i="3"/>
  <c r="DJ122" i="3"/>
  <c r="DI122" i="3"/>
  <c r="DH122" i="3"/>
  <c r="DG122" i="3"/>
  <c r="DF122" i="3"/>
  <c r="DE122" i="3"/>
  <c r="DD122" i="3"/>
  <c r="DC122" i="3"/>
  <c r="DB122" i="3"/>
  <c r="DA122" i="3"/>
  <c r="CZ122" i="3"/>
  <c r="CY122" i="3"/>
  <c r="CX122" i="3"/>
  <c r="CW122" i="3"/>
  <c r="CV122" i="3"/>
  <c r="CU122" i="3"/>
  <c r="CT122" i="3"/>
  <c r="CS122" i="3"/>
  <c r="CR122" i="3"/>
  <c r="CQ122" i="3"/>
  <c r="CP122" i="3"/>
  <c r="CO122" i="3"/>
  <c r="CN122" i="3"/>
  <c r="CM122" i="3"/>
  <c r="CL122" i="3"/>
  <c r="CK122" i="3"/>
  <c r="CJ122" i="3"/>
  <c r="CI122" i="3"/>
  <c r="CH122" i="3"/>
  <c r="CG122" i="3"/>
  <c r="CF122" i="3"/>
  <c r="CE122" i="3"/>
  <c r="CD122" i="3"/>
  <c r="CC122" i="3"/>
  <c r="CB122" i="3"/>
  <c r="CA122" i="3"/>
  <c r="BZ122" i="3"/>
  <c r="BY122" i="3"/>
  <c r="BX122" i="3"/>
  <c r="BW122" i="3"/>
  <c r="BV122" i="3"/>
  <c r="BU122" i="3"/>
  <c r="BT122" i="3"/>
  <c r="BS122" i="3"/>
  <c r="BR122" i="3"/>
  <c r="BQ122" i="3"/>
  <c r="BP122" i="3"/>
  <c r="BO122" i="3"/>
  <c r="BN122" i="3"/>
  <c r="BM122" i="3"/>
  <c r="BL122" i="3"/>
  <c r="BK122" i="3"/>
  <c r="BJ122" i="3"/>
  <c r="BI122" i="3"/>
  <c r="BH122" i="3"/>
  <c r="BF122" i="3"/>
  <c r="BE122" i="3"/>
  <c r="BD122" i="3"/>
  <c r="BC122" i="3"/>
  <c r="BB122" i="3"/>
  <c r="BA122" i="3"/>
  <c r="AZ122" i="3"/>
  <c r="AY122" i="3"/>
  <c r="AX122" i="3"/>
  <c r="AW122" i="3"/>
  <c r="AV122" i="3"/>
  <c r="AU122" i="3"/>
  <c r="AT122" i="3"/>
  <c r="AS122" i="3"/>
  <c r="AR122" i="3"/>
  <c r="AQ122" i="3"/>
  <c r="AP122" i="3"/>
  <c r="AO122" i="3"/>
  <c r="AN122" i="3"/>
  <c r="AM122" i="3"/>
  <c r="AL122" i="3"/>
  <c r="AK122" i="3"/>
  <c r="AJ122" i="3"/>
  <c r="AI122" i="3"/>
  <c r="AH122" i="3"/>
  <c r="AG122" i="3"/>
  <c r="AF122" i="3"/>
  <c r="AE122" i="3"/>
  <c r="AD122" i="3"/>
  <c r="AC122" i="3"/>
  <c r="AB122" i="3"/>
  <c r="AA122" i="3"/>
  <c r="Z122" i="3"/>
  <c r="Y122" i="3"/>
  <c r="X122" i="3"/>
  <c r="W122" i="3"/>
  <c r="V122" i="3"/>
  <c r="U122" i="3"/>
  <c r="T122" i="3"/>
  <c r="S122" i="3"/>
  <c r="R122" i="3"/>
  <c r="Q122" i="3"/>
  <c r="P122" i="3"/>
  <c r="O122" i="3"/>
  <c r="N122" i="3"/>
  <c r="M122" i="3"/>
  <c r="L122" i="3"/>
  <c r="K122" i="3"/>
  <c r="J122" i="3"/>
  <c r="BC110" i="3"/>
  <c r="BC111" i="3" s="1"/>
  <c r="BC112" i="3" s="1"/>
  <c r="BB110" i="3"/>
  <c r="BB111" i="3" s="1"/>
  <c r="BB112" i="3" s="1"/>
  <c r="BA110" i="3"/>
  <c r="BA111" i="3" s="1"/>
  <c r="BA112" i="3" s="1"/>
  <c r="AZ110" i="3"/>
  <c r="AZ111" i="3" s="1"/>
  <c r="AZ112" i="3" s="1"/>
  <c r="AY110" i="3"/>
  <c r="AY111" i="3" s="1"/>
  <c r="AY112" i="3" s="1"/>
  <c r="AX110" i="3"/>
  <c r="AX111" i="3" s="1"/>
  <c r="AX112" i="3" s="1"/>
  <c r="AW110" i="3"/>
  <c r="AW111" i="3" s="1"/>
  <c r="AW112" i="3" s="1"/>
  <c r="AV110" i="3"/>
  <c r="AV111" i="3" s="1"/>
  <c r="AV112" i="3" s="1"/>
  <c r="AU110" i="3"/>
  <c r="AU111" i="3" s="1"/>
  <c r="AU112" i="3" s="1"/>
  <c r="AT110" i="3"/>
  <c r="AT111" i="3" s="1"/>
  <c r="AT112" i="3" s="1"/>
  <c r="AS110" i="3"/>
  <c r="AS111" i="3" s="1"/>
  <c r="AS112" i="3" s="1"/>
  <c r="AR110" i="3"/>
  <c r="AR111" i="3" s="1"/>
  <c r="AR112" i="3" s="1"/>
  <c r="AQ110" i="3"/>
  <c r="AQ111" i="3" s="1"/>
  <c r="AQ112" i="3" s="1"/>
  <c r="AX108" i="3"/>
  <c r="AV108" i="3"/>
  <c r="BC107" i="3"/>
  <c r="BC108" i="3" s="1"/>
  <c r="BB107" i="3"/>
  <c r="BB108" i="3" s="1"/>
  <c r="BA107" i="3"/>
  <c r="BA108" i="3" s="1"/>
  <c r="AZ107" i="3"/>
  <c r="AZ108" i="3" s="1"/>
  <c r="AY107" i="3"/>
  <c r="AY108" i="3" s="1"/>
  <c r="AX107" i="3"/>
  <c r="AW107" i="3"/>
  <c r="AW108" i="3" s="1"/>
  <c r="AV107" i="3"/>
  <c r="AU107" i="3"/>
  <c r="AU108" i="3" s="1"/>
  <c r="AT107" i="3"/>
  <c r="AT108" i="3" s="1"/>
  <c r="AS107" i="3"/>
  <c r="AS108" i="3" s="1"/>
  <c r="AY106" i="3"/>
  <c r="BC105" i="3"/>
  <c r="BC106" i="3" s="1"/>
  <c r="BB105" i="3"/>
  <c r="BB106" i="3" s="1"/>
  <c r="BA105" i="3"/>
  <c r="BA106" i="3" s="1"/>
  <c r="AZ105" i="3"/>
  <c r="AZ106" i="3" s="1"/>
  <c r="AY105" i="3"/>
  <c r="AX105" i="3"/>
  <c r="AX106" i="3" s="1"/>
  <c r="AW105" i="3"/>
  <c r="AW106" i="3" s="1"/>
  <c r="AV103" i="3"/>
  <c r="AU103" i="3"/>
  <c r="AT103" i="3"/>
  <c r="AW102" i="3"/>
  <c r="AW103" i="3" s="1"/>
  <c r="BC101" i="3"/>
  <c r="BC102" i="3" s="1"/>
  <c r="BC103" i="3" s="1"/>
  <c r="BB101" i="3"/>
  <c r="BB102" i="3" s="1"/>
  <c r="BB103" i="3" s="1"/>
  <c r="BA101" i="3"/>
  <c r="BA102" i="3" s="1"/>
  <c r="BA103" i="3" s="1"/>
  <c r="AZ101" i="3"/>
  <c r="AZ102" i="3" s="1"/>
  <c r="AZ103" i="3" s="1"/>
  <c r="AY101" i="3"/>
  <c r="AY102" i="3" s="1"/>
  <c r="AY103" i="3" s="1"/>
  <c r="AX101" i="3"/>
  <c r="AX102" i="3" s="1"/>
  <c r="AX103" i="3" s="1"/>
  <c r="AW101" i="3"/>
  <c r="AV101" i="3"/>
  <c r="AU101" i="3"/>
  <c r="AT101" i="3"/>
  <c r="BC100" i="3"/>
  <c r="BB100" i="3"/>
  <c r="BA100" i="3"/>
  <c r="AZ100" i="3"/>
  <c r="AY100" i="3"/>
  <c r="AX100" i="3"/>
  <c r="AW100" i="3"/>
  <c r="AV100" i="3"/>
  <c r="AU100" i="3"/>
  <c r="AT100" i="3"/>
  <c r="BC99" i="3"/>
  <c r="BB99" i="3"/>
  <c r="BA99" i="3"/>
  <c r="AZ99" i="3"/>
  <c r="AY99" i="3"/>
  <c r="AX99" i="3"/>
  <c r="AW99" i="3"/>
  <c r="AV99" i="3"/>
  <c r="AU99" i="3"/>
  <c r="AT99" i="3"/>
  <c r="HO75" i="3"/>
  <c r="HN75" i="3"/>
  <c r="HM75" i="3"/>
  <c r="HL75" i="3"/>
  <c r="HK75" i="3"/>
  <c r="HJ75" i="3"/>
  <c r="HI75" i="3"/>
  <c r="HH75" i="3"/>
  <c r="HG75" i="3"/>
  <c r="HF75" i="3"/>
  <c r="HE75" i="3"/>
  <c r="HD75" i="3"/>
  <c r="HC75" i="3"/>
  <c r="HB75" i="3"/>
  <c r="HA75" i="3"/>
  <c r="GZ75" i="3"/>
  <c r="GY75" i="3"/>
  <c r="GX75" i="3"/>
  <c r="GW75" i="3"/>
  <c r="GV75" i="3"/>
  <c r="GU75" i="3"/>
  <c r="GT75" i="3"/>
  <c r="GS75" i="3"/>
  <c r="GR75" i="3"/>
  <c r="GQ75" i="3"/>
  <c r="GP75" i="3"/>
  <c r="GO75" i="3"/>
  <c r="GN75" i="3"/>
  <c r="GM75" i="3"/>
  <c r="GL75" i="3"/>
  <c r="GK75" i="3"/>
  <c r="GJ75" i="3"/>
  <c r="GI75" i="3"/>
  <c r="GH75" i="3"/>
  <c r="GG75" i="3"/>
  <c r="GF75" i="3"/>
  <c r="GE75" i="3"/>
  <c r="GD75" i="3"/>
  <c r="GC75" i="3"/>
  <c r="GB75" i="3"/>
  <c r="GA75" i="3"/>
  <c r="FZ75" i="3"/>
  <c r="FY75" i="3"/>
  <c r="FX75" i="3"/>
  <c r="FW75" i="3"/>
  <c r="FV75" i="3"/>
  <c r="FU75" i="3"/>
  <c r="FT75" i="3"/>
  <c r="FS75" i="3"/>
  <c r="FR75" i="3"/>
  <c r="FQ75" i="3"/>
  <c r="FP75" i="3"/>
  <c r="FO75" i="3"/>
  <c r="FN75" i="3"/>
  <c r="FM75" i="3"/>
  <c r="FL75" i="3"/>
  <c r="FK75" i="3"/>
  <c r="FJ75" i="3"/>
  <c r="FI75" i="3"/>
  <c r="FH75" i="3"/>
  <c r="FG75" i="3"/>
  <c r="FF75" i="3"/>
  <c r="FE75" i="3"/>
  <c r="FD75" i="3"/>
  <c r="FC75" i="3"/>
  <c r="FB75" i="3"/>
  <c r="FA75" i="3"/>
  <c r="EZ75" i="3"/>
  <c r="EY75" i="3"/>
  <c r="EX75" i="3"/>
  <c r="EW75" i="3"/>
  <c r="EV75" i="3"/>
  <c r="EU75" i="3"/>
  <c r="ET75" i="3"/>
  <c r="ES75" i="3"/>
  <c r="ER75" i="3"/>
  <c r="EQ75" i="3"/>
  <c r="EP75" i="3"/>
  <c r="EO75" i="3"/>
  <c r="EN75" i="3"/>
  <c r="EM75" i="3"/>
  <c r="EL75" i="3"/>
  <c r="EK75" i="3"/>
  <c r="EJ75" i="3"/>
  <c r="EI75" i="3"/>
  <c r="EH75" i="3"/>
  <c r="EG75" i="3"/>
  <c r="EF75" i="3"/>
  <c r="EE75" i="3"/>
  <c r="ED75" i="3"/>
  <c r="EC75" i="3"/>
  <c r="EB75" i="3"/>
  <c r="EA75" i="3"/>
  <c r="DZ75" i="3"/>
  <c r="DY75" i="3"/>
  <c r="DX75" i="3"/>
  <c r="DW75" i="3"/>
  <c r="DV75" i="3"/>
  <c r="DU75" i="3"/>
  <c r="DT75" i="3"/>
  <c r="DS75" i="3"/>
  <c r="DR75" i="3"/>
  <c r="DQ75" i="3"/>
  <c r="DP75" i="3"/>
  <c r="DO75" i="3"/>
  <c r="DN75" i="3"/>
  <c r="DM75" i="3"/>
  <c r="DL75" i="3"/>
  <c r="DK75" i="3"/>
  <c r="DJ75" i="3"/>
  <c r="DI75" i="3"/>
  <c r="DH75" i="3"/>
  <c r="DG75" i="3"/>
  <c r="DF75" i="3"/>
  <c r="DE75" i="3"/>
  <c r="DD75" i="3"/>
  <c r="DC75" i="3"/>
  <c r="DB75" i="3"/>
  <c r="DA75" i="3"/>
  <c r="CZ75" i="3"/>
  <c r="CY75" i="3"/>
  <c r="CX75" i="3"/>
  <c r="CW75" i="3"/>
  <c r="CV75" i="3"/>
  <c r="CU75" i="3"/>
  <c r="CT75" i="3"/>
  <c r="CS75" i="3"/>
  <c r="CR75" i="3"/>
  <c r="CQ75" i="3"/>
  <c r="CP75" i="3"/>
  <c r="CO75" i="3"/>
  <c r="CN75" i="3"/>
  <c r="CM75" i="3"/>
  <c r="CL75" i="3"/>
  <c r="CK75" i="3"/>
  <c r="CJ75" i="3"/>
  <c r="CI75" i="3"/>
  <c r="CH75" i="3"/>
  <c r="CG75" i="3"/>
  <c r="CF75" i="3"/>
  <c r="CE75" i="3"/>
  <c r="CD75" i="3"/>
  <c r="CC75" i="3"/>
  <c r="CB75" i="3"/>
  <c r="CA75" i="3"/>
  <c r="BZ75" i="3"/>
  <c r="BY75" i="3"/>
  <c r="BX75" i="3"/>
  <c r="BW75" i="3"/>
  <c r="BV75" i="3"/>
  <c r="BU75" i="3"/>
  <c r="BT75" i="3"/>
  <c r="BS75" i="3"/>
  <c r="BR75" i="3"/>
  <c r="BQ75" i="3"/>
  <c r="BP75" i="3"/>
  <c r="BO75" i="3"/>
  <c r="BN75" i="3"/>
  <c r="BM75" i="3"/>
  <c r="BL75" i="3"/>
  <c r="BK75" i="3"/>
  <c r="BJ75" i="3"/>
  <c r="BI75" i="3"/>
  <c r="BH75" i="3"/>
  <c r="BF75" i="3"/>
  <c r="BE75" i="3"/>
  <c r="BD75" i="3"/>
  <c r="BC75" i="3"/>
  <c r="BB75" i="3"/>
  <c r="BA75" i="3"/>
  <c r="AZ75" i="3"/>
  <c r="AY75" i="3"/>
  <c r="AX75" i="3"/>
  <c r="AW75" i="3"/>
  <c r="AV75" i="3"/>
  <c r="AU75" i="3"/>
  <c r="AT75" i="3"/>
  <c r="AS75" i="3"/>
  <c r="AR75" i="3"/>
  <c r="AQ75" i="3"/>
  <c r="AP75" i="3"/>
  <c r="AO75" i="3"/>
  <c r="AN75" i="3"/>
  <c r="AM75" i="3"/>
  <c r="AL75" i="3"/>
  <c r="AK75" i="3"/>
  <c r="AJ75" i="3"/>
  <c r="AI75" i="3"/>
  <c r="AH75" i="3"/>
  <c r="AG75" i="3"/>
  <c r="AF75" i="3"/>
  <c r="AE75" i="3"/>
  <c r="AD75" i="3"/>
  <c r="AC75" i="3"/>
  <c r="AB75" i="3"/>
  <c r="AA75" i="3"/>
  <c r="Z75" i="3"/>
  <c r="Y75" i="3"/>
  <c r="X75" i="3"/>
  <c r="W75" i="3"/>
  <c r="V75" i="3"/>
  <c r="U75" i="3"/>
  <c r="T75" i="3"/>
  <c r="S75" i="3"/>
  <c r="R75" i="3"/>
  <c r="Q75" i="3"/>
  <c r="P75" i="3"/>
  <c r="O75" i="3"/>
  <c r="N75" i="3"/>
  <c r="M75" i="3"/>
  <c r="L75" i="3"/>
  <c r="K75" i="3"/>
  <c r="J75" i="3"/>
  <c r="AX64" i="3"/>
  <c r="AX65" i="3" s="1"/>
  <c r="BC63" i="3"/>
  <c r="BC64" i="3" s="1"/>
  <c r="BC65" i="3" s="1"/>
  <c r="BB63" i="3"/>
  <c r="BB64" i="3" s="1"/>
  <c r="BB65" i="3" s="1"/>
  <c r="BA63" i="3"/>
  <c r="BA64" i="3" s="1"/>
  <c r="BA65" i="3" s="1"/>
  <c r="AZ63" i="3"/>
  <c r="AZ64" i="3" s="1"/>
  <c r="AZ65" i="3" s="1"/>
  <c r="AY63" i="3"/>
  <c r="AY64" i="3" s="1"/>
  <c r="AY65" i="3" s="1"/>
  <c r="AX63" i="3"/>
  <c r="AW63" i="3"/>
  <c r="AW64" i="3" s="1"/>
  <c r="AW65" i="3" s="1"/>
  <c r="AV63" i="3"/>
  <c r="AV64" i="3" s="1"/>
  <c r="AV65" i="3" s="1"/>
  <c r="AU63" i="3"/>
  <c r="AU64" i="3" s="1"/>
  <c r="AU65" i="3" s="1"/>
  <c r="AT63" i="3"/>
  <c r="AT64" i="3" s="1"/>
  <c r="AT65" i="3" s="1"/>
  <c r="AS63" i="3"/>
  <c r="AS64" i="3" s="1"/>
  <c r="AS65" i="3" s="1"/>
  <c r="BA61" i="3"/>
  <c r="BC60" i="3"/>
  <c r="BC61" i="3" s="1"/>
  <c r="BB60" i="3"/>
  <c r="BB61" i="3" s="1"/>
  <c r="BA60" i="3"/>
  <c r="AZ60" i="3"/>
  <c r="AZ61" i="3" s="1"/>
  <c r="AY60" i="3"/>
  <c r="AY61" i="3" s="1"/>
  <c r="AX60" i="3"/>
  <c r="AX61" i="3" s="1"/>
  <c r="AW60" i="3"/>
  <c r="AW61" i="3" s="1"/>
  <c r="AV60" i="3"/>
  <c r="AV61" i="3" s="1"/>
  <c r="AU60" i="3"/>
  <c r="AU61" i="3" s="1"/>
  <c r="AT60" i="3"/>
  <c r="AT61" i="3" s="1"/>
  <c r="AS60" i="3"/>
  <c r="AS61" i="3" s="1"/>
  <c r="AR60" i="3"/>
  <c r="AR61" i="3" s="1"/>
  <c r="AQ60" i="3"/>
  <c r="AQ61" i="3" s="1"/>
  <c r="AO60" i="3"/>
  <c r="AO61" i="3" s="1"/>
  <c r="AW59" i="3"/>
  <c r="BC58" i="3"/>
  <c r="BC59" i="3" s="1"/>
  <c r="BB58" i="3"/>
  <c r="BB59" i="3" s="1"/>
  <c r="BA58" i="3"/>
  <c r="BA59" i="3" s="1"/>
  <c r="AZ58" i="3"/>
  <c r="AZ59" i="3" s="1"/>
  <c r="AY58" i="3"/>
  <c r="AY59" i="3" s="1"/>
  <c r="AX58" i="3"/>
  <c r="AX59" i="3" s="1"/>
  <c r="AW58" i="3"/>
  <c r="AV58" i="3"/>
  <c r="AV59" i="3" s="1"/>
  <c r="AU58" i="3"/>
  <c r="AU59" i="3" s="1"/>
  <c r="AT58" i="3"/>
  <c r="AT59" i="3" s="1"/>
  <c r="AS58" i="3"/>
  <c r="AS59" i="3" s="1"/>
  <c r="AR58" i="3"/>
  <c r="AR59" i="3" s="1"/>
  <c r="AQ58" i="3"/>
  <c r="AQ59" i="3" s="1"/>
  <c r="AO58" i="3"/>
  <c r="AO59" i="3" s="1"/>
  <c r="BA56" i="3"/>
  <c r="BC55" i="3"/>
  <c r="BC56" i="3" s="1"/>
  <c r="BB55" i="3"/>
  <c r="BB56" i="3" s="1"/>
  <c r="BA55" i="3"/>
  <c r="AZ55" i="3"/>
  <c r="AZ56" i="3" s="1"/>
  <c r="AY55" i="3"/>
  <c r="AY56" i="3" s="1"/>
  <c r="AX55" i="3"/>
  <c r="AX56" i="3" s="1"/>
  <c r="AW55" i="3"/>
  <c r="AW56" i="3" s="1"/>
  <c r="HO28" i="3"/>
  <c r="HN28" i="3"/>
  <c r="HM28" i="3"/>
  <c r="HL28" i="3"/>
  <c r="HK28" i="3"/>
  <c r="HJ28" i="3"/>
  <c r="HI28" i="3"/>
  <c r="HH28" i="3"/>
  <c r="HG28" i="3"/>
  <c r="HF28" i="3"/>
  <c r="HE28" i="3"/>
  <c r="HD28" i="3"/>
  <c r="HC28" i="3"/>
  <c r="HB28" i="3"/>
  <c r="HA28" i="3"/>
  <c r="GZ28" i="3"/>
  <c r="GY28" i="3"/>
  <c r="GX28" i="3"/>
  <c r="GW28" i="3"/>
  <c r="GV28" i="3"/>
  <c r="GU28" i="3"/>
  <c r="GT28" i="3"/>
  <c r="GS28" i="3"/>
  <c r="GR28" i="3"/>
  <c r="GQ28" i="3"/>
  <c r="GP28" i="3"/>
  <c r="GO28" i="3"/>
  <c r="GN28" i="3"/>
  <c r="GM28" i="3"/>
  <c r="GL28" i="3"/>
  <c r="GK28" i="3"/>
  <c r="GJ28" i="3"/>
  <c r="GI28" i="3"/>
  <c r="GH28" i="3"/>
  <c r="GG28" i="3"/>
  <c r="GF28" i="3"/>
  <c r="GE28" i="3"/>
  <c r="GD28" i="3"/>
  <c r="GC28" i="3"/>
  <c r="GB28" i="3"/>
  <c r="GA28" i="3"/>
  <c r="FZ28" i="3"/>
  <c r="FY28" i="3"/>
  <c r="FX28" i="3"/>
  <c r="FW28" i="3"/>
  <c r="FV28" i="3"/>
  <c r="FU28" i="3"/>
  <c r="FT28" i="3"/>
  <c r="FS28" i="3"/>
  <c r="FR28" i="3"/>
  <c r="FQ28" i="3"/>
  <c r="FP28" i="3"/>
  <c r="FO28" i="3"/>
  <c r="FN28" i="3"/>
  <c r="FM28" i="3"/>
  <c r="FL28" i="3"/>
  <c r="FK28" i="3"/>
  <c r="FJ28" i="3"/>
  <c r="FI28" i="3"/>
  <c r="FH28" i="3"/>
  <c r="FG28" i="3"/>
  <c r="FF28" i="3"/>
  <c r="FE28" i="3"/>
  <c r="FD28" i="3"/>
  <c r="FC28" i="3"/>
  <c r="FB28" i="3"/>
  <c r="FA28" i="3"/>
  <c r="EZ28" i="3"/>
  <c r="EY28" i="3"/>
  <c r="EX28" i="3"/>
  <c r="EW28" i="3"/>
  <c r="EV28" i="3"/>
  <c r="EU28" i="3"/>
  <c r="ET28" i="3"/>
  <c r="ES28" i="3"/>
  <c r="ER28" i="3"/>
  <c r="EQ28" i="3"/>
  <c r="EP28" i="3"/>
  <c r="EO28" i="3"/>
  <c r="EN28" i="3"/>
  <c r="EM28" i="3"/>
  <c r="EL28" i="3"/>
  <c r="EK28" i="3"/>
  <c r="EJ28" i="3"/>
  <c r="EI28" i="3"/>
  <c r="EH28" i="3"/>
  <c r="EG28" i="3"/>
  <c r="EF28" i="3"/>
  <c r="EE28" i="3"/>
  <c r="ED28" i="3"/>
  <c r="EC28" i="3"/>
  <c r="EB28" i="3"/>
  <c r="EA28" i="3"/>
  <c r="DZ28" i="3"/>
  <c r="DY28" i="3"/>
  <c r="DX28" i="3"/>
  <c r="DW28" i="3"/>
  <c r="DV28" i="3"/>
  <c r="DU28" i="3"/>
  <c r="DT28" i="3"/>
  <c r="DS28" i="3"/>
  <c r="DR28" i="3"/>
  <c r="DQ28" i="3"/>
  <c r="DP28" i="3"/>
  <c r="DO28" i="3"/>
  <c r="DN28" i="3"/>
  <c r="DM28" i="3"/>
  <c r="DL28" i="3"/>
  <c r="DK28" i="3"/>
  <c r="DJ28" i="3"/>
  <c r="DI28" i="3"/>
  <c r="DH28" i="3"/>
  <c r="DG28" i="3"/>
  <c r="DF28" i="3"/>
  <c r="DE28" i="3"/>
  <c r="DD28" i="3"/>
  <c r="DC28" i="3"/>
  <c r="DB28" i="3"/>
  <c r="DA28" i="3"/>
  <c r="CZ28" i="3"/>
  <c r="CY28" i="3"/>
  <c r="CX28" i="3"/>
  <c r="CW28" i="3"/>
  <c r="CV28" i="3"/>
  <c r="CU28" i="3"/>
  <c r="CT28" i="3"/>
  <c r="CS28" i="3"/>
  <c r="CR28" i="3"/>
  <c r="CQ28" i="3"/>
  <c r="CP28" i="3"/>
  <c r="CO28" i="3"/>
  <c r="CN28" i="3"/>
  <c r="CM28" i="3"/>
  <c r="CL28" i="3"/>
  <c r="CK28" i="3"/>
  <c r="CJ28" i="3"/>
  <c r="CI28" i="3"/>
  <c r="CH28" i="3"/>
  <c r="CG28" i="3"/>
  <c r="CF28" i="3"/>
  <c r="CE28" i="3"/>
  <c r="CD28" i="3"/>
  <c r="CC28" i="3"/>
  <c r="CB28" i="3"/>
  <c r="CA28" i="3"/>
  <c r="BZ28" i="3"/>
  <c r="BY28" i="3"/>
  <c r="BX28" i="3"/>
  <c r="BW28" i="3"/>
  <c r="BV28" i="3"/>
  <c r="BU28" i="3"/>
  <c r="BT28" i="3"/>
  <c r="BS28" i="3"/>
  <c r="BR28" i="3"/>
  <c r="BQ28" i="3"/>
  <c r="BP28" i="3"/>
  <c r="BO28" i="3"/>
  <c r="BN28" i="3"/>
  <c r="BM28" i="3"/>
  <c r="BL28" i="3"/>
  <c r="BK28" i="3"/>
  <c r="BJ28" i="3"/>
  <c r="BI28" i="3"/>
  <c r="BH28" i="3"/>
  <c r="BF28" i="3"/>
  <c r="BE28" i="3"/>
  <c r="BD28" i="3"/>
  <c r="BC28" i="3"/>
  <c r="BB28" i="3"/>
  <c r="BA28" i="3"/>
  <c r="AZ28" i="3"/>
  <c r="AY28" i="3"/>
  <c r="AX28" i="3"/>
  <c r="AW28" i="3"/>
  <c r="AV28" i="3"/>
  <c r="AU28" i="3"/>
  <c r="AT28" i="3"/>
  <c r="AS28" i="3"/>
  <c r="AR28" i="3"/>
  <c r="AQ28" i="3"/>
  <c r="AP28" i="3"/>
  <c r="AO28" i="3"/>
  <c r="AN28" i="3"/>
  <c r="AM28" i="3"/>
  <c r="AL28" i="3"/>
  <c r="AK28" i="3"/>
  <c r="AJ28" i="3"/>
  <c r="AI28" i="3"/>
  <c r="AH28" i="3"/>
  <c r="AG28" i="3"/>
  <c r="AF28" i="3"/>
  <c r="AE28" i="3"/>
  <c r="AD28" i="3"/>
  <c r="AC28" i="3"/>
  <c r="AB28" i="3"/>
  <c r="AA28" i="3"/>
  <c r="Z28" i="3"/>
  <c r="Y28" i="3"/>
  <c r="X28" i="3"/>
  <c r="W28" i="3"/>
  <c r="V28" i="3"/>
  <c r="U28" i="3"/>
  <c r="T28" i="3"/>
  <c r="S28" i="3"/>
  <c r="R28" i="3"/>
  <c r="Q28" i="3"/>
  <c r="P28" i="3"/>
  <c r="O28" i="3"/>
  <c r="N28" i="3"/>
  <c r="M28" i="3"/>
  <c r="L28" i="3"/>
  <c r="K28" i="3"/>
  <c r="J28" i="3"/>
  <c r="BC18" i="3"/>
  <c r="BC19" i="3" s="1"/>
  <c r="BC20" i="3" s="1"/>
  <c r="BB18" i="3"/>
  <c r="BB19" i="3" s="1"/>
  <c r="BB20" i="3" s="1"/>
  <c r="BA18" i="3"/>
  <c r="BA19" i="3" s="1"/>
  <c r="BA20" i="3" s="1"/>
  <c r="AZ18" i="3"/>
  <c r="AZ19" i="3" s="1"/>
  <c r="AZ20" i="3" s="1"/>
  <c r="AY18" i="3"/>
  <c r="AY19" i="3" s="1"/>
  <c r="AY20" i="3" s="1"/>
  <c r="AX18" i="3"/>
  <c r="AX19" i="3" s="1"/>
  <c r="AX20" i="3" s="1"/>
  <c r="AW18" i="3"/>
  <c r="AW19" i="3" s="1"/>
  <c r="AW20" i="3" s="1"/>
  <c r="AR7" i="3"/>
  <c r="AR5" i="3"/>
  <c r="I28" i="3"/>
  <c r="G28" i="3"/>
  <c r="O1" i="10"/>
  <c r="BZ94" i="7"/>
  <c r="BY94" i="7"/>
  <c r="BX94" i="7"/>
  <c r="BW94" i="7"/>
  <c r="BV94" i="7"/>
  <c r="BU94" i="7"/>
  <c r="BT94" i="7"/>
  <c r="BS94" i="7"/>
  <c r="BR94" i="7"/>
  <c r="BQ94" i="7"/>
  <c r="BP94" i="7"/>
  <c r="BO94" i="7"/>
  <c r="BM94" i="7"/>
  <c r="BK94" i="7"/>
  <c r="BJ94" i="7"/>
  <c r="BI94" i="7"/>
  <c r="BH94" i="7"/>
  <c r="BG94" i="7"/>
  <c r="BF94" i="7"/>
  <c r="BE94" i="7"/>
  <c r="BD94" i="7"/>
  <c r="BC94" i="7"/>
  <c r="BB94" i="7"/>
  <c r="AZ94" i="7"/>
  <c r="AY94" i="7"/>
  <c r="AX94" i="7"/>
  <c r="AW94" i="7"/>
  <c r="AV94" i="7"/>
  <c r="AU94" i="7"/>
  <c r="AT94" i="7"/>
  <c r="AS94" i="7"/>
  <c r="AR94" i="7"/>
  <c r="AQ94" i="7"/>
  <c r="AP94" i="7"/>
  <c r="AM94" i="7"/>
  <c r="AL94" i="7"/>
  <c r="AF94" i="7"/>
  <c r="AE94" i="7"/>
  <c r="AD94" i="7"/>
  <c r="AC94" i="7"/>
  <c r="AB94" i="7"/>
  <c r="AA94" i="7"/>
  <c r="Z94" i="7"/>
  <c r="Y94" i="7"/>
  <c r="X94" i="7"/>
  <c r="W94" i="7"/>
  <c r="V94" i="7"/>
  <c r="U94" i="7"/>
  <c r="T94" i="7"/>
  <c r="S94" i="7"/>
  <c r="R94" i="7"/>
  <c r="Q94" i="7"/>
  <c r="P94" i="7"/>
  <c r="O94" i="7"/>
  <c r="N94" i="7"/>
  <c r="M94" i="7"/>
  <c r="L94" i="7"/>
  <c r="K94" i="7"/>
  <c r="J94" i="7"/>
  <c r="BZ87" i="7"/>
  <c r="BY87" i="7"/>
  <c r="BX87" i="7"/>
  <c r="BW87" i="7"/>
  <c r="BV87" i="7"/>
  <c r="BU87" i="7"/>
  <c r="BT87" i="7"/>
  <c r="BS87" i="7"/>
  <c r="BR87" i="7"/>
  <c r="BQ87" i="7"/>
  <c r="BP87" i="7"/>
  <c r="BO87" i="7"/>
  <c r="BN87" i="7"/>
  <c r="BN94" i="7" s="1"/>
  <c r="BM87" i="7"/>
  <c r="BL87" i="7"/>
  <c r="BL94" i="7" s="1"/>
  <c r="BK87" i="7"/>
  <c r="BJ87" i="7"/>
  <c r="BI87" i="7"/>
  <c r="BH87" i="7"/>
  <c r="BG87" i="7"/>
  <c r="BF87" i="7"/>
  <c r="BE87" i="7"/>
  <c r="BD87" i="7"/>
  <c r="BC87" i="7"/>
  <c r="BB87" i="7"/>
  <c r="BA87" i="7"/>
  <c r="BA94" i="7" s="1"/>
  <c r="AZ87" i="7"/>
  <c r="AY87" i="7"/>
  <c r="AX87" i="7"/>
  <c r="AW87" i="7"/>
  <c r="AV87" i="7"/>
  <c r="AU87" i="7"/>
  <c r="AT87" i="7"/>
  <c r="AS87" i="7"/>
  <c r="AR87" i="7"/>
  <c r="AQ87" i="7"/>
  <c r="AP87" i="7"/>
  <c r="AM87" i="7"/>
  <c r="AL87" i="7"/>
  <c r="AF87" i="7"/>
  <c r="AE87" i="7"/>
  <c r="AD87" i="7"/>
  <c r="AC87" i="7"/>
  <c r="AB87" i="7"/>
  <c r="AA87" i="7"/>
  <c r="Z87" i="7"/>
  <c r="Y87" i="7"/>
  <c r="X87" i="7"/>
  <c r="W87" i="7"/>
  <c r="V87" i="7"/>
  <c r="U87" i="7"/>
  <c r="T87" i="7"/>
  <c r="S87" i="7"/>
  <c r="R87" i="7"/>
  <c r="Q87" i="7"/>
  <c r="P87" i="7"/>
  <c r="O87" i="7"/>
  <c r="N87" i="7"/>
  <c r="M87" i="7"/>
  <c r="L87" i="7"/>
  <c r="K87" i="7"/>
  <c r="J87" i="7"/>
  <c r="BZ79" i="7"/>
  <c r="BY79" i="7"/>
  <c r="BX79" i="7"/>
  <c r="BW79" i="7"/>
  <c r="BV79" i="7"/>
  <c r="BT79" i="7"/>
  <c r="BS79" i="7"/>
  <c r="BR79" i="7"/>
  <c r="BQ79" i="7"/>
  <c r="BP79" i="7"/>
  <c r="BO79" i="7"/>
  <c r="BN79" i="7"/>
  <c r="BM79" i="7"/>
  <c r="BL79" i="7"/>
  <c r="BK79" i="7"/>
  <c r="BJ79" i="7"/>
  <c r="BI79" i="7"/>
  <c r="BH79" i="7"/>
  <c r="BG79" i="7"/>
  <c r="BF79" i="7"/>
  <c r="BE79" i="7"/>
  <c r="BD79" i="7"/>
  <c r="BC79" i="7"/>
  <c r="BB79" i="7"/>
  <c r="BA79" i="7"/>
  <c r="AZ79" i="7"/>
  <c r="AY79" i="7"/>
  <c r="AX79" i="7"/>
  <c r="AW79" i="7"/>
  <c r="AV79" i="7"/>
  <c r="AU79" i="7"/>
  <c r="AT79" i="7"/>
  <c r="AS79" i="7"/>
  <c r="AR79" i="7"/>
  <c r="AQ79" i="7"/>
  <c r="AP79" i="7"/>
  <c r="AM79" i="7"/>
  <c r="AL79" i="7"/>
  <c r="AF79" i="7"/>
  <c r="AE79" i="7"/>
  <c r="AD79" i="7"/>
  <c r="AC79" i="7"/>
  <c r="AB79" i="7"/>
  <c r="AA79" i="7"/>
  <c r="Z79" i="7"/>
  <c r="Y79" i="7"/>
  <c r="X79" i="7"/>
  <c r="W79" i="7"/>
  <c r="V79" i="7"/>
  <c r="U79" i="7"/>
  <c r="T79" i="7"/>
  <c r="S79" i="7"/>
  <c r="R79" i="7"/>
  <c r="Q79" i="7"/>
  <c r="P79" i="7"/>
  <c r="O79" i="7"/>
  <c r="N79" i="7"/>
  <c r="M79" i="7"/>
  <c r="L79" i="7"/>
  <c r="K79" i="7"/>
  <c r="J79" i="7"/>
  <c r="BY71" i="7"/>
  <c r="BX71" i="7"/>
  <c r="BU71" i="7"/>
  <c r="BU79" i="7" s="1"/>
  <c r="BQ71" i="7"/>
  <c r="AW71" i="7"/>
  <c r="AV71" i="7"/>
  <c r="AU71" i="7"/>
  <c r="AT71" i="7"/>
  <c r="AS71" i="7"/>
  <c r="AR71" i="7"/>
  <c r="AQ71" i="7"/>
  <c r="AP71" i="7"/>
  <c r="AM71" i="7"/>
  <c r="AL71" i="7"/>
  <c r="AF71" i="7"/>
  <c r="AE71" i="7"/>
  <c r="AD71" i="7"/>
  <c r="AC71" i="7"/>
  <c r="AB71" i="7"/>
  <c r="AA71" i="7"/>
  <c r="Z71" i="7"/>
  <c r="Y71" i="7"/>
  <c r="X71" i="7"/>
  <c r="W71" i="7"/>
  <c r="V71" i="7"/>
  <c r="U71" i="7"/>
  <c r="T71" i="7"/>
  <c r="S71" i="7"/>
  <c r="R71" i="7"/>
  <c r="Q71" i="7"/>
  <c r="P71" i="7"/>
  <c r="O71" i="7"/>
  <c r="N71" i="7"/>
  <c r="M71" i="7"/>
  <c r="L71" i="7"/>
  <c r="K71" i="7"/>
  <c r="J71" i="7"/>
  <c r="BY64" i="7"/>
  <c r="BX64" i="7"/>
  <c r="BU64" i="7"/>
  <c r="BQ64" i="7"/>
  <c r="AW64" i="7"/>
  <c r="AV64" i="7"/>
  <c r="AU64" i="7"/>
  <c r="AT64" i="7"/>
  <c r="AS64" i="7"/>
  <c r="AR64" i="7"/>
  <c r="AQ64" i="7"/>
  <c r="AP64" i="7"/>
  <c r="AM64" i="7"/>
  <c r="AL64" i="7"/>
  <c r="AF64" i="7"/>
  <c r="AE64" i="7"/>
  <c r="AD64" i="7"/>
  <c r="AC64" i="7"/>
  <c r="AB64" i="7"/>
  <c r="AA64" i="7"/>
  <c r="Z64" i="7"/>
  <c r="Y64" i="7"/>
  <c r="X64" i="7"/>
  <c r="W64" i="7"/>
  <c r="V64" i="7"/>
  <c r="U64" i="7"/>
  <c r="T64" i="7"/>
  <c r="S64" i="7"/>
  <c r="R64" i="7"/>
  <c r="Q64" i="7"/>
  <c r="P64" i="7"/>
  <c r="O64" i="7"/>
  <c r="N64" i="7"/>
  <c r="M64" i="7"/>
  <c r="L64" i="7"/>
  <c r="K64" i="7"/>
  <c r="J64" i="7"/>
  <c r="BY57" i="7"/>
  <c r="BX57" i="7"/>
  <c r="BU57" i="7"/>
  <c r="BQ57" i="7"/>
  <c r="AW57" i="7"/>
  <c r="AV57" i="7"/>
  <c r="AU57" i="7"/>
  <c r="AT57" i="7"/>
  <c r="AS57" i="7"/>
  <c r="AR57" i="7"/>
  <c r="AQ57" i="7"/>
  <c r="AP57" i="7"/>
  <c r="AM57" i="7"/>
  <c r="AL57" i="7"/>
  <c r="AF57" i="7"/>
  <c r="AE57" i="7"/>
  <c r="AD57" i="7"/>
  <c r="AC57" i="7"/>
  <c r="AB57" i="7"/>
  <c r="AA57" i="7"/>
  <c r="Z57" i="7"/>
  <c r="Y57" i="7"/>
  <c r="X57" i="7"/>
  <c r="W57" i="7"/>
  <c r="V57" i="7"/>
  <c r="U57" i="7"/>
  <c r="T57" i="7"/>
  <c r="S57" i="7"/>
  <c r="R57" i="7"/>
  <c r="Q57" i="7"/>
  <c r="P57" i="7"/>
  <c r="O57" i="7"/>
  <c r="N57" i="7"/>
  <c r="M57" i="7"/>
  <c r="L57" i="7"/>
  <c r="K57" i="7"/>
  <c r="J57" i="7"/>
  <c r="BZ50" i="7"/>
  <c r="BZ57" i="7" s="1"/>
  <c r="BY50" i="7"/>
  <c r="BX50" i="7"/>
  <c r="BW50" i="7"/>
  <c r="BW57" i="7" s="1"/>
  <c r="BU50" i="7"/>
  <c r="BN50" i="7"/>
  <c r="BN57" i="7" s="1"/>
  <c r="BN64" i="7" s="1"/>
  <c r="BN71" i="7" s="1"/>
  <c r="BL50" i="7"/>
  <c r="BL57" i="7" s="1"/>
  <c r="BL64" i="7" s="1"/>
  <c r="BL71" i="7" s="1"/>
  <c r="BF50" i="7"/>
  <c r="BF71" i="7" s="1"/>
  <c r="BA50" i="7"/>
  <c r="BA57" i="7" s="1"/>
  <c r="BA64" i="7" s="1"/>
  <c r="BA71" i="7" s="1"/>
  <c r="AZ50" i="7"/>
  <c r="AZ71" i="7" s="1"/>
  <c r="AY50" i="7"/>
  <c r="AY71" i="7" s="1"/>
  <c r="AX50" i="7"/>
  <c r="AX64" i="7" s="1"/>
  <c r="AW50" i="7"/>
  <c r="AV50" i="7"/>
  <c r="AU50" i="7"/>
  <c r="AT50" i="7"/>
  <c r="AS50" i="7"/>
  <c r="AR50" i="7"/>
  <c r="AQ50" i="7"/>
  <c r="AP50" i="7"/>
  <c r="AM50" i="7"/>
  <c r="AL50" i="7"/>
  <c r="AF50" i="7"/>
  <c r="AE50" i="7"/>
  <c r="AD50" i="7"/>
  <c r="AC50" i="7"/>
  <c r="AB50" i="7"/>
  <c r="AA50" i="7"/>
  <c r="Z50" i="7"/>
  <c r="Y50" i="7"/>
  <c r="X50" i="7"/>
  <c r="W50" i="7"/>
  <c r="V50" i="7"/>
  <c r="U50" i="7"/>
  <c r="T50" i="7"/>
  <c r="S50" i="7"/>
  <c r="R50" i="7"/>
  <c r="Q50" i="7"/>
  <c r="P50" i="7"/>
  <c r="O50" i="7"/>
  <c r="N50" i="7"/>
  <c r="M50" i="7"/>
  <c r="L50" i="7"/>
  <c r="K50" i="7"/>
  <c r="J50" i="7"/>
  <c r="BZ42" i="7"/>
  <c r="BY42" i="7"/>
  <c r="BX42" i="7"/>
  <c r="BW42" i="7"/>
  <c r="BU42" i="7"/>
  <c r="BQ42" i="7"/>
  <c r="BL42" i="7"/>
  <c r="BK42" i="7"/>
  <c r="BF42" i="7"/>
  <c r="AU42" i="7"/>
  <c r="AT42" i="7"/>
  <c r="AS42" i="7"/>
  <c r="AR42" i="7"/>
  <c r="AQ42" i="7"/>
  <c r="AP42" i="7"/>
  <c r="AM42" i="7"/>
  <c r="AL42" i="7"/>
  <c r="AF42" i="7"/>
  <c r="AE42" i="7"/>
  <c r="AD42" i="7"/>
  <c r="AC42" i="7"/>
  <c r="AB42" i="7"/>
  <c r="AA42" i="7"/>
  <c r="Z42" i="7"/>
  <c r="Y42" i="7"/>
  <c r="W42" i="7"/>
  <c r="V42" i="7"/>
  <c r="U42" i="7"/>
  <c r="T42" i="7"/>
  <c r="S42" i="7"/>
  <c r="R42" i="7"/>
  <c r="Q42" i="7"/>
  <c r="P42" i="7"/>
  <c r="O42" i="7"/>
  <c r="N42" i="7"/>
  <c r="M42" i="7"/>
  <c r="L42" i="7"/>
  <c r="K42" i="7"/>
  <c r="J42" i="7"/>
  <c r="BQ36" i="7"/>
  <c r="BK36" i="7"/>
  <c r="BF36" i="7"/>
  <c r="AU36" i="7"/>
  <c r="AT36" i="7"/>
  <c r="AS36" i="7"/>
  <c r="AR36" i="7"/>
  <c r="AQ36" i="7"/>
  <c r="AP36" i="7"/>
  <c r="AM36" i="7"/>
  <c r="AL36" i="7"/>
  <c r="AF36" i="7"/>
  <c r="AE36" i="7"/>
  <c r="AD36" i="7"/>
  <c r="AC36" i="7"/>
  <c r="AB36" i="7"/>
  <c r="AA36" i="7"/>
  <c r="Z36" i="7"/>
  <c r="Y36" i="7"/>
  <c r="W36" i="7"/>
  <c r="V36" i="7"/>
  <c r="U36" i="7"/>
  <c r="T36" i="7"/>
  <c r="S36" i="7"/>
  <c r="R36" i="7"/>
  <c r="Q36" i="7"/>
  <c r="P36" i="7"/>
  <c r="O36" i="7"/>
  <c r="N36" i="7"/>
  <c r="M36" i="7"/>
  <c r="L36" i="7"/>
  <c r="K36" i="7"/>
  <c r="J36" i="7"/>
  <c r="BZ29" i="7"/>
  <c r="BZ36" i="7" s="1"/>
  <c r="BY29" i="7"/>
  <c r="BY36" i="7" s="1"/>
  <c r="BX29" i="7"/>
  <c r="BX36" i="7" s="1"/>
  <c r="BW29" i="7"/>
  <c r="BW36" i="7" s="1"/>
  <c r="BU29" i="7"/>
  <c r="BU36" i="7" s="1"/>
  <c r="BN29" i="7"/>
  <c r="BN36" i="7" s="1"/>
  <c r="BL29" i="7"/>
  <c r="BL36" i="7" s="1"/>
  <c r="BA29" i="7"/>
  <c r="BA42" i="7" s="1"/>
  <c r="AZ29" i="7"/>
  <c r="AZ42" i="7" s="1"/>
  <c r="AY29" i="7"/>
  <c r="AY42" i="7" s="1"/>
  <c r="AX29" i="7"/>
  <c r="AX36" i="7" s="1"/>
  <c r="AW29" i="7"/>
  <c r="AW36" i="7" s="1"/>
  <c r="AV29" i="7"/>
  <c r="AV42" i="7" s="1"/>
  <c r="AU29" i="7"/>
  <c r="AT29" i="7"/>
  <c r="AS29" i="7"/>
  <c r="AR29" i="7"/>
  <c r="AQ29" i="7"/>
  <c r="AP29" i="7"/>
  <c r="AM29" i="7"/>
  <c r="AL29" i="7"/>
  <c r="AF29" i="7"/>
  <c r="AE29" i="7"/>
  <c r="AD29" i="7"/>
  <c r="AC29" i="7"/>
  <c r="AB29" i="7"/>
  <c r="AA29" i="7"/>
  <c r="Z29" i="7"/>
  <c r="Y29" i="7"/>
  <c r="W29" i="7"/>
  <c r="V29" i="7"/>
  <c r="U29" i="7"/>
  <c r="T29" i="7"/>
  <c r="S29" i="7"/>
  <c r="R29" i="7"/>
  <c r="Q29" i="7"/>
  <c r="P29" i="7"/>
  <c r="O29" i="7"/>
  <c r="N29" i="7"/>
  <c r="M29" i="7"/>
  <c r="L29" i="7"/>
  <c r="K29" i="7"/>
  <c r="J29" i="7"/>
  <c r="CA19" i="7"/>
  <c r="CA29" i="7" s="1"/>
  <c r="BZ19" i="7"/>
  <c r="BX19" i="7"/>
  <c r="BW19" i="7"/>
  <c r="BU19" i="7"/>
  <c r="BO19" i="7"/>
  <c r="BN19" i="7"/>
  <c r="BL19" i="7"/>
  <c r="BK19" i="7"/>
  <c r="BJ19" i="7"/>
  <c r="BJ29" i="7" s="1"/>
  <c r="BI19" i="7"/>
  <c r="BH19" i="7"/>
  <c r="BG19" i="7"/>
  <c r="BF19" i="7"/>
  <c r="BE19" i="7"/>
  <c r="BD19" i="7"/>
  <c r="BC19" i="7"/>
  <c r="BC29" i="7" s="1"/>
  <c r="BB19" i="7"/>
  <c r="BA19" i="7"/>
  <c r="AZ19" i="7"/>
  <c r="AY19" i="7"/>
  <c r="AX19" i="7"/>
  <c r="AW19" i="7"/>
  <c r="AV19" i="7"/>
  <c r="AU19" i="7"/>
  <c r="AT19" i="7"/>
  <c r="AS19" i="7"/>
  <c r="AR19" i="7"/>
  <c r="AQ19" i="7"/>
  <c r="AP19" i="7"/>
  <c r="AM19" i="7"/>
  <c r="AL19" i="7"/>
  <c r="AF19" i="7"/>
  <c r="AE19" i="7"/>
  <c r="AD19" i="7"/>
  <c r="AC19" i="7"/>
  <c r="AB19" i="7"/>
  <c r="AA19" i="7"/>
  <c r="Z19" i="7"/>
  <c r="Y19" i="7"/>
  <c r="W19" i="7"/>
  <c r="V19" i="7"/>
  <c r="U19" i="7"/>
  <c r="T19" i="7"/>
  <c r="S19" i="7"/>
  <c r="R19" i="7"/>
  <c r="Q19" i="7"/>
  <c r="P19" i="7"/>
  <c r="O19" i="7"/>
  <c r="N19" i="7"/>
  <c r="M19" i="7"/>
  <c r="L19" i="7"/>
  <c r="K19" i="7"/>
  <c r="J19" i="7"/>
  <c r="CA11" i="7"/>
  <c r="BZ11" i="7"/>
  <c r="BY11" i="7"/>
  <c r="BY19" i="7" s="1"/>
  <c r="BX11" i="7"/>
  <c r="BW11" i="7"/>
  <c r="BU11" i="7"/>
  <c r="BN11" i="7"/>
  <c r="BL11" i="7"/>
  <c r="BK11" i="7"/>
  <c r="BJ11" i="7"/>
  <c r="BI11" i="7"/>
  <c r="BH11" i="7"/>
  <c r="BG11" i="7"/>
  <c r="BF11" i="7"/>
  <c r="BE11" i="7"/>
  <c r="BD11" i="7"/>
  <c r="BC11" i="7"/>
  <c r="BB11" i="7"/>
  <c r="BA11" i="7"/>
  <c r="AZ11" i="7"/>
  <c r="AY11" i="7"/>
  <c r="AX11" i="7"/>
  <c r="AW11" i="7"/>
  <c r="AV11" i="7"/>
  <c r="AU11" i="7"/>
  <c r="AT11" i="7"/>
  <c r="AS11" i="7"/>
  <c r="AR11" i="7"/>
  <c r="AQ11" i="7"/>
  <c r="AP11" i="7"/>
  <c r="AM11" i="7"/>
  <c r="AL11" i="7"/>
  <c r="AF11" i="7"/>
  <c r="AE11" i="7"/>
  <c r="AD11" i="7"/>
  <c r="AC11" i="7"/>
  <c r="AB11" i="7"/>
  <c r="AA11" i="7"/>
  <c r="Z11" i="7"/>
  <c r="Y11" i="7"/>
  <c r="W11" i="7"/>
  <c r="V11" i="7"/>
  <c r="U11" i="7"/>
  <c r="T11" i="7"/>
  <c r="S11" i="7"/>
  <c r="R11" i="7"/>
  <c r="Q11" i="7"/>
  <c r="P11" i="7"/>
  <c r="O11" i="7"/>
  <c r="N11" i="7"/>
  <c r="M11" i="7"/>
  <c r="L11" i="7"/>
  <c r="K11" i="7"/>
  <c r="J11" i="7"/>
  <c r="G29" i="7"/>
  <c r="ED54" i="5"/>
  <c r="EC54" i="5"/>
  <c r="EB54" i="5"/>
  <c r="EA54" i="5"/>
  <c r="DZ54" i="5"/>
  <c r="DY54" i="5"/>
  <c r="DX54" i="5"/>
  <c r="DW54" i="5"/>
  <c r="DV54" i="5"/>
  <c r="DU54" i="5"/>
  <c r="DT54" i="5"/>
  <c r="DS54" i="5"/>
  <c r="DR54" i="5"/>
  <c r="DQ54" i="5"/>
  <c r="DP54" i="5"/>
  <c r="DO54" i="5"/>
  <c r="DN54" i="5"/>
  <c r="DM54" i="5"/>
  <c r="DL54" i="5"/>
  <c r="DK54" i="5"/>
  <c r="DJ54" i="5"/>
  <c r="DI54" i="5"/>
  <c r="DH54" i="5"/>
  <c r="DG54" i="5"/>
  <c r="DF54" i="5"/>
  <c r="DE54" i="5"/>
  <c r="DD54" i="5"/>
  <c r="DC54" i="5"/>
  <c r="DB54" i="5"/>
  <c r="DA54" i="5"/>
  <c r="CZ54" i="5"/>
  <c r="CY54" i="5"/>
  <c r="CX54" i="5"/>
  <c r="CW54" i="5"/>
  <c r="CV54" i="5"/>
  <c r="CU54" i="5"/>
  <c r="CT54" i="5"/>
  <c r="CS54" i="5"/>
  <c r="CR54" i="5"/>
  <c r="CQ54" i="5"/>
  <c r="CP54" i="5"/>
  <c r="CO54" i="5"/>
  <c r="CN54" i="5"/>
  <c r="CM54" i="5"/>
  <c r="CK54" i="5"/>
  <c r="CJ54" i="5"/>
  <c r="CI54" i="5"/>
  <c r="CH54" i="5"/>
  <c r="CG54" i="5"/>
  <c r="CF54" i="5"/>
  <c r="CE54" i="5"/>
  <c r="CD54" i="5"/>
  <c r="CC54" i="5"/>
  <c r="CB54" i="5"/>
  <c r="CA54" i="5"/>
  <c r="BZ54" i="5"/>
  <c r="BY54" i="5"/>
  <c r="BX54" i="5"/>
  <c r="BW54" i="5"/>
  <c r="BV54" i="5"/>
  <c r="BU54" i="5"/>
  <c r="BT54" i="5"/>
  <c r="BS54" i="5"/>
  <c r="BR54" i="5"/>
  <c r="BQ54" i="5"/>
  <c r="BP54" i="5"/>
  <c r="BO54" i="5"/>
  <c r="BN54" i="5"/>
  <c r="BM54" i="5"/>
  <c r="BL54" i="5"/>
  <c r="BK54" i="5"/>
  <c r="BJ54" i="5"/>
  <c r="BI54" i="5"/>
  <c r="BH54" i="5"/>
  <c r="BG54" i="5"/>
  <c r="BF54" i="5"/>
  <c r="BE54" i="5"/>
  <c r="BD54" i="5"/>
  <c r="BC54" i="5"/>
  <c r="BB54" i="5"/>
  <c r="BA54" i="5"/>
  <c r="AZ54" i="5"/>
  <c r="AY54" i="5"/>
  <c r="AX54" i="5"/>
  <c r="AW54" i="5"/>
  <c r="AV54" i="5"/>
  <c r="AU54" i="5"/>
  <c r="AT54" i="5"/>
  <c r="AS54" i="5"/>
  <c r="AR54" i="5"/>
  <c r="AQ54" i="5"/>
  <c r="AO54" i="5"/>
  <c r="AF54" i="5"/>
  <c r="AE54" i="5"/>
  <c r="AD54" i="5"/>
  <c r="AC54" i="5"/>
  <c r="AB54" i="5"/>
  <c r="AA54" i="5"/>
  <c r="Z54" i="5"/>
  <c r="Y54" i="5"/>
  <c r="X54" i="5"/>
  <c r="W54" i="5"/>
  <c r="V54" i="5"/>
  <c r="U54" i="5"/>
  <c r="T54" i="5"/>
  <c r="S54" i="5"/>
  <c r="R54" i="5"/>
  <c r="P54" i="5"/>
  <c r="O54" i="5"/>
  <c r="N54" i="5"/>
  <c r="M54" i="5"/>
  <c r="L54" i="5"/>
  <c r="K54" i="5"/>
  <c r="J54" i="5"/>
  <c r="DX34" i="5"/>
  <c r="DL34" i="5"/>
  <c r="DK34" i="5"/>
  <c r="DJ34" i="5"/>
  <c r="DI34" i="5"/>
  <c r="DH34" i="5"/>
  <c r="DG34" i="5"/>
  <c r="DF34" i="5"/>
  <c r="DE34" i="5"/>
  <c r="DD34" i="5"/>
  <c r="DC34" i="5"/>
  <c r="DB34" i="5"/>
  <c r="DA34" i="5"/>
  <c r="CZ34" i="5"/>
  <c r="CY34" i="5"/>
  <c r="CX34" i="5"/>
  <c r="CW34" i="5"/>
  <c r="CV34" i="5"/>
  <c r="CU34" i="5"/>
  <c r="CT34" i="5"/>
  <c r="CS34" i="5"/>
  <c r="CR34" i="5"/>
  <c r="CQ34" i="5"/>
  <c r="CP34" i="5"/>
  <c r="CO34" i="5"/>
  <c r="CN34" i="5"/>
  <c r="CM34" i="5"/>
  <c r="CL34" i="5"/>
  <c r="CK34" i="5"/>
  <c r="CJ34" i="5"/>
  <c r="CI34" i="5"/>
  <c r="CH34" i="5"/>
  <c r="CG34" i="5"/>
  <c r="CF34" i="5"/>
  <c r="CE34" i="5"/>
  <c r="CD34" i="5"/>
  <c r="CC34" i="5"/>
  <c r="CB34" i="5"/>
  <c r="CA34" i="5"/>
  <c r="BZ34" i="5"/>
  <c r="BY34" i="5"/>
  <c r="BX34" i="5"/>
  <c r="BW34" i="5"/>
  <c r="BV34" i="5"/>
  <c r="BU34" i="5"/>
  <c r="BT34" i="5"/>
  <c r="BS34" i="5"/>
  <c r="BR34" i="5"/>
  <c r="BQ34" i="5"/>
  <c r="BP34" i="5"/>
  <c r="BO34" i="5"/>
  <c r="BN34" i="5"/>
  <c r="BM34" i="5"/>
  <c r="BL34" i="5"/>
  <c r="BK34" i="5"/>
  <c r="BJ34" i="5"/>
  <c r="BI34" i="5"/>
  <c r="BH34" i="5"/>
  <c r="BG34" i="5"/>
  <c r="BF34" i="5"/>
  <c r="BE34" i="5"/>
  <c r="BD34" i="5"/>
  <c r="BC34" i="5"/>
  <c r="BB34" i="5"/>
  <c r="BA34" i="5"/>
  <c r="AZ34" i="5"/>
  <c r="AY34" i="5"/>
  <c r="AX34" i="5"/>
  <c r="AW34" i="5"/>
  <c r="AV34" i="5"/>
  <c r="AU34" i="5"/>
  <c r="AT34" i="5"/>
  <c r="AS34" i="5"/>
  <c r="AR34" i="5"/>
  <c r="AQ34" i="5"/>
  <c r="AO34" i="5"/>
  <c r="AF34" i="5"/>
  <c r="AE34" i="5"/>
  <c r="AD34" i="5"/>
  <c r="AC34" i="5"/>
  <c r="AB34" i="5"/>
  <c r="AA34" i="5"/>
  <c r="Z34" i="5"/>
  <c r="Y34" i="5"/>
  <c r="X34" i="5"/>
  <c r="W34" i="5"/>
  <c r="V34" i="5"/>
  <c r="U34" i="5"/>
  <c r="T34" i="5"/>
  <c r="S34" i="5"/>
  <c r="R34" i="5"/>
  <c r="P34" i="5"/>
  <c r="O34" i="5"/>
  <c r="N34" i="5"/>
  <c r="M34" i="5"/>
  <c r="L34" i="5"/>
  <c r="K34" i="5"/>
  <c r="J34" i="5"/>
  <c r="ED14" i="5"/>
  <c r="EC14" i="5"/>
  <c r="EB14" i="5"/>
  <c r="EA14" i="5"/>
  <c r="DZ14" i="5"/>
  <c r="DY14" i="5"/>
  <c r="DX14" i="5"/>
  <c r="DW14" i="5"/>
  <c r="DV14" i="5"/>
  <c r="DU14" i="5"/>
  <c r="DT14" i="5"/>
  <c r="DS14" i="5"/>
  <c r="DR14" i="5"/>
  <c r="DQ14" i="5"/>
  <c r="DP14" i="5"/>
  <c r="DO14" i="5"/>
  <c r="DN14" i="5"/>
  <c r="DM14" i="5"/>
  <c r="DL14" i="5"/>
  <c r="DK14" i="5"/>
  <c r="DJ14" i="5"/>
  <c r="DI14" i="5"/>
  <c r="DH14" i="5"/>
  <c r="DG14" i="5"/>
  <c r="DF14" i="5"/>
  <c r="DE14" i="5"/>
  <c r="DD14" i="5"/>
  <c r="DC14" i="5"/>
  <c r="DB14" i="5"/>
  <c r="DA14" i="5"/>
  <c r="CZ14" i="5"/>
  <c r="CY14" i="5"/>
  <c r="CX14" i="5"/>
  <c r="CW14" i="5"/>
  <c r="CV14" i="5"/>
  <c r="CU14" i="5"/>
  <c r="CT14" i="5"/>
  <c r="CS14" i="5"/>
  <c r="CR14" i="5"/>
  <c r="CQ14" i="5"/>
  <c r="CP14" i="5"/>
  <c r="CO14" i="5"/>
  <c r="CN14" i="5"/>
  <c r="CM14" i="5"/>
  <c r="CL14" i="5"/>
  <c r="CK14" i="5"/>
  <c r="CJ14" i="5"/>
  <c r="CI14" i="5"/>
  <c r="CH14" i="5"/>
  <c r="CG14" i="5"/>
  <c r="CF14" i="5"/>
  <c r="CE14" i="5"/>
  <c r="CD14" i="5"/>
  <c r="CC14" i="5"/>
  <c r="CB14" i="5"/>
  <c r="CA14" i="5"/>
  <c r="BZ14" i="5"/>
  <c r="BY14" i="5"/>
  <c r="BX14" i="5"/>
  <c r="BW14" i="5"/>
  <c r="BV14" i="5"/>
  <c r="BU14" i="5"/>
  <c r="BT14" i="5"/>
  <c r="BS14" i="5"/>
  <c r="BR14" i="5"/>
  <c r="BQ14" i="5"/>
  <c r="BP14" i="5"/>
  <c r="BO14" i="5"/>
  <c r="BN14" i="5"/>
  <c r="BM14" i="5"/>
  <c r="BL14" i="5"/>
  <c r="BK14" i="5"/>
  <c r="BJ14" i="5"/>
  <c r="BI14" i="5"/>
  <c r="BH14" i="5"/>
  <c r="BG14" i="5"/>
  <c r="BF14" i="5"/>
  <c r="BE14" i="5"/>
  <c r="BD14" i="5"/>
  <c r="BC14" i="5"/>
  <c r="BB14" i="5"/>
  <c r="BA14" i="5"/>
  <c r="AZ14" i="5"/>
  <c r="AY14" i="5"/>
  <c r="AX14" i="5"/>
  <c r="AW14" i="5"/>
  <c r="AV14" i="5"/>
  <c r="AU14" i="5"/>
  <c r="AT14" i="5"/>
  <c r="AS14" i="5"/>
  <c r="AR14" i="5"/>
  <c r="AQ14" i="5"/>
  <c r="AO14" i="5"/>
  <c r="AF14" i="5"/>
  <c r="AE14" i="5"/>
  <c r="AD14" i="5"/>
  <c r="AC14" i="5"/>
  <c r="AB14" i="5"/>
  <c r="AA14" i="5"/>
  <c r="Z14" i="5"/>
  <c r="Y14" i="5"/>
  <c r="X14" i="5"/>
  <c r="W14" i="5"/>
  <c r="V14" i="5"/>
  <c r="U14" i="5"/>
  <c r="T14" i="5"/>
  <c r="S14" i="5"/>
  <c r="R14" i="5"/>
  <c r="P14" i="5"/>
  <c r="O14" i="5"/>
  <c r="N14" i="5"/>
  <c r="M14" i="5"/>
  <c r="L14" i="5"/>
  <c r="K14" i="5"/>
  <c r="J14" i="5"/>
  <c r="ED4" i="5"/>
  <c r="EC4" i="5"/>
  <c r="EB4" i="5"/>
  <c r="EA4" i="5"/>
  <c r="DZ4" i="5"/>
  <c r="DY4" i="5"/>
  <c r="DX4" i="5"/>
  <c r="DW4" i="5"/>
  <c r="DV4" i="5"/>
  <c r="DU4" i="5"/>
  <c r="DT4" i="5"/>
  <c r="DS4" i="5"/>
  <c r="DR4" i="5"/>
  <c r="DQ4" i="5"/>
  <c r="DP4" i="5"/>
  <c r="DO4" i="5"/>
  <c r="DN4" i="5"/>
  <c r="DM4" i="5"/>
  <c r="DL4" i="5"/>
  <c r="DK4" i="5"/>
  <c r="DJ4" i="5"/>
  <c r="DI4" i="5"/>
  <c r="DH4" i="5"/>
  <c r="DG4" i="5"/>
  <c r="DF4" i="5"/>
  <c r="DE4" i="5"/>
  <c r="DD4" i="5"/>
  <c r="DC4" i="5"/>
  <c r="DB4" i="5"/>
  <c r="DA4" i="5"/>
  <c r="CZ4" i="5"/>
  <c r="CY4" i="5"/>
  <c r="CX4" i="5"/>
  <c r="CW4" i="5"/>
  <c r="CV4" i="5"/>
  <c r="CU4" i="5"/>
  <c r="CT4" i="5"/>
  <c r="CS4" i="5"/>
  <c r="CR4" i="5"/>
  <c r="CQ4" i="5"/>
  <c r="CP4" i="5"/>
  <c r="CO4" i="5"/>
  <c r="CN4" i="5"/>
  <c r="CM4" i="5"/>
  <c r="CL4" i="5"/>
  <c r="CK4" i="5"/>
  <c r="CJ4" i="5"/>
  <c r="CI4" i="5"/>
  <c r="CH4" i="5"/>
  <c r="CG4" i="5"/>
  <c r="G14" i="5"/>
  <c r="EH138" i="6"/>
  <c r="EG138" i="6"/>
  <c r="EF138" i="6"/>
  <c r="EE138" i="6"/>
  <c r="ED138" i="6"/>
  <c r="EC138" i="6"/>
  <c r="EB138" i="6"/>
  <c r="EA138" i="6"/>
  <c r="DZ138" i="6"/>
  <c r="DY138" i="6"/>
  <c r="DX138" i="6"/>
  <c r="DW138" i="6"/>
  <c r="DV138" i="6"/>
  <c r="DU138" i="6"/>
  <c r="DT138" i="6"/>
  <c r="DS138" i="6"/>
  <c r="DR138" i="6"/>
  <c r="DQ138" i="6"/>
  <c r="DP138" i="6"/>
  <c r="DO138" i="6"/>
  <c r="DN138" i="6"/>
  <c r="DM138" i="6"/>
  <c r="DL138" i="6"/>
  <c r="DK138" i="6"/>
  <c r="DJ138" i="6"/>
  <c r="DI138" i="6"/>
  <c r="DH138" i="6"/>
  <c r="DG138" i="6"/>
  <c r="DF138" i="6"/>
  <c r="DE138" i="6"/>
  <c r="DD138" i="6"/>
  <c r="DC138" i="6"/>
  <c r="DB138" i="6"/>
  <c r="DA138" i="6"/>
  <c r="CZ138" i="6"/>
  <c r="CY138" i="6"/>
  <c r="CX138" i="6"/>
  <c r="CW138" i="6"/>
  <c r="CV138" i="6"/>
  <c r="CU138" i="6"/>
  <c r="CT138" i="6"/>
  <c r="CS138" i="6"/>
  <c r="CR138" i="6"/>
  <c r="CQ138" i="6"/>
  <c r="CP138" i="6"/>
  <c r="CO138" i="6"/>
  <c r="CN138" i="6"/>
  <c r="CM138" i="6"/>
  <c r="CL138" i="6"/>
  <c r="CK138" i="6"/>
  <c r="CJ138" i="6"/>
  <c r="CI138" i="6"/>
  <c r="CH138" i="6"/>
  <c r="CG138" i="6"/>
  <c r="CF138" i="6"/>
  <c r="CE138" i="6"/>
  <c r="CD138" i="6"/>
  <c r="CC138" i="6"/>
  <c r="CB138" i="6"/>
  <c r="CA138" i="6"/>
  <c r="BZ138" i="6"/>
  <c r="BY138" i="6"/>
  <c r="BX138" i="6"/>
  <c r="BW138" i="6"/>
  <c r="BV138" i="6"/>
  <c r="BU138" i="6"/>
  <c r="BT138" i="6"/>
  <c r="BS138" i="6"/>
  <c r="BR138" i="6"/>
  <c r="BQ138" i="6"/>
  <c r="BP138" i="6"/>
  <c r="BO138" i="6"/>
  <c r="BN138" i="6"/>
  <c r="BM138" i="6"/>
  <c r="BL138" i="6"/>
  <c r="BK138" i="6"/>
  <c r="BJ138" i="6"/>
  <c r="BI138" i="6"/>
  <c r="BH138" i="6"/>
  <c r="BG138" i="6"/>
  <c r="BF138" i="6"/>
  <c r="BE138" i="6"/>
  <c r="BD138" i="6"/>
  <c r="BB138" i="6"/>
  <c r="BA138" i="6"/>
  <c r="AZ138" i="6"/>
  <c r="AY138" i="6"/>
  <c r="AX138" i="6"/>
  <c r="AW138" i="6"/>
  <c r="AV138" i="6"/>
  <c r="AU138" i="6"/>
  <c r="AT138" i="6"/>
  <c r="AS138" i="6"/>
  <c r="AR138" i="6"/>
  <c r="AQ138" i="6"/>
  <c r="AO138" i="6"/>
  <c r="AF138" i="6"/>
  <c r="AD138" i="6"/>
  <c r="AC138" i="6"/>
  <c r="AB138" i="6"/>
  <c r="AA138" i="6"/>
  <c r="Z138" i="6"/>
  <c r="Y138" i="6"/>
  <c r="X138" i="6"/>
  <c r="W138" i="6"/>
  <c r="V138" i="6"/>
  <c r="U138" i="6"/>
  <c r="T138" i="6"/>
  <c r="R138" i="6"/>
  <c r="Q138" i="6"/>
  <c r="P138" i="6"/>
  <c r="O138" i="6"/>
  <c r="N138" i="6"/>
  <c r="M138" i="6"/>
  <c r="L138" i="6"/>
  <c r="K138" i="6"/>
  <c r="J138" i="6"/>
  <c r="EH126" i="6"/>
  <c r="EG126" i="6"/>
  <c r="EF126" i="6"/>
  <c r="EE126" i="6"/>
  <c r="ED126" i="6"/>
  <c r="EC126" i="6"/>
  <c r="EB126" i="6"/>
  <c r="EA126" i="6"/>
  <c r="DZ126" i="6"/>
  <c r="DY126" i="6"/>
  <c r="DX126" i="6"/>
  <c r="DW126" i="6"/>
  <c r="DV126" i="6"/>
  <c r="DU126" i="6"/>
  <c r="DT126" i="6"/>
  <c r="DS126" i="6"/>
  <c r="DR126" i="6"/>
  <c r="DQ126" i="6"/>
  <c r="DP126" i="6"/>
  <c r="DO126" i="6"/>
  <c r="DN126" i="6"/>
  <c r="DM126" i="6"/>
  <c r="DL126" i="6"/>
  <c r="DK126" i="6"/>
  <c r="DJ126" i="6"/>
  <c r="DI126" i="6"/>
  <c r="DH126" i="6"/>
  <c r="DG126" i="6"/>
  <c r="DF126" i="6"/>
  <c r="DE126" i="6"/>
  <c r="DD126" i="6"/>
  <c r="DC126" i="6"/>
  <c r="DB126" i="6"/>
  <c r="DA126" i="6"/>
  <c r="CZ126" i="6"/>
  <c r="CY126" i="6"/>
  <c r="CX126" i="6"/>
  <c r="CW126" i="6"/>
  <c r="CV126" i="6"/>
  <c r="CU126" i="6"/>
  <c r="CT126" i="6"/>
  <c r="CS126" i="6"/>
  <c r="CR126" i="6"/>
  <c r="CQ126" i="6"/>
  <c r="CP126" i="6"/>
  <c r="CO126" i="6"/>
  <c r="CN126" i="6"/>
  <c r="CM126" i="6"/>
  <c r="CL126" i="6"/>
  <c r="CK126" i="6"/>
  <c r="CJ126" i="6"/>
  <c r="CI126" i="6"/>
  <c r="CH126" i="6"/>
  <c r="CG126" i="6"/>
  <c r="CF126" i="6"/>
  <c r="CE126" i="6"/>
  <c r="CD126" i="6"/>
  <c r="CC126" i="6"/>
  <c r="CB126" i="6"/>
  <c r="CA126" i="6"/>
  <c r="BZ126" i="6"/>
  <c r="BY126" i="6"/>
  <c r="BX126" i="6"/>
  <c r="BW126" i="6"/>
  <c r="BV126" i="6"/>
  <c r="BU126" i="6"/>
  <c r="BT126" i="6"/>
  <c r="BS126" i="6"/>
  <c r="BR126" i="6"/>
  <c r="BQ126" i="6"/>
  <c r="BP126" i="6"/>
  <c r="BO126" i="6"/>
  <c r="BN126" i="6"/>
  <c r="BM126" i="6"/>
  <c r="BL126" i="6"/>
  <c r="BK126" i="6"/>
  <c r="BJ126" i="6"/>
  <c r="BI126" i="6"/>
  <c r="BH126" i="6"/>
  <c r="BG126" i="6"/>
  <c r="BF126" i="6"/>
  <c r="BE126" i="6"/>
  <c r="BD126" i="6"/>
  <c r="BB126" i="6"/>
  <c r="BA126" i="6"/>
  <c r="AZ126" i="6"/>
  <c r="AY126" i="6"/>
  <c r="AX126" i="6"/>
  <c r="AW126" i="6"/>
  <c r="AV126" i="6"/>
  <c r="AU126" i="6"/>
  <c r="AT126" i="6"/>
  <c r="AS126" i="6"/>
  <c r="AR126" i="6"/>
  <c r="AQ126" i="6"/>
  <c r="AO126" i="6"/>
  <c r="AF126" i="6"/>
  <c r="AD126" i="6"/>
  <c r="AC126" i="6"/>
  <c r="AB126" i="6"/>
  <c r="AA126" i="6"/>
  <c r="Z126" i="6"/>
  <c r="Y126" i="6"/>
  <c r="X126" i="6"/>
  <c r="W126" i="6"/>
  <c r="V126" i="6"/>
  <c r="U126" i="6"/>
  <c r="T126" i="6"/>
  <c r="R126" i="6"/>
  <c r="Q126" i="6"/>
  <c r="P126" i="6"/>
  <c r="O126" i="6"/>
  <c r="N126" i="6"/>
  <c r="M126" i="6"/>
  <c r="L126" i="6"/>
  <c r="K126" i="6"/>
  <c r="J126" i="6"/>
  <c r="EH119" i="6"/>
  <c r="EG119" i="6"/>
  <c r="EF119" i="6"/>
  <c r="EE119" i="6"/>
  <c r="ED119" i="6"/>
  <c r="EC119" i="6"/>
  <c r="EB119" i="6"/>
  <c r="EA119" i="6"/>
  <c r="DZ119" i="6"/>
  <c r="DY119" i="6"/>
  <c r="DX119" i="6"/>
  <c r="DW119" i="6"/>
  <c r="DV119" i="6"/>
  <c r="DU119" i="6"/>
  <c r="DT119" i="6"/>
  <c r="DS119" i="6"/>
  <c r="DR119" i="6"/>
  <c r="DQ119" i="6"/>
  <c r="DP119" i="6"/>
  <c r="DO119" i="6"/>
  <c r="DN119" i="6"/>
  <c r="DM119" i="6"/>
  <c r="DL119" i="6"/>
  <c r="DK119" i="6"/>
  <c r="DJ119" i="6"/>
  <c r="DI119" i="6"/>
  <c r="DH119" i="6"/>
  <c r="DG119" i="6"/>
  <c r="DF119" i="6"/>
  <c r="DE119" i="6"/>
  <c r="DD119" i="6"/>
  <c r="DC119" i="6"/>
  <c r="DB119" i="6"/>
  <c r="DA119" i="6"/>
  <c r="CZ119" i="6"/>
  <c r="CY119" i="6"/>
  <c r="CX119" i="6"/>
  <c r="CW119" i="6"/>
  <c r="CV119" i="6"/>
  <c r="CU119" i="6"/>
  <c r="CT119" i="6"/>
  <c r="CS119" i="6"/>
  <c r="CR119" i="6"/>
  <c r="CQ119" i="6"/>
  <c r="CP119" i="6"/>
  <c r="CO119" i="6"/>
  <c r="CN119" i="6"/>
  <c r="CM119" i="6"/>
  <c r="CL119" i="6"/>
  <c r="CK119" i="6"/>
  <c r="CJ119" i="6"/>
  <c r="CI119" i="6"/>
  <c r="CH119" i="6"/>
  <c r="CG119" i="6"/>
  <c r="CF119" i="6"/>
  <c r="CE119" i="6"/>
  <c r="CD119" i="6"/>
  <c r="CC119" i="6"/>
  <c r="CB119" i="6"/>
  <c r="CA119" i="6"/>
  <c r="BZ119" i="6"/>
  <c r="BY119" i="6"/>
  <c r="BX119" i="6"/>
  <c r="BW119" i="6"/>
  <c r="BV119" i="6"/>
  <c r="BU119" i="6"/>
  <c r="BT119" i="6"/>
  <c r="BS119" i="6"/>
  <c r="BR119" i="6"/>
  <c r="BQ119" i="6"/>
  <c r="BP119" i="6"/>
  <c r="BO119" i="6"/>
  <c r="BN119" i="6"/>
  <c r="BM119" i="6"/>
  <c r="BL119" i="6"/>
  <c r="BK119" i="6"/>
  <c r="BJ119" i="6"/>
  <c r="BI119" i="6"/>
  <c r="BH119" i="6"/>
  <c r="BG119" i="6"/>
  <c r="BF119" i="6"/>
  <c r="BE119" i="6"/>
  <c r="BD119" i="6"/>
  <c r="BB119" i="6"/>
  <c r="BA119" i="6"/>
  <c r="AZ119" i="6"/>
  <c r="AY119" i="6"/>
  <c r="AX119" i="6"/>
  <c r="AW119" i="6"/>
  <c r="AV119" i="6"/>
  <c r="AU119" i="6"/>
  <c r="AT119" i="6"/>
  <c r="AS119" i="6"/>
  <c r="AR119" i="6"/>
  <c r="AQ119" i="6"/>
  <c r="AO119" i="6"/>
  <c r="AF119" i="6"/>
  <c r="AD119" i="6"/>
  <c r="AC119" i="6"/>
  <c r="AB119" i="6"/>
  <c r="AA119" i="6"/>
  <c r="Z119" i="6"/>
  <c r="Y119" i="6"/>
  <c r="X119" i="6"/>
  <c r="W119" i="6"/>
  <c r="V119" i="6"/>
  <c r="U119" i="6"/>
  <c r="T119" i="6"/>
  <c r="R119" i="6"/>
  <c r="Q119" i="6"/>
  <c r="P119" i="6"/>
  <c r="O119" i="6"/>
  <c r="N119" i="6"/>
  <c r="M119" i="6"/>
  <c r="L119" i="6"/>
  <c r="K119" i="6"/>
  <c r="J119" i="6"/>
  <c r="BD115" i="6"/>
  <c r="BC115" i="6"/>
  <c r="BB115" i="6"/>
  <c r="BA115" i="6"/>
  <c r="AZ115" i="6"/>
  <c r="AY115" i="6"/>
  <c r="AX115" i="6"/>
  <c r="AW115" i="6"/>
  <c r="AV115" i="6"/>
  <c r="AU115" i="6"/>
  <c r="AT115" i="6"/>
  <c r="AS115" i="6"/>
  <c r="CB104" i="6"/>
  <c r="CA104" i="6" s="1"/>
  <c r="BZ104" i="6" s="1"/>
  <c r="BY104" i="6" s="1"/>
  <c r="BX104" i="6" s="1"/>
  <c r="BW104" i="6" s="1"/>
  <c r="BV104" i="6" s="1"/>
  <c r="BU104" i="6" s="1"/>
  <c r="BT104" i="6" s="1"/>
  <c r="BS104" i="6" s="1"/>
  <c r="BR104" i="6" s="1"/>
  <c r="BQ104" i="6" s="1"/>
  <c r="BP104" i="6" s="1"/>
  <c r="BO104" i="6" s="1"/>
  <c r="BN104" i="6" s="1"/>
  <c r="BM104" i="6" s="1"/>
  <c r="BL104" i="6" s="1"/>
  <c r="BK104" i="6" s="1"/>
  <c r="BJ104" i="6" s="1"/>
  <c r="BI104" i="6" s="1"/>
  <c r="BH104" i="6" s="1"/>
  <c r="BG104" i="6" s="1"/>
  <c r="BF104" i="6" s="1"/>
  <c r="BE104" i="6" s="1"/>
  <c r="BD104" i="6" s="1"/>
  <c r="BC104" i="6" s="1"/>
  <c r="BB104" i="6" s="1"/>
  <c r="EH91" i="6"/>
  <c r="EG91" i="6"/>
  <c r="EF91" i="6"/>
  <c r="EE91" i="6"/>
  <c r="ED91" i="6"/>
  <c r="EC91" i="6"/>
  <c r="EB91" i="6"/>
  <c r="EA91" i="6"/>
  <c r="DZ91" i="6"/>
  <c r="DY91" i="6"/>
  <c r="DX91" i="6"/>
  <c r="DW91" i="6"/>
  <c r="DV91" i="6"/>
  <c r="DU91" i="6"/>
  <c r="DT91" i="6"/>
  <c r="DS91" i="6"/>
  <c r="DR91" i="6"/>
  <c r="DQ91" i="6"/>
  <c r="DP91" i="6"/>
  <c r="DO91" i="6"/>
  <c r="DN91" i="6"/>
  <c r="DM91" i="6"/>
  <c r="DL91" i="6"/>
  <c r="DK91" i="6"/>
  <c r="DJ91" i="6"/>
  <c r="DI91" i="6"/>
  <c r="DH91" i="6"/>
  <c r="DG91" i="6"/>
  <c r="DF91" i="6"/>
  <c r="DE91" i="6"/>
  <c r="DD91" i="6"/>
  <c r="DC91" i="6"/>
  <c r="DB91" i="6"/>
  <c r="DA91" i="6"/>
  <c r="CZ91" i="6"/>
  <c r="CY91" i="6"/>
  <c r="CX91" i="6"/>
  <c r="CW91" i="6"/>
  <c r="CV91" i="6"/>
  <c r="CU91" i="6"/>
  <c r="CT91" i="6"/>
  <c r="CS91" i="6"/>
  <c r="CR91" i="6"/>
  <c r="CQ91" i="6"/>
  <c r="CP91" i="6"/>
  <c r="CO91" i="6"/>
  <c r="CN91" i="6"/>
  <c r="CM91" i="6"/>
  <c r="CL91" i="6"/>
  <c r="CK91" i="6"/>
  <c r="CJ91" i="6"/>
  <c r="CI91" i="6"/>
  <c r="CH91" i="6"/>
  <c r="CG91" i="6"/>
  <c r="CF91" i="6"/>
  <c r="CE91" i="6"/>
  <c r="CD91" i="6"/>
  <c r="CC91" i="6"/>
  <c r="CB91" i="6"/>
  <c r="CA91" i="6"/>
  <c r="BZ91" i="6"/>
  <c r="BY91" i="6"/>
  <c r="BX91" i="6"/>
  <c r="BW91" i="6"/>
  <c r="BV91" i="6"/>
  <c r="BU91" i="6"/>
  <c r="BT91" i="6"/>
  <c r="BS91" i="6"/>
  <c r="BR91" i="6"/>
  <c r="BQ91" i="6"/>
  <c r="BP91" i="6"/>
  <c r="BO91" i="6"/>
  <c r="BN91" i="6"/>
  <c r="BM91" i="6"/>
  <c r="BL91" i="6"/>
  <c r="BK91" i="6"/>
  <c r="BJ91" i="6"/>
  <c r="BI91" i="6"/>
  <c r="BH91" i="6"/>
  <c r="BG91" i="6"/>
  <c r="BF91" i="6"/>
  <c r="BE91" i="6"/>
  <c r="BD91" i="6"/>
  <c r="BB91" i="6"/>
  <c r="BA91" i="6"/>
  <c r="AZ91" i="6"/>
  <c r="AY91" i="6"/>
  <c r="AX91" i="6"/>
  <c r="AW91" i="6"/>
  <c r="AV91" i="6"/>
  <c r="AU91" i="6"/>
  <c r="AT91" i="6"/>
  <c r="AS91" i="6"/>
  <c r="AR91" i="6"/>
  <c r="AQ91" i="6"/>
  <c r="AO91" i="6"/>
  <c r="AF91" i="6"/>
  <c r="AD91" i="6"/>
  <c r="AC91" i="6"/>
  <c r="AB91" i="6"/>
  <c r="AA91" i="6"/>
  <c r="Z91" i="6"/>
  <c r="Y91" i="6"/>
  <c r="X91" i="6"/>
  <c r="W91" i="6"/>
  <c r="V91" i="6"/>
  <c r="U91" i="6"/>
  <c r="T91" i="6"/>
  <c r="R91" i="6"/>
  <c r="Q91" i="6"/>
  <c r="P91" i="6"/>
  <c r="O91" i="6"/>
  <c r="N91" i="6"/>
  <c r="M91" i="6"/>
  <c r="L91" i="6"/>
  <c r="K91" i="6"/>
  <c r="J91" i="6"/>
  <c r="BD88" i="6"/>
  <c r="BC88" i="6" s="1"/>
  <c r="BB88" i="6" s="1"/>
  <c r="BA88" i="6" s="1"/>
  <c r="AZ88" i="6" s="1"/>
  <c r="AY88" i="6" s="1"/>
  <c r="AX88" i="6" s="1"/>
  <c r="AW88" i="6" s="1"/>
  <c r="AV88" i="6" s="1"/>
  <c r="AU88" i="6" s="1"/>
  <c r="AT88" i="6" s="1"/>
  <c r="AS88" i="6" s="1"/>
  <c r="CB74" i="6"/>
  <c r="CA74" i="6" s="1"/>
  <c r="BZ74" i="6" s="1"/>
  <c r="BY74" i="6" s="1"/>
  <c r="BX74" i="6" s="1"/>
  <c r="BW74" i="6" s="1"/>
  <c r="BV74" i="6" s="1"/>
  <c r="BU74" i="6" s="1"/>
  <c r="BT74" i="6" s="1"/>
  <c r="BS74" i="6" s="1"/>
  <c r="BR74" i="6" s="1"/>
  <c r="BQ74" i="6" s="1"/>
  <c r="BP74" i="6" s="1"/>
  <c r="BO74" i="6" s="1"/>
  <c r="BN74" i="6" s="1"/>
  <c r="BM74" i="6" s="1"/>
  <c r="BL74" i="6" s="1"/>
  <c r="BK74" i="6" s="1"/>
  <c r="BJ74" i="6" s="1"/>
  <c r="BI74" i="6" s="1"/>
  <c r="BH74" i="6" s="1"/>
  <c r="BG74" i="6" s="1"/>
  <c r="BF74" i="6" s="1"/>
  <c r="BE74" i="6" s="1"/>
  <c r="BD74" i="6" s="1"/>
  <c r="BC74" i="6" s="1"/>
  <c r="BB74" i="6" s="1"/>
  <c r="AT74" i="6"/>
  <c r="EH72" i="6"/>
  <c r="EG72" i="6"/>
  <c r="EF72" i="6"/>
  <c r="EE72" i="6"/>
  <c r="ED72" i="6"/>
  <c r="EC72" i="6"/>
  <c r="EB72" i="6"/>
  <c r="EA72" i="6"/>
  <c r="DZ72" i="6"/>
  <c r="DY72" i="6"/>
  <c r="DX72" i="6"/>
  <c r="DW72" i="6"/>
  <c r="DV72" i="6"/>
  <c r="DU72" i="6"/>
  <c r="DT72" i="6"/>
  <c r="DS72" i="6"/>
  <c r="DR72" i="6"/>
  <c r="DQ72" i="6"/>
  <c r="DP72" i="6"/>
  <c r="DO72" i="6"/>
  <c r="DN72" i="6"/>
  <c r="DM72" i="6"/>
  <c r="DL72" i="6"/>
  <c r="DK72" i="6"/>
  <c r="DJ72" i="6"/>
  <c r="DI72" i="6"/>
  <c r="DH72" i="6"/>
  <c r="DG72" i="6"/>
  <c r="DF72" i="6"/>
  <c r="DE72" i="6"/>
  <c r="DD72" i="6"/>
  <c r="DC72" i="6"/>
  <c r="DB72" i="6"/>
  <c r="DA72" i="6"/>
  <c r="CZ72" i="6"/>
  <c r="CY72" i="6"/>
  <c r="CX72" i="6"/>
  <c r="CW72" i="6"/>
  <c r="CV72" i="6"/>
  <c r="CU72" i="6"/>
  <c r="CT72" i="6"/>
  <c r="CS72" i="6"/>
  <c r="CR72" i="6"/>
  <c r="CQ72" i="6"/>
  <c r="CP72" i="6"/>
  <c r="CO72" i="6"/>
  <c r="CN72" i="6"/>
  <c r="CM72" i="6"/>
  <c r="CL72" i="6"/>
  <c r="CK72" i="6"/>
  <c r="CJ72" i="6"/>
  <c r="CI72" i="6"/>
  <c r="CH72" i="6"/>
  <c r="CG72" i="6"/>
  <c r="CF72" i="6"/>
  <c r="CE72" i="6"/>
  <c r="CD72" i="6"/>
  <c r="CC72" i="6"/>
  <c r="CB72" i="6"/>
  <c r="CA72" i="6"/>
  <c r="BZ72" i="6"/>
  <c r="BY72" i="6"/>
  <c r="BX72" i="6"/>
  <c r="BW72" i="6"/>
  <c r="BV72" i="6"/>
  <c r="BU72" i="6"/>
  <c r="BT72" i="6"/>
  <c r="BS72" i="6"/>
  <c r="BR72" i="6"/>
  <c r="BQ72" i="6"/>
  <c r="BP72" i="6"/>
  <c r="BO72" i="6"/>
  <c r="BN72" i="6"/>
  <c r="BM72" i="6"/>
  <c r="BL72" i="6"/>
  <c r="BK72" i="6"/>
  <c r="BJ72" i="6"/>
  <c r="BI72" i="6"/>
  <c r="BH72" i="6"/>
  <c r="BG72" i="6"/>
  <c r="BF72" i="6"/>
  <c r="BE72" i="6"/>
  <c r="BD72" i="6"/>
  <c r="BB72" i="6"/>
  <c r="BA72" i="6"/>
  <c r="AZ72" i="6"/>
  <c r="AY72" i="6"/>
  <c r="AX72" i="6"/>
  <c r="AW72" i="6"/>
  <c r="AV72" i="6"/>
  <c r="AU72" i="6"/>
  <c r="AT72" i="6"/>
  <c r="AS72" i="6"/>
  <c r="AR72" i="6"/>
  <c r="AQ72" i="6"/>
  <c r="AO72" i="6"/>
  <c r="AF72" i="6"/>
  <c r="AD72" i="6"/>
  <c r="AC72" i="6"/>
  <c r="AB72" i="6"/>
  <c r="AA72" i="6"/>
  <c r="Z72" i="6"/>
  <c r="Y72" i="6"/>
  <c r="X72" i="6"/>
  <c r="W72" i="6"/>
  <c r="V72" i="6"/>
  <c r="U72" i="6"/>
  <c r="T72" i="6"/>
  <c r="R72" i="6"/>
  <c r="Q72" i="6"/>
  <c r="P72" i="6"/>
  <c r="O72" i="6"/>
  <c r="N72" i="6"/>
  <c r="M72" i="6"/>
  <c r="L72" i="6"/>
  <c r="K72" i="6"/>
  <c r="J72" i="6"/>
  <c r="HG56" i="6"/>
  <c r="HF55" i="6"/>
  <c r="HF52" i="6"/>
  <c r="HF50" i="6"/>
  <c r="HF48" i="6"/>
  <c r="CB45" i="6"/>
  <c r="CA45" i="6" s="1"/>
  <c r="BZ45" i="6" s="1"/>
  <c r="BY45" i="6" s="1"/>
  <c r="BX45" i="6" s="1"/>
  <c r="BW45" i="6" s="1"/>
  <c r="BV45" i="6" s="1"/>
  <c r="BU45" i="6" s="1"/>
  <c r="BT45" i="6" s="1"/>
  <c r="BS45" i="6" s="1"/>
  <c r="BR45" i="6" s="1"/>
  <c r="BQ45" i="6" s="1"/>
  <c r="BP45" i="6" s="1"/>
  <c r="BO45" i="6" s="1"/>
  <c r="BN45" i="6" s="1"/>
  <c r="BM45" i="6" s="1"/>
  <c r="BL45" i="6" s="1"/>
  <c r="BK45" i="6" s="1"/>
  <c r="BJ45" i="6" s="1"/>
  <c r="BI45" i="6" s="1"/>
  <c r="BH45" i="6" s="1"/>
  <c r="BG45" i="6" s="1"/>
  <c r="BF45" i="6" s="1"/>
  <c r="BE45" i="6" s="1"/>
  <c r="BD45" i="6" s="1"/>
  <c r="BC45" i="6" s="1"/>
  <c r="BB45" i="6" s="1"/>
  <c r="AT45" i="6"/>
  <c r="HF44" i="6"/>
  <c r="EH37" i="6"/>
  <c r="EG37" i="6"/>
  <c r="EF37" i="6"/>
  <c r="EE37" i="6"/>
  <c r="ED37" i="6"/>
  <c r="EC37" i="6"/>
  <c r="EB37" i="6"/>
  <c r="EA37" i="6"/>
  <c r="DZ37" i="6"/>
  <c r="DY37" i="6"/>
  <c r="DX37" i="6"/>
  <c r="DW37" i="6"/>
  <c r="DV37" i="6"/>
  <c r="DU37" i="6"/>
  <c r="DT37" i="6"/>
  <c r="DS37" i="6"/>
  <c r="DR37" i="6"/>
  <c r="DQ37" i="6"/>
  <c r="DP37" i="6"/>
  <c r="DO37" i="6"/>
  <c r="DN37" i="6"/>
  <c r="DM37" i="6"/>
  <c r="DL37" i="6"/>
  <c r="DK37" i="6"/>
  <c r="DJ37" i="6"/>
  <c r="DI37" i="6"/>
  <c r="DH37" i="6"/>
  <c r="DG37" i="6"/>
  <c r="DF37" i="6"/>
  <c r="DE37" i="6"/>
  <c r="DD37" i="6"/>
  <c r="DC37" i="6"/>
  <c r="DB37" i="6"/>
  <c r="DA37" i="6"/>
  <c r="CZ37" i="6"/>
  <c r="CY37" i="6"/>
  <c r="CX37" i="6"/>
  <c r="CW37" i="6"/>
  <c r="CV37" i="6"/>
  <c r="CU37" i="6"/>
  <c r="CT37" i="6"/>
  <c r="CS37" i="6"/>
  <c r="CR37" i="6"/>
  <c r="CQ37" i="6"/>
  <c r="CP37" i="6"/>
  <c r="CO37" i="6"/>
  <c r="CN37" i="6"/>
  <c r="CM37" i="6"/>
  <c r="CL37" i="6"/>
  <c r="CK37" i="6"/>
  <c r="CJ37" i="6"/>
  <c r="CI37" i="6"/>
  <c r="CH37" i="6"/>
  <c r="CG37" i="6"/>
  <c r="CF37" i="6"/>
  <c r="CE37" i="6"/>
  <c r="CD37" i="6"/>
  <c r="CC37" i="6"/>
  <c r="CB37" i="6"/>
  <c r="CA37" i="6"/>
  <c r="BZ37" i="6"/>
  <c r="BY37" i="6"/>
  <c r="BX37" i="6"/>
  <c r="BW37" i="6"/>
  <c r="BV37" i="6"/>
  <c r="BU37" i="6"/>
  <c r="BT37" i="6"/>
  <c r="BS37" i="6"/>
  <c r="BR37" i="6"/>
  <c r="BQ37" i="6"/>
  <c r="BP37" i="6"/>
  <c r="BO37" i="6"/>
  <c r="BN37" i="6"/>
  <c r="BM37" i="6"/>
  <c r="BL37" i="6"/>
  <c r="BK37" i="6"/>
  <c r="BJ37" i="6"/>
  <c r="BI37" i="6"/>
  <c r="BH37" i="6"/>
  <c r="BG37" i="6"/>
  <c r="BF37" i="6"/>
  <c r="BE37" i="6"/>
  <c r="BD37" i="6"/>
  <c r="BB37" i="6"/>
  <c r="BA37" i="6"/>
  <c r="AZ37" i="6"/>
  <c r="AY37" i="6"/>
  <c r="AX37" i="6"/>
  <c r="AW37" i="6"/>
  <c r="AV37" i="6"/>
  <c r="AU37" i="6"/>
  <c r="AT37" i="6"/>
  <c r="AS37" i="6"/>
  <c r="AR37" i="6"/>
  <c r="AQ37" i="6"/>
  <c r="AO37" i="6"/>
  <c r="AF37" i="6"/>
  <c r="AD37" i="6"/>
  <c r="AC37" i="6"/>
  <c r="AB37" i="6"/>
  <c r="AA37" i="6"/>
  <c r="Z37" i="6"/>
  <c r="Y37" i="6"/>
  <c r="X37" i="6"/>
  <c r="W37" i="6"/>
  <c r="V37" i="6"/>
  <c r="U37" i="6"/>
  <c r="T37" i="6"/>
  <c r="R37" i="6"/>
  <c r="Q37" i="6"/>
  <c r="P37" i="6"/>
  <c r="O37" i="6"/>
  <c r="N37" i="6"/>
  <c r="M37" i="6"/>
  <c r="L37" i="6"/>
  <c r="K37" i="6"/>
  <c r="J37" i="6"/>
  <c r="CA25" i="6"/>
  <c r="BY25" i="6"/>
  <c r="BV25" i="6"/>
  <c r="BU25" i="6"/>
  <c r="BT25" i="6"/>
  <c r="BS25" i="6"/>
  <c r="BR25" i="6"/>
  <c r="BQ25" i="6"/>
  <c r="BP25" i="6"/>
  <c r="BO25" i="6"/>
  <c r="BN25" i="6"/>
  <c r="BM25" i="6"/>
  <c r="BL25" i="6"/>
  <c r="BK25" i="6"/>
  <c r="BJ25" i="6"/>
  <c r="BI25" i="6"/>
  <c r="BC25" i="6"/>
  <c r="BB25" i="6"/>
  <c r="EH16" i="6"/>
  <c r="EG16" i="6"/>
  <c r="EF16" i="6"/>
  <c r="EE16" i="6"/>
  <c r="ED16" i="6"/>
  <c r="EC16" i="6"/>
  <c r="EB16" i="6"/>
  <c r="EA16" i="6"/>
  <c r="DZ16" i="6"/>
  <c r="DY16" i="6"/>
  <c r="DX16" i="6"/>
  <c r="DW16" i="6"/>
  <c r="DV16" i="6"/>
  <c r="DU16" i="6"/>
  <c r="DT16" i="6"/>
  <c r="DS16" i="6"/>
  <c r="DR16" i="6"/>
  <c r="DQ16" i="6"/>
  <c r="DP16" i="6"/>
  <c r="DO16" i="6"/>
  <c r="DN16" i="6"/>
  <c r="DM16" i="6"/>
  <c r="DL16" i="6"/>
  <c r="DK16" i="6"/>
  <c r="DJ16" i="6"/>
  <c r="DI16" i="6"/>
  <c r="DH16" i="6"/>
  <c r="DG16" i="6"/>
  <c r="DF16" i="6"/>
  <c r="DE16" i="6"/>
  <c r="DD16" i="6"/>
  <c r="DC16" i="6"/>
  <c r="DB16" i="6"/>
  <c r="DA16" i="6"/>
  <c r="CZ16" i="6"/>
  <c r="CY16" i="6"/>
  <c r="CX16" i="6"/>
  <c r="CW16" i="6"/>
  <c r="CV16" i="6"/>
  <c r="CU16" i="6"/>
  <c r="CT16" i="6"/>
  <c r="CS16" i="6"/>
  <c r="CR16" i="6"/>
  <c r="CQ16" i="6"/>
  <c r="CP16" i="6"/>
  <c r="CO16" i="6"/>
  <c r="CN16" i="6"/>
  <c r="CM16" i="6"/>
  <c r="CL16" i="6"/>
  <c r="CK16" i="6"/>
  <c r="CJ16" i="6"/>
  <c r="CI16" i="6"/>
  <c r="CH16" i="6"/>
  <c r="CG16" i="6"/>
  <c r="CF16" i="6"/>
  <c r="CE16" i="6"/>
  <c r="CD16" i="6"/>
  <c r="CC16" i="6"/>
  <c r="CB16" i="6"/>
  <c r="CA16" i="6"/>
  <c r="BZ16" i="6"/>
  <c r="BY16" i="6"/>
  <c r="BX16" i="6"/>
  <c r="BW16" i="6"/>
  <c r="BV16" i="6"/>
  <c r="BU16" i="6"/>
  <c r="BT16" i="6"/>
  <c r="BS16" i="6"/>
  <c r="BR16" i="6"/>
  <c r="BQ16" i="6"/>
  <c r="BP16" i="6"/>
  <c r="BO16" i="6"/>
  <c r="BN16" i="6"/>
  <c r="BM16" i="6"/>
  <c r="BL16" i="6"/>
  <c r="BK16" i="6"/>
  <c r="BJ16" i="6"/>
  <c r="BI16" i="6"/>
  <c r="BH16" i="6"/>
  <c r="BG16" i="6"/>
  <c r="BF16" i="6"/>
  <c r="BE16" i="6"/>
  <c r="BD16" i="6"/>
  <c r="BB16" i="6"/>
  <c r="BA16" i="6"/>
  <c r="AZ16" i="6"/>
  <c r="AY16" i="6"/>
  <c r="AX16" i="6"/>
  <c r="AW16" i="6"/>
  <c r="AV16" i="6"/>
  <c r="AU16" i="6"/>
  <c r="AT16" i="6"/>
  <c r="AS16" i="6"/>
  <c r="AR16" i="6"/>
  <c r="AQ16" i="6"/>
  <c r="AO16" i="6"/>
  <c r="AF16" i="6"/>
  <c r="AD16" i="6"/>
  <c r="AC16" i="6"/>
  <c r="AB16" i="6"/>
  <c r="AA16" i="6"/>
  <c r="Z16" i="6"/>
  <c r="Y16" i="6"/>
  <c r="X16" i="6"/>
  <c r="W16" i="6"/>
  <c r="V16" i="6"/>
  <c r="U16" i="6"/>
  <c r="T16" i="6"/>
  <c r="R16" i="6"/>
  <c r="Q16" i="6"/>
  <c r="P16" i="6"/>
  <c r="O16" i="6"/>
  <c r="N16" i="6"/>
  <c r="M16" i="6"/>
  <c r="L16" i="6"/>
  <c r="K16" i="6"/>
  <c r="J16" i="6"/>
  <c r="CB9" i="6"/>
  <c r="CA9" i="6" s="1"/>
  <c r="BZ9" i="6" s="1"/>
  <c r="BY9" i="6" s="1"/>
  <c r="BX9" i="6" s="1"/>
  <c r="BW9" i="6" s="1"/>
  <c r="BV9" i="6" s="1"/>
  <c r="BU9" i="6" s="1"/>
  <c r="BT9" i="6" s="1"/>
  <c r="BS9" i="6" s="1"/>
  <c r="BR9" i="6" s="1"/>
  <c r="BQ9" i="6" s="1"/>
  <c r="BP9" i="6" s="1"/>
  <c r="BO9" i="6" s="1"/>
  <c r="BN9" i="6" s="1"/>
  <c r="BM9" i="6" s="1"/>
  <c r="BL9" i="6" s="1"/>
  <c r="BK9" i="6" s="1"/>
  <c r="BJ9" i="6" s="1"/>
  <c r="BI9" i="6" s="1"/>
  <c r="BH9" i="6" s="1"/>
  <c r="BG9" i="6" s="1"/>
  <c r="BF9" i="6" s="1"/>
  <c r="BE9" i="6" s="1"/>
  <c r="BD9" i="6" s="1"/>
  <c r="BC9" i="6" s="1"/>
  <c r="BB9" i="6" s="1"/>
  <c r="BC3" i="6"/>
  <c r="BC126" i="6" s="1"/>
  <c r="F91" i="6"/>
  <c r="AX154" i="3" l="1"/>
  <c r="AX155" i="3"/>
  <c r="AS155" i="3"/>
  <c r="AS154" i="3"/>
  <c r="BC155" i="3"/>
  <c r="BC154" i="3"/>
  <c r="AV154" i="3"/>
  <c r="AT154" i="3"/>
  <c r="AT155" i="3"/>
  <c r="AY154" i="3"/>
  <c r="AY155" i="3"/>
  <c r="AZ154" i="3"/>
  <c r="AZ155" i="3"/>
  <c r="BA154" i="3"/>
  <c r="BA155" i="3"/>
  <c r="BB154" i="3"/>
  <c r="AU155" i="3"/>
  <c r="BH50" i="7"/>
  <c r="G54" i="5"/>
  <c r="BB64" i="7"/>
  <c r="BT50" i="7"/>
  <c r="BG50" i="7"/>
  <c r="T72" i="2"/>
  <c r="BS42" i="7"/>
  <c r="BG3" i="3"/>
  <c r="BG231" i="3" s="1"/>
  <c r="BT42" i="7"/>
  <c r="BG57" i="7"/>
  <c r="BH57" i="7"/>
  <c r="BK71" i="7"/>
  <c r="BI57" i="7"/>
  <c r="BM71" i="7"/>
  <c r="BB29" i="7"/>
  <c r="BB42" i="7" s="1"/>
  <c r="BK57" i="7"/>
  <c r="BO71" i="7"/>
  <c r="BP19" i="7"/>
  <c r="BC64" i="7"/>
  <c r="BV11" i="7"/>
  <c r="BV50" i="7"/>
  <c r="BK64" i="7"/>
  <c r="S3" i="6"/>
  <c r="S126" i="6" s="1"/>
  <c r="AE3" i="6"/>
  <c r="AE37" i="6" s="1"/>
  <c r="BR42" i="7"/>
  <c r="BP71" i="7"/>
  <c r="BM29" i="7"/>
  <c r="BM36" i="7" s="1"/>
  <c r="BM57" i="7"/>
  <c r="BO57" i="7"/>
  <c r="BR71" i="7"/>
  <c r="BV57" i="7"/>
  <c r="BM19" i="7"/>
  <c r="T84" i="2"/>
  <c r="H119" i="6"/>
  <c r="BT11" i="7"/>
  <c r="AX57" i="7"/>
  <c r="AY57" i="7"/>
  <c r="AZ57" i="7"/>
  <c r="BF57" i="7"/>
  <c r="AY36" i="7"/>
  <c r="AZ36" i="7"/>
  <c r="BZ64" i="7"/>
  <c r="BA36" i="7"/>
  <c r="AX42" i="7"/>
  <c r="AW42" i="7"/>
  <c r="AY64" i="7"/>
  <c r="BZ71" i="7"/>
  <c r="AZ64" i="7"/>
  <c r="BF64" i="7"/>
  <c r="G11" i="7"/>
  <c r="G19" i="7"/>
  <c r="G42" i="7"/>
  <c r="G34" i="5"/>
  <c r="CA50" i="7"/>
  <c r="CA57" i="7" s="1"/>
  <c r="CA64" i="7" s="1"/>
  <c r="CA71" i="7" s="1"/>
  <c r="CA36" i="7"/>
  <c r="CA42" i="7"/>
  <c r="BC36" i="7"/>
  <c r="BC42" i="7"/>
  <c r="BJ71" i="7"/>
  <c r="BJ36" i="7"/>
  <c r="BJ42" i="7"/>
  <c r="BW71" i="7"/>
  <c r="BJ50" i="7"/>
  <c r="BW64" i="7"/>
  <c r="BN42" i="7"/>
  <c r="G79" i="7"/>
  <c r="G71" i="7"/>
  <c r="G57" i="7"/>
  <c r="AX71" i="7"/>
  <c r="G87" i="7"/>
  <c r="G50" i="7"/>
  <c r="IG28" i="2"/>
  <c r="IH28" i="2"/>
  <c r="G122" i="3"/>
  <c r="I122" i="3"/>
  <c r="G36" i="7"/>
  <c r="H126" i="6"/>
  <c r="H138" i="6"/>
  <c r="H91" i="6"/>
  <c r="BQ19" i="7"/>
  <c r="BD29" i="7"/>
  <c r="BP57" i="7"/>
  <c r="BD64" i="7"/>
  <c r="BS71" i="7"/>
  <c r="BR19" i="7"/>
  <c r="BE29" i="7"/>
  <c r="AV36" i="7"/>
  <c r="BM42" i="7"/>
  <c r="BE64" i="7"/>
  <c r="BT71" i="7"/>
  <c r="G238" i="3"/>
  <c r="O48" i="2"/>
  <c r="BS19" i="7"/>
  <c r="BG29" i="7"/>
  <c r="BB50" i="7"/>
  <c r="BR57" i="7"/>
  <c r="I238" i="3"/>
  <c r="BT19" i="7"/>
  <c r="BH29" i="7"/>
  <c r="BO42" i="7"/>
  <c r="BC50" i="7"/>
  <c r="BS57" i="7"/>
  <c r="BG64" i="7"/>
  <c r="BV71" i="7"/>
  <c r="Q4" i="5"/>
  <c r="BI29" i="7"/>
  <c r="BP42" i="7"/>
  <c r="BD50" i="7"/>
  <c r="BT57" i="7"/>
  <c r="BH64" i="7"/>
  <c r="BL3" i="2"/>
  <c r="I37" i="6"/>
  <c r="BV19" i="7"/>
  <c r="BE50" i="7"/>
  <c r="BI64" i="7"/>
  <c r="G231" i="3"/>
  <c r="BO29" i="7"/>
  <c r="BO36" i="7" s="1"/>
  <c r="BI50" i="7"/>
  <c r="BM64" i="7"/>
  <c r="G170" i="3"/>
  <c r="BP29" i="7"/>
  <c r="BP36" i="7" s="1"/>
  <c r="BV42" i="7"/>
  <c r="I170" i="3"/>
  <c r="F119" i="6"/>
  <c r="BR29" i="7"/>
  <c r="BR36" i="7" s="1"/>
  <c r="BK50" i="7"/>
  <c r="BO64" i="7"/>
  <c r="BB71" i="7"/>
  <c r="G94" i="7"/>
  <c r="BM11" i="7"/>
  <c r="BS29" i="7"/>
  <c r="BS36" i="7" s="1"/>
  <c r="BP64" i="7"/>
  <c r="BC71" i="7"/>
  <c r="BQ4" i="7"/>
  <c r="BT29" i="7"/>
  <c r="BT36" i="7" s="1"/>
  <c r="BM50" i="7"/>
  <c r="BD71" i="7"/>
  <c r="G186" i="3"/>
  <c r="BO11" i="7"/>
  <c r="BP11" i="7"/>
  <c r="BV29" i="7"/>
  <c r="BV36" i="7" s="1"/>
  <c r="BO50" i="7"/>
  <c r="BC57" i="7"/>
  <c r="G64" i="7"/>
  <c r="BS64" i="7"/>
  <c r="BB57" i="7"/>
  <c r="BR64" i="7"/>
  <c r="BE71" i="7"/>
  <c r="I186" i="3"/>
  <c r="BQ11" i="7"/>
  <c r="BP50" i="7"/>
  <c r="BD57" i="7"/>
  <c r="BT64" i="7"/>
  <c r="BG71" i="7"/>
  <c r="G75" i="3"/>
  <c r="BR11" i="7"/>
  <c r="BR50" i="7"/>
  <c r="BE57" i="7"/>
  <c r="BH71" i="7"/>
  <c r="I75" i="3"/>
  <c r="BS11" i="7"/>
  <c r="BS50" i="7"/>
  <c r="BV64" i="7"/>
  <c r="BI71" i="7"/>
  <c r="BC72" i="6"/>
  <c r="BC138" i="6"/>
  <c r="BC37" i="6"/>
  <c r="BC119" i="6"/>
  <c r="BC91" i="6"/>
  <c r="F126" i="6"/>
  <c r="BC16" i="6"/>
  <c r="F37" i="6"/>
  <c r="F72" i="6"/>
  <c r="F16" i="6"/>
  <c r="F138" i="6"/>
  <c r="BB36" i="7" l="1"/>
  <c r="BG238" i="3"/>
  <c r="BG170" i="3"/>
  <c r="BG75" i="3"/>
  <c r="BG122" i="3"/>
  <c r="G138" i="6"/>
  <c r="G16" i="6"/>
  <c r="G37" i="6"/>
  <c r="G72" i="6"/>
  <c r="G91" i="6"/>
  <c r="G119" i="6"/>
  <c r="G126" i="6"/>
  <c r="AE138" i="6"/>
  <c r="S16" i="6"/>
  <c r="AE72" i="6"/>
  <c r="S37" i="6"/>
  <c r="AE91" i="6"/>
  <c r="S119" i="6"/>
  <c r="AE126" i="6"/>
  <c r="S72" i="6"/>
  <c r="S91" i="6"/>
  <c r="AE119" i="6"/>
  <c r="AE16" i="6"/>
  <c r="S138" i="6"/>
  <c r="BG28" i="3"/>
  <c r="BG186" i="3"/>
  <c r="H238" i="3"/>
  <c r="H28" i="3"/>
  <c r="H122" i="3"/>
  <c r="H186" i="3"/>
  <c r="H231" i="3"/>
  <c r="H75" i="3"/>
  <c r="H170" i="3"/>
  <c r="U72" i="2"/>
  <c r="U84" i="2"/>
  <c r="U26" i="2"/>
  <c r="U49" i="2"/>
  <c r="H79" i="7"/>
  <c r="H94" i="7"/>
  <c r="H19" i="7"/>
  <c r="H42" i="7"/>
  <c r="H64" i="7"/>
  <c r="H87" i="7"/>
  <c r="H11" i="7"/>
  <c r="H29" i="7"/>
  <c r="H36" i="7"/>
  <c r="H57" i="7"/>
  <c r="H71" i="7"/>
  <c r="H50" i="7"/>
  <c r="H72" i="6"/>
  <c r="H37" i="6"/>
  <c r="H16" i="6"/>
  <c r="BJ57" i="7"/>
  <c r="BJ64" i="7"/>
  <c r="CA79" i="7"/>
  <c r="CA87" i="7"/>
  <c r="CA94" i="7" s="1"/>
  <c r="I91" i="6"/>
  <c r="BL49" i="2"/>
  <c r="BL84" i="2"/>
  <c r="BL72" i="2"/>
  <c r="I50" i="7"/>
  <c r="I11" i="7"/>
  <c r="I29" i="7"/>
  <c r="I64" i="7"/>
  <c r="I79" i="7"/>
  <c r="I94" i="7"/>
  <c r="I42" i="7"/>
  <c r="I57" i="7"/>
  <c r="I19" i="7"/>
  <c r="I71" i="7"/>
  <c r="I87" i="7"/>
  <c r="I36" i="7"/>
  <c r="V26" i="2"/>
  <c r="V49" i="2"/>
  <c r="V84" i="2"/>
  <c r="V72" i="2"/>
  <c r="BE36" i="7"/>
  <c r="BE42" i="7"/>
  <c r="Q14" i="5"/>
  <c r="Q54" i="5"/>
  <c r="Q34" i="5"/>
  <c r="I14" i="5"/>
  <c r="I54" i="5"/>
  <c r="I34" i="5"/>
  <c r="BG36" i="7"/>
  <c r="BG42" i="7"/>
  <c r="O71" i="2"/>
  <c r="O83" i="2"/>
  <c r="I138" i="6"/>
  <c r="I119" i="6"/>
  <c r="BI36" i="7"/>
  <c r="BI42" i="7"/>
  <c r="BD42" i="7"/>
  <c r="BD36" i="7"/>
  <c r="I16" i="6"/>
  <c r="I126" i="6"/>
  <c r="BH36" i="7"/>
  <c r="BH42" i="7"/>
  <c r="D3" i="4"/>
  <c r="D3" i="9"/>
</calcChain>
</file>

<file path=xl/sharedStrings.xml><?xml version="1.0" encoding="utf-8"?>
<sst xmlns="http://schemas.openxmlformats.org/spreadsheetml/2006/main" count="8848" uniqueCount="837">
  <si>
    <t>S/R</t>
  </si>
  <si>
    <t>Bank List</t>
  </si>
  <si>
    <t>新元促销</t>
  </si>
  <si>
    <t>美元促销</t>
  </si>
  <si>
    <t>其他外币促销利率</t>
  </si>
  <si>
    <t>新元挂牌</t>
  </si>
  <si>
    <t>美元挂牌</t>
  </si>
  <si>
    <t>人民币挂牌</t>
  </si>
  <si>
    <t>Time Deposit Renewal Rate</t>
  </si>
  <si>
    <t>Criteria</t>
  </si>
  <si>
    <t>Website statement</t>
  </si>
  <si>
    <t>Remarks</t>
  </si>
  <si>
    <t>BEA</t>
  </si>
  <si>
    <t>prevailing interest rate</t>
  </si>
  <si>
    <t>No interest will be paid for any premature withdrawal</t>
  </si>
  <si>
    <r>
      <t>The principal and interest of fixed deposits will be automatically renewed on maturity for the same period at the</t>
    </r>
    <r>
      <rPr>
        <sz val="10"/>
        <color rgb="FFFF0000"/>
        <rFont val="Arial"/>
        <family val="2"/>
      </rPr>
      <t xml:space="preserve"> prevailing fixed deposit interest rate</t>
    </r>
    <r>
      <rPr>
        <sz val="10"/>
        <color theme="8" tint="-0.249977111117893"/>
        <rFont val="Arial"/>
        <family val="2"/>
      </rPr>
      <t xml:space="preserve"> unless otherwise advised by the Customer. </t>
    </r>
  </si>
  <si>
    <t>BOC</t>
  </si>
  <si>
    <t>promotional interest rates</t>
  </si>
  <si>
    <t>counter rate</t>
  </si>
  <si>
    <t>Cunter promotional interest rates</t>
  </si>
  <si>
    <t>CIMB</t>
  </si>
  <si>
    <t>promotional rates (if any) or board rates</t>
  </si>
  <si>
    <r>
      <t xml:space="preserve">Upon maturity of the fixed deposit placement(s), the principal and interest amounts shall be renewed at CIMB Bank’s </t>
    </r>
    <r>
      <rPr>
        <sz val="10"/>
        <color rgb="FFFF0000"/>
        <rFont val="Arial"/>
        <family val="2"/>
      </rPr>
      <t>prevailing fixed deposit promotional rates (if any) or board rates</t>
    </r>
    <r>
      <rPr>
        <sz val="10"/>
        <color theme="8" tint="-0.249977111117893"/>
        <rFont val="Arial"/>
        <family val="2"/>
      </rPr>
      <t xml:space="preserve"> for the same tenure as the original fixed deposit placement, unless other maturity instructions are provided by the account holder.</t>
    </r>
  </si>
  <si>
    <t>CITI</t>
  </si>
  <si>
    <t>board rates</t>
  </si>
  <si>
    <r>
      <t xml:space="preserve">If client has selected to rollover the time deposit upon maturity, the time deposit will be renewed at </t>
    </r>
    <r>
      <rPr>
        <sz val="10"/>
        <color theme="3"/>
        <rFont val="Arial"/>
        <family val="2"/>
      </rPr>
      <t>prevailing</t>
    </r>
    <r>
      <rPr>
        <sz val="10"/>
        <color theme="4"/>
        <rFont val="Arial"/>
        <family val="2"/>
      </rPr>
      <t xml:space="preserve"> </t>
    </r>
    <r>
      <rPr>
        <sz val="10"/>
        <color rgb="FFFF0000"/>
        <rFont val="Arial"/>
        <family val="2"/>
      </rPr>
      <t>board rates</t>
    </r>
    <r>
      <rPr>
        <sz val="10"/>
        <color theme="8" tint="-0.249977111117893"/>
        <rFont val="Arial"/>
        <family val="2"/>
      </rPr>
      <t xml:space="preserve"> upon maturity.</t>
    </r>
  </si>
  <si>
    <t>DBS/POSB</t>
  </si>
  <si>
    <r>
      <t xml:space="preserve">Upon maturity, the Fixed Deposit placement (including interest) will be renewed automatically based on the same tenor at the </t>
    </r>
    <r>
      <rPr>
        <sz val="10"/>
        <color rgb="FFFF0000"/>
        <rFont val="Arial"/>
        <family val="2"/>
      </rPr>
      <t>prevailing interest rate</t>
    </r>
    <r>
      <rPr>
        <sz val="10"/>
        <color theme="8" tint="-0.249977111117893"/>
        <rFont val="Arial"/>
        <family val="2"/>
      </rPr>
      <t>, unless you provide us with other instructions at least 1 working day before the maturity via digibank.</t>
    </r>
  </si>
  <si>
    <t>New placement
No interest will be paid for any premature withdrawal</t>
  </si>
  <si>
    <t>HLB</t>
  </si>
  <si>
    <r>
      <t>Automatic Renewal: Unless the Bank has received a valid Instruction, on or before the date of maturity of the deposit, the Bank reserves the right (but shall have no obligation) to re-deposit the total amount of the deposit including principal and interest for the same deposit period, at the then</t>
    </r>
    <r>
      <rPr>
        <sz val="10"/>
        <color rgb="FFFF0000"/>
        <rFont val="Arial"/>
        <family val="2"/>
      </rPr>
      <t xml:space="preserve"> prevailing interest rate</t>
    </r>
    <r>
      <rPr>
        <sz val="10"/>
        <color theme="8" tint="-0.249977111117893"/>
        <rFont val="Arial"/>
        <family val="2"/>
      </rPr>
      <t>.</t>
    </r>
  </si>
  <si>
    <t>HLF</t>
  </si>
  <si>
    <r>
      <t xml:space="preserve">All placement/renewals will be at HLF's </t>
    </r>
    <r>
      <rPr>
        <sz val="10"/>
        <color rgb="FFFF0000"/>
        <rFont val="Arial"/>
        <family val="2"/>
      </rPr>
      <t>prevailing interest rates</t>
    </r>
    <r>
      <rPr>
        <sz val="10"/>
        <color theme="8" tint="-0.249977111117893"/>
        <rFont val="Arial"/>
        <family val="2"/>
      </rPr>
      <t>.</t>
    </r>
  </si>
  <si>
    <t>HSBC</t>
  </si>
  <si>
    <r>
      <t xml:space="preserve">Upon maturity of the time deposit placement(s), the principal and interest amount shall be renewed at our prevailing time deposit </t>
    </r>
    <r>
      <rPr>
        <sz val="10"/>
        <color rgb="FFFF0000"/>
        <rFont val="Arial"/>
        <family val="2"/>
      </rPr>
      <t>board rate</t>
    </r>
    <r>
      <rPr>
        <sz val="10"/>
        <color theme="8" tint="-0.249977111117893"/>
        <rFont val="Arial"/>
        <family val="2"/>
      </rPr>
      <t xml:space="preserve"> for the like tenure unless other maturity instructions are provided by the relevant Eligible Customer.</t>
    </r>
  </si>
  <si>
    <t>ICBC</t>
  </si>
  <si>
    <r>
      <t xml:space="preserve">Upon maturity of the FD Placement, the principal and interest amount of the FD Placement will be renewed at the Bank’s prevailing fixed deposit </t>
    </r>
    <r>
      <rPr>
        <sz val="10"/>
        <color rgb="FFFF0000"/>
        <rFont val="Arial"/>
        <family val="2"/>
      </rPr>
      <t>board rates</t>
    </r>
    <r>
      <rPr>
        <sz val="10"/>
        <color theme="8" tint="-0.249977111117893"/>
        <rFont val="Arial"/>
        <family val="2"/>
      </rPr>
      <t xml:space="preserve"> for the same tenor as FD Placement, unless other maturity instructions are provided by the account holder.</t>
    </r>
  </si>
  <si>
    <t>Maybank</t>
  </si>
  <si>
    <r>
      <t xml:space="preserve">At the end of the tenure, the Time Deposit shall be renewed for the same tenure, based on the prevailing </t>
    </r>
    <r>
      <rPr>
        <sz val="10"/>
        <color rgb="FFFF0000"/>
        <rFont val="Arial"/>
        <family val="2"/>
      </rPr>
      <t>board rates</t>
    </r>
    <r>
      <rPr>
        <sz val="10"/>
        <color theme="8" tint="-0.249977111117893"/>
        <rFont val="Arial"/>
        <family val="2"/>
      </rPr>
      <t xml:space="preserve"> and the prevailing features, terms and conditions at the time of renewal unless instructions been given by customers prior to maturity.</t>
    </r>
  </si>
  <si>
    <t>OCBC</t>
  </si>
  <si>
    <t>submit a request  via mobile banking</t>
  </si>
  <si>
    <r>
      <t>Customer can</t>
    </r>
    <r>
      <rPr>
        <sz val="10"/>
        <color rgb="FFFF0000"/>
        <rFont val="Arial"/>
        <family val="2"/>
      </rPr>
      <t xml:space="preserve"> submit a request</t>
    </r>
    <r>
      <rPr>
        <sz val="10"/>
        <color theme="8" tint="-0.249977111117893"/>
        <rFont val="Arial"/>
        <family val="2"/>
      </rPr>
      <t xml:space="preserve"> 2 to 5 business days before the maturity date via OCBC Mobile Banking to renew your upcoming maturing Time Deposit at prevailing promotion rates. To enjoy prevailing promotional rate, the amount has to meet the requirement of </t>
    </r>
    <r>
      <rPr>
        <sz val="10"/>
        <color theme="4"/>
        <rFont val="Arial"/>
        <family val="2"/>
      </rPr>
      <t>promotion rate</t>
    </r>
    <r>
      <rPr>
        <sz val="10"/>
        <color theme="8" tint="-0.249977111117893"/>
        <rFont val="Arial"/>
        <family val="2"/>
      </rPr>
      <t xml:space="preserve">, and the tenure of the existing Time Deposit need to have a </t>
    </r>
    <r>
      <rPr>
        <sz val="10"/>
        <color rgb="FFFF0000"/>
        <rFont val="Arial"/>
        <family val="2"/>
      </rPr>
      <t>promotion rate</t>
    </r>
    <r>
      <rPr>
        <sz val="10"/>
        <color theme="8" tint="-0.249977111117893"/>
        <rFont val="Arial"/>
        <family val="2"/>
      </rPr>
      <t>.</t>
    </r>
  </si>
  <si>
    <t>RHB</t>
  </si>
  <si>
    <r>
      <t xml:space="preserve">Unless otherwise instructed, the deposit will be automatically renewed upon its maturity, for the same period at the </t>
    </r>
    <r>
      <rPr>
        <sz val="10"/>
        <color rgb="FFFF0000"/>
        <rFont val="Arial"/>
        <family val="2"/>
      </rPr>
      <t>prevailing interest rate</t>
    </r>
    <r>
      <rPr>
        <sz val="10"/>
        <color theme="8" tint="-0.249977111117893"/>
        <rFont val="Arial"/>
        <family val="2"/>
      </rPr>
      <t xml:space="preserve"> at the time of renewal or at any other rate determined by the Bank. Renewal advices will be sent to the customer by ordinary mail.</t>
    </r>
  </si>
  <si>
    <t>SBI</t>
  </si>
  <si>
    <r>
      <t xml:space="preserve">For ‘fixed’ or ‘time’ deposit which is not set up to automatically renew at maturity date, the Customer is required to instruct the Bank before the maturity date. If the Bank does not receive any instruction from the Customer, the Bank may place the principal  and any interest earned, back on deposit (redeposit it) for the same term as the original fixed or time deposit, using the interest rate which applies to the Customer’s deposit at the time (or any other rate as the Bank may decide). For fixed or time deposits which are set up to renew automatically, the Bank will automatically redeposit the amount, and any interest it has earned, when it reaches the maturity date. This will be redeposited for the same term and at the </t>
    </r>
    <r>
      <rPr>
        <sz val="10"/>
        <color theme="4"/>
        <rFont val="Arial"/>
        <family val="2"/>
      </rPr>
      <t>interest rate which applies</t>
    </r>
    <r>
      <rPr>
        <sz val="10"/>
        <color theme="8" tint="-0.249977111117893"/>
        <rFont val="Arial"/>
        <family val="2"/>
      </rPr>
      <t xml:space="preserve"> to the Customer’s deposit at the time (or any other rate as the Bank decides), unless the Customer informs the Bank otherwise at least two business days before the maturity date. Any placement of a FD shall be accompanied by the Customer’s stipulation as to the placement period and maturity instructions. In the absence of such instructions, the Bank may, place it for any tenor and automatically renew the aggregate amount of principal plus interest upon its maturity at the Bank’s </t>
    </r>
    <r>
      <rPr>
        <sz val="10"/>
        <color rgb="FFFF0000"/>
        <rFont val="Arial"/>
        <family val="2"/>
      </rPr>
      <t>prevailing rate</t>
    </r>
    <r>
      <rPr>
        <sz val="10"/>
        <color theme="8" tint="-0.249977111117893"/>
        <rFont val="Arial"/>
        <family val="2"/>
      </rPr>
      <t xml:space="preserve"> at the time of renewal.</t>
    </r>
  </si>
  <si>
    <t>SCB</t>
  </si>
  <si>
    <r>
      <t xml:space="preserve">Any renewal upon maturity of the Time Deposit at the option of the account holder will be based on the Bank’s prevailing Singapore Dollar Time Deposit </t>
    </r>
    <r>
      <rPr>
        <sz val="10"/>
        <color rgb="FFFF0000"/>
        <rFont val="Arial"/>
        <family val="2"/>
      </rPr>
      <t>board rate</t>
    </r>
    <r>
      <rPr>
        <sz val="10"/>
        <color theme="8" tint="-0.249977111117893"/>
        <rFont val="Arial"/>
        <family val="2"/>
      </rPr>
      <t xml:space="preserve"> for the same tenor.</t>
    </r>
  </si>
  <si>
    <t>SingFinance</t>
  </si>
  <si>
    <r>
      <t>The Finance Company shall be entitled to prescribe the minimum placement amount and tenure of fixed deposit at its absolute discretion. Any placement of fixed deposit shall be accompanied with placement period and maturity instructions, failing which the Finance Company may (but not obliged to) exercise its discretion to place and/or to renew upon its maturity the principal and interest for the same period as the immediate preceding deposit period or such period as it deem fit at the Finance Company's</t>
    </r>
    <r>
      <rPr>
        <sz val="10"/>
        <color rgb="FFFF0000"/>
        <rFont val="Arial"/>
        <family val="2"/>
      </rPr>
      <t xml:space="preserve"> prevailing interest rate </t>
    </r>
    <r>
      <rPr>
        <sz val="10"/>
        <color theme="8" tint="-0.249977111117893"/>
        <rFont val="Arial"/>
        <family val="2"/>
      </rPr>
      <t>at the time of renewal and upon such terms and conditions as the Finance Company may deem fit from time to time.</t>
    </r>
  </si>
  <si>
    <t>UOB</t>
  </si>
  <si>
    <r>
      <t xml:space="preserve">You agree and authorise us to automatically renew the Deposits in the Designated Deposit Account for the same period and at the </t>
    </r>
    <r>
      <rPr>
        <sz val="10"/>
        <color rgb="FFFF0000"/>
        <rFont val="Arial"/>
        <family val="2"/>
      </rPr>
      <t>prevailing interest rate</t>
    </r>
    <r>
      <rPr>
        <sz val="10"/>
        <color theme="8" tint="-0.249977111117893"/>
        <rFont val="Arial"/>
        <family val="2"/>
      </rPr>
      <t xml:space="preserve"> for that period without further reference to you</t>
    </r>
  </si>
  <si>
    <t>*if there is a rate change, highlighted in Yellow</t>
  </si>
  <si>
    <t>5,000,000-9,999,999,999</t>
  </si>
  <si>
    <t>1万-4.99万：1.97；5万-9.99万：2.10%；10万-24.99万：2.22%；25万及以上：2.41%</t>
  </si>
  <si>
    <t>1万-4.99万：1.94%；5万-9.99万：2.07%%；10万-24.99万：2.19%；25万及以上：2.38%（下调0.03%）</t>
  </si>
  <si>
    <t>1万-4.99万：0.89%；5万-9.99万：1.02%%；10万-24.99万：1.14%；25万及以上：1.33%</t>
  </si>
  <si>
    <t>1万-4.99万：1.94%；5万-9.99万：2.07%；10万-24.99万：2.19%；25万及以上：2.38%</t>
  </si>
  <si>
    <t>1万-4.99万：1.89%；5万-9.99万：2.02%；10万-24.99万：2.14%；25万及以上：2.33%</t>
  </si>
  <si>
    <t>2,500,000-4,999,999</t>
  </si>
  <si>
    <t>1,000,000-2,499,999</t>
  </si>
  <si>
    <t>500,000-999,999</t>
  </si>
  <si>
    <t>250,000-499,999</t>
  </si>
  <si>
    <t>V</t>
  </si>
  <si>
    <t>≥S$50,000</t>
  </si>
  <si>
    <t>≥10,000USD</t>
  </si>
  <si>
    <t>≥200,000</t>
  </si>
  <si>
    <t>20万以下：1.9%；20万及以上：2.0%</t>
  </si>
  <si>
    <t>20万以下：2.2%；20万及以上：2.3%</t>
  </si>
  <si>
    <t>20万以下：2.3%；20万及以上：2.4%</t>
  </si>
  <si>
    <t>50,000-200,000</t>
  </si>
  <si>
    <t>＜50,000</t>
  </si>
  <si>
    <t>（新资金）500-5万：1.9%；5万及以上：2.0%</t>
  </si>
  <si>
    <t>（新资金）500-5万：2.25%；5万及以上：2.35%</t>
  </si>
  <si>
    <t>≥50,000</t>
  </si>
  <si>
    <t>500-5万：1.9%；5万及以上：2.0%</t>
  </si>
  <si>
    <t>500-50,000</t>
  </si>
  <si>
    <t>1万-4.99万：2.04%；5万-9.99万：2.17%；10万-24.99万：2.29%；25万及以上：2.48%</t>
  </si>
  <si>
    <t>1万-4.99万：2.59%；5万-9.99万：2.72%；10万-24.99万：2.84%；25万及以上：3.03%</t>
  </si>
  <si>
    <t>1万-4.99万：2.34%；5万-9.99万：2.47%；10万-24.99万：2.59%；25万及以上：2.78%</t>
  </si>
  <si>
    <t>1万-4.99万：1.99%；5万-9.99万：2.12%；10万-24.99万：2.24%；25万及以上：2.43%</t>
  </si>
  <si>
    <t>1万-4.99万：1.64%；5万-9.99万：1.77%；10万-24.99万：1.89%；25万及以上：2.08%</t>
  </si>
  <si>
    <t>1万-4.99万：1.59%；5万-9.99万：1.72%；10万-24.99万：1.84%；25万及以上：2.03%</t>
  </si>
  <si>
    <t>1万-4.99万：1.34%；5万-9.99万：1.47%；10万-24.99万：1.59%；25万及以上：1.78%</t>
  </si>
  <si>
    <t>1万-4.99万：1.24%；5万-9.99万：1.37%；10万-24.99万：1.49%；25万及以上：1.68%</t>
  </si>
  <si>
    <t>1万-4.99万：1.84%；5万-9.99万：1.97%；10万-24.99万：2.09%；25万及以上：2.28%</t>
  </si>
  <si>
    <t>1万-4.99万：1.79%；5万-9.99万：1.92%；10万-24.99万：2.04%；25万及以上：2.23%</t>
  </si>
  <si>
    <t>1万-4.99万：1.19%；5万-9.99万：1.32%；10万-24.99万：1.44%；25万及以上：1.63%</t>
  </si>
  <si>
    <t>1万-4.99万：1.14%；5万-9.99万：1.27%；10万-24.99万：1.39%；25万及以上：1.58%</t>
  </si>
  <si>
    <t>≥250,000</t>
  </si>
  <si>
    <t>100,000-250,000</t>
  </si>
  <si>
    <t>新资金（促销利率都要求）</t>
  </si>
  <si>
    <t>（新资金）20万以下：2.2%；20万及以上：2.3%</t>
  </si>
  <si>
    <t>50,000-100,000</t>
  </si>
  <si>
    <t>1万-4.99万：2.64%；5万-9.99万：2.77%；10万-24.99万：2.89%；25万及以上：3.08%</t>
  </si>
  <si>
    <t>10,000-50,000</t>
  </si>
  <si>
    <t>9月22日增幅</t>
  </si>
  <si>
    <t>5月4日增幅</t>
  </si>
  <si>
    <t>3月16日</t>
  </si>
  <si>
    <t>3月17日</t>
  </si>
  <si>
    <t>3月18日</t>
  </si>
  <si>
    <t>3月21日</t>
  </si>
  <si>
    <t>3月22日</t>
  </si>
  <si>
    <t>3月24日</t>
  </si>
  <si>
    <t>3月25日</t>
  </si>
  <si>
    <t>3月28日</t>
  </si>
  <si>
    <t>3月29日</t>
  </si>
  <si>
    <t>3月30日</t>
  </si>
  <si>
    <t>4月1日</t>
  </si>
  <si>
    <t>4月4日</t>
  </si>
  <si>
    <t>4月5日</t>
  </si>
  <si>
    <t>4月6日</t>
  </si>
  <si>
    <t>4月8日</t>
  </si>
  <si>
    <t>当日增幅</t>
  </si>
  <si>
    <t>4月12日</t>
  </si>
  <si>
    <t>4月19日</t>
  </si>
  <si>
    <t>4月27日</t>
  </si>
  <si>
    <t>5月4日</t>
  </si>
  <si>
    <t>5月6日</t>
  </si>
  <si>
    <t>11月03日增幅</t>
  </si>
  <si>
    <t>金额</t>
  </si>
  <si>
    <t>银行</t>
  </si>
  <si>
    <t>Tenor: 12 months</t>
  </si>
  <si>
    <t>1万-4.99万：2.00%；5万-9.99万：2.13%；10万-24.99万：2.25%；25万及以上：2.44%</t>
  </si>
  <si>
    <t>-</t>
  </si>
  <si>
    <t>12月29日</t>
  </si>
  <si>
    <t>12月22日</t>
  </si>
  <si>
    <t>12月15日</t>
  </si>
  <si>
    <t>12月8日</t>
  </si>
  <si>
    <t>12月1日</t>
  </si>
  <si>
    <t>11月24日</t>
  </si>
  <si>
    <t>11月17日</t>
  </si>
  <si>
    <t>11月10日</t>
  </si>
  <si>
    <t>11月3日</t>
  </si>
  <si>
    <t>10月27日</t>
  </si>
  <si>
    <t>10月20日</t>
  </si>
  <si>
    <t>10月13日</t>
  </si>
  <si>
    <t>10月6日</t>
  </si>
  <si>
    <t>9月29日</t>
  </si>
  <si>
    <t>9月22日</t>
  </si>
  <si>
    <t>9月15日</t>
  </si>
  <si>
    <t>9月8日</t>
  </si>
  <si>
    <t>9月1日</t>
  </si>
  <si>
    <t>8月25日</t>
  </si>
  <si>
    <t>8月18日</t>
  </si>
  <si>
    <t>8月11日</t>
  </si>
  <si>
    <t>8月4日</t>
  </si>
  <si>
    <t>7月28日</t>
  </si>
  <si>
    <t>7月21日</t>
  </si>
  <si>
    <t>7月14日</t>
  </si>
  <si>
    <t>7月7日</t>
  </si>
  <si>
    <t>6月30日</t>
  </si>
  <si>
    <t>6月23日</t>
  </si>
  <si>
    <t>6月16日</t>
  </si>
  <si>
    <t>6月9日</t>
  </si>
  <si>
    <t>6月2日</t>
  </si>
  <si>
    <t>5月26日</t>
  </si>
  <si>
    <t>5月19日</t>
  </si>
  <si>
    <t>5月12日</t>
  </si>
  <si>
    <t>5月5日</t>
  </si>
  <si>
    <t>4月21日</t>
  </si>
  <si>
    <t>4月14日</t>
  </si>
  <si>
    <t>4月7日</t>
  </si>
  <si>
    <t>3月31日</t>
  </si>
  <si>
    <t>3月10日</t>
  </si>
  <si>
    <t>3月3日</t>
  </si>
  <si>
    <t>2月24日</t>
  </si>
  <si>
    <t>2月17日</t>
  </si>
  <si>
    <t>2月9日</t>
  </si>
  <si>
    <t>2月3日</t>
  </si>
  <si>
    <t>1月27日</t>
  </si>
  <si>
    <t>1月20日</t>
  </si>
  <si>
    <t>1月13日</t>
  </si>
  <si>
    <t>1月6日</t>
  </si>
  <si>
    <t>12月30日</t>
  </si>
  <si>
    <t>12月23日</t>
  </si>
  <si>
    <t>12月16日</t>
  </si>
  <si>
    <t>12月9日</t>
  </si>
  <si>
    <t>12月2日</t>
  </si>
  <si>
    <t>11月25日</t>
  </si>
  <si>
    <t>11月18日</t>
  </si>
  <si>
    <t>11月11日</t>
  </si>
  <si>
    <t>11月4日</t>
  </si>
  <si>
    <t>10月28日</t>
  </si>
  <si>
    <t>10月21日</t>
  </si>
  <si>
    <t>10月14号</t>
  </si>
  <si>
    <t>10月7号</t>
  </si>
  <si>
    <t>9月30日</t>
  </si>
  <si>
    <t>9月23日</t>
  </si>
  <si>
    <t>9月16日</t>
  </si>
  <si>
    <t>9月9日</t>
  </si>
  <si>
    <t>9月2日</t>
  </si>
  <si>
    <t>8月26日</t>
  </si>
  <si>
    <t>8月19日</t>
  </si>
  <si>
    <t>8月12日</t>
  </si>
  <si>
    <t>8月5日</t>
  </si>
  <si>
    <t>8月3日</t>
  </si>
  <si>
    <t>7月22日</t>
  </si>
  <si>
    <t>7月15日</t>
  </si>
  <si>
    <t>7月6日</t>
  </si>
  <si>
    <t>7月1日</t>
  </si>
  <si>
    <t>6月24日</t>
  </si>
  <si>
    <t>6月17日</t>
  </si>
  <si>
    <t>6月10日</t>
  </si>
  <si>
    <t>6月3日</t>
  </si>
  <si>
    <t>5月14日</t>
  </si>
  <si>
    <t>4月12日增幅</t>
  </si>
  <si>
    <t>2021年</t>
  </si>
  <si>
    <t>2020年</t>
  </si>
  <si>
    <t>Tenor: 9 months</t>
  </si>
  <si>
    <t>Tenor: 6 months</t>
  </si>
  <si>
    <t>Tenor: 3 months</t>
  </si>
  <si>
    <t>23/5/224</t>
  </si>
  <si>
    <t>Tenor: 1 month</t>
  </si>
  <si>
    <t>人民币存款市场调研-挂牌利率</t>
  </si>
  <si>
    <t>5,000-1,000,000</t>
  </si>
  <si>
    <t>≥1,000,000</t>
  </si>
  <si>
    <t>500,000-1,000,000</t>
  </si>
  <si>
    <t>100,000-500,000</t>
  </si>
  <si>
    <t>100,000以下</t>
  </si>
  <si>
    <t>500k及以上</t>
  </si>
  <si>
    <t>50k-500k</t>
  </si>
  <si>
    <t>50K以下</t>
  </si>
  <si>
    <t>其他要求</t>
  </si>
  <si>
    <t>4月11日</t>
  </si>
  <si>
    <t>2022年（本周变动）</t>
  </si>
  <si>
    <t>Tenor: 24 months</t>
  </si>
  <si>
    <t>Tenor: 18 months</t>
  </si>
  <si>
    <t>&gt;=5000</t>
  </si>
  <si>
    <t>10,000以上</t>
  </si>
  <si>
    <t>500，000以上</t>
  </si>
  <si>
    <t>100,000-249,999</t>
  </si>
  <si>
    <t>5,000-99,999</t>
  </si>
  <si>
    <t>Above $500,000</t>
  </si>
  <si>
    <t>$250,000 - $499,999</t>
  </si>
  <si>
    <t>$100,000 - $249,999</t>
  </si>
  <si>
    <t>$50,000 - $99,999</t>
  </si>
  <si>
    <t>First $49,999</t>
  </si>
  <si>
    <t xml:space="preserve"> </t>
  </si>
  <si>
    <t>500,000以下</t>
  </si>
  <si>
    <t>250,000以下</t>
  </si>
  <si>
    <t>50,000以下</t>
  </si>
  <si>
    <t>25,000以下</t>
  </si>
  <si>
    <t>10,000以下</t>
  </si>
  <si>
    <t>100,000及以上</t>
  </si>
  <si>
    <t>500-99,999</t>
  </si>
  <si>
    <t>1,000,000 及以上</t>
  </si>
  <si>
    <t>500,000 - 999,999</t>
  </si>
  <si>
    <t>250,000- 499,999</t>
  </si>
  <si>
    <t>100,000- 249,999</t>
  </si>
  <si>
    <t>50,000 -99,999</t>
  </si>
  <si>
    <t>个人客户</t>
  </si>
  <si>
    <t>25,000 - 49,999</t>
  </si>
  <si>
    <t>250k以上</t>
  </si>
  <si>
    <t>100k-250k</t>
  </si>
  <si>
    <t>50k-100k</t>
  </si>
  <si>
    <t>10k-50k</t>
  </si>
  <si>
    <t>500k以上</t>
  </si>
  <si>
    <t>50k以下</t>
  </si>
  <si>
    <t>≥25,000</t>
  </si>
  <si>
    <t>100k以上</t>
  </si>
  <si>
    <t>≥5,000</t>
  </si>
  <si>
    <t>Tenor: 7 Days</t>
  </si>
  <si>
    <t>美元存款市场调研-挂牌利率</t>
  </si>
  <si>
    <t>1,000,000-3,000,000</t>
  </si>
  <si>
    <t>750,000-1,000,000</t>
  </si>
  <si>
    <t>500,000-750,000</t>
  </si>
  <si>
    <t>200,000-500,000</t>
  </si>
  <si>
    <t>100,000-200,000</t>
  </si>
  <si>
    <t>50,000-99,999</t>
  </si>
  <si>
    <t>20,000-50,000</t>
  </si>
  <si>
    <t>≥1,000</t>
  </si>
  <si>
    <t>200,000-499,999</t>
  </si>
  <si>
    <t>100,000-199,999</t>
  </si>
  <si>
    <t>5,000-49,999</t>
  </si>
  <si>
    <t>≥100,000</t>
  </si>
  <si>
    <t>≥500,000</t>
  </si>
  <si>
    <t xml:space="preserve">BOC </t>
  </si>
  <si>
    <t>5,000-1,000,000</t>
    <phoneticPr fontId="0" type="noConversion"/>
  </si>
  <si>
    <t>5,000-200,000</t>
  </si>
  <si>
    <t>500-5,000</t>
  </si>
  <si>
    <t>≥20,000</t>
  </si>
  <si>
    <t>36M</t>
  </si>
  <si>
    <t>24M</t>
  </si>
  <si>
    <t>18M</t>
  </si>
  <si>
    <t>12M</t>
  </si>
  <si>
    <t>9M</t>
  </si>
  <si>
    <t>6M</t>
  </si>
  <si>
    <t>3M</t>
  </si>
  <si>
    <t>1M</t>
  </si>
  <si>
    <t>7D</t>
  </si>
  <si>
    <t>Amount</t>
  </si>
  <si>
    <t>Bank</t>
  </si>
  <si>
    <t>100k及以上</t>
  </si>
  <si>
    <t>BEA</t>
    <phoneticPr fontId="0" type="noConversion"/>
  </si>
  <si>
    <t>30K-100K</t>
  </si>
  <si>
    <t>branch</t>
  </si>
  <si>
    <t>counter - ≥20,000</t>
  </si>
  <si>
    <t>电子银行</t>
  </si>
  <si>
    <t>online - ≥500</t>
  </si>
  <si>
    <t>10k以上</t>
  </si>
  <si>
    <t>500及以上</t>
  </si>
  <si>
    <t>private</t>
  </si>
  <si>
    <t>priority</t>
  </si>
  <si>
    <t>personal</t>
  </si>
  <si>
    <t>25k以上</t>
  </si>
  <si>
    <t>≥10,000</t>
  </si>
  <si>
    <t>100K</t>
  </si>
  <si>
    <t>500以上</t>
  </si>
  <si>
    <t>branch, new customer</t>
  </si>
  <si>
    <t>50,000及以上</t>
  </si>
  <si>
    <t>10k及以上</t>
  </si>
  <si>
    <t>先做兑换</t>
  </si>
  <si>
    <t>50k-1mil</t>
  </si>
  <si>
    <t>美元存款市场调研-促销利率</t>
  </si>
  <si>
    <t>2.75% (EIR=2.50%)
every 1k in CASA account-deposit 10k into TD</t>
  </si>
  <si>
    <t>≥1千</t>
  </si>
  <si>
    <t>3.10%
savings bundle</t>
  </si>
  <si>
    <t>2.95%
savings bundle</t>
  </si>
  <si>
    <t>2.80%
savings bundle</t>
  </si>
  <si>
    <t>2.75%
savings bundle</t>
  </si>
  <si>
    <t>促销</t>
  </si>
  <si>
    <t>≥5千</t>
  </si>
  <si>
    <t>≥500</t>
  </si>
  <si>
    <t>当日最高报价变动</t>
  </si>
  <si>
    <t>当日最高报价</t>
  </si>
  <si>
    <t>挂牌利率/促销利率</t>
  </si>
  <si>
    <t>全部公开报价</t>
  </si>
  <si>
    <t>日期</t>
  </si>
  <si>
    <t>24 Months</t>
  </si>
  <si>
    <t>≥20000</t>
  </si>
  <si>
    <t>2.75%(EIR=2.50%)
every 1k in CASA account-deposit 10k into TD</t>
  </si>
  <si>
    <t>18 Months</t>
  </si>
  <si>
    <t>1千-9.99万</t>
  </si>
  <si>
    <t>2.30%财富</t>
  </si>
  <si>
    <t>3.65%
savings bundle</t>
  </si>
  <si>
    <t>3.50%
savings bundle</t>
  </si>
  <si>
    <t>3.35%
savings bundle</t>
  </si>
  <si>
    <t>3.30%
savings bundle</t>
  </si>
  <si>
    <t>3.25%
savings bundle</t>
  </si>
  <si>
    <t>15 Months</t>
  </si>
  <si>
    <t>2.78%(CPF Time Deposit&amp;online)</t>
  </si>
  <si>
    <t>≥30,000</t>
  </si>
  <si>
    <t xml:space="preserve">2.90%
</t>
  </si>
  <si>
    <t xml:space="preserve">2.45% 普通
2.78% CPF </t>
  </si>
  <si>
    <t xml:space="preserve">2.45% 普通
</t>
  </si>
  <si>
    <t>1.85%(Internet Banking)</t>
  </si>
  <si>
    <t>2.60%财富客户</t>
  </si>
  <si>
    <t>50,000-3000,000</t>
  </si>
  <si>
    <t>2.95%（柜台）</t>
  </si>
  <si>
    <t>2.68%↑</t>
  </si>
  <si>
    <t>5000-20000</t>
  </si>
  <si>
    <t xml:space="preserve">&gt;=20,000 </t>
  </si>
  <si>
    <t>3.1%（8M）</t>
  </si>
  <si>
    <t>3.00%(8M)</t>
  </si>
  <si>
    <t>3.00%(10M)</t>
  </si>
  <si>
    <t>2.9%
(9M&amp;10M)</t>
  </si>
  <si>
    <t>1.8% (13M)</t>
  </si>
  <si>
    <r>
      <t>1.78</t>
    </r>
    <r>
      <rPr>
        <sz val="11"/>
        <color theme="1"/>
        <rFont val="等线"/>
        <family val="2"/>
        <scheme val="minor"/>
      </rPr>
      <t>%</t>
    </r>
    <r>
      <rPr>
        <sz val="11"/>
        <color theme="1"/>
        <rFont val="等线"/>
        <family val="2"/>
        <scheme val="minor"/>
      </rPr>
      <t xml:space="preserve"> (11 &amp; 13M)</t>
    </r>
  </si>
  <si>
    <r>
      <t>1.78% (11 &amp; 13</t>
    </r>
    <r>
      <rPr>
        <sz val="11"/>
        <color theme="1"/>
        <rFont val="等线"/>
        <family val="2"/>
        <scheme val="minor"/>
      </rPr>
      <t>M)</t>
    </r>
  </si>
  <si>
    <t>1.78% (11 &amp; 13M)</t>
    <phoneticPr fontId="37" type="noConversion"/>
  </si>
  <si>
    <t>1.60% (11M) &amp; 1.65% (13M)</t>
  </si>
  <si>
    <t>1.55% (11M) &amp; 1.50% (13M)</t>
    <phoneticPr fontId="37" type="noConversion"/>
  </si>
  <si>
    <t>1千-50万</t>
  </si>
  <si>
    <t>100,000-2,000,000</t>
  </si>
  <si>
    <t>1,000-50,000</t>
  </si>
  <si>
    <t>2.6%↓</t>
  </si>
  <si>
    <t>1.45% 柜面</t>
  </si>
  <si>
    <t>1.70% 柜面</t>
  </si>
  <si>
    <t>2.65%（电子银行）</t>
  </si>
  <si>
    <t>2.40%电子/2.40%柜台</t>
  </si>
  <si>
    <t>2.25%（电子银行）</t>
  </si>
  <si>
    <t>BOC</t>
    <phoneticPr fontId="37" type="noConversion"/>
  </si>
  <si>
    <t>3.33%
fresh fund</t>
  </si>
  <si>
    <t>挂牌</t>
  </si>
  <si>
    <t>1千-2.49万</t>
  </si>
  <si>
    <t>50,000-1,000,000</t>
  </si>
  <si>
    <t>2.5%+</t>
  </si>
  <si>
    <t>1.40%（50k-200k）</t>
    <phoneticPr fontId="37" type="noConversion"/>
  </si>
  <si>
    <t>SBI</t>
    <phoneticPr fontId="37" type="noConversion"/>
  </si>
  <si>
    <t>1千-1.99万</t>
  </si>
  <si>
    <t>2.95%
savings bundle(EIR=2.70%)</t>
  </si>
  <si>
    <t>2.80%
savings bundle(EIR=2.57%)</t>
  </si>
  <si>
    <t>2.70%
savings bundle(EIR=2.48%)</t>
  </si>
  <si>
    <t>2.25%
savings bundle(EIR=2.07%)</t>
  </si>
  <si>
    <t>1.30% 财富客户（电子渠道）</t>
  </si>
  <si>
    <t>2.15%个人(电子)</t>
  </si>
  <si>
    <t>≥1万</t>
  </si>
  <si>
    <t>1.25% 个人客户（电子渠道）</t>
  </si>
  <si>
    <t>2.20% 财富(电子)</t>
  </si>
  <si>
    <t>20k</t>
    <phoneticPr fontId="37" type="noConversion"/>
  </si>
  <si>
    <t>≥2万</t>
  </si>
  <si>
    <t>1.30% 个人客户（新资金）</t>
  </si>
  <si>
    <t>2.20% 个人</t>
  </si>
  <si>
    <t>＜2万</t>
  </si>
  <si>
    <t>2.30% 财富</t>
  </si>
  <si>
    <t>12 Months</t>
  </si>
  <si>
    <t>1.90%电子银行</t>
  </si>
  <si>
    <t>3.55% (10M)</t>
  </si>
  <si>
    <t>3.95% (10M)</t>
  </si>
  <si>
    <t>3% (10M)</t>
  </si>
  <si>
    <t>3.7% (10M)</t>
  </si>
  <si>
    <t>3.45% (10M)</t>
  </si>
  <si>
    <t>3.20% (10M)</t>
  </si>
  <si>
    <t>3.10% (10M)</t>
  </si>
  <si>
    <t>2.90% (10M)</t>
  </si>
  <si>
    <t>2.9%（10M)</t>
  </si>
  <si>
    <t>2.7%（10M)</t>
  </si>
  <si>
    <t>2.6%(10M)</t>
  </si>
  <si>
    <t>2.5%(10M)</t>
  </si>
  <si>
    <t>2.4%(10M)</t>
  </si>
  <si>
    <t>2.3%(10M)</t>
  </si>
  <si>
    <t>2.2%(10M)</t>
  </si>
  <si>
    <t>2.1%(10M)</t>
  </si>
  <si>
    <t>2.00%(10M)</t>
  </si>
  <si>
    <t>1.90%10M)</t>
  </si>
  <si>
    <t>1.70%(10M)</t>
  </si>
  <si>
    <t>1.70% (10M)</t>
  </si>
  <si>
    <t>1.60% (10M)</t>
  </si>
  <si>
    <t>1.45% (10M)</t>
  </si>
  <si>
    <t>1.40% (10M)</t>
    <phoneticPr fontId="37" type="noConversion"/>
  </si>
  <si>
    <t xml:space="preserve">UOB </t>
  </si>
  <si>
    <t>3.80% (柜台)</t>
  </si>
  <si>
    <t>3.8% (柜台)</t>
  </si>
  <si>
    <t>3.4%
savings bundle</t>
  </si>
  <si>
    <t>3.25%
savings bundle(EIR=2.95%)</t>
  </si>
  <si>
    <t>3.10%
savings bundle(EIR=2.95%)</t>
  </si>
  <si>
    <t>2.90%
savings bundle(EIR=2.66%)</t>
  </si>
  <si>
    <t>1.85% (10M)</t>
  </si>
  <si>
    <t>1.83%(10M)</t>
  </si>
  <si>
    <t>≥10万</t>
  </si>
  <si>
    <t>1.25%个人</t>
  </si>
  <si>
    <t>1.30%财富</t>
  </si>
  <si>
    <t>1.25% 电子银行</t>
  </si>
  <si>
    <t>1.2% 柜面</t>
  </si>
  <si>
    <t>2.70%（电子银行）</t>
  </si>
  <si>
    <t>2.15%（电子银行）</t>
  </si>
  <si>
    <t>9 Months</t>
  </si>
  <si>
    <t>&gt;=100,000</t>
  </si>
  <si>
    <t>-</t>
    <phoneticPr fontId="37" type="noConversion"/>
  </si>
  <si>
    <t>3.55% (5M)</t>
  </si>
  <si>
    <t>3.10% (CPF Time Deposit)</t>
  </si>
  <si>
    <t>OCBC（5M）</t>
  </si>
  <si>
    <t>10k-50k</t>
    <phoneticPr fontId="37" type="noConversion"/>
  </si>
  <si>
    <t>3.1%(citi private)</t>
  </si>
  <si>
    <t>3.45%(citi private)</t>
  </si>
  <si>
    <t>3.5%(citi gold/private)</t>
  </si>
  <si>
    <t>50,000-3,000,000</t>
  </si>
  <si>
    <t>30,000-200,000</t>
  </si>
  <si>
    <t>3.2%（柜台）</t>
  </si>
  <si>
    <t>2.78%↑</t>
  </si>
  <si>
    <t>20000-50000</t>
  </si>
  <si>
    <t>3.05%
（电子银行）</t>
  </si>
  <si>
    <t>2.8%（电子银行）</t>
  </si>
  <si>
    <t>2.75%（电子银行）</t>
  </si>
  <si>
    <t>2.65%（电子银行）↓</t>
  </si>
  <si>
    <t>2.05% (7M)</t>
  </si>
  <si>
    <t>2% (7M) - s$5,000 TO s$20,000</t>
  </si>
  <si>
    <t>3.55%
savings bundle</t>
  </si>
  <si>
    <t>3.45%
savings bundle(EIR=3.16%)</t>
  </si>
  <si>
    <t>3.15%
savings bundle(EIR=2.89%)</t>
  </si>
  <si>
    <t>3.05%
savings bundle(EIR=2.80%)</t>
  </si>
  <si>
    <t>2.9%
savings bundle(EIR=2.66%)</t>
  </si>
  <si>
    <t>2.45%
savings bundle(EIR=2.25%)</t>
  </si>
  <si>
    <t>1.9%财富</t>
  </si>
  <si>
    <t>2.75%
（电子银行）</t>
  </si>
  <si>
    <t>1.50%（50k-200k）</t>
    <phoneticPr fontId="37" type="noConversion"/>
  </si>
  <si>
    <t>25k</t>
    <phoneticPr fontId="37" type="noConversion"/>
  </si>
  <si>
    <t>3.30%
(priority private)</t>
  </si>
  <si>
    <t>3.20%
(priority private)</t>
  </si>
  <si>
    <t>3.10%
(priority private)</t>
  </si>
  <si>
    <t xml:space="preserve"> -</t>
  </si>
  <si>
    <t>2.00%（5M)</t>
  </si>
  <si>
    <t>1.95%（5M)</t>
  </si>
  <si>
    <t>1.90%（5M)</t>
  </si>
  <si>
    <t>1.75%（5M)</t>
  </si>
  <si>
    <t>1.70%（5M)</t>
    <phoneticPr fontId="37" type="noConversion"/>
  </si>
  <si>
    <t>1.65%（5M)</t>
  </si>
  <si>
    <t>1.55%（5M)</t>
  </si>
  <si>
    <t>2.95%↓</t>
  </si>
  <si>
    <t>30,000-100,000</t>
  </si>
  <si>
    <t>3.1%（4M)</t>
  </si>
  <si>
    <t>3.3%（4M)</t>
  </si>
  <si>
    <t>2.9%（4M)</t>
  </si>
  <si>
    <t>2.58%↓</t>
  </si>
  <si>
    <t>0.55% 柜面</t>
  </si>
  <si>
    <t>3.3%新客户）
3.25%（电子银行）</t>
  </si>
  <si>
    <t>3.2%新客户）
3.20%（电子银行）</t>
  </si>
  <si>
    <t>3.05%（电子银行）</t>
  </si>
  <si>
    <t>2.80%电子/2.80%柜台</t>
  </si>
  <si>
    <t>2.75%电子/2.75%柜台</t>
  </si>
  <si>
    <t>3.00%电子/3.00%柜台</t>
  </si>
  <si>
    <t>2.45%电子/2.45%柜台</t>
  </si>
  <si>
    <t>2.3%（电子银行）</t>
  </si>
  <si>
    <t>3.5%(citi private)</t>
  </si>
  <si>
    <t>3.2%（Citi priority/citibanking/citi plus）</t>
  </si>
  <si>
    <t>3.7%(citi private)</t>
  </si>
  <si>
    <t xml:space="preserve"> &gt;= 50,000</t>
  </si>
  <si>
    <t>3.00%（5-month）</t>
  </si>
  <si>
    <r>
      <t xml:space="preserve"> </t>
    </r>
    <r>
      <rPr>
        <sz val="11"/>
        <color theme="1"/>
        <rFont val="等线"/>
        <family val="3"/>
        <charset val="134"/>
        <scheme val="minor"/>
      </rPr>
      <t xml:space="preserve"> </t>
    </r>
  </si>
  <si>
    <t>3 Months</t>
  </si>
  <si>
    <t>2.8%
（电子银行）</t>
  </si>
  <si>
    <t>2.35%电子/2.35%柜台</t>
  </si>
  <si>
    <t>2.2%（电子银行）</t>
  </si>
  <si>
    <t>100,000 &lt; 2,000,000</t>
  </si>
  <si>
    <t>3.00%fresh fund</t>
  </si>
  <si>
    <t>20,000 &lt; 50,000</t>
  </si>
  <si>
    <t>14/21/2023</t>
  </si>
  <si>
    <t>11/7/224</t>
  </si>
  <si>
    <t>1 Month</t>
  </si>
  <si>
    <t>新元促销利率市场调研</t>
  </si>
  <si>
    <t>只有挂牌</t>
    <phoneticPr fontId="0" type="noConversion"/>
  </si>
  <si>
    <t>1mil及以上</t>
  </si>
  <si>
    <t>50k及以上</t>
  </si>
  <si>
    <t>手机银行</t>
  </si>
  <si>
    <t>250k以上</t>
    <phoneticPr fontId="0" type="noConversion"/>
  </si>
  <si>
    <t>新西兰元定期存款促销利率</t>
  </si>
  <si>
    <t>英镑定期存款促销利率</t>
  </si>
  <si>
    <t>欧元存款市场调研-促销利率</t>
  </si>
  <si>
    <t>澳元定期存款促销利率</t>
  </si>
  <si>
    <t>note：CIMB为挂牌利率报价</t>
  </si>
  <si>
    <t>note：CIMB和 RHB仅有挂牌利率报价</t>
  </si>
  <si>
    <t>外币兑换+柜台</t>
  </si>
  <si>
    <t>USD50,000</t>
  </si>
  <si>
    <t>5,000-100,000</t>
  </si>
  <si>
    <t>本币250,000</t>
  </si>
  <si>
    <t>要求</t>
  </si>
  <si>
    <t>促销金额</t>
  </si>
  <si>
    <t>英镑利率</t>
  </si>
  <si>
    <t>欧元利率</t>
  </si>
  <si>
    <t>新西兰元利率</t>
  </si>
  <si>
    <t>澳元利率</t>
  </si>
  <si>
    <t>$250,000-$500,000</t>
  </si>
  <si>
    <t>others</t>
  </si>
  <si>
    <t>Minimum 
Amount</t>
  </si>
  <si>
    <t>人民币挂牌利率</t>
  </si>
  <si>
    <t>$100,000</t>
  </si>
  <si>
    <t>柜台2万起存，电子银行500起存</t>
  </si>
  <si>
    <t>OTHERS</t>
  </si>
  <si>
    <t>美元挂牌利率市场调研</t>
  </si>
  <si>
    <t>USD$100,000</t>
  </si>
  <si>
    <t>Mobile banking</t>
  </si>
  <si>
    <t>USD$5,000</t>
  </si>
  <si>
    <t>$50,000</t>
  </si>
  <si>
    <t>over the counter</t>
  </si>
  <si>
    <t>priority private
fresh fund
4.00% personal banking</t>
  </si>
  <si>
    <t>ONLINE</t>
  </si>
  <si>
    <t>美元促销利率市场调研</t>
  </si>
  <si>
    <t>活期账户：最高1.88%，基础利率1.88%（无cap）</t>
    <phoneticPr fontId="0" type="noConversion"/>
  </si>
  <si>
    <t>Maribank</t>
  </si>
  <si>
    <t>活期账户：最高1.58%（SG60最多额外1.2%）(cap 60k）</t>
    <phoneticPr fontId="0" type="noConversion"/>
  </si>
  <si>
    <t>GXS</t>
  </si>
  <si>
    <t>活期账户：最高2.00%（基础利息0.50%+银行卡消费至少5次，每次30新元0.50%+月均余额100k及以上0.50%+薪水入账0.50%）（cap 1.2M）</t>
    <phoneticPr fontId="0" type="noConversion"/>
  </si>
  <si>
    <t>TrustBank</t>
  </si>
  <si>
    <r>
      <t xml:space="preserve">新资金
</t>
    </r>
    <r>
      <rPr>
        <sz val="11"/>
        <color rgb="FFFF0000"/>
        <rFont val="Calibri"/>
        <family val="2"/>
      </rPr>
      <t>按挂牌利率续存</t>
    </r>
  </si>
  <si>
    <t>$10,000</t>
  </si>
  <si>
    <t>按挂牌利率续存</t>
  </si>
  <si>
    <t>S100,000</t>
  </si>
  <si>
    <r>
      <t xml:space="preserve">以上利率适用于PREMIER BANKING（AUM 20万）
PERSONAL BANKING利率-0.10%
APP
</t>
    </r>
    <r>
      <rPr>
        <sz val="11"/>
        <color rgb="FFFF0000"/>
        <rFont val="Calibri"/>
        <family val="2"/>
      </rPr>
      <t>按促销利率续存</t>
    </r>
  </si>
  <si>
    <t>$50,000-1,000,000</t>
  </si>
  <si>
    <r>
      <t xml:space="preserve">新资金,citi banking customer，counter only
</t>
    </r>
    <r>
      <rPr>
        <sz val="11"/>
        <color rgb="FFFF0000"/>
        <rFont val="Calibri"/>
        <family val="2"/>
      </rPr>
      <t>按挂牌利率续存</t>
    </r>
  </si>
  <si>
    <t>10,000-5,000,000</t>
  </si>
  <si>
    <r>
      <t xml:space="preserve">柜面2万起存，利率-0.10%，电子银行500起存
</t>
    </r>
    <r>
      <rPr>
        <sz val="11"/>
        <color rgb="FFFF0000"/>
        <rFont val="Calibri"/>
        <family val="2"/>
      </rPr>
      <t>按挂牌利率续存</t>
    </r>
  </si>
  <si>
    <t>10,000-1,000,000</t>
  </si>
  <si>
    <t>新资金（有网银和手机银行）</t>
  </si>
  <si>
    <t>代表本周有调整</t>
  </si>
  <si>
    <t>Others</t>
  </si>
  <si>
    <t>新元促销利率</t>
  </si>
  <si>
    <t>1.40% (11M) &amp; 1.40% (12M)</t>
  </si>
  <si>
    <t>1.30% (10M)</t>
  </si>
  <si>
    <t>OCBC</t>
    <phoneticPr fontId="71" type="noConversion"/>
  </si>
  <si>
    <t>6 Months</t>
    <phoneticPr fontId="71" type="noConversion"/>
  </si>
  <si>
    <t>-</t>
    <phoneticPr fontId="71" type="noConversion"/>
  </si>
  <si>
    <t>只有挂牌</t>
  </si>
  <si>
    <t xml:space="preserve">手机银行
</t>
  </si>
  <si>
    <t>1.15% (counter)</t>
  </si>
  <si>
    <t>0.95% - S$20,000 and above</t>
  </si>
  <si>
    <t>0.90% - S$5,000 to s$20,000</t>
  </si>
  <si>
    <t>1.10%counter</t>
  </si>
  <si>
    <t>1.15%电子银行</t>
  </si>
  <si>
    <t>1.10% (10M)</t>
  </si>
  <si>
    <t>500-20k</t>
  </si>
  <si>
    <t>&gt;200k</t>
  </si>
  <si>
    <t>1.40% fresh fund</t>
  </si>
  <si>
    <t>1.15% 手机银行 （财富）</t>
  </si>
  <si>
    <t>1.10% 手机银行 （个人）</t>
  </si>
  <si>
    <t>1.10%（online）</t>
  </si>
  <si>
    <t>1.15%（online）&gt;200k</t>
  </si>
  <si>
    <t>1.00% (10M)</t>
  </si>
  <si>
    <t>1.0% (10M)</t>
  </si>
  <si>
    <t>1.20%(fresh fund)</t>
  </si>
  <si>
    <t>No more promo rate</t>
  </si>
  <si>
    <t>按挂牌利率续存 $5k - 1mil</t>
  </si>
  <si>
    <t>USD 5k</t>
  </si>
  <si>
    <t>10k</t>
  </si>
  <si>
    <t>100k-5mil</t>
  </si>
  <si>
    <t>new branch open special at 1.28&amp; p.a. for 5 months placement of min.$80K</t>
  </si>
  <si>
    <t>1.28% (5M) 80k FF
 (branch opening special promo)</t>
  </si>
  <si>
    <t>RHB</t>
    <phoneticPr fontId="71" type="noConversion"/>
  </si>
  <si>
    <t>-</t>
    <phoneticPr fontId="71" type="noConversion"/>
  </si>
  <si>
    <t>0.80%（200k-1m）</t>
    <phoneticPr fontId="37" type="noConversion"/>
  </si>
  <si>
    <t>SingFinance</t>
    <phoneticPr fontId="71" type="noConversion"/>
  </si>
  <si>
    <t>1.20%(NewFund 1k)</t>
  </si>
  <si>
    <t>新西兰元挂牌利率</t>
  </si>
  <si>
    <t>2M</t>
  </si>
  <si>
    <t>＜25,000</t>
  </si>
  <si>
    <t>＜100,000</t>
  </si>
  <si>
    <t>＜250,000</t>
  </si>
  <si>
    <t>＜=500,000</t>
  </si>
  <si>
    <t>50,000 to below 100,000</t>
  </si>
  <si>
    <t>Below 10,000</t>
  </si>
  <si>
    <t>10,000 to below 50,000</t>
  </si>
  <si>
    <t>100,000 to below 500,000</t>
  </si>
  <si>
    <t>500,000 and  Above</t>
  </si>
  <si>
    <t>加拿大元挂牌利率</t>
  </si>
  <si>
    <t>-</t>
    <phoneticPr fontId="71" type="noConversion"/>
  </si>
  <si>
    <t>25,000-49,999</t>
    <phoneticPr fontId="71" type="noConversion"/>
  </si>
  <si>
    <t>50,000-99,999</t>
    <phoneticPr fontId="71" type="noConversion"/>
  </si>
  <si>
    <t>100,000-249,999</t>
    <phoneticPr fontId="71" type="noConversion"/>
  </si>
  <si>
    <t>250,000-499,999</t>
    <phoneticPr fontId="71" type="noConversion"/>
  </si>
  <si>
    <t>500,000 and above</t>
    <phoneticPr fontId="71" type="noConversion"/>
  </si>
  <si>
    <t>10k</t>
    <phoneticPr fontId="71" type="noConversion"/>
  </si>
  <si>
    <t>50k</t>
    <phoneticPr fontId="71" type="noConversion"/>
  </si>
  <si>
    <t>100k</t>
    <phoneticPr fontId="71" type="noConversion"/>
  </si>
  <si>
    <t>250k</t>
    <phoneticPr fontId="71" type="noConversion"/>
  </si>
  <si>
    <t>USD10k</t>
    <phoneticPr fontId="71" type="noConversion"/>
  </si>
  <si>
    <t>USD10k</t>
    <phoneticPr fontId="71" type="noConversion"/>
  </si>
  <si>
    <t>Up to 99,999</t>
    <phoneticPr fontId="71" type="noConversion"/>
  </si>
  <si>
    <t>100,000-499,999</t>
    <phoneticPr fontId="71" type="noConversion"/>
  </si>
  <si>
    <t>500,000-999,999</t>
    <phoneticPr fontId="71" type="noConversion"/>
  </si>
  <si>
    <t>1,000,000 and above</t>
    <phoneticPr fontId="71" type="noConversion"/>
  </si>
  <si>
    <t>Minimum 10k</t>
    <phoneticPr fontId="71" type="noConversion"/>
  </si>
  <si>
    <t>Minimum 50k</t>
    <phoneticPr fontId="71" type="noConversion"/>
  </si>
  <si>
    <t>Minimum 100k</t>
    <phoneticPr fontId="71" type="noConversion"/>
  </si>
  <si>
    <t>NZD$50,000</t>
    <phoneticPr fontId="71" type="noConversion"/>
  </si>
  <si>
    <t>CAD$50,000</t>
    <phoneticPr fontId="71" type="noConversion"/>
  </si>
  <si>
    <t>新西兰元挂牌</t>
    <phoneticPr fontId="71" type="noConversion"/>
  </si>
  <si>
    <t>加元挂牌</t>
    <phoneticPr fontId="71" type="noConversion"/>
  </si>
  <si>
    <t>新元挂牌利率</t>
  </si>
  <si>
    <t>1,000-19,999</t>
  </si>
  <si>
    <t>18个月期限及以上仅适用于续存，不再接受新开户</t>
  </si>
  <si>
    <t>50,000-249,999</t>
  </si>
  <si>
    <t>＜20,000</t>
  </si>
  <si>
    <t>20,000-49,999</t>
  </si>
  <si>
    <t>100,000-499,999</t>
  </si>
  <si>
    <t>1,000-99,999</t>
  </si>
  <si>
    <t>100,000-299,999</t>
  </si>
  <si>
    <t>1,000-49,999</t>
  </si>
  <si>
    <t>20,000-200,000</t>
  </si>
  <si>
    <r>
      <t xml:space="preserve">Please note that 36-month SGD Time Deposit is only applicable to the auto rollover of existing placements of the same tenure.
We will not be accepting new </t>
    </r>
    <r>
      <rPr>
        <sz val="11"/>
        <color rgb="FFFF0000"/>
        <rFont val="等线"/>
        <family val="2"/>
        <scheme val="minor"/>
      </rPr>
      <t>36-month</t>
    </r>
    <r>
      <rPr>
        <sz val="11"/>
        <color theme="1"/>
        <rFont val="等线"/>
        <family val="3"/>
        <charset val="134"/>
        <scheme val="minor"/>
      </rPr>
      <t xml:space="preserve"> SGD Time Deposit placement on the above interest rates.
* Minimum deposit for 1 month is S$10,000.</t>
    </r>
  </si>
  <si>
    <t>5,000-20,000</t>
  </si>
  <si>
    <t xml:space="preserve">24M/36M only for renewal </t>
  </si>
  <si>
    <t>-</t>
    <phoneticPr fontId="71" type="noConversion"/>
  </si>
  <si>
    <t>online banking</t>
  </si>
  <si>
    <t>25,000-49,999</t>
  </si>
  <si>
    <t>电子银行,Preferrec Banking
personal banking -0.05%
按促销/挂牌利率续存</t>
  </si>
  <si>
    <t>PERSONAL CUSTOMER
FRESH FUNc
Mobile only</t>
  </si>
  <si>
    <t>savings Buncle，要求每存入1k新元活期存款，可有10k定期存款享有以上优惠利率（活期资金会被冻结）
普通定期：6M-2.45%，9M-2.40%,12M-2.35%
按挂牌利率续存</t>
  </si>
  <si>
    <t>挂牌利率</t>
  </si>
  <si>
    <t>Thursday 10am</t>
  </si>
  <si>
    <t>Website Update Time</t>
  </si>
  <si>
    <t>50,000-499,999</t>
  </si>
  <si>
    <t>4M</t>
  </si>
  <si>
    <t>5M</t>
  </si>
  <si>
    <t>7M</t>
  </si>
  <si>
    <t>8M</t>
  </si>
  <si>
    <t>10M</t>
  </si>
  <si>
    <t>11M</t>
  </si>
  <si>
    <t>Minimum Amount</t>
  </si>
  <si>
    <t>Daily 10:35</t>
  </si>
  <si>
    <t>Monthly</t>
  </si>
  <si>
    <t>1.3% 手机银行 （个人）</t>
  </si>
  <si>
    <t>1.35% 手机银行 （财富）</t>
  </si>
  <si>
    <t>1.35%（fresh fund 25k-3000k）</t>
  </si>
  <si>
    <t>&gt;60,000</t>
  </si>
  <si>
    <t>&gt;200K</t>
  </si>
  <si>
    <t xml:space="preserve">Fresh Fund </t>
  </si>
  <si>
    <t>09/12/2025-17/12/2025</t>
  </si>
  <si>
    <t>Fresh Fund 10k</t>
  </si>
  <si>
    <t>Citigold - for client with investible assets of S$300K
Citigold Private - for client with investible assets of S$1.5mil</t>
  </si>
  <si>
    <t>1.50%(Online S$10K)
1.50%(Others S$100K)</t>
  </si>
  <si>
    <t>1.20%  - s$5,000 to S$20,000(5M)
1.25%  - s$20,000 to S$60,000(5M)
1.30(5M) 60,000</t>
  </si>
  <si>
    <t>Daily 10:30</t>
  </si>
  <si>
    <t>USD30K</t>
  </si>
  <si>
    <t>1.30%(Online S$10K)
1.30%(Others S$100K)</t>
  </si>
  <si>
    <t>港币挂牌</t>
  </si>
  <si>
    <t>澳元挂牌</t>
  </si>
  <si>
    <t>欧元挂牌</t>
  </si>
  <si>
    <t>英镑挂牌</t>
  </si>
  <si>
    <t>澳元挂牌利率</t>
  </si>
  <si>
    <t>欧元挂牌利率</t>
  </si>
  <si>
    <t>英镑挂牌利率</t>
  </si>
  <si>
    <t>Below 100,000</t>
  </si>
  <si>
    <t>Below 5,000</t>
  </si>
  <si>
    <t>5,000 to below 50,000</t>
  </si>
  <si>
    <t>＜500,000</t>
  </si>
  <si>
    <t>＜2,500,000</t>
  </si>
  <si>
    <t>＜=5,000,000</t>
  </si>
  <si>
    <t>＜75,000</t>
  </si>
  <si>
    <t>＜150,000</t>
  </si>
  <si>
    <t>HKD$50,000</t>
  </si>
  <si>
    <t>GBP$50,000</t>
  </si>
  <si>
    <t>100,000-999,999</t>
  </si>
  <si>
    <t>1,000,000-4,999,999</t>
  </si>
  <si>
    <t>5,000,000-9,999,999</t>
  </si>
  <si>
    <t>≥10,000,000</t>
  </si>
  <si>
    <t>港元挂牌利率</t>
  </si>
  <si>
    <t>1,000,000-1,999,999</t>
  </si>
  <si>
    <t>2,000,000-4,999,999</t>
  </si>
  <si>
    <t>≥5,000,000</t>
  </si>
  <si>
    <t>1.15%（online）</t>
  </si>
  <si>
    <t>其他</t>
  </si>
  <si>
    <t>美元</t>
  </si>
  <si>
    <t>准入门槛</t>
  </si>
  <si>
    <t>&gt;20,000SGD
branch</t>
  </si>
  <si>
    <t>&gt;20,000SGD
online</t>
  </si>
  <si>
    <t>&gt;20,000USD
fresh funds
branch</t>
  </si>
  <si>
    <t>&gt;25,000USD</t>
  </si>
  <si>
    <t>&gt;25,000SGD</t>
  </si>
  <si>
    <t>&gt;25,000SGD
fresh funds</t>
  </si>
  <si>
    <t>&gt;25,000USD
fresh funds</t>
  </si>
  <si>
    <t>priority banking
AUM&gt;200,000SGD</t>
  </si>
  <si>
    <t>priority private
AUM&gt;1,500,000SGD</t>
  </si>
  <si>
    <t>permier banking
fresh funds&gt;350,000SGD</t>
  </si>
  <si>
    <t>&gt;20,000SGD</t>
  </si>
  <si>
    <t>premier
TRB&gt;200,000SGD</t>
  </si>
  <si>
    <t>with wealth holdings
fresh funds&gt;30,000USD</t>
  </si>
  <si>
    <t>without wealth holdings
fresh funds&gt;30,000USD</t>
  </si>
  <si>
    <t>with wealth holdings
fresh funds&gt;30,000SGD
online</t>
  </si>
  <si>
    <t>without wealth holdings
fresh funds&gt;30,000SGD
online</t>
  </si>
  <si>
    <t>citigold
investible assets&gt;300,000SGD</t>
  </si>
  <si>
    <t>citigold private client
investible assets&gt;1,500,000SGD</t>
  </si>
  <si>
    <t>10,000&lt;new funds&lt;250,000SGD</t>
  </si>
  <si>
    <t>250,000&lt;new funds&lt;5,000,000SGD</t>
  </si>
  <si>
    <t>250,000&lt;new funds&lt;1,500,000SGD
new-to-bank</t>
  </si>
  <si>
    <t>1,500,000&lt;new funds&lt;5,000,000SGD
new-to-bank</t>
  </si>
  <si>
    <t>10,000&lt;new funds&lt;5,000,000USD</t>
  </si>
  <si>
    <t>250,000&lt;new funds&lt;1,100,000USD
new-to-bank</t>
  </si>
  <si>
    <t>1,100,000&lt;new funds&lt;5,000,000USD
new-to-bank</t>
  </si>
  <si>
    <t>10,000&lt;new funds&lt;250,000SGD
investor customers</t>
  </si>
  <si>
    <t>250,000&lt;new funds&lt;5,000,000SGD
investor customers</t>
  </si>
  <si>
    <t>10,000&lt;new funds&lt;5,000,000USD
investor customers</t>
  </si>
  <si>
    <t>10,000&lt;new funds&lt;250,000SGD
prestige customers</t>
  </si>
  <si>
    <t>250,000&lt;new funds&lt;5,000,000SGD
prestige customers</t>
  </si>
  <si>
    <t>10,000&lt;new funds&lt;5,000,000USD
prestige customers</t>
  </si>
  <si>
    <t>prestige customers refers to  a citigold private client customer with a min of 1,500,000 in AUM, who is an accredited investor and a main cardholder of a citi prestige card.</t>
  </si>
  <si>
    <t>investor customers refers to an accredited investor.</t>
  </si>
  <si>
    <t>新元</t>
  </si>
  <si>
    <t>premier banking
TRB&gt;200,000SGD</t>
  </si>
  <si>
    <t>&gt;1,000SGD</t>
  </si>
  <si>
    <t>premier banking
TRB&gt;250,000SGD or
mortgage loan financing&gt;1,000,000SGD</t>
  </si>
  <si>
    <t>&gt;10k</t>
  </si>
  <si>
    <t>$500手机银行</t>
  </si>
  <si>
    <t>1.33% &gt;50,000(8M)</t>
  </si>
  <si>
    <t>1.35%（online）&gt;200k</t>
  </si>
  <si>
    <t>500-200k</t>
  </si>
  <si>
    <t>1.00%（online）</t>
  </si>
  <si>
    <t>1.05%（online）&gt;200k</t>
  </si>
  <si>
    <r>
      <t xml:space="preserve">新资金&amp;电子银行（网银/手机）
</t>
    </r>
    <r>
      <rPr>
        <sz val="11"/>
        <color rgb="FFFF0000"/>
        <rFont val="Calibri"/>
        <family val="2"/>
      </rPr>
      <t>按挂牌利率续存</t>
    </r>
  </si>
  <si>
    <t>internet banking
over the counter -0.05%</t>
  </si>
  <si>
    <t>1.30% online</t>
  </si>
  <si>
    <t>1.50%（4M/5M)$ 50,000</t>
  </si>
  <si>
    <t>Fresh fund, from 22 Jan 2026 to further notice</t>
  </si>
  <si>
    <t>15 - 31 Jan 2026</t>
  </si>
  <si>
    <t>from 20 Jan 2026</t>
  </si>
  <si>
    <t>20k</t>
  </si>
  <si>
    <t>from 19 Jan 2026</t>
  </si>
  <si>
    <t>1.15% (手机银行)</t>
  </si>
  <si>
    <t>28 Jan - 1 Feb 2026</t>
  </si>
  <si>
    <t>1.40%（200k手机银行）</t>
  </si>
  <si>
    <t xml:space="preserve">Fresh FunCs, Online Placement
</t>
  </si>
  <si>
    <t>Fresh FunCs, 手机银行</t>
  </si>
  <si>
    <t>500-499,999</t>
  </si>
  <si>
    <t>1.30% 手机银行 （个人）</t>
  </si>
  <si>
    <t>1.30% fresh fund</t>
  </si>
  <si>
    <t>Fresh Fund 10k
Fresh Fund 350k-10mil</t>
  </si>
  <si>
    <t>1.20% (Citigold Client)
1.30% (Citigold Private Client)
1.35% (Citigold Private Client and Citigold 新客户)</t>
  </si>
  <si>
    <t>50k</t>
  </si>
  <si>
    <t>branch exclusive</t>
  </si>
  <si>
    <t>50K</t>
  </si>
  <si>
    <t>1.23% 20,000</t>
  </si>
  <si>
    <t xml:space="preserve"> S$20,000</t>
  </si>
  <si>
    <t>1.45%  (branch and online) 
E.I.R. 1.32%
1.30% (branch and online)</t>
  </si>
  <si>
    <t>1.45% online
E.I.R 1.32%
1.30% (branch and online)</t>
  </si>
  <si>
    <t>1.20% (personal）</t>
  </si>
  <si>
    <t>1.30% (premier）</t>
  </si>
  <si>
    <t>from 10 Feb</t>
  </si>
  <si>
    <t>USD 25k</t>
  </si>
  <si>
    <t>Personal Banking (USD 25K)</t>
  </si>
  <si>
    <t>Priority Banking (USD 25K)</t>
  </si>
  <si>
    <t>Priority Private Banking (USD 25K)</t>
  </si>
  <si>
    <t>25,000-249,999</t>
  </si>
  <si>
    <t>both retail and corporate account</t>
  </si>
  <si>
    <t>1.288% (CNY promo fresh funds 10k)</t>
  </si>
  <si>
    <t>1.25% (personal）</t>
  </si>
  <si>
    <t>1.35% (premier）</t>
  </si>
  <si>
    <t>1.50%(Online S$10K)
1.45%(Branch S$100K)</t>
  </si>
  <si>
    <t>1.30%(Online S$10K)
1.25%(Branch S$100K)</t>
  </si>
  <si>
    <t>≥USD5,000</t>
  </si>
  <si>
    <t>1.15%（50k）</t>
  </si>
  <si>
    <t>≥USD25,000</t>
  </si>
  <si>
    <t>500,000以上</t>
  </si>
  <si>
    <t>1.25% (personal banking)</t>
  </si>
  <si>
    <t>1.30% (priority banking)</t>
  </si>
  <si>
    <t>1.35% (priority private banking)</t>
  </si>
  <si>
    <t>New Fund</t>
  </si>
  <si>
    <t>1.25% 手机银行 （个人）</t>
  </si>
  <si>
    <t>1.30% 手机银行 （财富）</t>
  </si>
  <si>
    <t>1.25% (Citigold Client)
1.45% (Citigold Private Client)
1.50% (Citigold Private Client and Citigold 新客户)</t>
  </si>
  <si>
    <t>1.15% (Citigold Client)
1.35% (Citigold Private Client)
1.40% (Citigold Private Client and Citigold 新客户)</t>
  </si>
  <si>
    <t>0.60% personal (counter)
0.65% premier w/o wealth products (counter)
0.9% premier w wealth holdings or FX Engaged (Mobile App only+$30K fresh funds)</t>
  </si>
  <si>
    <t>0.75% personal (counter)
0.80% premier w/o wealth products (counter)
1.15% premier w wealth products (counter)</t>
  </si>
  <si>
    <r>
      <t xml:space="preserve">0.85% personal (counter)
0.90% premier w/o wealth products (counter)
</t>
    </r>
    <r>
      <rPr>
        <sz val="11"/>
        <color rgb="FFFF0000"/>
        <rFont val="等线"/>
        <family val="2"/>
        <scheme val="minor"/>
      </rPr>
      <t>1.25% premier w wealth products (counter)</t>
    </r>
  </si>
  <si>
    <t>1.10%(online)</t>
  </si>
  <si>
    <t>1.05% (Branch)</t>
  </si>
  <si>
    <t>1.10% (Branch)</t>
  </si>
  <si>
    <t>1.15%(online)</t>
  </si>
  <si>
    <t>1.0%(NewFund 1k)</t>
  </si>
  <si>
    <t>1.05%(NewFund 10k)</t>
  </si>
  <si>
    <t>1.25%(NewFund 10k)</t>
  </si>
  <si>
    <t>until 28/02/2026</t>
  </si>
  <si>
    <t>1.40%（fresh fund 50k-3mil）88 days</t>
  </si>
  <si>
    <t>1.30% (手机银行)</t>
  </si>
  <si>
    <t>2 - 30 Apr 2026</t>
  </si>
  <si>
    <t>&gt;$25k</t>
  </si>
  <si>
    <t>1-9 Mar</t>
  </si>
  <si>
    <t>≥10,000URD</t>
  </si>
  <si>
    <t>≥R$50,000</t>
  </si>
  <si>
    <t>Tenor: 3 monthR</t>
  </si>
  <si>
    <t>Tenor: 6 monthR</t>
  </si>
  <si>
    <t>1.20%  - s$5,000 to S$20,000
1.20% - s$20,000 and above</t>
  </si>
  <si>
    <t>1.10% (personal banking)</t>
  </si>
  <si>
    <t>1.15% (priority banking)</t>
  </si>
  <si>
    <t>1.20% (priority private banking)</t>
  </si>
  <si>
    <t>1.30%（$500手机银行）</t>
  </si>
  <si>
    <t>1.20%  - s$5,000 to S$20,000(5,6M)
1.25%  - s$20,000 to S$60,000(5,6M)</t>
  </si>
  <si>
    <r>
      <t xml:space="preserve">0.70% personal (counter)
0.75% premier w/o wealth products (counter)
</t>
    </r>
    <r>
      <rPr>
        <sz val="11"/>
        <rFont val="等线"/>
        <family val="2"/>
        <scheme val="minor"/>
      </rPr>
      <t>1.35% premier w wealth holdings or FX Engaged (Mobile App only+$30K fresh funds)</t>
    </r>
    <r>
      <rPr>
        <sz val="11"/>
        <color rgb="FFFF0000"/>
        <rFont val="等线"/>
        <family val="2"/>
        <scheme val="minor"/>
      </rPr>
      <t xml:space="preserve">
1.40% (mobile banking, fresh fund S$30K)</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</si>
</sst>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quot;$&quot;#,##0;[Red]\-&quot;$&quot;#,##0"/>
    <numFmt numFmtId="177" formatCode="0.0000%"/>
    <numFmt numFmtId="178" formatCode="0.000%"/>
    <numFmt numFmtId="179" formatCode="0.00000%"/>
    <numFmt numFmtId="180" formatCode="[$¥-804]#,##0;[Red][$¥-804]\-#,##0"/>
    <numFmt numFmtId="181" formatCode="&quot;$&quot;#,##0_);[Red]\(&quot;$&quot;#,##0\)"/>
  </numFmts>
  <fonts count="79">
    <font>
      <sz val="11"/>
      <color theme="1"/>
      <name val="等线"/>
      <family val="2"/>
      <charset val="134"/>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b/>
      <sz val="10"/>
      <color theme="0"/>
      <name val="Arial"/>
      <family val="2"/>
    </font>
    <font>
      <sz val="10"/>
      <color theme="1"/>
      <name val="Arial"/>
      <family val="2"/>
    </font>
    <font>
      <b/>
      <sz val="10"/>
      <name val="Arial"/>
      <family val="2"/>
    </font>
    <font>
      <sz val="10"/>
      <name val="Arial"/>
      <family val="2"/>
    </font>
    <font>
      <sz val="10"/>
      <color theme="3"/>
      <name val="Arial"/>
      <family val="2"/>
    </font>
    <font>
      <sz val="10"/>
      <color theme="8" tint="-0.249977111117893"/>
      <name val="Arial"/>
      <family val="2"/>
    </font>
    <font>
      <sz val="10"/>
      <color rgb="FFFF0000"/>
      <name val="Arial"/>
      <family val="2"/>
    </font>
    <font>
      <sz val="10"/>
      <color theme="4"/>
      <name val="Arial"/>
      <family val="2"/>
    </font>
    <font>
      <b/>
      <sz val="8"/>
      <name val="Arial"/>
      <family val="2"/>
    </font>
    <font>
      <sz val="11"/>
      <color theme="1"/>
      <name val="等线"/>
      <family val="2"/>
      <scheme val="minor"/>
    </font>
    <font>
      <sz val="11"/>
      <name val="等线"/>
      <family val="2"/>
      <scheme val="minor"/>
    </font>
    <font>
      <sz val="11"/>
      <color rgb="FFFF0000"/>
      <name val="等线"/>
      <family val="2"/>
      <scheme val="minor"/>
    </font>
    <font>
      <sz val="11"/>
      <color rgb="FFFF0000"/>
      <name val="等线"/>
      <family val="3"/>
      <charset val="134"/>
      <scheme val="minor"/>
    </font>
    <font>
      <b/>
      <sz val="11"/>
      <color theme="1"/>
      <name val="等线"/>
      <family val="2"/>
      <scheme val="minor"/>
    </font>
    <font>
      <b/>
      <sz val="11"/>
      <name val="等线"/>
      <family val="2"/>
      <scheme val="minor"/>
    </font>
    <font>
      <b/>
      <sz val="12"/>
      <color theme="1"/>
      <name val="等线"/>
      <family val="2"/>
      <scheme val="minor"/>
    </font>
    <font>
      <sz val="11"/>
      <name val="等线"/>
      <family val="3"/>
      <charset val="134"/>
      <scheme val="minor"/>
    </font>
    <font>
      <sz val="11"/>
      <color theme="1"/>
      <name val="等线"/>
      <family val="3"/>
      <charset val="134"/>
      <scheme val="minor"/>
    </font>
    <font>
      <b/>
      <sz val="14"/>
      <color theme="1"/>
      <name val="等线"/>
      <family val="2"/>
      <scheme val="minor"/>
    </font>
    <font>
      <b/>
      <sz val="16"/>
      <color theme="1"/>
      <name val="等线"/>
      <family val="2"/>
      <scheme val="minor"/>
    </font>
    <font>
      <b/>
      <sz val="11"/>
      <color theme="1"/>
      <name val="华文中宋"/>
      <family val="3"/>
      <charset val="134"/>
    </font>
    <font>
      <b/>
      <sz val="11"/>
      <name val="华文中宋"/>
      <family val="3"/>
      <charset val="134"/>
    </font>
    <font>
      <strike/>
      <sz val="11"/>
      <name val="等线"/>
      <family val="2"/>
      <scheme val="minor"/>
    </font>
    <font>
      <b/>
      <sz val="18"/>
      <name val="微软雅黑"/>
      <family val="2"/>
      <charset val="134"/>
    </font>
    <font>
      <sz val="10"/>
      <color theme="1"/>
      <name val="微软雅黑"/>
      <family val="2"/>
      <charset val="134"/>
    </font>
    <font>
      <b/>
      <sz val="18"/>
      <color theme="1"/>
      <name val="微软雅黑"/>
      <family val="2"/>
      <charset val="134"/>
    </font>
    <font>
      <b/>
      <sz val="12"/>
      <name val="等线"/>
      <family val="2"/>
      <scheme val="minor"/>
    </font>
    <font>
      <b/>
      <sz val="14"/>
      <color theme="0"/>
      <name val="等线"/>
      <family val="2"/>
      <scheme val="minor"/>
    </font>
    <font>
      <strike/>
      <sz val="11"/>
      <color theme="1"/>
      <name val="等线"/>
      <family val="2"/>
      <scheme val="minor"/>
    </font>
    <font>
      <b/>
      <sz val="11"/>
      <color theme="1"/>
      <name val="新宋体"/>
      <family val="3"/>
      <charset val="134"/>
    </font>
    <font>
      <strike/>
      <sz val="11"/>
      <name val="等线"/>
      <family val="3"/>
      <charset val="134"/>
      <scheme val="minor"/>
    </font>
    <font>
      <sz val="18"/>
      <color theme="1"/>
      <name val="微软雅黑"/>
      <family val="2"/>
      <charset val="134"/>
    </font>
    <font>
      <b/>
      <sz val="12"/>
      <name val="等线"/>
      <family val="3"/>
      <charset val="134"/>
      <scheme val="minor"/>
    </font>
    <font>
      <b/>
      <sz val="11"/>
      <name val="等线"/>
      <family val="3"/>
      <charset val="134"/>
      <scheme val="minor"/>
    </font>
    <font>
      <b/>
      <sz val="16"/>
      <color rgb="FF7030A0"/>
      <name val="等线"/>
      <family val="2"/>
      <scheme val="minor"/>
    </font>
    <font>
      <sz val="12"/>
      <color theme="1"/>
      <name val="等线"/>
      <family val="2"/>
      <scheme val="minor"/>
    </font>
    <font>
      <strike/>
      <sz val="11"/>
      <color rgb="FFFF0000"/>
      <name val="等线"/>
      <family val="3"/>
      <charset val="134"/>
      <scheme val="minor"/>
    </font>
    <font>
      <b/>
      <sz val="11"/>
      <color rgb="FFFF0000"/>
      <name val="等线"/>
      <family val="3"/>
      <charset val="134"/>
      <scheme val="minor"/>
    </font>
    <font>
      <sz val="11"/>
      <color theme="0"/>
      <name val="等线"/>
      <family val="3"/>
      <charset val="134"/>
      <scheme val="minor"/>
    </font>
    <font>
      <sz val="12"/>
      <name val="等线"/>
      <family val="2"/>
      <scheme val="minor"/>
    </font>
    <font>
      <strike/>
      <sz val="12"/>
      <name val="等线"/>
      <family val="2"/>
      <scheme val="minor"/>
    </font>
    <font>
      <b/>
      <strike/>
      <sz val="12"/>
      <name val="等线"/>
      <family val="2"/>
      <scheme val="minor"/>
    </font>
    <font>
      <b/>
      <strike/>
      <sz val="12"/>
      <color theme="1"/>
      <name val="等线"/>
      <family val="2"/>
      <scheme val="minor"/>
    </font>
    <font>
      <strike/>
      <sz val="12"/>
      <name val="等线"/>
      <family val="3"/>
      <charset val="134"/>
      <scheme val="minor"/>
    </font>
    <font>
      <b/>
      <strike/>
      <sz val="11"/>
      <color theme="1"/>
      <name val="等线"/>
      <family val="2"/>
      <scheme val="minor"/>
    </font>
    <font>
      <b/>
      <strike/>
      <sz val="11"/>
      <name val="等线"/>
      <family val="2"/>
      <scheme val="minor"/>
    </font>
    <font>
      <sz val="12"/>
      <name val="等线"/>
      <family val="3"/>
      <charset val="134"/>
      <scheme val="minor"/>
    </font>
    <font>
      <sz val="14"/>
      <color theme="1"/>
      <name val="等线"/>
      <family val="2"/>
      <scheme val="minor"/>
    </font>
    <font>
      <strike/>
      <sz val="11"/>
      <color theme="1"/>
      <name val="等线"/>
      <family val="3"/>
      <charset val="134"/>
      <scheme val="minor"/>
    </font>
    <font>
      <i/>
      <sz val="11"/>
      <color rgb="FFFF0000"/>
      <name val="等线"/>
      <family val="2"/>
      <scheme val="minor"/>
    </font>
    <font>
      <sz val="14"/>
      <name val="等线"/>
      <family val="3"/>
      <charset val="134"/>
      <scheme val="minor"/>
    </font>
    <font>
      <b/>
      <sz val="11"/>
      <color theme="0"/>
      <name val="等线"/>
      <family val="2"/>
      <scheme val="minor"/>
    </font>
    <font>
      <sz val="14"/>
      <color rgb="FFC00000"/>
      <name val="等线"/>
      <family val="2"/>
      <scheme val="minor"/>
    </font>
    <font>
      <b/>
      <sz val="14"/>
      <color rgb="FFC00000"/>
      <name val="等线"/>
      <family val="2"/>
      <scheme val="minor"/>
    </font>
    <font>
      <sz val="11"/>
      <name val="Calibri"/>
      <family val="2"/>
    </font>
    <font>
      <sz val="11"/>
      <color rgb="FFFF0000"/>
      <name val="Calibri"/>
      <family val="2"/>
    </font>
    <font>
      <sz val="14"/>
      <color rgb="FFFF0000"/>
      <name val="Calibri"/>
      <family val="2"/>
    </font>
    <font>
      <sz val="14"/>
      <color rgb="FFFF0000"/>
      <name val="等线"/>
      <family val="2"/>
      <scheme val="minor"/>
    </font>
    <font>
      <sz val="9"/>
      <name val="等线"/>
      <family val="2"/>
      <charset val="134"/>
      <scheme val="minor"/>
    </font>
    <font>
      <b/>
      <sz val="10"/>
      <color theme="1"/>
      <name val="Arial"/>
      <family val="2"/>
    </font>
    <font>
      <sz val="11"/>
      <color rgb="FFC00000"/>
      <name val="等线"/>
      <family val="2"/>
      <scheme val="minor"/>
    </font>
    <font>
      <b/>
      <sz val="16"/>
      <name val="等线"/>
      <family val="2"/>
      <scheme val="minor"/>
    </font>
    <font>
      <b/>
      <sz val="12"/>
      <color theme="0"/>
      <name val="等线"/>
      <family val="2"/>
      <scheme val="minor"/>
    </font>
    <font>
      <b/>
      <sz val="14"/>
      <color rgb="FFFF0000"/>
      <name val="等线"/>
      <family val="2"/>
      <scheme val="minor"/>
    </font>
    <font>
      <sz val="12"/>
      <color rgb="FFFF0000"/>
      <name val="等线"/>
      <family val="2"/>
      <scheme val="minor"/>
    </font>
    <font>
      <sz val="11"/>
      <color rgb="FF9C0006"/>
      <name val="等线"/>
      <family val="2"/>
      <scheme val="minor"/>
    </font>
  </fonts>
  <fills count="18">
    <fill>
      <patternFill patternType="none"/>
    </fill>
    <fill>
      <patternFill patternType="gray125"/>
    </fill>
    <fill>
      <patternFill patternType="solid">
        <fgColor theme="4"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rgb="FFC00000"/>
        <bgColor indexed="64"/>
      </patternFill>
    </fill>
    <fill>
      <patternFill patternType="solid">
        <fgColor theme="0"/>
        <bgColor indexed="64"/>
      </patternFill>
    </fill>
    <fill>
      <patternFill patternType="solid">
        <fgColor rgb="FFFFFF00"/>
        <bgColor indexed="64"/>
      </patternFill>
    </fill>
    <fill>
      <patternFill patternType="solid">
        <fgColor rgb="FFFF0000"/>
        <bgColor indexed="64"/>
      </patternFill>
    </fill>
    <fill>
      <patternFill patternType="solid">
        <fgColor rgb="FF00B050"/>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4" tint="0.59999389629810485"/>
        <bgColor indexed="64"/>
      </patternFill>
    </fill>
    <fill>
      <patternFill patternType="solid">
        <fgColor theme="3" tint="0.7993408001953185"/>
        <bgColor indexed="64"/>
      </patternFill>
    </fill>
    <fill>
      <patternFill patternType="solid">
        <fgColor theme="4" tint="-0.249977111117893"/>
        <bgColor indexed="64"/>
      </patternFill>
    </fill>
    <fill>
      <patternFill patternType="solid">
        <fgColor theme="8"/>
        <bgColor theme="8"/>
      </patternFill>
    </fill>
    <fill>
      <patternFill patternType="solid">
        <fgColor theme="5" tint="0.79998168889431442"/>
        <bgColor indexed="64"/>
      </patternFill>
    </fill>
    <fill>
      <patternFill patternType="solid">
        <fgColor rgb="FFFFC7CE"/>
      </patternFill>
    </fill>
  </fills>
  <borders count="22">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ck">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ck">
        <color auto="1"/>
      </left>
      <right/>
      <top style="thin">
        <color auto="1"/>
      </top>
      <bottom style="thin">
        <color auto="1"/>
      </bottom>
      <diagonal/>
    </border>
    <border>
      <left/>
      <right style="thick">
        <color auto="1"/>
      </right>
      <top/>
      <bottom/>
      <diagonal/>
    </border>
    <border>
      <left/>
      <right style="thin">
        <color auto="1"/>
      </right>
      <top/>
      <bottom style="thin">
        <color auto="1"/>
      </bottom>
      <diagonal/>
    </border>
    <border>
      <left/>
      <right/>
      <top/>
      <bottom style="thin">
        <color auto="1"/>
      </bottom>
      <diagonal/>
    </border>
    <border>
      <left style="thin">
        <color auto="1"/>
      </left>
      <right/>
      <top/>
      <bottom/>
      <diagonal/>
    </border>
    <border>
      <left style="thin">
        <color auto="1"/>
      </left>
      <right/>
      <top/>
      <bottom style="thin">
        <color auto="1"/>
      </bottom>
      <diagonal/>
    </border>
    <border>
      <left style="thin">
        <color auto="1"/>
      </left>
      <right/>
      <top style="thin">
        <color auto="1"/>
      </top>
      <bottom/>
      <diagonal/>
    </border>
    <border>
      <left/>
      <right style="thin">
        <color auto="1"/>
      </right>
      <top style="thin">
        <color auto="1"/>
      </top>
      <bottom/>
      <diagonal/>
    </border>
    <border>
      <left/>
      <right/>
      <top style="thin">
        <color indexed="64"/>
      </top>
      <bottom/>
      <diagonal/>
    </border>
    <border>
      <left/>
      <right style="thick">
        <color auto="1"/>
      </right>
      <top style="thin">
        <color auto="1"/>
      </top>
      <bottom style="thin">
        <color auto="1"/>
      </bottom>
      <diagonal/>
    </border>
    <border>
      <left style="thin">
        <color auto="1"/>
      </left>
      <right style="thin">
        <color auto="1"/>
      </right>
      <top style="thin">
        <color auto="1"/>
      </top>
      <bottom style="thin">
        <color theme="2" tint="-0.499984740745262"/>
      </bottom>
      <diagonal/>
    </border>
    <border>
      <left style="thin">
        <color auto="1"/>
      </left>
      <right style="thin">
        <color auto="1"/>
      </right>
      <top style="thin">
        <color theme="2" tint="-0.499984740745262"/>
      </top>
      <bottom style="thin">
        <color auto="1"/>
      </bottom>
      <diagonal/>
    </border>
    <border>
      <left/>
      <right/>
      <top style="thin">
        <color theme="3" tint="0.39997558519241921"/>
      </top>
      <bottom/>
      <diagonal/>
    </border>
  </borders>
  <cellStyleXfs count="8">
    <xf numFmtId="0" fontId="0" fillId="0" borderId="0"/>
    <xf numFmtId="0" fontId="22" fillId="0" borderId="0"/>
    <xf numFmtId="9" fontId="22" fillId="0" borderId="0" applyFont="0" applyFill="0" applyBorder="0" applyAlignment="0" applyProtection="0"/>
    <xf numFmtId="0" fontId="22" fillId="4" borderId="0" applyNumberFormat="0" applyBorder="0" applyAlignment="0" applyProtection="0"/>
    <xf numFmtId="0" fontId="22" fillId="3" borderId="0" applyNumberFormat="0" applyBorder="0" applyAlignment="0" applyProtection="0"/>
    <xf numFmtId="0" fontId="22" fillId="2" borderId="0" applyNumberFormat="0" applyBorder="0" applyAlignment="0" applyProtection="0"/>
    <xf numFmtId="10" fontId="29" fillId="7" borderId="4" applyNumberFormat="0" applyFont="0" applyBorder="0" applyAlignment="0" applyProtection="0">
      <alignment horizontal="center" vertical="center" wrapText="1"/>
    </xf>
    <xf numFmtId="0" fontId="78" fillId="17" borderId="0" applyNumberFormat="0" applyBorder="0" applyAlignment="0" applyProtection="0"/>
  </cellStyleXfs>
  <cellXfs count="1184">
    <xf numFmtId="0" fontId="0" fillId="0" borderId="0" xfId="0"/>
    <xf numFmtId="0" fontId="13" fillId="5" borderId="1" xfId="0" applyFont="1" applyFill="1" applyBorder="1" applyAlignment="1">
      <alignment horizontal="center" vertical="center"/>
    </xf>
    <xf numFmtId="0" fontId="14" fillId="6" borderId="0" xfId="0" applyFont="1" applyFill="1" applyAlignment="1">
      <alignment horizontal="center" vertical="center"/>
    </xf>
    <xf numFmtId="0" fontId="14" fillId="6" borderId="1" xfId="0" applyFont="1" applyFill="1" applyBorder="1" applyAlignment="1">
      <alignment horizontal="center" vertical="center"/>
    </xf>
    <xf numFmtId="0" fontId="15" fillId="6" borderId="1" xfId="0" applyFont="1" applyFill="1" applyBorder="1" applyAlignment="1">
      <alignment horizontal="center" vertical="center"/>
    </xf>
    <xf numFmtId="0" fontId="14" fillId="6" borderId="1" xfId="0" applyFont="1" applyFill="1" applyBorder="1" applyAlignment="1">
      <alignment horizontal="left" vertical="center" wrapText="1"/>
    </xf>
    <xf numFmtId="0" fontId="18" fillId="6" borderId="1" xfId="0" applyFont="1" applyFill="1" applyBorder="1" applyAlignment="1">
      <alignment horizontal="left" vertical="center" wrapText="1"/>
    </xf>
    <xf numFmtId="0" fontId="17" fillId="6" borderId="1" xfId="0" applyFont="1" applyFill="1" applyBorder="1" applyAlignment="1">
      <alignment horizontal="left" vertical="center"/>
    </xf>
    <xf numFmtId="0" fontId="19" fillId="6" borderId="1" xfId="0" applyFont="1" applyFill="1" applyBorder="1" applyAlignment="1">
      <alignment horizontal="left" vertical="center"/>
    </xf>
    <xf numFmtId="0" fontId="16" fillId="6" borderId="0" xfId="0" applyFont="1" applyFill="1" applyAlignment="1">
      <alignment horizontal="center" vertical="center"/>
    </xf>
    <xf numFmtId="0" fontId="21" fillId="7" borderId="1" xfId="0" applyFont="1" applyFill="1" applyBorder="1" applyAlignment="1">
      <alignment horizontal="left" vertical="center" wrapText="1"/>
    </xf>
    <xf numFmtId="0" fontId="0" fillId="6" borderId="0" xfId="0" applyFill="1"/>
    <xf numFmtId="0" fontId="22" fillId="0" borderId="0" xfId="1"/>
    <xf numFmtId="10" fontId="22" fillId="0" borderId="0" xfId="2" applyNumberFormat="1" applyFont="1"/>
    <xf numFmtId="0" fontId="23" fillId="0" borderId="0" xfId="1" applyFont="1"/>
    <xf numFmtId="10" fontId="23" fillId="0" borderId="0" xfId="1" applyNumberFormat="1" applyFont="1"/>
    <xf numFmtId="10" fontId="23" fillId="6" borderId="0" xfId="1" applyNumberFormat="1" applyFont="1" applyFill="1"/>
    <xf numFmtId="10" fontId="23" fillId="8" borderId="0" xfId="1" applyNumberFormat="1" applyFont="1" applyFill="1"/>
    <xf numFmtId="10" fontId="23" fillId="9" borderId="0" xfId="1" applyNumberFormat="1" applyFont="1" applyFill="1"/>
    <xf numFmtId="0" fontId="23" fillId="6" borderId="0" xfId="1" applyFont="1" applyFill="1"/>
    <xf numFmtId="10" fontId="23" fillId="6" borderId="0" xfId="1" applyNumberFormat="1" applyFont="1" applyFill="1" applyAlignment="1">
      <alignment horizontal="right" vertical="center"/>
    </xf>
    <xf numFmtId="10" fontId="22" fillId="0" borderId="0" xfId="3" applyNumberFormat="1" applyFill="1" applyBorder="1"/>
    <xf numFmtId="0" fontId="22" fillId="3" borderId="0" xfId="4" applyBorder="1" applyAlignment="1"/>
    <xf numFmtId="10" fontId="22" fillId="3" borderId="0" xfId="4" applyNumberFormat="1" applyBorder="1" applyAlignment="1"/>
    <xf numFmtId="10" fontId="22" fillId="3" borderId="0" xfId="2" applyNumberFormat="1" applyFont="1" applyFill="1" applyBorder="1" applyAlignment="1"/>
    <xf numFmtId="10" fontId="22" fillId="7" borderId="0" xfId="2" applyNumberFormat="1" applyFont="1" applyFill="1" applyBorder="1" applyAlignment="1"/>
    <xf numFmtId="10" fontId="22" fillId="4" borderId="0" xfId="3" applyNumberFormat="1" applyBorder="1" applyAlignment="1"/>
    <xf numFmtId="10" fontId="22" fillId="4" borderId="1" xfId="3" applyNumberFormat="1" applyBorder="1" applyAlignment="1"/>
    <xf numFmtId="10" fontId="24" fillId="10" borderId="1" xfId="3" applyNumberFormat="1" applyFont="1" applyFill="1" applyBorder="1" applyAlignment="1"/>
    <xf numFmtId="10" fontId="23" fillId="10" borderId="1" xfId="3" applyNumberFormat="1" applyFont="1" applyFill="1" applyBorder="1" applyAlignment="1"/>
    <xf numFmtId="10" fontId="22" fillId="10" borderId="1" xfId="3" applyNumberFormat="1" applyFill="1" applyBorder="1" applyAlignment="1"/>
    <xf numFmtId="0" fontId="22" fillId="10" borderId="1" xfId="4" applyFill="1" applyBorder="1" applyAlignment="1"/>
    <xf numFmtId="0" fontId="22" fillId="10" borderId="1" xfId="4" applyFill="1" applyBorder="1" applyAlignment="1">
      <alignment horizontal="center" vertical="center"/>
    </xf>
    <xf numFmtId="10" fontId="22" fillId="10" borderId="1" xfId="4" applyNumberFormat="1" applyFill="1" applyBorder="1" applyAlignment="1">
      <alignment horizontal="center" vertical="center"/>
    </xf>
    <xf numFmtId="10" fontId="24" fillId="11" borderId="1" xfId="2" applyNumberFormat="1" applyFont="1" applyFill="1" applyBorder="1" applyAlignment="1"/>
    <xf numFmtId="10" fontId="23" fillId="11" borderId="1" xfId="2" applyNumberFormat="1" applyFont="1" applyFill="1" applyBorder="1" applyAlignment="1"/>
    <xf numFmtId="10" fontId="25" fillId="11" borderId="1" xfId="2" applyNumberFormat="1" applyFont="1" applyFill="1" applyBorder="1" applyAlignment="1"/>
    <xf numFmtId="0" fontId="22" fillId="11" borderId="1" xfId="4" applyFill="1" applyBorder="1" applyAlignment="1"/>
    <xf numFmtId="10" fontId="23" fillId="4" borderId="1" xfId="3" applyNumberFormat="1" applyFont="1" applyBorder="1" applyAlignment="1"/>
    <xf numFmtId="10" fontId="24" fillId="4" borderId="1" xfId="3" applyNumberFormat="1" applyFont="1" applyBorder="1" applyAlignment="1"/>
    <xf numFmtId="10" fontId="23" fillId="4" borderId="1" xfId="3" applyNumberFormat="1" applyFont="1" applyBorder="1" applyAlignment="1">
      <alignment horizontal="center" vertical="center"/>
    </xf>
    <xf numFmtId="10" fontId="22" fillId="0" borderId="1" xfId="3" applyNumberFormat="1" applyFill="1" applyBorder="1"/>
    <xf numFmtId="0" fontId="22" fillId="3" borderId="1" xfId="4" applyBorder="1" applyAlignment="1"/>
    <xf numFmtId="10" fontId="22" fillId="3" borderId="1" xfId="4" applyNumberFormat="1" applyBorder="1" applyAlignment="1"/>
    <xf numFmtId="10" fontId="22" fillId="3" borderId="1" xfId="2" applyNumberFormat="1" applyFont="1" applyFill="1" applyBorder="1" applyAlignment="1"/>
    <xf numFmtId="10" fontId="22" fillId="7" borderId="1" xfId="2" applyNumberFormat="1" applyFont="1" applyFill="1" applyBorder="1" applyAlignment="1"/>
    <xf numFmtId="10" fontId="22" fillId="11" borderId="1" xfId="2" applyNumberFormat="1" applyFont="1" applyFill="1" applyBorder="1" applyAlignment="1"/>
    <xf numFmtId="10" fontId="23" fillId="3" borderId="1" xfId="2" applyNumberFormat="1" applyFont="1" applyFill="1" applyBorder="1" applyAlignment="1"/>
    <xf numFmtId="10" fontId="24" fillId="3" borderId="1" xfId="2" applyNumberFormat="1" applyFont="1" applyFill="1" applyBorder="1" applyAlignment="1"/>
    <xf numFmtId="0" fontId="22" fillId="4" borderId="1" xfId="3" applyBorder="1" applyAlignment="1"/>
    <xf numFmtId="10" fontId="22" fillId="7" borderId="1" xfId="3" applyNumberFormat="1" applyFill="1" applyBorder="1" applyAlignment="1"/>
    <xf numFmtId="10" fontId="22" fillId="7" borderId="1" xfId="4" applyNumberFormat="1" applyFill="1" applyBorder="1" applyAlignment="1"/>
    <xf numFmtId="0" fontId="22" fillId="7" borderId="1" xfId="4" applyFill="1" applyBorder="1" applyAlignment="1"/>
    <xf numFmtId="10" fontId="22" fillId="12" borderId="1" xfId="2" applyNumberFormat="1" applyFont="1" applyFill="1" applyBorder="1" applyAlignment="1"/>
    <xf numFmtId="10" fontId="22" fillId="6" borderId="1" xfId="2" applyNumberFormat="1" applyFont="1" applyFill="1" applyBorder="1" applyAlignment="1"/>
    <xf numFmtId="0" fontId="23" fillId="6" borderId="5" xfId="1" applyFont="1" applyFill="1" applyBorder="1"/>
    <xf numFmtId="10" fontId="23" fillId="6" borderId="1" xfId="1" applyNumberFormat="1" applyFont="1" applyFill="1" applyBorder="1" applyAlignment="1">
      <alignment horizontal="right" vertical="center"/>
    </xf>
    <xf numFmtId="10" fontId="23" fillId="6" borderId="1" xfId="1" applyNumberFormat="1" applyFont="1" applyFill="1" applyBorder="1"/>
    <xf numFmtId="0" fontId="22" fillId="7" borderId="1" xfId="4" applyFill="1" applyBorder="1" applyAlignment="1">
      <alignment horizontal="center" vertical="center"/>
    </xf>
    <xf numFmtId="14" fontId="22" fillId="7" borderId="1" xfId="4" applyNumberFormat="1" applyFill="1" applyBorder="1" applyAlignment="1">
      <alignment horizontal="center" vertical="center"/>
    </xf>
    <xf numFmtId="0" fontId="22" fillId="11" borderId="1" xfId="4" applyFill="1" applyBorder="1" applyAlignment="1">
      <alignment horizontal="center" vertical="center"/>
    </xf>
    <xf numFmtId="10" fontId="22" fillId="11" borderId="1" xfId="4" applyNumberFormat="1" applyFill="1" applyBorder="1" applyAlignment="1">
      <alignment horizontal="center" vertical="center"/>
    </xf>
    <xf numFmtId="10" fontId="23" fillId="9" borderId="1" xfId="1" applyNumberFormat="1" applyFont="1" applyFill="1" applyBorder="1" applyAlignment="1">
      <alignment horizontal="right" vertical="center"/>
    </xf>
    <xf numFmtId="10" fontId="23" fillId="6" borderId="1" xfId="2" applyNumberFormat="1" applyFont="1" applyFill="1" applyBorder="1"/>
    <xf numFmtId="10" fontId="23" fillId="8" borderId="1" xfId="2" applyNumberFormat="1" applyFont="1" applyFill="1" applyBorder="1"/>
    <xf numFmtId="0" fontId="26" fillId="13" borderId="1" xfId="1" applyFont="1" applyFill="1" applyBorder="1" applyAlignment="1">
      <alignment horizontal="center" vertical="center"/>
    </xf>
    <xf numFmtId="14" fontId="27" fillId="13" borderId="1" xfId="1" applyNumberFormat="1" applyFont="1" applyFill="1" applyBorder="1" applyAlignment="1">
      <alignment horizontal="center" vertical="center"/>
    </xf>
    <xf numFmtId="0" fontId="27" fillId="13" borderId="1" xfId="1" applyFont="1" applyFill="1" applyBorder="1" applyAlignment="1">
      <alignment horizontal="center" vertical="center"/>
    </xf>
    <xf numFmtId="10" fontId="27" fillId="13" borderId="1" xfId="2" applyNumberFormat="1" applyFont="1" applyFill="1" applyBorder="1" applyAlignment="1">
      <alignment horizontal="center" vertical="center"/>
    </xf>
    <xf numFmtId="14" fontId="27" fillId="13" borderId="1" xfId="2" applyNumberFormat="1" applyFont="1" applyFill="1" applyBorder="1" applyAlignment="1">
      <alignment horizontal="center" vertical="center"/>
    </xf>
    <xf numFmtId="14" fontId="26" fillId="13" borderId="1" xfId="1" applyNumberFormat="1" applyFont="1" applyFill="1" applyBorder="1" applyAlignment="1">
      <alignment horizontal="center" vertical="center"/>
    </xf>
    <xf numFmtId="0" fontId="26" fillId="0" borderId="1" xfId="1" applyFont="1" applyBorder="1"/>
    <xf numFmtId="0" fontId="27" fillId="0" borderId="1" xfId="1" applyFont="1" applyBorder="1"/>
    <xf numFmtId="0" fontId="23" fillId="0" borderId="1" xfId="1" applyFont="1" applyBorder="1"/>
    <xf numFmtId="0" fontId="22" fillId="0" borderId="0" xfId="4" applyFill="1" applyBorder="1" applyAlignment="1"/>
    <xf numFmtId="0" fontId="23" fillId="0" borderId="0" xfId="4" applyFont="1" applyFill="1" applyBorder="1" applyAlignment="1">
      <alignment horizontal="center" vertical="center"/>
    </xf>
    <xf numFmtId="0" fontId="23" fillId="6" borderId="6" xfId="1" applyFont="1" applyFill="1" applyBorder="1"/>
    <xf numFmtId="0" fontId="23" fillId="6" borderId="1" xfId="1" applyFont="1" applyFill="1" applyBorder="1"/>
    <xf numFmtId="0" fontId="23" fillId="6" borderId="7" xfId="1" applyFont="1" applyFill="1" applyBorder="1"/>
    <xf numFmtId="0" fontId="23" fillId="8" borderId="1" xfId="1" applyFont="1" applyFill="1" applyBorder="1"/>
    <xf numFmtId="10" fontId="23" fillId="9" borderId="1" xfId="1" applyNumberFormat="1" applyFont="1" applyFill="1" applyBorder="1"/>
    <xf numFmtId="10" fontId="22" fillId="3" borderId="1" xfId="2" applyNumberFormat="1" applyFont="1" applyFill="1" applyBorder="1" applyAlignment="1">
      <alignment horizontal="center"/>
    </xf>
    <xf numFmtId="10" fontId="23" fillId="3" borderId="1" xfId="2" applyNumberFormat="1" applyFont="1" applyFill="1" applyBorder="1" applyAlignment="1">
      <alignment horizontal="center"/>
    </xf>
    <xf numFmtId="10" fontId="23" fillId="0" borderId="1" xfId="1" applyNumberFormat="1" applyFont="1" applyBorder="1"/>
    <xf numFmtId="10" fontId="23" fillId="8" borderId="1" xfId="1" applyNumberFormat="1" applyFont="1" applyFill="1" applyBorder="1"/>
    <xf numFmtId="10" fontId="23" fillId="6" borderId="7" xfId="1" applyNumberFormat="1" applyFont="1" applyFill="1" applyBorder="1"/>
    <xf numFmtId="0" fontId="27" fillId="13" borderId="6" xfId="1" applyFont="1" applyFill="1" applyBorder="1" applyAlignment="1">
      <alignment horizontal="center" vertical="center"/>
    </xf>
    <xf numFmtId="0" fontId="22" fillId="3" borderId="1" xfId="4" applyBorder="1" applyAlignment="1">
      <alignment horizontal="center" vertical="center"/>
    </xf>
    <xf numFmtId="10" fontId="22" fillId="3" borderId="1" xfId="4" applyNumberFormat="1" applyBorder="1" applyAlignment="1">
      <alignment horizontal="center" vertical="center"/>
    </xf>
    <xf numFmtId="10" fontId="23" fillId="0" borderId="1" xfId="1" applyNumberFormat="1" applyFont="1" applyBorder="1" applyAlignment="1">
      <alignment horizontal="right"/>
    </xf>
    <xf numFmtId="10" fontId="23" fillId="8" borderId="1" xfId="1" applyNumberFormat="1" applyFont="1" applyFill="1" applyBorder="1" applyAlignment="1">
      <alignment horizontal="right"/>
    </xf>
    <xf numFmtId="0" fontId="22" fillId="6" borderId="0" xfId="1" applyFill="1"/>
    <xf numFmtId="49" fontId="26" fillId="13" borderId="1" xfId="1" applyNumberFormat="1" applyFont="1" applyFill="1" applyBorder="1" applyAlignment="1">
      <alignment horizontal="center" vertical="center"/>
    </xf>
    <xf numFmtId="0" fontId="27" fillId="13" borderId="4" xfId="1" applyFont="1" applyFill="1" applyBorder="1" applyAlignment="1">
      <alignment horizontal="center" vertical="center"/>
    </xf>
    <xf numFmtId="0" fontId="31" fillId="0" borderId="7" xfId="1" applyFont="1" applyBorder="1" applyAlignment="1">
      <alignment horizontal="left"/>
    </xf>
    <xf numFmtId="0" fontId="31" fillId="0" borderId="8" xfId="1" applyFont="1" applyBorder="1" applyAlignment="1">
      <alignment horizontal="left"/>
    </xf>
    <xf numFmtId="0" fontId="31" fillId="0" borderId="9" xfId="1" applyFont="1" applyBorder="1" applyAlignment="1">
      <alignment horizontal="left"/>
    </xf>
    <xf numFmtId="10" fontId="23" fillId="6" borderId="0" xfId="1" applyNumberFormat="1" applyFont="1" applyFill="1" applyAlignment="1">
      <alignment horizontal="right"/>
    </xf>
    <xf numFmtId="0" fontId="23" fillId="6" borderId="10" xfId="1" applyFont="1" applyFill="1" applyBorder="1"/>
    <xf numFmtId="10" fontId="23" fillId="9" borderId="1" xfId="1" applyNumberFormat="1" applyFont="1" applyFill="1" applyBorder="1" applyAlignment="1">
      <alignment horizontal="right"/>
    </xf>
    <xf numFmtId="0" fontId="27" fillId="13" borderId="7" xfId="1" applyFont="1" applyFill="1" applyBorder="1" applyAlignment="1">
      <alignment horizontal="center" vertical="center"/>
    </xf>
    <xf numFmtId="49" fontId="26" fillId="13" borderId="4" xfId="1" applyNumberFormat="1" applyFont="1" applyFill="1" applyBorder="1" applyAlignment="1">
      <alignment horizontal="center" vertical="center"/>
    </xf>
    <xf numFmtId="0" fontId="26" fillId="13" borderId="4" xfId="1" applyFont="1" applyFill="1" applyBorder="1" applyAlignment="1">
      <alignment horizontal="center" vertical="center"/>
    </xf>
    <xf numFmtId="0" fontId="22" fillId="0" borderId="0" xfId="1" applyAlignment="1">
      <alignment vertical="center"/>
    </xf>
    <xf numFmtId="0" fontId="22" fillId="0" borderId="0" xfId="1" applyAlignment="1">
      <alignment horizontal="center" vertical="center"/>
    </xf>
    <xf numFmtId="10" fontId="22" fillId="0" borderId="0" xfId="2" applyNumberFormat="1" applyFont="1" applyFill="1" applyBorder="1" applyAlignment="1">
      <alignment horizontal="right" vertical="center" wrapText="1"/>
    </xf>
    <xf numFmtId="10" fontId="23" fillId="0" borderId="0" xfId="2" applyNumberFormat="1" applyFont="1" applyFill="1" applyBorder="1" applyAlignment="1">
      <alignment horizontal="right" vertical="center" wrapText="1"/>
    </xf>
    <xf numFmtId="10" fontId="22" fillId="7" borderId="1" xfId="2" applyNumberFormat="1" applyFont="1" applyFill="1" applyBorder="1"/>
    <xf numFmtId="10" fontId="22" fillId="6" borderId="1" xfId="2" applyNumberFormat="1" applyFont="1" applyFill="1" applyBorder="1"/>
    <xf numFmtId="10" fontId="22" fillId="0" borderId="1" xfId="3" applyNumberFormat="1" applyFill="1" applyBorder="1" applyAlignment="1">
      <alignment vertical="center"/>
    </xf>
    <xf numFmtId="10" fontId="22" fillId="0" borderId="1" xfId="2" applyNumberFormat="1" applyFont="1" applyFill="1" applyBorder="1" applyAlignment="1">
      <alignment horizontal="right" vertical="center" wrapText="1"/>
    </xf>
    <xf numFmtId="0" fontId="22" fillId="0" borderId="1" xfId="3" applyFill="1" applyBorder="1"/>
    <xf numFmtId="0" fontId="22" fillId="0" borderId="1" xfId="3" applyFill="1" applyBorder="1" applyAlignment="1">
      <alignment horizontal="center" vertical="center" wrapText="1"/>
    </xf>
    <xf numFmtId="10" fontId="22" fillId="0" borderId="4" xfId="3" applyNumberFormat="1" applyFill="1" applyBorder="1" applyAlignment="1">
      <alignment vertical="center"/>
    </xf>
    <xf numFmtId="0" fontId="22" fillId="0" borderId="0" xfId="4" applyFill="1" applyBorder="1" applyAlignment="1">
      <alignment vertical="center"/>
    </xf>
    <xf numFmtId="10" fontId="22" fillId="7" borderId="1" xfId="2" applyNumberFormat="1" applyFont="1" applyFill="1" applyBorder="1" applyAlignment="1">
      <alignment vertical="center"/>
    </xf>
    <xf numFmtId="0" fontId="27" fillId="0" borderId="0" xfId="1" applyFont="1"/>
    <xf numFmtId="10" fontId="29" fillId="10" borderId="1" xfId="3" applyNumberFormat="1" applyFont="1" applyFill="1" applyBorder="1" applyAlignment="1">
      <alignment horizontal="center" vertical="center" wrapText="1"/>
    </xf>
    <xf numFmtId="10" fontId="29" fillId="10" borderId="1" xfId="3" applyNumberFormat="1" applyFont="1" applyFill="1" applyBorder="1" applyAlignment="1">
      <alignment horizontal="center" vertical="center"/>
    </xf>
    <xf numFmtId="10" fontId="29" fillId="4" borderId="1" xfId="3" applyNumberFormat="1" applyFont="1" applyBorder="1" applyAlignment="1">
      <alignment horizontal="center" vertical="center"/>
    </xf>
    <xf numFmtId="10" fontId="29" fillId="4" borderId="1" xfId="3" applyNumberFormat="1" applyFont="1" applyBorder="1" applyAlignment="1">
      <alignment horizontal="center" vertical="center" wrapText="1"/>
    </xf>
    <xf numFmtId="0" fontId="29" fillId="10" borderId="1" xfId="3" applyFont="1" applyFill="1" applyBorder="1" applyAlignment="1">
      <alignment horizontal="center" vertical="center"/>
    </xf>
    <xf numFmtId="10" fontId="29" fillId="10" borderId="6" xfId="3" applyNumberFormat="1" applyFont="1" applyFill="1" applyBorder="1" applyAlignment="1">
      <alignment horizontal="center" vertical="center" wrapText="1"/>
    </xf>
    <xf numFmtId="10" fontId="29" fillId="11" borderId="1" xfId="4" applyNumberFormat="1" applyFont="1" applyFill="1" applyBorder="1" applyAlignment="1">
      <alignment horizontal="center" vertical="center" wrapText="1"/>
    </xf>
    <xf numFmtId="10" fontId="29" fillId="11" borderId="1" xfId="4" applyNumberFormat="1" applyFont="1" applyFill="1" applyBorder="1" applyAlignment="1">
      <alignment horizontal="center" vertical="center"/>
    </xf>
    <xf numFmtId="10" fontId="29" fillId="3" borderId="1" xfId="4" applyNumberFormat="1" applyFont="1" applyBorder="1" applyAlignment="1">
      <alignment horizontal="center" vertical="center"/>
    </xf>
    <xf numFmtId="10" fontId="29" fillId="3" borderId="1" xfId="4" applyNumberFormat="1" applyFont="1" applyBorder="1" applyAlignment="1">
      <alignment horizontal="center" vertical="center" wrapText="1"/>
    </xf>
    <xf numFmtId="0" fontId="39" fillId="3" borderId="1" xfId="4" applyFont="1" applyBorder="1" applyAlignment="1">
      <alignment horizontal="center" vertical="center"/>
    </xf>
    <xf numFmtId="10" fontId="29" fillId="4" borderId="6" xfId="3" applyNumberFormat="1" applyFont="1" applyBorder="1" applyAlignment="1">
      <alignment horizontal="center" vertical="center" wrapText="1"/>
    </xf>
    <xf numFmtId="10" fontId="29" fillId="11" borderId="6" xfId="4" applyNumberFormat="1" applyFont="1" applyFill="1" applyBorder="1" applyAlignment="1">
      <alignment horizontal="center" vertical="center"/>
    </xf>
    <xf numFmtId="10" fontId="29" fillId="11" borderId="8" xfId="3" applyNumberFormat="1" applyFont="1" applyFill="1" applyBorder="1" applyAlignment="1">
      <alignment horizontal="center" vertical="center" wrapText="1"/>
    </xf>
    <xf numFmtId="10" fontId="29" fillId="11" borderId="1" xfId="3" applyNumberFormat="1" applyFont="1" applyFill="1" applyBorder="1" applyAlignment="1">
      <alignment horizontal="center" vertical="center" wrapText="1"/>
    </xf>
    <xf numFmtId="10" fontId="29" fillId="11" borderId="8" xfId="3" applyNumberFormat="1" applyFont="1" applyFill="1" applyBorder="1" applyAlignment="1">
      <alignment horizontal="center" vertical="center"/>
    </xf>
    <xf numFmtId="10" fontId="29" fillId="11" borderId="1" xfId="3" applyNumberFormat="1" applyFont="1" applyFill="1" applyBorder="1" applyAlignment="1">
      <alignment horizontal="center" vertical="center"/>
    </xf>
    <xf numFmtId="10" fontId="29" fillId="10" borderId="1" xfId="4" applyNumberFormat="1" applyFont="1" applyFill="1" applyBorder="1" applyAlignment="1">
      <alignment horizontal="center" vertical="center" wrapText="1"/>
    </xf>
    <xf numFmtId="10" fontId="30" fillId="11" borderId="1" xfId="4" applyNumberFormat="1" applyFont="1" applyFill="1" applyBorder="1" applyAlignment="1">
      <alignment horizontal="center" vertical="center" wrapText="1"/>
    </xf>
    <xf numFmtId="0" fontId="29" fillId="0" borderId="0" xfId="1" applyFont="1"/>
    <xf numFmtId="10" fontId="30" fillId="10" borderId="1" xfId="3" applyNumberFormat="1" applyFont="1" applyFill="1" applyBorder="1" applyAlignment="1">
      <alignment horizontal="center" vertical="center" wrapText="1"/>
    </xf>
    <xf numFmtId="10" fontId="30" fillId="10" borderId="1" xfId="4" applyNumberFormat="1" applyFont="1" applyFill="1" applyBorder="1" applyAlignment="1">
      <alignment horizontal="center" vertical="center" wrapText="1"/>
    </xf>
    <xf numFmtId="0" fontId="40" fillId="14" borderId="1" xfId="1" applyFont="1" applyFill="1" applyBorder="1" applyAlignment="1">
      <alignment horizontal="center" vertical="center"/>
    </xf>
    <xf numFmtId="0" fontId="40" fillId="14" borderId="8" xfId="1" applyFont="1" applyFill="1" applyBorder="1" applyAlignment="1">
      <alignment horizontal="center" vertical="center"/>
    </xf>
    <xf numFmtId="0" fontId="40" fillId="14" borderId="6" xfId="1" applyFont="1" applyFill="1" applyBorder="1" applyAlignment="1">
      <alignment horizontal="center" vertical="center"/>
    </xf>
    <xf numFmtId="10" fontId="0" fillId="0" borderId="0" xfId="2" applyNumberFormat="1" applyFont="1" applyFill="1"/>
    <xf numFmtId="0" fontId="30" fillId="6" borderId="0" xfId="1" applyFont="1" applyFill="1"/>
    <xf numFmtId="0" fontId="29" fillId="6" borderId="0" xfId="1" applyFont="1" applyFill="1"/>
    <xf numFmtId="10" fontId="22" fillId="0" borderId="0" xfId="3" applyNumberFormat="1" applyFill="1" applyBorder="1" applyAlignment="1">
      <alignment vertical="center"/>
    </xf>
    <xf numFmtId="10" fontId="22" fillId="0" borderId="0" xfId="2" applyNumberFormat="1" applyFont="1" applyFill="1" applyBorder="1"/>
    <xf numFmtId="10" fontId="22" fillId="0" borderId="0" xfId="2" applyNumberFormat="1" applyFont="1" applyFill="1" applyBorder="1" applyAlignment="1">
      <alignment horizontal="center"/>
    </xf>
    <xf numFmtId="10" fontId="23" fillId="0" borderId="0" xfId="2" applyNumberFormat="1" applyFont="1" applyFill="1" applyBorder="1"/>
    <xf numFmtId="10" fontId="22" fillId="6" borderId="0" xfId="2" applyNumberFormat="1" applyFont="1" applyFill="1" applyBorder="1"/>
    <xf numFmtId="10" fontId="23" fillId="6" borderId="0" xfId="2" applyNumberFormat="1" applyFont="1" applyFill="1" applyBorder="1"/>
    <xf numFmtId="0" fontId="23" fillId="0" borderId="0" xfId="4" applyFont="1" applyFill="1" applyBorder="1"/>
    <xf numFmtId="10" fontId="22" fillId="0" borderId="1" xfId="2" applyNumberFormat="1" applyFont="1" applyFill="1" applyBorder="1"/>
    <xf numFmtId="10" fontId="22" fillId="0" borderId="1" xfId="2" applyNumberFormat="1" applyFont="1" applyFill="1" applyBorder="1" applyAlignment="1">
      <alignment horizontal="center"/>
    </xf>
    <xf numFmtId="10" fontId="29" fillId="0" borderId="1" xfId="2" applyNumberFormat="1" applyFont="1" applyFill="1" applyBorder="1"/>
    <xf numFmtId="10" fontId="30" fillId="6" borderId="1" xfId="2" applyNumberFormat="1" applyFont="1" applyFill="1" applyBorder="1"/>
    <xf numFmtId="10" fontId="29" fillId="7" borderId="1" xfId="2" applyNumberFormat="1" applyFont="1" applyFill="1" applyBorder="1"/>
    <xf numFmtId="10" fontId="29" fillId="6" borderId="1" xfId="2" applyNumberFormat="1" applyFont="1" applyFill="1" applyBorder="1"/>
    <xf numFmtId="0" fontId="23" fillId="0" borderId="1" xfId="4" applyFont="1" applyFill="1" applyBorder="1"/>
    <xf numFmtId="10" fontId="41" fillId="0" borderId="1" xfId="2" applyNumberFormat="1" applyFont="1" applyFill="1" applyBorder="1" applyAlignment="1">
      <alignment horizontal="right" vertical="center" wrapText="1"/>
    </xf>
    <xf numFmtId="10" fontId="41" fillId="0" borderId="1" xfId="2" applyNumberFormat="1" applyFont="1" applyFill="1" applyBorder="1"/>
    <xf numFmtId="10" fontId="41" fillId="7" borderId="1" xfId="2" applyNumberFormat="1" applyFont="1" applyFill="1" applyBorder="1"/>
    <xf numFmtId="10" fontId="35" fillId="0" borderId="1" xfId="2" applyNumberFormat="1" applyFont="1" applyFill="1" applyBorder="1"/>
    <xf numFmtId="10" fontId="41" fillId="6" borderId="1" xfId="2" applyNumberFormat="1" applyFont="1" applyFill="1" applyBorder="1"/>
    <xf numFmtId="10" fontId="35" fillId="6" borderId="1" xfId="2" applyNumberFormat="1" applyFont="1" applyFill="1" applyBorder="1"/>
    <xf numFmtId="3" fontId="35" fillId="0" borderId="1" xfId="3" applyNumberFormat="1" applyFont="1" applyFill="1" applyBorder="1"/>
    <xf numFmtId="10" fontId="24" fillId="0" borderId="1" xfId="2" applyNumberFormat="1" applyFont="1" applyFill="1" applyBorder="1"/>
    <xf numFmtId="10" fontId="23" fillId="0" borderId="1" xfId="2" applyNumberFormat="1" applyFont="1" applyFill="1" applyBorder="1"/>
    <xf numFmtId="10" fontId="23" fillId="7" borderId="1" xfId="2" applyNumberFormat="1" applyFont="1" applyFill="1" applyBorder="1"/>
    <xf numFmtId="3" fontId="23" fillId="0" borderId="1" xfId="3" applyNumberFormat="1" applyFont="1" applyFill="1" applyBorder="1"/>
    <xf numFmtId="0" fontId="22" fillId="0" borderId="2" xfId="3" applyFill="1" applyBorder="1" applyAlignment="1">
      <alignment horizontal="left" vertical="center" wrapText="1"/>
    </xf>
    <xf numFmtId="10" fontId="22" fillId="0" borderId="4" xfId="2" applyNumberFormat="1" applyFont="1" applyFill="1" applyBorder="1"/>
    <xf numFmtId="10" fontId="22" fillId="0" borderId="1" xfId="2" applyNumberFormat="1" applyFont="1" applyFill="1" applyBorder="1" applyAlignment="1">
      <alignment horizontal="right"/>
    </xf>
    <xf numFmtId="10" fontId="22" fillId="7" borderId="1" xfId="2" applyNumberFormat="1" applyFont="1" applyFill="1" applyBorder="1" applyAlignment="1">
      <alignment horizontal="right"/>
    </xf>
    <xf numFmtId="10" fontId="23" fillId="0" borderId="1" xfId="2" applyNumberFormat="1" applyFont="1" applyFill="1" applyBorder="1" applyAlignment="1">
      <alignment horizontal="right"/>
    </xf>
    <xf numFmtId="10" fontId="22" fillId="6" borderId="1" xfId="2" applyNumberFormat="1" applyFont="1" applyFill="1" applyBorder="1" applyAlignment="1">
      <alignment horizontal="right"/>
    </xf>
    <xf numFmtId="10" fontId="23" fillId="6" borderId="1" xfId="2" applyNumberFormat="1" applyFont="1" applyFill="1" applyBorder="1" applyAlignment="1">
      <alignment horizontal="right"/>
    </xf>
    <xf numFmtId="0" fontId="23" fillId="0" borderId="1" xfId="3" applyFont="1" applyFill="1" applyBorder="1"/>
    <xf numFmtId="10" fontId="22" fillId="0" borderId="1" xfId="3" applyNumberFormat="1" applyFill="1" applyBorder="1" applyAlignment="1">
      <alignment horizontal="center" vertical="center"/>
    </xf>
    <xf numFmtId="0" fontId="23" fillId="0" borderId="1" xfId="3" applyFont="1" applyFill="1" applyBorder="1" applyAlignment="1">
      <alignment horizontal="left" vertical="center"/>
    </xf>
    <xf numFmtId="10" fontId="22" fillId="0" borderId="1" xfId="2" applyNumberFormat="1" applyFont="1" applyFill="1" applyBorder="1" applyAlignment="1">
      <alignment vertical="center"/>
    </xf>
    <xf numFmtId="10" fontId="23" fillId="0" borderId="1" xfId="2" applyNumberFormat="1" applyFont="1" applyFill="1" applyBorder="1" applyAlignment="1">
      <alignment vertical="center"/>
    </xf>
    <xf numFmtId="10" fontId="22" fillId="6" borderId="1" xfId="2" applyNumberFormat="1" applyFont="1" applyFill="1" applyBorder="1" applyAlignment="1">
      <alignment vertical="center"/>
    </xf>
    <xf numFmtId="10" fontId="23" fillId="6" borderId="1" xfId="2" applyNumberFormat="1" applyFont="1" applyFill="1" applyBorder="1" applyAlignment="1">
      <alignment vertical="center"/>
    </xf>
    <xf numFmtId="0" fontId="23" fillId="0" borderId="1" xfId="3" applyFont="1" applyFill="1" applyBorder="1" applyAlignment="1">
      <alignment vertical="center"/>
    </xf>
    <xf numFmtId="0" fontId="33" fillId="0" borderId="1" xfId="1" applyFont="1" applyBorder="1" applyAlignment="1">
      <alignment horizontal="center" vertical="center" wrapText="1"/>
    </xf>
    <xf numFmtId="0" fontId="33" fillId="0" borderId="1" xfId="1" applyFont="1" applyBorder="1" applyAlignment="1">
      <alignment horizontal="center" vertical="center"/>
    </xf>
    <xf numFmtId="0" fontId="34" fillId="0" borderId="1" xfId="1" applyFont="1" applyBorder="1" applyAlignment="1">
      <alignment horizontal="center" vertical="center"/>
    </xf>
    <xf numFmtId="10" fontId="34" fillId="0" borderId="1" xfId="2" applyNumberFormat="1" applyFont="1" applyFill="1" applyBorder="1" applyAlignment="1">
      <alignment horizontal="center" vertical="center"/>
    </xf>
    <xf numFmtId="14" fontId="34" fillId="0" borderId="1" xfId="2" applyNumberFormat="1" applyFont="1" applyFill="1" applyBorder="1" applyAlignment="1">
      <alignment horizontal="center" vertical="center"/>
    </xf>
    <xf numFmtId="14" fontId="34" fillId="0" borderId="1" xfId="1" applyNumberFormat="1" applyFont="1" applyBorder="1" applyAlignment="1">
      <alignment horizontal="center" vertical="center"/>
    </xf>
    <xf numFmtId="14" fontId="33" fillId="6" borderId="1" xfId="1" applyNumberFormat="1" applyFont="1" applyFill="1" applyBorder="1" applyAlignment="1">
      <alignment horizontal="center" vertical="center"/>
    </xf>
    <xf numFmtId="14" fontId="34" fillId="6" borderId="1" xfId="1" applyNumberFormat="1" applyFont="1" applyFill="1" applyBorder="1" applyAlignment="1">
      <alignment horizontal="center" vertical="center"/>
    </xf>
    <xf numFmtId="0" fontId="29" fillId="0" borderId="1" xfId="4" applyFont="1" applyFill="1" applyBorder="1" applyAlignment="1">
      <alignment horizontal="center"/>
    </xf>
    <xf numFmtId="0" fontId="23" fillId="0" borderId="1" xfId="3" applyFont="1" applyFill="1" applyBorder="1" applyAlignment="1">
      <alignment horizontal="center" vertical="center"/>
    </xf>
    <xf numFmtId="10" fontId="22" fillId="0" borderId="1" xfId="4" applyNumberFormat="1" applyFill="1" applyBorder="1" applyAlignment="1">
      <alignment vertical="center"/>
    </xf>
    <xf numFmtId="177" fontId="22" fillId="0" borderId="1" xfId="2" applyNumberFormat="1" applyFont="1" applyFill="1" applyBorder="1"/>
    <xf numFmtId="0" fontId="30" fillId="0" borderId="0" xfId="1" applyFont="1" applyAlignment="1">
      <alignment vertical="center"/>
    </xf>
    <xf numFmtId="10" fontId="22" fillId="6" borderId="0" xfId="2" applyNumberFormat="1" applyFont="1" applyFill="1" applyBorder="1" applyAlignment="1">
      <alignment horizontal="right" vertical="center" wrapText="1"/>
    </xf>
    <xf numFmtId="10" fontId="23" fillId="6" borderId="0" xfId="2" applyNumberFormat="1" applyFont="1" applyFill="1" applyBorder="1" applyAlignment="1">
      <alignment horizontal="right" vertical="center" wrapText="1"/>
    </xf>
    <xf numFmtId="0" fontId="23" fillId="0" borderId="0" xfId="3" applyFont="1" applyFill="1" applyBorder="1"/>
    <xf numFmtId="10" fontId="41" fillId="0" borderId="1" xfId="4" applyNumberFormat="1" applyFont="1" applyFill="1" applyBorder="1" applyAlignment="1">
      <alignment vertical="center"/>
    </xf>
    <xf numFmtId="177" fontId="41" fillId="0" borderId="1" xfId="2" applyNumberFormat="1" applyFont="1" applyFill="1" applyBorder="1"/>
    <xf numFmtId="10" fontId="41" fillId="0" borderId="1" xfId="3" applyNumberFormat="1" applyFont="1" applyFill="1" applyBorder="1" applyAlignment="1">
      <alignment vertical="center"/>
    </xf>
    <xf numFmtId="0" fontId="35" fillId="0" borderId="1" xfId="3" applyFont="1" applyFill="1" applyBorder="1" applyAlignment="1">
      <alignment vertical="center"/>
    </xf>
    <xf numFmtId="10" fontId="24" fillId="0" borderId="1" xfId="2" applyNumberFormat="1" applyFont="1" applyFill="1" applyBorder="1" applyAlignment="1">
      <alignment vertical="center"/>
    </xf>
    <xf numFmtId="0" fontId="33" fillId="0" borderId="2" xfId="1" applyFont="1" applyBorder="1" applyAlignment="1">
      <alignment horizontal="center" vertical="center"/>
    </xf>
    <xf numFmtId="0" fontId="34" fillId="0" borderId="2" xfId="1" applyFont="1" applyBorder="1" applyAlignment="1">
      <alignment horizontal="center" vertical="center"/>
    </xf>
    <xf numFmtId="10" fontId="34" fillId="0" borderId="2" xfId="2" applyNumberFormat="1" applyFont="1" applyFill="1" applyBorder="1" applyAlignment="1">
      <alignment horizontal="center" vertical="center"/>
    </xf>
    <xf numFmtId="14" fontId="34" fillId="0" borderId="2" xfId="2" applyNumberFormat="1" applyFont="1" applyFill="1" applyBorder="1" applyAlignment="1">
      <alignment horizontal="center" vertical="center"/>
    </xf>
    <xf numFmtId="14" fontId="34" fillId="0" borderId="2" xfId="1" applyNumberFormat="1" applyFont="1" applyBorder="1" applyAlignment="1">
      <alignment horizontal="center" vertical="center"/>
    </xf>
    <xf numFmtId="0" fontId="33" fillId="0" borderId="2" xfId="1" applyFont="1" applyBorder="1" applyAlignment="1">
      <alignment horizontal="center" vertical="center" wrapText="1"/>
    </xf>
    <xf numFmtId="14" fontId="33" fillId="6" borderId="2" xfId="1" applyNumberFormat="1" applyFont="1" applyFill="1" applyBorder="1" applyAlignment="1">
      <alignment horizontal="center" vertical="center"/>
    </xf>
    <xf numFmtId="14" fontId="34" fillId="6" borderId="2" xfId="1" applyNumberFormat="1" applyFont="1" applyFill="1" applyBorder="1" applyAlignment="1">
      <alignment horizontal="center" vertical="center"/>
    </xf>
    <xf numFmtId="0" fontId="38" fillId="0" borderId="0" xfId="1" applyFont="1" applyAlignment="1">
      <alignment horizontal="center" vertical="center" wrapText="1"/>
    </xf>
    <xf numFmtId="0" fontId="36" fillId="0" borderId="0" xfId="1" applyFont="1" applyAlignment="1">
      <alignment horizontal="center" vertical="center" wrapText="1"/>
    </xf>
    <xf numFmtId="0" fontId="38" fillId="6" borderId="0" xfId="1" applyFont="1" applyFill="1" applyAlignment="1">
      <alignment horizontal="center" vertical="center" wrapText="1"/>
    </xf>
    <xf numFmtId="0" fontId="36" fillId="6" borderId="0" xfId="1" applyFont="1" applyFill="1" applyAlignment="1">
      <alignment horizontal="center" vertical="center" wrapText="1"/>
    </xf>
    <xf numFmtId="0" fontId="25" fillId="0" borderId="0" xfId="1" applyFont="1"/>
    <xf numFmtId="0" fontId="23" fillId="0" borderId="0" xfId="1" applyFont="1" applyAlignment="1">
      <alignment horizontal="center" vertical="center"/>
    </xf>
    <xf numFmtId="10" fontId="0" fillId="0" borderId="0" xfId="2" applyNumberFormat="1" applyFont="1" applyFill="1" applyAlignment="1">
      <alignment horizontal="center" vertical="center"/>
    </xf>
    <xf numFmtId="10" fontId="0" fillId="0" borderId="0" xfId="2" applyNumberFormat="1" applyFont="1" applyFill="1" applyAlignment="1">
      <alignment horizontal="left" vertical="center"/>
    </xf>
    <xf numFmtId="0" fontId="29" fillId="6" borderId="0" xfId="1" applyFont="1" applyFill="1" applyAlignment="1">
      <alignment horizontal="center" vertical="center"/>
    </xf>
    <xf numFmtId="0" fontId="29" fillId="0" borderId="0" xfId="1" applyFont="1" applyAlignment="1">
      <alignment horizontal="center" vertical="center"/>
    </xf>
    <xf numFmtId="10" fontId="23" fillId="0" borderId="1" xfId="1" applyNumberFormat="1" applyFont="1" applyBorder="1" applyAlignment="1">
      <alignment horizontal="center" vertical="center"/>
    </xf>
    <xf numFmtId="10" fontId="35" fillId="0" borderId="1" xfId="1" applyNumberFormat="1" applyFont="1" applyBorder="1" applyAlignment="1">
      <alignment horizontal="center" vertical="center"/>
    </xf>
    <xf numFmtId="10" fontId="35" fillId="0" borderId="1" xfId="2" applyNumberFormat="1" applyFont="1" applyFill="1" applyBorder="1" applyAlignment="1">
      <alignment horizontal="center" vertical="center"/>
    </xf>
    <xf numFmtId="10" fontId="41" fillId="0" borderId="1" xfId="2" applyNumberFormat="1" applyFont="1" applyFill="1" applyBorder="1" applyAlignment="1">
      <alignment horizontal="center" vertical="center"/>
    </xf>
    <xf numFmtId="0" fontId="41" fillId="0" borderId="1" xfId="1" applyFont="1" applyBorder="1" applyAlignment="1">
      <alignment horizontal="center" vertical="center"/>
    </xf>
    <xf numFmtId="0" fontId="41" fillId="0" borderId="1" xfId="1" applyFont="1" applyBorder="1"/>
    <xf numFmtId="10" fontId="41" fillId="0" borderId="1" xfId="2" applyNumberFormat="1" applyFont="1" applyFill="1" applyBorder="1" applyAlignment="1">
      <alignment horizontal="left" vertical="center"/>
    </xf>
    <xf numFmtId="0" fontId="22" fillId="0" borderId="1" xfId="1" applyBorder="1" applyAlignment="1">
      <alignment horizontal="center" vertical="center"/>
    </xf>
    <xf numFmtId="10" fontId="29" fillId="6" borderId="1" xfId="1" applyNumberFormat="1" applyFont="1" applyFill="1" applyBorder="1" applyAlignment="1">
      <alignment horizontal="center" vertical="center" wrapText="1"/>
    </xf>
    <xf numFmtId="10" fontId="29" fillId="6" borderId="4" xfId="1" applyNumberFormat="1" applyFont="1" applyFill="1" applyBorder="1" applyAlignment="1">
      <alignment horizontal="center" vertical="center"/>
    </xf>
    <xf numFmtId="10" fontId="23" fillId="0" borderId="4" xfId="2" applyNumberFormat="1" applyFont="1" applyFill="1" applyBorder="1" applyAlignment="1">
      <alignment horizontal="center" vertical="center"/>
    </xf>
    <xf numFmtId="10" fontId="23" fillId="0" borderId="1" xfId="2" applyNumberFormat="1" applyFont="1" applyFill="1" applyBorder="1" applyAlignment="1">
      <alignment horizontal="center" vertical="center"/>
    </xf>
    <xf numFmtId="10" fontId="0" fillId="0" borderId="1" xfId="2" applyNumberFormat="1" applyFont="1" applyFill="1" applyBorder="1" applyAlignment="1">
      <alignment horizontal="center" vertical="center"/>
    </xf>
    <xf numFmtId="0" fontId="22" fillId="0" borderId="1" xfId="1" applyBorder="1"/>
    <xf numFmtId="10" fontId="0" fillId="0" borderId="1" xfId="2" applyNumberFormat="1" applyFont="1" applyFill="1" applyBorder="1" applyAlignment="1">
      <alignment horizontal="left" vertical="center"/>
    </xf>
    <xf numFmtId="0" fontId="22" fillId="0" borderId="4" xfId="1" applyBorder="1" applyAlignment="1">
      <alignment vertical="center"/>
    </xf>
    <xf numFmtId="10" fontId="29" fillId="6" borderId="1" xfId="2" applyNumberFormat="1" applyFont="1" applyFill="1" applyBorder="1" applyAlignment="1">
      <alignment horizontal="center" vertical="center"/>
    </xf>
    <xf numFmtId="10" fontId="39" fillId="0" borderId="4" xfId="2" applyNumberFormat="1" applyFont="1" applyFill="1" applyBorder="1" applyAlignment="1">
      <alignment horizontal="center" vertical="center"/>
    </xf>
    <xf numFmtId="10" fontId="39" fillId="0" borderId="1" xfId="2" applyNumberFormat="1" applyFont="1" applyFill="1" applyBorder="1" applyAlignment="1">
      <alignment horizontal="center" vertical="center"/>
    </xf>
    <xf numFmtId="10" fontId="28" fillId="0" borderId="1" xfId="2" applyNumberFormat="1" applyFont="1" applyFill="1" applyBorder="1" applyAlignment="1">
      <alignment horizontal="center" vertical="center"/>
    </xf>
    <xf numFmtId="0" fontId="28" fillId="0" borderId="1" xfId="1" applyFont="1" applyBorder="1" applyAlignment="1">
      <alignment horizontal="center" vertical="center"/>
    </xf>
    <xf numFmtId="10" fontId="45" fillId="6" borderId="1" xfId="2" applyNumberFormat="1" applyFont="1" applyFill="1" applyBorder="1" applyAlignment="1">
      <alignment horizontal="center" vertical="center"/>
    </xf>
    <xf numFmtId="10" fontId="45" fillId="0" borderId="1" xfId="2" applyNumberFormat="1" applyFont="1" applyFill="1" applyBorder="1" applyAlignment="1">
      <alignment horizontal="center" vertical="center"/>
    </xf>
    <xf numFmtId="14" fontId="39" fillId="0" borderId="1" xfId="2" applyNumberFormat="1" applyFont="1" applyFill="1" applyBorder="1" applyAlignment="1">
      <alignment horizontal="center" vertical="center"/>
    </xf>
    <xf numFmtId="14" fontId="28" fillId="0" borderId="1" xfId="2" applyNumberFormat="1" applyFont="1" applyFill="1" applyBorder="1" applyAlignment="1">
      <alignment horizontal="center" vertical="center"/>
    </xf>
    <xf numFmtId="14" fontId="28" fillId="0" borderId="1" xfId="1" applyNumberFormat="1" applyFont="1" applyBorder="1" applyAlignment="1">
      <alignment horizontal="center" vertical="center"/>
    </xf>
    <xf numFmtId="0" fontId="28" fillId="0" borderId="1" xfId="1" applyFont="1" applyBorder="1"/>
    <xf numFmtId="10" fontId="28" fillId="0" borderId="1" xfId="2" applyNumberFormat="1" applyFont="1" applyFill="1" applyBorder="1" applyAlignment="1">
      <alignment horizontal="left" vertical="center"/>
    </xf>
    <xf numFmtId="14" fontId="39" fillId="6" borderId="1" xfId="2" applyNumberFormat="1" applyFont="1" applyFill="1" applyBorder="1" applyAlignment="1">
      <alignment horizontal="center" vertical="center"/>
    </xf>
    <xf numFmtId="10" fontId="22" fillId="0" borderId="1" xfId="2" applyNumberFormat="1" applyFont="1" applyFill="1" applyBorder="1" applyAlignment="1">
      <alignment horizontal="center" vertical="center"/>
    </xf>
    <xf numFmtId="10" fontId="22" fillId="0" borderId="1" xfId="2" applyNumberFormat="1" applyFont="1" applyFill="1" applyBorder="1" applyAlignment="1">
      <alignment horizontal="left" vertical="center"/>
    </xf>
    <xf numFmtId="10" fontId="23" fillId="0" borderId="1" xfId="1" applyNumberFormat="1" applyFont="1" applyBorder="1" applyAlignment="1">
      <alignment horizontal="center" vertical="center" wrapText="1"/>
    </xf>
    <xf numFmtId="10" fontId="23" fillId="0" borderId="4" xfId="1" applyNumberFormat="1" applyFont="1" applyBorder="1" applyAlignment="1">
      <alignment horizontal="center" vertical="center"/>
    </xf>
    <xf numFmtId="10" fontId="22" fillId="0" borderId="4" xfId="2" applyNumberFormat="1" applyFont="1" applyFill="1" applyBorder="1" applyAlignment="1">
      <alignment horizontal="center" vertical="center"/>
    </xf>
    <xf numFmtId="0" fontId="22" fillId="0" borderId="4" xfId="1" applyBorder="1" applyAlignment="1">
      <alignment horizontal="center" vertical="center"/>
    </xf>
    <xf numFmtId="0" fontId="22" fillId="0" borderId="4" xfId="1" applyBorder="1"/>
    <xf numFmtId="10" fontId="22" fillId="0" borderId="4" xfId="2" applyNumberFormat="1" applyFont="1" applyFill="1" applyBorder="1" applyAlignment="1">
      <alignment horizontal="left" vertical="center"/>
    </xf>
    <xf numFmtId="10" fontId="22" fillId="0" borderId="1" xfId="1" applyNumberFormat="1" applyBorder="1" applyAlignment="1">
      <alignment horizontal="center" vertical="center"/>
    </xf>
    <xf numFmtId="0" fontId="48" fillId="0" borderId="1" xfId="1" applyFont="1" applyBorder="1" applyAlignment="1">
      <alignment vertical="center"/>
    </xf>
    <xf numFmtId="0" fontId="41" fillId="0" borderId="0" xfId="1" applyFont="1"/>
    <xf numFmtId="0" fontId="49" fillId="0" borderId="0" xfId="1" applyFont="1"/>
    <xf numFmtId="10" fontId="41" fillId="0" borderId="1" xfId="1" applyNumberFormat="1" applyFont="1" applyBorder="1" applyAlignment="1">
      <alignment horizontal="center" vertical="center"/>
    </xf>
    <xf numFmtId="0" fontId="35" fillId="0" borderId="1" xfId="1" applyFont="1" applyBorder="1" applyAlignment="1">
      <alignment horizontal="center" vertical="center"/>
    </xf>
    <xf numFmtId="0" fontId="23" fillId="0" borderId="1" xfId="1" applyFont="1" applyBorder="1" applyAlignment="1">
      <alignment horizontal="center" vertical="center"/>
    </xf>
    <xf numFmtId="10" fontId="29" fillId="7" borderId="1" xfId="1" applyNumberFormat="1" applyFont="1" applyFill="1" applyBorder="1" applyAlignment="1">
      <alignment horizontal="center" vertical="center"/>
    </xf>
    <xf numFmtId="10" fontId="29" fillId="7" borderId="1" xfId="2" applyNumberFormat="1" applyFont="1" applyFill="1" applyBorder="1" applyAlignment="1">
      <alignment horizontal="center" vertical="center"/>
    </xf>
    <xf numFmtId="10" fontId="22" fillId="0" borderId="1" xfId="1" applyNumberFormat="1" applyBorder="1" applyAlignment="1">
      <alignment vertical="center" wrapText="1"/>
    </xf>
    <xf numFmtId="10" fontId="29" fillId="6" borderId="1" xfId="1" applyNumberFormat="1" applyFont="1" applyFill="1" applyBorder="1" applyAlignment="1">
      <alignment horizontal="center" vertical="center"/>
    </xf>
    <xf numFmtId="10" fontId="29" fillId="0" borderId="1" xfId="1" applyNumberFormat="1" applyFont="1" applyBorder="1" applyAlignment="1">
      <alignment horizontal="center" vertical="center"/>
    </xf>
    <xf numFmtId="10" fontId="22" fillId="0" borderId="4" xfId="1" applyNumberFormat="1" applyBorder="1" applyAlignment="1">
      <alignment horizontal="center" vertical="center"/>
    </xf>
    <xf numFmtId="10" fontId="22" fillId="7" borderId="4" xfId="1" applyNumberFormat="1" applyFill="1" applyBorder="1" applyAlignment="1">
      <alignment horizontal="center" vertical="center"/>
    </xf>
    <xf numFmtId="10" fontId="29" fillId="7" borderId="4" xfId="1" applyNumberFormat="1" applyFont="1" applyFill="1" applyBorder="1" applyAlignment="1">
      <alignment horizontal="center" vertical="center"/>
    </xf>
    <xf numFmtId="10" fontId="29" fillId="0" borderId="4" xfId="1" applyNumberFormat="1" applyFont="1" applyBorder="1" applyAlignment="1">
      <alignment horizontal="center" vertical="center"/>
    </xf>
    <xf numFmtId="10" fontId="22" fillId="0" borderId="1" xfId="1" applyNumberFormat="1" applyBorder="1" applyAlignment="1">
      <alignment vertical="center"/>
    </xf>
    <xf numFmtId="10" fontId="24" fillId="0" borderId="1" xfId="1" applyNumberFormat="1" applyFont="1" applyBorder="1" applyAlignment="1">
      <alignment horizontal="center" vertical="center"/>
    </xf>
    <xf numFmtId="10" fontId="23" fillId="7" borderId="1" xfId="2" applyNumberFormat="1" applyFont="1" applyFill="1" applyBorder="1" applyAlignment="1">
      <alignment horizontal="center" vertical="center"/>
    </xf>
    <xf numFmtId="10" fontId="29" fillId="0" borderId="1" xfId="2" applyNumberFormat="1" applyFont="1" applyFill="1" applyBorder="1" applyAlignment="1">
      <alignment horizontal="center" vertical="center"/>
    </xf>
    <xf numFmtId="0" fontId="50" fillId="0" borderId="0" xfId="1" applyFont="1"/>
    <xf numFmtId="0" fontId="22" fillId="0" borderId="1" xfId="1" applyBorder="1" applyAlignment="1">
      <alignment horizontal="left" vertical="center"/>
    </xf>
    <xf numFmtId="10" fontId="51" fillId="0" borderId="0" xfId="2" applyNumberFormat="1" applyFont="1" applyFill="1"/>
    <xf numFmtId="10" fontId="54" fillId="0" borderId="1" xfId="2" applyNumberFormat="1" applyFont="1" applyFill="1" applyBorder="1" applyAlignment="1">
      <alignment horizontal="center" vertical="center"/>
    </xf>
    <xf numFmtId="10" fontId="55" fillId="0" borderId="1" xfId="2" applyNumberFormat="1" applyFont="1" applyFill="1" applyBorder="1" applyAlignment="1">
      <alignment horizontal="center" vertical="center"/>
    </xf>
    <xf numFmtId="0" fontId="55" fillId="0" borderId="1" xfId="1" applyFont="1" applyBorder="1" applyAlignment="1">
      <alignment horizontal="center" vertical="center"/>
    </xf>
    <xf numFmtId="10" fontId="43" fillId="6" borderId="1" xfId="2" applyNumberFormat="1" applyFont="1" applyFill="1" applyBorder="1" applyAlignment="1">
      <alignment horizontal="center" vertical="center"/>
    </xf>
    <xf numFmtId="10" fontId="22" fillId="7" borderId="8" xfId="1" applyNumberFormat="1" applyFill="1" applyBorder="1" applyAlignment="1">
      <alignment horizontal="center" vertical="center"/>
    </xf>
    <xf numFmtId="10" fontId="23" fillId="7" borderId="8" xfId="2" applyNumberFormat="1" applyFont="1" applyFill="1" applyBorder="1" applyAlignment="1">
      <alignment horizontal="center" vertical="center"/>
    </xf>
    <xf numFmtId="10" fontId="0" fillId="7" borderId="8" xfId="2" applyNumberFormat="1" applyFont="1" applyFill="1" applyBorder="1" applyAlignment="1">
      <alignment horizontal="center" vertical="center"/>
    </xf>
    <xf numFmtId="0" fontId="22" fillId="7" borderId="8" xfId="1" applyFill="1" applyBorder="1" applyAlignment="1">
      <alignment horizontal="center" vertical="center"/>
    </xf>
    <xf numFmtId="0" fontId="22" fillId="7" borderId="8" xfId="1" applyFill="1" applyBorder="1"/>
    <xf numFmtId="10" fontId="0" fillId="7" borderId="8" xfId="2" applyNumberFormat="1" applyFont="1" applyFill="1" applyBorder="1" applyAlignment="1">
      <alignment horizontal="left" vertical="center"/>
    </xf>
    <xf numFmtId="10" fontId="22" fillId="7" borderId="8" xfId="2" applyNumberFormat="1" applyFont="1" applyFill="1" applyBorder="1" applyAlignment="1">
      <alignment horizontal="left" vertical="center"/>
    </xf>
    <xf numFmtId="10" fontId="22" fillId="7" borderId="1" xfId="1" applyNumberFormat="1" applyFill="1" applyBorder="1" applyAlignment="1">
      <alignment horizontal="center" vertical="center"/>
    </xf>
    <xf numFmtId="10" fontId="0" fillId="7" borderId="1" xfId="2" applyNumberFormat="1" applyFont="1" applyFill="1" applyBorder="1" applyAlignment="1">
      <alignment horizontal="center" vertical="center"/>
    </xf>
    <xf numFmtId="0" fontId="22" fillId="7" borderId="1" xfId="1" applyFill="1" applyBorder="1" applyAlignment="1">
      <alignment horizontal="center" vertical="center"/>
    </xf>
    <xf numFmtId="0" fontId="22" fillId="7" borderId="1" xfId="1" applyFill="1" applyBorder="1"/>
    <xf numFmtId="10" fontId="0" fillId="7" borderId="1" xfId="2" applyNumberFormat="1" applyFont="1" applyFill="1" applyBorder="1" applyAlignment="1">
      <alignment horizontal="left" vertical="center"/>
    </xf>
    <xf numFmtId="10" fontId="22" fillId="7" borderId="1" xfId="2" applyNumberFormat="1" applyFont="1" applyFill="1" applyBorder="1" applyAlignment="1">
      <alignment horizontal="left" vertical="center"/>
    </xf>
    <xf numFmtId="10" fontId="22" fillId="7" borderId="1" xfId="1" applyNumberFormat="1" applyFill="1" applyBorder="1" applyAlignment="1">
      <alignment horizontal="center" vertical="center" wrapText="1"/>
    </xf>
    <xf numFmtId="10" fontId="22" fillId="0" borderId="1" xfId="1" applyNumberFormat="1" applyBorder="1" applyAlignment="1">
      <alignment horizontal="center" vertical="center" wrapText="1"/>
    </xf>
    <xf numFmtId="10" fontId="29" fillId="7" borderId="1" xfId="1" applyNumberFormat="1" applyFont="1" applyFill="1" applyBorder="1" applyAlignment="1">
      <alignment horizontal="center" vertical="center" wrapText="1"/>
    </xf>
    <xf numFmtId="10" fontId="29" fillId="0" borderId="1" xfId="1" applyNumberFormat="1" applyFont="1" applyBorder="1" applyAlignment="1">
      <alignment horizontal="center" vertical="center" wrapText="1"/>
    </xf>
    <xf numFmtId="0" fontId="48" fillId="0" borderId="1" xfId="1" applyFont="1" applyBorder="1" applyAlignment="1">
      <alignment horizontal="center" vertical="center"/>
    </xf>
    <xf numFmtId="10" fontId="41" fillId="0" borderId="1" xfId="3" applyNumberFormat="1" applyFont="1" applyFill="1" applyBorder="1" applyAlignment="1">
      <alignment horizontal="center" vertical="center"/>
    </xf>
    <xf numFmtId="0" fontId="57" fillId="0" borderId="1" xfId="1" applyFont="1" applyBorder="1" applyAlignment="1">
      <alignment horizontal="center" vertical="center"/>
    </xf>
    <xf numFmtId="10" fontId="43" fillId="0" borderId="1" xfId="2" applyNumberFormat="1" applyFont="1" applyFill="1" applyBorder="1" applyAlignment="1">
      <alignment horizontal="center" vertical="center"/>
    </xf>
    <xf numFmtId="0" fontId="58" fillId="0" borderId="1" xfId="1" applyFont="1" applyBorder="1" applyAlignment="1">
      <alignment horizontal="center" vertical="center"/>
    </xf>
    <xf numFmtId="0" fontId="26" fillId="7" borderId="1" xfId="1" applyFont="1" applyFill="1" applyBorder="1" applyAlignment="1">
      <alignment horizontal="center" vertical="center"/>
    </xf>
    <xf numFmtId="10" fontId="22" fillId="7" borderId="1" xfId="2" applyNumberFormat="1" applyFont="1" applyFill="1" applyBorder="1" applyAlignment="1">
      <alignment horizontal="center" vertical="center"/>
    </xf>
    <xf numFmtId="0" fontId="26" fillId="0" borderId="1" xfId="1" applyFont="1" applyBorder="1" applyAlignment="1">
      <alignment horizontal="center" vertical="center"/>
    </xf>
    <xf numFmtId="10" fontId="23" fillId="7" borderId="4" xfId="1" applyNumberFormat="1" applyFont="1" applyFill="1" applyBorder="1" applyAlignment="1">
      <alignment horizontal="center" vertical="center"/>
    </xf>
    <xf numFmtId="0" fontId="23" fillId="7" borderId="2" xfId="1" applyFont="1" applyFill="1" applyBorder="1" applyAlignment="1">
      <alignment horizontal="center" vertical="center"/>
    </xf>
    <xf numFmtId="177" fontId="23" fillId="0" borderId="1" xfId="2" applyNumberFormat="1" applyFont="1" applyFill="1" applyBorder="1" applyAlignment="1">
      <alignment horizontal="center" vertical="center"/>
    </xf>
    <xf numFmtId="179" fontId="23" fillId="0" borderId="1" xfId="2" applyNumberFormat="1" applyFont="1" applyFill="1" applyBorder="1" applyAlignment="1">
      <alignment horizontal="center" vertical="center"/>
    </xf>
    <xf numFmtId="179" fontId="0" fillId="0" borderId="1" xfId="2" applyNumberFormat="1" applyFont="1" applyFill="1" applyBorder="1" applyAlignment="1">
      <alignment horizontal="center" vertical="center"/>
    </xf>
    <xf numFmtId="177" fontId="0" fillId="0" borderId="1" xfId="2" applyNumberFormat="1" applyFont="1" applyFill="1" applyBorder="1" applyAlignment="1">
      <alignment horizontal="left" vertical="center"/>
    </xf>
    <xf numFmtId="10" fontId="23" fillId="0" borderId="3" xfId="2" applyNumberFormat="1" applyFont="1" applyFill="1" applyBorder="1" applyAlignment="1">
      <alignment horizontal="center" vertical="center"/>
    </xf>
    <xf numFmtId="10" fontId="0" fillId="0" borderId="4" xfId="2" applyNumberFormat="1" applyFont="1" applyFill="1" applyBorder="1" applyAlignment="1">
      <alignment horizontal="center" vertical="center"/>
    </xf>
    <xf numFmtId="10" fontId="0" fillId="0" borderId="3" xfId="2" applyNumberFormat="1" applyFont="1" applyFill="1" applyBorder="1" applyAlignment="1">
      <alignment horizontal="center" vertical="center"/>
    </xf>
    <xf numFmtId="0" fontId="22" fillId="0" borderId="3" xfId="1" applyBorder="1" applyAlignment="1">
      <alignment horizontal="center" vertical="center"/>
    </xf>
    <xf numFmtId="10" fontId="52" fillId="0" borderId="1" xfId="2" applyNumberFormat="1" applyFont="1" applyFill="1" applyBorder="1" applyAlignment="1">
      <alignment horizontal="center" vertical="center"/>
    </xf>
    <xf numFmtId="10" fontId="52" fillId="0" borderId="4" xfId="2" applyNumberFormat="1" applyFont="1" applyFill="1" applyBorder="1" applyAlignment="1">
      <alignment horizontal="center" vertical="center"/>
    </xf>
    <xf numFmtId="10" fontId="59" fillId="6" borderId="4" xfId="2" applyNumberFormat="1" applyFont="1" applyFill="1" applyBorder="1" applyAlignment="1">
      <alignment horizontal="center" vertical="center"/>
    </xf>
    <xf numFmtId="10" fontId="59" fillId="0" borderId="4" xfId="2" applyNumberFormat="1" applyFont="1" applyFill="1" applyBorder="1" applyAlignment="1">
      <alignment horizontal="center" vertical="center"/>
    </xf>
    <xf numFmtId="10" fontId="54" fillId="7" borderId="1" xfId="2" applyNumberFormat="1" applyFont="1" applyFill="1" applyBorder="1" applyAlignment="1">
      <alignment horizontal="center" vertical="center"/>
    </xf>
    <xf numFmtId="10" fontId="55" fillId="7" borderId="1" xfId="2" applyNumberFormat="1" applyFont="1" applyFill="1" applyBorder="1" applyAlignment="1">
      <alignment horizontal="center" vertical="center"/>
    </xf>
    <xf numFmtId="0" fontId="55" fillId="7" borderId="1" xfId="1" applyFont="1" applyFill="1" applyBorder="1" applyAlignment="1">
      <alignment horizontal="center" vertical="center"/>
    </xf>
    <xf numFmtId="10" fontId="22" fillId="0" borderId="4" xfId="3" applyNumberFormat="1" applyFill="1" applyBorder="1" applyAlignment="1">
      <alignment horizontal="center" vertical="center"/>
    </xf>
    <xf numFmtId="10" fontId="24" fillId="0" borderId="4" xfId="1" applyNumberFormat="1" applyFont="1" applyBorder="1" applyAlignment="1">
      <alignment horizontal="center" vertical="center"/>
    </xf>
    <xf numFmtId="10" fontId="22" fillId="0" borderId="3" xfId="1" applyNumberFormat="1" applyBorder="1" applyAlignment="1">
      <alignment horizontal="center" vertical="center"/>
    </xf>
    <xf numFmtId="10" fontId="52" fillId="7" borderId="1" xfId="2" applyNumberFormat="1" applyFont="1" applyFill="1" applyBorder="1" applyAlignment="1">
      <alignment horizontal="center" vertical="center"/>
    </xf>
    <xf numFmtId="10" fontId="52" fillId="0" borderId="2" xfId="2" applyNumberFormat="1" applyFont="1" applyFill="1" applyBorder="1" applyAlignment="1">
      <alignment horizontal="center" vertical="center"/>
    </xf>
    <xf numFmtId="10" fontId="39" fillId="7" borderId="2" xfId="2" applyNumberFormat="1" applyFont="1" applyFill="1" applyBorder="1" applyAlignment="1">
      <alignment horizontal="center" vertical="center"/>
    </xf>
    <xf numFmtId="10" fontId="28" fillId="7" borderId="2" xfId="2" applyNumberFormat="1" applyFont="1" applyFill="1" applyBorder="1" applyAlignment="1">
      <alignment horizontal="center" vertical="center"/>
    </xf>
    <xf numFmtId="0" fontId="28" fillId="7" borderId="2" xfId="1" applyFont="1" applyFill="1" applyBorder="1" applyAlignment="1">
      <alignment horizontal="center" vertical="center"/>
    </xf>
    <xf numFmtId="10" fontId="52" fillId="7" borderId="3" xfId="2" applyNumberFormat="1" applyFont="1" applyFill="1" applyBorder="1" applyAlignment="1">
      <alignment horizontal="center" vertical="center"/>
    </xf>
    <xf numFmtId="10" fontId="52" fillId="7" borderId="4" xfId="2" applyNumberFormat="1" applyFont="1" applyFill="1" applyBorder="1" applyAlignment="1">
      <alignment horizontal="center" vertical="center"/>
    </xf>
    <xf numFmtId="10" fontId="52" fillId="7" borderId="2" xfId="2" applyNumberFormat="1" applyFont="1" applyFill="1" applyBorder="1" applyAlignment="1">
      <alignment horizontal="center" vertical="center"/>
    </xf>
    <xf numFmtId="10" fontId="23" fillId="7" borderId="2" xfId="2" applyNumberFormat="1" applyFont="1" applyFill="1" applyBorder="1" applyAlignment="1">
      <alignment horizontal="center" vertical="center"/>
    </xf>
    <xf numFmtId="10" fontId="39" fillId="0" borderId="2" xfId="2" applyNumberFormat="1" applyFont="1" applyFill="1" applyBorder="1" applyAlignment="1">
      <alignment horizontal="center" vertical="center"/>
    </xf>
    <xf numFmtId="0" fontId="30" fillId="0" borderId="0" xfId="1" applyFont="1"/>
    <xf numFmtId="14" fontId="27" fillId="6" borderId="1" xfId="1" applyNumberFormat="1" applyFont="1" applyFill="1" applyBorder="1" applyAlignment="1">
      <alignment horizontal="center" vertical="center"/>
    </xf>
    <xf numFmtId="10" fontId="23" fillId="0" borderId="1" xfId="2" applyNumberFormat="1" applyFont="1" applyFill="1" applyBorder="1" applyAlignment="1">
      <alignment horizontal="left" vertical="center"/>
    </xf>
    <xf numFmtId="0" fontId="48" fillId="0" borderId="4" xfId="1" applyFont="1" applyBorder="1" applyAlignment="1">
      <alignment horizontal="center" vertical="center"/>
    </xf>
    <xf numFmtId="10" fontId="53" fillId="0" borderId="4" xfId="2" applyNumberFormat="1" applyFont="1" applyFill="1" applyBorder="1" applyAlignment="1">
      <alignment horizontal="center" vertical="center"/>
    </xf>
    <xf numFmtId="10" fontId="56" fillId="6" borderId="4" xfId="2" applyNumberFormat="1" applyFont="1" applyFill="1" applyBorder="1" applyAlignment="1">
      <alignment horizontal="center" vertical="center"/>
    </xf>
    <xf numFmtId="10" fontId="56" fillId="0" borderId="4" xfId="2" applyNumberFormat="1" applyFont="1" applyFill="1" applyBorder="1" applyAlignment="1">
      <alignment horizontal="center" vertical="center"/>
    </xf>
    <xf numFmtId="0" fontId="22" fillId="0" borderId="0" xfId="1" applyAlignment="1">
      <alignment horizontal="center"/>
    </xf>
    <xf numFmtId="0" fontId="30" fillId="0" borderId="1" xfId="3" applyFont="1" applyFill="1" applyBorder="1" applyAlignment="1">
      <alignment horizontal="center" vertical="center" wrapText="1"/>
    </xf>
    <xf numFmtId="10" fontId="30" fillId="11" borderId="1" xfId="2" applyNumberFormat="1" applyFont="1" applyFill="1" applyBorder="1" applyAlignment="1">
      <alignment horizontal="center" vertical="center" wrapText="1"/>
    </xf>
    <xf numFmtId="10" fontId="30" fillId="0" borderId="1" xfId="2" applyNumberFormat="1" applyFont="1" applyFill="1" applyBorder="1" applyAlignment="1">
      <alignment horizontal="center" vertical="center" wrapText="1"/>
    </xf>
    <xf numFmtId="10" fontId="30" fillId="7" borderId="1" xfId="2" applyNumberFormat="1" applyFont="1" applyFill="1" applyBorder="1" applyAlignment="1">
      <alignment horizontal="center" vertical="center" wrapText="1"/>
    </xf>
    <xf numFmtId="10" fontId="30" fillId="6" borderId="1" xfId="2" applyNumberFormat="1" applyFont="1" applyFill="1" applyBorder="1" applyAlignment="1">
      <alignment horizontal="center" vertical="center" wrapText="1"/>
    </xf>
    <xf numFmtId="10" fontId="23" fillId="6" borderId="1" xfId="2" applyNumberFormat="1" applyFont="1" applyFill="1" applyBorder="1" applyAlignment="1">
      <alignment horizontal="center" vertical="center" wrapText="1"/>
    </xf>
    <xf numFmtId="10" fontId="23" fillId="0" borderId="1" xfId="2" applyNumberFormat="1" applyFont="1" applyFill="1" applyBorder="1" applyAlignment="1">
      <alignment horizontal="center" vertical="center" wrapText="1"/>
    </xf>
    <xf numFmtId="0" fontId="30" fillId="0" borderId="1" xfId="3" applyFont="1" applyFill="1" applyBorder="1"/>
    <xf numFmtId="10" fontId="22" fillId="6" borderId="1" xfId="2" applyNumberFormat="1" applyFont="1" applyFill="1" applyBorder="1" applyAlignment="1">
      <alignment horizontal="center" vertical="center"/>
    </xf>
    <xf numFmtId="10" fontId="23" fillId="6" borderId="1" xfId="2" applyNumberFormat="1" applyFont="1" applyFill="1" applyBorder="1" applyAlignment="1">
      <alignment horizontal="center" vertical="center"/>
    </xf>
    <xf numFmtId="0" fontId="22" fillId="0" borderId="1" xfId="3" applyFill="1" applyBorder="1" applyAlignment="1">
      <alignment vertical="center"/>
    </xf>
    <xf numFmtId="10" fontId="22" fillId="7" borderId="1" xfId="2" applyNumberFormat="1" applyFont="1" applyFill="1" applyBorder="1" applyAlignment="1">
      <alignment horizontal="center"/>
    </xf>
    <xf numFmtId="10" fontId="30" fillId="6" borderId="1" xfId="2" applyNumberFormat="1" applyFont="1" applyFill="1" applyBorder="1" applyAlignment="1">
      <alignment horizontal="center" vertical="center"/>
    </xf>
    <xf numFmtId="10" fontId="30" fillId="7" borderId="1" xfId="2" applyNumberFormat="1" applyFont="1" applyFill="1" applyBorder="1" applyAlignment="1">
      <alignment horizontal="center" vertical="center"/>
    </xf>
    <xf numFmtId="0" fontId="30" fillId="0" borderId="1" xfId="3" applyFont="1" applyFill="1" applyBorder="1" applyAlignment="1">
      <alignment vertical="center"/>
    </xf>
    <xf numFmtId="14" fontId="27" fillId="0" borderId="1" xfId="1" applyNumberFormat="1" applyFont="1" applyBorder="1" applyAlignment="1">
      <alignment horizontal="center" vertical="center"/>
    </xf>
    <xf numFmtId="0" fontId="26" fillId="13" borderId="1" xfId="1" applyFont="1" applyFill="1" applyBorder="1" applyAlignment="1">
      <alignment horizontal="center" vertical="center" wrapText="1"/>
    </xf>
    <xf numFmtId="10" fontId="22" fillId="4" borderId="1" xfId="2" applyNumberFormat="1" applyFont="1" applyFill="1" applyBorder="1" applyAlignment="1">
      <alignment horizontal="center" vertical="center"/>
    </xf>
    <xf numFmtId="14" fontId="27" fillId="13" borderId="2" xfId="1" applyNumberFormat="1" applyFont="1" applyFill="1" applyBorder="1" applyAlignment="1">
      <alignment horizontal="center" vertical="center"/>
    </xf>
    <xf numFmtId="14" fontId="27" fillId="0" borderId="2" xfId="1" applyNumberFormat="1" applyFont="1" applyBorder="1" applyAlignment="1">
      <alignment horizontal="center" vertical="center"/>
    </xf>
    <xf numFmtId="10" fontId="22" fillId="10" borderId="1" xfId="2" applyNumberFormat="1" applyFont="1" applyFill="1" applyBorder="1" applyAlignment="1">
      <alignment horizontal="center" vertical="center"/>
    </xf>
    <xf numFmtId="0" fontId="60" fillId="0" borderId="0" xfId="1" applyFont="1"/>
    <xf numFmtId="10" fontId="22" fillId="11" borderId="1" xfId="2" applyNumberFormat="1" applyFont="1" applyFill="1" applyBorder="1" applyAlignment="1">
      <alignment horizontal="center" vertical="center" wrapText="1"/>
    </xf>
    <xf numFmtId="10" fontId="22" fillId="0" borderId="1" xfId="2" applyNumberFormat="1" applyFont="1" applyFill="1" applyBorder="1" applyAlignment="1">
      <alignment horizontal="center" vertical="center" wrapText="1"/>
    </xf>
    <xf numFmtId="10" fontId="22" fillId="7" borderId="1" xfId="2" applyNumberFormat="1" applyFont="1" applyFill="1" applyBorder="1" applyAlignment="1">
      <alignment horizontal="center" vertical="center" wrapText="1"/>
    </xf>
    <xf numFmtId="10" fontId="22" fillId="6" borderId="1" xfId="2" applyNumberFormat="1" applyFont="1" applyFill="1" applyBorder="1" applyAlignment="1">
      <alignment horizontal="center" vertical="center" wrapText="1"/>
    </xf>
    <xf numFmtId="10" fontId="22" fillId="10" borderId="1" xfId="2" applyNumberFormat="1" applyFont="1" applyFill="1" applyBorder="1" applyAlignment="1">
      <alignment horizontal="center" vertical="center" wrapText="1"/>
    </xf>
    <xf numFmtId="10" fontId="22" fillId="6" borderId="1" xfId="2" applyNumberFormat="1" applyFont="1" applyFill="1" applyBorder="1" applyAlignment="1">
      <alignment horizontal="center"/>
    </xf>
    <xf numFmtId="10" fontId="23" fillId="6" borderId="1" xfId="2" applyNumberFormat="1" applyFont="1" applyFill="1" applyBorder="1" applyAlignment="1">
      <alignment horizontal="center"/>
    </xf>
    <xf numFmtId="10" fontId="23" fillId="0" borderId="1" xfId="2" applyNumberFormat="1" applyFont="1" applyFill="1" applyBorder="1" applyAlignment="1">
      <alignment horizontal="center"/>
    </xf>
    <xf numFmtId="0" fontId="26" fillId="0" borderId="1" xfId="1" applyFont="1" applyBorder="1" applyAlignment="1">
      <alignment horizontal="center" vertical="center" wrapText="1"/>
    </xf>
    <xf numFmtId="14" fontId="27" fillId="6" borderId="2" xfId="1" applyNumberFormat="1" applyFont="1" applyFill="1" applyBorder="1" applyAlignment="1">
      <alignment horizontal="center" vertical="center"/>
    </xf>
    <xf numFmtId="10" fontId="22" fillId="11" borderId="1" xfId="2" applyNumberFormat="1" applyFont="1" applyFill="1" applyBorder="1" applyAlignment="1">
      <alignment horizontal="center" vertical="center"/>
    </xf>
    <xf numFmtId="10" fontId="30" fillId="0" borderId="1" xfId="2" applyNumberFormat="1" applyFont="1" applyFill="1" applyBorder="1" applyAlignment="1">
      <alignment horizontal="center" vertical="center"/>
    </xf>
    <xf numFmtId="10" fontId="61" fillId="7" borderId="1" xfId="2" applyNumberFormat="1" applyFont="1" applyFill="1" applyBorder="1" applyAlignment="1">
      <alignment horizontal="center" vertical="center"/>
    </xf>
    <xf numFmtId="10" fontId="61" fillId="0" borderId="1" xfId="2" applyNumberFormat="1" applyFont="1" applyFill="1" applyBorder="1" applyAlignment="1">
      <alignment horizontal="center" vertical="center"/>
    </xf>
    <xf numFmtId="10" fontId="22" fillId="11" borderId="1" xfId="2" applyNumberFormat="1" applyFont="1" applyFill="1" applyBorder="1" applyAlignment="1">
      <alignment horizontal="center"/>
    </xf>
    <xf numFmtId="10" fontId="23" fillId="7" borderId="1" xfId="2" applyNumberFormat="1" applyFont="1" applyFill="1" applyBorder="1" applyAlignment="1">
      <alignment horizontal="center"/>
    </xf>
    <xf numFmtId="10" fontId="22" fillId="4" borderId="1" xfId="3" applyNumberFormat="1" applyBorder="1" applyAlignment="1">
      <alignment horizontal="center" vertical="center"/>
    </xf>
    <xf numFmtId="10" fontId="22" fillId="6" borderId="1" xfId="3" applyNumberFormat="1" applyFill="1" applyBorder="1" applyAlignment="1">
      <alignment horizontal="center" vertical="center"/>
    </xf>
    <xf numFmtId="10" fontId="23" fillId="6" borderId="1" xfId="3" applyNumberFormat="1" applyFont="1" applyFill="1" applyBorder="1" applyAlignment="1">
      <alignment horizontal="center" vertical="center"/>
    </xf>
    <xf numFmtId="10" fontId="23" fillId="0" borderId="1" xfId="3" applyNumberFormat="1" applyFont="1" applyFill="1" applyBorder="1" applyAlignment="1">
      <alignment horizontal="center" vertical="center"/>
    </xf>
    <xf numFmtId="10" fontId="23" fillId="7" borderId="1" xfId="3" applyNumberFormat="1" applyFont="1" applyFill="1" applyBorder="1" applyAlignment="1">
      <alignment horizontal="center" vertical="center"/>
    </xf>
    <xf numFmtId="10" fontId="22" fillId="0" borderId="1" xfId="1" applyNumberFormat="1" applyBorder="1" applyAlignment="1">
      <alignment horizontal="center"/>
    </xf>
    <xf numFmtId="0" fontId="26" fillId="0" borderId="1" xfId="1" applyFont="1" applyBorder="1" applyAlignment="1">
      <alignment horizontal="center"/>
    </xf>
    <xf numFmtId="0" fontId="63" fillId="0" borderId="0" xfId="1" applyFont="1"/>
    <xf numFmtId="0" fontId="64" fillId="15" borderId="1" xfId="1" applyFont="1" applyFill="1" applyBorder="1" applyAlignment="1">
      <alignment horizontal="center" vertical="center"/>
    </xf>
    <xf numFmtId="0" fontId="22" fillId="0" borderId="15" xfId="1" applyBorder="1"/>
    <xf numFmtId="180" fontId="22" fillId="0" borderId="4" xfId="1" applyNumberFormat="1" applyBorder="1" applyAlignment="1">
      <alignment horizontal="center" vertical="center"/>
    </xf>
    <xf numFmtId="180" fontId="22" fillId="0" borderId="4" xfId="2" applyNumberFormat="1" applyFont="1" applyFill="1" applyBorder="1" applyAlignment="1">
      <alignment horizontal="center" vertical="center"/>
    </xf>
    <xf numFmtId="0" fontId="26" fillId="0" borderId="16" xfId="1" applyFont="1" applyBorder="1" applyAlignment="1">
      <alignment horizontal="center" vertical="center" wrapText="1"/>
    </xf>
    <xf numFmtId="180" fontId="22" fillId="0" borderId="1" xfId="1" applyNumberFormat="1" applyBorder="1" applyAlignment="1">
      <alignment horizontal="center" vertical="center"/>
    </xf>
    <xf numFmtId="180" fontId="22" fillId="0" borderId="1" xfId="2" applyNumberFormat="1" applyFont="1" applyFill="1" applyBorder="1" applyAlignment="1">
      <alignment horizontal="center" vertical="center"/>
    </xf>
    <xf numFmtId="0" fontId="22" fillId="0" borderId="6" xfId="1" applyBorder="1"/>
    <xf numFmtId="181" fontId="22" fillId="0" borderId="1" xfId="1" applyNumberFormat="1" applyBorder="1" applyAlignment="1">
      <alignment horizontal="center"/>
    </xf>
    <xf numFmtId="0" fontId="26" fillId="0" borderId="7" xfId="1" applyFont="1" applyBorder="1" applyAlignment="1">
      <alignment horizontal="center" vertical="center" wrapText="1"/>
    </xf>
    <xf numFmtId="0" fontId="22" fillId="7" borderId="0" xfId="1" applyFill="1" applyAlignment="1">
      <alignment vertical="center"/>
    </xf>
    <xf numFmtId="0" fontId="26" fillId="0" borderId="1" xfId="5" applyFont="1" applyFill="1" applyBorder="1" applyAlignment="1">
      <alignment horizontal="center" vertical="center"/>
    </xf>
    <xf numFmtId="181" fontId="22" fillId="0" borderId="0" xfId="1" applyNumberFormat="1" applyAlignment="1">
      <alignment horizontal="center"/>
    </xf>
    <xf numFmtId="10" fontId="23" fillId="0" borderId="0" xfId="1" applyNumberFormat="1" applyFont="1" applyAlignment="1">
      <alignment horizontal="center" vertical="center"/>
    </xf>
    <xf numFmtId="0" fontId="26" fillId="0" borderId="0" xfId="1" applyFont="1" applyAlignment="1">
      <alignment horizontal="center" vertical="center"/>
    </xf>
    <xf numFmtId="181" fontId="22" fillId="0" borderId="4" xfId="1" applyNumberFormat="1" applyBorder="1" applyAlignment="1">
      <alignment horizontal="center"/>
    </xf>
    <xf numFmtId="0" fontId="23" fillId="0" borderId="4" xfId="1" applyFont="1" applyBorder="1" applyAlignment="1">
      <alignment horizontal="center" vertical="center"/>
    </xf>
    <xf numFmtId="0" fontId="26" fillId="0" borderId="16" xfId="1" applyFont="1" applyBorder="1" applyAlignment="1">
      <alignment horizontal="center" vertical="center"/>
    </xf>
    <xf numFmtId="0" fontId="26" fillId="0" borderId="7" xfId="1" applyFont="1" applyBorder="1" applyAlignment="1">
      <alignment horizontal="center" vertical="center"/>
    </xf>
    <xf numFmtId="181" fontId="24" fillId="0" borderId="1" xfId="1" applyNumberFormat="1" applyFont="1" applyBorder="1" applyAlignment="1">
      <alignment horizontal="center" wrapText="1"/>
    </xf>
    <xf numFmtId="181" fontId="63" fillId="0" borderId="1" xfId="1" applyNumberFormat="1" applyFont="1" applyBorder="1" applyAlignment="1">
      <alignment horizontal="center" vertical="center"/>
    </xf>
    <xf numFmtId="0" fontId="22" fillId="0" borderId="2" xfId="1" applyBorder="1" applyAlignment="1">
      <alignment horizontal="center" vertical="center" wrapText="1"/>
    </xf>
    <xf numFmtId="0" fontId="22" fillId="0" borderId="2" xfId="1" applyBorder="1" applyAlignment="1">
      <alignment horizontal="center" vertical="center"/>
    </xf>
    <xf numFmtId="0" fontId="26" fillId="0" borderId="2" xfId="5" applyFont="1" applyFill="1" applyBorder="1" applyAlignment="1">
      <alignment horizontal="center" vertical="center"/>
    </xf>
    <xf numFmtId="0" fontId="26" fillId="0" borderId="11" xfId="5" applyFont="1" applyFill="1" applyBorder="1" applyAlignment="1">
      <alignment horizontal="center" vertical="center"/>
    </xf>
    <xf numFmtId="0" fontId="22" fillId="0" borderId="0" xfId="1" applyAlignment="1">
      <alignment horizontal="left"/>
    </xf>
    <xf numFmtId="10" fontId="22" fillId="0" borderId="0" xfId="1" applyNumberFormat="1"/>
    <xf numFmtId="0" fontId="22" fillId="0" borderId="1" xfId="1" applyBorder="1" applyAlignment="1">
      <alignment horizontal="center"/>
    </xf>
    <xf numFmtId="0" fontId="22" fillId="0" borderId="1" xfId="1" applyBorder="1" applyAlignment="1">
      <alignment wrapText="1"/>
    </xf>
    <xf numFmtId="0" fontId="65" fillId="0" borderId="0" xfId="1" applyFont="1"/>
    <xf numFmtId="10" fontId="65" fillId="0" borderId="0" xfId="1" applyNumberFormat="1" applyFont="1"/>
    <xf numFmtId="0" fontId="65" fillId="0" borderId="0" xfId="1" applyFont="1" applyAlignment="1">
      <alignment horizontal="left"/>
    </xf>
    <xf numFmtId="0" fontId="65" fillId="0" borderId="1" xfId="1" applyFont="1" applyBorder="1"/>
    <xf numFmtId="181" fontId="65" fillId="0" borderId="1" xfId="1" applyNumberFormat="1" applyFont="1" applyBorder="1" applyAlignment="1">
      <alignment horizontal="center"/>
    </xf>
    <xf numFmtId="10" fontId="65" fillId="0" borderId="1" xfId="1" applyNumberFormat="1" applyFont="1" applyBorder="1" applyAlignment="1">
      <alignment horizontal="center"/>
    </xf>
    <xf numFmtId="0" fontId="66" fillId="0" borderId="1" xfId="1" applyFont="1" applyBorder="1" applyAlignment="1">
      <alignment horizontal="center"/>
    </xf>
    <xf numFmtId="10" fontId="60" fillId="0" borderId="0" xfId="1" applyNumberFormat="1" applyFont="1"/>
    <xf numFmtId="0" fontId="64" fillId="15" borderId="1" xfId="1" applyFont="1" applyFill="1" applyBorder="1" applyAlignment="1">
      <alignment horizontal="center" vertical="center" wrapText="1"/>
    </xf>
    <xf numFmtId="0" fontId="64" fillId="15" borderId="1" xfId="5" applyFont="1" applyFill="1" applyBorder="1" applyAlignment="1">
      <alignment horizontal="center" vertical="center"/>
    </xf>
    <xf numFmtId="10" fontId="22" fillId="0" borderId="0" xfId="2" applyNumberFormat="1" applyFont="1" applyFill="1" applyAlignment="1">
      <alignment horizontal="left"/>
    </xf>
    <xf numFmtId="0" fontId="27" fillId="0" borderId="0" xfId="1" applyFont="1" applyAlignment="1">
      <alignment horizontal="center" vertical="center"/>
    </xf>
    <xf numFmtId="0" fontId="27" fillId="16" borderId="1" xfId="1" applyFont="1" applyFill="1" applyBorder="1" applyAlignment="1">
      <alignment horizontal="center" vertical="center"/>
    </xf>
    <xf numFmtId="10" fontId="67" fillId="0" borderId="15" xfId="2" applyNumberFormat="1" applyFont="1" applyFill="1" applyBorder="1" applyAlignment="1">
      <alignment horizontal="left" vertical="center"/>
    </xf>
    <xf numFmtId="181" fontId="67" fillId="0" borderId="4" xfId="1" applyNumberFormat="1" applyFont="1" applyBorder="1" applyAlignment="1">
      <alignment horizontal="center" vertical="center"/>
    </xf>
    <xf numFmtId="0" fontId="27" fillId="0" borderId="16" xfId="1" applyFont="1" applyBorder="1" applyAlignment="1">
      <alignment horizontal="center" vertical="center"/>
    </xf>
    <xf numFmtId="10" fontId="67" fillId="0" borderId="6" xfId="2" applyNumberFormat="1" applyFont="1" applyFill="1" applyBorder="1" applyAlignment="1">
      <alignment horizontal="left" vertical="center" wrapText="1"/>
    </xf>
    <xf numFmtId="181" fontId="67" fillId="0" borderId="1" xfId="1" applyNumberFormat="1" applyFont="1" applyBorder="1" applyAlignment="1">
      <alignment horizontal="center" vertical="center"/>
    </xf>
    <xf numFmtId="0" fontId="27" fillId="0" borderId="7" xfId="1" applyFont="1" applyBorder="1" applyAlignment="1">
      <alignment horizontal="center" vertical="center"/>
    </xf>
    <xf numFmtId="10" fontId="67" fillId="0" borderId="6" xfId="2" applyNumberFormat="1" applyFont="1" applyFill="1" applyBorder="1" applyAlignment="1">
      <alignment horizontal="left" vertical="center"/>
    </xf>
    <xf numFmtId="3" fontId="22" fillId="0" borderId="2" xfId="1" applyNumberFormat="1" applyBorder="1" applyAlignment="1">
      <alignment horizontal="center" vertical="center"/>
    </xf>
    <xf numFmtId="10" fontId="68" fillId="0" borderId="6" xfId="2" applyNumberFormat="1" applyFont="1" applyFill="1" applyBorder="1" applyAlignment="1">
      <alignment horizontal="left" vertical="center"/>
    </xf>
    <xf numFmtId="0" fontId="27" fillId="0" borderId="7" xfId="1" applyFont="1" applyBorder="1" applyAlignment="1">
      <alignment horizontal="center" vertical="center" wrapText="1"/>
    </xf>
    <xf numFmtId="0" fontId="60" fillId="0" borderId="0" xfId="1" applyFont="1" applyAlignment="1">
      <alignment vertical="center"/>
    </xf>
    <xf numFmtId="181" fontId="69" fillId="0" borderId="1" xfId="1" applyNumberFormat="1" applyFont="1" applyBorder="1" applyAlignment="1">
      <alignment horizontal="center" vertical="center"/>
    </xf>
    <xf numFmtId="10" fontId="70" fillId="0" borderId="1" xfId="2" applyNumberFormat="1" applyFont="1" applyFill="1" applyBorder="1" applyAlignment="1">
      <alignment horizontal="center" vertical="center"/>
    </xf>
    <xf numFmtId="10" fontId="70" fillId="0" borderId="1" xfId="1" applyNumberFormat="1" applyFont="1" applyBorder="1" applyAlignment="1">
      <alignment horizontal="center" vertical="center"/>
    </xf>
    <xf numFmtId="0" fontId="70" fillId="0" borderId="7" xfId="1" applyFont="1" applyBorder="1" applyAlignment="1">
      <alignment horizontal="center" vertical="center"/>
    </xf>
    <xf numFmtId="0" fontId="26" fillId="0" borderId="2" xfId="1" applyFont="1" applyBorder="1" applyAlignment="1">
      <alignment horizontal="center" vertical="center"/>
    </xf>
    <xf numFmtId="0" fontId="31" fillId="0" borderId="7" xfId="1" applyFont="1" applyBorder="1" applyAlignment="1">
      <alignment vertical="center" wrapText="1"/>
    </xf>
    <xf numFmtId="0" fontId="31" fillId="0" borderId="8" xfId="1" applyFont="1" applyBorder="1" applyAlignment="1">
      <alignment vertical="center" wrapText="1"/>
    </xf>
    <xf numFmtId="0" fontId="60" fillId="0" borderId="17" xfId="1" applyFont="1" applyBorder="1"/>
    <xf numFmtId="14" fontId="40" fillId="0" borderId="8" xfId="1" applyNumberFormat="1" applyFont="1" applyBorder="1" applyAlignment="1">
      <alignment vertical="center" wrapText="1"/>
    </xf>
    <xf numFmtId="14" fontId="31" fillId="0" borderId="8" xfId="1" applyNumberFormat="1" applyFont="1" applyBorder="1" applyAlignment="1">
      <alignment horizontal="left" vertical="center" wrapText="1"/>
    </xf>
    <xf numFmtId="10" fontId="23" fillId="7" borderId="1" xfId="2" applyNumberFormat="1" applyFont="1" applyFill="1" applyBorder="1" applyAlignment="1"/>
    <xf numFmtId="10" fontId="29" fillId="7" borderId="1" xfId="2" applyNumberFormat="1" applyFont="1" applyFill="1" applyBorder="1" applyAlignment="1"/>
    <xf numFmtId="0" fontId="14" fillId="0" borderId="0" xfId="1" applyFont="1" applyAlignment="1">
      <alignment vertical="center"/>
    </xf>
    <xf numFmtId="0" fontId="14" fillId="0" borderId="1" xfId="1" applyFont="1" applyBorder="1" applyAlignment="1">
      <alignment horizontal="center" vertical="center" wrapText="1"/>
    </xf>
    <xf numFmtId="0" fontId="15" fillId="13" borderId="1" xfId="1" applyFont="1" applyFill="1" applyBorder="1" applyAlignment="1">
      <alignment horizontal="center" vertical="center"/>
    </xf>
    <xf numFmtId="14" fontId="15" fillId="13" borderId="1" xfId="1" applyNumberFormat="1" applyFont="1" applyFill="1" applyBorder="1" applyAlignment="1">
      <alignment horizontal="center" vertical="center"/>
    </xf>
    <xf numFmtId="14" fontId="72" fillId="13" borderId="1" xfId="1" applyNumberFormat="1" applyFont="1" applyFill="1" applyBorder="1" applyAlignment="1">
      <alignment horizontal="center" vertical="center"/>
    </xf>
    <xf numFmtId="14" fontId="15" fillId="13" borderId="1" xfId="2" applyNumberFormat="1" applyFont="1" applyFill="1" applyBorder="1" applyAlignment="1">
      <alignment horizontal="center" vertical="center"/>
    </xf>
    <xf numFmtId="0" fontId="72" fillId="13" borderId="1" xfId="1" applyFont="1" applyFill="1" applyBorder="1" applyAlignment="1">
      <alignment horizontal="center" vertical="center"/>
    </xf>
    <xf numFmtId="0" fontId="72" fillId="13" borderId="1" xfId="1" applyFont="1" applyFill="1" applyBorder="1" applyAlignment="1">
      <alignment horizontal="center" vertical="center" wrapText="1"/>
    </xf>
    <xf numFmtId="10" fontId="19" fillId="10" borderId="1" xfId="2" applyNumberFormat="1" applyFont="1" applyFill="1" applyBorder="1"/>
    <xf numFmtId="10" fontId="16" fillId="10" borderId="1" xfId="2" applyNumberFormat="1" applyFont="1" applyFill="1" applyBorder="1"/>
    <xf numFmtId="10" fontId="14" fillId="10" borderId="1" xfId="2" applyNumberFormat="1" applyFont="1" applyFill="1" applyBorder="1"/>
    <xf numFmtId="10" fontId="14" fillId="0" borderId="1" xfId="3" applyNumberFormat="1" applyFont="1" applyFill="1" applyBorder="1"/>
    <xf numFmtId="10" fontId="16" fillId="3" borderId="1" xfId="2" applyNumberFormat="1" applyFont="1" applyFill="1" applyBorder="1" applyAlignment="1">
      <alignment horizontal="center"/>
    </xf>
    <xf numFmtId="10" fontId="14" fillId="3" borderId="1" xfId="2" applyNumberFormat="1" applyFont="1" applyFill="1" applyBorder="1" applyAlignment="1">
      <alignment horizontal="center"/>
    </xf>
    <xf numFmtId="10" fontId="16" fillId="3" borderId="1" xfId="2" applyNumberFormat="1" applyFont="1" applyFill="1" applyBorder="1"/>
    <xf numFmtId="10" fontId="14" fillId="3" borderId="1" xfId="2" applyNumberFormat="1" applyFont="1" applyFill="1" applyBorder="1"/>
    <xf numFmtId="10" fontId="16" fillId="4" borderId="1" xfId="2" applyNumberFormat="1" applyFont="1" applyFill="1" applyBorder="1"/>
    <xf numFmtId="10" fontId="14" fillId="4" borderId="1" xfId="2" applyNumberFormat="1" applyFont="1" applyFill="1" applyBorder="1"/>
    <xf numFmtId="10" fontId="19" fillId="11" borderId="1" xfId="2" applyNumberFormat="1" applyFont="1" applyFill="1" applyBorder="1"/>
    <xf numFmtId="10" fontId="16" fillId="11" borderId="1" xfId="2" applyNumberFormat="1" applyFont="1" applyFill="1" applyBorder="1"/>
    <xf numFmtId="10" fontId="14" fillId="11" borderId="1" xfId="2" applyNumberFormat="1" applyFont="1" applyFill="1" applyBorder="1"/>
    <xf numFmtId="177" fontId="14" fillId="11" borderId="1" xfId="2" applyNumberFormat="1" applyFont="1" applyFill="1" applyBorder="1"/>
    <xf numFmtId="10" fontId="14" fillId="7" borderId="1" xfId="2" applyNumberFormat="1" applyFont="1" applyFill="1" applyBorder="1"/>
    <xf numFmtId="177" fontId="14" fillId="7" borderId="1" xfId="2" applyNumberFormat="1" applyFont="1" applyFill="1" applyBorder="1"/>
    <xf numFmtId="177" fontId="14" fillId="3" borderId="1" xfId="2" applyNumberFormat="1" applyFont="1" applyFill="1" applyBorder="1"/>
    <xf numFmtId="178" fontId="14" fillId="11" borderId="1" xfId="2" applyNumberFormat="1" applyFont="1" applyFill="1" applyBorder="1"/>
    <xf numFmtId="10" fontId="16" fillId="4" borderId="1" xfId="2" applyNumberFormat="1" applyFont="1" applyFill="1" applyBorder="1" applyAlignment="1">
      <alignment horizontal="right" vertical="center" wrapText="1"/>
    </xf>
    <xf numFmtId="10" fontId="14" fillId="4" borderId="1" xfId="2" applyNumberFormat="1" applyFont="1" applyFill="1" applyBorder="1" applyAlignment="1">
      <alignment horizontal="right" vertical="center" wrapText="1"/>
    </xf>
    <xf numFmtId="0" fontId="14" fillId="0" borderId="2" xfId="3" applyFont="1" applyFill="1" applyBorder="1" applyAlignment="1">
      <alignment horizontal="center" vertical="center" wrapText="1"/>
    </xf>
    <xf numFmtId="0" fontId="15" fillId="0" borderId="0" xfId="1" applyFont="1" applyAlignment="1">
      <alignment horizontal="center" vertical="center" wrapText="1"/>
    </xf>
    <xf numFmtId="0" fontId="72" fillId="0" borderId="0" xfId="1" applyFont="1" applyAlignment="1">
      <alignment horizontal="center" vertical="center" wrapText="1"/>
    </xf>
    <xf numFmtId="10" fontId="19" fillId="3" borderId="1" xfId="2" applyNumberFormat="1" applyFont="1" applyFill="1" applyBorder="1"/>
    <xf numFmtId="10" fontId="19" fillId="4" borderId="1" xfId="2" applyNumberFormat="1" applyFont="1" applyFill="1" applyBorder="1" applyAlignment="1">
      <alignment horizontal="right" vertical="center" wrapText="1"/>
    </xf>
    <xf numFmtId="10" fontId="16" fillId="4" borderId="1" xfId="2" applyNumberFormat="1" applyFont="1" applyFill="1" applyBorder="1" applyAlignment="1">
      <alignment vertical="center"/>
    </xf>
    <xf numFmtId="10" fontId="14" fillId="4" borderId="1" xfId="2" applyNumberFormat="1" applyFont="1" applyFill="1" applyBorder="1" applyAlignment="1">
      <alignment vertical="center"/>
    </xf>
    <xf numFmtId="10" fontId="19" fillId="4" borderId="1" xfId="2" applyNumberFormat="1" applyFont="1" applyFill="1" applyBorder="1" applyAlignment="1">
      <alignment vertical="center"/>
    </xf>
    <xf numFmtId="10" fontId="14" fillId="0" borderId="2" xfId="4" applyNumberFormat="1" applyFont="1" applyFill="1" applyBorder="1" applyAlignment="1">
      <alignment horizontal="center" vertical="center"/>
    </xf>
    <xf numFmtId="10" fontId="14" fillId="0" borderId="1" xfId="3" applyNumberFormat="1" applyFont="1" applyFill="1" applyBorder="1" applyAlignment="1">
      <alignment vertical="center"/>
    </xf>
    <xf numFmtId="10" fontId="16" fillId="3" borderId="1" xfId="4" applyNumberFormat="1" applyFont="1" applyBorder="1"/>
    <xf numFmtId="10" fontId="14" fillId="3" borderId="1" xfId="4" applyNumberFormat="1" applyFont="1" applyBorder="1"/>
    <xf numFmtId="10" fontId="19" fillId="3" borderId="1" xfId="4" applyNumberFormat="1" applyFont="1" applyBorder="1"/>
    <xf numFmtId="10" fontId="19" fillId="4" borderId="1" xfId="2" applyNumberFormat="1" applyFont="1" applyFill="1" applyBorder="1"/>
    <xf numFmtId="10" fontId="14" fillId="7" borderId="1" xfId="3" applyNumberFormat="1" applyFont="1" applyFill="1" applyBorder="1" applyAlignment="1">
      <alignment vertical="center"/>
    </xf>
    <xf numFmtId="10" fontId="14" fillId="4" borderId="1" xfId="3" applyNumberFormat="1" applyFont="1" applyBorder="1" applyAlignment="1">
      <alignment vertical="center"/>
    </xf>
    <xf numFmtId="10" fontId="14" fillId="12" borderId="1" xfId="3" applyNumberFormat="1" applyFont="1" applyFill="1" applyBorder="1" applyAlignment="1">
      <alignment vertical="center"/>
    </xf>
    <xf numFmtId="10" fontId="14" fillId="0" borderId="4" xfId="3" applyNumberFormat="1" applyFont="1" applyFill="1" applyBorder="1" applyAlignment="1">
      <alignment vertical="center"/>
    </xf>
    <xf numFmtId="0" fontId="14" fillId="11" borderId="1" xfId="3" applyFont="1" applyFill="1" applyBorder="1"/>
    <xf numFmtId="177" fontId="14" fillId="6" borderId="1" xfId="2" applyNumberFormat="1" applyFont="1" applyFill="1" applyBorder="1"/>
    <xf numFmtId="10" fontId="14" fillId="0" borderId="1" xfId="4" applyNumberFormat="1" applyFont="1" applyFill="1" applyBorder="1" applyAlignment="1">
      <alignment vertical="center"/>
    </xf>
    <xf numFmtId="0" fontId="14" fillId="0" borderId="1" xfId="4" applyFont="1" applyFill="1" applyBorder="1" applyAlignment="1">
      <alignment vertical="center"/>
    </xf>
    <xf numFmtId="177" fontId="14" fillId="11" borderId="1" xfId="2" applyNumberFormat="1" applyFont="1" applyFill="1" applyBorder="1" applyAlignment="1">
      <alignment horizontal="right" vertical="center"/>
    </xf>
    <xf numFmtId="10" fontId="14" fillId="11" borderId="1" xfId="2" applyNumberFormat="1" applyFont="1" applyFill="1" applyBorder="1" applyAlignment="1">
      <alignment horizontal="right" vertical="center"/>
    </xf>
    <xf numFmtId="10" fontId="14" fillId="7" borderId="1" xfId="2" applyNumberFormat="1" applyFont="1" applyFill="1" applyBorder="1" applyAlignment="1">
      <alignment horizontal="right" vertical="center"/>
    </xf>
    <xf numFmtId="177" fontId="14" fillId="7" borderId="1" xfId="2" applyNumberFormat="1" applyFont="1" applyFill="1" applyBorder="1" applyAlignment="1">
      <alignment horizontal="right" vertical="center"/>
    </xf>
    <xf numFmtId="177" fontId="14" fillId="3" borderId="1" xfId="2" applyNumberFormat="1" applyFont="1" applyFill="1" applyBorder="1" applyAlignment="1">
      <alignment horizontal="right" vertical="center"/>
    </xf>
    <xf numFmtId="0" fontId="14" fillId="0" borderId="0" xfId="3" applyFont="1" applyFill="1" applyBorder="1"/>
    <xf numFmtId="10" fontId="16" fillId="0" borderId="0" xfId="2" applyNumberFormat="1" applyFont="1" applyFill="1" applyBorder="1" applyAlignment="1">
      <alignment horizontal="right" vertical="center" wrapText="1"/>
    </xf>
    <xf numFmtId="10" fontId="14" fillId="0" borderId="0" xfId="2" applyNumberFormat="1" applyFont="1" applyFill="1" applyBorder="1" applyAlignment="1">
      <alignment horizontal="right" vertical="center" wrapText="1"/>
    </xf>
    <xf numFmtId="10" fontId="14" fillId="0" borderId="0" xfId="3" applyNumberFormat="1" applyFont="1" applyFill="1" applyBorder="1"/>
    <xf numFmtId="0" fontId="72" fillId="0" borderId="0" xfId="1" applyFont="1" applyAlignment="1">
      <alignment horizontal="left" vertical="center"/>
    </xf>
    <xf numFmtId="0" fontId="15" fillId="13" borderId="2" xfId="1" applyFont="1" applyFill="1" applyBorder="1" applyAlignment="1">
      <alignment horizontal="center" vertical="center"/>
    </xf>
    <xf numFmtId="0" fontId="72" fillId="13" borderId="2" xfId="1" applyFont="1" applyFill="1" applyBorder="1" applyAlignment="1">
      <alignment horizontal="center" vertical="center"/>
    </xf>
    <xf numFmtId="10" fontId="14" fillId="6" borderId="1" xfId="2" applyNumberFormat="1" applyFont="1" applyFill="1" applyBorder="1"/>
    <xf numFmtId="10" fontId="14" fillId="0" borderId="1" xfId="4" applyNumberFormat="1" applyFont="1" applyFill="1" applyBorder="1" applyAlignment="1">
      <alignment horizontal="center" vertical="center"/>
    </xf>
    <xf numFmtId="10" fontId="19" fillId="10" borderId="1" xfId="2" applyNumberFormat="1" applyFont="1" applyFill="1" applyBorder="1" applyAlignment="1">
      <alignment horizontal="right" vertical="center" wrapText="1"/>
    </xf>
    <xf numFmtId="10" fontId="14" fillId="7" borderId="1" xfId="2" applyNumberFormat="1" applyFont="1" applyFill="1" applyBorder="1" applyAlignment="1">
      <alignment vertical="center"/>
    </xf>
    <xf numFmtId="10" fontId="16" fillId="10" borderId="1" xfId="2" applyNumberFormat="1" applyFont="1" applyFill="1" applyBorder="1" applyAlignment="1">
      <alignment horizontal="right" vertical="center" wrapText="1"/>
    </xf>
    <xf numFmtId="10" fontId="14" fillId="10" borderId="1" xfId="2" applyNumberFormat="1" applyFont="1" applyFill="1" applyBorder="1" applyAlignment="1">
      <alignment horizontal="right" vertical="center" wrapText="1"/>
    </xf>
    <xf numFmtId="0" fontId="14" fillId="0" borderId="1" xfId="3" applyFont="1" applyFill="1" applyBorder="1" applyAlignment="1">
      <alignment horizontal="center" vertical="center" wrapText="1"/>
    </xf>
    <xf numFmtId="0" fontId="16" fillId="0" borderId="0" xfId="1" applyFont="1"/>
    <xf numFmtId="0" fontId="14" fillId="0" borderId="0" xfId="4" applyFont="1" applyFill="1" applyBorder="1" applyAlignment="1">
      <alignment vertical="center"/>
    </xf>
    <xf numFmtId="10" fontId="14" fillId="6" borderId="1" xfId="2" applyNumberFormat="1" applyFont="1" applyFill="1" applyBorder="1" applyAlignment="1">
      <alignment horizontal="right" vertical="center" wrapText="1"/>
    </xf>
    <xf numFmtId="0" fontId="16" fillId="0" borderId="0" xfId="1" applyFont="1" applyAlignment="1">
      <alignment vertical="center"/>
    </xf>
    <xf numFmtId="10" fontId="16" fillId="11" borderId="1" xfId="2" applyNumberFormat="1" applyFont="1" applyFill="1" applyBorder="1" applyAlignment="1">
      <alignment horizontal="right" vertical="center" wrapText="1"/>
    </xf>
    <xf numFmtId="10" fontId="14" fillId="11" borderId="1" xfId="2" applyNumberFormat="1" applyFont="1" applyFill="1" applyBorder="1" applyAlignment="1">
      <alignment horizontal="right" vertical="center" wrapText="1"/>
    </xf>
    <xf numFmtId="10" fontId="19" fillId="11" borderId="1" xfId="2" applyNumberFormat="1" applyFont="1" applyFill="1" applyBorder="1" applyAlignment="1">
      <alignment horizontal="right" vertical="center" wrapText="1"/>
    </xf>
    <xf numFmtId="10" fontId="19" fillId="10" borderId="1" xfId="2" applyNumberFormat="1" applyFont="1" applyFill="1" applyBorder="1" applyAlignment="1">
      <alignment vertical="center"/>
    </xf>
    <xf numFmtId="10" fontId="14" fillId="10" borderId="1" xfId="2" applyNumberFormat="1" applyFont="1" applyFill="1" applyBorder="1" applyAlignment="1">
      <alignment vertical="center"/>
    </xf>
    <xf numFmtId="10" fontId="14" fillId="10" borderId="1" xfId="3" applyNumberFormat="1" applyFont="1" applyFill="1" applyBorder="1" applyAlignment="1">
      <alignment vertical="center"/>
    </xf>
    <xf numFmtId="177" fontId="14" fillId="3" borderId="1" xfId="4" applyNumberFormat="1" applyFont="1" applyBorder="1"/>
    <xf numFmtId="177" fontId="14" fillId="6" borderId="1" xfId="2" applyNumberFormat="1" applyFont="1" applyFill="1" applyBorder="1" applyAlignment="1">
      <alignment horizontal="right"/>
    </xf>
    <xf numFmtId="177" fontId="14" fillId="11" borderId="1" xfId="2" applyNumberFormat="1" applyFont="1" applyFill="1" applyBorder="1" applyAlignment="1">
      <alignment horizontal="right"/>
    </xf>
    <xf numFmtId="177" fontId="14" fillId="7" borderId="1" xfId="2" applyNumberFormat="1" applyFont="1" applyFill="1" applyBorder="1" applyAlignment="1">
      <alignment horizontal="right"/>
    </xf>
    <xf numFmtId="0" fontId="14" fillId="0" borderId="0" xfId="1" applyFont="1"/>
    <xf numFmtId="10" fontId="19" fillId="11" borderId="4" xfId="2" applyNumberFormat="1" applyFont="1" applyFill="1" applyBorder="1"/>
    <xf numFmtId="10" fontId="16" fillId="11" borderId="4" xfId="2" applyNumberFormat="1" applyFont="1" applyFill="1" applyBorder="1"/>
    <xf numFmtId="10" fontId="14" fillId="11" borderId="4" xfId="2" applyNumberFormat="1" applyFont="1" applyFill="1" applyBorder="1"/>
    <xf numFmtId="10" fontId="14" fillId="3" borderId="4" xfId="2" applyNumberFormat="1" applyFont="1" applyFill="1" applyBorder="1"/>
    <xf numFmtId="10" fontId="16" fillId="4" borderId="1" xfId="3" applyNumberFormat="1" applyFont="1" applyBorder="1"/>
    <xf numFmtId="10" fontId="14" fillId="4" borderId="1" xfId="3" applyNumberFormat="1" applyFont="1" applyBorder="1"/>
    <xf numFmtId="0" fontId="14" fillId="0" borderId="1" xfId="3" applyFont="1" applyFill="1" applyBorder="1" applyAlignment="1">
      <alignment vertical="center"/>
    </xf>
    <xf numFmtId="0" fontId="72" fillId="13" borderId="2" xfId="1" applyFont="1" applyFill="1" applyBorder="1" applyAlignment="1">
      <alignment horizontal="center" vertical="center" wrapText="1"/>
    </xf>
    <xf numFmtId="10" fontId="14" fillId="0" borderId="0" xfId="2" applyNumberFormat="1" applyFont="1"/>
    <xf numFmtId="10" fontId="73" fillId="0" borderId="0" xfId="2" applyNumberFormat="1" applyFont="1" applyFill="1"/>
    <xf numFmtId="0" fontId="16" fillId="0" borderId="1" xfId="0" applyFont="1" applyBorder="1" applyAlignment="1">
      <alignment horizontal="left" vertical="center" wrapText="1"/>
    </xf>
    <xf numFmtId="10" fontId="23" fillId="7" borderId="1" xfId="2" applyNumberFormat="1" applyFont="1" applyFill="1" applyBorder="1" applyAlignment="1">
      <alignment vertical="center"/>
    </xf>
    <xf numFmtId="10" fontId="39" fillId="11" borderId="6" xfId="4" applyNumberFormat="1" applyFont="1" applyFill="1" applyBorder="1" applyAlignment="1">
      <alignment horizontal="center" vertical="center" wrapText="1"/>
    </xf>
    <xf numFmtId="10" fontId="39" fillId="11" borderId="1" xfId="4" applyNumberFormat="1" applyFont="1" applyFill="1" applyBorder="1" applyAlignment="1">
      <alignment horizontal="center" vertical="center" wrapText="1"/>
    </xf>
    <xf numFmtId="0" fontId="29" fillId="11" borderId="1" xfId="3" applyFont="1" applyFill="1" applyBorder="1" applyAlignment="1">
      <alignment horizontal="center" vertical="center"/>
    </xf>
    <xf numFmtId="10" fontId="45" fillId="10" borderId="1" xfId="4" applyNumberFormat="1" applyFont="1" applyFill="1" applyBorder="1" applyAlignment="1">
      <alignment horizontal="center" vertical="center"/>
    </xf>
    <xf numFmtId="0" fontId="17" fillId="0" borderId="1" xfId="0" applyFont="1" applyBorder="1" applyAlignment="1">
      <alignment horizontal="left" vertical="center" wrapText="1"/>
    </xf>
    <xf numFmtId="0" fontId="14" fillId="0" borderId="1" xfId="0" applyFont="1" applyBorder="1" applyAlignment="1">
      <alignment horizontal="left" vertical="center" wrapText="1"/>
    </xf>
    <xf numFmtId="0" fontId="17" fillId="0" borderId="1" xfId="0" applyFont="1" applyBorder="1" applyAlignment="1">
      <alignment horizontal="left" vertical="center"/>
    </xf>
    <xf numFmtId="0" fontId="18" fillId="0" borderId="1" xfId="0" applyFont="1" applyBorder="1" applyAlignment="1">
      <alignment horizontal="left" vertical="center" wrapText="1"/>
    </xf>
    <xf numFmtId="0" fontId="14" fillId="0" borderId="0" xfId="0" applyFont="1" applyAlignment="1">
      <alignment horizontal="left" vertical="center"/>
    </xf>
    <xf numFmtId="10" fontId="35" fillId="7" borderId="1" xfId="2" applyNumberFormat="1" applyFont="1" applyFill="1" applyBorder="1"/>
    <xf numFmtId="0" fontId="12" fillId="7" borderId="2" xfId="3" applyFont="1" applyFill="1" applyBorder="1" applyAlignment="1">
      <alignment horizontal="left" vertical="center" wrapText="1"/>
    </xf>
    <xf numFmtId="10" fontId="35" fillId="7" borderId="1" xfId="2" applyNumberFormat="1" applyFont="1" applyFill="1" applyBorder="1" applyAlignment="1">
      <alignment horizontal="right"/>
    </xf>
    <xf numFmtId="10" fontId="35" fillId="0" borderId="1" xfId="2" applyNumberFormat="1" applyFont="1" applyFill="1" applyBorder="1" applyAlignment="1">
      <alignment horizontal="right"/>
    </xf>
    <xf numFmtId="10" fontId="45" fillId="10" borderId="1" xfId="3" applyNumberFormat="1" applyFont="1" applyFill="1" applyBorder="1" applyAlignment="1">
      <alignment horizontal="center" vertical="center" wrapText="1"/>
    </xf>
    <xf numFmtId="10" fontId="45" fillId="11" borderId="6" xfId="4" applyNumberFormat="1" applyFont="1" applyFill="1" applyBorder="1" applyAlignment="1">
      <alignment horizontal="center" vertical="center" wrapText="1"/>
    </xf>
    <xf numFmtId="10" fontId="29" fillId="0" borderId="2" xfId="1" applyNumberFormat="1" applyFont="1" applyBorder="1" applyAlignment="1">
      <alignment horizontal="center" vertical="center" wrapText="1"/>
    </xf>
    <xf numFmtId="10" fontId="29" fillId="7" borderId="2" xfId="1" applyNumberFormat="1" applyFont="1" applyFill="1" applyBorder="1" applyAlignment="1">
      <alignment horizontal="center" vertical="center" wrapText="1"/>
    </xf>
    <xf numFmtId="10" fontId="29" fillId="6" borderId="2" xfId="1" applyNumberFormat="1" applyFont="1" applyFill="1" applyBorder="1" applyAlignment="1">
      <alignment horizontal="center" vertical="center" wrapText="1"/>
    </xf>
    <xf numFmtId="10" fontId="23" fillId="7" borderId="2" xfId="1" applyNumberFormat="1" applyFont="1" applyFill="1" applyBorder="1" applyAlignment="1">
      <alignment horizontal="center" vertical="center" wrapText="1"/>
    </xf>
    <xf numFmtId="10" fontId="23" fillId="0" borderId="2" xfId="1" applyNumberFormat="1" applyFont="1" applyBorder="1" applyAlignment="1">
      <alignment horizontal="center" vertical="center" wrapText="1"/>
    </xf>
    <xf numFmtId="10" fontId="22" fillId="7" borderId="3" xfId="1" applyNumberFormat="1" applyFill="1" applyBorder="1" applyAlignment="1">
      <alignment horizontal="center" vertical="center"/>
    </xf>
    <xf numFmtId="10" fontId="23" fillId="7" borderId="1" xfId="2" applyNumberFormat="1" applyFont="1" applyFill="1" applyBorder="1" applyAlignment="1">
      <alignment horizontal="center" vertical="center" wrapText="1"/>
    </xf>
    <xf numFmtId="0" fontId="12" fillId="0" borderId="2" xfId="3" applyFont="1" applyFill="1" applyBorder="1" applyAlignment="1">
      <alignment horizontal="left" vertical="center" wrapText="1"/>
    </xf>
    <xf numFmtId="0" fontId="64" fillId="15" borderId="1" xfId="5" applyFont="1" applyFill="1" applyBorder="1" applyAlignment="1">
      <alignment horizontal="center" vertical="center" wrapText="1"/>
    </xf>
    <xf numFmtId="0" fontId="12" fillId="0" borderId="0" xfId="1" applyFont="1" applyAlignment="1">
      <alignment vertical="center"/>
    </xf>
    <xf numFmtId="10" fontId="19" fillId="4" borderId="1" xfId="3" applyNumberFormat="1" applyFont="1" applyBorder="1"/>
    <xf numFmtId="10" fontId="22" fillId="0" borderId="4" xfId="3" applyNumberFormat="1" applyFill="1" applyBorder="1"/>
    <xf numFmtId="10" fontId="22" fillId="0" borderId="8" xfId="3" applyNumberFormat="1" applyFill="1" applyBorder="1"/>
    <xf numFmtId="10" fontId="14" fillId="10" borderId="1" xfId="3" applyNumberFormat="1" applyFont="1" applyFill="1" applyBorder="1"/>
    <xf numFmtId="10" fontId="14" fillId="10" borderId="1" xfId="4" applyNumberFormat="1" applyFont="1" applyFill="1" applyBorder="1"/>
    <xf numFmtId="10" fontId="19" fillId="10" borderId="1" xfId="4" applyNumberFormat="1" applyFont="1" applyFill="1" applyBorder="1"/>
    <xf numFmtId="10" fontId="19" fillId="10" borderId="1" xfId="3" applyNumberFormat="1" applyFont="1" applyFill="1" applyBorder="1"/>
    <xf numFmtId="10" fontId="24" fillId="11" borderId="1" xfId="4" applyNumberFormat="1" applyFont="1" applyFill="1" applyBorder="1" applyAlignment="1"/>
    <xf numFmtId="14" fontId="46" fillId="6" borderId="1" xfId="1" applyNumberFormat="1" applyFont="1" applyFill="1" applyBorder="1" applyAlignment="1">
      <alignment horizontal="center" vertical="center"/>
    </xf>
    <xf numFmtId="10" fontId="22" fillId="10" borderId="0" xfId="3" applyNumberFormat="1" applyFill="1" applyBorder="1" applyAlignment="1"/>
    <xf numFmtId="10" fontId="23" fillId="10" borderId="0" xfId="3" applyNumberFormat="1" applyFont="1" applyFill="1" applyBorder="1" applyAlignment="1"/>
    <xf numFmtId="10" fontId="24" fillId="10" borderId="0" xfId="3" applyNumberFormat="1" applyFont="1" applyFill="1" applyBorder="1" applyAlignment="1"/>
    <xf numFmtId="10" fontId="10" fillId="3" borderId="1" xfId="2" applyNumberFormat="1" applyFont="1" applyFill="1" applyBorder="1" applyAlignment="1"/>
    <xf numFmtId="10" fontId="10" fillId="0" borderId="1" xfId="3" applyNumberFormat="1" applyFont="1" applyFill="1" applyBorder="1"/>
    <xf numFmtId="10" fontId="52" fillId="11" borderId="1" xfId="4" applyNumberFormat="1" applyFont="1" applyFill="1" applyBorder="1" applyAlignment="1">
      <alignment horizontal="center" vertical="center"/>
    </xf>
    <xf numFmtId="10" fontId="23" fillId="11" borderId="1" xfId="4" applyNumberFormat="1" applyFont="1" applyFill="1" applyBorder="1" applyAlignment="1">
      <alignment horizontal="center" vertical="center"/>
    </xf>
    <xf numFmtId="10" fontId="52" fillId="11" borderId="6" xfId="4" applyNumberFormat="1" applyFont="1" applyFill="1" applyBorder="1" applyAlignment="1">
      <alignment horizontal="center" vertical="center"/>
    </xf>
    <xf numFmtId="10" fontId="23" fillId="3" borderId="1" xfId="4" applyNumberFormat="1" applyFont="1" applyBorder="1" applyAlignment="1">
      <alignment horizontal="center" vertical="center"/>
    </xf>
    <xf numFmtId="10" fontId="23" fillId="11" borderId="6" xfId="4" applyNumberFormat="1" applyFont="1" applyFill="1" applyBorder="1" applyAlignment="1">
      <alignment horizontal="center" vertical="center"/>
    </xf>
    <xf numFmtId="10" fontId="23" fillId="3" borderId="6" xfId="4" applyNumberFormat="1" applyFont="1" applyBorder="1" applyAlignment="1">
      <alignment horizontal="center" vertical="center"/>
    </xf>
    <xf numFmtId="10" fontId="29" fillId="11" borderId="6" xfId="3" applyNumberFormat="1" applyFont="1" applyFill="1" applyBorder="1" applyAlignment="1">
      <alignment horizontal="center" vertical="center"/>
    </xf>
    <xf numFmtId="2" fontId="29" fillId="3" borderId="6" xfId="4" applyNumberFormat="1" applyFont="1" applyBorder="1" applyAlignment="1">
      <alignment horizontal="center" vertical="center"/>
    </xf>
    <xf numFmtId="2" fontId="29" fillId="3" borderId="1" xfId="4" applyNumberFormat="1" applyFont="1" applyBorder="1" applyAlignment="1">
      <alignment horizontal="center" vertical="center"/>
    </xf>
    <xf numFmtId="2" fontId="29" fillId="4" borderId="6" xfId="3" applyNumberFormat="1" applyFont="1" applyBorder="1" applyAlignment="1">
      <alignment horizontal="center" vertical="center"/>
    </xf>
    <xf numFmtId="2" fontId="29" fillId="11" borderId="6" xfId="3" applyNumberFormat="1" applyFont="1" applyFill="1" applyBorder="1" applyAlignment="1">
      <alignment horizontal="center" vertical="center"/>
    </xf>
    <xf numFmtId="2" fontId="29" fillId="10" borderId="6" xfId="3" applyNumberFormat="1" applyFont="1" applyFill="1" applyBorder="1" applyAlignment="1">
      <alignment horizontal="center" vertical="center"/>
    </xf>
    <xf numFmtId="10" fontId="46" fillId="10" borderId="1" xfId="4" applyNumberFormat="1" applyFont="1" applyFill="1" applyBorder="1" applyAlignment="1">
      <alignment horizontal="center" vertical="center"/>
    </xf>
    <xf numFmtId="10" fontId="46" fillId="10" borderId="1" xfId="4" applyNumberFormat="1" applyFont="1" applyFill="1" applyBorder="1" applyAlignment="1">
      <alignment horizontal="center" vertical="center" wrapText="1"/>
    </xf>
    <xf numFmtId="10" fontId="46" fillId="4" borderId="1" xfId="3" applyNumberFormat="1" applyFont="1" applyBorder="1" applyAlignment="1">
      <alignment horizontal="center" vertical="center" wrapText="1"/>
    </xf>
    <xf numFmtId="10" fontId="30" fillId="3" borderId="1" xfId="4" applyNumberFormat="1" applyFont="1" applyBorder="1" applyAlignment="1">
      <alignment horizontal="left" vertical="center" wrapText="1"/>
    </xf>
    <xf numFmtId="10" fontId="29" fillId="11" borderId="6" xfId="4" applyNumberFormat="1" applyFont="1" applyFill="1" applyBorder="1" applyAlignment="1">
      <alignment horizontal="center" vertical="center" wrapText="1"/>
    </xf>
    <xf numFmtId="10" fontId="9" fillId="11" borderId="1" xfId="4" applyNumberFormat="1" applyFont="1" applyFill="1" applyBorder="1" applyAlignment="1"/>
    <xf numFmtId="177" fontId="39" fillId="11" borderId="1" xfId="4" applyNumberFormat="1" applyFont="1" applyFill="1" applyBorder="1" applyAlignment="1">
      <alignment horizontal="center" vertical="center" wrapText="1"/>
    </xf>
    <xf numFmtId="0" fontId="8" fillId="0" borderId="1" xfId="1" applyFont="1" applyBorder="1"/>
    <xf numFmtId="10" fontId="19" fillId="4" borderId="1" xfId="3" applyNumberFormat="1" applyFont="1" applyBorder="1" applyAlignment="1">
      <alignment vertical="center"/>
    </xf>
    <xf numFmtId="0" fontId="32" fillId="0" borderId="12" xfId="1" applyFont="1" applyBorder="1" applyAlignment="1">
      <alignment horizontal="right"/>
    </xf>
    <xf numFmtId="10" fontId="68" fillId="0" borderId="6" xfId="2" applyNumberFormat="1" applyFont="1" applyFill="1" applyBorder="1" applyAlignment="1">
      <alignment horizontal="left" vertical="center" wrapText="1"/>
    </xf>
    <xf numFmtId="178" fontId="29" fillId="11" borderId="1" xfId="4" applyNumberFormat="1" applyFont="1" applyFill="1" applyBorder="1" applyAlignment="1">
      <alignment horizontal="center" vertical="center"/>
    </xf>
    <xf numFmtId="178" fontId="29" fillId="11" borderId="1" xfId="4" applyNumberFormat="1" applyFont="1" applyFill="1" applyBorder="1" applyAlignment="1">
      <alignment horizontal="center" vertical="center" wrapText="1"/>
    </xf>
    <xf numFmtId="0" fontId="16" fillId="0" borderId="0" xfId="3" applyFont="1" applyFill="1" applyBorder="1"/>
    <xf numFmtId="10" fontId="16" fillId="10" borderId="1" xfId="3" applyNumberFormat="1" applyFont="1" applyFill="1" applyBorder="1"/>
    <xf numFmtId="10" fontId="16" fillId="10" borderId="1" xfId="4" applyNumberFormat="1" applyFont="1" applyFill="1" applyBorder="1"/>
    <xf numFmtId="10" fontId="16" fillId="4" borderId="1" xfId="3" applyNumberFormat="1" applyFont="1" applyBorder="1" applyAlignment="1">
      <alignment vertical="center"/>
    </xf>
    <xf numFmtId="10" fontId="23" fillId="11" borderId="1" xfId="4" applyNumberFormat="1" applyFont="1" applyFill="1" applyBorder="1" applyAlignment="1"/>
    <xf numFmtId="0" fontId="23" fillId="3" borderId="1" xfId="4" applyFont="1" applyBorder="1" applyAlignment="1"/>
    <xf numFmtId="0" fontId="23" fillId="0" borderId="0" xfId="4" applyFont="1" applyFill="1" applyBorder="1" applyAlignment="1"/>
    <xf numFmtId="10" fontId="23" fillId="4" borderId="6" xfId="3" applyNumberFormat="1" applyFont="1" applyBorder="1" applyAlignment="1">
      <alignment horizontal="center" vertical="center"/>
    </xf>
    <xf numFmtId="10" fontId="23" fillId="10" borderId="1" xfId="3" applyNumberFormat="1" applyFont="1" applyFill="1" applyBorder="1" applyAlignment="1">
      <alignment horizontal="center" vertical="center"/>
    </xf>
    <xf numFmtId="10" fontId="23" fillId="10" borderId="1" xfId="3" applyNumberFormat="1" applyFont="1" applyFill="1" applyBorder="1" applyAlignment="1">
      <alignment horizontal="center" vertical="center" wrapText="1"/>
    </xf>
    <xf numFmtId="10" fontId="23" fillId="11" borderId="1" xfId="3" applyNumberFormat="1" applyFont="1" applyFill="1" applyBorder="1" applyAlignment="1">
      <alignment horizontal="center" vertical="center"/>
    </xf>
    <xf numFmtId="10" fontId="23" fillId="11" borderId="6" xfId="3" applyNumberFormat="1" applyFont="1" applyFill="1" applyBorder="1" applyAlignment="1">
      <alignment horizontal="center" vertical="center"/>
    </xf>
    <xf numFmtId="10" fontId="23" fillId="10" borderId="6" xfId="3" applyNumberFormat="1" applyFont="1" applyFill="1" applyBorder="1" applyAlignment="1">
      <alignment horizontal="center" vertical="center"/>
    </xf>
    <xf numFmtId="10" fontId="39" fillId="10" borderId="1" xfId="4" applyNumberFormat="1" applyFont="1" applyFill="1" applyBorder="1" applyAlignment="1">
      <alignment horizontal="center" vertical="center"/>
    </xf>
    <xf numFmtId="10" fontId="23" fillId="11" borderId="1" xfId="4" applyNumberFormat="1" applyFont="1" applyFill="1" applyBorder="1" applyAlignment="1">
      <alignment horizontal="center" vertical="center" wrapText="1"/>
    </xf>
    <xf numFmtId="10" fontId="23" fillId="4" borderId="1" xfId="3" applyNumberFormat="1" applyFont="1" applyBorder="1" applyAlignment="1">
      <alignment horizontal="center" vertical="center" wrapText="1"/>
    </xf>
    <xf numFmtId="10" fontId="23" fillId="11" borderId="1" xfId="3" applyNumberFormat="1" applyFont="1" applyFill="1" applyBorder="1" applyAlignment="1">
      <alignment horizontal="center" vertical="center" wrapText="1"/>
    </xf>
    <xf numFmtId="10" fontId="23" fillId="3" borderId="1" xfId="4" applyNumberFormat="1" applyFont="1" applyBorder="1" applyAlignment="1">
      <alignment horizontal="center" vertical="center" wrapText="1"/>
    </xf>
    <xf numFmtId="177" fontId="23" fillId="10" borderId="1" xfId="3" applyNumberFormat="1" applyFont="1" applyFill="1" applyBorder="1" applyAlignment="1">
      <alignment horizontal="center" vertical="center" wrapText="1"/>
    </xf>
    <xf numFmtId="177" fontId="23" fillId="4" borderId="1" xfId="3" applyNumberFormat="1" applyFont="1" applyBorder="1" applyAlignment="1">
      <alignment horizontal="center" vertical="center" wrapText="1"/>
    </xf>
    <xf numFmtId="177" fontId="23" fillId="4" borderId="6" xfId="3" applyNumberFormat="1" applyFont="1" applyBorder="1" applyAlignment="1">
      <alignment horizontal="center" vertical="center" wrapText="1"/>
    </xf>
    <xf numFmtId="10" fontId="23" fillId="11" borderId="8" xfId="3" applyNumberFormat="1" applyFont="1" applyFill="1" applyBorder="1" applyAlignment="1">
      <alignment horizontal="center" vertical="center"/>
    </xf>
    <xf numFmtId="10" fontId="23" fillId="11" borderId="8" xfId="3" applyNumberFormat="1" applyFont="1" applyFill="1" applyBorder="1" applyAlignment="1">
      <alignment horizontal="center" vertical="center" wrapText="1"/>
    </xf>
    <xf numFmtId="10" fontId="39" fillId="10" borderId="1" xfId="3" applyNumberFormat="1" applyFont="1" applyFill="1" applyBorder="1" applyAlignment="1">
      <alignment horizontal="center" vertical="center" wrapText="1"/>
    </xf>
    <xf numFmtId="10" fontId="23" fillId="10" borderId="6" xfId="3" applyNumberFormat="1" applyFont="1" applyFill="1" applyBorder="1" applyAlignment="1">
      <alignment horizontal="center" vertical="center" wrapText="1"/>
    </xf>
    <xf numFmtId="10" fontId="23" fillId="4" borderId="6" xfId="3" applyNumberFormat="1" applyFont="1" applyBorder="1" applyAlignment="1">
      <alignment horizontal="center" vertical="center" wrapText="1"/>
    </xf>
    <xf numFmtId="178" fontId="23" fillId="10" borderId="1" xfId="3" applyNumberFormat="1" applyFont="1" applyFill="1" applyBorder="1" applyAlignment="1">
      <alignment horizontal="center" vertical="center" wrapText="1"/>
    </xf>
    <xf numFmtId="10" fontId="45" fillId="11" borderId="1" xfId="4" applyNumberFormat="1" applyFont="1" applyFill="1" applyBorder="1" applyAlignment="1">
      <alignment horizontal="center" vertical="center"/>
    </xf>
    <xf numFmtId="10" fontId="27" fillId="0" borderId="1" xfId="2" applyNumberFormat="1" applyFont="1" applyFill="1" applyBorder="1" applyAlignment="1">
      <alignment horizontal="center" vertical="center"/>
    </xf>
    <xf numFmtId="10" fontId="43" fillId="0" borderId="1" xfId="2" applyNumberFormat="1" applyFont="1" applyFill="1" applyBorder="1" applyAlignment="1">
      <alignment horizontal="center" vertical="center" wrapText="1"/>
    </xf>
    <xf numFmtId="0" fontId="46" fillId="0" borderId="1" xfId="1" applyFont="1" applyBorder="1" applyAlignment="1">
      <alignment horizontal="center" vertical="center"/>
    </xf>
    <xf numFmtId="14" fontId="46" fillId="0" borderId="1" xfId="1" applyNumberFormat="1" applyFont="1" applyBorder="1" applyAlignment="1">
      <alignment horizontal="center" vertical="center"/>
    </xf>
    <xf numFmtId="10" fontId="43" fillId="0" borderId="1" xfId="1" applyNumberFormat="1" applyFont="1" applyBorder="1" applyAlignment="1">
      <alignment horizontal="center" vertical="center" wrapText="1"/>
    </xf>
    <xf numFmtId="10" fontId="43" fillId="0" borderId="1" xfId="1" applyNumberFormat="1" applyFont="1" applyBorder="1" applyAlignment="1">
      <alignment horizontal="center" vertical="center"/>
    </xf>
    <xf numFmtId="0" fontId="29" fillId="0" borderId="1" xfId="1" applyFont="1" applyBorder="1" applyAlignment="1">
      <alignment horizontal="center" vertical="top" wrapText="1"/>
    </xf>
    <xf numFmtId="10" fontId="19" fillId="10" borderId="1" xfId="3" applyNumberFormat="1" applyFont="1" applyFill="1" applyBorder="1" applyAlignment="1">
      <alignment vertical="center"/>
    </xf>
    <xf numFmtId="10" fontId="19" fillId="10" borderId="1" xfId="4" applyNumberFormat="1" applyFont="1" applyFill="1" applyBorder="1" applyAlignment="1">
      <alignment horizontal="right" vertical="center"/>
    </xf>
    <xf numFmtId="10" fontId="19" fillId="11" borderId="1" xfId="3" applyNumberFormat="1" applyFont="1" applyFill="1" applyBorder="1" applyAlignment="1">
      <alignment vertical="center"/>
    </xf>
    <xf numFmtId="177" fontId="52" fillId="11" borderId="1" xfId="4" applyNumberFormat="1" applyFont="1" applyFill="1" applyBorder="1" applyAlignment="1">
      <alignment horizontal="center" vertical="center" wrapText="1"/>
    </xf>
    <xf numFmtId="10" fontId="19" fillId="11" borderId="1" xfId="4" applyNumberFormat="1" applyFont="1" applyFill="1" applyBorder="1"/>
    <xf numFmtId="10" fontId="19" fillId="11" borderId="1" xfId="4" applyNumberFormat="1" applyFont="1" applyFill="1" applyBorder="1" applyAlignment="1">
      <alignment vertical="center"/>
    </xf>
    <xf numFmtId="10" fontId="14" fillId="0" borderId="2" xfId="4" applyNumberFormat="1" applyFont="1" applyFill="1" applyBorder="1" applyAlignment="1">
      <alignment horizontal="right" vertical="center"/>
    </xf>
    <xf numFmtId="10" fontId="19" fillId="10" borderId="2" xfId="4" applyNumberFormat="1" applyFont="1" applyFill="1" applyBorder="1" applyAlignment="1">
      <alignment horizontal="right" vertical="center"/>
    </xf>
    <xf numFmtId="10" fontId="19" fillId="11" borderId="1" xfId="1" applyNumberFormat="1" applyFont="1" applyFill="1" applyBorder="1" applyAlignment="1">
      <alignment vertical="center"/>
    </xf>
    <xf numFmtId="10" fontId="16" fillId="10" borderId="2" xfId="4" applyNumberFormat="1" applyFont="1" applyFill="1" applyBorder="1" applyAlignment="1">
      <alignment horizontal="right" vertical="center"/>
    </xf>
    <xf numFmtId="10" fontId="16" fillId="10" borderId="1" xfId="3" applyNumberFormat="1" applyFont="1" applyFill="1" applyBorder="1" applyAlignment="1">
      <alignment vertical="center"/>
    </xf>
    <xf numFmtId="10" fontId="16" fillId="11" borderId="1" xfId="3" applyNumberFormat="1" applyFont="1" applyFill="1" applyBorder="1" applyAlignment="1">
      <alignment vertical="center"/>
    </xf>
    <xf numFmtId="0" fontId="23" fillId="0" borderId="2" xfId="3" applyFont="1" applyFill="1" applyBorder="1" applyAlignment="1">
      <alignment horizontal="center" vertical="center"/>
    </xf>
    <xf numFmtId="0" fontId="27" fillId="0" borderId="1" xfId="1" applyFont="1" applyBorder="1" applyAlignment="1">
      <alignment horizontal="center" vertical="center" wrapText="1"/>
    </xf>
    <xf numFmtId="0" fontId="19" fillId="0" borderId="0" xfId="1" applyFont="1" applyAlignment="1">
      <alignment vertical="center"/>
    </xf>
    <xf numFmtId="0" fontId="23" fillId="0" borderId="4" xfId="3" applyFont="1" applyFill="1" applyBorder="1" applyAlignment="1">
      <alignment horizontal="center" vertical="center"/>
    </xf>
    <xf numFmtId="0" fontId="16" fillId="3" borderId="1" xfId="4" applyFont="1" applyBorder="1" applyAlignment="1">
      <alignment horizontal="center"/>
    </xf>
    <xf numFmtId="0" fontId="16" fillId="4" borderId="1" xfId="3" applyFont="1" applyBorder="1" applyAlignment="1">
      <alignment horizontal="center"/>
    </xf>
    <xf numFmtId="0" fontId="7" fillId="0" borderId="0" xfId="1" applyFont="1" applyAlignment="1">
      <alignment vertical="center"/>
    </xf>
    <xf numFmtId="0" fontId="23" fillId="10" borderId="1" xfId="3" applyFont="1" applyFill="1" applyBorder="1" applyAlignment="1">
      <alignment horizontal="center" vertical="center"/>
    </xf>
    <xf numFmtId="0" fontId="23" fillId="11" borderId="1" xfId="3" applyFont="1" applyFill="1" applyBorder="1" applyAlignment="1">
      <alignment horizontal="center" vertical="center"/>
    </xf>
    <xf numFmtId="10" fontId="23" fillId="10" borderId="1" xfId="4" applyNumberFormat="1" applyFont="1" applyFill="1" applyBorder="1" applyAlignment="1">
      <alignment horizontal="center" vertical="center" wrapText="1"/>
    </xf>
    <xf numFmtId="10" fontId="23" fillId="11" borderId="4" xfId="4" applyNumberFormat="1" applyFont="1" applyFill="1" applyBorder="1" applyAlignment="1">
      <alignment horizontal="center" vertical="center" wrapText="1"/>
    </xf>
    <xf numFmtId="10" fontId="29" fillId="7" borderId="1" xfId="2" applyNumberFormat="1" applyFont="1" applyFill="1" applyBorder="1" applyAlignment="1">
      <alignment vertical="center"/>
    </xf>
    <xf numFmtId="10" fontId="29" fillId="0" borderId="8" xfId="1" applyNumberFormat="1" applyFont="1" applyBorder="1" applyAlignment="1">
      <alignment horizontal="center" vertical="center" wrapText="1"/>
    </xf>
    <xf numFmtId="10" fontId="29" fillId="0" borderId="12" xfId="1" applyNumberFormat="1" applyFont="1" applyBorder="1" applyAlignment="1">
      <alignment horizontal="center" vertical="center" wrapText="1"/>
    </xf>
    <xf numFmtId="10" fontId="29" fillId="7" borderId="12" xfId="1" applyNumberFormat="1" applyFont="1" applyFill="1" applyBorder="1" applyAlignment="1">
      <alignment horizontal="center" vertical="center" wrapText="1"/>
    </xf>
    <xf numFmtId="10" fontId="29" fillId="6" borderId="8" xfId="1" applyNumberFormat="1" applyFont="1" applyFill="1" applyBorder="1" applyAlignment="1">
      <alignment horizontal="center" vertical="center" wrapText="1"/>
    </xf>
    <xf numFmtId="10" fontId="22" fillId="0" borderId="8" xfId="1" applyNumberFormat="1" applyBorder="1" applyAlignment="1">
      <alignment horizontal="center" vertical="center" wrapText="1"/>
    </xf>
    <xf numFmtId="0" fontId="75" fillId="14" borderId="4" xfId="1" applyFont="1" applyFill="1" applyBorder="1" applyAlignment="1">
      <alignment horizontal="center" vertical="center"/>
    </xf>
    <xf numFmtId="0" fontId="16" fillId="0" borderId="1" xfId="0" applyFont="1" applyBorder="1" applyAlignment="1">
      <alignment horizontal="center" vertical="center" wrapText="1"/>
    </xf>
    <xf numFmtId="0" fontId="0" fillId="6" borderId="0" xfId="0" applyFill="1" applyAlignment="1">
      <alignment horizontal="center"/>
    </xf>
    <xf numFmtId="176" fontId="23" fillId="4" borderId="1" xfId="3" applyNumberFormat="1" applyFont="1" applyBorder="1" applyAlignment="1">
      <alignment horizontal="center" vertical="center" wrapText="1"/>
    </xf>
    <xf numFmtId="0" fontId="39" fillId="0" borderId="1" xfId="1" applyFont="1" applyBorder="1" applyAlignment="1">
      <alignment horizontal="center" vertical="center"/>
    </xf>
    <xf numFmtId="10" fontId="29" fillId="0" borderId="1" xfId="2" applyNumberFormat="1" applyFont="1" applyFill="1" applyBorder="1" applyAlignment="1">
      <alignment vertical="center"/>
    </xf>
    <xf numFmtId="0" fontId="19" fillId="0" borderId="1" xfId="0" applyFont="1" applyBorder="1" applyAlignment="1">
      <alignment horizontal="left" vertical="center" wrapText="1"/>
    </xf>
    <xf numFmtId="0" fontId="19"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23" fillId="0" borderId="1" xfId="4" applyFont="1" applyFill="1" applyBorder="1" applyAlignment="1">
      <alignment horizontal="center" vertical="center"/>
    </xf>
    <xf numFmtId="0" fontId="23" fillId="11" borderId="1" xfId="4" applyFont="1" applyFill="1" applyBorder="1" applyAlignment="1">
      <alignment horizontal="center"/>
    </xf>
    <xf numFmtId="10" fontId="45" fillId="11" borderId="1" xfId="4" applyNumberFormat="1" applyFont="1" applyFill="1" applyBorder="1" applyAlignment="1">
      <alignment horizontal="center" vertical="center" wrapText="1"/>
    </xf>
    <xf numFmtId="0" fontId="0" fillId="0" borderId="0" xfId="0" applyAlignment="1">
      <alignment horizontal="center"/>
    </xf>
    <xf numFmtId="0" fontId="39" fillId="3" borderId="4" xfId="4" applyFont="1" applyBorder="1" applyAlignment="1">
      <alignment horizontal="center" vertical="center"/>
    </xf>
    <xf numFmtId="10" fontId="23" fillId="3" borderId="4" xfId="4" applyNumberFormat="1" applyFont="1" applyBorder="1" applyAlignment="1">
      <alignment horizontal="center" vertical="center" wrapText="1"/>
    </xf>
    <xf numFmtId="10" fontId="23" fillId="4" borderId="2" xfId="3" applyNumberFormat="1" applyFont="1" applyBorder="1" applyAlignment="1">
      <alignment horizontal="center" vertical="center" wrapText="1"/>
    </xf>
    <xf numFmtId="0" fontId="39" fillId="4" borderId="1" xfId="3" applyFont="1" applyBorder="1" applyAlignment="1">
      <alignment horizontal="center" vertical="center"/>
    </xf>
    <xf numFmtId="0" fontId="23" fillId="10" borderId="1" xfId="3" applyFont="1" applyFill="1" applyBorder="1" applyAlignment="1">
      <alignment horizontal="center" vertical="center" wrapText="1"/>
    </xf>
    <xf numFmtId="10" fontId="23" fillId="3" borderId="19" xfId="4" applyNumberFormat="1" applyFont="1" applyBorder="1" applyAlignment="1">
      <alignment horizontal="center" vertical="center" wrapText="1"/>
    </xf>
    <xf numFmtId="10" fontId="23" fillId="3" borderId="20" xfId="4" applyNumberFormat="1" applyFont="1" applyBorder="1" applyAlignment="1">
      <alignment horizontal="center" vertical="center" wrapText="1"/>
    </xf>
    <xf numFmtId="0" fontId="0" fillId="0" borderId="21" xfId="0" applyBorder="1"/>
    <xf numFmtId="0" fontId="74" fillId="0" borderId="12" xfId="1" applyFont="1" applyBorder="1"/>
    <xf numFmtId="14" fontId="74" fillId="0" borderId="12" xfId="1" applyNumberFormat="1" applyFont="1" applyBorder="1" applyAlignment="1">
      <alignment horizontal="center"/>
    </xf>
    <xf numFmtId="0" fontId="23" fillId="10" borderId="2" xfId="3" applyFont="1" applyFill="1" applyBorder="1" applyAlignment="1">
      <alignment vertical="center" wrapText="1"/>
    </xf>
    <xf numFmtId="0" fontId="23" fillId="10" borderId="1" xfId="3" applyFont="1" applyFill="1" applyBorder="1" applyAlignment="1">
      <alignment vertical="center" wrapText="1"/>
    </xf>
    <xf numFmtId="10" fontId="23" fillId="10" borderId="1" xfId="4" applyNumberFormat="1" applyFont="1" applyFill="1" applyBorder="1" applyAlignment="1">
      <alignment horizontal="center" vertical="center"/>
    </xf>
    <xf numFmtId="10" fontId="52" fillId="10" borderId="1" xfId="4" applyNumberFormat="1" applyFont="1" applyFill="1" applyBorder="1" applyAlignment="1">
      <alignment horizontal="center" vertical="center"/>
    </xf>
    <xf numFmtId="0" fontId="39" fillId="10" borderId="1" xfId="4" applyFont="1" applyFill="1" applyBorder="1" applyAlignment="1">
      <alignment horizontal="center" vertical="center"/>
    </xf>
    <xf numFmtId="10" fontId="58" fillId="0" borderId="4" xfId="2" applyNumberFormat="1" applyFont="1" applyFill="1" applyBorder="1" applyAlignment="1">
      <alignment horizontal="center" vertical="center"/>
    </xf>
    <xf numFmtId="10" fontId="58" fillId="6" borderId="4" xfId="2" applyNumberFormat="1" applyFont="1" applyFill="1" applyBorder="1" applyAlignment="1">
      <alignment horizontal="center" vertical="center"/>
    </xf>
    <xf numFmtId="10" fontId="54" fillId="6" borderId="1" xfId="2" applyNumberFormat="1" applyFont="1" applyFill="1" applyBorder="1" applyAlignment="1">
      <alignment horizontal="center" vertical="center"/>
    </xf>
    <xf numFmtId="10" fontId="26" fillId="0" borderId="1" xfId="3" applyNumberFormat="1" applyFont="1" applyFill="1" applyBorder="1" applyAlignment="1">
      <alignment horizontal="center" vertical="center"/>
    </xf>
    <xf numFmtId="10" fontId="27" fillId="7" borderId="4" xfId="2" applyNumberFormat="1" applyFont="1" applyFill="1" applyBorder="1" applyAlignment="1">
      <alignment horizontal="center" vertical="center"/>
    </xf>
    <xf numFmtId="0" fontId="6" fillId="0" borderId="0" xfId="1" applyFont="1" applyAlignment="1">
      <alignment vertical="center"/>
    </xf>
    <xf numFmtId="0" fontId="76" fillId="0" borderId="7" xfId="1" applyFont="1" applyBorder="1" applyAlignment="1">
      <alignment horizontal="center" vertical="center"/>
    </xf>
    <xf numFmtId="10" fontId="70" fillId="0" borderId="1" xfId="2" applyNumberFormat="1" applyFont="1" applyFill="1" applyBorder="1" applyAlignment="1">
      <alignment horizontal="center" vertical="center" wrapText="1"/>
    </xf>
    <xf numFmtId="181" fontId="70" fillId="0" borderId="1" xfId="1" applyNumberFormat="1" applyFont="1" applyBorder="1" applyAlignment="1">
      <alignment horizontal="center" vertical="center"/>
    </xf>
    <xf numFmtId="0" fontId="76" fillId="0" borderId="1" xfId="1" applyFont="1" applyBorder="1" applyAlignment="1">
      <alignment horizontal="center" vertical="center"/>
    </xf>
    <xf numFmtId="10" fontId="70" fillId="0" borderId="1" xfId="1" applyNumberFormat="1" applyFont="1" applyBorder="1" applyAlignment="1">
      <alignment horizontal="center" vertical="center" wrapText="1"/>
    </xf>
    <xf numFmtId="180" fontId="70" fillId="0" borderId="1" xfId="1" applyNumberFormat="1" applyFont="1" applyBorder="1" applyAlignment="1">
      <alignment horizontal="center" vertical="center"/>
    </xf>
    <xf numFmtId="0" fontId="70" fillId="0" borderId="1" xfId="1" applyFont="1" applyBorder="1"/>
    <xf numFmtId="3" fontId="70" fillId="0" borderId="1" xfId="1" applyNumberFormat="1" applyFont="1" applyBorder="1" applyAlignment="1">
      <alignment horizontal="center" vertical="center"/>
    </xf>
    <xf numFmtId="0" fontId="70" fillId="0" borderId="1" xfId="1" applyFont="1" applyBorder="1" applyAlignment="1">
      <alignment horizontal="center" vertical="center"/>
    </xf>
    <xf numFmtId="0" fontId="16" fillId="10" borderId="1" xfId="3" applyFont="1" applyFill="1" applyBorder="1"/>
    <xf numFmtId="0" fontId="16" fillId="3" borderId="1" xfId="4" applyFont="1" applyBorder="1"/>
    <xf numFmtId="0" fontId="16" fillId="4" borderId="1" xfId="3" applyFont="1" applyBorder="1"/>
    <xf numFmtId="0" fontId="16" fillId="10" borderId="1" xfId="4" applyFont="1" applyFill="1" applyBorder="1"/>
    <xf numFmtId="0" fontId="16" fillId="4" borderId="1" xfId="3" applyFont="1" applyBorder="1" applyAlignment="1">
      <alignment vertical="center"/>
    </xf>
    <xf numFmtId="0" fontId="16" fillId="11" borderId="1" xfId="3" applyFont="1" applyFill="1" applyBorder="1"/>
    <xf numFmtId="0" fontId="16" fillId="11" borderId="1" xfId="4" applyFont="1" applyFill="1" applyBorder="1"/>
    <xf numFmtId="10" fontId="16" fillId="10" borderId="1" xfId="4" applyNumberFormat="1" applyFont="1" applyFill="1" applyBorder="1" applyAlignment="1">
      <alignment horizontal="right" vertical="center"/>
    </xf>
    <xf numFmtId="0" fontId="16" fillId="3" borderId="4" xfId="4" applyFont="1" applyBorder="1"/>
    <xf numFmtId="0" fontId="23" fillId="11" borderId="1" xfId="4" applyFont="1" applyFill="1" applyBorder="1" applyAlignment="1"/>
    <xf numFmtId="0" fontId="23" fillId="4" borderId="1" xfId="3" applyFont="1" applyBorder="1" applyAlignment="1"/>
    <xf numFmtId="0" fontId="23" fillId="0" borderId="1" xfId="3" applyFont="1" applyFill="1" applyBorder="1" applyAlignment="1">
      <alignment vertical="center" wrapText="1"/>
    </xf>
    <xf numFmtId="0" fontId="39" fillId="14" borderId="4" xfId="1" applyFont="1" applyFill="1" applyBorder="1" applyAlignment="1">
      <alignment horizontal="center" vertical="center"/>
    </xf>
    <xf numFmtId="0" fontId="47" fillId="0" borderId="8" xfId="1" applyFont="1" applyBorder="1" applyAlignment="1">
      <alignment horizontal="left" vertical="center"/>
    </xf>
    <xf numFmtId="0" fontId="47" fillId="0" borderId="7" xfId="1" applyFont="1" applyBorder="1" applyAlignment="1">
      <alignment horizontal="left" vertical="center"/>
    </xf>
    <xf numFmtId="10" fontId="23" fillId="0" borderId="1" xfId="2" applyNumberFormat="1" applyFont="1" applyFill="1" applyBorder="1" applyAlignment="1"/>
    <xf numFmtId="10" fontId="77" fillId="11" borderId="1" xfId="4" applyNumberFormat="1" applyFont="1" applyFill="1" applyBorder="1" applyAlignment="1">
      <alignment horizontal="center" vertical="center"/>
    </xf>
    <xf numFmtId="10" fontId="23" fillId="7" borderId="4" xfId="2" applyNumberFormat="1" applyFont="1" applyFill="1" applyBorder="1" applyAlignment="1">
      <alignment horizontal="center" vertical="center"/>
    </xf>
    <xf numFmtId="0" fontId="24" fillId="0" borderId="0" xfId="1" applyFont="1"/>
    <xf numFmtId="10" fontId="16" fillId="11" borderId="1" xfId="4" applyNumberFormat="1" applyFont="1" applyFill="1" applyBorder="1"/>
    <xf numFmtId="10" fontId="16" fillId="11" borderId="1" xfId="4" applyNumberFormat="1" applyFont="1" applyFill="1" applyBorder="1" applyAlignment="1">
      <alignment vertical="center"/>
    </xf>
    <xf numFmtId="10" fontId="24" fillId="10" borderId="1" xfId="3" applyNumberFormat="1" applyFont="1" applyFill="1" applyBorder="1" applyAlignment="1">
      <alignment horizontal="center" vertical="center" wrapText="1"/>
    </xf>
    <xf numFmtId="10" fontId="24" fillId="11" borderId="1" xfId="4" applyNumberFormat="1" applyFont="1" applyFill="1" applyBorder="1" applyAlignment="1">
      <alignment horizontal="center" vertical="center"/>
    </xf>
    <xf numFmtId="10" fontId="24" fillId="4" borderId="1" xfId="3" applyNumberFormat="1" applyFont="1" applyBorder="1" applyAlignment="1">
      <alignment horizontal="center" vertical="center" wrapText="1"/>
    </xf>
    <xf numFmtId="10" fontId="24" fillId="4" borderId="1" xfId="3" applyNumberFormat="1" applyFont="1" applyBorder="1" applyAlignment="1">
      <alignment horizontal="center" vertical="center"/>
    </xf>
    <xf numFmtId="10" fontId="24" fillId="3" borderId="1" xfId="4" applyNumberFormat="1" applyFont="1" applyBorder="1" applyAlignment="1">
      <alignment horizontal="center" vertical="center"/>
    </xf>
    <xf numFmtId="0" fontId="27" fillId="0" borderId="2" xfId="1" applyFont="1" applyBorder="1" applyAlignment="1">
      <alignment horizontal="center" vertical="center"/>
    </xf>
    <xf numFmtId="0" fontId="27" fillId="0" borderId="1" xfId="1" applyFont="1" applyBorder="1" applyAlignment="1">
      <alignment horizontal="center" vertical="center"/>
    </xf>
    <xf numFmtId="0" fontId="27" fillId="0" borderId="4" xfId="1" applyFont="1" applyBorder="1" applyAlignment="1">
      <alignment horizontal="center" vertical="center"/>
    </xf>
    <xf numFmtId="0" fontId="47" fillId="0" borderId="6" xfId="1" applyFont="1" applyBorder="1" applyAlignment="1">
      <alignment horizontal="left" vertical="center"/>
    </xf>
    <xf numFmtId="0" fontId="29" fillId="0" borderId="2" xfId="3" applyFont="1" applyFill="1" applyBorder="1" applyAlignment="1">
      <alignment horizontal="center" vertical="center"/>
    </xf>
    <xf numFmtId="0" fontId="29" fillId="0" borderId="1" xfId="3" applyFont="1" applyFill="1" applyBorder="1" applyAlignment="1">
      <alignment horizontal="center" vertical="center"/>
    </xf>
    <xf numFmtId="0" fontId="29" fillId="0" borderId="1" xfId="4" applyFont="1" applyFill="1" applyBorder="1" applyAlignment="1">
      <alignment horizontal="center" vertical="center"/>
    </xf>
    <xf numFmtId="0" fontId="39" fillId="4" borderId="2" xfId="3" applyFont="1" applyBorder="1" applyAlignment="1">
      <alignment horizontal="center" vertical="center"/>
    </xf>
    <xf numFmtId="0" fontId="16" fillId="4" borderId="1" xfId="3" applyFont="1" applyBorder="1" applyAlignment="1">
      <alignment horizontal="center" vertical="center"/>
    </xf>
    <xf numFmtId="0" fontId="16" fillId="3" borderId="1" xfId="4" applyFont="1" applyBorder="1" applyAlignment="1">
      <alignment horizontal="center" vertical="center"/>
    </xf>
    <xf numFmtId="10" fontId="29" fillId="0" borderId="1" xfId="2" applyNumberFormat="1" applyFont="1" applyFill="1" applyBorder="1" applyAlignment="1">
      <alignment horizontal="center" vertical="center" wrapText="1"/>
    </xf>
    <xf numFmtId="0" fontId="39" fillId="11" borderId="4" xfId="4" applyFont="1" applyFill="1" applyBorder="1" applyAlignment="1">
      <alignment horizontal="center" vertical="center"/>
    </xf>
    <xf numFmtId="2" fontId="27" fillId="10" borderId="6" xfId="3" applyNumberFormat="1" applyFont="1" applyFill="1" applyBorder="1" applyAlignment="1">
      <alignment horizontal="center" vertical="center"/>
    </xf>
    <xf numFmtId="10" fontId="7" fillId="0" borderId="4" xfId="3" applyNumberFormat="1" applyFont="1" applyFill="1" applyBorder="1" applyAlignment="1">
      <alignment horizontal="center" vertical="center"/>
    </xf>
    <xf numFmtId="10" fontId="9" fillId="0" borderId="4" xfId="3" applyNumberFormat="1" applyFont="1" applyFill="1" applyBorder="1" applyAlignment="1">
      <alignment horizontal="center" vertical="center"/>
    </xf>
    <xf numFmtId="10" fontId="59" fillId="7" borderId="4" xfId="2" applyNumberFormat="1" applyFont="1" applyFill="1" applyBorder="1" applyAlignment="1">
      <alignment horizontal="center" vertical="center"/>
    </xf>
    <xf numFmtId="0" fontId="22" fillId="7" borderId="3" xfId="1" applyFill="1" applyBorder="1" applyAlignment="1">
      <alignment horizontal="center" vertical="center"/>
    </xf>
    <xf numFmtId="10" fontId="11" fillId="0" borderId="4" xfId="3" applyNumberFormat="1" applyFont="1" applyFill="1" applyBorder="1" applyAlignment="1">
      <alignment horizontal="center" vertical="center"/>
    </xf>
    <xf numFmtId="0" fontId="23" fillId="0" borderId="1" xfId="4" applyFont="1" applyFill="1" applyBorder="1" applyAlignment="1">
      <alignment horizontal="left" vertical="center"/>
    </xf>
    <xf numFmtId="0" fontId="5" fillId="0" borderId="0" xfId="1" applyFont="1"/>
    <xf numFmtId="10" fontId="5" fillId="3" borderId="1" xfId="4" applyNumberFormat="1" applyFont="1" applyBorder="1" applyAlignment="1">
      <alignment horizontal="center" vertical="center" wrapText="1"/>
    </xf>
    <xf numFmtId="10" fontId="5" fillId="4" borderId="1" xfId="3" applyNumberFormat="1" applyFont="1" applyBorder="1" applyAlignment="1">
      <alignment horizontal="center" vertical="center" wrapText="1"/>
    </xf>
    <xf numFmtId="10" fontId="5" fillId="10" borderId="1" xfId="3" applyNumberFormat="1" applyFont="1" applyFill="1" applyBorder="1" applyAlignment="1">
      <alignment horizontal="center" vertical="center" wrapText="1"/>
    </xf>
    <xf numFmtId="0" fontId="5" fillId="10" borderId="1" xfId="3" applyFont="1" applyFill="1" applyBorder="1" applyAlignment="1">
      <alignment horizontal="center" vertical="center"/>
    </xf>
    <xf numFmtId="0" fontId="5" fillId="11" borderId="1" xfId="3" applyFont="1" applyFill="1" applyBorder="1" applyAlignment="1">
      <alignment horizontal="center" vertical="center"/>
    </xf>
    <xf numFmtId="10" fontId="5" fillId="11" borderId="1" xfId="3" applyNumberFormat="1" applyFont="1" applyFill="1" applyBorder="1" applyAlignment="1">
      <alignment horizontal="center" vertical="center" wrapText="1"/>
    </xf>
    <xf numFmtId="10" fontId="5" fillId="10" borderId="1" xfId="4" applyNumberFormat="1" applyFont="1" applyFill="1" applyBorder="1" applyAlignment="1">
      <alignment horizontal="center" vertical="center" wrapText="1"/>
    </xf>
    <xf numFmtId="10" fontId="5" fillId="11" borderId="1" xfId="4" applyNumberFormat="1" applyFont="1" applyFill="1" applyBorder="1" applyAlignment="1">
      <alignment horizontal="center" vertical="center" wrapText="1"/>
    </xf>
    <xf numFmtId="0" fontId="28" fillId="3" borderId="1" xfId="4" applyFont="1" applyBorder="1" applyAlignment="1">
      <alignment horizontal="center" vertical="center"/>
    </xf>
    <xf numFmtId="0" fontId="28" fillId="11" borderId="4" xfId="4" applyFont="1" applyFill="1" applyBorder="1" applyAlignment="1">
      <alignment horizontal="center" vertical="center"/>
    </xf>
    <xf numFmtId="0" fontId="28" fillId="4" borderId="2" xfId="3" applyFont="1" applyBorder="1" applyAlignment="1">
      <alignment horizontal="center" vertical="center"/>
    </xf>
    <xf numFmtId="10" fontId="24" fillId="3" borderId="6" xfId="4" applyNumberFormat="1" applyFont="1" applyBorder="1" applyAlignment="1">
      <alignment horizontal="center" vertical="center"/>
    </xf>
    <xf numFmtId="0" fontId="25" fillId="0" borderId="0" xfId="1" applyFont="1" applyAlignment="1">
      <alignment wrapText="1"/>
    </xf>
    <xf numFmtId="0" fontId="5" fillId="0" borderId="0" xfId="1" applyFont="1" applyAlignment="1">
      <alignment vertical="center"/>
    </xf>
    <xf numFmtId="0" fontId="23" fillId="0" borderId="4" xfId="4" applyFont="1" applyFill="1" applyBorder="1" applyAlignment="1">
      <alignment horizontal="center" vertical="center"/>
    </xf>
    <xf numFmtId="10" fontId="5" fillId="6" borderId="1" xfId="2" applyNumberFormat="1" applyFont="1" applyFill="1" applyBorder="1"/>
    <xf numFmtId="10" fontId="5" fillId="0" borderId="1" xfId="2" applyNumberFormat="1" applyFont="1" applyFill="1" applyBorder="1"/>
    <xf numFmtId="177" fontId="5" fillId="0" borderId="1" xfId="2" applyNumberFormat="1" applyFont="1" applyFill="1" applyBorder="1"/>
    <xf numFmtId="10" fontId="5" fillId="0" borderId="1" xfId="4" applyNumberFormat="1" applyFont="1" applyFill="1" applyBorder="1" applyAlignment="1">
      <alignment vertical="center"/>
    </xf>
    <xf numFmtId="10" fontId="24" fillId="11" borderId="1" xfId="4" applyNumberFormat="1" applyFont="1" applyFill="1" applyBorder="1" applyAlignment="1">
      <alignment horizontal="center" vertical="center" wrapText="1"/>
    </xf>
    <xf numFmtId="10" fontId="24" fillId="3" borderId="1" xfId="4" applyNumberFormat="1" applyFont="1" applyBorder="1" applyAlignment="1">
      <alignment horizontal="center" vertical="center" wrapText="1"/>
    </xf>
    <xf numFmtId="178" fontId="29" fillId="7" borderId="2" xfId="1" applyNumberFormat="1" applyFont="1" applyFill="1" applyBorder="1" applyAlignment="1">
      <alignment horizontal="center" vertical="center" wrapText="1"/>
    </xf>
    <xf numFmtId="10" fontId="24" fillId="10" borderId="1" xfId="3" applyNumberFormat="1" applyFont="1" applyFill="1" applyBorder="1" applyAlignment="1">
      <alignment horizontal="center" vertical="center"/>
    </xf>
    <xf numFmtId="10" fontId="24" fillId="4" borderId="6" xfId="3" applyNumberFormat="1" applyFont="1" applyBorder="1" applyAlignment="1">
      <alignment horizontal="center" vertical="center"/>
    </xf>
    <xf numFmtId="178" fontId="29" fillId="0" borderId="2" xfId="1" applyNumberFormat="1" applyFont="1" applyBorder="1" applyAlignment="1">
      <alignment horizontal="center" vertical="center" wrapText="1"/>
    </xf>
    <xf numFmtId="10" fontId="23" fillId="0" borderId="0" xfId="2" applyNumberFormat="1" applyFont="1" applyFill="1" applyBorder="1" applyAlignment="1">
      <alignment horizontal="center" vertical="center"/>
    </xf>
    <xf numFmtId="10" fontId="23" fillId="7" borderId="0" xfId="2" applyNumberFormat="1" applyFont="1" applyFill="1" applyBorder="1" applyAlignment="1">
      <alignment horizontal="center" vertical="center"/>
    </xf>
    <xf numFmtId="10" fontId="23" fillId="6" borderId="0" xfId="2" applyNumberFormat="1" applyFont="1" applyFill="1" applyBorder="1" applyAlignment="1">
      <alignment horizontal="center" vertical="center"/>
    </xf>
    <xf numFmtId="10" fontId="22" fillId="6" borderId="0" xfId="2" applyNumberFormat="1" applyFont="1" applyFill="1" applyBorder="1" applyAlignment="1">
      <alignment horizontal="center" vertical="center"/>
    </xf>
    <xf numFmtId="10" fontId="22" fillId="7" borderId="0" xfId="2" applyNumberFormat="1" applyFont="1" applyFill="1" applyBorder="1" applyAlignment="1">
      <alignment horizontal="center" vertical="center"/>
    </xf>
    <xf numFmtId="10" fontId="22" fillId="0" borderId="0" xfId="2" applyNumberFormat="1" applyFont="1" applyFill="1" applyBorder="1" applyAlignment="1">
      <alignment horizontal="center" vertical="center"/>
    </xf>
    <xf numFmtId="0" fontId="16" fillId="7" borderId="1" xfId="6" applyNumberFormat="1" applyFont="1" applyBorder="1" applyAlignment="1">
      <alignment horizontal="left" vertical="center" wrapText="1"/>
    </xf>
    <xf numFmtId="0" fontId="16" fillId="0" borderId="1" xfId="6" applyNumberFormat="1" applyFont="1" applyFill="1" applyBorder="1" applyAlignment="1">
      <alignment horizontal="left" vertical="center" wrapText="1"/>
    </xf>
    <xf numFmtId="178" fontId="23" fillId="0" borderId="0" xfId="1" applyNumberFormat="1" applyFont="1"/>
    <xf numFmtId="10" fontId="23" fillId="7" borderId="1" xfId="6" applyNumberFormat="1" applyFont="1" applyBorder="1" applyAlignment="1"/>
    <xf numFmtId="10" fontId="4" fillId="0" borderId="1" xfId="3" applyNumberFormat="1" applyFont="1" applyFill="1" applyBorder="1" applyAlignment="1">
      <alignment vertical="center"/>
    </xf>
    <xf numFmtId="10" fontId="23" fillId="7" borderId="1" xfId="6" applyNumberFormat="1" applyFont="1" applyBorder="1" applyAlignment="1">
      <alignment horizontal="center" vertical="center"/>
    </xf>
    <xf numFmtId="10" fontId="29" fillId="0" borderId="1" xfId="6" applyNumberFormat="1" applyFont="1" applyFill="1" applyBorder="1" applyAlignment="1"/>
    <xf numFmtId="10" fontId="23" fillId="0" borderId="1" xfId="6" applyNumberFormat="1" applyFont="1" applyFill="1" applyBorder="1" applyAlignment="1"/>
    <xf numFmtId="10" fontId="23" fillId="0" borderId="1" xfId="6" applyNumberFormat="1" applyFont="1" applyFill="1" applyBorder="1" applyAlignment="1">
      <alignment horizontal="center" vertical="center" wrapText="1"/>
    </xf>
    <xf numFmtId="178" fontId="23" fillId="0" borderId="1" xfId="2" applyNumberFormat="1" applyFont="1" applyFill="1" applyBorder="1" applyAlignment="1">
      <alignment horizontal="center" vertical="center"/>
    </xf>
    <xf numFmtId="3" fontId="22" fillId="0" borderId="1" xfId="1" applyNumberFormat="1" applyBorder="1" applyAlignment="1">
      <alignment horizontal="center" vertical="center"/>
    </xf>
    <xf numFmtId="0" fontId="29" fillId="0" borderId="4" xfId="1" applyFont="1" applyBorder="1" applyAlignment="1">
      <alignment horizontal="center" vertical="center" wrapText="1"/>
    </xf>
    <xf numFmtId="0" fontId="29" fillId="0" borderId="2" xfId="1" applyFont="1" applyBorder="1" applyAlignment="1">
      <alignment horizontal="center" vertical="center" wrapText="1"/>
    </xf>
    <xf numFmtId="10" fontId="29" fillId="0" borderId="2" xfId="1" applyNumberFormat="1" applyFont="1" applyBorder="1" applyAlignment="1">
      <alignment horizontal="center" vertical="center"/>
    </xf>
    <xf numFmtId="10" fontId="29" fillId="0" borderId="4" xfId="1" applyNumberFormat="1" applyFont="1" applyBorder="1" applyAlignment="1">
      <alignment horizontal="center" vertical="center" wrapText="1"/>
    </xf>
    <xf numFmtId="0" fontId="29" fillId="6" borderId="4" xfId="1" applyFont="1" applyFill="1" applyBorder="1" applyAlignment="1">
      <alignment horizontal="center" vertical="center" wrapText="1"/>
    </xf>
    <xf numFmtId="0" fontId="29" fillId="6" borderId="2" xfId="1" applyFont="1" applyFill="1" applyBorder="1" applyAlignment="1">
      <alignment horizontal="center" vertical="center" wrapText="1"/>
    </xf>
    <xf numFmtId="10" fontId="29" fillId="6" borderId="2" xfId="1" applyNumberFormat="1" applyFont="1" applyFill="1" applyBorder="1" applyAlignment="1">
      <alignment horizontal="center" vertical="center"/>
    </xf>
    <xf numFmtId="10" fontId="29" fillId="6" borderId="4" xfId="1" applyNumberFormat="1" applyFont="1" applyFill="1" applyBorder="1" applyAlignment="1">
      <alignment horizontal="center" vertical="center" wrapText="1"/>
    </xf>
    <xf numFmtId="10" fontId="23" fillId="7" borderId="4" xfId="1" applyNumberFormat="1" applyFont="1" applyFill="1" applyBorder="1" applyAlignment="1">
      <alignment horizontal="center" vertical="center" wrapText="1"/>
    </xf>
    <xf numFmtId="10" fontId="23" fillId="0" borderId="4" xfId="1" applyNumberFormat="1" applyFont="1" applyBorder="1" applyAlignment="1">
      <alignment horizontal="center" vertical="center" wrapText="1"/>
    </xf>
    <xf numFmtId="10" fontId="23" fillId="0" borderId="2" xfId="2" applyNumberFormat="1" applyFont="1" applyFill="1" applyBorder="1" applyAlignment="1">
      <alignment horizontal="center" vertical="center"/>
    </xf>
    <xf numFmtId="10" fontId="23" fillId="0" borderId="2" xfId="1" applyNumberFormat="1" applyFont="1" applyBorder="1" applyAlignment="1">
      <alignment horizontal="center" vertical="center"/>
    </xf>
    <xf numFmtId="10" fontId="22" fillId="0" borderId="2" xfId="3" applyNumberFormat="1" applyFill="1" applyBorder="1" applyAlignment="1">
      <alignment horizontal="center" vertical="center"/>
    </xf>
    <xf numFmtId="10" fontId="29" fillId="7" borderId="1" xfId="6" applyNumberFormat="1" applyFont="1" applyBorder="1" applyAlignment="1">
      <alignment horizontal="center" vertical="center"/>
    </xf>
    <xf numFmtId="10" fontId="23" fillId="0" borderId="1" xfId="6" applyNumberFormat="1" applyFont="1" applyFill="1" applyBorder="1" applyAlignment="1">
      <alignment horizontal="center" vertical="center"/>
    </xf>
    <xf numFmtId="10" fontId="3" fillId="3" borderId="1" xfId="4" applyNumberFormat="1" applyFont="1" applyBorder="1" applyAlignment="1">
      <alignment horizontal="center" vertical="center" wrapText="1"/>
    </xf>
    <xf numFmtId="10" fontId="3" fillId="4" borderId="1" xfId="3" applyNumberFormat="1" applyFont="1" applyBorder="1" applyAlignment="1">
      <alignment horizontal="center" vertical="center"/>
    </xf>
    <xf numFmtId="0" fontId="3" fillId="0" borderId="0" xfId="1" applyFont="1"/>
    <xf numFmtId="0" fontId="78" fillId="0" borderId="1" xfId="7" applyFill="1" applyBorder="1" applyAlignment="1">
      <alignment horizontal="center" vertical="center"/>
    </xf>
    <xf numFmtId="10" fontId="78" fillId="0" borderId="1" xfId="7" applyNumberFormat="1" applyFill="1" applyBorder="1" applyAlignment="1">
      <alignment horizontal="center"/>
    </xf>
    <xf numFmtId="10" fontId="43" fillId="0" borderId="4" xfId="1" applyNumberFormat="1" applyFont="1" applyBorder="1" applyAlignment="1">
      <alignment horizontal="center" vertical="center"/>
    </xf>
    <xf numFmtId="10" fontId="43" fillId="0" borderId="4" xfId="1" applyNumberFormat="1" applyFont="1" applyBorder="1" applyAlignment="1">
      <alignment horizontal="center" vertical="center" wrapText="1"/>
    </xf>
    <xf numFmtId="10" fontId="29" fillId="0" borderId="1" xfId="6" applyNumberFormat="1" applyFont="1" applyFill="1" applyBorder="1" applyAlignment="1">
      <alignment horizontal="center" vertical="center" wrapText="1"/>
    </xf>
    <xf numFmtId="10" fontId="29" fillId="0" borderId="1" xfId="6" applyNumberFormat="1" applyFont="1" applyFill="1" applyBorder="1" applyAlignment="1">
      <alignment horizontal="center" vertical="center"/>
    </xf>
    <xf numFmtId="10" fontId="29" fillId="7" borderId="1" xfId="6" applyNumberFormat="1" applyFont="1" applyBorder="1" applyAlignment="1">
      <alignment horizontal="center" vertical="center" wrapText="1"/>
    </xf>
    <xf numFmtId="10" fontId="29" fillId="0" borderId="4" xfId="6" applyNumberFormat="1" applyFont="1" applyFill="1" applyBorder="1" applyAlignment="1">
      <alignment horizontal="center" vertical="center"/>
    </xf>
    <xf numFmtId="10" fontId="43" fillId="0" borderId="1" xfId="6" applyNumberFormat="1" applyFont="1" applyFill="1" applyBorder="1" applyAlignment="1">
      <alignment horizontal="center" vertical="center"/>
    </xf>
    <xf numFmtId="10" fontId="29" fillId="7" borderId="1" xfId="6" applyNumberFormat="1" applyFont="1" applyBorder="1" applyAlignment="1">
      <alignment vertical="center"/>
    </xf>
    <xf numFmtId="10" fontId="29" fillId="7" borderId="1" xfId="6" applyNumberFormat="1" applyFont="1" applyBorder="1" applyAlignment="1"/>
    <xf numFmtId="10" fontId="16" fillId="7" borderId="1" xfId="6" applyNumberFormat="1" applyFont="1" applyBorder="1" applyAlignment="1"/>
    <xf numFmtId="10" fontId="23" fillId="7" borderId="1" xfId="6" applyNumberFormat="1" applyFont="1" applyBorder="1" applyAlignment="1">
      <alignment vertical="center"/>
    </xf>
    <xf numFmtId="10" fontId="23" fillId="0" borderId="1" xfId="6" applyNumberFormat="1" applyFont="1" applyFill="1" applyBorder="1" applyAlignment="1">
      <alignment vertical="center"/>
    </xf>
    <xf numFmtId="10" fontId="29" fillId="7" borderId="4" xfId="6" applyNumberFormat="1" applyFont="1" applyBorder="1" applyAlignment="1">
      <alignment horizontal="center" vertical="center"/>
    </xf>
    <xf numFmtId="10" fontId="2" fillId="4" borderId="1" xfId="3" applyNumberFormat="1" applyFont="1" applyBorder="1" applyAlignment="1">
      <alignment horizontal="center" vertical="center" wrapText="1"/>
    </xf>
    <xf numFmtId="10" fontId="2" fillId="11" borderId="1" xfId="4" applyNumberFormat="1" applyFont="1" applyFill="1" applyBorder="1" applyAlignment="1"/>
    <xf numFmtId="10" fontId="2" fillId="10" borderId="1" xfId="3" applyNumberFormat="1" applyFont="1" applyFill="1" applyBorder="1" applyAlignment="1">
      <alignment horizontal="center" vertical="center" wrapText="1"/>
    </xf>
    <xf numFmtId="0" fontId="16" fillId="7" borderId="1" xfId="0" applyFont="1" applyFill="1" applyBorder="1" applyAlignment="1">
      <alignment horizontal="left" vertical="center" wrapText="1"/>
    </xf>
    <xf numFmtId="177" fontId="24" fillId="4" borderId="6" xfId="3" applyNumberFormat="1" applyFont="1" applyBorder="1" applyAlignment="1">
      <alignment horizontal="center" vertical="center"/>
    </xf>
    <xf numFmtId="0" fontId="28" fillId="4" borderId="4" xfId="3" applyFont="1" applyBorder="1" applyAlignment="1">
      <alignment horizontal="center" vertical="center"/>
    </xf>
    <xf numFmtId="0" fontId="28" fillId="4" borderId="3" xfId="3" applyFont="1" applyBorder="1" applyAlignment="1">
      <alignment horizontal="center" vertical="center"/>
    </xf>
    <xf numFmtId="0" fontId="28" fillId="4" borderId="2" xfId="3" applyFont="1" applyBorder="1" applyAlignment="1">
      <alignment horizontal="center" vertical="center"/>
    </xf>
    <xf numFmtId="10" fontId="23" fillId="4" borderId="4" xfId="3" applyNumberFormat="1" applyFont="1" applyBorder="1" applyAlignment="1">
      <alignment horizontal="center" vertical="center" wrapText="1"/>
    </xf>
    <xf numFmtId="10" fontId="23" fillId="4" borderId="3" xfId="3" applyNumberFormat="1" applyFont="1" applyBorder="1" applyAlignment="1">
      <alignment horizontal="center" vertical="center" wrapText="1"/>
    </xf>
    <xf numFmtId="10" fontId="23" fillId="4" borderId="2" xfId="3" applyNumberFormat="1" applyFont="1" applyBorder="1" applyAlignment="1">
      <alignment horizontal="center" vertical="center" wrapText="1"/>
    </xf>
    <xf numFmtId="0" fontId="74" fillId="0" borderId="12" xfId="1" applyFont="1" applyBorder="1" applyAlignment="1">
      <alignment horizontal="right"/>
    </xf>
    <xf numFmtId="14" fontId="74" fillId="0" borderId="12" xfId="1" applyNumberFormat="1" applyFont="1" applyBorder="1" applyAlignment="1">
      <alignment horizontal="left"/>
    </xf>
    <xf numFmtId="0" fontId="74" fillId="0" borderId="12" xfId="1" applyFont="1" applyBorder="1" applyAlignment="1">
      <alignment horizontal="left"/>
    </xf>
    <xf numFmtId="0" fontId="28" fillId="3" borderId="4" xfId="4" applyFont="1" applyBorder="1" applyAlignment="1">
      <alignment horizontal="center" vertical="center"/>
    </xf>
    <xf numFmtId="0" fontId="28" fillId="3" borderId="3" xfId="4" applyFont="1" applyBorder="1" applyAlignment="1">
      <alignment horizontal="center" vertical="center"/>
    </xf>
    <xf numFmtId="0" fontId="28" fillId="3" borderId="2" xfId="4" applyFont="1" applyBorder="1" applyAlignment="1">
      <alignment horizontal="center" vertical="center"/>
    </xf>
    <xf numFmtId="10" fontId="23" fillId="3" borderId="4" xfId="4" applyNumberFormat="1" applyFont="1" applyBorder="1" applyAlignment="1">
      <alignment horizontal="center" vertical="center" wrapText="1"/>
    </xf>
    <xf numFmtId="10" fontId="23" fillId="3" borderId="3" xfId="4" applyNumberFormat="1" applyFont="1" applyBorder="1" applyAlignment="1">
      <alignment horizontal="center" vertical="center" wrapText="1"/>
    </xf>
    <xf numFmtId="10" fontId="23" fillId="3" borderId="2" xfId="4" applyNumberFormat="1" applyFont="1" applyBorder="1" applyAlignment="1">
      <alignment horizontal="center" vertical="center" wrapText="1"/>
    </xf>
    <xf numFmtId="0" fontId="28" fillId="11" borderId="4" xfId="3" applyFont="1" applyFill="1" applyBorder="1" applyAlignment="1">
      <alignment horizontal="center" vertical="center"/>
    </xf>
    <xf numFmtId="0" fontId="28" fillId="11" borderId="3" xfId="3" applyFont="1" applyFill="1" applyBorder="1" applyAlignment="1">
      <alignment horizontal="center" vertical="center"/>
    </xf>
    <xf numFmtId="0" fontId="28" fillId="11" borderId="2" xfId="3" applyFont="1" applyFill="1" applyBorder="1" applyAlignment="1">
      <alignment horizontal="center" vertical="center"/>
    </xf>
    <xf numFmtId="0" fontId="23" fillId="11" borderId="4" xfId="3" applyFont="1" applyFill="1" applyBorder="1" applyAlignment="1">
      <alignment horizontal="center" vertical="center"/>
    </xf>
    <xf numFmtId="0" fontId="23" fillId="11" borderId="3" xfId="3" applyFont="1" applyFill="1" applyBorder="1" applyAlignment="1">
      <alignment horizontal="center" vertical="center"/>
    </xf>
    <xf numFmtId="0" fontId="23" fillId="11" borderId="2" xfId="3" applyFont="1" applyFill="1" applyBorder="1" applyAlignment="1">
      <alignment horizontal="center" vertical="center"/>
    </xf>
    <xf numFmtId="0" fontId="28" fillId="10" borderId="4" xfId="3" applyFont="1" applyFill="1" applyBorder="1" applyAlignment="1">
      <alignment horizontal="center" vertical="center"/>
    </xf>
    <xf numFmtId="0" fontId="28" fillId="10" borderId="3" xfId="3" applyFont="1" applyFill="1" applyBorder="1" applyAlignment="1">
      <alignment horizontal="center" vertical="center"/>
    </xf>
    <xf numFmtId="0" fontId="28" fillId="10" borderId="2" xfId="3" applyFont="1" applyFill="1" applyBorder="1" applyAlignment="1">
      <alignment horizontal="center" vertical="center"/>
    </xf>
    <xf numFmtId="10" fontId="23" fillId="10" borderId="4" xfId="3" applyNumberFormat="1" applyFont="1" applyFill="1" applyBorder="1" applyAlignment="1">
      <alignment horizontal="center" vertical="center" wrapText="1"/>
    </xf>
    <xf numFmtId="10" fontId="23" fillId="10" borderId="3" xfId="3" applyNumberFormat="1" applyFont="1" applyFill="1" applyBorder="1" applyAlignment="1">
      <alignment horizontal="center" vertical="center" wrapText="1"/>
    </xf>
    <xf numFmtId="10" fontId="23" fillId="11" borderId="4" xfId="3" applyNumberFormat="1" applyFont="1" applyFill="1" applyBorder="1" applyAlignment="1">
      <alignment horizontal="center" vertical="center" wrapText="1"/>
    </xf>
    <xf numFmtId="10" fontId="23" fillId="11" borderId="2" xfId="3" applyNumberFormat="1" applyFont="1" applyFill="1" applyBorder="1" applyAlignment="1">
      <alignment horizontal="center" vertical="center" wrapText="1"/>
    </xf>
    <xf numFmtId="0" fontId="23" fillId="10" borderId="4" xfId="3" applyFont="1" applyFill="1" applyBorder="1" applyAlignment="1">
      <alignment horizontal="center" vertical="center" wrapText="1"/>
    </xf>
    <xf numFmtId="0" fontId="23" fillId="10" borderId="3" xfId="3" applyFont="1" applyFill="1" applyBorder="1" applyAlignment="1">
      <alignment horizontal="center" vertical="center"/>
    </xf>
    <xf numFmtId="0" fontId="23" fillId="10" borderId="2" xfId="3" applyFont="1" applyFill="1" applyBorder="1" applyAlignment="1">
      <alignment horizontal="center" vertical="center"/>
    </xf>
    <xf numFmtId="0" fontId="62" fillId="0" borderId="17" xfId="1" applyFont="1" applyBorder="1" applyAlignment="1">
      <alignment horizontal="center"/>
    </xf>
    <xf numFmtId="0" fontId="31" fillId="0" borderId="6" xfId="1" applyFont="1" applyBorder="1" applyAlignment="1">
      <alignment horizontal="right" vertical="center" wrapText="1"/>
    </xf>
    <xf numFmtId="0" fontId="31" fillId="0" borderId="8" xfId="1" applyFont="1" applyBorder="1" applyAlignment="1">
      <alignment horizontal="right" vertical="center" wrapText="1"/>
    </xf>
    <xf numFmtId="0" fontId="26" fillId="0" borderId="4" xfId="1" applyFont="1" applyBorder="1" applyAlignment="1">
      <alignment horizontal="center" vertical="center"/>
    </xf>
    <xf numFmtId="0" fontId="26" fillId="0" borderId="2" xfId="1" applyFont="1" applyBorder="1" applyAlignment="1">
      <alignment horizontal="center" vertical="center"/>
    </xf>
    <xf numFmtId="0" fontId="31" fillId="0" borderId="6" xfId="1" applyFont="1" applyBorder="1" applyAlignment="1">
      <alignment horizontal="center"/>
    </xf>
    <xf numFmtId="0" fontId="31" fillId="0" borderId="8" xfId="1" applyFont="1" applyBorder="1" applyAlignment="1">
      <alignment horizontal="center"/>
    </xf>
    <xf numFmtId="0" fontId="31" fillId="0" borderId="7" xfId="1" applyFont="1" applyBorder="1" applyAlignment="1">
      <alignment horizontal="center"/>
    </xf>
    <xf numFmtId="10" fontId="23" fillId="16" borderId="6" xfId="1" applyNumberFormat="1" applyFont="1" applyFill="1" applyBorder="1" applyAlignment="1">
      <alignment horizontal="left" vertical="center"/>
    </xf>
    <xf numFmtId="10" fontId="23" fillId="16" borderId="8" xfId="1" applyNumberFormat="1" applyFont="1" applyFill="1" applyBorder="1" applyAlignment="1">
      <alignment horizontal="left" vertical="center"/>
    </xf>
    <xf numFmtId="10" fontId="23" fillId="16" borderId="7" xfId="1" applyNumberFormat="1" applyFont="1" applyFill="1" applyBorder="1" applyAlignment="1">
      <alignment horizontal="left" vertical="center"/>
    </xf>
    <xf numFmtId="14" fontId="31" fillId="0" borderId="8" xfId="1" applyNumberFormat="1" applyFont="1" applyBorder="1" applyAlignment="1">
      <alignment horizontal="left" vertical="center"/>
    </xf>
    <xf numFmtId="14" fontId="31" fillId="0" borderId="7" xfId="1" applyNumberFormat="1" applyFont="1" applyBorder="1" applyAlignment="1">
      <alignment horizontal="left" vertical="center"/>
    </xf>
    <xf numFmtId="0" fontId="31" fillId="0" borderId="6" xfId="1" applyFont="1" applyBorder="1" applyAlignment="1">
      <alignment horizontal="right"/>
    </xf>
    <xf numFmtId="0" fontId="31" fillId="0" borderId="8" xfId="1" applyFont="1" applyBorder="1" applyAlignment="1">
      <alignment horizontal="right"/>
    </xf>
    <xf numFmtId="14" fontId="31" fillId="0" borderId="8" xfId="1" applyNumberFormat="1" applyFont="1" applyBorder="1" applyAlignment="1">
      <alignment horizontal="left"/>
    </xf>
    <xf numFmtId="14" fontId="31" fillId="0" borderId="7" xfId="1" applyNumberFormat="1" applyFont="1" applyBorder="1" applyAlignment="1">
      <alignment horizontal="left"/>
    </xf>
    <xf numFmtId="10" fontId="29" fillId="7" borderId="1" xfId="6" applyNumberFormat="1" applyFont="1" applyBorder="1" applyAlignment="1">
      <alignment horizontal="center" vertical="center" wrapText="1"/>
    </xf>
    <xf numFmtId="10" fontId="29" fillId="7" borderId="1" xfId="6" applyNumberFormat="1" applyFont="1" applyBorder="1" applyAlignment="1">
      <alignment horizontal="center" vertical="center"/>
    </xf>
    <xf numFmtId="10" fontId="29" fillId="0" borderId="1" xfId="6" applyNumberFormat="1" applyFont="1" applyFill="1" applyBorder="1" applyAlignment="1">
      <alignment horizontal="center" vertical="center" wrapText="1"/>
    </xf>
    <xf numFmtId="10" fontId="29" fillId="0" borderId="1" xfId="6" applyNumberFormat="1" applyFont="1" applyFill="1" applyBorder="1" applyAlignment="1">
      <alignment horizontal="center" vertical="center"/>
    </xf>
    <xf numFmtId="10" fontId="29" fillId="0" borderId="1" xfId="1" applyNumberFormat="1" applyFont="1" applyBorder="1" applyAlignment="1">
      <alignment horizontal="center" vertical="center" wrapText="1"/>
    </xf>
    <xf numFmtId="10" fontId="29" fillId="0" borderId="1" xfId="1" applyNumberFormat="1" applyFont="1" applyBorder="1" applyAlignment="1">
      <alignment horizontal="center" vertical="center"/>
    </xf>
    <xf numFmtId="10" fontId="29" fillId="0" borderId="4" xfId="1" applyNumberFormat="1" applyFont="1" applyBorder="1" applyAlignment="1">
      <alignment horizontal="center" vertical="center" wrapText="1"/>
    </xf>
    <xf numFmtId="10" fontId="29" fillId="0" borderId="2" xfId="1" applyNumberFormat="1" applyFont="1" applyBorder="1" applyAlignment="1">
      <alignment horizontal="center" vertical="center" wrapText="1"/>
    </xf>
    <xf numFmtId="0" fontId="29" fillId="0" borderId="4" xfId="1" applyFont="1" applyBorder="1" applyAlignment="1">
      <alignment horizontal="center" vertical="center" wrapText="1"/>
    </xf>
    <xf numFmtId="0" fontId="29" fillId="0" borderId="2" xfId="1" applyFont="1" applyBorder="1" applyAlignment="1">
      <alignment horizontal="center" vertical="center" wrapText="1"/>
    </xf>
    <xf numFmtId="10" fontId="29" fillId="0" borderId="4" xfId="1" applyNumberFormat="1" applyFont="1" applyBorder="1" applyAlignment="1">
      <alignment horizontal="center" vertical="center"/>
    </xf>
    <xf numFmtId="10" fontId="29" fillId="0" borderId="2" xfId="1" applyNumberFormat="1" applyFont="1" applyBorder="1" applyAlignment="1">
      <alignment horizontal="center" vertical="center"/>
    </xf>
    <xf numFmtId="10" fontId="29" fillId="0" borderId="4" xfId="6" applyNumberFormat="1" applyFont="1" applyFill="1" applyBorder="1" applyAlignment="1">
      <alignment horizontal="center" vertical="center" wrapText="1"/>
    </xf>
    <xf numFmtId="10" fontId="29" fillId="0" borderId="2" xfId="6" applyNumberFormat="1" applyFont="1" applyFill="1" applyBorder="1" applyAlignment="1">
      <alignment horizontal="center" vertical="center" wrapText="1"/>
    </xf>
    <xf numFmtId="10" fontId="29" fillId="7" borderId="4" xfId="6" applyNumberFormat="1" applyFont="1" applyBorder="1" applyAlignment="1">
      <alignment horizontal="center" vertical="center" wrapText="1"/>
    </xf>
    <xf numFmtId="10" fontId="29" fillId="7" borderId="3" xfId="6" applyNumberFormat="1" applyFont="1" applyBorder="1" applyAlignment="1">
      <alignment horizontal="center" vertical="center" wrapText="1"/>
    </xf>
    <xf numFmtId="10" fontId="29" fillId="0" borderId="3" xfId="1" applyNumberFormat="1" applyFont="1" applyBorder="1" applyAlignment="1">
      <alignment horizontal="center" vertical="center"/>
    </xf>
    <xf numFmtId="10" fontId="29" fillId="0" borderId="4" xfId="2" applyNumberFormat="1" applyFont="1" applyFill="1" applyBorder="1" applyAlignment="1">
      <alignment horizontal="center" vertical="center"/>
    </xf>
    <xf numFmtId="10" fontId="29" fillId="0" borderId="2" xfId="2" applyNumberFormat="1" applyFont="1" applyFill="1" applyBorder="1" applyAlignment="1">
      <alignment horizontal="center" vertical="center"/>
    </xf>
    <xf numFmtId="10" fontId="29" fillId="0" borderId="3" xfId="1" applyNumberFormat="1" applyFont="1" applyBorder="1" applyAlignment="1">
      <alignment horizontal="center" vertical="center" wrapText="1"/>
    </xf>
    <xf numFmtId="10" fontId="29" fillId="7" borderId="3" xfId="6" applyNumberFormat="1" applyFont="1" applyBorder="1" applyAlignment="1">
      <alignment horizontal="center" vertical="center"/>
    </xf>
    <xf numFmtId="10" fontId="29" fillId="7" borderId="2" xfId="6" applyNumberFormat="1" applyFont="1" applyBorder="1" applyAlignment="1">
      <alignment horizontal="center" vertical="center"/>
    </xf>
    <xf numFmtId="10" fontId="59" fillId="0" borderId="4" xfId="2" applyNumberFormat="1" applyFont="1" applyFill="1" applyBorder="1" applyAlignment="1">
      <alignment horizontal="center" vertical="center"/>
    </xf>
    <xf numFmtId="10" fontId="59" fillId="0" borderId="2" xfId="2" applyNumberFormat="1" applyFont="1" applyFill="1" applyBorder="1" applyAlignment="1">
      <alignment horizontal="center" vertical="center"/>
    </xf>
    <xf numFmtId="10" fontId="29" fillId="7" borderId="2" xfId="6" applyNumberFormat="1" applyFont="1" applyBorder="1" applyAlignment="1">
      <alignment horizontal="center" vertical="center" wrapText="1"/>
    </xf>
    <xf numFmtId="10" fontId="29" fillId="0" borderId="3" xfId="6" applyNumberFormat="1" applyFont="1" applyFill="1" applyBorder="1" applyAlignment="1">
      <alignment horizontal="center" vertical="center"/>
    </xf>
    <xf numFmtId="10" fontId="29" fillId="0" borderId="2" xfId="6" applyNumberFormat="1" applyFont="1" applyFill="1" applyBorder="1" applyAlignment="1">
      <alignment horizontal="center" vertical="center"/>
    </xf>
    <xf numFmtId="10" fontId="29" fillId="0" borderId="3" xfId="6" applyNumberFormat="1" applyFont="1" applyFill="1" applyBorder="1" applyAlignment="1">
      <alignment horizontal="center" vertical="center" wrapText="1"/>
    </xf>
    <xf numFmtId="10" fontId="53" fillId="7" borderId="4" xfId="2" applyNumberFormat="1" applyFont="1" applyFill="1" applyBorder="1" applyAlignment="1">
      <alignment horizontal="center" vertical="center"/>
    </xf>
    <xf numFmtId="10" fontId="53" fillId="7" borderId="3" xfId="2" applyNumberFormat="1" applyFont="1" applyFill="1" applyBorder="1" applyAlignment="1">
      <alignment horizontal="center" vertical="center"/>
    </xf>
    <xf numFmtId="10" fontId="53" fillId="7" borderId="2" xfId="2" applyNumberFormat="1" applyFont="1" applyFill="1" applyBorder="1" applyAlignment="1">
      <alignment horizontal="center" vertical="center"/>
    </xf>
    <xf numFmtId="10" fontId="52" fillId="7" borderId="4" xfId="2" applyNumberFormat="1" applyFont="1" applyFill="1" applyBorder="1" applyAlignment="1">
      <alignment horizontal="center" vertical="center" wrapText="1"/>
    </xf>
    <xf numFmtId="10" fontId="52" fillId="7" borderId="3" xfId="2" applyNumberFormat="1" applyFont="1" applyFill="1" applyBorder="1" applyAlignment="1">
      <alignment horizontal="center" vertical="center"/>
    </xf>
    <xf numFmtId="10" fontId="52" fillId="7" borderId="2" xfId="2" applyNumberFormat="1" applyFont="1" applyFill="1" applyBorder="1" applyAlignment="1">
      <alignment horizontal="center" vertical="center"/>
    </xf>
    <xf numFmtId="10" fontId="52" fillId="0" borderId="4" xfId="2" applyNumberFormat="1" applyFont="1" applyFill="1" applyBorder="1" applyAlignment="1">
      <alignment horizontal="center" vertical="center" wrapText="1"/>
    </xf>
    <xf numFmtId="10" fontId="52" fillId="0" borderId="3" xfId="2" applyNumberFormat="1" applyFont="1" applyFill="1" applyBorder="1" applyAlignment="1">
      <alignment horizontal="center" vertical="center"/>
    </xf>
    <xf numFmtId="10" fontId="52" fillId="0" borderId="2" xfId="2" applyNumberFormat="1" applyFont="1" applyFill="1" applyBorder="1" applyAlignment="1">
      <alignment horizontal="center" vertical="center"/>
    </xf>
    <xf numFmtId="10" fontId="52" fillId="7" borderId="4" xfId="2" applyNumberFormat="1" applyFont="1" applyFill="1" applyBorder="1" applyAlignment="1">
      <alignment horizontal="center" vertical="center"/>
    </xf>
    <xf numFmtId="10" fontId="22" fillId="0" borderId="4" xfId="3" applyNumberFormat="1" applyFill="1" applyBorder="1" applyAlignment="1">
      <alignment horizontal="center" vertical="center"/>
    </xf>
    <xf numFmtId="10" fontId="22" fillId="0" borderId="2" xfId="3" applyNumberFormat="1" applyFill="1" applyBorder="1" applyAlignment="1">
      <alignment horizontal="center" vertical="center"/>
    </xf>
    <xf numFmtId="0" fontId="27" fillId="7" borderId="4" xfId="6" applyNumberFormat="1" applyFont="1" applyBorder="1" applyAlignment="1">
      <alignment horizontal="center" vertical="center"/>
    </xf>
    <xf numFmtId="0" fontId="27" fillId="7" borderId="3" xfId="6" applyNumberFormat="1" applyFont="1" applyBorder="1" applyAlignment="1">
      <alignment horizontal="center" vertical="center"/>
    </xf>
    <xf numFmtId="0" fontId="27" fillId="7" borderId="2" xfId="6" applyNumberFormat="1" applyFont="1" applyBorder="1" applyAlignment="1">
      <alignment horizontal="center" vertical="center"/>
    </xf>
    <xf numFmtId="10" fontId="29" fillId="0" borderId="4" xfId="2" applyNumberFormat="1" applyFont="1" applyFill="1" applyBorder="1" applyAlignment="1">
      <alignment horizontal="center" vertical="center" wrapText="1"/>
    </xf>
    <xf numFmtId="10" fontId="29" fillId="0" borderId="3" xfId="2" applyNumberFormat="1" applyFont="1" applyFill="1" applyBorder="1" applyAlignment="1">
      <alignment horizontal="center" vertical="center"/>
    </xf>
    <xf numFmtId="10" fontId="29" fillId="7" borderId="4" xfId="2" applyNumberFormat="1" applyFont="1" applyFill="1" applyBorder="1" applyAlignment="1">
      <alignment horizontal="center" vertical="center" wrapText="1"/>
    </xf>
    <xf numFmtId="10" fontId="29" fillId="7" borderId="3" xfId="2" applyNumberFormat="1" applyFont="1" applyFill="1" applyBorder="1" applyAlignment="1">
      <alignment horizontal="center" vertical="center"/>
    </xf>
    <xf numFmtId="10" fontId="29" fillId="7" borderId="2" xfId="2" applyNumberFormat="1" applyFont="1" applyFill="1" applyBorder="1" applyAlignment="1">
      <alignment horizontal="center" vertical="center"/>
    </xf>
    <xf numFmtId="10" fontId="23" fillId="0" borderId="1" xfId="1" applyNumberFormat="1" applyFont="1" applyBorder="1" applyAlignment="1">
      <alignment horizontal="center" vertical="center"/>
    </xf>
    <xf numFmtId="3" fontId="22" fillId="0" borderId="1" xfId="1" applyNumberFormat="1" applyBorder="1" applyAlignment="1">
      <alignment horizontal="center" vertical="center"/>
    </xf>
    <xf numFmtId="10" fontId="29" fillId="6" borderId="1" xfId="1" applyNumberFormat="1" applyFont="1" applyFill="1" applyBorder="1" applyAlignment="1">
      <alignment horizontal="center" vertical="center"/>
    </xf>
    <xf numFmtId="10" fontId="23" fillId="7" borderId="1" xfId="1" applyNumberFormat="1" applyFont="1" applyFill="1" applyBorder="1" applyAlignment="1">
      <alignment horizontal="center" vertical="center"/>
    </xf>
    <xf numFmtId="10" fontId="23" fillId="0" borderId="4" xfId="1" applyNumberFormat="1" applyFont="1" applyBorder="1" applyAlignment="1">
      <alignment horizontal="center" vertical="center"/>
    </xf>
    <xf numFmtId="10" fontId="23" fillId="0" borderId="2" xfId="1" applyNumberFormat="1" applyFont="1" applyBorder="1" applyAlignment="1">
      <alignment horizontal="center" vertical="center"/>
    </xf>
    <xf numFmtId="0" fontId="29" fillId="6" borderId="4" xfId="1" applyFont="1" applyFill="1" applyBorder="1" applyAlignment="1">
      <alignment horizontal="center" vertical="center" wrapText="1"/>
    </xf>
    <xf numFmtId="0" fontId="29" fillId="6" borderId="2" xfId="1" applyFont="1" applyFill="1" applyBorder="1" applyAlignment="1">
      <alignment horizontal="center" vertical="center" wrapText="1"/>
    </xf>
    <xf numFmtId="0" fontId="27" fillId="0" borderId="4" xfId="1" applyFont="1" applyBorder="1" applyAlignment="1">
      <alignment horizontal="center" vertical="center"/>
    </xf>
    <xf numFmtId="0" fontId="27" fillId="0" borderId="3" xfId="1" applyFont="1" applyBorder="1" applyAlignment="1">
      <alignment horizontal="center" vertical="center"/>
    </xf>
    <xf numFmtId="0" fontId="27" fillId="0" borderId="2" xfId="1" applyFont="1" applyBorder="1" applyAlignment="1">
      <alignment horizontal="center" vertical="center"/>
    </xf>
    <xf numFmtId="0" fontId="27" fillId="0" borderId="1" xfId="6" applyNumberFormat="1" applyFont="1" applyFill="1" applyBorder="1" applyAlignment="1">
      <alignment horizontal="center" vertical="center"/>
    </xf>
    <xf numFmtId="10" fontId="29" fillId="7" borderId="4" xfId="2" applyNumberFormat="1" applyFont="1" applyFill="1" applyBorder="1" applyAlignment="1">
      <alignment horizontal="center" vertical="center"/>
    </xf>
    <xf numFmtId="0" fontId="47" fillId="0" borderId="6" xfId="1" applyFont="1" applyBorder="1" applyAlignment="1">
      <alignment horizontal="left" vertical="center"/>
    </xf>
    <xf numFmtId="0" fontId="47" fillId="0" borderId="8" xfId="1" applyFont="1" applyBorder="1" applyAlignment="1">
      <alignment horizontal="left" vertical="center"/>
    </xf>
    <xf numFmtId="0" fontId="47" fillId="0" borderId="7" xfId="1" applyFont="1" applyBorder="1" applyAlignment="1">
      <alignment horizontal="left" vertical="center"/>
    </xf>
    <xf numFmtId="10" fontId="29" fillId="7" borderId="4" xfId="1" applyNumberFormat="1" applyFont="1" applyFill="1" applyBorder="1" applyAlignment="1">
      <alignment horizontal="center" vertical="center" wrapText="1"/>
    </xf>
    <xf numFmtId="10" fontId="29" fillId="7" borderId="2" xfId="1" applyNumberFormat="1" applyFont="1" applyFill="1" applyBorder="1" applyAlignment="1">
      <alignment horizontal="center" vertical="center" wrapText="1"/>
    </xf>
    <xf numFmtId="10" fontId="29" fillId="6" borderId="4" xfId="2" applyNumberFormat="1" applyFont="1" applyFill="1" applyBorder="1" applyAlignment="1">
      <alignment horizontal="center" vertical="center"/>
    </xf>
    <xf numFmtId="10" fontId="29" fillId="6" borderId="2" xfId="2" applyNumberFormat="1" applyFont="1" applyFill="1" applyBorder="1" applyAlignment="1">
      <alignment horizontal="center" vertical="center"/>
    </xf>
    <xf numFmtId="10" fontId="29" fillId="7" borderId="3" xfId="1" applyNumberFormat="1" applyFont="1" applyFill="1" applyBorder="1" applyAlignment="1">
      <alignment horizontal="center" vertical="center" wrapText="1"/>
    </xf>
    <xf numFmtId="10" fontId="11" fillId="0" borderId="1" xfId="3" applyNumberFormat="1" applyFont="1" applyFill="1" applyBorder="1" applyAlignment="1">
      <alignment horizontal="center" vertical="center"/>
    </xf>
    <xf numFmtId="10" fontId="22" fillId="0" borderId="1" xfId="3" applyNumberFormat="1" applyFill="1" applyBorder="1" applyAlignment="1">
      <alignment horizontal="center" vertical="center"/>
    </xf>
    <xf numFmtId="10" fontId="59" fillId="0" borderId="3" xfId="2" applyNumberFormat="1" applyFont="1" applyFill="1" applyBorder="1" applyAlignment="1">
      <alignment horizontal="center" vertical="center"/>
    </xf>
    <xf numFmtId="10" fontId="56" fillId="0" borderId="4" xfId="2" applyNumberFormat="1" applyFont="1" applyFill="1" applyBorder="1" applyAlignment="1">
      <alignment horizontal="center" vertical="center"/>
    </xf>
    <xf numFmtId="10" fontId="56" fillId="0" borderId="3" xfId="2" applyNumberFormat="1" applyFont="1" applyFill="1" applyBorder="1" applyAlignment="1">
      <alignment horizontal="center" vertical="center"/>
    </xf>
    <xf numFmtId="10" fontId="56" fillId="0" borderId="2" xfId="2" applyNumberFormat="1" applyFont="1" applyFill="1" applyBorder="1" applyAlignment="1">
      <alignment horizontal="center" vertical="center"/>
    </xf>
    <xf numFmtId="10" fontId="29" fillId="6" borderId="4" xfId="1" applyNumberFormat="1" applyFont="1" applyFill="1" applyBorder="1" applyAlignment="1">
      <alignment horizontal="center" vertical="center" wrapText="1"/>
    </xf>
    <xf numFmtId="10" fontId="29" fillId="6" borderId="2" xfId="1" applyNumberFormat="1" applyFont="1" applyFill="1" applyBorder="1" applyAlignment="1">
      <alignment horizontal="center" vertical="center" wrapText="1"/>
    </xf>
    <xf numFmtId="10" fontId="56" fillId="7" borderId="4" xfId="2" applyNumberFormat="1" applyFont="1" applyFill="1" applyBorder="1" applyAlignment="1">
      <alignment horizontal="center" vertical="center"/>
    </xf>
    <xf numFmtId="10" fontId="56" fillId="7" borderId="3" xfId="2" applyNumberFormat="1" applyFont="1" applyFill="1" applyBorder="1" applyAlignment="1">
      <alignment horizontal="center" vertical="center"/>
    </xf>
    <xf numFmtId="10" fontId="56" fillId="7" borderId="2" xfId="2" applyNumberFormat="1" applyFont="1" applyFill="1" applyBorder="1" applyAlignment="1">
      <alignment horizontal="center" vertical="center"/>
    </xf>
    <xf numFmtId="10" fontId="29" fillId="6" borderId="3" xfId="1" applyNumberFormat="1" applyFont="1" applyFill="1" applyBorder="1" applyAlignment="1">
      <alignment horizontal="center" vertical="center" wrapText="1"/>
    </xf>
    <xf numFmtId="10" fontId="23" fillId="7" borderId="4" xfId="1" applyNumberFormat="1" applyFont="1" applyFill="1" applyBorder="1" applyAlignment="1">
      <alignment horizontal="center" vertical="center" wrapText="1"/>
    </xf>
    <xf numFmtId="10" fontId="23" fillId="7" borderId="2" xfId="1" applyNumberFormat="1" applyFont="1" applyFill="1" applyBorder="1" applyAlignment="1">
      <alignment horizontal="center" vertical="center" wrapText="1"/>
    </xf>
    <xf numFmtId="10" fontId="29" fillId="6" borderId="2" xfId="1" applyNumberFormat="1" applyFont="1" applyFill="1" applyBorder="1" applyAlignment="1">
      <alignment horizontal="center" vertical="center"/>
    </xf>
    <xf numFmtId="10" fontId="22" fillId="0" borderId="4" xfId="1" applyNumberFormat="1" applyBorder="1" applyAlignment="1">
      <alignment horizontal="center" vertical="center"/>
    </xf>
    <xf numFmtId="10" fontId="22" fillId="0" borderId="2" xfId="1" applyNumberFormat="1" applyBorder="1" applyAlignment="1">
      <alignment horizontal="center" vertical="center"/>
    </xf>
    <xf numFmtId="10" fontId="23" fillId="7" borderId="3" xfId="1" applyNumberFormat="1" applyFont="1" applyFill="1" applyBorder="1" applyAlignment="1">
      <alignment horizontal="center" vertical="center" wrapText="1"/>
    </xf>
    <xf numFmtId="10" fontId="29" fillId="6" borderId="1" xfId="1" applyNumberFormat="1" applyFont="1" applyFill="1" applyBorder="1" applyAlignment="1">
      <alignment horizontal="center" vertical="center" wrapText="1"/>
    </xf>
    <xf numFmtId="10" fontId="29" fillId="7" borderId="1" xfId="1" applyNumberFormat="1" applyFont="1" applyFill="1" applyBorder="1" applyAlignment="1">
      <alignment horizontal="center" vertical="center" wrapText="1"/>
    </xf>
    <xf numFmtId="10" fontId="29" fillId="7" borderId="1" xfId="1" applyNumberFormat="1" applyFont="1" applyFill="1" applyBorder="1" applyAlignment="1">
      <alignment horizontal="center" vertical="center"/>
    </xf>
    <xf numFmtId="10" fontId="29" fillId="7" borderId="4" xfId="1" applyNumberFormat="1" applyFont="1" applyFill="1" applyBorder="1" applyAlignment="1">
      <alignment horizontal="center" vertical="center"/>
    </xf>
    <xf numFmtId="10" fontId="29" fillId="7" borderId="2" xfId="1" applyNumberFormat="1" applyFont="1" applyFill="1" applyBorder="1" applyAlignment="1">
      <alignment horizontal="center" vertical="center"/>
    </xf>
    <xf numFmtId="10" fontId="23" fillId="7" borderId="4" xfId="2" applyNumberFormat="1" applyFont="1" applyFill="1" applyBorder="1" applyAlignment="1">
      <alignment horizontal="center" vertical="center" wrapText="1"/>
    </xf>
    <xf numFmtId="10" fontId="23" fillId="7" borderId="3" xfId="2" applyNumberFormat="1" applyFont="1" applyFill="1" applyBorder="1" applyAlignment="1">
      <alignment horizontal="center" vertical="center"/>
    </xf>
    <xf numFmtId="10" fontId="23" fillId="7" borderId="2" xfId="2" applyNumberFormat="1" applyFont="1" applyFill="1" applyBorder="1" applyAlignment="1">
      <alignment horizontal="center" vertical="center"/>
    </xf>
    <xf numFmtId="10" fontId="29" fillId="6" borderId="4" xfId="1" applyNumberFormat="1" applyFont="1" applyFill="1" applyBorder="1" applyAlignment="1">
      <alignment horizontal="center" vertical="center"/>
    </xf>
    <xf numFmtId="10" fontId="59" fillId="7" borderId="4" xfId="2" applyNumberFormat="1" applyFont="1" applyFill="1" applyBorder="1" applyAlignment="1">
      <alignment horizontal="center" vertical="center"/>
    </xf>
    <xf numFmtId="10" fontId="59" fillId="7" borderId="3" xfId="2" applyNumberFormat="1" applyFont="1" applyFill="1" applyBorder="1" applyAlignment="1">
      <alignment horizontal="center" vertical="center"/>
    </xf>
    <xf numFmtId="10" fontId="59" fillId="7" borderId="2" xfId="2" applyNumberFormat="1" applyFont="1" applyFill="1" applyBorder="1" applyAlignment="1">
      <alignment horizontal="center" vertical="center"/>
    </xf>
    <xf numFmtId="10" fontId="29" fillId="6" borderId="4" xfId="2" applyNumberFormat="1" applyFont="1" applyFill="1" applyBorder="1" applyAlignment="1">
      <alignment horizontal="center" vertical="center" wrapText="1"/>
    </xf>
    <xf numFmtId="10" fontId="29" fillId="6" borderId="3" xfId="2" applyNumberFormat="1" applyFont="1" applyFill="1" applyBorder="1" applyAlignment="1">
      <alignment horizontal="center" vertical="center"/>
    </xf>
    <xf numFmtId="10" fontId="59" fillId="6" borderId="4" xfId="2" applyNumberFormat="1" applyFont="1" applyFill="1" applyBorder="1" applyAlignment="1">
      <alignment horizontal="center" vertical="center"/>
    </xf>
    <xf numFmtId="10" fontId="59" fillId="6" borderId="3" xfId="2" applyNumberFormat="1" applyFont="1" applyFill="1" applyBorder="1" applyAlignment="1">
      <alignment horizontal="center" vertical="center"/>
    </xf>
    <xf numFmtId="10" fontId="59" fillId="6" borderId="2" xfId="2" applyNumberFormat="1" applyFont="1" applyFill="1" applyBorder="1" applyAlignment="1">
      <alignment horizontal="center" vertical="center"/>
    </xf>
    <xf numFmtId="10" fontId="22" fillId="0" borderId="4" xfId="1" applyNumberFormat="1" applyBorder="1" applyAlignment="1">
      <alignment horizontal="center" vertical="center" wrapText="1"/>
    </xf>
    <xf numFmtId="10" fontId="22" fillId="0" borderId="3" xfId="1" applyNumberFormat="1" applyBorder="1" applyAlignment="1">
      <alignment horizontal="center" vertical="center" wrapText="1"/>
    </xf>
    <xf numFmtId="10" fontId="22" fillId="0" borderId="1" xfId="1" applyNumberFormat="1" applyBorder="1" applyAlignment="1">
      <alignment horizontal="center" vertical="center" wrapText="1"/>
    </xf>
    <xf numFmtId="10" fontId="29" fillId="6" borderId="3" xfId="1" applyNumberFormat="1" applyFont="1" applyFill="1" applyBorder="1" applyAlignment="1">
      <alignment horizontal="center" vertical="center"/>
    </xf>
    <xf numFmtId="10" fontId="22" fillId="0" borderId="1" xfId="1" applyNumberFormat="1" applyBorder="1" applyAlignment="1">
      <alignment horizontal="center" vertical="center"/>
    </xf>
    <xf numFmtId="10" fontId="23" fillId="0" borderId="4" xfId="1" applyNumberFormat="1" applyFont="1" applyBorder="1" applyAlignment="1">
      <alignment horizontal="center" vertical="center" wrapText="1"/>
    </xf>
    <xf numFmtId="10" fontId="23" fillId="0" borderId="3" xfId="1" applyNumberFormat="1" applyFont="1" applyBorder="1" applyAlignment="1">
      <alignment horizontal="center" vertical="center"/>
    </xf>
    <xf numFmtId="10" fontId="23" fillId="0" borderId="4" xfId="2" applyNumberFormat="1" applyFont="1" applyFill="1" applyBorder="1" applyAlignment="1">
      <alignment horizontal="center" vertical="center"/>
    </xf>
    <xf numFmtId="10" fontId="23" fillId="0" borderId="2" xfId="2" applyNumberFormat="1" applyFont="1" applyFill="1" applyBorder="1" applyAlignment="1">
      <alignment horizontal="center" vertical="center"/>
    </xf>
    <xf numFmtId="10" fontId="22" fillId="7" borderId="4" xfId="1" applyNumberFormat="1" applyFill="1" applyBorder="1" applyAlignment="1">
      <alignment horizontal="center" vertical="center"/>
    </xf>
    <xf numFmtId="10" fontId="22" fillId="7" borderId="3" xfId="1" applyNumberFormat="1" applyFill="1" applyBorder="1" applyAlignment="1">
      <alignment horizontal="center" vertical="center"/>
    </xf>
    <xf numFmtId="10" fontId="22" fillId="0" borderId="3" xfId="1" applyNumberFormat="1" applyBorder="1" applyAlignment="1">
      <alignment horizontal="center" vertical="center"/>
    </xf>
    <xf numFmtId="10" fontId="22" fillId="7" borderId="1" xfId="1" applyNumberFormat="1" applyFill="1" applyBorder="1" applyAlignment="1">
      <alignment horizontal="center" vertical="center" wrapText="1"/>
    </xf>
    <xf numFmtId="10" fontId="22" fillId="7" borderId="1" xfId="1" applyNumberFormat="1" applyFill="1" applyBorder="1" applyAlignment="1">
      <alignment horizontal="center" vertical="center"/>
    </xf>
    <xf numFmtId="10" fontId="22" fillId="0" borderId="4" xfId="2" applyNumberFormat="1" applyFont="1" applyFill="1" applyBorder="1" applyAlignment="1">
      <alignment horizontal="center" vertical="center"/>
    </xf>
    <xf numFmtId="10" fontId="22" fillId="0" borderId="2" xfId="2" applyNumberFormat="1" applyFont="1" applyFill="1" applyBorder="1" applyAlignment="1">
      <alignment horizontal="center" vertical="center"/>
    </xf>
    <xf numFmtId="10" fontId="22" fillId="7" borderId="4" xfId="2" applyNumberFormat="1" applyFont="1" applyFill="1" applyBorder="1" applyAlignment="1">
      <alignment horizontal="center" vertical="center"/>
    </xf>
    <xf numFmtId="10" fontId="22" fillId="7" borderId="2" xfId="2" applyNumberFormat="1" applyFont="1" applyFill="1" applyBorder="1" applyAlignment="1">
      <alignment horizontal="center" vertical="center"/>
    </xf>
    <xf numFmtId="10" fontId="22" fillId="0" borderId="1" xfId="2" applyNumberFormat="1" applyFont="1" applyFill="1" applyBorder="1" applyAlignment="1">
      <alignment horizontal="center" vertical="center"/>
    </xf>
    <xf numFmtId="10" fontId="23" fillId="0" borderId="2" xfId="1" applyNumberFormat="1" applyFont="1" applyBorder="1" applyAlignment="1">
      <alignment horizontal="center" vertical="center" wrapText="1"/>
    </xf>
    <xf numFmtId="10" fontId="22" fillId="0" borderId="2" xfId="1" applyNumberFormat="1" applyBorder="1" applyAlignment="1">
      <alignment horizontal="center" vertical="center" wrapText="1"/>
    </xf>
    <xf numFmtId="10" fontId="22" fillId="7" borderId="2" xfId="1" applyNumberFormat="1" applyFill="1" applyBorder="1" applyAlignment="1">
      <alignment horizontal="center" vertical="center"/>
    </xf>
    <xf numFmtId="10" fontId="23" fillId="0" borderId="3" xfId="1" applyNumberFormat="1" applyFont="1" applyBorder="1" applyAlignment="1">
      <alignment horizontal="center" vertical="center" wrapText="1"/>
    </xf>
    <xf numFmtId="0" fontId="23" fillId="0" borderId="2" xfId="1" applyFont="1" applyBorder="1" applyAlignment="1">
      <alignment horizontal="center" vertical="center"/>
    </xf>
    <xf numFmtId="10" fontId="52" fillId="0" borderId="4" xfId="2" applyNumberFormat="1" applyFont="1" applyFill="1" applyBorder="1" applyAlignment="1">
      <alignment horizontal="center" vertical="center"/>
    </xf>
    <xf numFmtId="10" fontId="22" fillId="7" borderId="4" xfId="1" applyNumberFormat="1" applyFill="1" applyBorder="1" applyAlignment="1">
      <alignment horizontal="center" vertical="center" wrapText="1"/>
    </xf>
    <xf numFmtId="10" fontId="22" fillId="7" borderId="3" xfId="1" applyNumberFormat="1" applyFill="1" applyBorder="1" applyAlignment="1">
      <alignment horizontal="center" vertical="center" wrapText="1"/>
    </xf>
    <xf numFmtId="10" fontId="23" fillId="0" borderId="4" xfId="2" applyNumberFormat="1" applyFont="1" applyFill="1" applyBorder="1" applyAlignment="1">
      <alignment horizontal="center" vertical="center" wrapText="1"/>
    </xf>
    <xf numFmtId="10" fontId="23" fillId="0" borderId="3" xfId="2" applyNumberFormat="1" applyFont="1" applyFill="1" applyBorder="1" applyAlignment="1">
      <alignment horizontal="center" vertical="center"/>
    </xf>
    <xf numFmtId="10" fontId="23" fillId="7" borderId="4" xfId="1" applyNumberFormat="1" applyFont="1" applyFill="1" applyBorder="1" applyAlignment="1">
      <alignment horizontal="center" vertical="center"/>
    </xf>
    <xf numFmtId="0" fontId="23" fillId="7" borderId="2" xfId="1" applyFont="1" applyFill="1" applyBorder="1" applyAlignment="1">
      <alignment horizontal="center" vertical="center"/>
    </xf>
    <xf numFmtId="10" fontId="22" fillId="7" borderId="1" xfId="2" applyNumberFormat="1" applyFont="1" applyFill="1" applyBorder="1" applyAlignment="1">
      <alignment horizontal="center" vertical="center"/>
    </xf>
    <xf numFmtId="0" fontId="23" fillId="0" borderId="1" xfId="1" applyFont="1" applyBorder="1" applyAlignment="1">
      <alignment horizontal="center" vertical="center"/>
    </xf>
    <xf numFmtId="10" fontId="23" fillId="0" borderId="1" xfId="2" applyNumberFormat="1" applyFont="1" applyFill="1" applyBorder="1" applyAlignment="1">
      <alignment horizontal="center" vertical="center"/>
    </xf>
    <xf numFmtId="10" fontId="0" fillId="0" borderId="1" xfId="2" applyNumberFormat="1" applyFont="1" applyFill="1" applyBorder="1" applyAlignment="1">
      <alignment horizontal="center" vertical="center"/>
    </xf>
    <xf numFmtId="0" fontId="22" fillId="0" borderId="1" xfId="1" applyBorder="1" applyAlignment="1">
      <alignment horizontal="center" vertical="center"/>
    </xf>
    <xf numFmtId="14" fontId="39" fillId="0" borderId="1" xfId="2" applyNumberFormat="1" applyFont="1" applyFill="1" applyBorder="1" applyAlignment="1">
      <alignment horizontal="center" vertical="center"/>
    </xf>
    <xf numFmtId="10" fontId="39" fillId="0" borderId="1" xfId="2" applyNumberFormat="1" applyFont="1" applyFill="1" applyBorder="1" applyAlignment="1">
      <alignment horizontal="center" vertical="center"/>
    </xf>
    <xf numFmtId="10" fontId="28" fillId="0" borderId="1" xfId="2" applyNumberFormat="1" applyFont="1" applyFill="1" applyBorder="1" applyAlignment="1">
      <alignment horizontal="center" vertical="center"/>
    </xf>
    <xf numFmtId="0" fontId="28" fillId="0" borderId="1" xfId="1" applyFont="1" applyBorder="1" applyAlignment="1">
      <alignment horizontal="center" vertical="center"/>
    </xf>
    <xf numFmtId="14" fontId="28" fillId="0" borderId="1" xfId="2" applyNumberFormat="1" applyFont="1" applyFill="1" applyBorder="1" applyAlignment="1">
      <alignment horizontal="center" vertical="center"/>
    </xf>
    <xf numFmtId="10" fontId="22" fillId="0" borderId="3" xfId="3" applyNumberFormat="1" applyFill="1" applyBorder="1" applyAlignment="1">
      <alignment horizontal="center" vertical="center"/>
    </xf>
    <xf numFmtId="177" fontId="23" fillId="0" borderId="1" xfId="2" applyNumberFormat="1" applyFont="1" applyFill="1" applyBorder="1" applyAlignment="1">
      <alignment horizontal="center" vertical="center"/>
    </xf>
    <xf numFmtId="0" fontId="22" fillId="0" borderId="4" xfId="1" applyBorder="1" applyAlignment="1">
      <alignment horizontal="center" vertical="center"/>
    </xf>
    <xf numFmtId="0" fontId="22" fillId="0" borderId="2" xfId="1" applyBorder="1" applyAlignment="1">
      <alignment horizontal="center" vertical="center"/>
    </xf>
    <xf numFmtId="0" fontId="22" fillId="0" borderId="1" xfId="1" applyBorder="1" applyAlignment="1">
      <alignment horizontal="left" vertical="center"/>
    </xf>
    <xf numFmtId="14" fontId="28" fillId="0" borderId="1" xfId="1" applyNumberFormat="1" applyFont="1" applyBorder="1" applyAlignment="1">
      <alignment horizontal="center" vertical="center"/>
    </xf>
    <xf numFmtId="0" fontId="22" fillId="7" borderId="3" xfId="1" applyFill="1" applyBorder="1" applyAlignment="1">
      <alignment horizontal="center" vertical="center"/>
    </xf>
    <xf numFmtId="0" fontId="22" fillId="7" borderId="2" xfId="1" applyFill="1" applyBorder="1" applyAlignment="1">
      <alignment horizontal="center" vertical="center"/>
    </xf>
    <xf numFmtId="10" fontId="24" fillId="0" borderId="1" xfId="2" applyNumberFormat="1" applyFont="1" applyFill="1" applyBorder="1" applyAlignment="1">
      <alignment horizontal="center" vertical="center"/>
    </xf>
    <xf numFmtId="10" fontId="52" fillId="0" borderId="1" xfId="2" applyNumberFormat="1" applyFont="1" applyFill="1" applyBorder="1" applyAlignment="1">
      <alignment horizontal="center" vertical="center"/>
    </xf>
    <xf numFmtId="0" fontId="32" fillId="0" borderId="6" xfId="1" applyFont="1" applyBorder="1" applyAlignment="1">
      <alignment horizontal="center" vertical="center"/>
    </xf>
    <xf numFmtId="0" fontId="32" fillId="0" borderId="8" xfId="1" applyFont="1" applyBorder="1" applyAlignment="1">
      <alignment horizontal="center" vertical="center"/>
    </xf>
    <xf numFmtId="0" fontId="27" fillId="0" borderId="1" xfId="1" applyFont="1" applyBorder="1" applyAlignment="1">
      <alignment horizontal="center" vertical="center"/>
    </xf>
    <xf numFmtId="10" fontId="22" fillId="0" borderId="16" xfId="3" applyNumberFormat="1" applyFill="1" applyBorder="1" applyAlignment="1">
      <alignment horizontal="center" vertical="center"/>
    </xf>
    <xf numFmtId="10" fontId="22" fillId="0" borderId="11" xfId="3" applyNumberFormat="1" applyFill="1" applyBorder="1" applyAlignment="1">
      <alignment horizontal="center" vertical="center"/>
    </xf>
    <xf numFmtId="10" fontId="23" fillId="7" borderId="3" xfId="1" applyNumberFormat="1" applyFont="1" applyFill="1" applyBorder="1" applyAlignment="1">
      <alignment horizontal="center" vertical="center"/>
    </xf>
    <xf numFmtId="10" fontId="7" fillId="0" borderId="1" xfId="3" applyNumberFormat="1" applyFont="1" applyFill="1" applyBorder="1" applyAlignment="1">
      <alignment horizontal="center" vertical="center"/>
    </xf>
    <xf numFmtId="0" fontId="26" fillId="0" borderId="1" xfId="1" applyFont="1" applyBorder="1" applyAlignment="1">
      <alignment horizontal="center" vertical="center"/>
    </xf>
    <xf numFmtId="0" fontId="27" fillId="0" borderId="4" xfId="1" applyFont="1" applyBorder="1" applyAlignment="1">
      <alignment horizontal="center" vertical="center" wrapText="1"/>
    </xf>
    <xf numFmtId="0" fontId="27" fillId="0" borderId="15" xfId="1" applyFont="1" applyBorder="1" applyAlignment="1">
      <alignment horizontal="center" vertical="center"/>
    </xf>
    <xf numFmtId="0" fontId="27" fillId="0" borderId="14" xfId="1" applyFont="1" applyBorder="1" applyAlignment="1">
      <alignment horizontal="center" vertical="center"/>
    </xf>
    <xf numFmtId="0" fontId="44" fillId="0" borderId="0" xfId="1" applyFont="1" applyAlignment="1">
      <alignment horizontal="center" vertical="center"/>
    </xf>
    <xf numFmtId="0" fontId="42" fillId="0" borderId="1" xfId="1" applyFont="1" applyBorder="1" applyAlignment="1">
      <alignment horizontal="left" vertical="center"/>
    </xf>
    <xf numFmtId="0" fontId="42" fillId="0" borderId="6" xfId="1" applyFont="1" applyBorder="1" applyAlignment="1">
      <alignment horizontal="left" vertical="top"/>
    </xf>
    <xf numFmtId="0" fontId="42" fillId="0" borderId="8" xfId="1" applyFont="1" applyBorder="1" applyAlignment="1">
      <alignment horizontal="left" vertical="top"/>
    </xf>
    <xf numFmtId="0" fontId="42" fillId="0" borderId="7" xfId="1" applyFont="1" applyBorder="1" applyAlignment="1">
      <alignment horizontal="left" vertical="top"/>
    </xf>
    <xf numFmtId="0" fontId="29" fillId="0" borderId="1" xfId="4" applyFont="1" applyFill="1" applyBorder="1" applyAlignment="1">
      <alignment horizontal="center" vertical="center"/>
    </xf>
    <xf numFmtId="0" fontId="29" fillId="0" borderId="4" xfId="3" applyFont="1" applyFill="1" applyBorder="1" applyAlignment="1">
      <alignment horizontal="center" vertical="center"/>
    </xf>
    <xf numFmtId="0" fontId="29" fillId="0" borderId="2" xfId="3" applyFont="1" applyFill="1" applyBorder="1" applyAlignment="1">
      <alignment horizontal="center" vertical="center"/>
    </xf>
    <xf numFmtId="0" fontId="29" fillId="0" borderId="1" xfId="3" applyFont="1" applyFill="1" applyBorder="1" applyAlignment="1">
      <alignment horizontal="center" vertical="center"/>
    </xf>
    <xf numFmtId="0" fontId="35" fillId="0" borderId="1" xfId="4" applyFont="1" applyFill="1" applyBorder="1" applyAlignment="1">
      <alignment horizontal="left" vertical="center"/>
    </xf>
    <xf numFmtId="0" fontId="43" fillId="0" borderId="1" xfId="4" applyFont="1" applyFill="1" applyBorder="1" applyAlignment="1">
      <alignment horizontal="center" vertical="center"/>
    </xf>
    <xf numFmtId="0" fontId="26" fillId="0" borderId="1" xfId="1" applyFont="1" applyBorder="1" applyAlignment="1">
      <alignment horizontal="left" vertical="center"/>
    </xf>
    <xf numFmtId="0" fontId="31" fillId="0" borderId="6" xfId="1" applyFont="1" applyBorder="1" applyAlignment="1">
      <alignment horizontal="center" vertical="center" wrapText="1"/>
    </xf>
    <xf numFmtId="0" fontId="31" fillId="0" borderId="8" xfId="1" applyFont="1" applyBorder="1" applyAlignment="1">
      <alignment horizontal="center" vertical="center" wrapText="1"/>
    </xf>
    <xf numFmtId="0" fontId="26" fillId="0" borderId="6" xfId="1" applyFont="1" applyBorder="1" applyAlignment="1">
      <alignment horizontal="left" vertical="center"/>
    </xf>
    <xf numFmtId="0" fontId="26" fillId="0" borderId="8" xfId="1" applyFont="1" applyBorder="1" applyAlignment="1">
      <alignment horizontal="left" vertical="center"/>
    </xf>
    <xf numFmtId="0" fontId="26" fillId="0" borderId="2" xfId="1" applyFont="1" applyBorder="1" applyAlignment="1">
      <alignment horizontal="left" vertical="center"/>
    </xf>
    <xf numFmtId="0" fontId="31" fillId="0" borderId="1" xfId="1" applyFont="1" applyBorder="1" applyAlignment="1">
      <alignment horizontal="center" vertical="center" wrapText="1"/>
    </xf>
    <xf numFmtId="0" fontId="32" fillId="0" borderId="12" xfId="1" applyFont="1" applyBorder="1" applyAlignment="1">
      <alignment horizontal="right"/>
    </xf>
    <xf numFmtId="14" fontId="32" fillId="0" borderId="12" xfId="1" applyNumberFormat="1" applyFont="1" applyBorder="1" applyAlignment="1">
      <alignment horizontal="left"/>
    </xf>
    <xf numFmtId="0" fontId="32" fillId="0" borderId="12" xfId="1" applyFont="1" applyBorder="1" applyAlignment="1">
      <alignment horizontal="left"/>
    </xf>
    <xf numFmtId="0" fontId="39" fillId="3" borderId="4" xfId="4" applyFont="1" applyBorder="1" applyAlignment="1">
      <alignment horizontal="center" vertical="center"/>
    </xf>
    <xf numFmtId="0" fontId="39" fillId="3" borderId="2" xfId="4" applyFont="1" applyBorder="1" applyAlignment="1">
      <alignment horizontal="center" vertical="center"/>
    </xf>
    <xf numFmtId="10" fontId="30" fillId="3" borderId="4" xfId="4" applyNumberFormat="1" applyFont="1" applyBorder="1" applyAlignment="1">
      <alignment horizontal="center" vertical="center" wrapText="1"/>
    </xf>
    <xf numFmtId="10" fontId="30" fillId="3" borderId="2" xfId="4" applyNumberFormat="1" applyFont="1" applyBorder="1" applyAlignment="1">
      <alignment horizontal="center" vertical="center" wrapText="1"/>
    </xf>
    <xf numFmtId="0" fontId="39" fillId="4" borderId="4" xfId="3" applyFont="1" applyBorder="1" applyAlignment="1">
      <alignment horizontal="center" vertical="center"/>
    </xf>
    <xf numFmtId="0" fontId="39" fillId="4" borderId="3" xfId="3" applyFont="1" applyBorder="1" applyAlignment="1">
      <alignment horizontal="center" vertical="center"/>
    </xf>
    <xf numFmtId="0" fontId="39" fillId="4" borderId="2" xfId="3" applyFont="1" applyBorder="1" applyAlignment="1">
      <alignment horizontal="center" vertical="center"/>
    </xf>
    <xf numFmtId="10" fontId="30" fillId="4" borderId="4" xfId="3" applyNumberFormat="1" applyFont="1" applyBorder="1" applyAlignment="1">
      <alignment horizontal="center" vertical="center" wrapText="1"/>
    </xf>
    <xf numFmtId="10" fontId="30" fillId="4" borderId="3" xfId="3" applyNumberFormat="1" applyFont="1" applyBorder="1" applyAlignment="1">
      <alignment horizontal="center" vertical="center" wrapText="1"/>
    </xf>
    <xf numFmtId="10" fontId="30" fillId="4" borderId="2" xfId="3" applyNumberFormat="1" applyFont="1" applyBorder="1" applyAlignment="1">
      <alignment horizontal="center" vertical="center" wrapText="1"/>
    </xf>
    <xf numFmtId="0" fontId="39" fillId="11" borderId="4" xfId="3" applyFont="1" applyFill="1" applyBorder="1" applyAlignment="1">
      <alignment horizontal="center" vertical="center"/>
    </xf>
    <xf numFmtId="0" fontId="39" fillId="11" borderId="3" xfId="3" applyFont="1" applyFill="1" applyBorder="1" applyAlignment="1">
      <alignment horizontal="center" vertical="center"/>
    </xf>
    <xf numFmtId="0" fontId="39" fillId="11" borderId="2" xfId="3" applyFont="1" applyFill="1" applyBorder="1" applyAlignment="1">
      <alignment horizontal="center" vertical="center"/>
    </xf>
    <xf numFmtId="0" fontId="30" fillId="11" borderId="4" xfId="3" applyFont="1" applyFill="1" applyBorder="1" applyAlignment="1">
      <alignment horizontal="center" vertical="center"/>
    </xf>
    <xf numFmtId="0" fontId="30" fillId="11" borderId="3" xfId="3" applyFont="1" applyFill="1" applyBorder="1" applyAlignment="1">
      <alignment horizontal="center" vertical="center"/>
    </xf>
    <xf numFmtId="0" fontId="30" fillId="11" borderId="2" xfId="3" applyFont="1" applyFill="1" applyBorder="1" applyAlignment="1">
      <alignment horizontal="center" vertical="center"/>
    </xf>
    <xf numFmtId="0" fontId="39" fillId="10" borderId="4" xfId="3" applyFont="1" applyFill="1" applyBorder="1" applyAlignment="1">
      <alignment horizontal="center" vertical="center"/>
    </xf>
    <xf numFmtId="0" fontId="39" fillId="10" borderId="3" xfId="3" applyFont="1" applyFill="1" applyBorder="1" applyAlignment="1">
      <alignment horizontal="center" vertical="center"/>
    </xf>
    <xf numFmtId="0" fontId="39" fillId="10" borderId="2" xfId="3" applyFont="1" applyFill="1" applyBorder="1" applyAlignment="1">
      <alignment horizontal="center" vertical="center"/>
    </xf>
    <xf numFmtId="0" fontId="39" fillId="3" borderId="3" xfId="4" applyFont="1" applyBorder="1" applyAlignment="1">
      <alignment horizontal="center" vertical="center"/>
    </xf>
    <xf numFmtId="10" fontId="30" fillId="3" borderId="3" xfId="4" applyNumberFormat="1" applyFont="1" applyBorder="1" applyAlignment="1">
      <alignment horizontal="center" vertical="center" wrapText="1"/>
    </xf>
    <xf numFmtId="10" fontId="30" fillId="10" borderId="4" xfId="3" applyNumberFormat="1" applyFont="1" applyFill="1" applyBorder="1" applyAlignment="1">
      <alignment horizontal="center" vertical="center" wrapText="1"/>
    </xf>
    <xf numFmtId="10" fontId="30" fillId="10" borderId="3" xfId="3" applyNumberFormat="1" applyFont="1" applyFill="1" applyBorder="1" applyAlignment="1">
      <alignment horizontal="center" vertical="center" wrapText="1"/>
    </xf>
    <xf numFmtId="10" fontId="30" fillId="10" borderId="2" xfId="3" applyNumberFormat="1" applyFont="1" applyFill="1" applyBorder="1" applyAlignment="1">
      <alignment horizontal="center" vertical="center" wrapText="1"/>
    </xf>
    <xf numFmtId="10" fontId="30" fillId="11" borderId="4" xfId="3" applyNumberFormat="1" applyFont="1" applyFill="1" applyBorder="1" applyAlignment="1">
      <alignment horizontal="center" vertical="center" wrapText="1"/>
    </xf>
    <xf numFmtId="10" fontId="30" fillId="11" borderId="2" xfId="3" applyNumberFormat="1" applyFont="1" applyFill="1" applyBorder="1" applyAlignment="1">
      <alignment horizontal="center" vertical="center" wrapText="1"/>
    </xf>
    <xf numFmtId="0" fontId="30" fillId="10" borderId="4" xfId="3" applyFont="1" applyFill="1" applyBorder="1" applyAlignment="1">
      <alignment horizontal="center" vertical="center" wrapText="1"/>
    </xf>
    <xf numFmtId="0" fontId="30" fillId="10" borderId="3" xfId="3" applyFont="1" applyFill="1" applyBorder="1" applyAlignment="1">
      <alignment horizontal="center" vertical="center"/>
    </xf>
    <xf numFmtId="0" fontId="30" fillId="10" borderId="2" xfId="3" applyFont="1" applyFill="1" applyBorder="1" applyAlignment="1">
      <alignment horizontal="center" vertical="center"/>
    </xf>
    <xf numFmtId="0" fontId="39" fillId="11" borderId="4" xfId="4" applyFont="1" applyFill="1" applyBorder="1" applyAlignment="1">
      <alignment horizontal="center" vertical="center"/>
    </xf>
    <xf numFmtId="0" fontId="39" fillId="11" borderId="2" xfId="4" applyFont="1" applyFill="1" applyBorder="1" applyAlignment="1">
      <alignment horizontal="center" vertical="center"/>
    </xf>
    <xf numFmtId="10" fontId="30" fillId="11" borderId="4" xfId="4" applyNumberFormat="1" applyFont="1" applyFill="1" applyBorder="1" applyAlignment="1">
      <alignment horizontal="center" vertical="center" wrapText="1"/>
    </xf>
    <xf numFmtId="10" fontId="30" fillId="11" borderId="2" xfId="4" applyNumberFormat="1" applyFont="1" applyFill="1" applyBorder="1" applyAlignment="1">
      <alignment horizontal="center" vertical="center" wrapText="1"/>
    </xf>
    <xf numFmtId="0" fontId="16" fillId="3" borderId="4" xfId="4" applyFont="1" applyBorder="1" applyAlignment="1">
      <alignment horizontal="center" vertical="center"/>
    </xf>
    <xf numFmtId="0" fontId="16" fillId="3" borderId="3" xfId="4" applyFont="1" applyBorder="1" applyAlignment="1">
      <alignment horizontal="center" vertical="center"/>
    </xf>
    <xf numFmtId="0" fontId="16" fillId="3" borderId="2" xfId="4" applyFont="1" applyBorder="1" applyAlignment="1">
      <alignment horizontal="center" vertical="center"/>
    </xf>
    <xf numFmtId="0" fontId="16" fillId="4" borderId="4" xfId="3" applyFont="1" applyBorder="1" applyAlignment="1">
      <alignment horizontal="center" vertical="center"/>
    </xf>
    <xf numFmtId="0" fontId="16" fillId="4" borderId="3" xfId="3" applyFont="1" applyBorder="1" applyAlignment="1">
      <alignment horizontal="center" vertical="center"/>
    </xf>
    <xf numFmtId="0" fontId="16" fillId="4" borderId="2" xfId="3" applyFont="1" applyBorder="1" applyAlignment="1">
      <alignment horizontal="center" vertical="center"/>
    </xf>
    <xf numFmtId="0" fontId="16" fillId="3" borderId="1" xfId="4" applyFont="1" applyBorder="1" applyAlignment="1">
      <alignment horizontal="center" vertical="center"/>
    </xf>
    <xf numFmtId="0" fontId="72" fillId="0" borderId="0" xfId="1" applyFont="1" applyAlignment="1">
      <alignment horizontal="center" vertical="center"/>
    </xf>
    <xf numFmtId="0" fontId="72" fillId="0" borderId="1" xfId="1" applyFont="1" applyBorder="1" applyAlignment="1">
      <alignment horizontal="left" vertical="center"/>
    </xf>
    <xf numFmtId="10" fontId="14" fillId="0" borderId="4" xfId="4" applyNumberFormat="1" applyFont="1" applyFill="1" applyBorder="1" applyAlignment="1">
      <alignment vertical="center"/>
    </xf>
    <xf numFmtId="10" fontId="14" fillId="0" borderId="3" xfId="4" applyNumberFormat="1" applyFont="1" applyFill="1" applyBorder="1" applyAlignment="1">
      <alignment vertical="center"/>
    </xf>
    <xf numFmtId="10" fontId="14" fillId="0" borderId="2" xfId="4" applyNumberFormat="1" applyFont="1" applyFill="1" applyBorder="1" applyAlignment="1">
      <alignment vertical="center"/>
    </xf>
    <xf numFmtId="10" fontId="14" fillId="0" borderId="4" xfId="4" applyNumberFormat="1" applyFont="1" applyFill="1" applyBorder="1" applyAlignment="1">
      <alignment horizontal="center" vertical="center"/>
    </xf>
    <xf numFmtId="10" fontId="14" fillId="0" borderId="3" xfId="4" applyNumberFormat="1" applyFont="1" applyFill="1" applyBorder="1" applyAlignment="1">
      <alignment horizontal="center" vertical="center"/>
    </xf>
    <xf numFmtId="10" fontId="14" fillId="0" borderId="2" xfId="4" applyNumberFormat="1" applyFont="1" applyFill="1" applyBorder="1" applyAlignment="1">
      <alignment horizontal="center" vertical="center"/>
    </xf>
    <xf numFmtId="0" fontId="16" fillId="10" borderId="4" xfId="3" applyFont="1" applyFill="1" applyBorder="1" applyAlignment="1">
      <alignment horizontal="center" vertical="center"/>
    </xf>
    <xf numFmtId="0" fontId="16" fillId="10" borderId="3" xfId="3" applyFont="1" applyFill="1" applyBorder="1" applyAlignment="1">
      <alignment horizontal="center" vertical="center"/>
    </xf>
    <xf numFmtId="0" fontId="16" fillId="10" borderId="2" xfId="3" applyFont="1" applyFill="1" applyBorder="1" applyAlignment="1">
      <alignment horizontal="center" vertical="center"/>
    </xf>
    <xf numFmtId="0" fontId="16" fillId="4" borderId="1" xfId="3" applyFont="1" applyBorder="1" applyAlignment="1">
      <alignment horizontal="center" vertical="center"/>
    </xf>
    <xf numFmtId="0" fontId="14" fillId="0" borderId="4" xfId="3" applyFont="1" applyFill="1" applyBorder="1" applyAlignment="1">
      <alignment horizontal="center" vertical="center" wrapText="1"/>
    </xf>
    <xf numFmtId="0" fontId="14" fillId="0" borderId="3" xfId="3" applyFont="1" applyFill="1" applyBorder="1" applyAlignment="1">
      <alignment horizontal="center" vertical="center" wrapText="1"/>
    </xf>
    <xf numFmtId="0" fontId="14" fillId="0" borderId="2" xfId="3" applyFont="1" applyFill="1" applyBorder="1" applyAlignment="1">
      <alignment horizontal="center" vertical="center" wrapText="1"/>
    </xf>
    <xf numFmtId="10" fontId="14" fillId="0" borderId="4" xfId="3" applyNumberFormat="1" applyFont="1" applyFill="1" applyBorder="1" applyAlignment="1">
      <alignment horizontal="center" vertical="center"/>
    </xf>
    <xf numFmtId="10" fontId="14" fillId="0" borderId="3" xfId="3" applyNumberFormat="1" applyFont="1" applyFill="1" applyBorder="1" applyAlignment="1">
      <alignment horizontal="center" vertical="center"/>
    </xf>
    <xf numFmtId="10" fontId="14" fillId="0" borderId="2" xfId="3" applyNumberFormat="1" applyFont="1" applyFill="1" applyBorder="1" applyAlignment="1">
      <alignment horizontal="center" vertical="center"/>
    </xf>
    <xf numFmtId="0" fontId="16" fillId="11" borderId="1" xfId="4" applyFont="1" applyFill="1" applyBorder="1" applyAlignment="1">
      <alignment horizontal="center" vertical="center"/>
    </xf>
    <xf numFmtId="0" fontId="16" fillId="10" borderId="4" xfId="4" applyFont="1" applyFill="1" applyBorder="1" applyAlignment="1">
      <alignment horizontal="center" vertical="center"/>
    </xf>
    <xf numFmtId="0" fontId="16" fillId="10" borderId="3" xfId="4" applyFont="1" applyFill="1" applyBorder="1" applyAlignment="1">
      <alignment horizontal="center" vertical="center"/>
    </xf>
    <xf numFmtId="0" fontId="16" fillId="10" borderId="2" xfId="4" applyFont="1" applyFill="1" applyBorder="1" applyAlignment="1">
      <alignment horizontal="center" vertical="center"/>
    </xf>
    <xf numFmtId="0" fontId="16" fillId="10" borderId="1" xfId="3" applyFont="1" applyFill="1" applyBorder="1" applyAlignment="1">
      <alignment horizontal="center" vertical="center"/>
    </xf>
    <xf numFmtId="0" fontId="14" fillId="0" borderId="4" xfId="3" applyFont="1" applyFill="1" applyBorder="1" applyAlignment="1">
      <alignment horizontal="center" vertical="center"/>
    </xf>
    <xf numFmtId="0" fontId="14" fillId="0" borderId="3" xfId="3" applyFont="1" applyFill="1" applyBorder="1" applyAlignment="1">
      <alignment horizontal="center" vertical="center"/>
    </xf>
    <xf numFmtId="0" fontId="14" fillId="0" borderId="2" xfId="3" applyFont="1" applyFill="1" applyBorder="1" applyAlignment="1">
      <alignment horizontal="center" vertical="center"/>
    </xf>
    <xf numFmtId="0" fontId="31" fillId="0" borderId="9" xfId="1" applyFont="1" applyBorder="1" applyAlignment="1">
      <alignment horizontal="left"/>
    </xf>
    <xf numFmtId="0" fontId="31" fillId="0" borderId="8" xfId="1" applyFont="1" applyBorder="1" applyAlignment="1">
      <alignment horizontal="left"/>
    </xf>
    <xf numFmtId="0" fontId="31" fillId="0" borderId="7" xfId="1" applyFont="1" applyBorder="1" applyAlignment="1">
      <alignment horizontal="left"/>
    </xf>
    <xf numFmtId="0" fontId="23" fillId="10" borderId="4" xfId="4" applyFont="1" applyFill="1" applyBorder="1" applyAlignment="1">
      <alignment horizontal="center" vertical="center"/>
    </xf>
    <xf numFmtId="0" fontId="23" fillId="10" borderId="3" xfId="4" applyFont="1" applyFill="1" applyBorder="1" applyAlignment="1">
      <alignment horizontal="center" vertical="center"/>
    </xf>
    <xf numFmtId="0" fontId="23" fillId="10" borderId="2" xfId="4" applyFont="1" applyFill="1" applyBorder="1" applyAlignment="1">
      <alignment horizontal="center" vertical="center"/>
    </xf>
    <xf numFmtId="0" fontId="23" fillId="3" borderId="4" xfId="4" applyFont="1" applyBorder="1" applyAlignment="1">
      <alignment horizontal="center" vertical="center"/>
    </xf>
    <xf numFmtId="0" fontId="23" fillId="3" borderId="3" xfId="4" applyFont="1" applyBorder="1" applyAlignment="1">
      <alignment horizontal="center" vertical="center"/>
    </xf>
    <xf numFmtId="0" fontId="23" fillId="3" borderId="2" xfId="4" applyFont="1" applyBorder="1" applyAlignment="1">
      <alignment horizontal="center" vertical="center"/>
    </xf>
    <xf numFmtId="0" fontId="23" fillId="4" borderId="4" xfId="3" applyFont="1" applyBorder="1" applyAlignment="1">
      <alignment horizontal="center" vertical="center"/>
    </xf>
    <xf numFmtId="0" fontId="23" fillId="4" borderId="2" xfId="3" applyFont="1" applyBorder="1" applyAlignment="1">
      <alignment horizontal="center" vertical="center"/>
    </xf>
    <xf numFmtId="0" fontId="23" fillId="11" borderId="4" xfId="4" applyFont="1" applyFill="1" applyBorder="1" applyAlignment="1">
      <alignment horizontal="center" vertical="center"/>
    </xf>
    <xf numFmtId="0" fontId="23" fillId="11" borderId="3" xfId="4" applyFont="1" applyFill="1" applyBorder="1" applyAlignment="1">
      <alignment horizontal="center" vertical="center"/>
    </xf>
    <xf numFmtId="0" fontId="23" fillId="11" borderId="2" xfId="4" applyFont="1" applyFill="1" applyBorder="1" applyAlignment="1">
      <alignment horizontal="center" vertical="center"/>
    </xf>
    <xf numFmtId="0" fontId="32" fillId="0" borderId="13" xfId="1" applyFont="1" applyBorder="1" applyAlignment="1">
      <alignment horizontal="center" vertical="center" wrapText="1"/>
    </xf>
    <xf numFmtId="0" fontId="32" fillId="0" borderId="0" xfId="1" applyFont="1" applyAlignment="1">
      <alignment horizontal="center" vertical="center" wrapText="1"/>
    </xf>
    <xf numFmtId="0" fontId="31" fillId="0" borderId="12" xfId="1" applyFont="1" applyBorder="1" applyAlignment="1">
      <alignment horizontal="left"/>
    </xf>
    <xf numFmtId="0" fontId="31" fillId="0" borderId="11" xfId="1" applyFont="1" applyBorder="1" applyAlignment="1">
      <alignment horizontal="left"/>
    </xf>
    <xf numFmtId="14" fontId="28" fillId="0" borderId="1" xfId="1" applyNumberFormat="1" applyFont="1" applyBorder="1" applyAlignment="1">
      <alignment horizontal="left"/>
    </xf>
    <xf numFmtId="0" fontId="28" fillId="0" borderId="1" xfId="1" applyFont="1" applyBorder="1" applyAlignment="1">
      <alignment horizontal="left"/>
    </xf>
    <xf numFmtId="14" fontId="28" fillId="0" borderId="6" xfId="1" applyNumberFormat="1" applyFont="1" applyBorder="1" applyAlignment="1">
      <alignment horizontal="left"/>
    </xf>
    <xf numFmtId="14" fontId="28" fillId="0" borderId="8" xfId="1" applyNumberFormat="1" applyFont="1" applyBorder="1" applyAlignment="1">
      <alignment horizontal="left"/>
    </xf>
    <xf numFmtId="14" fontId="28" fillId="0" borderId="7" xfId="1" applyNumberFormat="1" applyFont="1" applyBorder="1" applyAlignment="1">
      <alignment horizontal="left"/>
    </xf>
    <xf numFmtId="14" fontId="28" fillId="0" borderId="18" xfId="1" applyNumberFormat="1" applyFont="1" applyBorder="1" applyAlignment="1">
      <alignment horizontal="left"/>
    </xf>
    <xf numFmtId="10" fontId="23" fillId="10" borderId="2" xfId="3" applyNumberFormat="1" applyFont="1" applyFill="1" applyBorder="1" applyAlignment="1">
      <alignment horizontal="center" vertical="center" wrapText="1"/>
    </xf>
    <xf numFmtId="0" fontId="23" fillId="10" borderId="4" xfId="3" applyFont="1" applyFill="1" applyBorder="1" applyAlignment="1">
      <alignment horizontal="center" vertical="center"/>
    </xf>
    <xf numFmtId="0" fontId="74" fillId="0" borderId="12" xfId="1" applyFont="1" applyBorder="1" applyAlignment="1">
      <alignment horizontal="center"/>
    </xf>
    <xf numFmtId="14" fontId="74" fillId="0" borderId="12" xfId="1" applyNumberFormat="1" applyFont="1" applyBorder="1" applyAlignment="1">
      <alignment horizontal="center"/>
    </xf>
  </cellXfs>
  <cellStyles count="8">
    <cellStyle name="20% - Accent5 2" xfId="4" xr:uid="{00000000-0005-0000-0000-000000000000}"/>
    <cellStyle name="40% - Accent1 2" xfId="5" xr:uid="{00000000-0005-0000-0000-000001000000}"/>
    <cellStyle name="40% - Accent5 2" xfId="3" xr:uid="{00000000-0005-0000-0000-000002000000}"/>
    <cellStyle name="Normal 2" xfId="1" xr:uid="{00000000-0005-0000-0000-000005000000}"/>
    <cellStyle name="Percent 2" xfId="2" xr:uid="{00000000-0005-0000-0000-000006000000}"/>
    <cellStyle name="Style 1" xfId="6" xr:uid="{00000000-0005-0000-0000-000007000000}"/>
    <cellStyle name="差" xfId="7" builtinId="27"/>
    <cellStyle name="常规" xfId="0" builtinId="0"/>
  </cellStyles>
  <dxfs count="80">
    <dxf>
      <fill>
        <patternFill patternType="solid">
          <bgColor rgb="FFFF0000"/>
        </patternFill>
      </fill>
    </dxf>
    <dxf>
      <fill>
        <patternFill patternType="solid">
          <bgColor rgb="FF00B050"/>
        </patternFill>
      </fill>
    </dxf>
    <dxf>
      <fill>
        <patternFill patternType="solid">
          <bgColor theme="0"/>
        </patternFill>
      </fill>
    </dxf>
    <dxf>
      <fill>
        <patternFill patternType="solid">
          <bgColor rgb="FFFF0000"/>
        </patternFill>
      </fill>
    </dxf>
    <dxf>
      <fill>
        <patternFill patternType="solid">
          <bgColor rgb="FF00B050"/>
        </patternFill>
      </fill>
    </dxf>
    <dxf>
      <fill>
        <patternFill patternType="solid">
          <bgColor theme="0"/>
        </patternFill>
      </fill>
    </dxf>
    <dxf>
      <fill>
        <patternFill patternType="solid">
          <bgColor rgb="FFFF0000"/>
        </patternFill>
      </fill>
    </dxf>
    <dxf>
      <fill>
        <patternFill patternType="solid">
          <bgColor rgb="FF00B050"/>
        </patternFill>
      </fill>
    </dxf>
    <dxf>
      <fill>
        <patternFill patternType="solid">
          <bgColor theme="0"/>
        </patternFill>
      </fill>
    </dxf>
    <dxf>
      <fill>
        <patternFill patternType="solid">
          <bgColor rgb="FFFF0000"/>
        </patternFill>
      </fill>
    </dxf>
    <dxf>
      <fill>
        <patternFill patternType="solid">
          <bgColor theme="0"/>
        </patternFill>
      </fill>
    </dxf>
    <dxf>
      <fill>
        <patternFill patternType="solid">
          <bgColor rgb="FF00B050"/>
        </patternFill>
      </fill>
    </dxf>
    <dxf>
      <fill>
        <patternFill patternType="solid">
          <bgColor rgb="FFFF0000"/>
        </patternFill>
      </fill>
    </dxf>
    <dxf>
      <fill>
        <patternFill patternType="solid">
          <bgColor rgb="FF00B050"/>
        </patternFill>
      </fill>
    </dxf>
    <dxf>
      <fill>
        <patternFill patternType="solid">
          <bgColor theme="0"/>
        </patternFill>
      </fill>
    </dxf>
    <dxf>
      <fill>
        <patternFill patternType="solid">
          <bgColor rgb="FFFF0000"/>
        </patternFill>
      </fill>
    </dxf>
    <dxf>
      <fill>
        <patternFill patternType="solid">
          <bgColor rgb="FF00B050"/>
        </patternFill>
      </fill>
    </dxf>
    <dxf>
      <fill>
        <patternFill patternType="solid">
          <bgColor theme="0"/>
        </patternFill>
      </fill>
    </dxf>
    <dxf>
      <font>
        <color rgb="FF9C0006"/>
      </font>
    </dxf>
    <dxf>
      <font>
        <color rgb="FF00B050"/>
      </font>
    </dxf>
    <dxf>
      <font>
        <color rgb="FF00B050"/>
      </font>
    </dxf>
    <dxf>
      <font>
        <color rgb="FF9C0006"/>
      </font>
    </dxf>
    <dxf>
      <font>
        <color rgb="FF9C0006"/>
      </font>
    </dxf>
    <dxf>
      <font>
        <color rgb="FF00B050"/>
      </font>
    </dxf>
    <dxf>
      <font>
        <color rgb="FF00B050"/>
      </font>
    </dxf>
    <dxf>
      <font>
        <color rgb="FF9C0006"/>
      </font>
    </dxf>
    <dxf>
      <font>
        <color rgb="FF9C0006"/>
      </font>
    </dxf>
    <dxf>
      <font>
        <color rgb="FF00B050"/>
      </font>
    </dxf>
    <dxf>
      <font>
        <color rgb="FF00B050"/>
      </font>
    </dxf>
    <dxf>
      <font>
        <color rgb="FF9C0006"/>
      </font>
    </dxf>
    <dxf>
      <font>
        <color rgb="FF9C0006"/>
      </font>
    </dxf>
    <dxf>
      <font>
        <color rgb="FF00B050"/>
      </font>
    </dxf>
    <dxf>
      <font>
        <color rgb="FF00B050"/>
      </font>
    </dxf>
    <dxf>
      <font>
        <color rgb="FF9C0006"/>
      </font>
    </dxf>
    <dxf>
      <font>
        <strike val="0"/>
        <outline val="0"/>
        <shadow val="0"/>
        <u val="none"/>
        <vertAlign val="baseline"/>
        <sz val="11"/>
        <name val="Calibri"/>
      </font>
      <fill>
        <patternFill patternType="none">
          <fgColor indexed="64"/>
          <bgColor auto="1"/>
        </patternFill>
      </fill>
      <border diagonalUp="0" diagonalDown="0">
        <left style="thin">
          <color indexed="64"/>
        </left>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ont>
      <numFmt numFmtId="180" formatCode="[$¥-804]#,##0;[Red][$¥-804]\-#,##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ont>
      <numFmt numFmtId="14" formatCode="0.0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ont>
      <numFmt numFmtId="14" formatCode="0.0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ont>
      <numFmt numFmtId="14" formatCode="0.0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ont>
      <numFmt numFmtId="14" formatCode="0.0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ont>
      <fill>
        <patternFill patternType="none">
          <fgColor indexed="64"/>
          <bgColor auto="1"/>
        </patternFill>
      </fill>
      <border diagonalUp="0" diagonalDown="0">
        <left/>
        <right style="thin">
          <color indexed="64"/>
        </right>
        <top style="thin">
          <color indexed="64"/>
        </top>
        <bottom style="thin">
          <color indexed="64"/>
        </bottom>
        <vertical style="thin">
          <color indexed="64"/>
        </vertical>
        <horizontal style="thin">
          <color indexed="64"/>
        </horizontal>
      </border>
    </dxf>
    <dxf>
      <border outline="0">
        <top style="thin">
          <color auto="1"/>
        </top>
      </border>
    </dxf>
    <dxf>
      <border outline="0">
        <left style="thin">
          <color auto="1"/>
        </left>
        <right style="thin">
          <color auto="1"/>
        </right>
        <top style="thin">
          <color auto="1"/>
        </top>
        <bottom style="thin">
          <color auto="1"/>
        </bottom>
      </border>
    </dxf>
    <dxf>
      <font>
        <strike val="0"/>
        <outline val="0"/>
        <shadow val="0"/>
        <u val="none"/>
        <vertAlign val="baseline"/>
        <sz val="11"/>
        <name val="Calibri"/>
      </font>
      <fill>
        <patternFill patternType="none">
          <fgColor indexed="64"/>
          <bgColor auto="1"/>
        </patternFill>
      </fill>
    </dxf>
    <dxf>
      <border outline="0">
        <bottom style="thin">
          <color auto="1"/>
        </bottom>
      </border>
    </dxf>
    <dxf>
      <font>
        <strike val="0"/>
        <outline val="0"/>
        <shadow val="0"/>
        <u val="none"/>
        <vertAlign val="baseline"/>
        <sz val="11"/>
        <name val="Calibri"/>
      </font>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1"/>
        <name val="Calibri"/>
      </font>
      <numFmt numFmtId="181" formatCode="&quot;$&quot;#,##0_);[Red]\(&quot;$&quot;#,##0\)"/>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vertAlign val="baseline"/>
        <sz val="11"/>
        <name val="Calibri"/>
      </font>
      <numFmt numFmtId="181" formatCode="&quot;$&quot;#,##0_);[Red]\(&quot;$&quot;#,##0\)"/>
      <fill>
        <patternFill patternType="none">
          <fgColor indexed="64"/>
          <bgColor auto="1"/>
        </patternFill>
      </fill>
      <alignment horizontal="center" vertical="bottom" textRotation="0" wrapText="0" indent="0" justifyLastLine="0" shrinkToFit="0" readingOrder="0"/>
      <border diagonalUp="0" diagonalDown="0" outline="0">
        <left style="thin">
          <color auto="1"/>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1"/>
        <color auto="1"/>
        <name val="Calibri"/>
        <scheme val="minor"/>
      </font>
      <numFmt numFmtId="14" formatCode="0.00%"/>
      <fill>
        <patternFill patternType="none">
          <fgColor indexed="64"/>
          <bgColor auto="1"/>
        </patternFill>
      </fill>
      <alignment horizontal="center" vertical="center" textRotation="0" wrapText="0"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1"/>
        <color auto="1"/>
        <name val="Calibri"/>
        <scheme val="minor"/>
      </font>
      <numFmt numFmtId="14" formatCode="0.00%"/>
      <fill>
        <patternFill patternType="none">
          <fgColor indexed="64"/>
          <bgColor auto="1"/>
        </patternFill>
      </fill>
      <alignment horizontal="center" vertical="center" textRotation="0" wrapText="0"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1"/>
        <color auto="1"/>
        <name val="Calibri"/>
        <scheme val="minor"/>
      </font>
      <numFmt numFmtId="14" formatCode="0.00%"/>
      <fill>
        <patternFill patternType="none">
          <fgColor indexed="64"/>
          <bgColor auto="1"/>
        </patternFill>
      </fill>
      <alignment horizontal="center" vertical="center" textRotation="0" wrapText="0"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1"/>
        <color auto="1"/>
        <name val="Calibri"/>
        <scheme val="minor"/>
      </font>
      <numFmt numFmtId="14" formatCode="0.00%"/>
      <fill>
        <patternFill patternType="none">
          <fgColor indexed="64"/>
          <bgColor auto="1"/>
        </patternFill>
      </fill>
      <alignment horizontal="center" vertical="center" textRotation="0" wrapText="0"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1"/>
        <color auto="1"/>
        <name val="Calibri"/>
        <scheme val="minor"/>
      </font>
      <numFmt numFmtId="14" formatCode="0.00%"/>
      <fill>
        <patternFill patternType="none">
          <fgColor indexed="64"/>
          <bgColor auto="1"/>
        </patternFill>
      </fill>
      <alignment horizontal="center" vertical="center" textRotation="0" indent="0" justifyLastLine="0" shrinkToFit="0" readingOrder="0"/>
      <border diagonalUp="0" diagonalDown="0" outline="0">
        <left style="thin">
          <color auto="1"/>
        </left>
        <right style="thin">
          <color auto="1"/>
        </right>
        <top style="thin">
          <color indexed="64"/>
        </top>
        <bottom style="thin">
          <color indexed="64"/>
        </bottom>
      </border>
    </dxf>
    <dxf>
      <font>
        <strike val="0"/>
        <outline val="0"/>
        <shadow val="0"/>
        <u val="none"/>
        <vertAlign val="baseline"/>
        <sz val="11"/>
        <color auto="1"/>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auto="1"/>
        </left>
        <right style="thin">
          <color auto="1"/>
        </right>
        <top style="thin">
          <color indexed="64"/>
        </top>
        <bottom style="thin">
          <color indexed="64"/>
        </bottom>
      </border>
    </dxf>
    <dxf>
      <font>
        <b/>
        <i val="0"/>
        <strike val="0"/>
        <condense val="0"/>
        <extend val="0"/>
        <outline val="0"/>
        <shadow val="0"/>
        <u val="none"/>
        <vertAlign val="baseline"/>
        <sz val="11"/>
        <color theme="1"/>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right style="thin">
          <color auto="1"/>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ont>
    </dxf>
    <dxf>
      <border>
        <bottom style="thin">
          <color indexed="64"/>
        </bottom>
      </border>
    </dxf>
    <dxf>
      <font>
        <strike val="0"/>
        <outline val="0"/>
        <shadow val="0"/>
        <u val="none"/>
        <vertAlign val="baseline"/>
        <sz val="11"/>
        <name val="Calibri"/>
      </font>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none"/>
      </font>
      <fill>
        <patternFill patternType="none">
          <fgColor indexed="64"/>
          <bgColor auto="1"/>
        </patternFill>
      </fill>
      <alignment horizontal="left" vertical="center" textRotation="0" wrapText="0" indent="0" justifyLastLine="0" shrinkToFit="0" readingOrder="0"/>
      <border outline="0">
        <left style="thin">
          <color auto="1"/>
        </left>
      </border>
    </dxf>
    <dxf>
      <font>
        <b val="0"/>
        <i val="0"/>
        <strike val="0"/>
        <condense val="0"/>
        <extend val="0"/>
        <outline val="0"/>
        <shadow val="0"/>
        <u val="none"/>
        <vertAlign val="baseline"/>
        <sz val="11"/>
        <color auto="1"/>
        <name val="Calibri"/>
        <scheme val="none"/>
      </font>
      <numFmt numFmtId="181" formatCode="&quot;$&quot;#,##0_);[Red]\(&quot;$&quot;#,##0\)"/>
      <fill>
        <patternFill patternType="none">
          <fgColor indexed="64"/>
          <bgColor auto="1"/>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scheme val="minor"/>
      </font>
      <numFmt numFmtId="14" formatCode="0.00%"/>
      <fill>
        <patternFill patternType="none">
          <fgColor indexed="64"/>
          <bgColor indexed="65"/>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strike val="0"/>
        <outline val="0"/>
        <shadow val="0"/>
        <u val="none"/>
        <vertAlign val="baseline"/>
        <sz val="11"/>
        <color auto="1"/>
        <name val="Calibri"/>
      </font>
      <numFmt numFmtId="14" formatCode="0.00%"/>
      <fill>
        <patternFill patternType="none">
          <fgColor indexed="64"/>
          <bgColor indexed="65"/>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scheme val="minor"/>
      </font>
      <numFmt numFmtId="14" formatCode="0.00%"/>
      <fill>
        <patternFill patternType="none">
          <fgColor indexed="64"/>
          <bgColor indexed="65"/>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strike val="0"/>
        <outline val="0"/>
        <shadow val="0"/>
        <u val="none"/>
        <vertAlign val="baseline"/>
        <sz val="11"/>
        <color auto="1"/>
        <name val="Calibri"/>
        <scheme val="minor"/>
      </font>
      <numFmt numFmtId="14" formatCode="0.00%"/>
      <fill>
        <patternFill patternType="none">
          <fgColor indexed="64"/>
          <bgColor indexed="65"/>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scheme val="minor"/>
      </font>
      <numFmt numFmtId="14" formatCode="0.00%"/>
      <fill>
        <patternFill patternType="none">
          <fgColor indexed="64"/>
          <bgColor indexed="65"/>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scheme val="minor"/>
      </font>
      <numFmt numFmtId="14" formatCode="0.00%"/>
      <fill>
        <patternFill patternType="none">
          <fgColor indexed="64"/>
          <bgColor indexed="65"/>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scheme val="minor"/>
      </font>
      <numFmt numFmtId="14" formatCode="0.00%"/>
      <fill>
        <patternFill patternType="none">
          <fgColor indexed="64"/>
          <bgColor indexed="65"/>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11"/>
        <color auto="1"/>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right style="thin">
          <color auto="1"/>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none"/>
      </font>
      <fill>
        <patternFill patternType="none">
          <fgColor indexed="64"/>
          <bgColor auto="1"/>
        </patternFill>
      </fill>
      <alignment horizontal="right" vertical="center" textRotation="0" wrapText="0" indent="0" justifyLastLine="0" shrinkToFit="0" readingOrder="0"/>
    </dxf>
    <dxf>
      <border>
        <bottom style="thin">
          <color indexed="64"/>
        </bottom>
      </border>
    </dxf>
    <dxf>
      <font>
        <b/>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2023%20New%20Folder\Deposit%20&amp;%20Loans\&#23384;&#27454;DST\1.&#21608;&#22235;&#21033;&#29575;&#30003;&#35831;\2026\20260225\20260225&#24066;&#22330;&#21033;&#29575;&#35843;&#3074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22.235.0.27\rbd\!2023%20New%20Folder\Deposit%20&amp;%20Loans\&#23384;&#27454;DST\1.&#21608;&#22235;&#21033;&#29575;&#30003;&#35831;\20250709\Copy%20of%2020250709&#24066;&#22330;&#21033;&#29575;&#35843;&#3074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URerR\URer\DeRktop\BOC\&#23384;&#27454;\&#21608;&#19977;&#21033;&#29575;&#24066;&#22330;&#35843;&#30740;\2022\20220223\20220223&#23384;&#27454;&#21033;&#29575;&#24066;&#22330;&#35843;&#30740;.xlR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Users\User\Desktop\BOC\&#23384;&#27454;\&#21608;&#19977;&#21033;&#29575;&#24066;&#22330;&#35843;&#30740;\2022\20220223\20220223&#23384;&#27454;&#21033;&#29575;&#24066;&#22330;&#35843;&#3074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最高报价汇总 "/>
      <sheetName val="SGD促销"/>
      <sheetName val="USD促销"/>
      <sheetName val="其他外币促销利率"/>
      <sheetName val="SGD挂牌"/>
      <sheetName val="USD挂牌"/>
      <sheetName val="CNY挂牌"/>
      <sheetName val="NZD挂牌"/>
      <sheetName val="CAD挂牌"/>
      <sheetName val="HKD挂牌"/>
      <sheetName val="AUD挂牌"/>
      <sheetName val="EUR挂牌"/>
      <sheetName val="GBP挂牌"/>
      <sheetName val="Premier Rates"/>
      <sheetName val="Bank List"/>
    </sheetNames>
    <sheetDataSet>
      <sheetData sheetId="0"/>
      <sheetData sheetId="1">
        <row r="124">
          <cell r="C124" t="str">
            <v>-</v>
          </cell>
        </row>
        <row r="126">
          <cell r="C126" t="str">
            <v>-</v>
          </cell>
        </row>
        <row r="128">
          <cell r="C128" t="str">
            <v>-</v>
          </cell>
        </row>
        <row r="133">
          <cell r="Q133" t="str">
            <v>-</v>
          </cell>
        </row>
        <row r="135">
          <cell r="Q135" t="str">
            <v>-</v>
          </cell>
        </row>
      </sheetData>
      <sheetData sheetId="2"/>
      <sheetData sheetId="3"/>
      <sheetData sheetId="4">
        <row r="3">
          <cell r="Q3">
            <v>0.01</v>
          </cell>
        </row>
      </sheetData>
      <sheetData sheetId="5"/>
      <sheetData sheetId="6"/>
      <sheetData sheetId="7"/>
      <sheetData sheetId="8"/>
      <sheetData sheetId="9"/>
      <sheetData sheetId="10"/>
      <sheetData sheetId="11"/>
      <sheetData sheetId="12"/>
      <sheetData sheetId="13"/>
      <sheetData sheetId="1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最高报价汇总 "/>
      <sheetName val="其他外币促销利率"/>
      <sheetName val="新元促销"/>
      <sheetName val="美元促销"/>
      <sheetName val="新元挂牌"/>
      <sheetName val="美元挂牌"/>
      <sheetName val="人民币挂牌"/>
      <sheetName val="Bank List"/>
      <sheetName val="其他外币挂牌利率"/>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GD"/>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汇总"/>
      <sheetName val="SGD"/>
      <sheetName val="USD"/>
      <sheetName val="RMB"/>
    </sheetNames>
    <sheetDataSet>
      <sheetData sheetId="0" refreshError="1"/>
      <sheetData sheetId="1" refreshError="1">
        <row r="3">
          <cell r="M3" t="str">
            <v>5月20日</v>
          </cell>
          <cell r="N3" t="str">
            <v>5月27日</v>
          </cell>
        </row>
      </sheetData>
      <sheetData sheetId="2" refreshError="1"/>
      <sheetData sheetId="3"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表1_54" displayName="表1_54" ref="B3:K19" totalsRowShown="0" headerRowDxfId="79" dataDxfId="77" headerRowBorderDxfId="78" tableBorderDxfId="76" totalsRowBorderDxfId="75">
  <tableColumns count="10">
    <tableColumn id="1" xr3:uid="{00000000-0010-0000-0000-000001000000}" name="Bank" dataDxfId="74"/>
    <tableColumn id="2" xr3:uid="{00000000-0010-0000-0000-000002000000}" name="1M" dataDxfId="73" dataCellStyle="Normal 2"/>
    <tableColumn id="3" xr3:uid="{00000000-0010-0000-0000-000003000000}" name="3M" dataDxfId="72" dataCellStyle="Percent 2"/>
    <tableColumn id="4" xr3:uid="{00000000-0010-0000-0000-000004000000}" name="6M" dataDxfId="71" dataCellStyle="Percent 2"/>
    <tableColumn id="5" xr3:uid="{00000000-0010-0000-0000-000005000000}" name="9M" dataDxfId="70" dataCellStyle="Percent 2"/>
    <tableColumn id="6" xr3:uid="{00000000-0010-0000-0000-000006000000}" name="12M" dataDxfId="69" dataCellStyle="Percent 2"/>
    <tableColumn id="8" xr3:uid="{00000000-0010-0000-0000-000008000000}" name="18M" dataDxfId="68" dataCellStyle="Percent 2"/>
    <tableColumn id="9" xr3:uid="{00000000-0010-0000-0000-000009000000}" name="24M" dataDxfId="67" dataCellStyle="Percent 2"/>
    <tableColumn id="10" xr3:uid="{00000000-0010-0000-0000-00000A000000}" name="Minimum _x000a_Amount" dataDxfId="66"/>
    <tableColumn id="11" xr3:uid="{00000000-0010-0000-0000-00000B000000}" name="Others" dataDxfId="65"/>
  </tableColumns>
  <tableStyleInfo name="TableStyleLight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表2_5" displayName="表2_5" ref="B41:L54" totalsRowShown="0" headerRowDxfId="64" dataDxfId="62" headerRowBorderDxfId="63" tableBorderDxfId="61" totalsRowBorderDxfId="60">
  <tableColumns count="11">
    <tableColumn id="1" xr3:uid="{00000000-0010-0000-0100-000001000000}" name="Bank" dataDxfId="59"/>
    <tableColumn id="2" xr3:uid="{00000000-0010-0000-0100-000002000000}" name="7D" dataDxfId="58"/>
    <tableColumn id="3" xr3:uid="{00000000-0010-0000-0100-000003000000}" name="1M" dataDxfId="57"/>
    <tableColumn id="4" xr3:uid="{00000000-0010-0000-0100-000004000000}" name="3M" dataDxfId="56"/>
    <tableColumn id="5" xr3:uid="{00000000-0010-0000-0100-000005000000}" name="6M" dataDxfId="55"/>
    <tableColumn id="6" xr3:uid="{00000000-0010-0000-0100-000006000000}" name="9M" dataDxfId="54"/>
    <tableColumn id="7" xr3:uid="{00000000-0010-0000-0100-000007000000}" name="12M" dataDxfId="53"/>
    <tableColumn id="8" xr3:uid="{00000000-0010-0000-0100-000008000000}" name="18M" dataDxfId="52"/>
    <tableColumn id="9" xr3:uid="{00000000-0010-0000-0100-000009000000}" name="24M" dataDxfId="51"/>
    <tableColumn id="10" xr3:uid="{00000000-0010-0000-0100-00000A000000}" name="Minimum _x000a_Amount" dataDxfId="50"/>
    <tableColumn id="11" xr3:uid="{00000000-0010-0000-0100-00000B000000}" name="OTHERS" dataDxfId="49"/>
  </tableColumns>
  <tableStyleInfo name="TableStyleLight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表3_6" displayName="表3_6" ref="B58:K63" totalsRowShown="0" headerRowDxfId="48" dataDxfId="46" headerRowBorderDxfId="47" tableBorderDxfId="45" totalsRowBorderDxfId="44">
  <tableColumns count="10">
    <tableColumn id="1" xr3:uid="{00000000-0010-0000-0200-000001000000}" name="Bank" dataDxfId="43"/>
    <tableColumn id="2" xr3:uid="{00000000-0010-0000-0200-000002000000}" name="1M" dataDxfId="42"/>
    <tableColumn id="3" xr3:uid="{00000000-0010-0000-0200-000003000000}" name="3M" dataDxfId="41"/>
    <tableColumn id="4" xr3:uid="{00000000-0010-0000-0200-000004000000}" name="6M" dataDxfId="40"/>
    <tableColumn id="5" xr3:uid="{00000000-0010-0000-0200-000005000000}" name="9M" dataDxfId="39"/>
    <tableColumn id="6" xr3:uid="{00000000-0010-0000-0200-000006000000}" name="12M" dataDxfId="38"/>
    <tableColumn id="7" xr3:uid="{00000000-0010-0000-0200-000007000000}" name="18M" dataDxfId="37"/>
    <tableColumn id="8" xr3:uid="{00000000-0010-0000-0200-000008000000}" name="24M" dataDxfId="36"/>
    <tableColumn id="9" xr3:uid="{00000000-0010-0000-0200-000009000000}" name="Minimum _x000a_Amount" dataDxfId="35"/>
    <tableColumn id="10" xr3:uid="{00000000-0010-0000-0200-00000A000000}" name="others" dataDxfId="34"/>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4" Type="http://schemas.openxmlformats.org/officeDocument/2006/relationships/table" Target="../tables/table3.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P73"/>
  <sheetViews>
    <sheetView showGridLines="0" zoomScale="90" zoomScaleNormal="90" zoomScaleSheetLayoutView="100" workbookViewId="0">
      <selection activeCell="F2" sqref="F2"/>
    </sheetView>
  </sheetViews>
  <sheetFormatPr defaultColWidth="9.109375" defaultRowHeight="13.8"/>
  <cols>
    <col min="1" max="1" width="1.44140625" style="12" bestFit="1" customWidth="1"/>
    <col min="2" max="2" width="11.44140625" style="12" bestFit="1" customWidth="1"/>
    <col min="3" max="5" width="13.6640625" style="12" customWidth="1"/>
    <col min="6" max="6" width="15.33203125" style="12" bestFit="1" customWidth="1"/>
    <col min="7" max="7" width="13.6640625" style="12" customWidth="1"/>
    <col min="8" max="8" width="15.88671875" style="12" bestFit="1" customWidth="1"/>
    <col min="9" max="9" width="8.6640625" style="12" customWidth="1"/>
    <col min="10" max="10" width="20" style="12" customWidth="1"/>
    <col min="11" max="11" width="31.44140625" style="12" customWidth="1"/>
    <col min="12" max="12" width="31.44140625" style="12" bestFit="1" customWidth="1"/>
    <col min="13" max="13" width="16.109375" style="12" bestFit="1" customWidth="1"/>
    <col min="14" max="14" width="8.33203125" style="12" bestFit="1" customWidth="1"/>
    <col min="15" max="15" width="14.109375" style="12" bestFit="1" customWidth="1"/>
    <col min="16" max="16" width="15" style="12" bestFit="1" customWidth="1"/>
    <col min="17" max="17" width="12.44140625" style="12" bestFit="1" customWidth="1"/>
    <col min="18" max="16384" width="9.109375" style="12"/>
  </cols>
  <sheetData>
    <row r="2" spans="1:12" s="372" customFormat="1" ht="18.75" customHeight="1">
      <c r="B2" s="887" t="s">
        <v>567</v>
      </c>
      <c r="C2" s="888"/>
      <c r="D2" s="888"/>
      <c r="E2" s="888"/>
      <c r="F2" s="459">
        <v>46099</v>
      </c>
      <c r="G2" s="458">
        <f>F2-7</f>
        <v>46092</v>
      </c>
      <c r="H2" s="457"/>
      <c r="I2" s="456"/>
      <c r="J2" s="456"/>
      <c r="K2" s="455"/>
    </row>
    <row r="3" spans="1:12">
      <c r="B3" s="421" t="s">
        <v>292</v>
      </c>
      <c r="C3" s="454" t="s">
        <v>289</v>
      </c>
      <c r="D3" s="420" t="s">
        <v>288</v>
      </c>
      <c r="E3" s="420" t="s">
        <v>287</v>
      </c>
      <c r="F3" s="420" t="s">
        <v>286</v>
      </c>
      <c r="G3" s="420" t="s">
        <v>285</v>
      </c>
      <c r="H3" s="420" t="s">
        <v>284</v>
      </c>
      <c r="I3" s="420" t="s">
        <v>283</v>
      </c>
      <c r="J3" s="420" t="s">
        <v>534</v>
      </c>
      <c r="K3" s="420" t="s">
        <v>566</v>
      </c>
      <c r="L3" s="407" t="s">
        <v>565</v>
      </c>
    </row>
    <row r="4" spans="1:12" s="449" customFormat="1" ht="28.8">
      <c r="B4" s="453" t="s">
        <v>16</v>
      </c>
      <c r="C4" s="452">
        <f>SGD促销!C11</f>
        <v>1.0999999999999999E-2</v>
      </c>
      <c r="D4" s="451">
        <f>SGD促销!C29</f>
        <v>1.2999999999999999E-2</v>
      </c>
      <c r="E4" s="451">
        <f>SGD促销!C47</f>
        <v>1.35E-2</v>
      </c>
      <c r="F4" s="451">
        <f>SGD促销!C76</f>
        <v>1.2E-2</v>
      </c>
      <c r="G4" s="451">
        <f>SGD促销!C102</f>
        <v>1.4E-2</v>
      </c>
      <c r="H4" s="451" t="str">
        <f>[1]SGD促销!C124</f>
        <v>-</v>
      </c>
      <c r="I4" s="451" t="str">
        <f>[1]SGD促销!Q133</f>
        <v>-</v>
      </c>
      <c r="J4" s="450">
        <v>500</v>
      </c>
      <c r="K4" s="619" t="s">
        <v>574</v>
      </c>
    </row>
    <row r="5" spans="1:12" s="103" customFormat="1" ht="14.4">
      <c r="B5" s="444" t="s">
        <v>12</v>
      </c>
      <c r="C5" s="224" t="str">
        <f>SGD促销!C7</f>
        <v>-</v>
      </c>
      <c r="D5" s="235">
        <f>SGD促销!C27</f>
        <v>1.35E-2</v>
      </c>
      <c r="E5" s="235" t="s">
        <v>124</v>
      </c>
      <c r="F5" s="235" t="s">
        <v>124</v>
      </c>
      <c r="G5" s="235">
        <f>SGD促销!C109</f>
        <v>1.2999999999999999E-2</v>
      </c>
      <c r="H5" s="235" t="s">
        <v>124</v>
      </c>
      <c r="I5" s="235" t="s">
        <v>124</v>
      </c>
      <c r="J5" s="443" t="str">
        <f>SGD促销!EZ7</f>
        <v>100,000 &lt; 2,000,000</v>
      </c>
      <c r="K5" s="442" t="s">
        <v>564</v>
      </c>
    </row>
    <row r="6" spans="1:12" s="103" customFormat="1" ht="43.2">
      <c r="B6" s="444" t="s">
        <v>20</v>
      </c>
      <c r="C6" s="224" t="s">
        <v>124</v>
      </c>
      <c r="D6" s="235">
        <f>SGD促销!C18</f>
        <v>1.2500000000000001E-2</v>
      </c>
      <c r="E6" s="235">
        <f>SGD促销!C51</f>
        <v>1.2999999999999999E-2</v>
      </c>
      <c r="F6" s="235">
        <f>SGD促销!C78</f>
        <v>1.0999999999999999E-2</v>
      </c>
      <c r="G6" s="235">
        <f>SGD促销!C96</f>
        <v>1.2999999999999999E-2</v>
      </c>
      <c r="H6" s="235"/>
      <c r="I6" s="235" t="s">
        <v>124</v>
      </c>
      <c r="J6" s="443" t="s">
        <v>563</v>
      </c>
      <c r="K6" s="442" t="s">
        <v>655</v>
      </c>
    </row>
    <row r="7" spans="1:12" s="103" customFormat="1" ht="43.2">
      <c r="B7" s="448" t="s">
        <v>35</v>
      </c>
      <c r="C7" s="224">
        <f>SGD促销!C9</f>
        <v>1.15E-2</v>
      </c>
      <c r="D7" s="357">
        <f>SGD促销!C25</f>
        <v>1.35E-2</v>
      </c>
      <c r="E7" s="235">
        <f>SGD促销!C45</f>
        <v>1.15E-2</v>
      </c>
      <c r="F7" s="235">
        <f>SGD促销!C74</f>
        <v>1.0500000000000001E-2</v>
      </c>
      <c r="G7" s="235">
        <f>SGD促销!C104</f>
        <v>1.0500000000000001E-2</v>
      </c>
      <c r="H7" s="235" t="s">
        <v>124</v>
      </c>
      <c r="I7" s="235" t="s">
        <v>124</v>
      </c>
      <c r="J7" s="443">
        <v>500</v>
      </c>
      <c r="K7" s="442" t="s">
        <v>562</v>
      </c>
    </row>
    <row r="8" spans="1:12" s="103" customFormat="1" ht="28.8">
      <c r="B8" s="448" t="s">
        <v>48</v>
      </c>
      <c r="C8" s="224">
        <f>SGD促销!C13</f>
        <v>1.0500000000000001E-2</v>
      </c>
      <c r="D8" s="235">
        <f>SGD促销!C31</f>
        <v>1.2500000000000001E-2</v>
      </c>
      <c r="E8" s="235">
        <f>SGD促销!C54</f>
        <v>1.2500000000000001E-2</v>
      </c>
      <c r="F8" s="235" t="s">
        <v>124</v>
      </c>
      <c r="G8" s="815" t="str">
        <f>SGD促销!C108</f>
        <v>-</v>
      </c>
      <c r="H8" s="235" t="s">
        <v>124</v>
      </c>
      <c r="I8" s="235" t="s">
        <v>124</v>
      </c>
      <c r="J8" s="443">
        <v>10000</v>
      </c>
      <c r="K8" s="442" t="s">
        <v>770</v>
      </c>
    </row>
    <row r="9" spans="1:12" s="103" customFormat="1" ht="43.2">
      <c r="B9" s="448" t="s">
        <v>23</v>
      </c>
      <c r="C9" s="224" t="s">
        <v>124</v>
      </c>
      <c r="D9" s="235">
        <f>SGD促销!C22</f>
        <v>1.2500000000000001E-2</v>
      </c>
      <c r="E9" s="235">
        <f>SGD促销!C64</f>
        <v>1.15E-2</v>
      </c>
      <c r="F9" s="235" t="s">
        <v>124</v>
      </c>
      <c r="G9" s="235" t="s">
        <v>124</v>
      </c>
      <c r="H9" s="235" t="s">
        <v>124</v>
      </c>
      <c r="I9" s="235" t="s">
        <v>124</v>
      </c>
      <c r="J9" s="443" t="s">
        <v>561</v>
      </c>
      <c r="K9" s="442" t="s">
        <v>560</v>
      </c>
    </row>
    <row r="10" spans="1:12" s="103" customFormat="1" ht="37.5" customHeight="1">
      <c r="B10" s="444" t="s">
        <v>46</v>
      </c>
      <c r="C10" s="357" t="s">
        <v>572</v>
      </c>
      <c r="D10" s="357" t="s">
        <v>572</v>
      </c>
      <c r="E10" s="357" t="s">
        <v>124</v>
      </c>
      <c r="F10" s="357">
        <f>SGD促销!C85</f>
        <v>1.0999999999999999E-2</v>
      </c>
      <c r="G10" s="235" t="s">
        <v>124</v>
      </c>
      <c r="H10" s="235" t="s">
        <v>124</v>
      </c>
      <c r="I10" s="235" t="s">
        <v>124</v>
      </c>
      <c r="J10" s="443">
        <v>25000</v>
      </c>
      <c r="K10" s="442" t="s">
        <v>758</v>
      </c>
    </row>
    <row r="11" spans="1:12" s="103" customFormat="1" ht="14.4">
      <c r="B11" s="444" t="s">
        <v>44</v>
      </c>
      <c r="C11" s="224" t="s">
        <v>124</v>
      </c>
      <c r="D11" s="357" t="s">
        <v>572</v>
      </c>
      <c r="E11" s="357">
        <f>SGD促销!C43</f>
        <v>1.15E-2</v>
      </c>
      <c r="F11" s="357" t="s">
        <v>124</v>
      </c>
      <c r="G11" s="235">
        <f>SGD促销!C100</f>
        <v>8.0000000000000002E-3</v>
      </c>
      <c r="H11" s="235" t="s">
        <v>124</v>
      </c>
      <c r="I11" s="235" t="s">
        <v>124</v>
      </c>
      <c r="J11" s="258" t="s">
        <v>559</v>
      </c>
      <c r="K11" s="447" t="s">
        <v>592</v>
      </c>
    </row>
    <row r="12" spans="1:12" s="103" customFormat="1" ht="43.2">
      <c r="B12" s="444" t="s">
        <v>33</v>
      </c>
      <c r="C12" s="224">
        <f>SGD促销!C8</f>
        <v>6.0000000000000001E-3</v>
      </c>
      <c r="D12" s="235">
        <f>SGD促销!C28</f>
        <v>1.4E-2</v>
      </c>
      <c r="E12" s="235">
        <f>SGD促销!C63</f>
        <v>7.4999999999999997E-3</v>
      </c>
      <c r="F12" s="235" t="s">
        <v>124</v>
      </c>
      <c r="G12" s="235">
        <f>SGD促销!C113</f>
        <v>8.5000000000000006E-3</v>
      </c>
      <c r="H12" s="235" t="s">
        <v>124</v>
      </c>
      <c r="I12" s="235" t="s">
        <v>124</v>
      </c>
      <c r="J12" s="446">
        <v>30000</v>
      </c>
      <c r="K12" s="442" t="s">
        <v>656</v>
      </c>
    </row>
    <row r="13" spans="1:12" s="103" customFormat="1" ht="72">
      <c r="B13" s="444" t="s">
        <v>42</v>
      </c>
      <c r="C13" s="224" t="s">
        <v>124</v>
      </c>
      <c r="D13" s="235">
        <f>SGD促销!C23</f>
        <v>1.2E-2</v>
      </c>
      <c r="E13" s="235">
        <f>SGD促销!C49</f>
        <v>1.2E-2</v>
      </c>
      <c r="F13" s="235" t="s">
        <v>124</v>
      </c>
      <c r="G13" s="235">
        <f>SGD促销!C94</f>
        <v>1.2500000000000001E-2</v>
      </c>
      <c r="H13" s="235" t="str">
        <f>[1]SGD促销!C128</f>
        <v>-</v>
      </c>
      <c r="I13" s="235" t="s">
        <v>124</v>
      </c>
      <c r="J13" s="443">
        <v>20000</v>
      </c>
      <c r="K13" s="442" t="s">
        <v>558</v>
      </c>
    </row>
    <row r="14" spans="1:12" s="103" customFormat="1" ht="100.8">
      <c r="A14" s="103" t="s">
        <v>238</v>
      </c>
      <c r="B14" s="444" t="s">
        <v>37</v>
      </c>
      <c r="C14" s="224" t="s">
        <v>238</v>
      </c>
      <c r="D14" s="235"/>
      <c r="E14" s="357">
        <f>SGD促销!C56</f>
        <v>1.2999999999999999E-2</v>
      </c>
      <c r="F14" s="357">
        <f>SGD促销!C83</f>
        <v>1.32E-2</v>
      </c>
      <c r="G14" s="357">
        <f>SGD促销!C98</f>
        <v>1.32E-2</v>
      </c>
      <c r="H14" s="357" t="str">
        <f>[1]SGD促销!C126</f>
        <v>-</v>
      </c>
      <c r="I14" s="357" t="str">
        <f>[1]SGD促销!Q135</f>
        <v>-</v>
      </c>
      <c r="J14" s="443">
        <v>20000</v>
      </c>
      <c r="K14" s="442" t="s">
        <v>657</v>
      </c>
    </row>
    <row r="15" spans="1:12" s="103" customFormat="1" ht="14.4">
      <c r="B15" s="444" t="s">
        <v>29</v>
      </c>
      <c r="C15" s="224"/>
      <c r="D15" s="235" t="str">
        <f>SGD促销!C35</f>
        <v>-</v>
      </c>
      <c r="E15" s="235">
        <f>SGD促销!C70</f>
        <v>1.4999999999999999E-2</v>
      </c>
      <c r="F15" s="235" t="str">
        <f>SGD促销!C82</f>
        <v>-</v>
      </c>
      <c r="G15" s="235">
        <f>SGD促销!C93</f>
        <v>1.2999999999999999E-2</v>
      </c>
      <c r="H15" s="235" t="s">
        <v>124</v>
      </c>
      <c r="I15" s="235" t="s">
        <v>124</v>
      </c>
      <c r="J15" s="443" t="s">
        <v>557</v>
      </c>
      <c r="K15" s="445" t="s">
        <v>556</v>
      </c>
    </row>
    <row r="16" spans="1:12" s="103" customFormat="1" ht="14.4">
      <c r="B16" s="444" t="s">
        <v>31</v>
      </c>
      <c r="C16" s="224"/>
      <c r="D16" s="235" t="str">
        <f>SGD促销!C20</f>
        <v>-</v>
      </c>
      <c r="E16" s="235">
        <f>SGD促销!C57</f>
        <v>1.2500000000000001E-2</v>
      </c>
      <c r="F16" s="224">
        <f>SGD促销!C80</f>
        <v>1.2E-2</v>
      </c>
      <c r="G16" s="255">
        <f>SGD促销!C110</f>
        <v>1.2E-2</v>
      </c>
      <c r="H16" s="235" t="s">
        <v>124</v>
      </c>
      <c r="I16" s="235" t="s">
        <v>124</v>
      </c>
      <c r="J16" s="443">
        <v>50000</v>
      </c>
      <c r="K16" s="445" t="s">
        <v>771</v>
      </c>
    </row>
    <row r="17" spans="2:16" s="103" customFormat="1" ht="28.8">
      <c r="B17" s="444" t="s">
        <v>39</v>
      </c>
      <c r="C17" s="224" t="s">
        <v>124</v>
      </c>
      <c r="D17" s="357">
        <f>SGD促销!C33</f>
        <v>1.4E-2</v>
      </c>
      <c r="E17" s="235" t="str">
        <f>SGD促销!C68</f>
        <v>-</v>
      </c>
      <c r="F17" s="235" t="str">
        <f>SGD促销!C88</f>
        <v>-</v>
      </c>
      <c r="G17" s="235">
        <f>SGD促销!C115</f>
        <v>1.0999999999999999E-2</v>
      </c>
      <c r="H17" s="235">
        <f>SGD促销!C134</f>
        <v>1.15E-2</v>
      </c>
      <c r="I17" s="235" t="s">
        <v>124</v>
      </c>
      <c r="J17" s="443">
        <v>20000</v>
      </c>
      <c r="K17" s="442" t="s">
        <v>759</v>
      </c>
    </row>
    <row r="18" spans="2:16" s="103" customFormat="1" ht="28.8">
      <c r="B18" s="444" t="s">
        <v>50</v>
      </c>
      <c r="C18" s="224" t="s">
        <v>124</v>
      </c>
      <c r="D18" s="235" t="s">
        <v>124</v>
      </c>
      <c r="E18" s="235">
        <f>SGD促销!C53</f>
        <v>1.2E-2</v>
      </c>
      <c r="F18" s="235">
        <f>SGD促销!C84</f>
        <v>0.01</v>
      </c>
      <c r="G18" s="255" t="str">
        <f>SGD促销!C112</f>
        <v>-</v>
      </c>
      <c r="H18" s="235" t="s">
        <v>124</v>
      </c>
      <c r="I18" s="235" t="s">
        <v>124</v>
      </c>
      <c r="J18" s="443" t="s">
        <v>555</v>
      </c>
      <c r="K18" s="442" t="s">
        <v>554</v>
      </c>
    </row>
    <row r="19" spans="2:16" ht="14.4">
      <c r="B19" s="441" t="s">
        <v>26</v>
      </c>
      <c r="C19" s="256" t="str">
        <f>SGD挂牌!C3</f>
        <v>-</v>
      </c>
      <c r="D19" s="256">
        <f>SGD挂牌!F3</f>
        <v>1.5E-3</v>
      </c>
      <c r="E19" s="256">
        <f>SGD挂牌!I3</f>
        <v>8.0000000000000002E-3</v>
      </c>
      <c r="F19" s="256">
        <f>SGD挂牌!L3</f>
        <v>0.01</v>
      </c>
      <c r="G19" s="256">
        <f>SGD挂牌!O3</f>
        <v>0.01</v>
      </c>
      <c r="H19" s="256">
        <f>SGD挂牌!P3</f>
        <v>0.01</v>
      </c>
      <c r="I19" s="256">
        <f>[1]SGD挂牌!Q3</f>
        <v>0.01</v>
      </c>
      <c r="J19" s="440" t="s">
        <v>124</v>
      </c>
      <c r="K19" s="439" t="s">
        <v>658</v>
      </c>
    </row>
    <row r="20" spans="2:16">
      <c r="B20" s="438" t="s">
        <v>553</v>
      </c>
      <c r="C20" s="894" t="s">
        <v>552</v>
      </c>
      <c r="D20" s="895"/>
      <c r="E20" s="895"/>
      <c r="F20" s="895"/>
      <c r="G20" s="895"/>
      <c r="H20" s="895"/>
      <c r="I20" s="895"/>
      <c r="J20" s="895"/>
      <c r="K20" s="896"/>
    </row>
    <row r="21" spans="2:16">
      <c r="B21" s="438" t="s">
        <v>551</v>
      </c>
      <c r="C21" s="894" t="s">
        <v>550</v>
      </c>
      <c r="D21" s="895"/>
      <c r="E21" s="895"/>
      <c r="F21" s="895"/>
      <c r="G21" s="895"/>
      <c r="H21" s="895"/>
      <c r="I21" s="895"/>
      <c r="J21" s="895"/>
      <c r="K21" s="896"/>
      <c r="L21" s="422"/>
    </row>
    <row r="22" spans="2:16">
      <c r="B22" s="438" t="s">
        <v>549</v>
      </c>
      <c r="C22" s="894" t="s">
        <v>548</v>
      </c>
      <c r="D22" s="895"/>
      <c r="E22" s="895"/>
      <c r="F22" s="895"/>
      <c r="G22" s="895"/>
      <c r="H22" s="895"/>
      <c r="I22" s="895"/>
      <c r="J22" s="895"/>
      <c r="K22" s="896"/>
      <c r="L22" s="436"/>
    </row>
    <row r="23" spans="2:16">
      <c r="B23" s="437"/>
      <c r="C23" s="410"/>
      <c r="D23" s="410"/>
      <c r="E23" s="410"/>
      <c r="F23" s="410"/>
      <c r="G23" s="410"/>
      <c r="H23" s="410"/>
      <c r="I23" s="410"/>
      <c r="J23" s="410"/>
      <c r="K23" s="410"/>
      <c r="L23" s="436"/>
    </row>
    <row r="24" spans="2:16">
      <c r="B24" s="437"/>
      <c r="C24" s="410"/>
      <c r="D24" s="410"/>
      <c r="E24" s="410"/>
      <c r="F24" s="410"/>
      <c r="G24" s="410"/>
      <c r="H24" s="410"/>
      <c r="I24" s="410"/>
      <c r="J24" s="410"/>
      <c r="K24" s="410"/>
      <c r="L24" s="436"/>
    </row>
    <row r="25" spans="2:16">
      <c r="B25" s="437"/>
      <c r="C25" s="410"/>
      <c r="D25" s="410"/>
      <c r="E25" s="410"/>
      <c r="F25" s="410"/>
      <c r="G25" s="410"/>
      <c r="H25" s="410"/>
      <c r="I25" s="410"/>
    </row>
    <row r="26" spans="2:16" s="372" customFormat="1" ht="18.75" customHeight="1">
      <c r="B26" s="887" t="s">
        <v>547</v>
      </c>
      <c r="C26" s="888"/>
      <c r="D26" s="888"/>
      <c r="E26" s="897">
        <f>F2</f>
        <v>46099</v>
      </c>
      <c r="F26" s="897"/>
      <c r="G26" s="897"/>
      <c r="H26" s="897"/>
      <c r="I26" s="898"/>
      <c r="J26" s="410"/>
      <c r="K26" s="410"/>
      <c r="L26" s="436"/>
      <c r="M26" s="12"/>
      <c r="N26" s="12"/>
      <c r="O26" s="12"/>
    </row>
    <row r="27" spans="2:16" ht="27.6">
      <c r="B27" s="435" t="s">
        <v>292</v>
      </c>
      <c r="C27" s="397" t="s">
        <v>289</v>
      </c>
      <c r="D27" s="435" t="s">
        <v>288</v>
      </c>
      <c r="E27" s="435" t="s">
        <v>287</v>
      </c>
      <c r="F27" s="435" t="s">
        <v>286</v>
      </c>
      <c r="G27" s="435" t="s">
        <v>285</v>
      </c>
      <c r="H27" s="581" t="s">
        <v>534</v>
      </c>
      <c r="I27" s="434" t="s">
        <v>538</v>
      </c>
      <c r="K27" s="372"/>
      <c r="L27" s="433"/>
      <c r="M27" s="372"/>
      <c r="N27" s="372"/>
      <c r="O27" s="433"/>
      <c r="P27" s="372"/>
    </row>
    <row r="28" spans="2:16" s="426" customFormat="1" ht="17.399999999999999">
      <c r="B28" s="432" t="s">
        <v>16</v>
      </c>
      <c r="C28" s="431">
        <f>USD促销!D6</f>
        <v>3.5999999999999997E-2</v>
      </c>
      <c r="D28" s="431">
        <f>USD促销!D15</f>
        <v>3.5999999999999997E-2</v>
      </c>
      <c r="E28" s="431">
        <f>USD促销!D35</f>
        <v>3.5999999999999997E-2</v>
      </c>
      <c r="F28" s="394" t="s">
        <v>124</v>
      </c>
      <c r="G28" s="431">
        <f>USD促销!D64</f>
        <v>3.5499999999999997E-2</v>
      </c>
      <c r="H28" s="430">
        <v>10000</v>
      </c>
      <c r="I28" s="429" t="s">
        <v>546</v>
      </c>
      <c r="K28" s="12"/>
      <c r="L28" s="423"/>
      <c r="M28" s="422"/>
      <c r="N28" s="12"/>
      <c r="O28" s="423"/>
      <c r="P28" s="12"/>
    </row>
    <row r="29" spans="2:16" ht="17.399999999999999">
      <c r="B29" s="395" t="s">
        <v>35</v>
      </c>
      <c r="C29" s="394">
        <f>USD促销!D5</f>
        <v>3.5999999999999997E-2</v>
      </c>
      <c r="D29" s="394">
        <f>USD促销!D18</f>
        <v>3.6499999999999998E-2</v>
      </c>
      <c r="E29" s="394">
        <f>USD促销!D41</f>
        <v>3.5999999999999997E-2</v>
      </c>
      <c r="F29" s="394" t="s">
        <v>124</v>
      </c>
      <c r="G29" s="394">
        <f>USD促销!D60</f>
        <v>3.3500000000000002E-2</v>
      </c>
      <c r="H29" s="405">
        <v>500</v>
      </c>
      <c r="I29" s="237" t="s">
        <v>546</v>
      </c>
      <c r="K29" s="426"/>
      <c r="L29" s="427"/>
      <c r="M29" s="428"/>
      <c r="N29" s="426"/>
      <c r="O29" s="427"/>
      <c r="P29" s="426"/>
    </row>
    <row r="30" spans="2:16">
      <c r="B30" s="395" t="s">
        <v>20</v>
      </c>
      <c r="C30" s="394">
        <f>USD促销!D7</f>
        <v>3.5000000000000003E-2</v>
      </c>
      <c r="D30" s="394">
        <f>USD促销!D16</f>
        <v>3.5999999999999997E-2</v>
      </c>
      <c r="E30" s="394">
        <f>USD促销!D39</f>
        <v>3.5000000000000003E-2</v>
      </c>
      <c r="F30" s="394" t="s">
        <v>124</v>
      </c>
      <c r="G30" s="394">
        <f>USD促销!D56</f>
        <v>3.4000000000000002E-2</v>
      </c>
      <c r="H30" s="405">
        <v>10000</v>
      </c>
      <c r="I30" s="237" t="s">
        <v>546</v>
      </c>
      <c r="L30" s="423"/>
      <c r="M30" s="422"/>
      <c r="O30" s="423"/>
    </row>
    <row r="31" spans="2:16" ht="96.6">
      <c r="B31" s="835" t="s">
        <v>46</v>
      </c>
      <c r="C31" s="836" t="str">
        <f>USD促销!D10</f>
        <v>-</v>
      </c>
      <c r="D31" s="836" t="str">
        <f>USD促销!G10</f>
        <v>-</v>
      </c>
      <c r="E31" s="836" t="str">
        <f>USD促销!H10</f>
        <v>-</v>
      </c>
      <c r="F31" s="836">
        <f>USD促销!D49</f>
        <v>3.5999999999999997E-2</v>
      </c>
      <c r="G31" s="836" t="str">
        <f>USD促销!I10</f>
        <v>-</v>
      </c>
      <c r="H31" s="405">
        <v>25000</v>
      </c>
      <c r="I31" s="425" t="s">
        <v>545</v>
      </c>
      <c r="M31" s="422"/>
    </row>
    <row r="32" spans="2:16">
      <c r="B32" s="395" t="s">
        <v>44</v>
      </c>
      <c r="C32" s="424" t="s">
        <v>124</v>
      </c>
      <c r="D32" s="394">
        <f>USD促销!D25</f>
        <v>0</v>
      </c>
      <c r="E32" s="394">
        <f>USD促销!D43</f>
        <v>3.7999999999999999E-2</v>
      </c>
      <c r="F32" s="394" t="s">
        <v>124</v>
      </c>
      <c r="G32" s="394">
        <f>USD促销!D63</f>
        <v>0</v>
      </c>
      <c r="H32" s="405">
        <v>25000</v>
      </c>
      <c r="I32" s="237" t="s">
        <v>544</v>
      </c>
      <c r="M32" s="422"/>
    </row>
    <row r="33" spans="2:15">
      <c r="B33" s="395" t="s">
        <v>23</v>
      </c>
      <c r="C33" s="394">
        <f>USD促销!D8</f>
        <v>3.2500000000000001E-2</v>
      </c>
      <c r="D33" s="237"/>
      <c r="E33" s="237"/>
      <c r="F33" s="394" t="s">
        <v>124</v>
      </c>
      <c r="G33" s="237"/>
      <c r="H33" s="424" t="s">
        <v>543</v>
      </c>
      <c r="I33" s="237" t="s">
        <v>522</v>
      </c>
      <c r="L33" s="423"/>
      <c r="M33" s="422"/>
      <c r="O33" s="423"/>
    </row>
    <row r="34" spans="2:15">
      <c r="B34" s="395" t="s">
        <v>42</v>
      </c>
      <c r="C34" s="424" t="s">
        <v>124</v>
      </c>
      <c r="D34" s="424" t="s">
        <v>124</v>
      </c>
      <c r="E34" s="394">
        <f>USD促销!D42</f>
        <v>3.4000000000000002E-2</v>
      </c>
      <c r="F34" s="394" t="s">
        <v>124</v>
      </c>
      <c r="G34" s="394">
        <f>USD促销!D62</f>
        <v>3.4000000000000002E-2</v>
      </c>
      <c r="H34" s="405" t="s">
        <v>542</v>
      </c>
      <c r="I34" s="237" t="s">
        <v>541</v>
      </c>
      <c r="M34" s="422"/>
    </row>
    <row r="35" spans="2:15">
      <c r="B35" s="395" t="s">
        <v>12</v>
      </c>
      <c r="C35" s="394">
        <f>USD促销!D9</f>
        <v>3.2500000000000001E-2</v>
      </c>
      <c r="D35" s="394">
        <f>USD促销!D26</f>
        <v>3.4500000000000003E-2</v>
      </c>
      <c r="E35" s="394">
        <f>USD促销!D46</f>
        <v>3.4000000000000002E-2</v>
      </c>
      <c r="F35" s="394" t="s">
        <v>124</v>
      </c>
      <c r="G35" s="394">
        <f>USD促销!D55</f>
        <v>3.3500000000000002E-2</v>
      </c>
      <c r="H35" s="405" t="s">
        <v>540</v>
      </c>
      <c r="I35" s="237" t="s">
        <v>304</v>
      </c>
      <c r="M35" s="422"/>
    </row>
    <row r="36" spans="2:15">
      <c r="B36" s="395" t="s">
        <v>33</v>
      </c>
      <c r="C36" s="424" t="s">
        <v>124</v>
      </c>
      <c r="D36" s="394">
        <f>USD促销!D24</f>
        <v>0.03</v>
      </c>
      <c r="E36" s="394">
        <f>USD促销!D44</f>
        <v>2.8500000000000001E-2</v>
      </c>
      <c r="F36" s="394" t="s">
        <v>124</v>
      </c>
      <c r="G36" s="394">
        <f>USD促销!D58</f>
        <v>2.1499999999999998E-2</v>
      </c>
      <c r="H36" s="405">
        <v>30000</v>
      </c>
      <c r="I36" s="237" t="s">
        <v>304</v>
      </c>
      <c r="M36" s="422"/>
    </row>
    <row r="37" spans="2:15">
      <c r="L37" s="422"/>
    </row>
    <row r="38" spans="2:15">
      <c r="L38" s="422"/>
    </row>
    <row r="39" spans="2:15">
      <c r="L39" s="422"/>
    </row>
    <row r="40" spans="2:15" s="372" customFormat="1" ht="18.75" customHeight="1">
      <c r="B40" s="887" t="s">
        <v>539</v>
      </c>
      <c r="C40" s="888"/>
      <c r="D40" s="888"/>
      <c r="E40" s="888"/>
      <c r="F40" s="888"/>
      <c r="G40" s="888"/>
      <c r="H40" s="897">
        <f>F2</f>
        <v>46099</v>
      </c>
      <c r="I40" s="897"/>
      <c r="J40" s="897"/>
      <c r="K40" s="897"/>
      <c r="L40" s="898"/>
    </row>
    <row r="41" spans="2:15">
      <c r="B41" s="421" t="s">
        <v>292</v>
      </c>
      <c r="C41" s="420" t="s">
        <v>290</v>
      </c>
      <c r="D41" s="420" t="s">
        <v>289</v>
      </c>
      <c r="E41" s="420" t="s">
        <v>288</v>
      </c>
      <c r="F41" s="420" t="s">
        <v>287</v>
      </c>
      <c r="G41" s="420" t="s">
        <v>286</v>
      </c>
      <c r="H41" s="420" t="s">
        <v>285</v>
      </c>
      <c r="I41" s="420" t="s">
        <v>284</v>
      </c>
      <c r="J41" s="420" t="s">
        <v>283</v>
      </c>
      <c r="K41" s="419" t="s">
        <v>534</v>
      </c>
      <c r="L41" s="418" t="s">
        <v>538</v>
      </c>
      <c r="M41" s="407" t="str">
        <f>L3</f>
        <v>代表本周有调整</v>
      </c>
    </row>
    <row r="42" spans="2:15" s="396" customFormat="1" ht="17.399999999999999">
      <c r="B42" s="720" t="s">
        <v>16</v>
      </c>
      <c r="C42" s="721">
        <f>USD挂牌!D10</f>
        <v>2.7E-2</v>
      </c>
      <c r="D42" s="451">
        <f>USD挂牌!D38</f>
        <v>3.3000000000000002E-2</v>
      </c>
      <c r="E42" s="451">
        <f>USD挂牌!D85</f>
        <v>3.3000000000000002E-2</v>
      </c>
      <c r="F42" s="451">
        <f>USD挂牌!D132</f>
        <v>3.0499999999999999E-2</v>
      </c>
      <c r="G42" s="451">
        <f>USD挂牌!D173</f>
        <v>0.03</v>
      </c>
      <c r="H42" s="451">
        <f>USD挂牌!D193</f>
        <v>2.9000000000000001E-2</v>
      </c>
      <c r="I42" s="451">
        <f>USD挂牌!D234</f>
        <v>2.5000000000000001E-2</v>
      </c>
      <c r="J42" s="451">
        <f>USD挂牌!D241</f>
        <v>0.02</v>
      </c>
      <c r="K42" s="722">
        <v>500000</v>
      </c>
      <c r="L42" s="417"/>
    </row>
    <row r="43" spans="2:15">
      <c r="B43" s="406" t="s">
        <v>35</v>
      </c>
      <c r="C43" s="267" t="s">
        <v>124</v>
      </c>
      <c r="D43" s="235">
        <f>USD挂牌!D50</f>
        <v>3.5999999999999997E-2</v>
      </c>
      <c r="E43" s="235">
        <f>USD挂牌!D97</f>
        <v>3.6499999999999998E-2</v>
      </c>
      <c r="F43" s="235">
        <f>USD挂牌!D144</f>
        <v>3.5999999999999997E-2</v>
      </c>
      <c r="G43" s="267" t="s">
        <v>124</v>
      </c>
      <c r="H43" s="235">
        <f>USD挂牌!D205</f>
        <v>3.3000000000000002E-2</v>
      </c>
      <c r="I43" s="267" t="s">
        <v>124</v>
      </c>
      <c r="J43" s="267" t="s">
        <v>124</v>
      </c>
      <c r="K43" s="405">
        <v>500</v>
      </c>
      <c r="L43" s="405" t="s">
        <v>537</v>
      </c>
    </row>
    <row r="44" spans="2:15">
      <c r="B44" s="415" t="s">
        <v>26</v>
      </c>
      <c r="C44" s="357">
        <f>USD挂牌!D16</f>
        <v>0</v>
      </c>
      <c r="D44" s="235">
        <f>USD挂牌!D56</f>
        <v>3.4799999999999998E-2</v>
      </c>
      <c r="E44" s="235">
        <f>USD挂牌!D103</f>
        <v>3.4200000000000001E-2</v>
      </c>
      <c r="F44" s="235">
        <f>USD挂牌!D150</f>
        <v>3.0800000000000001E-2</v>
      </c>
      <c r="G44" s="235" t="s">
        <v>124</v>
      </c>
      <c r="H44" s="235">
        <f>USD挂牌!D211</f>
        <v>2.9899999999999999E-2</v>
      </c>
      <c r="I44" s="267" t="s">
        <v>124</v>
      </c>
      <c r="J44" s="267" t="s">
        <v>124</v>
      </c>
      <c r="K44" s="405">
        <v>250000</v>
      </c>
      <c r="L44" s="405"/>
    </row>
    <row r="45" spans="2:15">
      <c r="B45" s="415" t="s">
        <v>50</v>
      </c>
      <c r="C45" s="235">
        <f>USD挂牌!D7</f>
        <v>2.5499999999999998E-2</v>
      </c>
      <c r="D45" s="235">
        <f>USD挂牌!D35</f>
        <v>3.2399999999999998E-2</v>
      </c>
      <c r="E45" s="235">
        <f>USD挂牌!D82</f>
        <v>3.2599999999999997E-2</v>
      </c>
      <c r="F45" s="235">
        <f>USD挂牌!D129</f>
        <v>3.0599999999999999E-2</v>
      </c>
      <c r="G45" s="235" t="s">
        <v>124</v>
      </c>
      <c r="H45" s="235">
        <f>USD挂牌!D190</f>
        <v>2.9000000000000001E-2</v>
      </c>
      <c r="I45" s="267" t="s">
        <v>124</v>
      </c>
      <c r="J45" s="267" t="s">
        <v>124</v>
      </c>
      <c r="K45" s="405" t="s">
        <v>532</v>
      </c>
      <c r="L45" s="405"/>
    </row>
    <row r="46" spans="2:15">
      <c r="B46" s="415" t="s">
        <v>37</v>
      </c>
      <c r="C46" s="267" t="s">
        <v>124</v>
      </c>
      <c r="D46" s="235">
        <f>USD挂牌!D31</f>
        <v>3.15E-2</v>
      </c>
      <c r="E46" s="235">
        <f>USD挂牌!D78</f>
        <v>3.15E-2</v>
      </c>
      <c r="F46" s="235">
        <f>USD挂牌!D125</f>
        <v>3.15E-2</v>
      </c>
      <c r="G46" s="235" t="s">
        <v>124</v>
      </c>
      <c r="H46" s="357" t="s">
        <v>124</v>
      </c>
      <c r="I46" s="267" t="s">
        <v>124</v>
      </c>
      <c r="J46" s="267" t="s">
        <v>124</v>
      </c>
      <c r="K46" s="405">
        <v>100000</v>
      </c>
      <c r="L46" s="416"/>
    </row>
    <row r="47" spans="2:15">
      <c r="B47" s="415" t="s">
        <v>39</v>
      </c>
      <c r="C47" s="267" t="s">
        <v>124</v>
      </c>
      <c r="D47" s="224">
        <f>USD挂牌!D61</f>
        <v>3.2500000000000001E-2</v>
      </c>
      <c r="E47" s="235">
        <f>USD挂牌!D108</f>
        <v>3.2500000000000001E-2</v>
      </c>
      <c r="F47" s="235">
        <f>USD挂牌!D155</f>
        <v>0.03</v>
      </c>
      <c r="G47" s="235">
        <f>USD挂牌!D178</f>
        <v>2.93E-2</v>
      </c>
      <c r="H47" s="235">
        <f>USD挂牌!D216</f>
        <v>2.8199999999999999E-2</v>
      </c>
      <c r="I47" s="267" t="s">
        <v>124</v>
      </c>
      <c r="J47" s="267" t="s">
        <v>124</v>
      </c>
      <c r="K47" s="405">
        <v>500000</v>
      </c>
      <c r="L47" s="405"/>
    </row>
    <row r="48" spans="2:15">
      <c r="B48" s="415" t="s">
        <v>42</v>
      </c>
      <c r="C48" s="235">
        <f>USD挂牌!D24</f>
        <v>5.0000000000000001E-4</v>
      </c>
      <c r="D48" s="235">
        <f>USD挂牌!D69</f>
        <v>3.2000000000000001E-2</v>
      </c>
      <c r="E48" s="235">
        <f>USD挂牌!D116</f>
        <v>3.3000000000000002E-2</v>
      </c>
      <c r="F48" s="235">
        <f>USD挂牌!D163</f>
        <v>3.2500000000000001E-2</v>
      </c>
      <c r="G48" s="235">
        <f>USD挂牌!D182</f>
        <v>3.0499999999999999E-2</v>
      </c>
      <c r="H48" s="235">
        <f>USD挂牌!D224</f>
        <v>2.8500000000000001E-2</v>
      </c>
      <c r="I48" s="235" t="s">
        <v>124</v>
      </c>
      <c r="J48" s="235">
        <f>USD挂牌!D245</f>
        <v>2.8500000000000001E-2</v>
      </c>
      <c r="K48" s="405">
        <v>500000</v>
      </c>
      <c r="L48" s="405"/>
    </row>
    <row r="49" spans="2:12">
      <c r="B49" s="415" t="s">
        <v>44</v>
      </c>
      <c r="C49" s="224" t="s">
        <v>124</v>
      </c>
      <c r="D49" s="235">
        <f>USD挂牌!D72</f>
        <v>2.75E-2</v>
      </c>
      <c r="E49" s="235">
        <f>USD挂牌!D119</f>
        <v>3.2500000000000001E-2</v>
      </c>
      <c r="F49" s="235">
        <f>USD挂牌!D166</f>
        <v>3.2500000000000001E-2</v>
      </c>
      <c r="G49" s="235" t="s">
        <v>124</v>
      </c>
      <c r="H49" s="235">
        <f>USD挂牌!D227</f>
        <v>0.03</v>
      </c>
      <c r="I49" s="224">
        <f>USD挂牌!D235</f>
        <v>0.01</v>
      </c>
      <c r="J49" s="224">
        <f>USD挂牌!D246</f>
        <v>5.0000000000000001E-3</v>
      </c>
      <c r="K49" s="405">
        <v>25000</v>
      </c>
      <c r="L49" s="405"/>
    </row>
    <row r="50" spans="2:12">
      <c r="B50" s="414" t="s">
        <v>12</v>
      </c>
      <c r="C50" s="256">
        <f>USD挂牌!D25</f>
        <v>2.7699999999999999E-2</v>
      </c>
      <c r="D50" s="256">
        <f>USD挂牌!D70</f>
        <v>3.1199999999999999E-2</v>
      </c>
      <c r="E50" s="256">
        <f>USD挂牌!D117</f>
        <v>3.32E-2</v>
      </c>
      <c r="F50" s="256">
        <f>USD挂牌!D164</f>
        <v>3.27E-2</v>
      </c>
      <c r="G50" s="256" t="s">
        <v>124</v>
      </c>
      <c r="H50" s="256">
        <f>USD挂牌!D225</f>
        <v>3.2199999999999999E-2</v>
      </c>
      <c r="I50" s="413" t="s">
        <v>124</v>
      </c>
      <c r="J50" s="413" t="s">
        <v>124</v>
      </c>
      <c r="K50" s="412" t="str">
        <f>USD挂牌!C225</f>
        <v>10,000以上</v>
      </c>
      <c r="L50" s="412"/>
    </row>
    <row r="51" spans="2:12">
      <c r="B51" s="414" t="s">
        <v>29</v>
      </c>
      <c r="C51" s="413" t="s">
        <v>124</v>
      </c>
      <c r="D51" s="234">
        <f>USD挂牌!D71</f>
        <v>2.9406999999999999E-2</v>
      </c>
      <c r="E51" s="234">
        <f>USD挂牌!D118</f>
        <v>2.9966E-2</v>
      </c>
      <c r="F51" s="234">
        <f>USD挂牌!D165</f>
        <v>2.9656999999999999E-2</v>
      </c>
      <c r="G51" s="234" t="s">
        <v>124</v>
      </c>
      <c r="H51" s="234">
        <f>USD挂牌!D226</f>
        <v>2.8903000000000002E-2</v>
      </c>
      <c r="I51" s="413"/>
      <c r="J51" s="413"/>
      <c r="K51" s="412" t="str">
        <f>USD挂牌!C226</f>
        <v>≥50,000</v>
      </c>
      <c r="L51" s="412"/>
    </row>
    <row r="52" spans="2:12">
      <c r="B52" s="406" t="s">
        <v>20</v>
      </c>
      <c r="C52" s="267" t="s">
        <v>124</v>
      </c>
      <c r="D52" s="224">
        <f>USD挂牌!D42</f>
        <v>2.5999999999999999E-2</v>
      </c>
      <c r="E52" s="235">
        <f>USD挂牌!D89</f>
        <v>2.75E-2</v>
      </c>
      <c r="F52" s="235">
        <f>USD挂牌!D136</f>
        <v>2.6499999999999999E-2</v>
      </c>
      <c r="G52" s="235" t="s">
        <v>124</v>
      </c>
      <c r="H52" s="235">
        <f>USD挂牌!D197</f>
        <v>2.5999999999999999E-2</v>
      </c>
      <c r="I52" s="267" t="s">
        <v>124</v>
      </c>
      <c r="J52" s="267" t="s">
        <v>124</v>
      </c>
      <c r="K52" s="405">
        <v>250000</v>
      </c>
      <c r="L52" s="405"/>
    </row>
    <row r="53" spans="2:12">
      <c r="B53" s="415" t="s">
        <v>46</v>
      </c>
      <c r="C53" s="235">
        <f>USD挂牌!D20</f>
        <v>2.5000000000000001E-2</v>
      </c>
      <c r="D53" s="235">
        <f>USD挂牌!D65</f>
        <v>2.4764999999999999E-2</v>
      </c>
      <c r="E53" s="235">
        <f>USD挂牌!D112</f>
        <v>2.5248E-2</v>
      </c>
      <c r="F53" s="357">
        <f>USD挂牌!D159</f>
        <v>2.6882E-2</v>
      </c>
      <c r="G53" s="224" t="s">
        <v>124</v>
      </c>
      <c r="H53" s="357">
        <f>USD挂牌!D220</f>
        <v>2.7476E-2</v>
      </c>
      <c r="I53" s="267" t="s">
        <v>124</v>
      </c>
      <c r="J53" s="267" t="s">
        <v>124</v>
      </c>
      <c r="K53" s="405">
        <v>500000</v>
      </c>
      <c r="L53" s="405"/>
    </row>
    <row r="54" spans="2:12">
      <c r="B54" s="414" t="s">
        <v>33</v>
      </c>
      <c r="C54" s="413" t="s">
        <v>124</v>
      </c>
      <c r="D54" s="234">
        <f>USD挂牌!D48</f>
        <v>3.0499999999999999E-2</v>
      </c>
      <c r="E54" s="234">
        <f>USD挂牌!D95</f>
        <v>2.8999999999999998E-2</v>
      </c>
      <c r="F54" s="234">
        <f>USD挂牌!D142</f>
        <v>2.75E-2</v>
      </c>
      <c r="G54" s="234" t="s">
        <v>124</v>
      </c>
      <c r="H54" s="234">
        <f>USD挂牌!D203</f>
        <v>2.0500000000000001E-2</v>
      </c>
      <c r="I54" s="413" t="s">
        <v>124</v>
      </c>
      <c r="J54" s="413" t="s">
        <v>124</v>
      </c>
      <c r="K54" s="412" t="s">
        <v>536</v>
      </c>
      <c r="L54" s="412"/>
    </row>
    <row r="55" spans="2:12">
      <c r="B55" s="411"/>
      <c r="C55" s="410"/>
      <c r="D55" s="410"/>
      <c r="E55" s="410"/>
      <c r="F55" s="410"/>
      <c r="G55" s="410"/>
      <c r="H55" s="410"/>
      <c r="I55" s="219"/>
      <c r="J55" s="219"/>
      <c r="K55" s="409"/>
      <c r="L55" s="409"/>
    </row>
    <row r="57" spans="2:12" s="372" customFormat="1" ht="17.399999999999999">
      <c r="B57" s="899" t="s">
        <v>535</v>
      </c>
      <c r="C57" s="900"/>
      <c r="D57" s="900"/>
      <c r="E57" s="900"/>
      <c r="F57" s="900"/>
      <c r="G57" s="900"/>
      <c r="H57" s="901">
        <f>F2</f>
        <v>46099</v>
      </c>
      <c r="I57" s="901"/>
      <c r="J57" s="901"/>
      <c r="K57" s="902"/>
    </row>
    <row r="58" spans="2:12">
      <c r="B58" s="408" t="s">
        <v>292</v>
      </c>
      <c r="C58" s="312" t="s">
        <v>289</v>
      </c>
      <c r="D58" s="408" t="s">
        <v>288</v>
      </c>
      <c r="E58" s="408" t="s">
        <v>287</v>
      </c>
      <c r="F58" s="312" t="s">
        <v>286</v>
      </c>
      <c r="G58" s="408" t="s">
        <v>285</v>
      </c>
      <c r="H58" s="408" t="s">
        <v>284</v>
      </c>
      <c r="I58" s="408" t="s">
        <v>283</v>
      </c>
      <c r="J58" s="408" t="s">
        <v>534</v>
      </c>
      <c r="K58" s="408" t="s">
        <v>533</v>
      </c>
      <c r="L58" s="407" t="str">
        <f>L3</f>
        <v>代表本周有调整</v>
      </c>
    </row>
    <row r="59" spans="2:12" s="396" customFormat="1" ht="17.399999999999999">
      <c r="B59" s="723" t="s">
        <v>16</v>
      </c>
      <c r="C59" s="452">
        <f>CNY挂牌!Q12</f>
        <v>1.2500000000000001E-2</v>
      </c>
      <c r="D59" s="452">
        <f>CNY挂牌!Q35</f>
        <v>1.35E-2</v>
      </c>
      <c r="E59" s="452">
        <f>CNY挂牌!Q58</f>
        <v>1.4E-2</v>
      </c>
      <c r="F59" s="452">
        <f>CNY挂牌!Q81</f>
        <v>1.4999999999999999E-2</v>
      </c>
      <c r="G59" s="452">
        <f>CNY挂牌!Q93</f>
        <v>1.4500000000000001E-2</v>
      </c>
      <c r="H59" s="451">
        <v>1.55E-2</v>
      </c>
      <c r="I59" s="724">
        <v>1.55E-2</v>
      </c>
      <c r="J59" s="725">
        <v>200000</v>
      </c>
      <c r="K59" s="726"/>
    </row>
    <row r="60" spans="2:12">
      <c r="B60" s="381" t="s">
        <v>35</v>
      </c>
      <c r="C60" s="261">
        <f>CNY挂牌!Q9</f>
        <v>1.2E-2</v>
      </c>
      <c r="D60" s="261">
        <f>CNY挂牌!Q32</f>
        <v>1.2999999999999999E-2</v>
      </c>
      <c r="E60" s="261">
        <f>CNY挂牌!Q55</f>
        <v>1.35E-2</v>
      </c>
      <c r="F60" s="261">
        <f>CNY挂牌!Q78</f>
        <v>1.4E-2</v>
      </c>
      <c r="G60" s="261">
        <f>CNY挂牌!Q90</f>
        <v>1.4E-2</v>
      </c>
      <c r="H60" s="403" t="s">
        <v>124</v>
      </c>
      <c r="I60" s="403" t="s">
        <v>124</v>
      </c>
      <c r="J60" s="402">
        <v>50000</v>
      </c>
      <c r="K60" s="616" t="s">
        <v>653</v>
      </c>
    </row>
    <row r="61" spans="2:12">
      <c r="B61" s="406" t="s">
        <v>50</v>
      </c>
      <c r="C61" s="261">
        <f>CNY挂牌!Q19</f>
        <v>1.15E-2</v>
      </c>
      <c r="D61" s="261">
        <f>CNY挂牌!Q42</f>
        <v>1.2500000000000001E-2</v>
      </c>
      <c r="E61" s="261">
        <f>CNY挂牌!Q65</f>
        <v>1.35E-2</v>
      </c>
      <c r="F61" s="261" t="s">
        <v>124</v>
      </c>
      <c r="G61" s="261">
        <f>CNY挂牌!Q100</f>
        <v>1.4500000000000001E-2</v>
      </c>
      <c r="H61" s="403"/>
      <c r="I61" s="403"/>
      <c r="J61" s="405" t="s">
        <v>532</v>
      </c>
      <c r="K61" s="404"/>
    </row>
    <row r="62" spans="2:12">
      <c r="B62" s="381" t="s">
        <v>20</v>
      </c>
      <c r="C62" s="261">
        <f>CNY挂牌!Q7</f>
        <v>8.3000000000000001E-3</v>
      </c>
      <c r="D62" s="261">
        <f>CNY挂牌!Q30</f>
        <v>8.3000000000000001E-3</v>
      </c>
      <c r="E62" s="261">
        <f>CNY挂牌!Q53</f>
        <v>1.0800000000000001E-2</v>
      </c>
      <c r="F62" s="261" t="s">
        <v>124</v>
      </c>
      <c r="G62" s="261">
        <f>CNY挂牌!Q88</f>
        <v>1.2800000000000001E-2</v>
      </c>
      <c r="H62" s="403" t="s">
        <v>124</v>
      </c>
      <c r="I62" s="403" t="s">
        <v>124</v>
      </c>
      <c r="J62" s="402">
        <v>250000</v>
      </c>
      <c r="K62" s="237"/>
    </row>
    <row r="63" spans="2:12">
      <c r="B63" s="401" t="s">
        <v>12</v>
      </c>
      <c r="C63" s="273">
        <f>CNY挂牌!Q13</f>
        <v>6.0000000000000001E-3</v>
      </c>
      <c r="D63" s="273">
        <f>CNY挂牌!Q36</f>
        <v>8.0000000000000002E-3</v>
      </c>
      <c r="E63" s="273">
        <f>CNY挂牌!Q59</f>
        <v>8.5000000000000006E-3</v>
      </c>
      <c r="F63" s="261" t="s">
        <v>124</v>
      </c>
      <c r="G63" s="273">
        <f>CNY挂牌!Q94</f>
        <v>8.9999999999999993E-3</v>
      </c>
      <c r="H63" s="400"/>
      <c r="I63" s="400"/>
      <c r="J63" s="399" t="s">
        <v>65</v>
      </c>
      <c r="K63" s="398"/>
    </row>
    <row r="66" spans="2:16" s="372" customFormat="1" ht="17.399999999999999">
      <c r="B66" s="889" t="s">
        <v>292</v>
      </c>
      <c r="C66" s="891" t="s">
        <v>531</v>
      </c>
      <c r="D66" s="892"/>
      <c r="E66" s="893"/>
      <c r="F66" s="891" t="s">
        <v>530</v>
      </c>
      <c r="G66" s="892"/>
      <c r="H66" s="893"/>
      <c r="I66" s="891" t="s">
        <v>529</v>
      </c>
      <c r="J66" s="892"/>
      <c r="K66" s="893"/>
      <c r="L66" s="891" t="s">
        <v>528</v>
      </c>
      <c r="M66" s="892"/>
      <c r="N66" s="893"/>
    </row>
    <row r="67" spans="2:16">
      <c r="B67" s="890"/>
      <c r="C67" s="397" t="s">
        <v>289</v>
      </c>
      <c r="D67" s="397" t="s">
        <v>288</v>
      </c>
      <c r="E67" s="397" t="s">
        <v>287</v>
      </c>
      <c r="F67" s="397" t="s">
        <v>289</v>
      </c>
      <c r="G67" s="397" t="s">
        <v>288</v>
      </c>
      <c r="H67" s="397" t="s">
        <v>287</v>
      </c>
      <c r="I67" s="397" t="s">
        <v>289</v>
      </c>
      <c r="J67" s="397" t="s">
        <v>288</v>
      </c>
      <c r="K67" s="397" t="s">
        <v>287</v>
      </c>
      <c r="L67" s="397" t="s">
        <v>289</v>
      </c>
      <c r="M67" s="397" t="s">
        <v>288</v>
      </c>
      <c r="N67" s="397" t="s">
        <v>287</v>
      </c>
      <c r="O67" s="397" t="s">
        <v>527</v>
      </c>
      <c r="P67" s="397" t="s">
        <v>526</v>
      </c>
    </row>
    <row r="68" spans="2:16" s="396" customFormat="1" ht="17.399999999999999">
      <c r="B68" s="723" t="s">
        <v>16</v>
      </c>
      <c r="C68" s="452">
        <f>其他外币促销利率!D6</f>
        <v>3.3500000000000002E-2</v>
      </c>
      <c r="D68" s="452">
        <f>其他外币促销利率!D13</f>
        <v>3.4000000000000002E-2</v>
      </c>
      <c r="E68" s="452">
        <f>其他外币促销利率!D21</f>
        <v>3.4500000000000003E-2</v>
      </c>
      <c r="F68" s="451">
        <f>其他外币促销利率!D80</f>
        <v>0.02</v>
      </c>
      <c r="G68" s="451">
        <f>其他外币促销利率!D88</f>
        <v>0.02</v>
      </c>
      <c r="H68" s="451">
        <f>其他外币促销利率!D95</f>
        <v>2.0500000000000001E-2</v>
      </c>
      <c r="I68" s="452">
        <f>其他外币促销利率!D30</f>
        <v>1.7999999999999999E-2</v>
      </c>
      <c r="J68" s="452">
        <f>其他外币促销利率!D37</f>
        <v>1.7999999999999999E-2</v>
      </c>
      <c r="K68" s="452">
        <f>其他外币促销利率!D43</f>
        <v>1.8499999999999999E-2</v>
      </c>
      <c r="L68" s="452">
        <f>其他外币促销利率!D51</f>
        <v>3.4500000000000003E-2</v>
      </c>
      <c r="M68" s="452">
        <f>其他外币促销利率!D58</f>
        <v>3.4500000000000003E-2</v>
      </c>
      <c r="N68" s="452">
        <f>其他外币促销利率!D65</f>
        <v>3.4000000000000002E-2</v>
      </c>
      <c r="O68" s="727">
        <v>10000</v>
      </c>
      <c r="P68" s="728" t="s">
        <v>514</v>
      </c>
    </row>
    <row r="69" spans="2:16">
      <c r="B69" s="312" t="s">
        <v>20</v>
      </c>
      <c r="C69" s="261">
        <f>其他外币促销利率!D7</f>
        <v>3.5000000000000003E-2</v>
      </c>
      <c r="D69" s="261">
        <f>其他外币促销利率!D14</f>
        <v>3.5999999999999997E-2</v>
      </c>
      <c r="E69" s="261">
        <f>其他外币促销利率!D22</f>
        <v>3.6999999999999998E-2</v>
      </c>
      <c r="F69" s="261">
        <f>其他外币促销利率!D81</f>
        <v>0</v>
      </c>
      <c r="G69" s="261">
        <f>其他外币促销利率!D89</f>
        <v>0</v>
      </c>
      <c r="H69" s="261">
        <f>其他外币促销利率!D96</f>
        <v>0</v>
      </c>
      <c r="I69" s="224">
        <f>其他外币促销利率!D31</f>
        <v>0</v>
      </c>
      <c r="J69" s="224">
        <f>其他外币促销利率!D38</f>
        <v>0</v>
      </c>
      <c r="K69" s="224">
        <f>其他外币促销利率!D44</f>
        <v>0</v>
      </c>
      <c r="L69" s="261">
        <f>其他外币促销利率!D52</f>
        <v>3.4000000000000002E-2</v>
      </c>
      <c r="M69" s="261">
        <f>其他外币促销利率!D59</f>
        <v>3.4500000000000003E-2</v>
      </c>
      <c r="N69" s="261">
        <f>其他外币促销利率!D66</f>
        <v>3.2500000000000001E-2</v>
      </c>
      <c r="O69" s="816" t="s">
        <v>525</v>
      </c>
      <c r="P69" s="231" t="s">
        <v>298</v>
      </c>
    </row>
    <row r="70" spans="2:16">
      <c r="B70" s="312" t="s">
        <v>42</v>
      </c>
      <c r="C70" s="261" t="s">
        <v>124</v>
      </c>
      <c r="D70" s="261" t="s">
        <v>124</v>
      </c>
      <c r="E70" s="261">
        <f>其他外币促销利率!D24</f>
        <v>3.7999999999999999E-2</v>
      </c>
      <c r="F70" s="261">
        <f>其他外币促销利率!D84</f>
        <v>1.6E-2</v>
      </c>
      <c r="G70" s="261">
        <f>其他外币促销利率!D91</f>
        <v>1.6E-2</v>
      </c>
      <c r="H70" s="261">
        <f>其他外币促销利率!D98</f>
        <v>1.55E-2</v>
      </c>
      <c r="I70" s="261" t="s">
        <v>124</v>
      </c>
      <c r="J70" s="261" t="s">
        <v>124</v>
      </c>
      <c r="K70" s="261" t="s">
        <v>124</v>
      </c>
      <c r="L70" s="231" t="s">
        <v>124</v>
      </c>
      <c r="M70" s="231" t="s">
        <v>124</v>
      </c>
      <c r="N70" s="394">
        <f>其他外币促销利率!D68</f>
        <v>3.4000000000000002E-2</v>
      </c>
      <c r="O70" s="816" t="s">
        <v>524</v>
      </c>
      <c r="P70" s="231"/>
    </row>
    <row r="71" spans="2:16">
      <c r="B71" s="395" t="s">
        <v>23</v>
      </c>
      <c r="C71" s="261">
        <f>其他外币促销利率!D8</f>
        <v>3.2500000000000001E-2</v>
      </c>
      <c r="D71" s="261" t="s">
        <v>124</v>
      </c>
      <c r="E71" s="261" t="s">
        <v>124</v>
      </c>
      <c r="F71" s="261">
        <f>其他外币促销利率!D82</f>
        <v>0.02</v>
      </c>
      <c r="G71" s="261" t="s">
        <v>124</v>
      </c>
      <c r="H71" s="261" t="s">
        <v>124</v>
      </c>
      <c r="I71" s="235">
        <f>其他外币促销利率!D32</f>
        <v>1.7500000000000002E-2</v>
      </c>
      <c r="J71" s="261" t="s">
        <v>124</v>
      </c>
      <c r="K71" s="261" t="s">
        <v>124</v>
      </c>
      <c r="L71" s="261">
        <f>其他外币促销利率!D53</f>
        <v>3.2500000000000001E-2</v>
      </c>
      <c r="M71" s="261" t="s">
        <v>124</v>
      </c>
      <c r="N71" s="394"/>
      <c r="O71" s="816" t="s">
        <v>523</v>
      </c>
      <c r="P71" s="231" t="s">
        <v>522</v>
      </c>
    </row>
    <row r="72" spans="2:16">
      <c r="B72" s="395" t="s">
        <v>12</v>
      </c>
      <c r="C72" s="261">
        <f>其他外币促销利率!D5</f>
        <v>3.3500000000000002E-2</v>
      </c>
      <c r="D72" s="261">
        <f>其他外币促销利率!D12</f>
        <v>3.5000000000000003E-2</v>
      </c>
      <c r="E72" s="261">
        <f>其他外币促销利率!D20</f>
        <v>3.6499999999999998E-2</v>
      </c>
      <c r="F72" s="261">
        <f>其他外币促销利率!D83</f>
        <v>1.7999999999999999E-2</v>
      </c>
      <c r="G72" s="261">
        <f>其他外币促销利率!D90</f>
        <v>1.8499999999999999E-2</v>
      </c>
      <c r="H72" s="261">
        <f>其他外币促销利率!D97</f>
        <v>1.9E-2</v>
      </c>
      <c r="I72" s="235">
        <f>其他外币促销利率!D33</f>
        <v>1.55E-2</v>
      </c>
      <c r="J72" s="261">
        <f>其他外币促销利率!D39</f>
        <v>1.6500000000000001E-2</v>
      </c>
      <c r="K72" s="261">
        <f>其他外币促销利率!D45</f>
        <v>1.7500000000000002E-2</v>
      </c>
      <c r="L72" s="261">
        <f>其他外币促销利率!D54</f>
        <v>3.4000000000000002E-2</v>
      </c>
      <c r="M72" s="261">
        <f>其他外币促销利率!D60</f>
        <v>3.4000000000000002E-2</v>
      </c>
      <c r="N72" s="394">
        <f>其他外币促销利率!D68</f>
        <v>3.4000000000000002E-2</v>
      </c>
      <c r="O72" s="816"/>
      <c r="P72" s="231"/>
    </row>
    <row r="73" spans="2:16">
      <c r="C73" s="886"/>
      <c r="D73" s="886"/>
      <c r="E73" s="886"/>
      <c r="F73" s="886" t="s">
        <v>521</v>
      </c>
      <c r="G73" s="886"/>
      <c r="H73" s="886"/>
      <c r="I73" s="886" t="s">
        <v>520</v>
      </c>
      <c r="J73" s="886"/>
      <c r="K73" s="886"/>
    </row>
  </sheetData>
  <mergeCells count="18">
    <mergeCell ref="L66:N66"/>
    <mergeCell ref="B40:G40"/>
    <mergeCell ref="H40:L40"/>
    <mergeCell ref="B57:G57"/>
    <mergeCell ref="H57:K57"/>
    <mergeCell ref="I66:K66"/>
    <mergeCell ref="I73:K73"/>
    <mergeCell ref="C73:E73"/>
    <mergeCell ref="B26:D26"/>
    <mergeCell ref="B2:E2"/>
    <mergeCell ref="F73:H73"/>
    <mergeCell ref="B66:B67"/>
    <mergeCell ref="F66:H66"/>
    <mergeCell ref="C66:E66"/>
    <mergeCell ref="C20:K20"/>
    <mergeCell ref="C21:K21"/>
    <mergeCell ref="C22:K22"/>
    <mergeCell ref="E26:I26"/>
  </mergeCells>
  <phoneticPr fontId="71" type="noConversion"/>
  <pageMargins left="0.7" right="0.7" top="0.75" bottom="0.75" header="0.3" footer="0.3"/>
  <pageSetup paperSize="9" scale="65" orientation="landscape" r:id="rId1"/>
  <rowBreaks count="1" manualBreakCount="1">
    <brk id="22" max="16383" man="1"/>
  </rowBreaks>
  <colBreaks count="1" manualBreakCount="1">
    <brk id="11" max="1048575" man="1"/>
  </colBreaks>
  <tableParts count="3">
    <tablePart r:id="rId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I143"/>
  <sheetViews>
    <sheetView showGridLines="0" zoomScaleNormal="100" workbookViewId="0">
      <selection activeCell="HF8" sqref="HF8"/>
    </sheetView>
  </sheetViews>
  <sheetFormatPr defaultColWidth="9" defaultRowHeight="13.8"/>
  <cols>
    <col min="1" max="1" width="14.88671875" style="219" bestFit="1" customWidth="1"/>
    <col min="2" max="2" width="42.109375" style="223" customWidth="1"/>
    <col min="3" max="4" width="17.33203125" style="223" customWidth="1"/>
    <col min="5" max="7" width="17.33203125" style="223" hidden="1" customWidth="1"/>
    <col min="8" max="19" width="14.88671875" style="223" hidden="1" customWidth="1"/>
    <col min="20" max="22" width="14.88671875" style="222" hidden="1" customWidth="1"/>
    <col min="23" max="31" width="14.88671875" style="223" hidden="1" customWidth="1"/>
    <col min="32" max="35" width="25.109375" style="222" hidden="1" customWidth="1"/>
    <col min="36" max="36" width="25.109375" style="223" hidden="1" customWidth="1"/>
    <col min="37" max="37" width="25.109375" style="222" hidden="1" customWidth="1"/>
    <col min="38" max="38" width="25.109375" style="223" hidden="1" customWidth="1"/>
    <col min="39" max="39" width="25.109375" style="222" hidden="1" customWidth="1"/>
    <col min="40" max="41" width="16.109375" style="222" hidden="1" customWidth="1"/>
    <col min="42" max="43" width="16.109375" style="104" hidden="1" customWidth="1"/>
    <col min="44" max="44" width="22.6640625" style="104" hidden="1" customWidth="1"/>
    <col min="45" max="80" width="24.88671875" style="104" hidden="1" customWidth="1"/>
    <col min="81" max="83" width="19.33203125" style="104" hidden="1" customWidth="1"/>
    <col min="84" max="111" width="16.109375" style="104" hidden="1" customWidth="1"/>
    <col min="112" max="120" width="14.88671875" style="104" hidden="1" customWidth="1"/>
    <col min="121" max="126" width="21" style="104" hidden="1" customWidth="1"/>
    <col min="127" max="127" width="38.6640625" style="104" hidden="1" customWidth="1"/>
    <col min="128" max="129" width="17.33203125" style="104" hidden="1" customWidth="1"/>
    <col min="130" max="130" width="16.88671875" style="104" hidden="1" customWidth="1"/>
    <col min="131" max="131" width="14.88671875" style="104" hidden="1" customWidth="1"/>
    <col min="132" max="134" width="19.109375" style="104" hidden="1" customWidth="1"/>
    <col min="135" max="155" width="14.88671875" style="104" hidden="1" customWidth="1"/>
    <col min="156" max="156" width="20.109375" style="104" hidden="1" customWidth="1"/>
    <col min="157" max="157" width="14.88671875" style="219" hidden="1" customWidth="1"/>
    <col min="158" max="158" width="16.6640625" style="221" hidden="1" customWidth="1"/>
    <col min="159" max="159" width="11.88671875" style="104" hidden="1" customWidth="1"/>
    <col min="160" max="160" width="14.88671875" style="220" hidden="1" customWidth="1"/>
    <col min="161" max="161" width="28.5546875" style="221" hidden="1" customWidth="1"/>
    <col min="162" max="162" width="10.5546875" style="12" hidden="1" customWidth="1"/>
    <col min="163" max="163" width="20.5546875" style="104" hidden="1" customWidth="1"/>
    <col min="164" max="164" width="14.88671875" style="220" hidden="1" customWidth="1"/>
    <col min="165" max="165" width="14.88671875" style="104" hidden="1" customWidth="1"/>
    <col min="166" max="167" width="14.88671875" style="220" hidden="1" customWidth="1"/>
    <col min="168" max="169" width="14.88671875" style="104" hidden="1" customWidth="1"/>
    <col min="170" max="180" width="14.88671875" style="219" hidden="1" customWidth="1"/>
    <col min="181" max="213" width="14.88671875" style="104" hidden="1" customWidth="1"/>
    <col min="214" max="214" width="19.5546875" style="104" bestFit="1" customWidth="1"/>
    <col min="215" max="215" width="29.44140625" style="218" customWidth="1"/>
    <col min="216" max="16384" width="9" style="12"/>
  </cols>
  <sheetData>
    <row r="1" spans="1:215" ht="20.399999999999999">
      <c r="A1" s="1058" t="s">
        <v>510</v>
      </c>
      <c r="B1" s="1059"/>
      <c r="C1" s="1059"/>
      <c r="D1" s="1059"/>
      <c r="E1" s="1059"/>
      <c r="F1" s="1059"/>
      <c r="G1" s="1059"/>
      <c r="H1" s="1059"/>
      <c r="I1" s="1059"/>
      <c r="J1" s="1059"/>
      <c r="K1" s="1059"/>
      <c r="L1" s="1059"/>
      <c r="M1" s="1059"/>
      <c r="N1" s="1059"/>
      <c r="O1" s="1059"/>
      <c r="P1" s="1059"/>
      <c r="Q1" s="1059"/>
      <c r="R1" s="1059"/>
      <c r="S1" s="1059"/>
      <c r="T1" s="1059"/>
      <c r="U1" s="1059"/>
      <c r="V1" s="1059"/>
      <c r="W1" s="1059"/>
      <c r="X1" s="1059"/>
      <c r="Y1" s="1059"/>
      <c r="Z1" s="1059"/>
      <c r="AA1" s="1059"/>
      <c r="AB1" s="1059"/>
      <c r="AC1" s="1059"/>
      <c r="AD1" s="1059"/>
      <c r="AE1" s="1059"/>
      <c r="AF1" s="1059"/>
      <c r="AG1" s="1059"/>
      <c r="AH1" s="1059"/>
      <c r="AI1" s="1059"/>
      <c r="AJ1" s="1059"/>
      <c r="AK1" s="1059"/>
      <c r="AL1" s="1059"/>
      <c r="AM1" s="1059"/>
      <c r="AN1" s="1059"/>
      <c r="AO1" s="1059"/>
      <c r="AP1" s="1059"/>
      <c r="AQ1" s="1059"/>
      <c r="AR1" s="1059"/>
      <c r="AS1" s="1059"/>
      <c r="AT1" s="1059"/>
      <c r="AU1" s="1059"/>
      <c r="AV1" s="1059"/>
      <c r="AW1" s="1059"/>
      <c r="AX1" s="1059"/>
      <c r="AY1" s="1059"/>
      <c r="AZ1" s="1059"/>
      <c r="BA1" s="1059"/>
      <c r="BB1" s="1059"/>
      <c r="BC1" s="1059"/>
      <c r="BD1" s="1059"/>
      <c r="BE1" s="1059"/>
      <c r="BF1" s="1059"/>
      <c r="BG1" s="1059"/>
      <c r="BH1" s="1059"/>
      <c r="BI1" s="1059"/>
      <c r="BJ1" s="1059"/>
      <c r="BK1" s="1059"/>
      <c r="BL1" s="1059"/>
      <c r="BM1" s="1059"/>
      <c r="BN1" s="1059"/>
      <c r="BO1" s="1059"/>
      <c r="BP1" s="1059"/>
      <c r="BQ1" s="1059"/>
      <c r="BR1" s="1059"/>
      <c r="BS1" s="1059"/>
      <c r="BT1" s="1059"/>
      <c r="BU1" s="1059"/>
      <c r="BV1" s="1059"/>
      <c r="BW1" s="1059"/>
      <c r="BX1" s="1059"/>
      <c r="BY1" s="1059"/>
      <c r="BZ1" s="1059"/>
      <c r="CA1" s="1059"/>
      <c r="CB1" s="1059"/>
      <c r="CC1" s="1059"/>
      <c r="CD1" s="1059"/>
      <c r="CE1" s="1059"/>
      <c r="CF1" s="1059"/>
      <c r="CG1" s="1059"/>
      <c r="CH1" s="1059"/>
      <c r="CI1" s="1059"/>
      <c r="CJ1" s="1059"/>
      <c r="CK1" s="1059"/>
      <c r="CL1" s="1059"/>
      <c r="CM1" s="1059"/>
      <c r="CN1" s="1059"/>
      <c r="CO1" s="1059"/>
      <c r="CP1" s="1059"/>
      <c r="CQ1" s="1059"/>
      <c r="CR1" s="1059"/>
      <c r="CS1" s="1059"/>
      <c r="CT1" s="1059"/>
      <c r="CU1" s="1059"/>
      <c r="CV1" s="1059"/>
      <c r="CW1" s="1059"/>
      <c r="CX1" s="1059"/>
      <c r="CY1" s="1059"/>
      <c r="CZ1" s="1059"/>
      <c r="DA1" s="1059"/>
      <c r="DB1" s="1059"/>
      <c r="DC1" s="1059"/>
      <c r="DD1" s="1059"/>
      <c r="DE1" s="1059"/>
      <c r="DF1" s="1059"/>
      <c r="DG1" s="1059"/>
      <c r="DH1" s="1059"/>
      <c r="DI1" s="1059"/>
      <c r="DJ1" s="1059"/>
      <c r="DK1" s="1059"/>
      <c r="DL1" s="1059"/>
      <c r="DM1" s="1059"/>
      <c r="DN1" s="1059"/>
      <c r="DO1" s="1059"/>
      <c r="DP1" s="1059"/>
      <c r="DQ1" s="1059"/>
      <c r="DR1" s="1059"/>
      <c r="DS1" s="1059"/>
      <c r="DT1" s="1059"/>
      <c r="DU1" s="1059"/>
      <c r="DV1" s="1059"/>
      <c r="DW1" s="1059"/>
      <c r="DX1" s="1059"/>
      <c r="DY1" s="1059"/>
      <c r="DZ1" s="1059"/>
      <c r="EA1" s="1059"/>
      <c r="EB1" s="1059"/>
      <c r="EC1" s="1059"/>
      <c r="ED1" s="1059"/>
      <c r="EE1" s="1059"/>
      <c r="EF1" s="1059"/>
      <c r="EG1" s="1059"/>
      <c r="EH1" s="1059"/>
      <c r="EI1" s="1059"/>
      <c r="EJ1" s="1059"/>
      <c r="EK1" s="1059"/>
      <c r="EL1" s="1059"/>
      <c r="EM1" s="1059"/>
      <c r="EN1" s="1059"/>
      <c r="EO1" s="1059"/>
      <c r="EP1" s="1059"/>
      <c r="EQ1" s="1059"/>
      <c r="ER1" s="1059"/>
      <c r="ES1" s="1059"/>
      <c r="ET1" s="1059"/>
      <c r="EU1" s="1059"/>
      <c r="EV1" s="1059"/>
      <c r="EW1" s="1059"/>
      <c r="EX1" s="1059"/>
      <c r="EY1" s="1059"/>
      <c r="EZ1" s="1059"/>
      <c r="FA1" s="1059"/>
      <c r="FB1" s="1059"/>
      <c r="FC1" s="1059"/>
      <c r="FD1" s="1059"/>
      <c r="FE1" s="1059"/>
      <c r="FF1" s="1059"/>
      <c r="FG1" s="1059"/>
      <c r="FH1" s="1059"/>
      <c r="FI1" s="1059"/>
      <c r="FJ1" s="1059"/>
      <c r="FK1" s="1059"/>
      <c r="FL1" s="1059"/>
      <c r="FM1" s="1059"/>
      <c r="FN1" s="1059"/>
      <c r="FO1" s="1059"/>
      <c r="FP1" s="1059"/>
      <c r="FQ1" s="1059"/>
      <c r="FR1" s="1059"/>
      <c r="FS1" s="1059"/>
      <c r="FT1" s="1059"/>
      <c r="FU1" s="1059"/>
      <c r="FV1" s="1059"/>
      <c r="FW1" s="1059"/>
      <c r="FX1" s="1059"/>
      <c r="FY1" s="1059"/>
      <c r="FZ1" s="1059"/>
      <c r="GA1" s="1059"/>
      <c r="GB1" s="1059"/>
      <c r="GC1" s="1059"/>
      <c r="GD1" s="1059"/>
      <c r="GE1" s="1059"/>
      <c r="GF1" s="1059"/>
      <c r="GG1" s="1059"/>
      <c r="GH1" s="1059"/>
      <c r="GI1" s="1059"/>
      <c r="GJ1" s="1059"/>
      <c r="GK1" s="1059"/>
      <c r="GL1" s="1059"/>
      <c r="GM1" s="1059"/>
      <c r="GN1" s="1059"/>
      <c r="GO1" s="1059"/>
      <c r="GP1" s="1059"/>
      <c r="GQ1" s="1059"/>
      <c r="GR1" s="1059"/>
      <c r="GS1" s="1059"/>
      <c r="GT1" s="1059"/>
      <c r="GU1" s="1059"/>
      <c r="GV1" s="1059"/>
      <c r="GW1" s="1059"/>
      <c r="GX1" s="1059"/>
      <c r="GY1" s="1059"/>
      <c r="GZ1" s="1059"/>
      <c r="HA1" s="1059"/>
      <c r="HB1" s="1059"/>
      <c r="HC1" s="1059"/>
      <c r="HD1" s="1059"/>
      <c r="HE1" s="1059"/>
      <c r="HF1" s="1059"/>
    </row>
    <row r="2" spans="1:215" ht="20.399999999999999">
      <c r="A2" s="964" t="s">
        <v>509</v>
      </c>
      <c r="B2" s="965"/>
      <c r="C2" s="965"/>
      <c r="D2" s="965"/>
      <c r="E2" s="965"/>
      <c r="F2" s="965"/>
      <c r="G2" s="965"/>
      <c r="H2" s="965"/>
      <c r="I2" s="965"/>
      <c r="J2" s="965"/>
      <c r="K2" s="965"/>
      <c r="L2" s="965"/>
      <c r="M2" s="965"/>
      <c r="N2" s="965"/>
      <c r="O2" s="965"/>
      <c r="P2" s="965"/>
      <c r="Q2" s="965"/>
      <c r="R2" s="965"/>
      <c r="S2" s="965"/>
      <c r="T2" s="965"/>
      <c r="U2" s="965"/>
      <c r="V2" s="965"/>
      <c r="W2" s="965"/>
      <c r="X2" s="965"/>
      <c r="Y2" s="965"/>
      <c r="Z2" s="965"/>
      <c r="AA2" s="965"/>
      <c r="AB2" s="965"/>
      <c r="AC2" s="965"/>
      <c r="AD2" s="965"/>
      <c r="AE2" s="965"/>
      <c r="AF2" s="965"/>
      <c r="AG2" s="965"/>
      <c r="AH2" s="965"/>
      <c r="AI2" s="965"/>
      <c r="AJ2" s="965"/>
      <c r="AK2" s="965"/>
      <c r="AL2" s="965"/>
      <c r="AM2" s="965"/>
      <c r="AN2" s="965"/>
      <c r="AO2" s="965"/>
      <c r="AP2" s="965"/>
      <c r="AQ2" s="965"/>
      <c r="AR2" s="965"/>
      <c r="AS2" s="965"/>
      <c r="AT2" s="965"/>
      <c r="AU2" s="965"/>
      <c r="AV2" s="965"/>
      <c r="AW2" s="965"/>
      <c r="AX2" s="965"/>
      <c r="AY2" s="965"/>
      <c r="AZ2" s="965"/>
      <c r="BA2" s="965"/>
      <c r="BB2" s="965"/>
      <c r="BC2" s="965"/>
      <c r="BD2" s="965"/>
      <c r="BE2" s="965"/>
      <c r="BF2" s="965"/>
      <c r="BG2" s="965"/>
      <c r="BH2" s="965"/>
      <c r="BI2" s="965"/>
      <c r="BJ2" s="965"/>
      <c r="BK2" s="965"/>
      <c r="BL2" s="965"/>
      <c r="BM2" s="965"/>
      <c r="BN2" s="965"/>
      <c r="BO2" s="965"/>
      <c r="BP2" s="965"/>
      <c r="BQ2" s="965"/>
      <c r="BR2" s="965"/>
      <c r="BS2" s="965"/>
      <c r="BT2" s="965"/>
      <c r="BU2" s="965"/>
      <c r="BV2" s="965"/>
      <c r="BW2" s="965"/>
      <c r="BX2" s="965"/>
      <c r="BY2" s="965"/>
      <c r="BZ2" s="965"/>
      <c r="CA2" s="965"/>
      <c r="CB2" s="965"/>
      <c r="CC2" s="965"/>
      <c r="CD2" s="965"/>
      <c r="CE2" s="965"/>
      <c r="CF2" s="965"/>
      <c r="CG2" s="965"/>
      <c r="CH2" s="965"/>
      <c r="CI2" s="965"/>
      <c r="CJ2" s="965"/>
      <c r="CK2" s="965"/>
      <c r="CL2" s="965"/>
      <c r="CM2" s="965"/>
      <c r="CN2" s="965"/>
      <c r="CO2" s="965"/>
      <c r="CP2" s="965"/>
      <c r="CQ2" s="965"/>
      <c r="CR2" s="965"/>
      <c r="CS2" s="965"/>
      <c r="CT2" s="965"/>
      <c r="CU2" s="965"/>
      <c r="CV2" s="965"/>
      <c r="CW2" s="965"/>
      <c r="CX2" s="965"/>
      <c r="CY2" s="965"/>
      <c r="CZ2" s="965"/>
      <c r="DA2" s="965"/>
      <c r="DB2" s="965"/>
      <c r="DC2" s="965"/>
      <c r="DD2" s="965"/>
      <c r="DE2" s="965"/>
      <c r="DF2" s="965"/>
      <c r="DG2" s="965"/>
      <c r="DH2" s="965"/>
      <c r="DI2" s="965"/>
      <c r="DJ2" s="965"/>
      <c r="DK2" s="965"/>
      <c r="DL2" s="965"/>
      <c r="DM2" s="965"/>
      <c r="DN2" s="965"/>
      <c r="DO2" s="965"/>
      <c r="DP2" s="965"/>
      <c r="DQ2" s="965"/>
      <c r="DR2" s="965"/>
      <c r="DS2" s="965"/>
      <c r="DT2" s="965"/>
      <c r="DU2" s="965"/>
      <c r="DV2" s="965"/>
      <c r="DW2" s="965"/>
      <c r="DX2" s="965"/>
      <c r="DY2" s="965"/>
      <c r="DZ2" s="965"/>
      <c r="EA2" s="965"/>
      <c r="EB2" s="965"/>
      <c r="EC2" s="965"/>
      <c r="ED2" s="965"/>
      <c r="EE2" s="965"/>
      <c r="EF2" s="965"/>
      <c r="EG2" s="965"/>
      <c r="EH2" s="965"/>
      <c r="EI2" s="965"/>
      <c r="EJ2" s="965"/>
      <c r="EK2" s="965"/>
      <c r="EL2" s="965"/>
      <c r="EM2" s="965"/>
      <c r="EN2" s="965"/>
      <c r="EO2" s="965"/>
      <c r="EP2" s="965"/>
      <c r="EQ2" s="965"/>
      <c r="ER2" s="965"/>
      <c r="ES2" s="965"/>
      <c r="ET2" s="965"/>
      <c r="EU2" s="965"/>
      <c r="EV2" s="965"/>
      <c r="EW2" s="965"/>
      <c r="EX2" s="965"/>
      <c r="EY2" s="965"/>
      <c r="EZ2" s="965"/>
      <c r="FA2" s="965"/>
      <c r="FB2" s="965"/>
      <c r="FC2" s="965"/>
      <c r="FD2" s="965"/>
      <c r="FE2" s="965"/>
      <c r="FF2" s="965"/>
      <c r="FG2" s="965"/>
      <c r="FH2" s="965"/>
      <c r="FI2" s="965"/>
      <c r="FJ2" s="965"/>
      <c r="FK2" s="965"/>
      <c r="FL2" s="965"/>
      <c r="FM2" s="965"/>
      <c r="FN2" s="965"/>
      <c r="FO2" s="965"/>
      <c r="FP2" s="965"/>
      <c r="FQ2" s="965"/>
      <c r="FR2" s="965"/>
      <c r="FS2" s="965"/>
      <c r="FT2" s="965"/>
      <c r="FU2" s="965"/>
      <c r="FV2" s="965"/>
      <c r="FW2" s="965"/>
      <c r="FX2" s="965"/>
      <c r="FY2" s="965"/>
      <c r="FZ2" s="965"/>
      <c r="GA2" s="965"/>
      <c r="GB2" s="965"/>
      <c r="GC2" s="965"/>
      <c r="GD2" s="965"/>
      <c r="GE2" s="965"/>
      <c r="GF2" s="965"/>
      <c r="GG2" s="965"/>
      <c r="GH2" s="965"/>
      <c r="GI2" s="965"/>
      <c r="GJ2" s="965"/>
      <c r="GK2" s="965"/>
      <c r="GL2" s="965"/>
      <c r="GM2" s="965"/>
      <c r="GN2" s="965"/>
      <c r="GO2" s="965"/>
      <c r="GP2" s="965"/>
      <c r="GQ2" s="965"/>
      <c r="GR2" s="965"/>
      <c r="GS2" s="965"/>
      <c r="GT2" s="965"/>
      <c r="GU2" s="965"/>
      <c r="GV2" s="965"/>
      <c r="GW2" s="965"/>
      <c r="GX2" s="965"/>
      <c r="GY2" s="965"/>
      <c r="GZ2" s="965"/>
      <c r="HA2" s="965"/>
      <c r="HB2" s="965"/>
      <c r="HC2" s="965"/>
      <c r="HD2" s="965"/>
      <c r="HE2" s="965"/>
      <c r="HF2" s="966"/>
    </row>
    <row r="3" spans="1:215" ht="15.6">
      <c r="A3" s="690" t="s">
        <v>328</v>
      </c>
      <c r="B3" s="366"/>
      <c r="C3" s="247">
        <f>'最高报价汇总 '!F2</f>
        <v>46099</v>
      </c>
      <c r="D3" s="247">
        <f>'最高报价汇总 '!G2</f>
        <v>46092</v>
      </c>
      <c r="E3" s="247">
        <v>46085</v>
      </c>
      <c r="F3" s="247">
        <v>46078</v>
      </c>
      <c r="G3" s="247">
        <v>46071</v>
      </c>
      <c r="H3" s="247">
        <v>46064</v>
      </c>
      <c r="I3" s="247">
        <v>46057</v>
      </c>
      <c r="J3" s="247">
        <v>46050</v>
      </c>
      <c r="K3" s="247">
        <v>46043</v>
      </c>
      <c r="L3" s="247">
        <v>46036</v>
      </c>
      <c r="M3" s="247">
        <v>46029</v>
      </c>
      <c r="N3" s="247">
        <v>46022</v>
      </c>
      <c r="O3" s="247">
        <v>46015</v>
      </c>
      <c r="P3" s="247">
        <v>46008</v>
      </c>
      <c r="Q3" s="247">
        <v>46001</v>
      </c>
      <c r="R3" s="247">
        <v>45994</v>
      </c>
      <c r="S3" s="247">
        <f>'最高报价汇总 '!G2</f>
        <v>46092</v>
      </c>
      <c r="T3" s="247">
        <v>45980</v>
      </c>
      <c r="U3" s="247">
        <v>45973</v>
      </c>
      <c r="V3" s="247">
        <v>45966</v>
      </c>
      <c r="W3" s="247">
        <v>45959</v>
      </c>
      <c r="X3" s="247">
        <v>45952</v>
      </c>
      <c r="Y3" s="247">
        <v>45945</v>
      </c>
      <c r="Z3" s="247">
        <v>45938</v>
      </c>
      <c r="AA3" s="247">
        <v>45931</v>
      </c>
      <c r="AB3" s="247">
        <v>45924</v>
      </c>
      <c r="AC3" s="247">
        <v>45917</v>
      </c>
      <c r="AD3" s="247">
        <v>45910</v>
      </c>
      <c r="AE3" s="247">
        <f>'最高报价汇总 '!G2</f>
        <v>46092</v>
      </c>
      <c r="AF3" s="252">
        <v>45896</v>
      </c>
      <c r="AG3" s="252">
        <v>45889</v>
      </c>
      <c r="AH3" s="252">
        <v>45882</v>
      </c>
      <c r="AI3" s="252">
        <v>45875</v>
      </c>
      <c r="AJ3" s="247">
        <v>45868</v>
      </c>
      <c r="AK3" s="252">
        <v>45861</v>
      </c>
      <c r="AL3" s="247">
        <v>45854</v>
      </c>
      <c r="AM3" s="252">
        <v>45847</v>
      </c>
      <c r="AN3" s="252">
        <v>45840</v>
      </c>
      <c r="AO3" s="252">
        <v>45833</v>
      </c>
      <c r="AP3" s="247">
        <v>45826</v>
      </c>
      <c r="AQ3" s="247">
        <v>45819</v>
      </c>
      <c r="AR3" s="247">
        <v>45812</v>
      </c>
      <c r="AS3" s="247">
        <v>45805</v>
      </c>
      <c r="AT3" s="247">
        <v>45798</v>
      </c>
      <c r="AU3" s="247">
        <v>45792</v>
      </c>
      <c r="AV3" s="247">
        <v>45785</v>
      </c>
      <c r="AW3" s="247">
        <v>45777</v>
      </c>
      <c r="AX3" s="247">
        <v>45771</v>
      </c>
      <c r="AY3" s="247">
        <v>45763</v>
      </c>
      <c r="AZ3" s="247">
        <v>45757</v>
      </c>
      <c r="BA3" s="247">
        <v>45750</v>
      </c>
      <c r="BB3" s="247">
        <v>45742</v>
      </c>
      <c r="BC3" s="247" t="e">
        <f>'[2]最高报价汇总 '!H2</f>
        <v>#REF!</v>
      </c>
      <c r="BD3" s="247">
        <v>45729</v>
      </c>
      <c r="BE3" s="247">
        <v>45722</v>
      </c>
      <c r="BF3" s="247">
        <v>45715</v>
      </c>
      <c r="BG3" s="247">
        <v>45708</v>
      </c>
      <c r="BH3" s="247">
        <v>45701</v>
      </c>
      <c r="BI3" s="247">
        <v>45694</v>
      </c>
      <c r="BJ3" s="247">
        <v>45688</v>
      </c>
      <c r="BK3" s="247">
        <v>45315</v>
      </c>
      <c r="BL3" s="247">
        <v>45673</v>
      </c>
      <c r="BM3" s="247">
        <v>45666</v>
      </c>
      <c r="BN3" s="247">
        <v>45659</v>
      </c>
      <c r="BO3" s="247">
        <v>45652</v>
      </c>
      <c r="BP3" s="247">
        <v>45645</v>
      </c>
      <c r="BQ3" s="247">
        <v>45638</v>
      </c>
      <c r="BR3" s="247">
        <v>45631</v>
      </c>
      <c r="BS3" s="247">
        <v>45625</v>
      </c>
      <c r="BT3" s="247">
        <v>45617</v>
      </c>
      <c r="BU3" s="247">
        <v>45610</v>
      </c>
      <c r="BV3" s="247">
        <v>45603</v>
      </c>
      <c r="BW3" s="247">
        <v>45595</v>
      </c>
      <c r="BX3" s="247">
        <v>45591</v>
      </c>
      <c r="BY3" s="247">
        <v>45582</v>
      </c>
      <c r="BZ3" s="247">
        <v>45575</v>
      </c>
      <c r="CA3" s="247">
        <v>45568</v>
      </c>
      <c r="CB3" s="247">
        <v>45561</v>
      </c>
      <c r="CC3" s="247">
        <v>45554</v>
      </c>
      <c r="CD3" s="247">
        <v>45547</v>
      </c>
      <c r="CE3" s="247">
        <v>45540</v>
      </c>
      <c r="CF3" s="247">
        <v>45533</v>
      </c>
      <c r="CG3" s="247">
        <v>45526</v>
      </c>
      <c r="CH3" s="247">
        <v>45519</v>
      </c>
      <c r="CI3" s="247">
        <v>45511</v>
      </c>
      <c r="CJ3" s="247">
        <v>45505</v>
      </c>
      <c r="CK3" s="247">
        <v>45498</v>
      </c>
      <c r="CL3" s="247">
        <v>45492</v>
      </c>
      <c r="CM3" s="247" t="s">
        <v>508</v>
      </c>
      <c r="CN3" s="247">
        <v>45477</v>
      </c>
      <c r="CO3" s="247">
        <v>45464</v>
      </c>
      <c r="CP3" s="247">
        <v>45456</v>
      </c>
      <c r="CQ3" s="247">
        <v>45449</v>
      </c>
      <c r="CR3" s="247">
        <v>45442</v>
      </c>
      <c r="CS3" s="247">
        <v>45435</v>
      </c>
      <c r="CT3" s="247">
        <v>45428</v>
      </c>
      <c r="CU3" s="247">
        <v>45421</v>
      </c>
      <c r="CV3" s="247">
        <v>45414</v>
      </c>
      <c r="CW3" s="247">
        <v>45407</v>
      </c>
      <c r="CX3" s="247">
        <v>45400</v>
      </c>
      <c r="CY3" s="247">
        <v>45393</v>
      </c>
      <c r="CZ3" s="247">
        <v>45386</v>
      </c>
      <c r="DA3" s="247">
        <v>45378</v>
      </c>
      <c r="DB3" s="247">
        <v>45372</v>
      </c>
      <c r="DC3" s="247">
        <v>45365</v>
      </c>
      <c r="DD3" s="247">
        <v>45358</v>
      </c>
      <c r="DE3" s="247">
        <v>45351</v>
      </c>
      <c r="DF3" s="247">
        <v>45343</v>
      </c>
      <c r="DG3" s="247">
        <v>45336</v>
      </c>
      <c r="DH3" s="247">
        <v>45329</v>
      </c>
      <c r="DI3" s="247">
        <v>45323</v>
      </c>
      <c r="DJ3" s="247">
        <v>45316</v>
      </c>
      <c r="DK3" s="247">
        <v>45309</v>
      </c>
      <c r="DL3" s="247">
        <v>45302</v>
      </c>
      <c r="DM3" s="247">
        <v>45295</v>
      </c>
      <c r="DN3" s="247">
        <v>45288</v>
      </c>
      <c r="DO3" s="247">
        <v>45281</v>
      </c>
      <c r="DP3" s="247" t="s">
        <v>507</v>
      </c>
      <c r="DQ3" s="247">
        <v>45267</v>
      </c>
      <c r="DR3" s="247">
        <v>45260</v>
      </c>
      <c r="DS3" s="247">
        <v>45253</v>
      </c>
      <c r="DT3" s="247">
        <v>45246</v>
      </c>
      <c r="DU3" s="247">
        <v>45239</v>
      </c>
      <c r="DV3" s="247">
        <v>45232</v>
      </c>
      <c r="DW3" s="247">
        <v>45225</v>
      </c>
      <c r="DX3" s="247">
        <v>45218</v>
      </c>
      <c r="DY3" s="247">
        <v>45211</v>
      </c>
      <c r="DZ3" s="247">
        <v>45204</v>
      </c>
      <c r="EA3" s="247">
        <v>45197</v>
      </c>
      <c r="EB3" s="247">
        <v>45190</v>
      </c>
      <c r="EC3" s="247">
        <v>45183</v>
      </c>
      <c r="ED3" s="247">
        <v>45176</v>
      </c>
      <c r="EE3" s="247">
        <v>45168</v>
      </c>
      <c r="EF3" s="247">
        <v>45162</v>
      </c>
      <c r="EG3" s="247">
        <v>45155</v>
      </c>
      <c r="EH3" s="247">
        <v>45148</v>
      </c>
      <c r="EI3" s="247">
        <v>45141</v>
      </c>
      <c r="EJ3" s="247">
        <v>45134</v>
      </c>
      <c r="EK3" s="247">
        <v>45127</v>
      </c>
      <c r="EL3" s="247">
        <v>45120</v>
      </c>
      <c r="EM3" s="247">
        <v>45113</v>
      </c>
      <c r="EN3" s="247">
        <v>45105</v>
      </c>
      <c r="EO3" s="247">
        <v>45099</v>
      </c>
      <c r="EP3" s="247">
        <v>45092</v>
      </c>
      <c r="EQ3" s="247">
        <v>45085</v>
      </c>
      <c r="ER3" s="247">
        <v>45076</v>
      </c>
      <c r="ES3" s="247">
        <v>45070</v>
      </c>
      <c r="ET3" s="247">
        <v>45063</v>
      </c>
      <c r="EU3" s="247">
        <v>45056</v>
      </c>
      <c r="EV3" s="247">
        <v>45049</v>
      </c>
      <c r="EW3" s="247">
        <v>45042</v>
      </c>
      <c r="EX3" s="247">
        <v>45035</v>
      </c>
      <c r="EY3" s="247">
        <v>45028</v>
      </c>
      <c r="EZ3" s="249"/>
      <c r="FA3" s="247">
        <v>44803</v>
      </c>
      <c r="FB3" s="251"/>
      <c r="FC3" s="244"/>
      <c r="FD3" s="248">
        <v>44706</v>
      </c>
      <c r="FE3" s="251"/>
      <c r="FF3" s="250"/>
      <c r="FG3" s="244"/>
      <c r="FH3" s="243"/>
      <c r="FI3" s="249">
        <v>44685</v>
      </c>
      <c r="FJ3" s="248">
        <v>44699</v>
      </c>
      <c r="FK3" s="248">
        <v>44690</v>
      </c>
      <c r="FL3" s="248">
        <v>44713</v>
      </c>
      <c r="FM3" s="248">
        <v>44720</v>
      </c>
      <c r="FN3" s="247">
        <v>44727</v>
      </c>
      <c r="FO3" s="247">
        <v>44733</v>
      </c>
      <c r="FP3" s="247">
        <v>44741</v>
      </c>
      <c r="FQ3" s="247">
        <v>44755</v>
      </c>
      <c r="FR3" s="247">
        <v>44748</v>
      </c>
      <c r="FS3" s="247">
        <v>44769</v>
      </c>
      <c r="FT3" s="247">
        <v>44762</v>
      </c>
      <c r="FU3" s="247">
        <v>44783</v>
      </c>
      <c r="FV3" s="247">
        <v>44776</v>
      </c>
      <c r="FW3" s="247">
        <v>44797</v>
      </c>
      <c r="FX3" s="247">
        <v>44790</v>
      </c>
      <c r="FY3" s="247">
        <v>44805</v>
      </c>
      <c r="FZ3" s="247">
        <v>45000</v>
      </c>
      <c r="GA3" s="247">
        <v>44993</v>
      </c>
      <c r="GB3" s="247">
        <v>44986</v>
      </c>
      <c r="GC3" s="247">
        <v>44979</v>
      </c>
      <c r="GD3" s="247">
        <v>44972</v>
      </c>
      <c r="GE3" s="247">
        <v>44965</v>
      </c>
      <c r="GF3" s="247">
        <v>44958</v>
      </c>
      <c r="GG3" s="247">
        <v>44951</v>
      </c>
      <c r="GH3" s="247">
        <v>44944</v>
      </c>
      <c r="GI3" s="247">
        <v>44937</v>
      </c>
      <c r="GJ3" s="247">
        <v>44930</v>
      </c>
      <c r="GK3" s="247">
        <v>44923</v>
      </c>
      <c r="GL3" s="247">
        <v>44916</v>
      </c>
      <c r="GM3" s="247">
        <v>44910</v>
      </c>
      <c r="GN3" s="247">
        <v>44902</v>
      </c>
      <c r="GO3" s="247">
        <v>44896</v>
      </c>
      <c r="GP3" s="247">
        <v>44888</v>
      </c>
      <c r="GQ3" s="247">
        <v>44881</v>
      </c>
      <c r="GR3" s="247">
        <v>44874</v>
      </c>
      <c r="GS3" s="247">
        <v>44868</v>
      </c>
      <c r="GT3" s="247">
        <v>44860</v>
      </c>
      <c r="GU3" s="247">
        <v>44853</v>
      </c>
      <c r="GV3" s="247">
        <v>44846</v>
      </c>
      <c r="GW3" s="247">
        <v>44839</v>
      </c>
      <c r="GX3" s="247">
        <v>44831</v>
      </c>
      <c r="GY3" s="247">
        <v>44825</v>
      </c>
      <c r="GZ3" s="247">
        <v>44818</v>
      </c>
      <c r="HA3" s="247">
        <v>44811</v>
      </c>
      <c r="HB3" s="247">
        <v>45002</v>
      </c>
      <c r="HC3" s="247">
        <v>45020</v>
      </c>
      <c r="HD3" s="247">
        <v>45014</v>
      </c>
      <c r="HE3" s="247">
        <v>45008</v>
      </c>
      <c r="HF3" s="244"/>
    </row>
    <row r="4" spans="1:215" ht="16.5" customHeight="1">
      <c r="A4" s="690"/>
      <c r="B4" s="650" t="s">
        <v>327</v>
      </c>
      <c r="C4" s="246" t="s">
        <v>325</v>
      </c>
      <c r="D4" s="246" t="s">
        <v>325</v>
      </c>
      <c r="E4" s="246" t="s">
        <v>325</v>
      </c>
      <c r="F4" s="246" t="s">
        <v>325</v>
      </c>
      <c r="G4" s="246" t="s">
        <v>325</v>
      </c>
      <c r="H4" s="246" t="s">
        <v>325</v>
      </c>
      <c r="I4" s="246" t="s">
        <v>325</v>
      </c>
      <c r="J4" s="246" t="s">
        <v>325</v>
      </c>
      <c r="K4" s="246" t="s">
        <v>325</v>
      </c>
      <c r="L4" s="246" t="s">
        <v>325</v>
      </c>
      <c r="M4" s="246" t="s">
        <v>325</v>
      </c>
      <c r="N4" s="246" t="s">
        <v>325</v>
      </c>
      <c r="O4" s="246" t="s">
        <v>325</v>
      </c>
      <c r="P4" s="246" t="s">
        <v>325</v>
      </c>
      <c r="Q4" s="246" t="s">
        <v>325</v>
      </c>
      <c r="R4" s="246" t="s">
        <v>325</v>
      </c>
      <c r="S4" s="246" t="s">
        <v>325</v>
      </c>
      <c r="T4" s="246" t="s">
        <v>325</v>
      </c>
      <c r="U4" s="246" t="s">
        <v>325</v>
      </c>
      <c r="V4" s="246" t="s">
        <v>325</v>
      </c>
      <c r="W4" s="246" t="s">
        <v>325</v>
      </c>
      <c r="X4" s="246" t="s">
        <v>325</v>
      </c>
      <c r="Y4" s="246" t="s">
        <v>325</v>
      </c>
      <c r="Z4" s="246" t="s">
        <v>325</v>
      </c>
      <c r="AA4" s="246" t="s">
        <v>325</v>
      </c>
      <c r="AB4" s="246" t="s">
        <v>325</v>
      </c>
      <c r="AC4" s="246" t="s">
        <v>325</v>
      </c>
      <c r="AD4" s="246" t="s">
        <v>325</v>
      </c>
      <c r="AE4" s="246" t="s">
        <v>325</v>
      </c>
      <c r="AF4" s="245" t="s">
        <v>325</v>
      </c>
      <c r="AG4" s="245" t="s">
        <v>325</v>
      </c>
      <c r="AH4" s="245" t="s">
        <v>325</v>
      </c>
      <c r="AI4" s="245" t="s">
        <v>325</v>
      </c>
      <c r="AJ4" s="246" t="s">
        <v>325</v>
      </c>
      <c r="AK4" s="245" t="s">
        <v>325</v>
      </c>
      <c r="AL4" s="246" t="s">
        <v>325</v>
      </c>
      <c r="AM4" s="245" t="s">
        <v>325</v>
      </c>
      <c r="AN4" s="245" t="s">
        <v>325</v>
      </c>
      <c r="AO4" s="245" t="s">
        <v>325</v>
      </c>
      <c r="AP4" s="242" t="s">
        <v>325</v>
      </c>
      <c r="AQ4" s="242" t="s">
        <v>325</v>
      </c>
      <c r="AR4" s="242" t="s">
        <v>325</v>
      </c>
      <c r="AS4" s="242" t="s">
        <v>325</v>
      </c>
      <c r="AT4" s="242" t="s">
        <v>325</v>
      </c>
      <c r="AU4" s="242" t="s">
        <v>325</v>
      </c>
      <c r="AV4" s="242" t="s">
        <v>325</v>
      </c>
      <c r="AW4" s="242" t="s">
        <v>325</v>
      </c>
      <c r="AX4" s="242" t="s">
        <v>325</v>
      </c>
      <c r="AY4" s="242" t="s">
        <v>325</v>
      </c>
      <c r="AZ4" s="242" t="s">
        <v>325</v>
      </c>
      <c r="BA4" s="242" t="s">
        <v>325</v>
      </c>
      <c r="BB4" s="242" t="s">
        <v>325</v>
      </c>
      <c r="BC4" s="242" t="s">
        <v>325</v>
      </c>
      <c r="BD4" s="242" t="s">
        <v>325</v>
      </c>
      <c r="BE4" s="242" t="s">
        <v>325</v>
      </c>
      <c r="BF4" s="242" t="s">
        <v>325</v>
      </c>
      <c r="BG4" s="242" t="s">
        <v>325</v>
      </c>
      <c r="BH4" s="242" t="s">
        <v>325</v>
      </c>
      <c r="BI4" s="242" t="s">
        <v>325</v>
      </c>
      <c r="BJ4" s="242" t="s">
        <v>325</v>
      </c>
      <c r="BK4" s="242" t="s">
        <v>325</v>
      </c>
      <c r="BL4" s="242" t="s">
        <v>325</v>
      </c>
      <c r="BM4" s="242" t="s">
        <v>325</v>
      </c>
      <c r="BN4" s="242" t="s">
        <v>325</v>
      </c>
      <c r="BO4" s="242" t="s">
        <v>325</v>
      </c>
      <c r="BP4" s="242" t="s">
        <v>325</v>
      </c>
      <c r="BQ4" s="242" t="s">
        <v>325</v>
      </c>
      <c r="BR4" s="242" t="s">
        <v>325</v>
      </c>
      <c r="BS4" s="242" t="s">
        <v>325</v>
      </c>
      <c r="BT4" s="242" t="s">
        <v>325</v>
      </c>
      <c r="BU4" s="242" t="s">
        <v>325</v>
      </c>
      <c r="BV4" s="242" t="s">
        <v>325</v>
      </c>
      <c r="BW4" s="242" t="s">
        <v>325</v>
      </c>
      <c r="BX4" s="242" t="s">
        <v>325</v>
      </c>
      <c r="BY4" s="242" t="s">
        <v>325</v>
      </c>
      <c r="BZ4" s="242" t="s">
        <v>325</v>
      </c>
      <c r="CA4" s="242" t="s">
        <v>325</v>
      </c>
      <c r="CB4" s="242" t="s">
        <v>325</v>
      </c>
      <c r="CC4" s="242" t="s">
        <v>325</v>
      </c>
      <c r="CD4" s="242" t="s">
        <v>325</v>
      </c>
      <c r="CE4" s="242" t="s">
        <v>325</v>
      </c>
      <c r="CF4" s="242" t="s">
        <v>325</v>
      </c>
      <c r="CG4" s="242" t="s">
        <v>325</v>
      </c>
      <c r="CH4" s="242" t="s">
        <v>325</v>
      </c>
      <c r="CI4" s="242" t="s">
        <v>325</v>
      </c>
      <c r="CJ4" s="242" t="s">
        <v>325</v>
      </c>
      <c r="CK4" s="242" t="s">
        <v>325</v>
      </c>
      <c r="CL4" s="242" t="s">
        <v>325</v>
      </c>
      <c r="CM4" s="242" t="s">
        <v>325</v>
      </c>
      <c r="CN4" s="242" t="s">
        <v>325</v>
      </c>
      <c r="CO4" s="242" t="s">
        <v>325</v>
      </c>
      <c r="CP4" s="242" t="s">
        <v>325</v>
      </c>
      <c r="CQ4" s="242" t="s">
        <v>325</v>
      </c>
      <c r="CR4" s="242" t="s">
        <v>325</v>
      </c>
      <c r="CS4" s="242" t="s">
        <v>325</v>
      </c>
      <c r="CT4" s="242" t="s">
        <v>325</v>
      </c>
      <c r="CU4" s="242" t="s">
        <v>325</v>
      </c>
      <c r="CV4" s="242" t="s">
        <v>325</v>
      </c>
      <c r="CW4" s="242" t="s">
        <v>325</v>
      </c>
      <c r="CX4" s="242" t="s">
        <v>325</v>
      </c>
      <c r="CY4" s="242" t="s">
        <v>325</v>
      </c>
      <c r="CZ4" s="242" t="s">
        <v>325</v>
      </c>
      <c r="DA4" s="242" t="s">
        <v>325</v>
      </c>
      <c r="DB4" s="242" t="s">
        <v>325</v>
      </c>
      <c r="DC4" s="242" t="s">
        <v>325</v>
      </c>
      <c r="DD4" s="242" t="s">
        <v>325</v>
      </c>
      <c r="DE4" s="242" t="s">
        <v>325</v>
      </c>
      <c r="DF4" s="242" t="s">
        <v>325</v>
      </c>
      <c r="DG4" s="242" t="s">
        <v>325</v>
      </c>
      <c r="DH4" s="242" t="s">
        <v>325</v>
      </c>
      <c r="DI4" s="242" t="s">
        <v>325</v>
      </c>
      <c r="DJ4" s="242" t="s">
        <v>325</v>
      </c>
      <c r="DK4" s="242" t="s">
        <v>325</v>
      </c>
      <c r="DL4" s="242" t="s">
        <v>325</v>
      </c>
      <c r="DM4" s="242" t="s">
        <v>325</v>
      </c>
      <c r="DN4" s="242" t="s">
        <v>325</v>
      </c>
      <c r="DO4" s="242" t="s">
        <v>325</v>
      </c>
      <c r="DP4" s="242" t="s">
        <v>325</v>
      </c>
      <c r="DQ4" s="242" t="s">
        <v>325</v>
      </c>
      <c r="DR4" s="242" t="s">
        <v>325</v>
      </c>
      <c r="DS4" s="242" t="s">
        <v>325</v>
      </c>
      <c r="DT4" s="242" t="s">
        <v>325</v>
      </c>
      <c r="DU4" s="242" t="s">
        <v>325</v>
      </c>
      <c r="DV4" s="242" t="s">
        <v>325</v>
      </c>
      <c r="DW4" s="242" t="s">
        <v>325</v>
      </c>
      <c r="DX4" s="242" t="s">
        <v>325</v>
      </c>
      <c r="DY4" s="242" t="s">
        <v>325</v>
      </c>
      <c r="DZ4" s="242" t="s">
        <v>325</v>
      </c>
      <c r="EA4" s="242" t="s">
        <v>325</v>
      </c>
      <c r="EB4" s="242" t="s">
        <v>325</v>
      </c>
      <c r="EC4" s="242" t="s">
        <v>325</v>
      </c>
      <c r="ED4" s="242" t="s">
        <v>325</v>
      </c>
      <c r="EE4" s="242" t="s">
        <v>325</v>
      </c>
      <c r="EF4" s="242" t="s">
        <v>325</v>
      </c>
      <c r="EG4" s="242" t="s">
        <v>325</v>
      </c>
      <c r="EH4" s="242" t="s">
        <v>325</v>
      </c>
      <c r="EI4" s="242" t="s">
        <v>325</v>
      </c>
      <c r="EJ4" s="242" t="s">
        <v>325</v>
      </c>
      <c r="EK4" s="242" t="s">
        <v>325</v>
      </c>
      <c r="EL4" s="242" t="s">
        <v>325</v>
      </c>
      <c r="EM4" s="242" t="s">
        <v>325</v>
      </c>
      <c r="EN4" s="242" t="s">
        <v>325</v>
      </c>
      <c r="EO4" s="242" t="s">
        <v>325</v>
      </c>
      <c r="EP4" s="242" t="s">
        <v>325</v>
      </c>
      <c r="EQ4" s="242" t="s">
        <v>325</v>
      </c>
      <c r="ER4" s="242" t="s">
        <v>325</v>
      </c>
      <c r="ES4" s="242" t="s">
        <v>325</v>
      </c>
      <c r="ET4" s="242" t="s">
        <v>325</v>
      </c>
      <c r="EU4" s="242" t="s">
        <v>325</v>
      </c>
      <c r="EV4" s="242" t="s">
        <v>325</v>
      </c>
      <c r="EW4" s="242" t="s">
        <v>325</v>
      </c>
      <c r="EX4" s="242" t="s">
        <v>325</v>
      </c>
      <c r="EY4" s="242" t="s">
        <v>325</v>
      </c>
      <c r="EZ4" s="244" t="s">
        <v>120</v>
      </c>
      <c r="FA4" s="242" t="s">
        <v>325</v>
      </c>
      <c r="FB4" s="243" t="s">
        <v>327</v>
      </c>
      <c r="FC4" s="244" t="s">
        <v>120</v>
      </c>
      <c r="FD4" s="243" t="s">
        <v>325</v>
      </c>
      <c r="FE4" s="243" t="s">
        <v>327</v>
      </c>
      <c r="FF4" s="244" t="s">
        <v>120</v>
      </c>
      <c r="FG4" s="244" t="s">
        <v>326</v>
      </c>
      <c r="FH4" s="243" t="s">
        <v>325</v>
      </c>
      <c r="FI4" s="244" t="s">
        <v>325</v>
      </c>
      <c r="FJ4" s="243" t="s">
        <v>325</v>
      </c>
      <c r="FK4" s="243" t="s">
        <v>325</v>
      </c>
      <c r="FL4" s="243" t="s">
        <v>325</v>
      </c>
      <c r="FM4" s="243" t="s">
        <v>325</v>
      </c>
      <c r="FN4" s="242" t="s">
        <v>325</v>
      </c>
      <c r="FO4" s="242" t="s">
        <v>325</v>
      </c>
      <c r="FP4" s="242" t="s">
        <v>325</v>
      </c>
      <c r="FQ4" s="242" t="s">
        <v>325</v>
      </c>
      <c r="FR4" s="242" t="s">
        <v>325</v>
      </c>
      <c r="FS4" s="242" t="s">
        <v>325</v>
      </c>
      <c r="FT4" s="242" t="s">
        <v>325</v>
      </c>
      <c r="FU4" s="242" t="s">
        <v>325</v>
      </c>
      <c r="FV4" s="242" t="s">
        <v>325</v>
      </c>
      <c r="FW4" s="242" t="s">
        <v>325</v>
      </c>
      <c r="FX4" s="242" t="s">
        <v>325</v>
      </c>
      <c r="FY4" s="242" t="s">
        <v>325</v>
      </c>
      <c r="FZ4" s="242" t="s">
        <v>325</v>
      </c>
      <c r="GA4" s="242" t="s">
        <v>325</v>
      </c>
      <c r="GB4" s="242" t="s">
        <v>325</v>
      </c>
      <c r="GC4" s="242" t="s">
        <v>325</v>
      </c>
      <c r="GD4" s="242" t="s">
        <v>325</v>
      </c>
      <c r="GE4" s="242" t="s">
        <v>325</v>
      </c>
      <c r="GF4" s="242" t="s">
        <v>325</v>
      </c>
      <c r="GG4" s="242" t="s">
        <v>325</v>
      </c>
      <c r="GH4" s="242" t="s">
        <v>325</v>
      </c>
      <c r="GI4" s="242" t="s">
        <v>325</v>
      </c>
      <c r="GJ4" s="242" t="s">
        <v>325</v>
      </c>
      <c r="GK4" s="242" t="s">
        <v>325</v>
      </c>
      <c r="GL4" s="242" t="s">
        <v>325</v>
      </c>
      <c r="GM4" s="242" t="s">
        <v>325</v>
      </c>
      <c r="GN4" s="242" t="s">
        <v>325</v>
      </c>
      <c r="GO4" s="242" t="s">
        <v>325</v>
      </c>
      <c r="GP4" s="242" t="s">
        <v>325</v>
      </c>
      <c r="GQ4" s="242" t="s">
        <v>325</v>
      </c>
      <c r="GR4" s="242" t="s">
        <v>325</v>
      </c>
      <c r="GS4" s="242" t="s">
        <v>325</v>
      </c>
      <c r="GT4" s="242" t="s">
        <v>325</v>
      </c>
      <c r="GU4" s="242" t="s">
        <v>325</v>
      </c>
      <c r="GV4" s="242" t="s">
        <v>325</v>
      </c>
      <c r="GW4" s="242" t="s">
        <v>325</v>
      </c>
      <c r="GX4" s="242" t="s">
        <v>325</v>
      </c>
      <c r="GY4" s="242" t="s">
        <v>325</v>
      </c>
      <c r="GZ4" s="242" t="s">
        <v>325</v>
      </c>
      <c r="HA4" s="242" t="s">
        <v>325</v>
      </c>
      <c r="HB4" s="242" t="s">
        <v>325</v>
      </c>
      <c r="HC4" s="242" t="s">
        <v>325</v>
      </c>
      <c r="HD4" s="242" t="s">
        <v>325</v>
      </c>
      <c r="HE4" s="242" t="s">
        <v>325</v>
      </c>
      <c r="HF4" s="243" t="s">
        <v>324</v>
      </c>
    </row>
    <row r="5" spans="1:215" ht="15.6">
      <c r="A5" s="959" t="s">
        <v>46</v>
      </c>
      <c r="B5" s="925" t="s">
        <v>675</v>
      </c>
      <c r="C5" s="925"/>
      <c r="D5" s="925"/>
      <c r="E5" s="925"/>
      <c r="F5" s="925"/>
      <c r="G5" s="925"/>
      <c r="H5" s="925"/>
      <c r="I5" s="925"/>
      <c r="J5" s="925"/>
      <c r="K5" s="925"/>
      <c r="L5" s="925"/>
      <c r="M5" s="925"/>
      <c r="N5" s="999"/>
      <c r="O5" s="925">
        <v>1.8800000000000001E-2</v>
      </c>
      <c r="P5" s="925">
        <v>1.8800000000000001E-2</v>
      </c>
      <c r="Q5" s="999">
        <v>1.8800000000000001E-2</v>
      </c>
      <c r="R5" s="925"/>
      <c r="S5" s="925" t="s">
        <v>124</v>
      </c>
      <c r="T5" s="1004" t="s">
        <v>124</v>
      </c>
      <c r="U5" s="1004" t="s">
        <v>124</v>
      </c>
      <c r="V5" s="1004" t="s">
        <v>124</v>
      </c>
      <c r="W5" s="925" t="s">
        <v>124</v>
      </c>
      <c r="X5" s="925" t="s">
        <v>124</v>
      </c>
      <c r="Y5" s="925" t="s">
        <v>124</v>
      </c>
      <c r="Z5" s="925" t="s">
        <v>124</v>
      </c>
      <c r="AA5" s="925" t="s">
        <v>124</v>
      </c>
      <c r="AB5" s="925" t="s">
        <v>124</v>
      </c>
      <c r="AC5" s="925" t="s">
        <v>124</v>
      </c>
      <c r="AD5" s="925" t="s">
        <v>124</v>
      </c>
      <c r="AE5" s="925" t="s">
        <v>124</v>
      </c>
      <c r="AF5" s="1004" t="s">
        <v>124</v>
      </c>
      <c r="AG5" s="1004" t="s">
        <v>124</v>
      </c>
      <c r="AH5" s="1004" t="s">
        <v>124</v>
      </c>
      <c r="AI5" s="1004" t="s">
        <v>124</v>
      </c>
      <c r="AJ5" s="925" t="s">
        <v>124</v>
      </c>
      <c r="AK5" s="1004" t="s">
        <v>124</v>
      </c>
      <c r="AL5" s="925" t="s">
        <v>124</v>
      </c>
      <c r="AM5" s="1004" t="s">
        <v>124</v>
      </c>
      <c r="AN5" s="1004" t="s">
        <v>124</v>
      </c>
      <c r="AO5" s="1004" t="s">
        <v>124</v>
      </c>
      <c r="AP5" s="1031" t="s">
        <v>124</v>
      </c>
      <c r="AQ5" s="1031" t="s">
        <v>124</v>
      </c>
      <c r="AR5" s="1031" t="s">
        <v>124</v>
      </c>
      <c r="AS5" s="1031" t="s">
        <v>124</v>
      </c>
      <c r="AT5" s="1031" t="s">
        <v>124</v>
      </c>
      <c r="AU5" s="1031" t="s">
        <v>124</v>
      </c>
      <c r="AV5" s="1031" t="s">
        <v>124</v>
      </c>
      <c r="AW5" s="1031" t="s">
        <v>124</v>
      </c>
      <c r="AX5" s="1031" t="s">
        <v>124</v>
      </c>
      <c r="AY5" s="1031" t="s">
        <v>124</v>
      </c>
      <c r="AZ5" s="1031" t="s">
        <v>124</v>
      </c>
      <c r="BA5" s="1031" t="s">
        <v>124</v>
      </c>
      <c r="BB5" s="1031" t="s">
        <v>124</v>
      </c>
      <c r="BC5" s="1031" t="s">
        <v>124</v>
      </c>
      <c r="BD5" s="1031" t="s">
        <v>124</v>
      </c>
      <c r="BE5" s="1031" t="s">
        <v>124</v>
      </c>
      <c r="BF5" s="1031" t="s">
        <v>124</v>
      </c>
      <c r="BG5" s="1031" t="s">
        <v>124</v>
      </c>
      <c r="BH5" s="1031" t="s">
        <v>124</v>
      </c>
      <c r="BI5" s="1031" t="s">
        <v>124</v>
      </c>
      <c r="BJ5" s="1031" t="s">
        <v>124</v>
      </c>
      <c r="BK5" s="1031" t="s">
        <v>124</v>
      </c>
      <c r="BL5" s="1031" t="s">
        <v>124</v>
      </c>
      <c r="BM5" s="1031" t="s">
        <v>124</v>
      </c>
      <c r="BN5" s="1031" t="s">
        <v>124</v>
      </c>
      <c r="BO5" s="1031" t="s">
        <v>124</v>
      </c>
      <c r="BP5" s="1031" t="s">
        <v>124</v>
      </c>
      <c r="BQ5" s="1031" t="s">
        <v>124</v>
      </c>
      <c r="BR5" s="1031" t="s">
        <v>124</v>
      </c>
      <c r="BS5" s="1031" t="s">
        <v>124</v>
      </c>
      <c r="BT5" s="1031" t="s">
        <v>124</v>
      </c>
      <c r="BU5" s="1031" t="s">
        <v>124</v>
      </c>
      <c r="BV5" s="1031" t="s">
        <v>124</v>
      </c>
      <c r="BW5" s="1031" t="s">
        <v>124</v>
      </c>
      <c r="BX5" s="1031" t="s">
        <v>124</v>
      </c>
      <c r="BY5" s="1031" t="s">
        <v>124</v>
      </c>
      <c r="BZ5" s="1031" t="s">
        <v>124</v>
      </c>
      <c r="CA5" s="1031" t="s">
        <v>124</v>
      </c>
      <c r="CB5" s="1031" t="s">
        <v>124</v>
      </c>
      <c r="CC5" s="1031" t="s">
        <v>124</v>
      </c>
      <c r="CD5" s="1031" t="s">
        <v>124</v>
      </c>
      <c r="CE5" s="1031" t="s">
        <v>124</v>
      </c>
      <c r="CF5" s="1031" t="s">
        <v>124</v>
      </c>
      <c r="CG5" s="1031" t="s">
        <v>124</v>
      </c>
      <c r="CH5" s="1031" t="s">
        <v>124</v>
      </c>
      <c r="CI5" s="1031" t="s">
        <v>124</v>
      </c>
      <c r="CJ5" s="1031" t="s">
        <v>124</v>
      </c>
      <c r="CK5" s="1031" t="s">
        <v>124</v>
      </c>
      <c r="CL5" s="1031" t="s">
        <v>124</v>
      </c>
      <c r="CM5" s="1031" t="s">
        <v>124</v>
      </c>
      <c r="CN5" s="1031" t="s">
        <v>124</v>
      </c>
      <c r="CO5" s="1031" t="s">
        <v>124</v>
      </c>
      <c r="CP5" s="1031" t="s">
        <v>124</v>
      </c>
      <c r="CQ5" s="1031" t="s">
        <v>124</v>
      </c>
      <c r="CR5" s="1031" t="s">
        <v>124</v>
      </c>
      <c r="CS5" s="1031" t="s">
        <v>124</v>
      </c>
      <c r="CT5" s="1031" t="s">
        <v>124</v>
      </c>
      <c r="CU5" s="1031" t="s">
        <v>124</v>
      </c>
      <c r="CV5" s="1031" t="s">
        <v>124</v>
      </c>
      <c r="CW5" s="1031" t="s">
        <v>124</v>
      </c>
      <c r="CX5" s="1031" t="s">
        <v>124</v>
      </c>
      <c r="CY5" s="1031" t="s">
        <v>124</v>
      </c>
      <c r="CZ5" s="1031" t="s">
        <v>124</v>
      </c>
      <c r="DA5" s="1031" t="s">
        <v>124</v>
      </c>
      <c r="DB5" s="1031" t="s">
        <v>124</v>
      </c>
      <c r="DC5" s="1031" t="s">
        <v>124</v>
      </c>
      <c r="DD5" s="1031" t="s">
        <v>124</v>
      </c>
      <c r="DE5" s="1031" t="s">
        <v>124</v>
      </c>
      <c r="DF5" s="1031" t="s">
        <v>124</v>
      </c>
      <c r="DG5" s="1031" t="s">
        <v>124</v>
      </c>
      <c r="DH5" s="1031" t="s">
        <v>124</v>
      </c>
      <c r="DI5" s="1031" t="s">
        <v>124</v>
      </c>
      <c r="DJ5" s="1031" t="s">
        <v>124</v>
      </c>
      <c r="DK5" s="1031" t="s">
        <v>124</v>
      </c>
      <c r="DL5" s="1031" t="s">
        <v>124</v>
      </c>
      <c r="DM5" s="1031" t="s">
        <v>124</v>
      </c>
      <c r="DN5" s="1031" t="s">
        <v>124</v>
      </c>
      <c r="DO5" s="1031" t="s">
        <v>124</v>
      </c>
      <c r="DP5" s="1031" t="s">
        <v>124</v>
      </c>
      <c r="DQ5" s="1031" t="s">
        <v>124</v>
      </c>
      <c r="DR5" s="1031" t="s">
        <v>124</v>
      </c>
      <c r="DS5" s="1031" t="s">
        <v>124</v>
      </c>
      <c r="DT5" s="1031" t="s">
        <v>124</v>
      </c>
      <c r="DU5" s="1031" t="s">
        <v>124</v>
      </c>
      <c r="DV5" s="1031" t="s">
        <v>124</v>
      </c>
      <c r="DW5" s="1031" t="s">
        <v>124</v>
      </c>
      <c r="DX5" s="1031" t="s">
        <v>124</v>
      </c>
      <c r="DY5" s="1031" t="s">
        <v>124</v>
      </c>
      <c r="DZ5" s="1031" t="s">
        <v>124</v>
      </c>
      <c r="EA5" s="1031" t="s">
        <v>124</v>
      </c>
      <c r="EB5" s="1031" t="s">
        <v>124</v>
      </c>
      <c r="EC5" s="1031" t="s">
        <v>124</v>
      </c>
      <c r="ED5" s="1031" t="s">
        <v>124</v>
      </c>
      <c r="EE5" s="1031" t="s">
        <v>124</v>
      </c>
      <c r="EF5" s="1031" t="s">
        <v>124</v>
      </c>
      <c r="EG5" s="1031" t="s">
        <v>124</v>
      </c>
      <c r="EH5" s="1031" t="s">
        <v>124</v>
      </c>
      <c r="EI5" s="1031" t="s">
        <v>124</v>
      </c>
      <c r="EJ5" s="1031" t="s">
        <v>124</v>
      </c>
      <c r="EK5" s="1031" t="s">
        <v>124</v>
      </c>
      <c r="EL5" s="1031" t="s">
        <v>124</v>
      </c>
      <c r="EM5" s="1031">
        <v>2.98E-2</v>
      </c>
      <c r="EN5" s="1031">
        <v>2.98E-2</v>
      </c>
      <c r="EO5" s="1031">
        <v>2.98E-2</v>
      </c>
      <c r="EP5" s="1031">
        <v>2.98E-2</v>
      </c>
      <c r="EQ5" s="1031">
        <v>2.98E-2</v>
      </c>
      <c r="ER5" s="241"/>
      <c r="ES5" s="241"/>
      <c r="ET5" s="241"/>
      <c r="EU5" s="241"/>
      <c r="EV5" s="241"/>
      <c r="EW5" s="241"/>
      <c r="EX5" s="241"/>
      <c r="EY5" s="241"/>
      <c r="EZ5" s="346" t="s">
        <v>506</v>
      </c>
      <c r="FA5" s="242"/>
      <c r="FB5" s="243"/>
      <c r="FC5" s="244"/>
      <c r="FD5" s="243"/>
      <c r="FE5" s="243"/>
      <c r="FF5" s="244"/>
      <c r="FG5" s="244"/>
      <c r="FH5" s="243"/>
      <c r="FI5" s="244"/>
      <c r="FJ5" s="243"/>
      <c r="FK5" s="243"/>
      <c r="FL5" s="243"/>
      <c r="FM5" s="243"/>
      <c r="FN5" s="242"/>
      <c r="FO5" s="242"/>
      <c r="FP5" s="242"/>
      <c r="FQ5" s="242"/>
      <c r="FR5" s="242"/>
      <c r="FS5" s="242"/>
      <c r="FT5" s="242"/>
      <c r="FU5" s="242"/>
      <c r="FV5" s="242"/>
      <c r="FW5" s="242"/>
      <c r="FX5" s="242"/>
      <c r="FY5" s="241"/>
      <c r="FZ5" s="241"/>
      <c r="GA5" s="241"/>
      <c r="GB5" s="241"/>
      <c r="GC5" s="241"/>
      <c r="GD5" s="241"/>
      <c r="GE5" s="241"/>
      <c r="GF5" s="241"/>
      <c r="GG5" s="241"/>
      <c r="GH5" s="241"/>
      <c r="GI5" s="241"/>
      <c r="GJ5" s="241"/>
      <c r="GK5" s="241"/>
      <c r="GL5" s="241"/>
      <c r="GM5" s="241"/>
      <c r="GN5" s="241"/>
      <c r="GO5" s="241"/>
      <c r="GP5" s="241"/>
      <c r="GQ5" s="241"/>
      <c r="GR5" s="241"/>
      <c r="GS5" s="241"/>
      <c r="GT5" s="241"/>
      <c r="GU5" s="241"/>
      <c r="GV5" s="241"/>
      <c r="GW5" s="241"/>
      <c r="GX5" s="241"/>
      <c r="GY5" s="241"/>
      <c r="GZ5" s="241"/>
      <c r="HA5" s="241"/>
      <c r="HB5" s="241"/>
      <c r="HC5" s="241"/>
      <c r="HD5" s="241"/>
      <c r="HE5" s="241"/>
      <c r="HF5" s="973">
        <f>C5-D5</f>
        <v>0</v>
      </c>
      <c r="HG5" s="218" t="s">
        <v>676</v>
      </c>
    </row>
    <row r="6" spans="1:215" ht="15.6">
      <c r="A6" s="961"/>
      <c r="B6" s="926"/>
      <c r="C6" s="926"/>
      <c r="D6" s="926"/>
      <c r="E6" s="926"/>
      <c r="F6" s="926"/>
      <c r="G6" s="926"/>
      <c r="H6" s="926"/>
      <c r="I6" s="926"/>
      <c r="J6" s="926"/>
      <c r="K6" s="926"/>
      <c r="L6" s="926"/>
      <c r="M6" s="926"/>
      <c r="N6" s="1001"/>
      <c r="O6" s="926"/>
      <c r="P6" s="926"/>
      <c r="Q6" s="1001"/>
      <c r="R6" s="926"/>
      <c r="S6" s="926"/>
      <c r="T6" s="1006"/>
      <c r="U6" s="1006"/>
      <c r="V6" s="1006"/>
      <c r="W6" s="926"/>
      <c r="X6" s="926"/>
      <c r="Y6" s="926"/>
      <c r="Z6" s="926"/>
      <c r="AA6" s="926"/>
      <c r="AB6" s="926"/>
      <c r="AC6" s="926"/>
      <c r="AD6" s="926"/>
      <c r="AE6" s="926"/>
      <c r="AF6" s="1006"/>
      <c r="AG6" s="1006"/>
      <c r="AH6" s="1006"/>
      <c r="AI6" s="1006"/>
      <c r="AJ6" s="926"/>
      <c r="AK6" s="1006"/>
      <c r="AL6" s="926"/>
      <c r="AM6" s="1006"/>
      <c r="AN6" s="1006"/>
      <c r="AO6" s="1006"/>
      <c r="AP6" s="939"/>
      <c r="AQ6" s="939"/>
      <c r="AR6" s="939"/>
      <c r="AS6" s="939"/>
      <c r="AT6" s="939"/>
      <c r="AU6" s="939"/>
      <c r="AV6" s="939"/>
      <c r="AW6" s="939"/>
      <c r="AX6" s="939"/>
      <c r="AY6" s="939"/>
      <c r="AZ6" s="939"/>
      <c r="BA6" s="939"/>
      <c r="BB6" s="939"/>
      <c r="BC6" s="939"/>
      <c r="BD6" s="939"/>
      <c r="BE6" s="939"/>
      <c r="BF6" s="939"/>
      <c r="BG6" s="939"/>
      <c r="BH6" s="939"/>
      <c r="BI6" s="939"/>
      <c r="BJ6" s="939"/>
      <c r="BK6" s="939"/>
      <c r="BL6" s="939"/>
      <c r="BM6" s="939"/>
      <c r="BN6" s="939"/>
      <c r="BO6" s="939"/>
      <c r="BP6" s="939"/>
      <c r="BQ6" s="939"/>
      <c r="BR6" s="939"/>
      <c r="BS6" s="939"/>
      <c r="BT6" s="939"/>
      <c r="BU6" s="939"/>
      <c r="BV6" s="939"/>
      <c r="BW6" s="939"/>
      <c r="BX6" s="939"/>
      <c r="BY6" s="939"/>
      <c r="BZ6" s="939"/>
      <c r="CA6" s="939"/>
      <c r="CB6" s="939"/>
      <c r="CC6" s="939"/>
      <c r="CD6" s="939"/>
      <c r="CE6" s="939"/>
      <c r="CF6" s="939"/>
      <c r="CG6" s="939"/>
      <c r="CH6" s="939"/>
      <c r="CI6" s="939"/>
      <c r="CJ6" s="939"/>
      <c r="CK6" s="939"/>
      <c r="CL6" s="939"/>
      <c r="CM6" s="939"/>
      <c r="CN6" s="939"/>
      <c r="CO6" s="939"/>
      <c r="CP6" s="939"/>
      <c r="CQ6" s="939"/>
      <c r="CR6" s="939"/>
      <c r="CS6" s="939"/>
      <c r="CT6" s="939"/>
      <c r="CU6" s="939"/>
      <c r="CV6" s="939"/>
      <c r="CW6" s="939"/>
      <c r="CX6" s="939"/>
      <c r="CY6" s="939"/>
      <c r="CZ6" s="939"/>
      <c r="DA6" s="939"/>
      <c r="DB6" s="939"/>
      <c r="DC6" s="939"/>
      <c r="DD6" s="939"/>
      <c r="DE6" s="939"/>
      <c r="DF6" s="939"/>
      <c r="DG6" s="939"/>
      <c r="DH6" s="939"/>
      <c r="DI6" s="939"/>
      <c r="DJ6" s="939"/>
      <c r="DK6" s="939"/>
      <c r="DL6" s="939"/>
      <c r="DM6" s="939"/>
      <c r="DN6" s="939"/>
      <c r="DO6" s="939"/>
      <c r="DP6" s="939"/>
      <c r="DQ6" s="939"/>
      <c r="DR6" s="939"/>
      <c r="DS6" s="939"/>
      <c r="DT6" s="939"/>
      <c r="DU6" s="939"/>
      <c r="DV6" s="939"/>
      <c r="DW6" s="939"/>
      <c r="DX6" s="939"/>
      <c r="DY6" s="939"/>
      <c r="DZ6" s="939"/>
      <c r="EA6" s="939"/>
      <c r="EB6" s="939"/>
      <c r="EC6" s="939"/>
      <c r="ED6" s="939"/>
      <c r="EE6" s="939"/>
      <c r="EF6" s="939"/>
      <c r="EG6" s="939"/>
      <c r="EH6" s="939"/>
      <c r="EI6" s="939"/>
      <c r="EJ6" s="939"/>
      <c r="EK6" s="939"/>
      <c r="EL6" s="939"/>
      <c r="EM6" s="939"/>
      <c r="EN6" s="939"/>
      <c r="EO6" s="939"/>
      <c r="EP6" s="939"/>
      <c r="EQ6" s="939"/>
      <c r="ER6" s="241"/>
      <c r="ES6" s="241"/>
      <c r="ET6" s="241"/>
      <c r="EU6" s="241"/>
      <c r="EV6" s="241"/>
      <c r="EW6" s="241"/>
      <c r="EX6" s="241"/>
      <c r="EY6" s="241"/>
      <c r="EZ6" s="258" t="s">
        <v>74</v>
      </c>
      <c r="FA6" s="242"/>
      <c r="FB6" s="243"/>
      <c r="FC6" s="244"/>
      <c r="FD6" s="243"/>
      <c r="FE6" s="243"/>
      <c r="FF6" s="244"/>
      <c r="FG6" s="244"/>
      <c r="FH6" s="243"/>
      <c r="FI6" s="244"/>
      <c r="FJ6" s="243"/>
      <c r="FK6" s="243"/>
      <c r="FL6" s="243"/>
      <c r="FM6" s="243"/>
      <c r="FN6" s="242"/>
      <c r="FO6" s="242"/>
      <c r="FP6" s="242"/>
      <c r="FQ6" s="242"/>
      <c r="FR6" s="242"/>
      <c r="FS6" s="242"/>
      <c r="FT6" s="242"/>
      <c r="FU6" s="242"/>
      <c r="FV6" s="242"/>
      <c r="FW6" s="242"/>
      <c r="FX6" s="242"/>
      <c r="FY6" s="241"/>
      <c r="FZ6" s="241"/>
      <c r="GA6" s="241"/>
      <c r="GB6" s="241"/>
      <c r="GC6" s="241"/>
      <c r="GD6" s="241"/>
      <c r="GE6" s="241"/>
      <c r="GF6" s="241"/>
      <c r="GG6" s="241"/>
      <c r="GH6" s="241"/>
      <c r="GI6" s="241"/>
      <c r="GJ6" s="241"/>
      <c r="GK6" s="241"/>
      <c r="GL6" s="241"/>
      <c r="GM6" s="241"/>
      <c r="GN6" s="241"/>
      <c r="GO6" s="241"/>
      <c r="GP6" s="241"/>
      <c r="GQ6" s="241"/>
      <c r="GR6" s="241"/>
      <c r="GS6" s="241"/>
      <c r="GT6" s="241"/>
      <c r="GU6" s="241"/>
      <c r="GV6" s="241"/>
      <c r="GW6" s="241"/>
      <c r="GX6" s="241"/>
      <c r="GY6" s="241"/>
      <c r="GZ6" s="241"/>
      <c r="HA6" s="241"/>
      <c r="HB6" s="241"/>
      <c r="HC6" s="241"/>
      <c r="HD6" s="241"/>
      <c r="HE6" s="241"/>
      <c r="HF6" s="973"/>
    </row>
    <row r="7" spans="1:215" ht="32.25" customHeight="1">
      <c r="A7" s="756" t="s">
        <v>12</v>
      </c>
      <c r="B7" s="349" t="s">
        <v>505</v>
      </c>
      <c r="C7" s="330" t="s">
        <v>124</v>
      </c>
      <c r="D7" s="330" t="s">
        <v>124</v>
      </c>
      <c r="E7" s="330" t="s">
        <v>124</v>
      </c>
      <c r="F7" s="330" t="s">
        <v>124</v>
      </c>
      <c r="G7" s="330" t="s">
        <v>124</v>
      </c>
      <c r="H7" s="330" t="s">
        <v>124</v>
      </c>
      <c r="I7" s="330" t="s">
        <v>124</v>
      </c>
      <c r="J7" s="330" t="s">
        <v>124</v>
      </c>
      <c r="K7" s="330" t="s">
        <v>124</v>
      </c>
      <c r="L7" s="330" t="s">
        <v>124</v>
      </c>
      <c r="M7" s="330" t="s">
        <v>124</v>
      </c>
      <c r="N7" s="330" t="s">
        <v>124</v>
      </c>
      <c r="O7" s="330" t="s">
        <v>124</v>
      </c>
      <c r="P7" s="330" t="s">
        <v>124</v>
      </c>
      <c r="Q7" s="330" t="s">
        <v>124</v>
      </c>
      <c r="R7" s="330" t="s">
        <v>124</v>
      </c>
      <c r="S7" s="330" t="s">
        <v>124</v>
      </c>
      <c r="T7" s="330" t="s">
        <v>124</v>
      </c>
      <c r="U7" s="330" t="s">
        <v>124</v>
      </c>
      <c r="V7" s="330" t="s">
        <v>124</v>
      </c>
      <c r="W7" s="330" t="s">
        <v>124</v>
      </c>
      <c r="X7" s="349" t="s">
        <v>124</v>
      </c>
      <c r="Y7" s="349" t="s">
        <v>124</v>
      </c>
      <c r="Z7" s="349" t="s">
        <v>124</v>
      </c>
      <c r="AA7" s="349" t="s">
        <v>124</v>
      </c>
      <c r="AB7" s="349" t="s">
        <v>124</v>
      </c>
      <c r="AC7" s="349" t="s">
        <v>124</v>
      </c>
      <c r="AD7" s="349" t="s">
        <v>124</v>
      </c>
      <c r="AE7" s="349" t="s">
        <v>124</v>
      </c>
      <c r="AF7" s="348" t="s">
        <v>124</v>
      </c>
      <c r="AG7" s="348" t="s">
        <v>124</v>
      </c>
      <c r="AH7" s="348" t="s">
        <v>124</v>
      </c>
      <c r="AI7" s="348" t="s">
        <v>124</v>
      </c>
      <c r="AJ7" s="349" t="s">
        <v>124</v>
      </c>
      <c r="AK7" s="348" t="s">
        <v>124</v>
      </c>
      <c r="AL7" s="349" t="s">
        <v>124</v>
      </c>
      <c r="AM7" s="348" t="s">
        <v>124</v>
      </c>
      <c r="AN7" s="348" t="s">
        <v>124</v>
      </c>
      <c r="AO7" s="348" t="s">
        <v>124</v>
      </c>
      <c r="AP7" s="347" t="s">
        <v>124</v>
      </c>
      <c r="AQ7" s="347" t="s">
        <v>124</v>
      </c>
      <c r="AR7" s="347" t="s">
        <v>124</v>
      </c>
      <c r="AS7" s="347" t="s">
        <v>124</v>
      </c>
      <c r="AT7" s="347" t="s">
        <v>124</v>
      </c>
      <c r="AU7" s="347" t="s">
        <v>124</v>
      </c>
      <c r="AV7" s="347" t="s">
        <v>124</v>
      </c>
      <c r="AW7" s="347" t="s">
        <v>124</v>
      </c>
      <c r="AX7" s="347" t="s">
        <v>124</v>
      </c>
      <c r="AY7" s="347" t="s">
        <v>124</v>
      </c>
      <c r="AZ7" s="347" t="s">
        <v>124</v>
      </c>
      <c r="BA7" s="347" t="s">
        <v>124</v>
      </c>
      <c r="BB7" s="347" t="s">
        <v>124</v>
      </c>
      <c r="BC7" s="347" t="s">
        <v>124</v>
      </c>
      <c r="BD7" s="347" t="s">
        <v>124</v>
      </c>
      <c r="BE7" s="347" t="s">
        <v>124</v>
      </c>
      <c r="BF7" s="347" t="s">
        <v>124</v>
      </c>
      <c r="BG7" s="347" t="s">
        <v>124</v>
      </c>
      <c r="BH7" s="347" t="s">
        <v>124</v>
      </c>
      <c r="BI7" s="347" t="s">
        <v>124</v>
      </c>
      <c r="BJ7" s="347" t="s">
        <v>124</v>
      </c>
      <c r="BK7" s="347" t="s">
        <v>124</v>
      </c>
      <c r="BL7" s="347" t="s">
        <v>124</v>
      </c>
      <c r="BM7" s="347" t="s">
        <v>124</v>
      </c>
      <c r="BN7" s="347" t="s">
        <v>124</v>
      </c>
      <c r="BO7" s="347" t="s">
        <v>124</v>
      </c>
      <c r="BP7" s="347" t="s">
        <v>124</v>
      </c>
      <c r="BQ7" s="347" t="s">
        <v>124</v>
      </c>
      <c r="BR7" s="347" t="s">
        <v>124</v>
      </c>
      <c r="BS7" s="347" t="s">
        <v>124</v>
      </c>
      <c r="BT7" s="347" t="s">
        <v>124</v>
      </c>
      <c r="BU7" s="347" t="s">
        <v>124</v>
      </c>
      <c r="BV7" s="347" t="s">
        <v>124</v>
      </c>
      <c r="BW7" s="347" t="s">
        <v>124</v>
      </c>
      <c r="BX7" s="347" t="s">
        <v>124</v>
      </c>
      <c r="BY7" s="347" t="s">
        <v>124</v>
      </c>
      <c r="BZ7" s="347" t="s">
        <v>124</v>
      </c>
      <c r="CA7" s="347" t="s">
        <v>124</v>
      </c>
      <c r="CB7" s="347" t="s">
        <v>124</v>
      </c>
      <c r="CC7" s="347" t="s">
        <v>124</v>
      </c>
      <c r="CD7" s="347" t="s">
        <v>124</v>
      </c>
      <c r="CE7" s="347" t="s">
        <v>124</v>
      </c>
      <c r="CF7" s="324">
        <v>0.03</v>
      </c>
      <c r="CG7" s="324">
        <v>0.03</v>
      </c>
      <c r="CH7" s="324">
        <v>0.03</v>
      </c>
      <c r="CI7" s="324" t="s">
        <v>124</v>
      </c>
      <c r="CJ7" s="324" t="s">
        <v>124</v>
      </c>
      <c r="CK7" s="324" t="s">
        <v>124</v>
      </c>
      <c r="CL7" s="324" t="s">
        <v>124</v>
      </c>
      <c r="CM7" s="324" t="s">
        <v>124</v>
      </c>
      <c r="CN7" s="324" t="s">
        <v>124</v>
      </c>
      <c r="CO7" s="324" t="s">
        <v>124</v>
      </c>
      <c r="CP7" s="324" t="s">
        <v>124</v>
      </c>
      <c r="CQ7" s="324" t="s">
        <v>124</v>
      </c>
      <c r="CR7" s="324" t="s">
        <v>124</v>
      </c>
      <c r="CS7" s="324" t="s">
        <v>124</v>
      </c>
      <c r="CT7" s="324" t="s">
        <v>124</v>
      </c>
      <c r="CU7" s="324" t="s">
        <v>124</v>
      </c>
      <c r="CV7" s="324" t="s">
        <v>124</v>
      </c>
      <c r="CW7" s="324" t="s">
        <v>124</v>
      </c>
      <c r="CX7" s="324" t="s">
        <v>124</v>
      </c>
      <c r="CY7" s="324" t="s">
        <v>124</v>
      </c>
      <c r="CZ7" s="324" t="s">
        <v>124</v>
      </c>
      <c r="DA7" s="324" t="s">
        <v>124</v>
      </c>
      <c r="DB7" s="324" t="s">
        <v>124</v>
      </c>
      <c r="DC7" s="324" t="s">
        <v>124</v>
      </c>
      <c r="DD7" s="324" t="s">
        <v>124</v>
      </c>
      <c r="DE7" s="324" t="s">
        <v>124</v>
      </c>
      <c r="DF7" s="324" t="s">
        <v>124</v>
      </c>
      <c r="DG7" s="324" t="s">
        <v>124</v>
      </c>
      <c r="DH7" s="324" t="s">
        <v>124</v>
      </c>
      <c r="DI7" s="324" t="s">
        <v>124</v>
      </c>
      <c r="DJ7" s="324" t="s">
        <v>124</v>
      </c>
      <c r="DK7" s="324" t="s">
        <v>124</v>
      </c>
      <c r="DL7" s="324" t="s">
        <v>124</v>
      </c>
      <c r="DM7" s="324" t="s">
        <v>124</v>
      </c>
      <c r="DN7" s="324" t="s">
        <v>124</v>
      </c>
      <c r="DO7" s="324" t="s">
        <v>124</v>
      </c>
      <c r="DP7" s="324" t="s">
        <v>124</v>
      </c>
      <c r="DQ7" s="324" t="s">
        <v>124</v>
      </c>
      <c r="DR7" s="324" t="s">
        <v>124</v>
      </c>
      <c r="DS7" s="324" t="s">
        <v>124</v>
      </c>
      <c r="DT7" s="324" t="s">
        <v>124</v>
      </c>
      <c r="DU7" s="324" t="s">
        <v>124</v>
      </c>
      <c r="DV7" s="324" t="s">
        <v>124</v>
      </c>
      <c r="DW7" s="324" t="s">
        <v>124</v>
      </c>
      <c r="DX7" s="324" t="s">
        <v>124</v>
      </c>
      <c r="DY7" s="324">
        <v>2.8000000000000001E-2</v>
      </c>
      <c r="DZ7" s="324">
        <v>2.8000000000000001E-2</v>
      </c>
      <c r="EA7" s="324">
        <v>2.8000000000000001E-2</v>
      </c>
      <c r="EB7" s="324">
        <v>2.8000000000000001E-2</v>
      </c>
      <c r="EC7" s="324">
        <v>2.8000000000000001E-2</v>
      </c>
      <c r="ED7" s="324">
        <v>2.8000000000000001E-2</v>
      </c>
      <c r="EE7" s="324">
        <v>2.8000000000000001E-2</v>
      </c>
      <c r="EF7" s="324">
        <v>2.8000000000000001E-2</v>
      </c>
      <c r="EG7" s="324">
        <v>2.8000000000000001E-2</v>
      </c>
      <c r="EH7" s="324">
        <v>2.8000000000000001E-2</v>
      </c>
      <c r="EI7" s="324">
        <v>2.8000000000000001E-2</v>
      </c>
      <c r="EJ7" s="324">
        <v>2.8000000000000001E-2</v>
      </c>
      <c r="EK7" s="324">
        <v>2.8000000000000001E-2</v>
      </c>
      <c r="EL7" s="324">
        <v>2.8000000000000001E-2</v>
      </c>
      <c r="EM7" s="324">
        <v>2.8000000000000001E-2</v>
      </c>
      <c r="EN7" s="324">
        <v>2.8000000000000001E-2</v>
      </c>
      <c r="EO7" s="324">
        <v>2.8000000000000001E-2</v>
      </c>
      <c r="EP7" s="324">
        <v>2.8000000000000001E-2</v>
      </c>
      <c r="EQ7" s="324">
        <v>2.8000000000000001E-2</v>
      </c>
      <c r="ER7" s="324">
        <v>2.8000000000000001E-2</v>
      </c>
      <c r="ES7" s="241"/>
      <c r="ET7" s="241"/>
      <c r="EU7" s="241"/>
      <c r="EV7" s="241"/>
      <c r="EW7" s="241"/>
      <c r="EX7" s="241"/>
      <c r="EY7" s="241"/>
      <c r="EZ7" s="346" t="s">
        <v>504</v>
      </c>
      <c r="FA7" s="242"/>
      <c r="FB7" s="243"/>
      <c r="FC7" s="244"/>
      <c r="FD7" s="243"/>
      <c r="FE7" s="243"/>
      <c r="FF7" s="244"/>
      <c r="FG7" s="244"/>
      <c r="FH7" s="243"/>
      <c r="FI7" s="244"/>
      <c r="FJ7" s="243"/>
      <c r="FK7" s="243"/>
      <c r="FL7" s="243"/>
      <c r="FM7" s="243"/>
      <c r="FN7" s="242"/>
      <c r="FO7" s="242"/>
      <c r="FP7" s="242"/>
      <c r="FQ7" s="242"/>
      <c r="FR7" s="242"/>
      <c r="FS7" s="242"/>
      <c r="FT7" s="242"/>
      <c r="FU7" s="242"/>
      <c r="FV7" s="242"/>
      <c r="FW7" s="242"/>
      <c r="FX7" s="242"/>
      <c r="FY7" s="241"/>
      <c r="FZ7" s="241"/>
      <c r="GA7" s="241"/>
      <c r="GB7" s="241"/>
      <c r="GC7" s="241"/>
      <c r="GD7" s="241"/>
      <c r="GE7" s="241"/>
      <c r="GF7" s="241"/>
      <c r="GG7" s="241"/>
      <c r="GH7" s="241"/>
      <c r="GI7" s="241"/>
      <c r="GJ7" s="241"/>
      <c r="GK7" s="241"/>
      <c r="GL7" s="241"/>
      <c r="GM7" s="241"/>
      <c r="GN7" s="241"/>
      <c r="GO7" s="241"/>
      <c r="GP7" s="241"/>
      <c r="GQ7" s="241"/>
      <c r="GR7" s="241"/>
      <c r="GS7" s="241"/>
      <c r="GT7" s="241"/>
      <c r="GU7" s="241"/>
      <c r="GV7" s="241"/>
      <c r="GW7" s="241"/>
      <c r="GX7" s="241"/>
      <c r="GY7" s="241"/>
      <c r="GZ7" s="241"/>
      <c r="HA7" s="241"/>
      <c r="HB7" s="241"/>
      <c r="HC7" s="241"/>
      <c r="HD7" s="241"/>
      <c r="HE7" s="241"/>
      <c r="HF7" s="330" t="s">
        <v>124</v>
      </c>
    </row>
    <row r="8" spans="1:215" ht="55.2">
      <c r="A8" s="757" t="s">
        <v>33</v>
      </c>
      <c r="B8" s="839" t="s">
        <v>810</v>
      </c>
      <c r="C8" s="842">
        <v>6.0000000000000001E-3</v>
      </c>
      <c r="D8" s="842">
        <v>6.0000000000000001E-3</v>
      </c>
      <c r="E8" s="842">
        <v>6.0000000000000001E-3</v>
      </c>
      <c r="F8" s="276">
        <v>6.4999999999999997E-3</v>
      </c>
      <c r="G8" s="276">
        <v>6.4999999999999997E-3</v>
      </c>
      <c r="H8" s="276">
        <v>6.4999999999999997E-3</v>
      </c>
      <c r="I8" s="275">
        <v>6.4999999999999997E-3</v>
      </c>
      <c r="J8" s="276">
        <v>7.0000000000000001E-3</v>
      </c>
      <c r="K8" s="276">
        <v>7.0000000000000001E-3</v>
      </c>
      <c r="L8" s="276">
        <v>7.0000000000000001E-3</v>
      </c>
      <c r="M8" s="276">
        <v>7.0000000000000001E-3</v>
      </c>
      <c r="N8" s="276">
        <v>7.0000000000000001E-3</v>
      </c>
      <c r="O8" s="276">
        <v>7.0000000000000001E-3</v>
      </c>
      <c r="P8" s="276">
        <v>7.0000000000000001E-3</v>
      </c>
      <c r="Q8" s="276">
        <v>7.0000000000000001E-3</v>
      </c>
      <c r="R8" s="276">
        <v>7.0000000000000001E-3</v>
      </c>
      <c r="S8" s="276">
        <v>8.5000000000000006E-3</v>
      </c>
      <c r="T8" s="276">
        <v>8.5000000000000006E-3</v>
      </c>
      <c r="U8" s="276">
        <v>8.5000000000000006E-3</v>
      </c>
      <c r="V8" s="276">
        <v>8.5000000000000006E-3</v>
      </c>
      <c r="W8" s="276">
        <v>8.5000000000000006E-3</v>
      </c>
      <c r="X8" s="276">
        <v>8.5000000000000006E-3</v>
      </c>
      <c r="Y8" s="276">
        <v>8.5000000000000006E-3</v>
      </c>
      <c r="Z8" s="276">
        <v>8.5000000000000006E-3</v>
      </c>
      <c r="AA8" s="276">
        <v>8.5000000000000006E-3</v>
      </c>
      <c r="AB8" s="276">
        <v>8.5000000000000006E-3</v>
      </c>
      <c r="AC8" s="276">
        <v>8.5000000000000006E-3</v>
      </c>
      <c r="AD8" s="275">
        <v>8.5000000000000006E-3</v>
      </c>
      <c r="AE8" s="275">
        <v>0.01</v>
      </c>
      <c r="AF8" s="275">
        <v>1.0999999999999999E-2</v>
      </c>
      <c r="AG8" s="275">
        <v>1.15E-2</v>
      </c>
      <c r="AH8" s="233">
        <v>1.2E-2</v>
      </c>
      <c r="AI8" s="233">
        <v>1.2E-2</v>
      </c>
      <c r="AJ8" s="275">
        <v>1.2E-2</v>
      </c>
      <c r="AK8" s="233">
        <v>9.4999999999999998E-3</v>
      </c>
      <c r="AL8" s="276">
        <v>9.4999999999999998E-3</v>
      </c>
      <c r="AM8" s="275">
        <v>9.4999999999999998E-3</v>
      </c>
      <c r="AN8" s="275">
        <v>9.4999999999999998E-3</v>
      </c>
      <c r="AO8" s="348"/>
      <c r="AP8" s="347"/>
      <c r="AQ8" s="347"/>
      <c r="AR8" s="347"/>
      <c r="AS8" s="347"/>
      <c r="AT8" s="347"/>
      <c r="AU8" s="347"/>
      <c r="AV8" s="347"/>
      <c r="AW8" s="347"/>
      <c r="AX8" s="347"/>
      <c r="AY8" s="347"/>
      <c r="AZ8" s="347"/>
      <c r="BA8" s="347"/>
      <c r="BB8" s="347"/>
      <c r="BC8" s="347"/>
      <c r="BD8" s="347"/>
      <c r="BE8" s="347"/>
      <c r="BF8" s="347"/>
      <c r="BG8" s="347"/>
      <c r="BH8" s="347"/>
      <c r="BI8" s="347"/>
      <c r="BJ8" s="347"/>
      <c r="BK8" s="347"/>
      <c r="BL8" s="347"/>
      <c r="BM8" s="347"/>
      <c r="BN8" s="347"/>
      <c r="BO8" s="347"/>
      <c r="BP8" s="347"/>
      <c r="BQ8" s="347"/>
      <c r="BR8" s="347"/>
      <c r="BS8" s="347"/>
      <c r="BT8" s="347"/>
      <c r="BU8" s="347"/>
      <c r="BV8" s="347"/>
      <c r="BW8" s="347"/>
      <c r="BX8" s="347"/>
      <c r="BY8" s="347"/>
      <c r="BZ8" s="347"/>
      <c r="CA8" s="347"/>
      <c r="CB8" s="347"/>
      <c r="CC8" s="347"/>
      <c r="CD8" s="347"/>
      <c r="CE8" s="347"/>
      <c r="CF8" s="324"/>
      <c r="CG8" s="324"/>
      <c r="CH8" s="324"/>
      <c r="CI8" s="324"/>
      <c r="CJ8" s="324"/>
      <c r="CK8" s="324"/>
      <c r="CL8" s="324"/>
      <c r="CM8" s="324"/>
      <c r="CN8" s="324"/>
      <c r="CO8" s="324"/>
      <c r="CP8" s="324"/>
      <c r="CQ8" s="324"/>
      <c r="CR8" s="324"/>
      <c r="CS8" s="324"/>
      <c r="CT8" s="324"/>
      <c r="CU8" s="324"/>
      <c r="CV8" s="324"/>
      <c r="CW8" s="324"/>
      <c r="CX8" s="324"/>
      <c r="CY8" s="324"/>
      <c r="CZ8" s="324"/>
      <c r="DA8" s="324"/>
      <c r="DB8" s="324"/>
      <c r="DC8" s="324"/>
      <c r="DD8" s="324"/>
      <c r="DE8" s="324"/>
      <c r="DF8" s="324"/>
      <c r="DG8" s="324"/>
      <c r="DH8" s="324"/>
      <c r="DI8" s="324"/>
      <c r="DJ8" s="324"/>
      <c r="DK8" s="324"/>
      <c r="DL8" s="324"/>
      <c r="DM8" s="324"/>
      <c r="DN8" s="324"/>
      <c r="DO8" s="324"/>
      <c r="DP8" s="324"/>
      <c r="DQ8" s="324"/>
      <c r="DR8" s="324"/>
      <c r="DS8" s="324"/>
      <c r="DT8" s="324"/>
      <c r="DU8" s="324"/>
      <c r="DV8" s="324"/>
      <c r="DW8" s="324"/>
      <c r="DX8" s="324"/>
      <c r="DY8" s="324"/>
      <c r="DZ8" s="324"/>
      <c r="EA8" s="324"/>
      <c r="EB8" s="324"/>
      <c r="EC8" s="324"/>
      <c r="ED8" s="324"/>
      <c r="EE8" s="324"/>
      <c r="EF8" s="324"/>
      <c r="EG8" s="324"/>
      <c r="EH8" s="324"/>
      <c r="EI8" s="324"/>
      <c r="EJ8" s="324"/>
      <c r="EK8" s="324"/>
      <c r="EL8" s="324"/>
      <c r="EM8" s="324"/>
      <c r="EN8" s="324"/>
      <c r="EO8" s="324"/>
      <c r="EP8" s="324"/>
      <c r="EQ8" s="324"/>
      <c r="ER8" s="324"/>
      <c r="ES8" s="241"/>
      <c r="ET8" s="241"/>
      <c r="EU8" s="241"/>
      <c r="EV8" s="241"/>
      <c r="EW8" s="241"/>
      <c r="EX8" s="241"/>
      <c r="EY8" s="241"/>
      <c r="EZ8" s="346"/>
      <c r="FA8" s="242"/>
      <c r="FB8" s="243"/>
      <c r="FC8" s="244"/>
      <c r="FD8" s="243"/>
      <c r="FE8" s="243"/>
      <c r="FF8" s="244"/>
      <c r="FG8" s="244"/>
      <c r="FH8" s="243"/>
      <c r="FI8" s="244"/>
      <c r="FJ8" s="243"/>
      <c r="FK8" s="243"/>
      <c r="FL8" s="243"/>
      <c r="FM8" s="243"/>
      <c r="FN8" s="242"/>
      <c r="FO8" s="242"/>
      <c r="FP8" s="242"/>
      <c r="FQ8" s="242"/>
      <c r="FR8" s="242"/>
      <c r="FS8" s="242"/>
      <c r="FT8" s="242"/>
      <c r="FU8" s="242"/>
      <c r="FV8" s="242"/>
      <c r="FW8" s="242"/>
      <c r="FX8" s="242"/>
      <c r="FY8" s="241"/>
      <c r="FZ8" s="241"/>
      <c r="GA8" s="241"/>
      <c r="GB8" s="241"/>
      <c r="GC8" s="241"/>
      <c r="GD8" s="241"/>
      <c r="GE8" s="241"/>
      <c r="GF8" s="241"/>
      <c r="GG8" s="241"/>
      <c r="GH8" s="241"/>
      <c r="GI8" s="241"/>
      <c r="GJ8" s="241"/>
      <c r="GK8" s="241"/>
      <c r="GL8" s="241"/>
      <c r="GM8" s="241"/>
      <c r="GN8" s="241"/>
      <c r="GO8" s="241"/>
      <c r="GP8" s="241"/>
      <c r="GQ8" s="241"/>
      <c r="GR8" s="241"/>
      <c r="GS8" s="241"/>
      <c r="GT8" s="241"/>
      <c r="GU8" s="241"/>
      <c r="GV8" s="241"/>
      <c r="GW8" s="241"/>
      <c r="GX8" s="241"/>
      <c r="GY8" s="241"/>
      <c r="GZ8" s="241"/>
      <c r="HA8" s="241"/>
      <c r="HB8" s="241"/>
      <c r="HC8" s="241"/>
      <c r="HD8" s="241"/>
      <c r="HE8" s="241"/>
      <c r="HF8" s="330">
        <f>C8-D8</f>
        <v>0</v>
      </c>
    </row>
    <row r="9" spans="1:215" ht="15" customHeight="1">
      <c r="A9" s="1060" t="s">
        <v>35</v>
      </c>
      <c r="B9" s="280" t="s">
        <v>586</v>
      </c>
      <c r="C9" s="909">
        <v>1.15E-2</v>
      </c>
      <c r="D9" s="909">
        <v>1.15E-2</v>
      </c>
      <c r="E9" s="909">
        <v>1.15E-2</v>
      </c>
      <c r="F9" s="909">
        <v>1.15E-2</v>
      </c>
      <c r="G9" s="909">
        <v>1.15E-2</v>
      </c>
      <c r="H9" s="909">
        <v>1.15E-2</v>
      </c>
      <c r="I9" s="909">
        <v>1.15E-2</v>
      </c>
      <c r="J9" s="909">
        <v>1.15E-2</v>
      </c>
      <c r="K9" s="909">
        <v>1.15E-2</v>
      </c>
      <c r="L9" s="967">
        <v>1.15E-2</v>
      </c>
      <c r="M9" s="909">
        <v>1.2E-2</v>
      </c>
      <c r="N9" s="909">
        <v>1.2E-2</v>
      </c>
      <c r="O9" s="909">
        <v>1.2E-2</v>
      </c>
      <c r="P9" s="909">
        <v>1.2E-2</v>
      </c>
      <c r="Q9" s="909">
        <v>1.2E-2</v>
      </c>
      <c r="R9" s="909">
        <v>1.2E-2</v>
      </c>
      <c r="S9" s="909">
        <v>1.2E-2</v>
      </c>
      <c r="T9" s="909">
        <v>1.2E-2</v>
      </c>
      <c r="U9" s="909">
        <v>1.2E-2</v>
      </c>
      <c r="V9" s="909">
        <v>1.2E-2</v>
      </c>
      <c r="W9" s="909">
        <v>1.2E-2</v>
      </c>
      <c r="X9" s="909">
        <v>1.2E-2</v>
      </c>
      <c r="Y9" s="909">
        <v>1.2E-2</v>
      </c>
      <c r="Z9" s="909">
        <v>1.2E-2</v>
      </c>
      <c r="AA9" s="909">
        <v>1.2E-2</v>
      </c>
      <c r="AB9" s="909">
        <v>1.2E-2</v>
      </c>
      <c r="AC9" s="967">
        <v>1.2E-2</v>
      </c>
      <c r="AD9" s="909">
        <v>1.2999999999999999E-2</v>
      </c>
      <c r="AE9" s="967">
        <v>1.2999999999999999E-2</v>
      </c>
      <c r="AF9" s="978">
        <v>1.4500000000000001E-2</v>
      </c>
      <c r="AG9" s="967">
        <v>1.4500000000000001E-2</v>
      </c>
      <c r="AH9" s="978">
        <v>1.4999999999999999E-2</v>
      </c>
      <c r="AI9" s="978">
        <v>1.4999999999999999E-2</v>
      </c>
      <c r="AJ9" s="909">
        <v>1.4999999999999999E-2</v>
      </c>
      <c r="AK9" s="978">
        <v>1.4999999999999999E-2</v>
      </c>
      <c r="AL9" s="967">
        <v>1.4999999999999999E-2</v>
      </c>
      <c r="AM9" s="978">
        <v>1.7999999999999999E-2</v>
      </c>
      <c r="AN9" s="978">
        <v>1.7999999999999999E-2</v>
      </c>
      <c r="AO9" s="978">
        <v>1.7999999999999999E-2</v>
      </c>
      <c r="AP9" s="984">
        <v>1.7999999999999999E-2</v>
      </c>
      <c r="AQ9" s="984">
        <v>1.9E-2</v>
      </c>
      <c r="AR9" s="1012">
        <v>2.0499999999999997E-2</v>
      </c>
      <c r="AS9" s="1012">
        <v>2.0499999999999997E-2</v>
      </c>
      <c r="AT9" s="984">
        <v>2.0499999999999997E-2</v>
      </c>
      <c r="AU9" s="1012" t="s">
        <v>503</v>
      </c>
      <c r="AV9" s="1012" t="s">
        <v>503</v>
      </c>
      <c r="AW9" s="1012" t="s">
        <v>503</v>
      </c>
      <c r="AX9" s="1012" t="s">
        <v>503</v>
      </c>
      <c r="AY9" s="984" t="s">
        <v>503</v>
      </c>
      <c r="AZ9" s="1012" t="s">
        <v>502</v>
      </c>
      <c r="BA9" s="1012" t="s">
        <v>502</v>
      </c>
      <c r="BB9" s="1012" t="str">
        <f t="shared" ref="BB9:CB9" si="0">BC9</f>
        <v>2.8%
（电子银行）</v>
      </c>
      <c r="BC9" s="984" t="str">
        <f t="shared" si="0"/>
        <v>2.8%
（电子银行）</v>
      </c>
      <c r="BD9" s="1012" t="str">
        <f t="shared" si="0"/>
        <v>2.8%
（电子银行）</v>
      </c>
      <c r="BE9" s="1012" t="str">
        <f t="shared" si="0"/>
        <v>2.8%
（电子银行）</v>
      </c>
      <c r="BF9" s="1012" t="str">
        <f t="shared" si="0"/>
        <v>2.8%
（电子银行）</v>
      </c>
      <c r="BG9" s="1012" t="str">
        <f t="shared" si="0"/>
        <v>2.8%
（电子银行）</v>
      </c>
      <c r="BH9" s="1012" t="str">
        <f t="shared" si="0"/>
        <v>2.8%
（电子银行）</v>
      </c>
      <c r="BI9" s="1012" t="str">
        <f t="shared" si="0"/>
        <v>2.8%
（电子银行）</v>
      </c>
      <c r="BJ9" s="1012" t="str">
        <f t="shared" si="0"/>
        <v>2.8%
（电子银行）</v>
      </c>
      <c r="BK9" s="1012" t="str">
        <f t="shared" si="0"/>
        <v>2.8%
（电子银行）</v>
      </c>
      <c r="BL9" s="1012" t="str">
        <f t="shared" si="0"/>
        <v>2.8%
（电子银行）</v>
      </c>
      <c r="BM9" s="1012" t="str">
        <f t="shared" si="0"/>
        <v>2.8%
（电子银行）</v>
      </c>
      <c r="BN9" s="1012" t="str">
        <f t="shared" si="0"/>
        <v>2.8%
（电子银行）</v>
      </c>
      <c r="BO9" s="1012" t="str">
        <f t="shared" si="0"/>
        <v>2.8%
（电子银行）</v>
      </c>
      <c r="BP9" s="1012" t="str">
        <f t="shared" si="0"/>
        <v>2.8%
（电子银行）</v>
      </c>
      <c r="BQ9" s="1012" t="str">
        <f t="shared" si="0"/>
        <v>2.8%
（电子银行）</v>
      </c>
      <c r="BR9" s="1012" t="str">
        <f t="shared" si="0"/>
        <v>2.8%
（电子银行）</v>
      </c>
      <c r="BS9" s="1012" t="str">
        <f t="shared" si="0"/>
        <v>2.8%
（电子银行）</v>
      </c>
      <c r="BT9" s="1012" t="str">
        <f t="shared" si="0"/>
        <v>2.8%
（电子银行）</v>
      </c>
      <c r="BU9" s="1012" t="str">
        <f t="shared" si="0"/>
        <v>2.8%
（电子银行）</v>
      </c>
      <c r="BV9" s="1012" t="str">
        <f t="shared" si="0"/>
        <v>2.8%
（电子银行）</v>
      </c>
      <c r="BW9" s="1012" t="str">
        <f t="shared" si="0"/>
        <v>2.8%
（电子银行）</v>
      </c>
      <c r="BX9" s="1012" t="str">
        <f t="shared" si="0"/>
        <v>2.8%
（电子银行）</v>
      </c>
      <c r="BY9" s="1012" t="str">
        <f t="shared" si="0"/>
        <v>2.8%
（电子银行）</v>
      </c>
      <c r="BZ9" s="1012" t="str">
        <f t="shared" si="0"/>
        <v>2.8%
（电子银行）</v>
      </c>
      <c r="CA9" s="1012" t="str">
        <f t="shared" si="0"/>
        <v>2.8%
（电子银行）</v>
      </c>
      <c r="CB9" s="1012" t="str">
        <f t="shared" si="0"/>
        <v>2.8%
（电子银行）</v>
      </c>
      <c r="CC9" s="1012" t="s">
        <v>501</v>
      </c>
      <c r="CD9" s="955">
        <v>2.9000000000000001E-2</v>
      </c>
      <c r="CE9" s="955">
        <v>2.9000000000000001E-2</v>
      </c>
      <c r="CF9" s="955">
        <v>2.9000000000000001E-2</v>
      </c>
      <c r="CG9" s="955">
        <v>2.9000000000000001E-2</v>
      </c>
      <c r="CH9" s="955">
        <v>2.9000000000000001E-2</v>
      </c>
      <c r="CI9" s="955">
        <v>2.9000000000000001E-2</v>
      </c>
      <c r="CJ9" s="955">
        <v>2.9000000000000001E-2</v>
      </c>
      <c r="CK9" s="955">
        <v>2.9000000000000001E-2</v>
      </c>
      <c r="CL9" s="955">
        <v>2.9000000000000001E-2</v>
      </c>
      <c r="CM9" s="955">
        <v>2.9000000000000001E-2</v>
      </c>
      <c r="CN9" s="955">
        <v>2.9000000000000001E-2</v>
      </c>
      <c r="CO9" s="955">
        <v>2.9000000000000001E-2</v>
      </c>
      <c r="CP9" s="955">
        <v>2.9000000000000001E-2</v>
      </c>
      <c r="CQ9" s="955">
        <v>2.9000000000000001E-2</v>
      </c>
      <c r="CR9" s="955">
        <v>2.9000000000000001E-2</v>
      </c>
      <c r="CS9" s="955">
        <v>2.9000000000000001E-2</v>
      </c>
      <c r="CT9" s="955">
        <v>2.9000000000000001E-2</v>
      </c>
      <c r="CU9" s="955">
        <v>2.9000000000000001E-2</v>
      </c>
      <c r="CV9" s="955">
        <v>2.9000000000000001E-2</v>
      </c>
      <c r="CW9" s="955">
        <v>2.9000000000000001E-2</v>
      </c>
      <c r="CX9" s="955">
        <v>2.9000000000000001E-2</v>
      </c>
      <c r="CY9" s="955">
        <v>2.9000000000000001E-2</v>
      </c>
      <c r="CZ9" s="955">
        <v>2.9000000000000001E-2</v>
      </c>
      <c r="DA9" s="955">
        <v>2.9000000000000001E-2</v>
      </c>
      <c r="DB9" s="955">
        <v>2.9000000000000001E-2</v>
      </c>
      <c r="DC9" s="955">
        <v>2.9000000000000001E-2</v>
      </c>
      <c r="DD9" s="955">
        <v>2.9000000000000001E-2</v>
      </c>
      <c r="DE9" s="955">
        <v>2.9000000000000001E-2</v>
      </c>
      <c r="DF9" s="955">
        <v>2.9000000000000001E-2</v>
      </c>
      <c r="DG9" s="955">
        <v>2.9000000000000001E-2</v>
      </c>
      <c r="DH9" s="955">
        <v>2.9000000000000001E-2</v>
      </c>
      <c r="DI9" s="955">
        <v>2.9000000000000001E-2</v>
      </c>
      <c r="DJ9" s="955">
        <v>2.9000000000000001E-2</v>
      </c>
      <c r="DK9" s="955">
        <v>2.9000000000000001E-2</v>
      </c>
      <c r="DL9" s="955">
        <v>2.9000000000000001E-2</v>
      </c>
      <c r="DM9" s="955">
        <v>2.9000000000000001E-2</v>
      </c>
      <c r="DN9" s="955">
        <v>2.9000000000000001E-2</v>
      </c>
      <c r="DO9" s="955">
        <v>2.9000000000000001E-2</v>
      </c>
      <c r="DP9" s="955">
        <v>2.9000000000000001E-2</v>
      </c>
      <c r="DQ9" s="955">
        <v>2.9000000000000001E-2</v>
      </c>
      <c r="DR9" s="955">
        <v>2.9000000000000001E-2</v>
      </c>
      <c r="DS9" s="955">
        <v>2.9000000000000001E-2</v>
      </c>
      <c r="DT9" s="955">
        <v>2.9000000000000001E-2</v>
      </c>
      <c r="DU9" s="955">
        <v>2.9000000000000001E-2</v>
      </c>
      <c r="DV9" s="955">
        <v>2.9000000000000001E-2</v>
      </c>
      <c r="DW9" s="955">
        <v>2.9000000000000001E-2</v>
      </c>
      <c r="DX9" s="955">
        <v>2.9000000000000001E-2</v>
      </c>
      <c r="DY9" s="955">
        <v>2.9000000000000001E-2</v>
      </c>
      <c r="DZ9" s="955">
        <v>2.9000000000000001E-2</v>
      </c>
      <c r="EA9" s="955">
        <v>2.9000000000000001E-2</v>
      </c>
      <c r="EB9" s="955">
        <v>2.9000000000000001E-2</v>
      </c>
      <c r="EC9" s="955">
        <v>2.9000000000000001E-2</v>
      </c>
      <c r="ED9" s="955">
        <v>2.9000000000000001E-2</v>
      </c>
      <c r="EE9" s="955">
        <v>2.9000000000000001E-2</v>
      </c>
      <c r="EF9" s="955">
        <v>2.9000000000000001E-2</v>
      </c>
      <c r="EG9" s="955">
        <v>2.9000000000000001E-2</v>
      </c>
      <c r="EH9" s="955">
        <v>2.9000000000000001E-2</v>
      </c>
      <c r="EI9" s="955">
        <v>2.9000000000000001E-2</v>
      </c>
      <c r="EJ9" s="955">
        <v>2.9000000000000001E-2</v>
      </c>
      <c r="EK9" s="955">
        <v>2.9000000000000001E-2</v>
      </c>
      <c r="EL9" s="955">
        <v>2.9000000000000001E-2</v>
      </c>
      <c r="EM9" s="955">
        <v>2.9000000000000001E-2</v>
      </c>
      <c r="EN9" s="955">
        <v>2.9000000000000001E-2</v>
      </c>
      <c r="EO9" s="955">
        <v>2.9000000000000001E-2</v>
      </c>
      <c r="EP9" s="955">
        <v>2.9000000000000001E-2</v>
      </c>
      <c r="EQ9" s="955">
        <v>2.9000000000000001E-2</v>
      </c>
      <c r="ER9" s="955">
        <v>2.9000000000000001E-2</v>
      </c>
      <c r="ES9" s="955">
        <v>2.9000000000000001E-2</v>
      </c>
      <c r="ET9" s="955">
        <v>2.9000000000000001E-2</v>
      </c>
      <c r="EU9" s="955">
        <v>2.9000000000000001E-2</v>
      </c>
      <c r="EV9" s="955">
        <v>2.9000000000000001E-2</v>
      </c>
      <c r="EW9" s="955">
        <v>2.9499999999999998E-2</v>
      </c>
      <c r="EX9" s="955">
        <v>3.1E-2</v>
      </c>
      <c r="EY9" s="955">
        <v>3.1E-2</v>
      </c>
      <c r="EZ9" s="231" t="s">
        <v>281</v>
      </c>
      <c r="FA9" s="1040">
        <v>6.0000000000000001E-3</v>
      </c>
      <c r="FB9" s="345" t="s">
        <v>485</v>
      </c>
      <c r="FC9" s="1039" t="s">
        <v>323</v>
      </c>
      <c r="FD9" s="1040">
        <v>6.0000000000000001E-3</v>
      </c>
      <c r="FE9" s="345" t="s">
        <v>485</v>
      </c>
      <c r="FF9" s="73" t="s">
        <v>323</v>
      </c>
      <c r="FG9" s="1039" t="s">
        <v>321</v>
      </c>
      <c r="FH9" s="1040">
        <v>4.4999999999999997E-3</v>
      </c>
      <c r="FI9" s="1040">
        <v>4.4999999999999997E-3</v>
      </c>
      <c r="FJ9" s="1040">
        <v>4.4999999999999997E-3</v>
      </c>
      <c r="FK9" s="1040">
        <v>4.4999999999999997E-3</v>
      </c>
      <c r="FL9" s="1040">
        <v>6.0000000000000001E-3</v>
      </c>
      <c r="FM9" s="1040">
        <v>6.0000000000000001E-3</v>
      </c>
      <c r="FN9" s="1040">
        <v>6.0000000000000001E-3</v>
      </c>
      <c r="FO9" s="1040">
        <v>6.0000000000000001E-3</v>
      </c>
      <c r="FP9" s="1040">
        <v>6.0000000000000001E-3</v>
      </c>
      <c r="FQ9" s="1040">
        <v>6.0000000000000001E-3</v>
      </c>
      <c r="FR9" s="1040">
        <v>6.0000000000000001E-3</v>
      </c>
      <c r="FS9" s="1040">
        <v>6.0000000000000001E-3</v>
      </c>
      <c r="FT9" s="1040">
        <v>6.0000000000000001E-3</v>
      </c>
      <c r="FU9" s="1040">
        <v>6.0000000000000001E-3</v>
      </c>
      <c r="FV9" s="1040">
        <v>6.0000000000000001E-3</v>
      </c>
      <c r="FW9" s="1040">
        <v>6.0000000000000001E-3</v>
      </c>
      <c r="FX9" s="1040">
        <v>6.0000000000000001E-3</v>
      </c>
      <c r="FY9" s="955">
        <v>1.5E-3</v>
      </c>
      <c r="FZ9" s="955">
        <v>3.1E-2</v>
      </c>
      <c r="GA9" s="955">
        <v>3.1E-2</v>
      </c>
      <c r="GB9" s="955">
        <v>3.1E-2</v>
      </c>
      <c r="GC9" s="955">
        <v>3.5999999999999997E-2</v>
      </c>
      <c r="GD9" s="955">
        <v>3.5999999999999997E-2</v>
      </c>
      <c r="GE9" s="955">
        <v>3.5999999999999997E-2</v>
      </c>
      <c r="GF9" s="955">
        <v>3.5999999999999997E-2</v>
      </c>
      <c r="GG9" s="955">
        <v>3.5999999999999997E-2</v>
      </c>
      <c r="GH9" s="955">
        <v>2.3E-2</v>
      </c>
      <c r="GI9" s="955">
        <v>2.3E-2</v>
      </c>
      <c r="GJ9" s="955">
        <v>2.3E-2</v>
      </c>
      <c r="GK9" s="955">
        <v>2.3E-2</v>
      </c>
      <c r="GL9" s="955">
        <v>2.3E-2</v>
      </c>
      <c r="GM9" s="955">
        <v>2.3E-2</v>
      </c>
      <c r="GN9" s="955">
        <v>2.3E-2</v>
      </c>
      <c r="GO9" s="955">
        <v>2.3E-2</v>
      </c>
      <c r="GP9" s="955">
        <v>2.3E-2</v>
      </c>
      <c r="GQ9" s="955">
        <v>2.3E-2</v>
      </c>
      <c r="GR9" s="955">
        <v>2.3E-2</v>
      </c>
      <c r="GS9" s="955">
        <v>1.95E-2</v>
      </c>
      <c r="GT9" s="955">
        <v>1.95E-2</v>
      </c>
      <c r="GU9" s="955">
        <v>1.95E-2</v>
      </c>
      <c r="GV9" s="955">
        <v>1.6500000000000001E-2</v>
      </c>
      <c r="GW9" s="955">
        <v>1.6500000000000001E-2</v>
      </c>
      <c r="GX9" s="955">
        <v>1.6500000000000001E-2</v>
      </c>
      <c r="GY9" s="955">
        <v>1.5E-3</v>
      </c>
      <c r="GZ9" s="955">
        <v>1.5E-3</v>
      </c>
      <c r="HA9" s="955">
        <v>1.5E-3</v>
      </c>
      <c r="HB9" s="955">
        <v>3.1E-2</v>
      </c>
      <c r="HC9" s="955">
        <v>3.1E-2</v>
      </c>
      <c r="HD9" s="955">
        <v>3.1E-2</v>
      </c>
      <c r="HE9" s="955">
        <v>3.1E-2</v>
      </c>
      <c r="HF9" s="941">
        <f>C9-D9</f>
        <v>0</v>
      </c>
      <c r="HG9" s="218" t="s">
        <v>581</v>
      </c>
    </row>
    <row r="10" spans="1:215" ht="15" customHeight="1">
      <c r="A10" s="1060"/>
      <c r="B10" s="280" t="s">
        <v>587</v>
      </c>
      <c r="C10" s="922"/>
      <c r="D10" s="922"/>
      <c r="E10" s="922"/>
      <c r="F10" s="922"/>
      <c r="G10" s="922"/>
      <c r="H10" s="922"/>
      <c r="I10" s="922"/>
      <c r="J10" s="922"/>
      <c r="K10" s="922"/>
      <c r="L10" s="971"/>
      <c r="M10" s="922"/>
      <c r="N10" s="922"/>
      <c r="O10" s="922"/>
      <c r="P10" s="922"/>
      <c r="Q10" s="922"/>
      <c r="R10" s="922"/>
      <c r="S10" s="922"/>
      <c r="T10" s="922"/>
      <c r="U10" s="922"/>
      <c r="V10" s="922"/>
      <c r="W10" s="922"/>
      <c r="X10" s="922"/>
      <c r="Y10" s="922"/>
      <c r="Z10" s="922"/>
      <c r="AA10" s="922"/>
      <c r="AB10" s="922"/>
      <c r="AC10" s="971"/>
      <c r="AD10" s="922"/>
      <c r="AE10" s="971"/>
      <c r="AF10" s="983"/>
      <c r="AG10" s="971"/>
      <c r="AH10" s="983"/>
      <c r="AI10" s="983"/>
      <c r="AJ10" s="922"/>
      <c r="AK10" s="983"/>
      <c r="AL10" s="971"/>
      <c r="AM10" s="983"/>
      <c r="AN10" s="983"/>
      <c r="AO10" s="983"/>
      <c r="AP10" s="989"/>
      <c r="AQ10" s="989"/>
      <c r="AR10" s="1029"/>
      <c r="AS10" s="1029"/>
      <c r="AT10" s="989"/>
      <c r="AU10" s="1029"/>
      <c r="AV10" s="1029"/>
      <c r="AW10" s="1029"/>
      <c r="AX10" s="1029"/>
      <c r="AY10" s="989"/>
      <c r="AZ10" s="1029"/>
      <c r="BA10" s="1029"/>
      <c r="BB10" s="1029"/>
      <c r="BC10" s="989"/>
      <c r="BD10" s="1029"/>
      <c r="BE10" s="1029"/>
      <c r="BF10" s="1029"/>
      <c r="BG10" s="1029"/>
      <c r="BH10" s="1029"/>
      <c r="BI10" s="1029"/>
      <c r="BJ10" s="1029"/>
      <c r="BK10" s="1029"/>
      <c r="BL10" s="1029"/>
      <c r="BM10" s="1029"/>
      <c r="BN10" s="1029"/>
      <c r="BO10" s="1029"/>
      <c r="BP10" s="1029"/>
      <c r="BQ10" s="1029"/>
      <c r="BR10" s="1029"/>
      <c r="BS10" s="1029"/>
      <c r="BT10" s="1029"/>
      <c r="BU10" s="1029"/>
      <c r="BV10" s="1029"/>
      <c r="BW10" s="1029"/>
      <c r="BX10" s="1029"/>
      <c r="BY10" s="1029"/>
      <c r="BZ10" s="1029"/>
      <c r="CA10" s="1029"/>
      <c r="CB10" s="1029"/>
      <c r="CC10" s="1029"/>
      <c r="CD10" s="1013"/>
      <c r="CE10" s="1013"/>
      <c r="CF10" s="1013"/>
      <c r="CG10" s="1013"/>
      <c r="CH10" s="1013"/>
      <c r="CI10" s="1013"/>
      <c r="CJ10" s="1013"/>
      <c r="CK10" s="1013"/>
      <c r="CL10" s="1013"/>
      <c r="CM10" s="1013"/>
      <c r="CN10" s="1013"/>
      <c r="CO10" s="1013"/>
      <c r="CP10" s="1013"/>
      <c r="CQ10" s="1013"/>
      <c r="CR10" s="1013"/>
      <c r="CS10" s="1013"/>
      <c r="CT10" s="1013"/>
      <c r="CU10" s="1013"/>
      <c r="CV10" s="1013"/>
      <c r="CW10" s="1013"/>
      <c r="CX10" s="1013"/>
      <c r="CY10" s="1013"/>
      <c r="CZ10" s="1013"/>
      <c r="DA10" s="1013"/>
      <c r="DB10" s="1013"/>
      <c r="DC10" s="1013"/>
      <c r="DD10" s="1013"/>
      <c r="DE10" s="1013"/>
      <c r="DF10" s="1013"/>
      <c r="DG10" s="1013"/>
      <c r="DH10" s="1013"/>
      <c r="DI10" s="1013"/>
      <c r="DJ10" s="1013"/>
      <c r="DK10" s="1013"/>
      <c r="DL10" s="1013"/>
      <c r="DM10" s="1013"/>
      <c r="DN10" s="1013"/>
      <c r="DO10" s="1013"/>
      <c r="DP10" s="1013"/>
      <c r="DQ10" s="1013"/>
      <c r="DR10" s="1013"/>
      <c r="DS10" s="1013"/>
      <c r="DT10" s="1013"/>
      <c r="DU10" s="1013"/>
      <c r="DV10" s="1013"/>
      <c r="DW10" s="1013"/>
      <c r="DX10" s="1013"/>
      <c r="DY10" s="1013"/>
      <c r="DZ10" s="1013"/>
      <c r="EA10" s="1013"/>
      <c r="EB10" s="1013"/>
      <c r="EC10" s="1013"/>
      <c r="ED10" s="1013"/>
      <c r="EE10" s="1013"/>
      <c r="EF10" s="1013"/>
      <c r="EG10" s="1013"/>
      <c r="EH10" s="1013"/>
      <c r="EI10" s="1013"/>
      <c r="EJ10" s="1013"/>
      <c r="EK10" s="1013"/>
      <c r="EL10" s="1013"/>
      <c r="EM10" s="1013"/>
      <c r="EN10" s="1013"/>
      <c r="EO10" s="1013"/>
      <c r="EP10" s="1013"/>
      <c r="EQ10" s="1013"/>
      <c r="ER10" s="1013"/>
      <c r="ES10" s="1013"/>
      <c r="ET10" s="1013"/>
      <c r="EU10" s="1013"/>
      <c r="EV10" s="1013"/>
      <c r="EW10" s="1013"/>
      <c r="EX10" s="1013"/>
      <c r="EY10" s="1013"/>
      <c r="EZ10" s="231"/>
      <c r="FA10" s="1040"/>
      <c r="FB10" s="345"/>
      <c r="FC10" s="1039"/>
      <c r="FD10" s="1040"/>
      <c r="FE10" s="345"/>
      <c r="FF10" s="73"/>
      <c r="FG10" s="1039"/>
      <c r="FH10" s="1040"/>
      <c r="FI10" s="1040"/>
      <c r="FJ10" s="1040"/>
      <c r="FK10" s="1040"/>
      <c r="FL10" s="1040"/>
      <c r="FM10" s="1040"/>
      <c r="FN10" s="1040"/>
      <c r="FO10" s="1040"/>
      <c r="FP10" s="1040"/>
      <c r="FQ10" s="1040"/>
      <c r="FR10" s="1040"/>
      <c r="FS10" s="1040"/>
      <c r="FT10" s="1040"/>
      <c r="FU10" s="1040"/>
      <c r="FV10" s="1040"/>
      <c r="FW10" s="1040"/>
      <c r="FX10" s="1040"/>
      <c r="FY10" s="1013"/>
      <c r="FZ10" s="1013"/>
      <c r="GA10" s="1013"/>
      <c r="GB10" s="1013"/>
      <c r="GC10" s="1013"/>
      <c r="GD10" s="1013"/>
      <c r="GE10" s="1013"/>
      <c r="GF10" s="1013"/>
      <c r="GG10" s="1013"/>
      <c r="GH10" s="1013"/>
      <c r="GI10" s="1013"/>
      <c r="GJ10" s="1013"/>
      <c r="GK10" s="1013"/>
      <c r="GL10" s="1013"/>
      <c r="GM10" s="1013"/>
      <c r="GN10" s="1013"/>
      <c r="GO10" s="1013"/>
      <c r="GP10" s="1013"/>
      <c r="GQ10" s="1013"/>
      <c r="GR10" s="1013"/>
      <c r="GS10" s="1013"/>
      <c r="GT10" s="1013"/>
      <c r="GU10" s="1013"/>
      <c r="GV10" s="1013"/>
      <c r="GW10" s="1013"/>
      <c r="GX10" s="1013"/>
      <c r="GY10" s="1013"/>
      <c r="GZ10" s="1013"/>
      <c r="HA10" s="1013"/>
      <c r="HB10" s="1013"/>
      <c r="HC10" s="1013"/>
      <c r="HD10" s="1013"/>
      <c r="HE10" s="1013"/>
      <c r="HF10" s="1048"/>
      <c r="HG10" s="218" t="s">
        <v>582</v>
      </c>
    </row>
    <row r="11" spans="1:215">
      <c r="A11" s="1060" t="s">
        <v>16</v>
      </c>
      <c r="B11" s="308" t="s">
        <v>575</v>
      </c>
      <c r="C11" s="917">
        <v>1.0999999999999999E-2</v>
      </c>
      <c r="D11" s="917">
        <v>1.0999999999999999E-2</v>
      </c>
      <c r="E11" s="915">
        <v>1.15E-2</v>
      </c>
      <c r="F11" s="909">
        <v>1.15E-2</v>
      </c>
      <c r="G11" s="909">
        <v>1.15E-2</v>
      </c>
      <c r="H11" s="909">
        <v>1.15E-2</v>
      </c>
      <c r="I11" s="909">
        <v>1.15E-2</v>
      </c>
      <c r="J11" s="967">
        <v>1.15E-2</v>
      </c>
      <c r="K11" s="909">
        <v>1.2E-2</v>
      </c>
      <c r="L11" s="909">
        <v>1.2E-2</v>
      </c>
      <c r="M11" s="909">
        <v>1.2E-2</v>
      </c>
      <c r="N11" s="909">
        <v>1.2E-2</v>
      </c>
      <c r="O11" s="909">
        <v>1.2E-2</v>
      </c>
      <c r="P11" s="909">
        <v>1.2E-2</v>
      </c>
      <c r="Q11" s="909">
        <v>1.2E-2</v>
      </c>
      <c r="R11" s="909">
        <v>1.2E-2</v>
      </c>
      <c r="S11" s="909">
        <v>1.2E-2</v>
      </c>
      <c r="T11" s="909">
        <v>1.2E-2</v>
      </c>
      <c r="U11" s="909">
        <v>1.2E-2</v>
      </c>
      <c r="V11" s="909">
        <v>1.2E-2</v>
      </c>
      <c r="W11" s="909">
        <v>1.2E-2</v>
      </c>
      <c r="X11" s="909">
        <v>1.2E-2</v>
      </c>
      <c r="Y11" s="909">
        <v>1.2E-2</v>
      </c>
      <c r="Z11" s="909">
        <v>1.2E-2</v>
      </c>
      <c r="AA11" s="909">
        <v>1.2E-2</v>
      </c>
      <c r="AB11" s="967">
        <v>1.2E-2</v>
      </c>
      <c r="AC11" s="909">
        <v>1.2500000000000001E-2</v>
      </c>
      <c r="AD11" s="967">
        <v>1.2500000000000001E-2</v>
      </c>
      <c r="AE11" s="967">
        <v>1.4500000000000001E-2</v>
      </c>
      <c r="AF11" s="967">
        <v>1.4999999999999999E-2</v>
      </c>
      <c r="AG11" s="978">
        <v>1.55E-2</v>
      </c>
      <c r="AH11" s="978">
        <v>1.55E-2</v>
      </c>
      <c r="AI11" s="978">
        <v>1.55E-2</v>
      </c>
      <c r="AJ11" s="967">
        <v>1.55E-2</v>
      </c>
      <c r="AK11" s="967">
        <v>1.7000000000000001E-2</v>
      </c>
      <c r="AL11" s="909">
        <v>1.7999999999999999E-2</v>
      </c>
      <c r="AM11" s="978">
        <v>1.7999999999999999E-2</v>
      </c>
      <c r="AN11" s="967">
        <v>1.7999999999999999E-2</v>
      </c>
      <c r="AO11" s="967">
        <v>1.8499999999999999E-2</v>
      </c>
      <c r="AP11" s="984">
        <v>0.02</v>
      </c>
      <c r="AQ11" s="1012">
        <v>2.0500000000000001E-2</v>
      </c>
      <c r="AR11" s="984">
        <v>2.0500000000000001E-2</v>
      </c>
      <c r="AS11" s="984">
        <v>2.1000000000000001E-2</v>
      </c>
      <c r="AT11" s="984">
        <v>2.1999999999999999E-2</v>
      </c>
      <c r="AU11" s="1025">
        <v>2.2499999999999999E-2</v>
      </c>
      <c r="AV11" s="1025">
        <v>2.35E-2</v>
      </c>
      <c r="AW11" s="1025">
        <v>2.35E-2</v>
      </c>
      <c r="AX11" s="1025">
        <v>2.4E-2</v>
      </c>
      <c r="AY11" s="1025">
        <v>2.4E-2</v>
      </c>
      <c r="AZ11" s="1025">
        <v>2.4E-2</v>
      </c>
      <c r="BA11" s="1025">
        <v>2.4E-2</v>
      </c>
      <c r="BB11" s="1025">
        <v>2.4E-2</v>
      </c>
      <c r="BC11" s="1025">
        <v>2.4E-2</v>
      </c>
      <c r="BD11" s="1025">
        <v>2.5000000000000001E-2</v>
      </c>
      <c r="BE11" s="1025">
        <v>2.5999999999999999E-2</v>
      </c>
      <c r="BF11" s="1025">
        <v>2.5999999999999999E-2</v>
      </c>
      <c r="BG11" s="1025">
        <v>2.5999999999999999E-2</v>
      </c>
      <c r="BH11" s="1025">
        <v>2.5999999999999999E-2</v>
      </c>
      <c r="BI11" s="1025">
        <v>2.5999999999999999E-2</v>
      </c>
      <c r="BJ11" s="1025">
        <v>2.5999999999999999E-2</v>
      </c>
      <c r="BK11" s="1025">
        <v>2.5999999999999999E-2</v>
      </c>
      <c r="BL11" s="1038" t="s">
        <v>366</v>
      </c>
      <c r="BM11" s="1025">
        <v>2.7E-2</v>
      </c>
      <c r="BN11" s="1025">
        <v>2.7E-2</v>
      </c>
      <c r="BO11" s="1025">
        <v>2.7E-2</v>
      </c>
      <c r="BP11" s="1025">
        <v>2.7E-2</v>
      </c>
      <c r="BQ11" s="1025">
        <v>2.7E-2</v>
      </c>
      <c r="BR11" s="1025">
        <v>2.7E-2</v>
      </c>
      <c r="BS11" s="1025">
        <v>2.7E-2</v>
      </c>
      <c r="BT11" s="1025">
        <v>2.7E-2</v>
      </c>
      <c r="BU11" s="1025">
        <v>2.7E-2</v>
      </c>
      <c r="BV11" s="1025">
        <v>2.7E-2</v>
      </c>
      <c r="BW11" s="1025">
        <v>2.7E-2</v>
      </c>
      <c r="BX11" s="1025">
        <v>2.7E-2</v>
      </c>
      <c r="BY11" s="1025">
        <v>2.7E-2</v>
      </c>
      <c r="BZ11" s="1025">
        <v>2.7E-2</v>
      </c>
      <c r="CA11" s="1025">
        <v>2.7E-2</v>
      </c>
      <c r="CB11" s="1025">
        <v>2.8500000000000001E-2</v>
      </c>
      <c r="CC11" s="1025">
        <v>2.9499999999999998E-2</v>
      </c>
      <c r="CD11" s="1025">
        <v>2.9499999999999998E-2</v>
      </c>
      <c r="CE11" s="1025">
        <v>2.9499999999999998E-2</v>
      </c>
      <c r="CF11" s="1025">
        <v>2.9499999999999998E-2</v>
      </c>
      <c r="CG11" s="1025">
        <v>2.9499999999999998E-2</v>
      </c>
      <c r="CH11" s="1025">
        <v>2.9499999999999998E-2</v>
      </c>
      <c r="CI11" s="1025">
        <v>2.9499999999999998E-2</v>
      </c>
      <c r="CJ11" s="1025">
        <v>2.9499999999999998E-2</v>
      </c>
      <c r="CK11" s="1025">
        <v>0.03</v>
      </c>
      <c r="CL11" s="1025">
        <v>0.03</v>
      </c>
      <c r="CM11" s="1025">
        <v>0.03</v>
      </c>
      <c r="CN11" s="1025">
        <v>0.03</v>
      </c>
      <c r="CO11" s="1025">
        <v>0.03</v>
      </c>
      <c r="CP11" s="1025">
        <v>0.03</v>
      </c>
      <c r="CQ11" s="1025">
        <v>0.03</v>
      </c>
      <c r="CR11" s="1025">
        <v>0.03</v>
      </c>
      <c r="CS11" s="1025">
        <v>0.03</v>
      </c>
      <c r="CT11" s="1025">
        <v>2.9000000000000001E-2</v>
      </c>
      <c r="CU11" s="1025">
        <v>2.9000000000000001E-2</v>
      </c>
      <c r="CV11" s="1025">
        <v>2.9000000000000001E-2</v>
      </c>
      <c r="CW11" s="1025">
        <v>2.9000000000000001E-2</v>
      </c>
      <c r="CX11" s="1025">
        <v>2.9000000000000001E-2</v>
      </c>
      <c r="CY11" s="1025">
        <v>2.9000000000000001E-2</v>
      </c>
      <c r="CZ11" s="1025">
        <v>2.9000000000000001E-2</v>
      </c>
      <c r="DA11" s="1025">
        <v>2.9000000000000001E-2</v>
      </c>
      <c r="DB11" s="1025">
        <v>2.9000000000000001E-2</v>
      </c>
      <c r="DC11" s="1025">
        <v>2.9000000000000001E-2</v>
      </c>
      <c r="DD11" s="1025">
        <v>2.9000000000000001E-2</v>
      </c>
      <c r="DE11" s="1025">
        <v>2.9000000000000001E-2</v>
      </c>
      <c r="DF11" s="1025">
        <v>2.9000000000000001E-2</v>
      </c>
      <c r="DG11" s="1025">
        <v>2.9000000000000001E-2</v>
      </c>
      <c r="DH11" s="1025">
        <v>2.9000000000000001E-2</v>
      </c>
      <c r="DI11" s="1025">
        <v>2.9000000000000001E-2</v>
      </c>
      <c r="DJ11" s="1025">
        <v>2.9000000000000001E-2</v>
      </c>
      <c r="DK11" s="1025">
        <v>2.9000000000000001E-2</v>
      </c>
      <c r="DL11" s="1025">
        <v>2.9000000000000001E-2</v>
      </c>
      <c r="DM11" s="1025">
        <v>2.9000000000000001E-2</v>
      </c>
      <c r="DN11" s="1025">
        <v>2.9000000000000001E-2</v>
      </c>
      <c r="DO11" s="1025">
        <v>2.9000000000000001E-2</v>
      </c>
      <c r="DP11" s="1025">
        <v>2.9000000000000001E-2</v>
      </c>
      <c r="DQ11" s="1025">
        <v>2.9000000000000001E-2</v>
      </c>
      <c r="DR11" s="1025">
        <v>2.9000000000000001E-2</v>
      </c>
      <c r="DS11" s="1025">
        <v>2.9000000000000001E-2</v>
      </c>
      <c r="DT11" s="1025">
        <v>2.9000000000000001E-2</v>
      </c>
      <c r="DU11" s="1025">
        <v>2.9000000000000001E-2</v>
      </c>
      <c r="DV11" s="1025">
        <v>2.9000000000000001E-2</v>
      </c>
      <c r="DW11" s="1025">
        <v>2.9000000000000001E-2</v>
      </c>
      <c r="DX11" s="1025">
        <v>2.9000000000000001E-2</v>
      </c>
      <c r="DY11" s="1025">
        <v>2.9000000000000001E-2</v>
      </c>
      <c r="DZ11" s="1025">
        <v>0.03</v>
      </c>
      <c r="EA11" s="1025">
        <v>0.03</v>
      </c>
      <c r="EB11" s="1025">
        <v>0.03</v>
      </c>
      <c r="EC11" s="1025">
        <v>0.03</v>
      </c>
      <c r="ED11" s="1025">
        <v>0.03</v>
      </c>
      <c r="EE11" s="1025">
        <v>0.03</v>
      </c>
      <c r="EF11" s="1025">
        <v>0.03</v>
      </c>
      <c r="EG11" s="1025">
        <v>0.03</v>
      </c>
      <c r="EH11" s="1025">
        <v>0.03</v>
      </c>
      <c r="EI11" s="1025">
        <v>0.03</v>
      </c>
      <c r="EJ11" s="1025">
        <v>0.03</v>
      </c>
      <c r="EK11" s="1025">
        <v>0.03</v>
      </c>
      <c r="EL11" s="1025">
        <v>0.03</v>
      </c>
      <c r="EM11" s="1025">
        <v>0.03</v>
      </c>
      <c r="EN11" s="1025">
        <v>0.03</v>
      </c>
      <c r="EO11" s="1025">
        <v>0.03</v>
      </c>
      <c r="EP11" s="1025">
        <v>2.9000000000000001E-2</v>
      </c>
      <c r="EQ11" s="1025">
        <v>2.9000000000000001E-2</v>
      </c>
      <c r="ER11" s="1025">
        <v>2.9000000000000001E-2</v>
      </c>
      <c r="ES11" s="1025">
        <v>2.9000000000000001E-2</v>
      </c>
      <c r="ET11" s="1025">
        <v>2.9000000000000001E-2</v>
      </c>
      <c r="EU11" s="1025">
        <v>2.9000000000000001E-2</v>
      </c>
      <c r="EV11" s="1025">
        <v>2.9000000000000001E-2</v>
      </c>
      <c r="EW11" s="1025">
        <v>2.9000000000000001E-2</v>
      </c>
      <c r="EX11" s="1025">
        <v>2.9000000000000001E-2</v>
      </c>
      <c r="EY11" s="1025">
        <v>2.9000000000000001E-2</v>
      </c>
      <c r="EZ11" s="258" t="s">
        <v>306</v>
      </c>
      <c r="FA11" s="235">
        <v>1.7999999999999999E-2</v>
      </c>
      <c r="FB11" s="238">
        <v>1.7999999999999999E-2</v>
      </c>
      <c r="FC11" s="231" t="s">
        <v>261</v>
      </c>
      <c r="FD11" s="236">
        <v>6.0000000000000001E-3</v>
      </c>
      <c r="FE11" s="238">
        <v>6.0000000000000001E-3</v>
      </c>
      <c r="FF11" s="237" t="s">
        <v>322</v>
      </c>
      <c r="FG11" s="231" t="s">
        <v>321</v>
      </c>
      <c r="FH11" s="236">
        <v>4.4999999999999997E-3</v>
      </c>
      <c r="FI11" s="236">
        <v>4.4999999999999997E-3</v>
      </c>
      <c r="FJ11" s="236">
        <v>6.0000000000000001E-3</v>
      </c>
      <c r="FK11" s="236">
        <v>4.4999999999999997E-3</v>
      </c>
      <c r="FL11" s="236">
        <v>6.0000000000000001E-3</v>
      </c>
      <c r="FM11" s="236">
        <v>6.0000000000000001E-3</v>
      </c>
      <c r="FN11" s="235">
        <v>6.0000000000000001E-3</v>
      </c>
      <c r="FO11" s="235">
        <v>6.0000000000000001E-3</v>
      </c>
      <c r="FP11" s="235">
        <v>8.0000000000000002E-3</v>
      </c>
      <c r="FQ11" s="235">
        <v>0.01</v>
      </c>
      <c r="FR11" s="235">
        <v>0.01</v>
      </c>
      <c r="FS11" s="235">
        <v>0.01</v>
      </c>
      <c r="FT11" s="235">
        <v>0.01</v>
      </c>
      <c r="FU11" s="235">
        <v>1.4E-2</v>
      </c>
      <c r="FV11" s="235">
        <v>1.4E-2</v>
      </c>
      <c r="FW11" s="235">
        <v>1.6E-2</v>
      </c>
      <c r="FX11" s="235">
        <v>1.6E-2</v>
      </c>
      <c r="FY11" s="1025">
        <v>1.4500000000000001E-2</v>
      </c>
      <c r="FZ11" s="1025">
        <v>2.9000000000000001E-2</v>
      </c>
      <c r="GA11" s="1025">
        <v>2.9000000000000001E-2</v>
      </c>
      <c r="GB11" s="1025">
        <v>2.9000000000000001E-2</v>
      </c>
      <c r="GC11" s="1025">
        <v>2.9000000000000001E-2</v>
      </c>
      <c r="GD11" s="1025">
        <v>2.9000000000000001E-2</v>
      </c>
      <c r="GE11" s="1025">
        <v>2.9000000000000001E-2</v>
      </c>
      <c r="GF11" s="1025">
        <v>2.9000000000000001E-2</v>
      </c>
      <c r="GG11" s="1025">
        <v>2.8500000000000001E-2</v>
      </c>
      <c r="GH11" s="1025">
        <v>2.8500000000000001E-2</v>
      </c>
      <c r="GI11" s="1025">
        <v>2.8500000000000001E-2</v>
      </c>
      <c r="GJ11" s="1025">
        <v>2.8500000000000001E-2</v>
      </c>
      <c r="GK11" s="1025">
        <v>2.8500000000000001E-2</v>
      </c>
      <c r="GL11" s="1025">
        <v>2.8500000000000001E-2</v>
      </c>
      <c r="GM11" s="1025">
        <v>2.8500000000000001E-2</v>
      </c>
      <c r="GN11" s="1025">
        <v>2.8500000000000001E-2</v>
      </c>
      <c r="GO11" s="1025">
        <v>2.8000000000000001E-2</v>
      </c>
      <c r="GP11" s="1025">
        <v>2.7E-2</v>
      </c>
      <c r="GQ11" s="1025">
        <v>2.5999999999999999E-2</v>
      </c>
      <c r="GR11" s="1025">
        <v>2.3E-2</v>
      </c>
      <c r="GS11" s="1025">
        <v>2.3E-2</v>
      </c>
      <c r="GT11" s="1025">
        <v>2.1000000000000001E-2</v>
      </c>
      <c r="GU11" s="1025">
        <v>2.1000000000000001E-2</v>
      </c>
      <c r="GV11" s="1025">
        <v>1.9E-2</v>
      </c>
      <c r="GW11" s="1025">
        <v>1.7999999999999999E-2</v>
      </c>
      <c r="GX11" s="1025">
        <v>1.7500000000000002E-2</v>
      </c>
      <c r="GY11" s="1025">
        <v>1.6500000000000001E-2</v>
      </c>
      <c r="GZ11" s="1025">
        <v>1.6500000000000001E-2</v>
      </c>
      <c r="HA11" s="1025">
        <v>1.6500000000000001E-2</v>
      </c>
      <c r="HB11" s="1025">
        <v>2.9000000000000001E-2</v>
      </c>
      <c r="HC11" s="1025">
        <v>2.9000000000000001E-2</v>
      </c>
      <c r="HD11" s="1025">
        <v>2.9000000000000001E-2</v>
      </c>
      <c r="HE11" s="1025">
        <v>2.9000000000000001E-2</v>
      </c>
      <c r="HF11" s="941">
        <f>C11-D11</f>
        <v>0</v>
      </c>
    </row>
    <row r="12" spans="1:215">
      <c r="A12" s="1060"/>
      <c r="B12" s="280" t="s">
        <v>767</v>
      </c>
      <c r="C12" s="927"/>
      <c r="D12" s="927"/>
      <c r="E12" s="916"/>
      <c r="F12" s="910"/>
      <c r="G12" s="910"/>
      <c r="H12" s="910"/>
      <c r="I12" s="910"/>
      <c r="J12" s="968"/>
      <c r="K12" s="910"/>
      <c r="L12" s="910"/>
      <c r="M12" s="910"/>
      <c r="N12" s="910"/>
      <c r="O12" s="910"/>
      <c r="P12" s="910"/>
      <c r="Q12" s="910"/>
      <c r="R12" s="910"/>
      <c r="S12" s="910"/>
      <c r="T12" s="910"/>
      <c r="U12" s="910"/>
      <c r="V12" s="910"/>
      <c r="W12" s="910"/>
      <c r="X12" s="910"/>
      <c r="Y12" s="910"/>
      <c r="Z12" s="910"/>
      <c r="AA12" s="910"/>
      <c r="AB12" s="968"/>
      <c r="AC12" s="910"/>
      <c r="AD12" s="968"/>
      <c r="AE12" s="968"/>
      <c r="AF12" s="968"/>
      <c r="AG12" s="979"/>
      <c r="AH12" s="979"/>
      <c r="AI12" s="979"/>
      <c r="AJ12" s="968"/>
      <c r="AK12" s="968"/>
      <c r="AL12" s="910"/>
      <c r="AM12" s="979"/>
      <c r="AN12" s="968"/>
      <c r="AO12" s="968"/>
      <c r="AP12" s="985"/>
      <c r="AQ12" s="1026"/>
      <c r="AR12" s="985"/>
      <c r="AS12" s="985"/>
      <c r="AT12" s="985"/>
      <c r="AU12" s="1025"/>
      <c r="AV12" s="1025"/>
      <c r="AW12" s="1025"/>
      <c r="AX12" s="1025"/>
      <c r="AY12" s="1025"/>
      <c r="AZ12" s="1025"/>
      <c r="BA12" s="1025"/>
      <c r="BB12" s="1025"/>
      <c r="BC12" s="1025"/>
      <c r="BD12" s="1025"/>
      <c r="BE12" s="1025"/>
      <c r="BF12" s="1025"/>
      <c r="BG12" s="1025"/>
      <c r="BH12" s="1025"/>
      <c r="BI12" s="1025"/>
      <c r="BJ12" s="1025"/>
      <c r="BK12" s="1025"/>
      <c r="BL12" s="1038"/>
      <c r="BM12" s="1025"/>
      <c r="BN12" s="1025"/>
      <c r="BO12" s="1025"/>
      <c r="BP12" s="1025"/>
      <c r="BQ12" s="1025"/>
      <c r="BR12" s="1025"/>
      <c r="BS12" s="1025"/>
      <c r="BT12" s="1025"/>
      <c r="BU12" s="1025"/>
      <c r="BV12" s="1025"/>
      <c r="BW12" s="1025"/>
      <c r="BX12" s="1025"/>
      <c r="BY12" s="1025"/>
      <c r="BZ12" s="1025"/>
      <c r="CA12" s="1025"/>
      <c r="CB12" s="1025"/>
      <c r="CC12" s="1025"/>
      <c r="CD12" s="1025"/>
      <c r="CE12" s="1025"/>
      <c r="CF12" s="1025"/>
      <c r="CG12" s="1025"/>
      <c r="CH12" s="1025"/>
      <c r="CI12" s="1025"/>
      <c r="CJ12" s="1025"/>
      <c r="CK12" s="1025"/>
      <c r="CL12" s="1025"/>
      <c r="CM12" s="1025"/>
      <c r="CN12" s="1025"/>
      <c r="CO12" s="1025"/>
      <c r="CP12" s="1025"/>
      <c r="CQ12" s="1025"/>
      <c r="CR12" s="1025"/>
      <c r="CS12" s="1025"/>
      <c r="CT12" s="1025"/>
      <c r="CU12" s="1025"/>
      <c r="CV12" s="1025"/>
      <c r="CW12" s="1025"/>
      <c r="CX12" s="1025"/>
      <c r="CY12" s="1025"/>
      <c r="CZ12" s="1025"/>
      <c r="DA12" s="1025"/>
      <c r="DB12" s="1025"/>
      <c r="DC12" s="1025"/>
      <c r="DD12" s="1025"/>
      <c r="DE12" s="1025"/>
      <c r="DF12" s="1025"/>
      <c r="DG12" s="1025"/>
      <c r="DH12" s="1025"/>
      <c r="DI12" s="1025"/>
      <c r="DJ12" s="1025"/>
      <c r="DK12" s="1025"/>
      <c r="DL12" s="1025"/>
      <c r="DM12" s="1025"/>
      <c r="DN12" s="1025"/>
      <c r="DO12" s="1025"/>
      <c r="DP12" s="1025"/>
      <c r="DQ12" s="1025"/>
      <c r="DR12" s="1025"/>
      <c r="DS12" s="1025"/>
      <c r="DT12" s="1025"/>
      <c r="DU12" s="1025"/>
      <c r="DV12" s="1025"/>
      <c r="DW12" s="1025"/>
      <c r="DX12" s="1025"/>
      <c r="DY12" s="1025"/>
      <c r="DZ12" s="1025"/>
      <c r="EA12" s="1025"/>
      <c r="EB12" s="1025"/>
      <c r="EC12" s="1025"/>
      <c r="ED12" s="1025"/>
      <c r="EE12" s="1025"/>
      <c r="EF12" s="1025"/>
      <c r="EG12" s="1025"/>
      <c r="EH12" s="1025"/>
      <c r="EI12" s="1025"/>
      <c r="EJ12" s="1025"/>
      <c r="EK12" s="1025"/>
      <c r="EL12" s="1025"/>
      <c r="EM12" s="1025"/>
      <c r="EN12" s="1025"/>
      <c r="EO12" s="1025"/>
      <c r="EP12" s="1025"/>
      <c r="EQ12" s="1025"/>
      <c r="ER12" s="1025"/>
      <c r="ES12" s="1025"/>
      <c r="ET12" s="1025"/>
      <c r="EU12" s="1025"/>
      <c r="EV12" s="1025"/>
      <c r="EW12" s="1025"/>
      <c r="EX12" s="1025"/>
      <c r="EY12" s="1025"/>
      <c r="EZ12" s="231" t="s">
        <v>323</v>
      </c>
      <c r="FA12" s="235"/>
      <c r="FB12" s="238"/>
      <c r="FC12" s="231"/>
      <c r="FD12" s="236"/>
      <c r="FE12" s="238"/>
      <c r="FF12" s="237"/>
      <c r="FG12" s="231"/>
      <c r="FH12" s="236"/>
      <c r="FI12" s="236"/>
      <c r="FJ12" s="236"/>
      <c r="FK12" s="236"/>
      <c r="FL12" s="236"/>
      <c r="FM12" s="236"/>
      <c r="FN12" s="235"/>
      <c r="FO12" s="235"/>
      <c r="FP12" s="235"/>
      <c r="FQ12" s="235"/>
      <c r="FR12" s="235"/>
      <c r="FS12" s="235"/>
      <c r="FT12" s="235"/>
      <c r="FU12" s="235"/>
      <c r="FV12" s="235"/>
      <c r="FW12" s="235"/>
      <c r="FX12" s="235"/>
      <c r="FY12" s="1025"/>
      <c r="FZ12" s="1025"/>
      <c r="GA12" s="1025"/>
      <c r="GB12" s="1025"/>
      <c r="GC12" s="1025"/>
      <c r="GD12" s="1025"/>
      <c r="GE12" s="1025"/>
      <c r="GF12" s="1025"/>
      <c r="GG12" s="1025"/>
      <c r="GH12" s="1025"/>
      <c r="GI12" s="1025"/>
      <c r="GJ12" s="1025"/>
      <c r="GK12" s="1025"/>
      <c r="GL12" s="1025"/>
      <c r="GM12" s="1025"/>
      <c r="GN12" s="1025"/>
      <c r="GO12" s="1025"/>
      <c r="GP12" s="1025"/>
      <c r="GQ12" s="1025"/>
      <c r="GR12" s="1025"/>
      <c r="GS12" s="1025"/>
      <c r="GT12" s="1025"/>
      <c r="GU12" s="1025"/>
      <c r="GV12" s="1025"/>
      <c r="GW12" s="1025"/>
      <c r="GX12" s="1025"/>
      <c r="GY12" s="1025"/>
      <c r="GZ12" s="1025"/>
      <c r="HA12" s="1025"/>
      <c r="HB12" s="1025"/>
      <c r="HC12" s="1025"/>
      <c r="HD12" s="1025"/>
      <c r="HE12" s="1025"/>
      <c r="HF12" s="942"/>
    </row>
    <row r="13" spans="1:215">
      <c r="A13" s="1060" t="s">
        <v>601</v>
      </c>
      <c r="B13" s="840" t="s">
        <v>818</v>
      </c>
      <c r="C13" s="915">
        <v>1.0500000000000001E-2</v>
      </c>
      <c r="D13" s="915">
        <v>1.0500000000000001E-2</v>
      </c>
      <c r="E13" s="915">
        <v>1.0500000000000001E-2</v>
      </c>
      <c r="F13" s="909">
        <v>1.2E-2</v>
      </c>
      <c r="G13" s="909">
        <v>1.2E-2</v>
      </c>
      <c r="H13" s="909">
        <v>1.2E-2</v>
      </c>
      <c r="I13" s="909">
        <v>1.2E-2</v>
      </c>
      <c r="J13" s="909">
        <v>1.2E-2</v>
      </c>
      <c r="K13" s="909">
        <v>1.2E-2</v>
      </c>
      <c r="L13" s="909">
        <v>1.2E-2</v>
      </c>
      <c r="M13" s="909">
        <v>1.2E-2</v>
      </c>
      <c r="N13" s="909">
        <v>1.2E-2</v>
      </c>
      <c r="O13" s="967">
        <v>1.2E-2</v>
      </c>
      <c r="P13" s="909">
        <v>1.2999999999999999E-2</v>
      </c>
      <c r="Q13" s="909">
        <v>1.2999999999999999E-2</v>
      </c>
      <c r="R13" s="909">
        <v>1.2999999999999999E-2</v>
      </c>
      <c r="S13" s="909">
        <v>1.2999999999999999E-2</v>
      </c>
      <c r="T13" s="909">
        <v>1.2999999999999999E-2</v>
      </c>
      <c r="U13" s="909">
        <v>1.2999999999999999E-2</v>
      </c>
      <c r="V13" s="967">
        <v>1.2999999999999999E-2</v>
      </c>
      <c r="W13" s="909" t="s">
        <v>599</v>
      </c>
      <c r="X13" s="909">
        <v>1.2E-2</v>
      </c>
      <c r="Y13" s="909">
        <v>1.2E-2</v>
      </c>
      <c r="Z13" s="909">
        <v>1.2E-2</v>
      </c>
      <c r="AA13" s="909">
        <v>1.2E-2</v>
      </c>
      <c r="AB13" s="967">
        <v>1.2E-2</v>
      </c>
      <c r="AC13" s="909">
        <v>1.2500000000000001E-2</v>
      </c>
      <c r="AD13" s="967">
        <v>1.2500000000000001E-2</v>
      </c>
      <c r="AE13" s="967">
        <v>1.4500000000000001E-2</v>
      </c>
      <c r="AF13" s="967">
        <v>1.4999999999999999E-2</v>
      </c>
      <c r="AG13" s="978">
        <v>1.55E-2</v>
      </c>
      <c r="AH13" s="978">
        <v>1.55E-2</v>
      </c>
      <c r="AI13" s="978">
        <v>1.55E-2</v>
      </c>
      <c r="AJ13" s="967">
        <v>1.55E-2</v>
      </c>
      <c r="AK13" s="967">
        <v>1.7000000000000001E-2</v>
      </c>
      <c r="AL13" s="909">
        <v>1.7999999999999999E-2</v>
      </c>
      <c r="AM13" s="978">
        <v>1.7999999999999999E-2</v>
      </c>
      <c r="AN13" s="967">
        <v>1.7999999999999999E-2</v>
      </c>
      <c r="AO13" s="967">
        <v>1.8499999999999999E-2</v>
      </c>
      <c r="AP13" s="984">
        <v>0.02</v>
      </c>
      <c r="AQ13" s="1012">
        <v>2.0500000000000001E-2</v>
      </c>
      <c r="AR13" s="984">
        <v>2.0500000000000001E-2</v>
      </c>
      <c r="AS13" s="984">
        <v>2.1000000000000001E-2</v>
      </c>
      <c r="AT13" s="984">
        <v>2.1999999999999999E-2</v>
      </c>
      <c r="AU13" s="1025">
        <v>2.2499999999999999E-2</v>
      </c>
      <c r="AV13" s="1025">
        <v>2.35E-2</v>
      </c>
      <c r="AW13" s="1025">
        <v>2.35E-2</v>
      </c>
      <c r="AX13" s="1025">
        <v>2.4E-2</v>
      </c>
      <c r="AY13" s="1025">
        <v>2.4E-2</v>
      </c>
      <c r="AZ13" s="1025">
        <v>2.4E-2</v>
      </c>
      <c r="BA13" s="1025">
        <v>2.4E-2</v>
      </c>
      <c r="BB13" s="1025">
        <v>2.4E-2</v>
      </c>
      <c r="BC13" s="1025">
        <v>2.4E-2</v>
      </c>
      <c r="BD13" s="1025">
        <v>2.5000000000000001E-2</v>
      </c>
      <c r="BE13" s="1025">
        <v>2.5999999999999999E-2</v>
      </c>
      <c r="BF13" s="1025">
        <v>2.5999999999999999E-2</v>
      </c>
      <c r="BG13" s="1025">
        <v>2.5999999999999999E-2</v>
      </c>
      <c r="BH13" s="1025">
        <v>2.5999999999999999E-2</v>
      </c>
      <c r="BI13" s="1025">
        <v>2.5999999999999999E-2</v>
      </c>
      <c r="BJ13" s="1025">
        <v>2.5999999999999999E-2</v>
      </c>
      <c r="BK13" s="1025">
        <v>2.5999999999999999E-2</v>
      </c>
      <c r="BL13" s="1038" t="s">
        <v>366</v>
      </c>
      <c r="BM13" s="1025">
        <v>2.7E-2</v>
      </c>
      <c r="BN13" s="1025">
        <v>2.7E-2</v>
      </c>
      <c r="BO13" s="1025">
        <v>2.7E-2</v>
      </c>
      <c r="BP13" s="1025">
        <v>2.7E-2</v>
      </c>
      <c r="BQ13" s="1025">
        <v>2.7E-2</v>
      </c>
      <c r="BR13" s="1025">
        <v>2.7E-2</v>
      </c>
      <c r="BS13" s="1025">
        <v>2.7E-2</v>
      </c>
      <c r="BT13" s="1025">
        <v>2.7E-2</v>
      </c>
      <c r="BU13" s="1025">
        <v>2.7E-2</v>
      </c>
      <c r="BV13" s="1025">
        <v>2.7E-2</v>
      </c>
      <c r="BW13" s="1025">
        <v>2.7E-2</v>
      </c>
      <c r="BX13" s="1025">
        <v>2.7E-2</v>
      </c>
      <c r="BY13" s="1025">
        <v>2.7E-2</v>
      </c>
      <c r="BZ13" s="1025">
        <v>2.7E-2</v>
      </c>
      <c r="CA13" s="1025">
        <v>2.7E-2</v>
      </c>
      <c r="CB13" s="1025">
        <v>2.8500000000000001E-2</v>
      </c>
      <c r="CC13" s="1025">
        <v>2.9499999999999998E-2</v>
      </c>
      <c r="CD13" s="1025">
        <v>2.9499999999999998E-2</v>
      </c>
      <c r="CE13" s="1025">
        <v>2.9499999999999998E-2</v>
      </c>
      <c r="CF13" s="1025">
        <v>2.9499999999999998E-2</v>
      </c>
      <c r="CG13" s="1025">
        <v>2.9499999999999998E-2</v>
      </c>
      <c r="CH13" s="1025">
        <v>2.9499999999999998E-2</v>
      </c>
      <c r="CI13" s="1025">
        <v>2.9499999999999998E-2</v>
      </c>
      <c r="CJ13" s="1025">
        <v>2.9499999999999998E-2</v>
      </c>
      <c r="CK13" s="1025">
        <v>0.03</v>
      </c>
      <c r="CL13" s="1025">
        <v>0.03</v>
      </c>
      <c r="CM13" s="1025">
        <v>0.03</v>
      </c>
      <c r="CN13" s="1025">
        <v>0.03</v>
      </c>
      <c r="CO13" s="1025">
        <v>0.03</v>
      </c>
      <c r="CP13" s="1025">
        <v>0.03</v>
      </c>
      <c r="CQ13" s="1025">
        <v>0.03</v>
      </c>
      <c r="CR13" s="1025">
        <v>0.03</v>
      </c>
      <c r="CS13" s="1025">
        <v>0.03</v>
      </c>
      <c r="CT13" s="1025">
        <v>2.9000000000000001E-2</v>
      </c>
      <c r="CU13" s="1025">
        <v>2.9000000000000001E-2</v>
      </c>
      <c r="CV13" s="1025">
        <v>2.9000000000000001E-2</v>
      </c>
      <c r="CW13" s="1025">
        <v>2.9000000000000001E-2</v>
      </c>
      <c r="CX13" s="1025">
        <v>2.9000000000000001E-2</v>
      </c>
      <c r="CY13" s="1025">
        <v>2.9000000000000001E-2</v>
      </c>
      <c r="CZ13" s="1025">
        <v>2.9000000000000001E-2</v>
      </c>
      <c r="DA13" s="1025">
        <v>2.9000000000000001E-2</v>
      </c>
      <c r="DB13" s="1025">
        <v>2.9000000000000001E-2</v>
      </c>
      <c r="DC13" s="1025">
        <v>2.9000000000000001E-2</v>
      </c>
      <c r="DD13" s="1025">
        <v>2.9000000000000001E-2</v>
      </c>
      <c r="DE13" s="1025">
        <v>2.9000000000000001E-2</v>
      </c>
      <c r="DF13" s="1025">
        <v>2.9000000000000001E-2</v>
      </c>
      <c r="DG13" s="1025">
        <v>2.9000000000000001E-2</v>
      </c>
      <c r="DH13" s="1025">
        <v>2.9000000000000001E-2</v>
      </c>
      <c r="DI13" s="1025">
        <v>2.9000000000000001E-2</v>
      </c>
      <c r="DJ13" s="1025">
        <v>2.9000000000000001E-2</v>
      </c>
      <c r="DK13" s="1025">
        <v>2.9000000000000001E-2</v>
      </c>
      <c r="DL13" s="1025">
        <v>2.9000000000000001E-2</v>
      </c>
      <c r="DM13" s="1025">
        <v>2.9000000000000001E-2</v>
      </c>
      <c r="DN13" s="1025">
        <v>2.9000000000000001E-2</v>
      </c>
      <c r="DO13" s="1025">
        <v>2.9000000000000001E-2</v>
      </c>
      <c r="DP13" s="1025">
        <v>2.9000000000000001E-2</v>
      </c>
      <c r="DQ13" s="1025">
        <v>2.9000000000000001E-2</v>
      </c>
      <c r="DR13" s="1025">
        <v>2.9000000000000001E-2</v>
      </c>
      <c r="DS13" s="1025">
        <v>2.9000000000000001E-2</v>
      </c>
      <c r="DT13" s="1025">
        <v>2.9000000000000001E-2</v>
      </c>
      <c r="DU13" s="1025">
        <v>2.9000000000000001E-2</v>
      </c>
      <c r="DV13" s="1025">
        <v>2.9000000000000001E-2</v>
      </c>
      <c r="DW13" s="1025">
        <v>2.9000000000000001E-2</v>
      </c>
      <c r="DX13" s="1025">
        <v>2.9000000000000001E-2</v>
      </c>
      <c r="DY13" s="1025">
        <v>2.9000000000000001E-2</v>
      </c>
      <c r="DZ13" s="1025">
        <v>0.03</v>
      </c>
      <c r="EA13" s="1025">
        <v>0.03</v>
      </c>
      <c r="EB13" s="1025">
        <v>0.03</v>
      </c>
      <c r="EC13" s="1025">
        <v>0.03</v>
      </c>
      <c r="ED13" s="1025">
        <v>0.03</v>
      </c>
      <c r="EE13" s="1025">
        <v>0.03</v>
      </c>
      <c r="EF13" s="1025">
        <v>0.03</v>
      </c>
      <c r="EG13" s="1025">
        <v>0.03</v>
      </c>
      <c r="EH13" s="1025">
        <v>0.03</v>
      </c>
      <c r="EI13" s="1025">
        <v>0.03</v>
      </c>
      <c r="EJ13" s="1025">
        <v>0.03</v>
      </c>
      <c r="EK13" s="1025">
        <v>0.03</v>
      </c>
      <c r="EL13" s="1025">
        <v>0.03</v>
      </c>
      <c r="EM13" s="1025">
        <v>0.03</v>
      </c>
      <c r="EN13" s="1025">
        <v>0.03</v>
      </c>
      <c r="EO13" s="1025">
        <v>0.03</v>
      </c>
      <c r="EP13" s="1025">
        <v>2.9000000000000001E-2</v>
      </c>
      <c r="EQ13" s="1025">
        <v>2.9000000000000001E-2</v>
      </c>
      <c r="ER13" s="1025">
        <v>2.9000000000000001E-2</v>
      </c>
      <c r="ES13" s="1025">
        <v>2.9000000000000001E-2</v>
      </c>
      <c r="ET13" s="1025">
        <v>2.9000000000000001E-2</v>
      </c>
      <c r="EU13" s="1025">
        <v>2.9000000000000001E-2</v>
      </c>
      <c r="EV13" s="1025">
        <v>2.9000000000000001E-2</v>
      </c>
      <c r="EW13" s="1025">
        <v>2.9000000000000001E-2</v>
      </c>
      <c r="EX13" s="1025">
        <v>2.9000000000000001E-2</v>
      </c>
      <c r="EY13" s="1025">
        <v>2.9000000000000001E-2</v>
      </c>
      <c r="EZ13" s="258" t="s">
        <v>306</v>
      </c>
      <c r="FA13" s="235">
        <v>1.7999999999999999E-2</v>
      </c>
      <c r="FB13" s="238">
        <v>1.7999999999999999E-2</v>
      </c>
      <c r="FC13" s="231" t="s">
        <v>261</v>
      </c>
      <c r="FD13" s="236">
        <v>6.0000000000000001E-3</v>
      </c>
      <c r="FE13" s="238">
        <v>6.0000000000000001E-3</v>
      </c>
      <c r="FF13" s="237" t="s">
        <v>322</v>
      </c>
      <c r="FG13" s="231" t="s">
        <v>321</v>
      </c>
      <c r="FH13" s="236">
        <v>4.4999999999999997E-3</v>
      </c>
      <c r="FI13" s="236">
        <v>4.4999999999999997E-3</v>
      </c>
      <c r="FJ13" s="236">
        <v>6.0000000000000001E-3</v>
      </c>
      <c r="FK13" s="236">
        <v>4.4999999999999997E-3</v>
      </c>
      <c r="FL13" s="236">
        <v>6.0000000000000001E-3</v>
      </c>
      <c r="FM13" s="236">
        <v>6.0000000000000001E-3</v>
      </c>
      <c r="FN13" s="235">
        <v>6.0000000000000001E-3</v>
      </c>
      <c r="FO13" s="235">
        <v>6.0000000000000001E-3</v>
      </c>
      <c r="FP13" s="235">
        <v>8.0000000000000002E-3</v>
      </c>
      <c r="FQ13" s="235">
        <v>0.01</v>
      </c>
      <c r="FR13" s="235">
        <v>0.01</v>
      </c>
      <c r="FS13" s="235">
        <v>0.01</v>
      </c>
      <c r="FT13" s="235">
        <v>0.01</v>
      </c>
      <c r="FU13" s="235">
        <v>1.4E-2</v>
      </c>
      <c r="FV13" s="235">
        <v>1.4E-2</v>
      </c>
      <c r="FW13" s="235">
        <v>1.6E-2</v>
      </c>
      <c r="FX13" s="235">
        <v>1.6E-2</v>
      </c>
      <c r="FY13" s="1025">
        <v>1.4500000000000001E-2</v>
      </c>
      <c r="FZ13" s="1025">
        <v>2.9000000000000001E-2</v>
      </c>
      <c r="GA13" s="1025">
        <v>2.9000000000000001E-2</v>
      </c>
      <c r="GB13" s="1025">
        <v>2.9000000000000001E-2</v>
      </c>
      <c r="GC13" s="1025">
        <v>2.9000000000000001E-2</v>
      </c>
      <c r="GD13" s="1025">
        <v>2.9000000000000001E-2</v>
      </c>
      <c r="GE13" s="1025">
        <v>2.9000000000000001E-2</v>
      </c>
      <c r="GF13" s="1025">
        <v>2.9000000000000001E-2</v>
      </c>
      <c r="GG13" s="1025">
        <v>2.8500000000000001E-2</v>
      </c>
      <c r="GH13" s="1025">
        <v>2.8500000000000001E-2</v>
      </c>
      <c r="GI13" s="1025">
        <v>2.8500000000000001E-2</v>
      </c>
      <c r="GJ13" s="1025">
        <v>2.8500000000000001E-2</v>
      </c>
      <c r="GK13" s="1025">
        <v>2.8500000000000001E-2</v>
      </c>
      <c r="GL13" s="1025">
        <v>2.8500000000000001E-2</v>
      </c>
      <c r="GM13" s="1025">
        <v>2.8500000000000001E-2</v>
      </c>
      <c r="GN13" s="1025">
        <v>2.8500000000000001E-2</v>
      </c>
      <c r="GO13" s="1025">
        <v>2.8000000000000001E-2</v>
      </c>
      <c r="GP13" s="1025">
        <v>2.7E-2</v>
      </c>
      <c r="GQ13" s="1025">
        <v>2.5999999999999999E-2</v>
      </c>
      <c r="GR13" s="1025">
        <v>2.3E-2</v>
      </c>
      <c r="GS13" s="1025">
        <v>2.3E-2</v>
      </c>
      <c r="GT13" s="1025">
        <v>2.1000000000000001E-2</v>
      </c>
      <c r="GU13" s="1025">
        <v>2.1000000000000001E-2</v>
      </c>
      <c r="GV13" s="1025">
        <v>1.9E-2</v>
      </c>
      <c r="GW13" s="1025">
        <v>1.7999999999999999E-2</v>
      </c>
      <c r="GX13" s="1025">
        <v>1.7500000000000002E-2</v>
      </c>
      <c r="GY13" s="1025">
        <v>1.6500000000000001E-2</v>
      </c>
      <c r="GZ13" s="1025">
        <v>1.6500000000000001E-2</v>
      </c>
      <c r="HA13" s="1025">
        <v>1.6500000000000001E-2</v>
      </c>
      <c r="HB13" s="1025">
        <v>2.9000000000000001E-2</v>
      </c>
      <c r="HC13" s="1025">
        <v>2.9000000000000001E-2</v>
      </c>
      <c r="HD13" s="1025">
        <v>2.9000000000000001E-2</v>
      </c>
      <c r="HE13" s="1025">
        <v>2.9000000000000001E-2</v>
      </c>
      <c r="HF13" s="941">
        <f>C13-D13</f>
        <v>0</v>
      </c>
    </row>
    <row r="14" spans="1:215">
      <c r="A14" s="1060"/>
      <c r="B14" s="840" t="s">
        <v>817</v>
      </c>
      <c r="C14" s="916"/>
      <c r="D14" s="916"/>
      <c r="E14" s="916"/>
      <c r="F14" s="910"/>
      <c r="G14" s="910"/>
      <c r="H14" s="910"/>
      <c r="I14" s="910"/>
      <c r="J14" s="910"/>
      <c r="K14" s="910"/>
      <c r="L14" s="910"/>
      <c r="M14" s="910"/>
      <c r="N14" s="910"/>
      <c r="O14" s="968"/>
      <c r="P14" s="910"/>
      <c r="Q14" s="910"/>
      <c r="R14" s="910"/>
      <c r="S14" s="910"/>
      <c r="T14" s="910"/>
      <c r="U14" s="910"/>
      <c r="V14" s="968"/>
      <c r="W14" s="910"/>
      <c r="X14" s="910"/>
      <c r="Y14" s="910"/>
      <c r="Z14" s="910"/>
      <c r="AA14" s="910"/>
      <c r="AB14" s="968"/>
      <c r="AC14" s="910"/>
      <c r="AD14" s="968"/>
      <c r="AE14" s="968"/>
      <c r="AF14" s="968"/>
      <c r="AG14" s="979"/>
      <c r="AH14" s="979"/>
      <c r="AI14" s="979"/>
      <c r="AJ14" s="968"/>
      <c r="AK14" s="968"/>
      <c r="AL14" s="910"/>
      <c r="AM14" s="979"/>
      <c r="AN14" s="968"/>
      <c r="AO14" s="968"/>
      <c r="AP14" s="985"/>
      <c r="AQ14" s="1026"/>
      <c r="AR14" s="985"/>
      <c r="AS14" s="985"/>
      <c r="AT14" s="985"/>
      <c r="AU14" s="1025"/>
      <c r="AV14" s="1025"/>
      <c r="AW14" s="1025"/>
      <c r="AX14" s="1025"/>
      <c r="AY14" s="1025"/>
      <c r="AZ14" s="1025"/>
      <c r="BA14" s="1025"/>
      <c r="BB14" s="1025"/>
      <c r="BC14" s="1025"/>
      <c r="BD14" s="1025"/>
      <c r="BE14" s="1025"/>
      <c r="BF14" s="1025"/>
      <c r="BG14" s="1025"/>
      <c r="BH14" s="1025"/>
      <c r="BI14" s="1025"/>
      <c r="BJ14" s="1025"/>
      <c r="BK14" s="1025"/>
      <c r="BL14" s="1038"/>
      <c r="BM14" s="1025"/>
      <c r="BN14" s="1025"/>
      <c r="BO14" s="1025"/>
      <c r="BP14" s="1025"/>
      <c r="BQ14" s="1025"/>
      <c r="BR14" s="1025"/>
      <c r="BS14" s="1025"/>
      <c r="BT14" s="1025"/>
      <c r="BU14" s="1025"/>
      <c r="BV14" s="1025"/>
      <c r="BW14" s="1025"/>
      <c r="BX14" s="1025"/>
      <c r="BY14" s="1025"/>
      <c r="BZ14" s="1025"/>
      <c r="CA14" s="1025"/>
      <c r="CB14" s="1025"/>
      <c r="CC14" s="1025"/>
      <c r="CD14" s="1025"/>
      <c r="CE14" s="1025"/>
      <c r="CF14" s="1025"/>
      <c r="CG14" s="1025"/>
      <c r="CH14" s="1025"/>
      <c r="CI14" s="1025"/>
      <c r="CJ14" s="1025"/>
      <c r="CK14" s="1025"/>
      <c r="CL14" s="1025"/>
      <c r="CM14" s="1025"/>
      <c r="CN14" s="1025"/>
      <c r="CO14" s="1025"/>
      <c r="CP14" s="1025"/>
      <c r="CQ14" s="1025"/>
      <c r="CR14" s="1025"/>
      <c r="CS14" s="1025"/>
      <c r="CT14" s="1025"/>
      <c r="CU14" s="1025"/>
      <c r="CV14" s="1025"/>
      <c r="CW14" s="1025"/>
      <c r="CX14" s="1025"/>
      <c r="CY14" s="1025"/>
      <c r="CZ14" s="1025"/>
      <c r="DA14" s="1025"/>
      <c r="DB14" s="1025"/>
      <c r="DC14" s="1025"/>
      <c r="DD14" s="1025"/>
      <c r="DE14" s="1025"/>
      <c r="DF14" s="1025"/>
      <c r="DG14" s="1025"/>
      <c r="DH14" s="1025"/>
      <c r="DI14" s="1025"/>
      <c r="DJ14" s="1025"/>
      <c r="DK14" s="1025"/>
      <c r="DL14" s="1025"/>
      <c r="DM14" s="1025"/>
      <c r="DN14" s="1025"/>
      <c r="DO14" s="1025"/>
      <c r="DP14" s="1025"/>
      <c r="DQ14" s="1025"/>
      <c r="DR14" s="1025"/>
      <c r="DS14" s="1025"/>
      <c r="DT14" s="1025"/>
      <c r="DU14" s="1025"/>
      <c r="DV14" s="1025"/>
      <c r="DW14" s="1025"/>
      <c r="DX14" s="1025"/>
      <c r="DY14" s="1025"/>
      <c r="DZ14" s="1025"/>
      <c r="EA14" s="1025"/>
      <c r="EB14" s="1025"/>
      <c r="EC14" s="1025"/>
      <c r="ED14" s="1025"/>
      <c r="EE14" s="1025"/>
      <c r="EF14" s="1025"/>
      <c r="EG14" s="1025"/>
      <c r="EH14" s="1025"/>
      <c r="EI14" s="1025"/>
      <c r="EJ14" s="1025"/>
      <c r="EK14" s="1025"/>
      <c r="EL14" s="1025"/>
      <c r="EM14" s="1025"/>
      <c r="EN14" s="1025"/>
      <c r="EO14" s="1025"/>
      <c r="EP14" s="1025"/>
      <c r="EQ14" s="1025"/>
      <c r="ER14" s="1025"/>
      <c r="ES14" s="1025"/>
      <c r="ET14" s="1025"/>
      <c r="EU14" s="1025"/>
      <c r="EV14" s="1025"/>
      <c r="EW14" s="1025"/>
      <c r="EX14" s="1025"/>
      <c r="EY14" s="1025"/>
      <c r="EZ14" s="231" t="s">
        <v>323</v>
      </c>
      <c r="FA14" s="235"/>
      <c r="FB14" s="238"/>
      <c r="FC14" s="231"/>
      <c r="FD14" s="236"/>
      <c r="FE14" s="238"/>
      <c r="FF14" s="237"/>
      <c r="FG14" s="231"/>
      <c r="FH14" s="236"/>
      <c r="FI14" s="236"/>
      <c r="FJ14" s="236"/>
      <c r="FK14" s="236"/>
      <c r="FL14" s="236"/>
      <c r="FM14" s="236"/>
      <c r="FN14" s="235"/>
      <c r="FO14" s="235"/>
      <c r="FP14" s="235"/>
      <c r="FQ14" s="235"/>
      <c r="FR14" s="235"/>
      <c r="FS14" s="235"/>
      <c r="FT14" s="235"/>
      <c r="FU14" s="235"/>
      <c r="FV14" s="235"/>
      <c r="FW14" s="235"/>
      <c r="FX14" s="235"/>
      <c r="FY14" s="1025"/>
      <c r="FZ14" s="1025"/>
      <c r="GA14" s="1025"/>
      <c r="GB14" s="1025"/>
      <c r="GC14" s="1025"/>
      <c r="GD14" s="1025"/>
      <c r="GE14" s="1025"/>
      <c r="GF14" s="1025"/>
      <c r="GG14" s="1025"/>
      <c r="GH14" s="1025"/>
      <c r="GI14" s="1025"/>
      <c r="GJ14" s="1025"/>
      <c r="GK14" s="1025"/>
      <c r="GL14" s="1025"/>
      <c r="GM14" s="1025"/>
      <c r="GN14" s="1025"/>
      <c r="GO14" s="1025"/>
      <c r="GP14" s="1025"/>
      <c r="GQ14" s="1025"/>
      <c r="GR14" s="1025"/>
      <c r="GS14" s="1025"/>
      <c r="GT14" s="1025"/>
      <c r="GU14" s="1025"/>
      <c r="GV14" s="1025"/>
      <c r="GW14" s="1025"/>
      <c r="GX14" s="1025"/>
      <c r="GY14" s="1025"/>
      <c r="GZ14" s="1025"/>
      <c r="HA14" s="1025"/>
      <c r="HB14" s="1025"/>
      <c r="HC14" s="1025"/>
      <c r="HD14" s="1025"/>
      <c r="HE14" s="1025"/>
      <c r="HF14" s="942"/>
    </row>
    <row r="15" spans="1:215" ht="20.399999999999999">
      <c r="A15" s="964" t="s">
        <v>500</v>
      </c>
      <c r="B15" s="965"/>
      <c r="C15" s="965"/>
      <c r="D15" s="965"/>
      <c r="E15" s="965"/>
      <c r="F15" s="965"/>
      <c r="G15" s="965"/>
      <c r="H15" s="965"/>
      <c r="I15" s="965"/>
      <c r="J15" s="965"/>
      <c r="K15" s="965"/>
      <c r="L15" s="965"/>
      <c r="M15" s="965"/>
      <c r="N15" s="965"/>
      <c r="O15" s="965"/>
      <c r="P15" s="965"/>
      <c r="Q15" s="965"/>
      <c r="R15" s="965"/>
      <c r="S15" s="965"/>
      <c r="T15" s="965"/>
      <c r="U15" s="965"/>
      <c r="V15" s="965"/>
      <c r="W15" s="965"/>
      <c r="X15" s="965"/>
      <c r="Y15" s="965"/>
      <c r="Z15" s="965"/>
      <c r="AA15" s="965"/>
      <c r="AB15" s="965"/>
      <c r="AC15" s="965"/>
      <c r="AD15" s="965"/>
      <c r="AE15" s="965"/>
      <c r="AF15" s="965"/>
      <c r="AG15" s="965"/>
      <c r="AH15" s="965"/>
      <c r="AI15" s="965"/>
      <c r="AJ15" s="965"/>
      <c r="AK15" s="965"/>
      <c r="AL15" s="965"/>
      <c r="AM15" s="965"/>
      <c r="AN15" s="965"/>
      <c r="AO15" s="965"/>
      <c r="AP15" s="965"/>
      <c r="AQ15" s="965"/>
      <c r="AR15" s="965"/>
      <c r="AS15" s="965"/>
      <c r="AT15" s="965"/>
      <c r="AU15" s="965"/>
      <c r="AV15" s="965"/>
      <c r="AW15" s="965"/>
      <c r="AX15" s="965"/>
      <c r="AY15" s="965"/>
      <c r="AZ15" s="965"/>
      <c r="BA15" s="965"/>
      <c r="BB15" s="965"/>
      <c r="BC15" s="965"/>
      <c r="BD15" s="965"/>
      <c r="BE15" s="965"/>
      <c r="BF15" s="965"/>
      <c r="BG15" s="965"/>
      <c r="BH15" s="965"/>
      <c r="BI15" s="965"/>
      <c r="BJ15" s="965"/>
      <c r="BK15" s="965"/>
      <c r="BL15" s="965"/>
      <c r="BM15" s="965"/>
      <c r="BN15" s="965"/>
      <c r="BO15" s="965"/>
      <c r="BP15" s="965"/>
      <c r="BQ15" s="965"/>
      <c r="BR15" s="965"/>
      <c r="BS15" s="965"/>
      <c r="BT15" s="965"/>
      <c r="BU15" s="965"/>
      <c r="BV15" s="965"/>
      <c r="BW15" s="965"/>
      <c r="BX15" s="965"/>
      <c r="BY15" s="965"/>
      <c r="BZ15" s="965"/>
      <c r="CA15" s="965"/>
      <c r="CB15" s="965"/>
      <c r="CC15" s="965"/>
      <c r="CD15" s="965"/>
      <c r="CE15" s="965"/>
      <c r="CF15" s="965"/>
      <c r="CG15" s="965"/>
      <c r="CH15" s="965"/>
      <c r="CI15" s="965"/>
      <c r="CJ15" s="965"/>
      <c r="CK15" s="965"/>
      <c r="CL15" s="965"/>
      <c r="CM15" s="965"/>
      <c r="CN15" s="965"/>
      <c r="CO15" s="965"/>
      <c r="CP15" s="965"/>
      <c r="CQ15" s="965"/>
      <c r="CR15" s="965"/>
      <c r="CS15" s="965"/>
      <c r="CT15" s="965"/>
      <c r="CU15" s="965"/>
      <c r="CV15" s="965"/>
      <c r="CW15" s="965"/>
      <c r="CX15" s="965"/>
      <c r="CY15" s="965"/>
      <c r="CZ15" s="965"/>
      <c r="DA15" s="965"/>
      <c r="DB15" s="965"/>
      <c r="DC15" s="965"/>
      <c r="DD15" s="965"/>
      <c r="DE15" s="965"/>
      <c r="DF15" s="965"/>
      <c r="DG15" s="965"/>
      <c r="DH15" s="965"/>
      <c r="DI15" s="965"/>
      <c r="DJ15" s="965"/>
      <c r="DK15" s="965"/>
      <c r="DL15" s="965"/>
      <c r="DM15" s="965"/>
      <c r="DN15" s="965"/>
      <c r="DO15" s="965"/>
      <c r="DP15" s="965"/>
      <c r="DQ15" s="965"/>
      <c r="DR15" s="965"/>
      <c r="DS15" s="965"/>
      <c r="DT15" s="965"/>
      <c r="DU15" s="965"/>
      <c r="DV15" s="965"/>
      <c r="DW15" s="965"/>
      <c r="DX15" s="965"/>
      <c r="DY15" s="965"/>
      <c r="DZ15" s="965"/>
      <c r="EA15" s="965"/>
      <c r="EB15" s="965"/>
      <c r="EC15" s="965"/>
      <c r="ED15" s="965"/>
      <c r="EE15" s="965"/>
      <c r="EF15" s="965"/>
      <c r="EG15" s="965"/>
      <c r="EH15" s="965"/>
      <c r="EI15" s="965"/>
      <c r="EJ15" s="965"/>
      <c r="EK15" s="965"/>
      <c r="EL15" s="965"/>
      <c r="EM15" s="965"/>
      <c r="EN15" s="965"/>
      <c r="EO15" s="965"/>
      <c r="EP15" s="965"/>
      <c r="EQ15" s="965"/>
      <c r="ER15" s="965"/>
      <c r="ES15" s="965"/>
      <c r="ET15" s="965"/>
      <c r="EU15" s="965"/>
      <c r="EV15" s="965"/>
      <c r="EW15" s="965"/>
      <c r="EX15" s="965"/>
      <c r="EY15" s="965"/>
      <c r="EZ15" s="965"/>
      <c r="FA15" s="965"/>
      <c r="FB15" s="965"/>
      <c r="FC15" s="965"/>
      <c r="FD15" s="965"/>
      <c r="FE15" s="965"/>
      <c r="FF15" s="965"/>
      <c r="FG15" s="965"/>
      <c r="FH15" s="965"/>
      <c r="FI15" s="965"/>
      <c r="FJ15" s="965"/>
      <c r="FK15" s="965"/>
      <c r="FL15" s="965"/>
      <c r="FM15" s="965"/>
      <c r="FN15" s="965"/>
      <c r="FO15" s="965"/>
      <c r="FP15" s="965"/>
      <c r="FQ15" s="965"/>
      <c r="FR15" s="965"/>
      <c r="FS15" s="965"/>
      <c r="FT15" s="965"/>
      <c r="FU15" s="965"/>
      <c r="FV15" s="965"/>
      <c r="FW15" s="965"/>
      <c r="FX15" s="965"/>
      <c r="FY15" s="965"/>
      <c r="FZ15" s="965"/>
      <c r="GA15" s="965"/>
      <c r="GB15" s="965"/>
      <c r="GC15" s="965"/>
      <c r="GD15" s="965"/>
      <c r="GE15" s="965"/>
      <c r="GF15" s="965"/>
      <c r="GG15" s="965"/>
      <c r="GH15" s="965"/>
      <c r="GI15" s="965"/>
      <c r="GJ15" s="965"/>
      <c r="GK15" s="965"/>
      <c r="GL15" s="965"/>
      <c r="GM15" s="965"/>
      <c r="GN15" s="965"/>
      <c r="GO15" s="965"/>
      <c r="GP15" s="965"/>
      <c r="GQ15" s="965"/>
      <c r="GR15" s="965"/>
      <c r="GS15" s="965"/>
      <c r="GT15" s="965"/>
      <c r="GU15" s="965"/>
      <c r="GV15" s="965"/>
      <c r="GW15" s="965"/>
      <c r="GX15" s="965"/>
      <c r="GY15" s="965"/>
      <c r="GZ15" s="965"/>
      <c r="HA15" s="965"/>
      <c r="HB15" s="965"/>
      <c r="HC15" s="965"/>
      <c r="HD15" s="965"/>
      <c r="HE15" s="965"/>
      <c r="HF15" s="966"/>
    </row>
    <row r="16" spans="1:215" ht="15.6">
      <c r="A16" s="690" t="s">
        <v>328</v>
      </c>
      <c r="B16" s="366"/>
      <c r="C16" s="366">
        <f t="shared" ref="C16:D16" si="1">C3</f>
        <v>46099</v>
      </c>
      <c r="D16" s="366">
        <f t="shared" si="1"/>
        <v>46092</v>
      </c>
      <c r="E16" s="366">
        <f t="shared" ref="E16" si="2">E3</f>
        <v>46085</v>
      </c>
      <c r="F16" s="366">
        <f t="shared" ref="F16:P16" si="3">F3</f>
        <v>46078</v>
      </c>
      <c r="G16" s="366">
        <f t="shared" ref="G16" si="4">G3</f>
        <v>46071</v>
      </c>
      <c r="H16" s="366">
        <f t="shared" ref="H16" si="5">H3</f>
        <v>46064</v>
      </c>
      <c r="I16" s="366">
        <f>I3</f>
        <v>46057</v>
      </c>
      <c r="J16" s="366">
        <f t="shared" si="3"/>
        <v>46050</v>
      </c>
      <c r="K16" s="366">
        <f t="shared" si="3"/>
        <v>46043</v>
      </c>
      <c r="L16" s="366">
        <f t="shared" si="3"/>
        <v>46036</v>
      </c>
      <c r="M16" s="366">
        <f t="shared" si="3"/>
        <v>46029</v>
      </c>
      <c r="N16" s="366">
        <f t="shared" si="3"/>
        <v>46022</v>
      </c>
      <c r="O16" s="366">
        <f t="shared" si="3"/>
        <v>46015</v>
      </c>
      <c r="P16" s="366">
        <f t="shared" si="3"/>
        <v>46008</v>
      </c>
      <c r="Q16" s="366">
        <f t="shared" ref="Q16:V16" si="6">Q3</f>
        <v>46001</v>
      </c>
      <c r="R16" s="366">
        <f t="shared" si="6"/>
        <v>45994</v>
      </c>
      <c r="S16" s="366">
        <f t="shared" si="6"/>
        <v>46092</v>
      </c>
      <c r="T16" s="344">
        <f t="shared" si="6"/>
        <v>45980</v>
      </c>
      <c r="U16" s="344">
        <f t="shared" si="6"/>
        <v>45973</v>
      </c>
      <c r="V16" s="344">
        <f t="shared" si="6"/>
        <v>45966</v>
      </c>
      <c r="W16" s="247">
        <f t="shared" ref="W16:AF16" si="7">W3</f>
        <v>45959</v>
      </c>
      <c r="X16" s="247">
        <f>X3</f>
        <v>45952</v>
      </c>
      <c r="Y16" s="247">
        <f>Y3</f>
        <v>45945</v>
      </c>
      <c r="Z16" s="247">
        <f>Z3</f>
        <v>45938</v>
      </c>
      <c r="AA16" s="247">
        <f>AA3</f>
        <v>45931</v>
      </c>
      <c r="AB16" s="247">
        <f t="shared" si="7"/>
        <v>45924</v>
      </c>
      <c r="AC16" s="247">
        <f t="shared" si="7"/>
        <v>45917</v>
      </c>
      <c r="AD16" s="247">
        <f t="shared" si="7"/>
        <v>45910</v>
      </c>
      <c r="AE16" s="247">
        <f t="shared" si="7"/>
        <v>46092</v>
      </c>
      <c r="AF16" s="252">
        <f t="shared" si="7"/>
        <v>45896</v>
      </c>
      <c r="AG16" s="252">
        <v>45889</v>
      </c>
      <c r="AH16" s="252">
        <v>45882</v>
      </c>
      <c r="AI16" s="252">
        <v>45875</v>
      </c>
      <c r="AJ16" s="247">
        <v>45868</v>
      </c>
      <c r="AK16" s="252">
        <v>45861</v>
      </c>
      <c r="AL16" s="247">
        <v>45854</v>
      </c>
      <c r="AM16" s="252">
        <v>45847</v>
      </c>
      <c r="AN16" s="252">
        <v>45840</v>
      </c>
      <c r="AO16" s="252">
        <f>AO3</f>
        <v>45833</v>
      </c>
      <c r="AP16" s="247">
        <v>45826</v>
      </c>
      <c r="AQ16" s="247">
        <f t="shared" ref="AQ16:BV16" si="8">AQ3</f>
        <v>45819</v>
      </c>
      <c r="AR16" s="247">
        <f t="shared" si="8"/>
        <v>45812</v>
      </c>
      <c r="AS16" s="247">
        <f t="shared" si="8"/>
        <v>45805</v>
      </c>
      <c r="AT16" s="247">
        <f t="shared" si="8"/>
        <v>45798</v>
      </c>
      <c r="AU16" s="247">
        <f t="shared" si="8"/>
        <v>45792</v>
      </c>
      <c r="AV16" s="247">
        <f t="shared" si="8"/>
        <v>45785</v>
      </c>
      <c r="AW16" s="247">
        <f t="shared" si="8"/>
        <v>45777</v>
      </c>
      <c r="AX16" s="247">
        <f t="shared" si="8"/>
        <v>45771</v>
      </c>
      <c r="AY16" s="247">
        <f t="shared" si="8"/>
        <v>45763</v>
      </c>
      <c r="AZ16" s="247">
        <f t="shared" si="8"/>
        <v>45757</v>
      </c>
      <c r="BA16" s="247">
        <f t="shared" si="8"/>
        <v>45750</v>
      </c>
      <c r="BB16" s="247">
        <f t="shared" si="8"/>
        <v>45742</v>
      </c>
      <c r="BC16" s="247" t="e">
        <f t="shared" si="8"/>
        <v>#REF!</v>
      </c>
      <c r="BD16" s="247">
        <f t="shared" si="8"/>
        <v>45729</v>
      </c>
      <c r="BE16" s="247">
        <f t="shared" si="8"/>
        <v>45722</v>
      </c>
      <c r="BF16" s="247">
        <f t="shared" si="8"/>
        <v>45715</v>
      </c>
      <c r="BG16" s="247">
        <f t="shared" si="8"/>
        <v>45708</v>
      </c>
      <c r="BH16" s="247">
        <f t="shared" si="8"/>
        <v>45701</v>
      </c>
      <c r="BI16" s="247">
        <f t="shared" si="8"/>
        <v>45694</v>
      </c>
      <c r="BJ16" s="247">
        <f t="shared" si="8"/>
        <v>45688</v>
      </c>
      <c r="BK16" s="247">
        <f t="shared" si="8"/>
        <v>45315</v>
      </c>
      <c r="BL16" s="247">
        <f t="shared" si="8"/>
        <v>45673</v>
      </c>
      <c r="BM16" s="247">
        <f t="shared" si="8"/>
        <v>45666</v>
      </c>
      <c r="BN16" s="247">
        <f t="shared" si="8"/>
        <v>45659</v>
      </c>
      <c r="BO16" s="247">
        <f t="shared" si="8"/>
        <v>45652</v>
      </c>
      <c r="BP16" s="247">
        <f t="shared" si="8"/>
        <v>45645</v>
      </c>
      <c r="BQ16" s="247">
        <f t="shared" si="8"/>
        <v>45638</v>
      </c>
      <c r="BR16" s="247">
        <f t="shared" si="8"/>
        <v>45631</v>
      </c>
      <c r="BS16" s="247">
        <f t="shared" si="8"/>
        <v>45625</v>
      </c>
      <c r="BT16" s="247">
        <f t="shared" si="8"/>
        <v>45617</v>
      </c>
      <c r="BU16" s="247">
        <f t="shared" si="8"/>
        <v>45610</v>
      </c>
      <c r="BV16" s="247">
        <f t="shared" si="8"/>
        <v>45603</v>
      </c>
      <c r="BW16" s="247">
        <f t="shared" ref="BW16:DB16" si="9">BW3</f>
        <v>45595</v>
      </c>
      <c r="BX16" s="247">
        <f t="shared" si="9"/>
        <v>45591</v>
      </c>
      <c r="BY16" s="247">
        <f t="shared" si="9"/>
        <v>45582</v>
      </c>
      <c r="BZ16" s="247">
        <f t="shared" si="9"/>
        <v>45575</v>
      </c>
      <c r="CA16" s="247">
        <f t="shared" si="9"/>
        <v>45568</v>
      </c>
      <c r="CB16" s="247">
        <f t="shared" si="9"/>
        <v>45561</v>
      </c>
      <c r="CC16" s="247">
        <f t="shared" si="9"/>
        <v>45554</v>
      </c>
      <c r="CD16" s="247">
        <f t="shared" si="9"/>
        <v>45547</v>
      </c>
      <c r="CE16" s="247">
        <f t="shared" si="9"/>
        <v>45540</v>
      </c>
      <c r="CF16" s="247">
        <f t="shared" si="9"/>
        <v>45533</v>
      </c>
      <c r="CG16" s="247">
        <f t="shared" si="9"/>
        <v>45526</v>
      </c>
      <c r="CH16" s="247">
        <f t="shared" si="9"/>
        <v>45519</v>
      </c>
      <c r="CI16" s="247">
        <f t="shared" si="9"/>
        <v>45511</v>
      </c>
      <c r="CJ16" s="247">
        <f t="shared" si="9"/>
        <v>45505</v>
      </c>
      <c r="CK16" s="247">
        <f t="shared" si="9"/>
        <v>45498</v>
      </c>
      <c r="CL16" s="247">
        <f t="shared" si="9"/>
        <v>45492</v>
      </c>
      <c r="CM16" s="247" t="str">
        <f t="shared" si="9"/>
        <v>11/7/224</v>
      </c>
      <c r="CN16" s="247">
        <f t="shared" si="9"/>
        <v>45477</v>
      </c>
      <c r="CO16" s="247">
        <f t="shared" si="9"/>
        <v>45464</v>
      </c>
      <c r="CP16" s="247">
        <f t="shared" si="9"/>
        <v>45456</v>
      </c>
      <c r="CQ16" s="247">
        <f t="shared" si="9"/>
        <v>45449</v>
      </c>
      <c r="CR16" s="247">
        <f t="shared" si="9"/>
        <v>45442</v>
      </c>
      <c r="CS16" s="247">
        <f t="shared" si="9"/>
        <v>45435</v>
      </c>
      <c r="CT16" s="247">
        <f t="shared" si="9"/>
        <v>45428</v>
      </c>
      <c r="CU16" s="247">
        <f t="shared" si="9"/>
        <v>45421</v>
      </c>
      <c r="CV16" s="247">
        <f t="shared" si="9"/>
        <v>45414</v>
      </c>
      <c r="CW16" s="247">
        <f t="shared" si="9"/>
        <v>45407</v>
      </c>
      <c r="CX16" s="247">
        <f t="shared" si="9"/>
        <v>45400</v>
      </c>
      <c r="CY16" s="247">
        <f t="shared" si="9"/>
        <v>45393</v>
      </c>
      <c r="CZ16" s="247">
        <f t="shared" si="9"/>
        <v>45386</v>
      </c>
      <c r="DA16" s="247">
        <f t="shared" si="9"/>
        <v>45378</v>
      </c>
      <c r="DB16" s="247">
        <f t="shared" si="9"/>
        <v>45372</v>
      </c>
      <c r="DC16" s="247">
        <f t="shared" ref="DC16:EH16" si="10">DC3</f>
        <v>45365</v>
      </c>
      <c r="DD16" s="247">
        <f t="shared" si="10"/>
        <v>45358</v>
      </c>
      <c r="DE16" s="247">
        <f t="shared" si="10"/>
        <v>45351</v>
      </c>
      <c r="DF16" s="247">
        <f t="shared" si="10"/>
        <v>45343</v>
      </c>
      <c r="DG16" s="247">
        <f t="shared" si="10"/>
        <v>45336</v>
      </c>
      <c r="DH16" s="247">
        <f t="shared" si="10"/>
        <v>45329</v>
      </c>
      <c r="DI16" s="247">
        <f t="shared" si="10"/>
        <v>45323</v>
      </c>
      <c r="DJ16" s="247">
        <f t="shared" si="10"/>
        <v>45316</v>
      </c>
      <c r="DK16" s="247">
        <f t="shared" si="10"/>
        <v>45309</v>
      </c>
      <c r="DL16" s="247">
        <f t="shared" si="10"/>
        <v>45302</v>
      </c>
      <c r="DM16" s="247">
        <f t="shared" si="10"/>
        <v>45295</v>
      </c>
      <c r="DN16" s="247">
        <f t="shared" si="10"/>
        <v>45288</v>
      </c>
      <c r="DO16" s="247">
        <f t="shared" si="10"/>
        <v>45281</v>
      </c>
      <c r="DP16" s="247" t="str">
        <f t="shared" si="10"/>
        <v>14/21/2023</v>
      </c>
      <c r="DQ16" s="247">
        <f t="shared" si="10"/>
        <v>45267</v>
      </c>
      <c r="DR16" s="247">
        <f t="shared" si="10"/>
        <v>45260</v>
      </c>
      <c r="DS16" s="247">
        <f t="shared" si="10"/>
        <v>45253</v>
      </c>
      <c r="DT16" s="247">
        <f t="shared" si="10"/>
        <v>45246</v>
      </c>
      <c r="DU16" s="247">
        <f t="shared" si="10"/>
        <v>45239</v>
      </c>
      <c r="DV16" s="247">
        <f t="shared" si="10"/>
        <v>45232</v>
      </c>
      <c r="DW16" s="247">
        <f t="shared" si="10"/>
        <v>45225</v>
      </c>
      <c r="DX16" s="247">
        <f t="shared" si="10"/>
        <v>45218</v>
      </c>
      <c r="DY16" s="247">
        <f t="shared" si="10"/>
        <v>45211</v>
      </c>
      <c r="DZ16" s="247">
        <f t="shared" si="10"/>
        <v>45204</v>
      </c>
      <c r="EA16" s="247">
        <f t="shared" si="10"/>
        <v>45197</v>
      </c>
      <c r="EB16" s="247">
        <f t="shared" si="10"/>
        <v>45190</v>
      </c>
      <c r="EC16" s="247">
        <f t="shared" si="10"/>
        <v>45183</v>
      </c>
      <c r="ED16" s="247">
        <f t="shared" si="10"/>
        <v>45176</v>
      </c>
      <c r="EE16" s="247">
        <f t="shared" si="10"/>
        <v>45168</v>
      </c>
      <c r="EF16" s="247">
        <f t="shared" si="10"/>
        <v>45162</v>
      </c>
      <c r="EG16" s="247">
        <f t="shared" si="10"/>
        <v>45155</v>
      </c>
      <c r="EH16" s="247">
        <f t="shared" si="10"/>
        <v>45148</v>
      </c>
      <c r="EI16" s="247">
        <v>45141</v>
      </c>
      <c r="EJ16" s="247">
        <v>45134</v>
      </c>
      <c r="EK16" s="247">
        <v>45127</v>
      </c>
      <c r="EL16" s="247">
        <v>45120</v>
      </c>
      <c r="EM16" s="247">
        <v>45113</v>
      </c>
      <c r="EN16" s="247">
        <v>45105</v>
      </c>
      <c r="EO16" s="247">
        <v>45099</v>
      </c>
      <c r="EP16" s="247">
        <v>45092</v>
      </c>
      <c r="EQ16" s="247">
        <v>45085</v>
      </c>
      <c r="ER16" s="247">
        <v>45076</v>
      </c>
      <c r="ES16" s="247">
        <v>45070</v>
      </c>
      <c r="ET16" s="247">
        <v>45063</v>
      </c>
      <c r="EU16" s="247">
        <v>45056</v>
      </c>
      <c r="EV16" s="247">
        <v>45049</v>
      </c>
      <c r="EW16" s="247">
        <v>45042</v>
      </c>
      <c r="EX16" s="247">
        <v>45035</v>
      </c>
      <c r="EY16" s="247">
        <v>45028</v>
      </c>
      <c r="EZ16" s="249"/>
      <c r="FA16" s="247">
        <v>44803</v>
      </c>
      <c r="FB16" s="251"/>
      <c r="FC16" s="244"/>
      <c r="FD16" s="248">
        <v>44706</v>
      </c>
      <c r="FE16" s="251"/>
      <c r="FF16" s="250"/>
      <c r="FG16" s="244"/>
      <c r="FH16" s="243" t="s">
        <v>118</v>
      </c>
      <c r="FI16" s="249">
        <v>44685</v>
      </c>
      <c r="FJ16" s="248">
        <v>44699</v>
      </c>
      <c r="FK16" s="248">
        <v>44690</v>
      </c>
      <c r="FL16" s="248">
        <v>44713</v>
      </c>
      <c r="FM16" s="248">
        <v>44720</v>
      </c>
      <c r="FN16" s="247">
        <v>44727</v>
      </c>
      <c r="FO16" s="247">
        <v>44733</v>
      </c>
      <c r="FP16" s="247">
        <v>44741</v>
      </c>
      <c r="FQ16" s="247">
        <v>44755</v>
      </c>
      <c r="FR16" s="247">
        <v>44748</v>
      </c>
      <c r="FS16" s="247">
        <v>44769</v>
      </c>
      <c r="FT16" s="247">
        <v>44762</v>
      </c>
      <c r="FU16" s="247">
        <v>44783</v>
      </c>
      <c r="FV16" s="247">
        <v>44776</v>
      </c>
      <c r="FW16" s="247">
        <v>44797</v>
      </c>
      <c r="FX16" s="247">
        <v>44790</v>
      </c>
      <c r="FY16" s="247">
        <v>44805</v>
      </c>
      <c r="FZ16" s="247">
        <v>45000</v>
      </c>
      <c r="GA16" s="247">
        <v>44993</v>
      </c>
      <c r="GB16" s="247">
        <v>44986</v>
      </c>
      <c r="GC16" s="247">
        <v>44979</v>
      </c>
      <c r="GD16" s="247">
        <v>44972</v>
      </c>
      <c r="GE16" s="247">
        <v>44965</v>
      </c>
      <c r="GF16" s="247">
        <v>44958</v>
      </c>
      <c r="GG16" s="247">
        <v>44951</v>
      </c>
      <c r="GH16" s="247">
        <v>44944</v>
      </c>
      <c r="GI16" s="247">
        <v>44937</v>
      </c>
      <c r="GJ16" s="247">
        <v>44930</v>
      </c>
      <c r="GK16" s="247">
        <v>44923</v>
      </c>
      <c r="GL16" s="247">
        <v>44916</v>
      </c>
      <c r="GM16" s="247">
        <v>44910</v>
      </c>
      <c r="GN16" s="247">
        <v>44902</v>
      </c>
      <c r="GO16" s="247">
        <v>44896</v>
      </c>
      <c r="GP16" s="247">
        <v>44888</v>
      </c>
      <c r="GQ16" s="247">
        <v>44881</v>
      </c>
      <c r="GR16" s="247">
        <v>44874</v>
      </c>
      <c r="GS16" s="247">
        <v>44868</v>
      </c>
      <c r="GT16" s="247">
        <v>44860</v>
      </c>
      <c r="GU16" s="247">
        <v>44853</v>
      </c>
      <c r="GV16" s="247">
        <v>44846</v>
      </c>
      <c r="GW16" s="247">
        <v>44839</v>
      </c>
      <c r="GX16" s="247">
        <v>44831</v>
      </c>
      <c r="GY16" s="247">
        <v>44825</v>
      </c>
      <c r="GZ16" s="247">
        <v>44818</v>
      </c>
      <c r="HA16" s="247">
        <v>44811</v>
      </c>
      <c r="HB16" s="247">
        <v>45002</v>
      </c>
      <c r="HC16" s="247">
        <v>45020</v>
      </c>
      <c r="HD16" s="247">
        <v>45014</v>
      </c>
      <c r="HE16" s="247">
        <v>45008</v>
      </c>
      <c r="HF16" s="244"/>
    </row>
    <row r="17" spans="1:217" ht="15.6">
      <c r="A17" s="690"/>
      <c r="B17" s="650" t="s">
        <v>327</v>
      </c>
      <c r="C17" s="246" t="s">
        <v>325</v>
      </c>
      <c r="D17" s="246" t="s">
        <v>325</v>
      </c>
      <c r="E17" s="246" t="s">
        <v>325</v>
      </c>
      <c r="F17" s="246" t="s">
        <v>325</v>
      </c>
      <c r="G17" s="246" t="s">
        <v>325</v>
      </c>
      <c r="H17" s="246" t="s">
        <v>325</v>
      </c>
      <c r="I17" s="246" t="s">
        <v>325</v>
      </c>
      <c r="J17" s="246" t="s">
        <v>325</v>
      </c>
      <c r="K17" s="246" t="s">
        <v>325</v>
      </c>
      <c r="L17" s="246" t="s">
        <v>325</v>
      </c>
      <c r="M17" s="246" t="s">
        <v>325</v>
      </c>
      <c r="N17" s="246" t="s">
        <v>325</v>
      </c>
      <c r="O17" s="246" t="s">
        <v>325</v>
      </c>
      <c r="P17" s="246" t="s">
        <v>325</v>
      </c>
      <c r="Q17" s="246" t="s">
        <v>325</v>
      </c>
      <c r="R17" s="246" t="s">
        <v>325</v>
      </c>
      <c r="S17" s="246" t="s">
        <v>325</v>
      </c>
      <c r="T17" s="246" t="s">
        <v>325</v>
      </c>
      <c r="U17" s="246" t="s">
        <v>325</v>
      </c>
      <c r="V17" s="246" t="s">
        <v>325</v>
      </c>
      <c r="W17" s="246" t="s">
        <v>325</v>
      </c>
      <c r="X17" s="246" t="s">
        <v>325</v>
      </c>
      <c r="Y17" s="246" t="s">
        <v>325</v>
      </c>
      <c r="Z17" s="246" t="s">
        <v>325</v>
      </c>
      <c r="AA17" s="246" t="s">
        <v>325</v>
      </c>
      <c r="AB17" s="246" t="s">
        <v>325</v>
      </c>
      <c r="AC17" s="246" t="s">
        <v>325</v>
      </c>
      <c r="AD17" s="246" t="s">
        <v>325</v>
      </c>
      <c r="AE17" s="246" t="s">
        <v>325</v>
      </c>
      <c r="AF17" s="245" t="s">
        <v>325</v>
      </c>
      <c r="AG17" s="245" t="s">
        <v>325</v>
      </c>
      <c r="AH17" s="245" t="s">
        <v>325</v>
      </c>
      <c r="AI17" s="245" t="s">
        <v>325</v>
      </c>
      <c r="AJ17" s="246" t="s">
        <v>325</v>
      </c>
      <c r="AK17" s="245" t="s">
        <v>325</v>
      </c>
      <c r="AL17" s="246" t="s">
        <v>325</v>
      </c>
      <c r="AM17" s="245" t="s">
        <v>325</v>
      </c>
      <c r="AN17" s="245" t="s">
        <v>325</v>
      </c>
      <c r="AO17" s="245" t="s">
        <v>325</v>
      </c>
      <c r="AP17" s="242" t="s">
        <v>325</v>
      </c>
      <c r="AQ17" s="242" t="s">
        <v>325</v>
      </c>
      <c r="AR17" s="242" t="s">
        <v>325</v>
      </c>
      <c r="AS17" s="242" t="s">
        <v>325</v>
      </c>
      <c r="AT17" s="242" t="s">
        <v>325</v>
      </c>
      <c r="AU17" s="242" t="s">
        <v>325</v>
      </c>
      <c r="AV17" s="242" t="s">
        <v>325</v>
      </c>
      <c r="AW17" s="242" t="s">
        <v>325</v>
      </c>
      <c r="AX17" s="242" t="s">
        <v>325</v>
      </c>
      <c r="AY17" s="242" t="s">
        <v>325</v>
      </c>
      <c r="AZ17" s="242" t="s">
        <v>325</v>
      </c>
      <c r="BA17" s="242" t="s">
        <v>325</v>
      </c>
      <c r="BB17" s="242" t="s">
        <v>325</v>
      </c>
      <c r="BC17" s="242" t="s">
        <v>325</v>
      </c>
      <c r="BD17" s="242" t="s">
        <v>325</v>
      </c>
      <c r="BE17" s="242" t="s">
        <v>325</v>
      </c>
      <c r="BF17" s="242" t="s">
        <v>325</v>
      </c>
      <c r="BG17" s="242" t="s">
        <v>325</v>
      </c>
      <c r="BH17" s="242" t="s">
        <v>325</v>
      </c>
      <c r="BI17" s="242" t="s">
        <v>325</v>
      </c>
      <c r="BJ17" s="242" t="s">
        <v>325</v>
      </c>
      <c r="BK17" s="242" t="s">
        <v>325</v>
      </c>
      <c r="BL17" s="242" t="s">
        <v>325</v>
      </c>
      <c r="BM17" s="242" t="s">
        <v>325</v>
      </c>
      <c r="BN17" s="242" t="s">
        <v>325</v>
      </c>
      <c r="BO17" s="242" t="s">
        <v>325</v>
      </c>
      <c r="BP17" s="242" t="s">
        <v>325</v>
      </c>
      <c r="BQ17" s="242" t="s">
        <v>325</v>
      </c>
      <c r="BR17" s="242" t="s">
        <v>325</v>
      </c>
      <c r="BS17" s="242" t="s">
        <v>325</v>
      </c>
      <c r="BT17" s="242" t="s">
        <v>325</v>
      </c>
      <c r="BU17" s="242" t="s">
        <v>325</v>
      </c>
      <c r="BV17" s="242" t="s">
        <v>325</v>
      </c>
      <c r="BW17" s="242" t="s">
        <v>325</v>
      </c>
      <c r="BX17" s="242" t="s">
        <v>325</v>
      </c>
      <c r="BY17" s="242" t="s">
        <v>325</v>
      </c>
      <c r="BZ17" s="242" t="s">
        <v>325</v>
      </c>
      <c r="CA17" s="242" t="s">
        <v>325</v>
      </c>
      <c r="CB17" s="242" t="s">
        <v>325</v>
      </c>
      <c r="CC17" s="242" t="s">
        <v>325</v>
      </c>
      <c r="CD17" s="242" t="s">
        <v>325</v>
      </c>
      <c r="CE17" s="242" t="s">
        <v>325</v>
      </c>
      <c r="CF17" s="242" t="s">
        <v>325</v>
      </c>
      <c r="CG17" s="242" t="s">
        <v>325</v>
      </c>
      <c r="CH17" s="242" t="s">
        <v>325</v>
      </c>
      <c r="CI17" s="242" t="s">
        <v>325</v>
      </c>
      <c r="CJ17" s="242" t="s">
        <v>325</v>
      </c>
      <c r="CK17" s="242" t="s">
        <v>325</v>
      </c>
      <c r="CL17" s="242" t="s">
        <v>325</v>
      </c>
      <c r="CM17" s="242" t="s">
        <v>325</v>
      </c>
      <c r="CN17" s="242" t="s">
        <v>325</v>
      </c>
      <c r="CO17" s="242" t="s">
        <v>325</v>
      </c>
      <c r="CP17" s="242" t="s">
        <v>325</v>
      </c>
      <c r="CQ17" s="242" t="s">
        <v>325</v>
      </c>
      <c r="CR17" s="242" t="s">
        <v>325</v>
      </c>
      <c r="CS17" s="242" t="s">
        <v>325</v>
      </c>
      <c r="CT17" s="242" t="s">
        <v>325</v>
      </c>
      <c r="CU17" s="242" t="s">
        <v>325</v>
      </c>
      <c r="CV17" s="242" t="s">
        <v>325</v>
      </c>
      <c r="CW17" s="242" t="s">
        <v>325</v>
      </c>
      <c r="CX17" s="242" t="s">
        <v>325</v>
      </c>
      <c r="CY17" s="242" t="s">
        <v>325</v>
      </c>
      <c r="CZ17" s="242" t="s">
        <v>325</v>
      </c>
      <c r="DA17" s="242" t="s">
        <v>325</v>
      </c>
      <c r="DB17" s="242" t="s">
        <v>325</v>
      </c>
      <c r="DC17" s="242" t="s">
        <v>325</v>
      </c>
      <c r="DD17" s="242" t="s">
        <v>325</v>
      </c>
      <c r="DE17" s="242" t="s">
        <v>325</v>
      </c>
      <c r="DF17" s="242" t="s">
        <v>325</v>
      </c>
      <c r="DG17" s="242" t="s">
        <v>325</v>
      </c>
      <c r="DH17" s="242" t="s">
        <v>325</v>
      </c>
      <c r="DI17" s="242" t="s">
        <v>325</v>
      </c>
      <c r="DJ17" s="242" t="s">
        <v>325</v>
      </c>
      <c r="DK17" s="242" t="s">
        <v>325</v>
      </c>
      <c r="DL17" s="242" t="s">
        <v>325</v>
      </c>
      <c r="DM17" s="242" t="s">
        <v>325</v>
      </c>
      <c r="DN17" s="242" t="s">
        <v>325</v>
      </c>
      <c r="DO17" s="242" t="s">
        <v>325</v>
      </c>
      <c r="DP17" s="242" t="s">
        <v>325</v>
      </c>
      <c r="DQ17" s="242" t="s">
        <v>325</v>
      </c>
      <c r="DR17" s="242" t="s">
        <v>325</v>
      </c>
      <c r="DS17" s="242" t="s">
        <v>325</v>
      </c>
      <c r="DT17" s="242" t="s">
        <v>325</v>
      </c>
      <c r="DU17" s="242" t="s">
        <v>325</v>
      </c>
      <c r="DV17" s="242" t="s">
        <v>325</v>
      </c>
      <c r="DW17" s="242" t="s">
        <v>325</v>
      </c>
      <c r="DX17" s="242" t="s">
        <v>325</v>
      </c>
      <c r="DY17" s="242" t="s">
        <v>325</v>
      </c>
      <c r="DZ17" s="242" t="s">
        <v>325</v>
      </c>
      <c r="EA17" s="242" t="s">
        <v>325</v>
      </c>
      <c r="EB17" s="242" t="s">
        <v>325</v>
      </c>
      <c r="EC17" s="242" t="s">
        <v>325</v>
      </c>
      <c r="ED17" s="242" t="s">
        <v>325</v>
      </c>
      <c r="EE17" s="242" t="s">
        <v>325</v>
      </c>
      <c r="EF17" s="242" t="s">
        <v>325</v>
      </c>
      <c r="EG17" s="242" t="s">
        <v>325</v>
      </c>
      <c r="EH17" s="242" t="s">
        <v>325</v>
      </c>
      <c r="EI17" s="242" t="s">
        <v>325</v>
      </c>
      <c r="EJ17" s="242" t="s">
        <v>325</v>
      </c>
      <c r="EK17" s="242" t="s">
        <v>325</v>
      </c>
      <c r="EL17" s="242" t="s">
        <v>325</v>
      </c>
      <c r="EM17" s="242" t="s">
        <v>325</v>
      </c>
      <c r="EN17" s="242" t="s">
        <v>325</v>
      </c>
      <c r="EO17" s="242" t="s">
        <v>325</v>
      </c>
      <c r="EP17" s="242" t="s">
        <v>325</v>
      </c>
      <c r="EQ17" s="242" t="s">
        <v>325</v>
      </c>
      <c r="ER17" s="242" t="s">
        <v>325</v>
      </c>
      <c r="ES17" s="242" t="s">
        <v>325</v>
      </c>
      <c r="ET17" s="242" t="s">
        <v>325</v>
      </c>
      <c r="EU17" s="242" t="s">
        <v>325</v>
      </c>
      <c r="EV17" s="242" t="s">
        <v>325</v>
      </c>
      <c r="EW17" s="242" t="s">
        <v>325</v>
      </c>
      <c r="EX17" s="242" t="s">
        <v>325</v>
      </c>
      <c r="EY17" s="242" t="s">
        <v>325</v>
      </c>
      <c r="EZ17" s="244" t="s">
        <v>120</v>
      </c>
      <c r="FA17" s="242" t="s">
        <v>325</v>
      </c>
      <c r="FB17" s="243" t="s">
        <v>327</v>
      </c>
      <c r="FC17" s="244" t="s">
        <v>120</v>
      </c>
      <c r="FD17" s="243" t="s">
        <v>325</v>
      </c>
      <c r="FE17" s="243" t="s">
        <v>327</v>
      </c>
      <c r="FF17" s="244" t="s">
        <v>120</v>
      </c>
      <c r="FG17" s="244" t="s">
        <v>326</v>
      </c>
      <c r="FH17" s="243" t="s">
        <v>325</v>
      </c>
      <c r="FI17" s="244" t="s">
        <v>325</v>
      </c>
      <c r="FJ17" s="243" t="s">
        <v>325</v>
      </c>
      <c r="FK17" s="243" t="s">
        <v>325</v>
      </c>
      <c r="FL17" s="243" t="s">
        <v>325</v>
      </c>
      <c r="FM17" s="243" t="s">
        <v>325</v>
      </c>
      <c r="FN17" s="242" t="s">
        <v>325</v>
      </c>
      <c r="FO17" s="242" t="s">
        <v>325</v>
      </c>
      <c r="FP17" s="242" t="s">
        <v>325</v>
      </c>
      <c r="FQ17" s="242" t="s">
        <v>325</v>
      </c>
      <c r="FR17" s="242" t="s">
        <v>325</v>
      </c>
      <c r="FS17" s="242" t="s">
        <v>325</v>
      </c>
      <c r="FT17" s="242" t="s">
        <v>325</v>
      </c>
      <c r="FU17" s="242" t="s">
        <v>325</v>
      </c>
      <c r="FV17" s="242" t="s">
        <v>325</v>
      </c>
      <c r="FW17" s="242" t="s">
        <v>325</v>
      </c>
      <c r="FX17" s="242" t="s">
        <v>325</v>
      </c>
      <c r="FY17" s="242" t="s">
        <v>325</v>
      </c>
      <c r="FZ17" s="242" t="s">
        <v>325</v>
      </c>
      <c r="GA17" s="242" t="s">
        <v>325</v>
      </c>
      <c r="GB17" s="242" t="s">
        <v>325</v>
      </c>
      <c r="GC17" s="242" t="s">
        <v>325</v>
      </c>
      <c r="GD17" s="242" t="s">
        <v>325</v>
      </c>
      <c r="GE17" s="242" t="s">
        <v>325</v>
      </c>
      <c r="GF17" s="242" t="s">
        <v>325</v>
      </c>
      <c r="GG17" s="242" t="s">
        <v>325</v>
      </c>
      <c r="GH17" s="242" t="s">
        <v>325</v>
      </c>
      <c r="GI17" s="242" t="s">
        <v>325</v>
      </c>
      <c r="GJ17" s="242" t="s">
        <v>325</v>
      </c>
      <c r="GK17" s="242" t="s">
        <v>325</v>
      </c>
      <c r="GL17" s="242" t="s">
        <v>325</v>
      </c>
      <c r="GM17" s="242" t="s">
        <v>325</v>
      </c>
      <c r="GN17" s="242" t="s">
        <v>325</v>
      </c>
      <c r="GO17" s="242" t="s">
        <v>325</v>
      </c>
      <c r="GP17" s="242" t="s">
        <v>325</v>
      </c>
      <c r="GQ17" s="242" t="s">
        <v>325</v>
      </c>
      <c r="GR17" s="242" t="s">
        <v>325</v>
      </c>
      <c r="GS17" s="242" t="s">
        <v>325</v>
      </c>
      <c r="GT17" s="242" t="s">
        <v>325</v>
      </c>
      <c r="GU17" s="242" t="s">
        <v>325</v>
      </c>
      <c r="GV17" s="242" t="s">
        <v>325</v>
      </c>
      <c r="GW17" s="242" t="s">
        <v>325</v>
      </c>
      <c r="GX17" s="242" t="s">
        <v>325</v>
      </c>
      <c r="GY17" s="242" t="s">
        <v>325</v>
      </c>
      <c r="GZ17" s="242" t="s">
        <v>325</v>
      </c>
      <c r="HA17" s="242" t="s">
        <v>325</v>
      </c>
      <c r="HB17" s="242" t="s">
        <v>325</v>
      </c>
      <c r="HC17" s="242" t="s">
        <v>325</v>
      </c>
      <c r="HD17" s="242" t="s">
        <v>325</v>
      </c>
      <c r="HE17" s="242" t="s">
        <v>325</v>
      </c>
      <c r="HF17" s="243" t="s">
        <v>324</v>
      </c>
    </row>
    <row r="18" spans="1:217" ht="15.6">
      <c r="A18" s="959" t="s">
        <v>20</v>
      </c>
      <c r="B18" s="840" t="s">
        <v>806</v>
      </c>
      <c r="C18" s="920">
        <v>1.2500000000000001E-2</v>
      </c>
      <c r="D18" s="920">
        <v>1.2500000000000001E-2</v>
      </c>
      <c r="E18" s="920">
        <v>1.2500000000000001E-2</v>
      </c>
      <c r="F18" s="920">
        <v>1.2999999999999999E-2</v>
      </c>
      <c r="G18" s="920">
        <v>1.2999999999999999E-2</v>
      </c>
      <c r="H18" s="920">
        <v>1.2999999999999999E-2</v>
      </c>
      <c r="I18" s="920">
        <v>1.2999999999999999E-2</v>
      </c>
      <c r="J18" s="920">
        <v>1.2999999999999999E-2</v>
      </c>
      <c r="K18" s="920">
        <v>1.2999999999999999E-2</v>
      </c>
      <c r="L18" s="920">
        <v>1.2999999999999999E-2</v>
      </c>
      <c r="M18" s="920">
        <v>1.2999999999999999E-2</v>
      </c>
      <c r="N18" s="920">
        <v>1.2999999999999999E-2</v>
      </c>
      <c r="O18" s="920">
        <v>1.2999999999999999E-2</v>
      </c>
      <c r="P18" s="920">
        <v>1.2999999999999999E-2</v>
      </c>
      <c r="Q18" s="920">
        <v>1.2999999999999999E-2</v>
      </c>
      <c r="R18" s="920">
        <v>1.2999999999999999E-2</v>
      </c>
      <c r="S18" s="920">
        <v>1.2500000000000001E-2</v>
      </c>
      <c r="T18" s="920">
        <v>1.2500000000000001E-2</v>
      </c>
      <c r="U18" s="920">
        <v>1.2500000000000001E-2</v>
      </c>
      <c r="V18" s="963">
        <v>1.2500000000000001E-2</v>
      </c>
      <c r="W18" s="909">
        <v>1.2999999999999999E-2</v>
      </c>
      <c r="X18" s="909">
        <v>1.2999999999999999E-2</v>
      </c>
      <c r="Y18" s="909">
        <v>1.2999999999999999E-2</v>
      </c>
      <c r="Z18" s="909">
        <v>1.2999999999999999E-2</v>
      </c>
      <c r="AA18" s="909">
        <v>1.2999999999999999E-2</v>
      </c>
      <c r="AB18" s="909">
        <v>1.2999999999999999E-2</v>
      </c>
      <c r="AC18" s="909">
        <v>1.2999999999999999E-2</v>
      </c>
      <c r="AD18" s="967">
        <v>1.2999999999999999E-2</v>
      </c>
      <c r="AE18" s="967">
        <v>1.4E-2</v>
      </c>
      <c r="AF18" s="967">
        <v>1.4999999999999999E-2</v>
      </c>
      <c r="AG18" s="978">
        <v>1.6E-2</v>
      </c>
      <c r="AH18" s="978">
        <v>1.6E-2</v>
      </c>
      <c r="AI18" s="967">
        <v>1.6E-2</v>
      </c>
      <c r="AJ18" s="909">
        <v>1.7000000000000001E-2</v>
      </c>
      <c r="AK18" s="978">
        <v>1.7000000000000001E-2</v>
      </c>
      <c r="AL18" s="967">
        <v>1.7000000000000001E-2</v>
      </c>
      <c r="AM18" s="967">
        <v>1.7500000000000002E-2</v>
      </c>
      <c r="AN18" s="967">
        <v>1.8499999999999999E-2</v>
      </c>
      <c r="AO18" s="967">
        <v>0.02</v>
      </c>
      <c r="AP18" s="984">
        <v>2.1000000000000001E-2</v>
      </c>
      <c r="AQ18" s="1012">
        <v>2.2000000000000002E-2</v>
      </c>
      <c r="AR18" s="984">
        <v>2.2000000000000002E-2</v>
      </c>
      <c r="AS18" s="1012">
        <v>2.2499999999999999E-2</v>
      </c>
      <c r="AT18" s="984">
        <v>2.2499999999999999E-2</v>
      </c>
      <c r="AU18" s="940">
        <v>2.1999999999999999E-2</v>
      </c>
      <c r="AV18" s="1031">
        <v>2.3E-2</v>
      </c>
      <c r="AW18" s="1031">
        <v>2.35E-2</v>
      </c>
      <c r="AX18" s="1031">
        <v>2.35E-2</v>
      </c>
      <c r="AY18" s="1031">
        <v>2.35E-2</v>
      </c>
      <c r="AZ18" s="1031">
        <v>2.35E-2</v>
      </c>
      <c r="BA18" s="1031">
        <v>2.35E-2</v>
      </c>
      <c r="BB18" s="1031">
        <v>2.4500000000000001E-2</v>
      </c>
      <c r="BC18" s="1031">
        <v>2.4500000000000001E-2</v>
      </c>
      <c r="BD18" s="1031">
        <v>2.4500000000000001E-2</v>
      </c>
      <c r="BE18" s="940">
        <v>2.5999999999999999E-2</v>
      </c>
      <c r="BF18" s="1031">
        <v>2.75E-2</v>
      </c>
      <c r="BG18" s="1031">
        <v>2.75E-2</v>
      </c>
      <c r="BH18" s="1031">
        <v>2.75E-2</v>
      </c>
      <c r="BI18" s="940">
        <v>2.75E-2</v>
      </c>
      <c r="BJ18" s="1031">
        <v>2.7E-2</v>
      </c>
      <c r="BK18" s="1031">
        <v>2.7E-2</v>
      </c>
      <c r="BL18" s="1031">
        <v>2.7E-2</v>
      </c>
      <c r="BM18" s="1031">
        <v>2.7E-2</v>
      </c>
      <c r="BN18" s="940">
        <v>2.7E-2</v>
      </c>
      <c r="BO18" s="1031">
        <v>2.8000000000000001E-2</v>
      </c>
      <c r="BP18" s="1031">
        <v>2.8000000000000001E-2</v>
      </c>
      <c r="BQ18" s="1031">
        <v>2.8000000000000001E-2</v>
      </c>
      <c r="BR18" s="1031">
        <v>2.8000000000000001E-2</v>
      </c>
      <c r="BS18" s="1031">
        <v>2.8000000000000001E-2</v>
      </c>
      <c r="BT18" s="1031">
        <v>2.8000000000000001E-2</v>
      </c>
      <c r="BU18" s="1031">
        <v>2.8000000000000001E-2</v>
      </c>
      <c r="BV18" s="1031">
        <v>2.8000000000000001E-2</v>
      </c>
      <c r="BW18" s="1031">
        <v>2.8000000000000001E-2</v>
      </c>
      <c r="BX18" s="1031">
        <v>2.8000000000000001E-2</v>
      </c>
      <c r="BY18" s="1031">
        <v>2.8000000000000001E-2</v>
      </c>
      <c r="BZ18" s="1031">
        <v>2.8000000000000001E-2</v>
      </c>
      <c r="CA18" s="1031">
        <v>2.8000000000000001E-2</v>
      </c>
      <c r="CB18" s="1031">
        <v>2.8000000000000001E-2</v>
      </c>
      <c r="CC18" s="1031">
        <v>0.03</v>
      </c>
      <c r="CD18" s="1031">
        <v>0.03</v>
      </c>
      <c r="CE18" s="1031">
        <v>0.03</v>
      </c>
      <c r="CF18" s="1031">
        <v>3.1E-2</v>
      </c>
      <c r="CG18" s="1031">
        <v>3.1E-2</v>
      </c>
      <c r="CH18" s="1031">
        <v>3.2000000000000001E-2</v>
      </c>
      <c r="CI18" s="1031">
        <v>3.2000000000000001E-2</v>
      </c>
      <c r="CJ18" s="1031">
        <v>3.2000000000000001E-2</v>
      </c>
      <c r="CK18" s="1031">
        <v>3.3000000000000002E-2</v>
      </c>
      <c r="CL18" s="1031">
        <v>3.3000000000000002E-2</v>
      </c>
      <c r="CM18" s="1031">
        <v>3.3000000000000002E-2</v>
      </c>
      <c r="CN18" s="1031">
        <v>3.3000000000000002E-2</v>
      </c>
      <c r="CO18" s="1031">
        <v>3.3000000000000002E-2</v>
      </c>
      <c r="CP18" s="1031">
        <v>3.3000000000000002E-2</v>
      </c>
      <c r="CQ18" s="1031">
        <v>3.3000000000000002E-2</v>
      </c>
      <c r="CR18" s="1031">
        <v>3.3000000000000002E-2</v>
      </c>
      <c r="CS18" s="1031">
        <v>3.3000000000000002E-2</v>
      </c>
      <c r="CT18" s="1031">
        <v>3.3000000000000002E-2</v>
      </c>
      <c r="CU18" s="1031">
        <v>3.3000000000000002E-2</v>
      </c>
      <c r="CV18" s="1031">
        <v>3.3000000000000002E-2</v>
      </c>
      <c r="CW18" s="1031">
        <v>3.3000000000000002E-2</v>
      </c>
      <c r="CX18" s="1031">
        <v>3.3000000000000002E-2</v>
      </c>
      <c r="CY18" s="1031">
        <v>3.3000000000000002E-2</v>
      </c>
      <c r="CZ18" s="1031">
        <v>3.3000000000000002E-2</v>
      </c>
      <c r="DA18" s="1031">
        <v>3.3500000000000002E-2</v>
      </c>
      <c r="DB18" s="1031">
        <v>3.3500000000000002E-2</v>
      </c>
      <c r="DC18" s="1031">
        <v>3.3500000000000002E-2</v>
      </c>
      <c r="DD18" s="1031">
        <v>3.3500000000000002E-2</v>
      </c>
      <c r="DE18" s="1031">
        <v>3.5000000000000003E-2</v>
      </c>
      <c r="DF18" s="1031">
        <v>3.5000000000000003E-2</v>
      </c>
      <c r="DG18" s="1031">
        <v>3.5000000000000003E-2</v>
      </c>
      <c r="DH18" s="1031">
        <v>3.5000000000000003E-2</v>
      </c>
      <c r="DI18" s="1031">
        <v>3.5000000000000003E-2</v>
      </c>
      <c r="DJ18" s="1031">
        <v>3.5000000000000003E-2</v>
      </c>
      <c r="DK18" s="1031">
        <v>3.5000000000000003E-2</v>
      </c>
      <c r="DL18" s="1031">
        <v>3.5000000000000003E-2</v>
      </c>
      <c r="DM18" s="1031">
        <v>3.5000000000000003E-2</v>
      </c>
      <c r="DN18" s="1031">
        <v>3.5000000000000003E-2</v>
      </c>
      <c r="DO18" s="1031">
        <v>3.5000000000000003E-2</v>
      </c>
      <c r="DP18" s="1031">
        <v>3.5000000000000003E-2</v>
      </c>
      <c r="DQ18" s="1031">
        <v>3.5000000000000003E-2</v>
      </c>
      <c r="DR18" s="1031" t="s">
        <v>124</v>
      </c>
      <c r="DS18" s="241"/>
      <c r="DT18" s="241"/>
      <c r="DU18" s="241"/>
      <c r="DV18" s="241"/>
      <c r="DW18" s="241"/>
      <c r="DX18" s="241"/>
      <c r="DY18" s="241"/>
      <c r="DZ18" s="241"/>
      <c r="EA18" s="241"/>
      <c r="EB18" s="241"/>
      <c r="EC18" s="241"/>
      <c r="ED18" s="241"/>
      <c r="EE18" s="241"/>
      <c r="EF18" s="241"/>
      <c r="EG18" s="241"/>
      <c r="EH18" s="241"/>
      <c r="EI18" s="241"/>
      <c r="EJ18" s="241"/>
      <c r="EK18" s="241"/>
      <c r="EL18" s="241"/>
      <c r="EM18" s="241"/>
      <c r="EN18" s="241"/>
      <c r="EO18" s="241"/>
      <c r="EP18" s="241"/>
      <c r="EQ18" s="241"/>
      <c r="ER18" s="241"/>
      <c r="ES18" s="241"/>
      <c r="ET18" s="241"/>
      <c r="EU18" s="241"/>
      <c r="EV18" s="242"/>
      <c r="EW18" s="242"/>
      <c r="EX18" s="242"/>
      <c r="EY18" s="242"/>
      <c r="EZ18" s="1042" t="s">
        <v>306</v>
      </c>
      <c r="FA18" s="242"/>
      <c r="FB18" s="243"/>
      <c r="FC18" s="244"/>
      <c r="FD18" s="243"/>
      <c r="FE18" s="243"/>
      <c r="FF18" s="244"/>
      <c r="FG18" s="244"/>
      <c r="FH18" s="243"/>
      <c r="FI18" s="244"/>
      <c r="FJ18" s="243"/>
      <c r="FK18" s="243"/>
      <c r="FL18" s="243"/>
      <c r="FM18" s="243"/>
      <c r="FN18" s="242"/>
      <c r="FO18" s="242"/>
      <c r="FP18" s="242"/>
      <c r="FQ18" s="242"/>
      <c r="FR18" s="242"/>
      <c r="FS18" s="242"/>
      <c r="FT18" s="242"/>
      <c r="FU18" s="242"/>
      <c r="FV18" s="242"/>
      <c r="FW18" s="242"/>
      <c r="FX18" s="242"/>
      <c r="FY18" s="242"/>
      <c r="FZ18" s="242"/>
      <c r="GA18" s="242"/>
      <c r="GB18" s="242"/>
      <c r="GC18" s="242"/>
      <c r="GD18" s="242"/>
      <c r="GE18" s="242"/>
      <c r="GF18" s="242"/>
      <c r="GG18" s="242"/>
      <c r="GH18" s="242"/>
      <c r="GI18" s="242"/>
      <c r="GJ18" s="242"/>
      <c r="GK18" s="342"/>
      <c r="GL18" s="342"/>
      <c r="GM18" s="342"/>
      <c r="GN18" s="342"/>
      <c r="GO18" s="342"/>
      <c r="GP18" s="342"/>
      <c r="GQ18" s="342"/>
      <c r="GR18" s="342"/>
      <c r="GS18" s="342"/>
      <c r="GT18" s="242"/>
      <c r="GU18" s="242"/>
      <c r="GV18" s="242"/>
      <c r="GW18" s="242"/>
      <c r="GX18" s="242"/>
      <c r="GY18" s="242"/>
      <c r="GZ18" s="242"/>
      <c r="HA18" s="242"/>
      <c r="HB18" s="242"/>
      <c r="HC18" s="242"/>
      <c r="HD18" s="242"/>
      <c r="HE18" s="242"/>
      <c r="HF18" s="941">
        <f>C18-D18</f>
        <v>0</v>
      </c>
      <c r="HG18" s="218" t="s">
        <v>594</v>
      </c>
      <c r="HI18" s="343" t="s">
        <v>499</v>
      </c>
    </row>
    <row r="19" spans="1:217" ht="15.6">
      <c r="A19" s="961"/>
      <c r="B19" s="840" t="s">
        <v>807</v>
      </c>
      <c r="C19" s="921"/>
      <c r="D19" s="921"/>
      <c r="E19" s="921"/>
      <c r="F19" s="921"/>
      <c r="G19" s="921"/>
      <c r="H19" s="921"/>
      <c r="I19" s="921"/>
      <c r="J19" s="921"/>
      <c r="K19" s="921"/>
      <c r="L19" s="921"/>
      <c r="M19" s="921"/>
      <c r="N19" s="921"/>
      <c r="O19" s="921"/>
      <c r="P19" s="921"/>
      <c r="Q19" s="921"/>
      <c r="R19" s="921"/>
      <c r="S19" s="921"/>
      <c r="T19" s="921"/>
      <c r="U19" s="921"/>
      <c r="V19" s="950"/>
      <c r="W19" s="910"/>
      <c r="X19" s="910"/>
      <c r="Y19" s="910"/>
      <c r="Z19" s="910"/>
      <c r="AA19" s="910"/>
      <c r="AB19" s="910"/>
      <c r="AC19" s="910"/>
      <c r="AD19" s="968"/>
      <c r="AE19" s="968"/>
      <c r="AF19" s="968"/>
      <c r="AG19" s="979"/>
      <c r="AH19" s="979"/>
      <c r="AI19" s="968"/>
      <c r="AJ19" s="910"/>
      <c r="AK19" s="979"/>
      <c r="AL19" s="968"/>
      <c r="AM19" s="968"/>
      <c r="AN19" s="968"/>
      <c r="AO19" s="968"/>
      <c r="AP19" s="985"/>
      <c r="AQ19" s="1026"/>
      <c r="AR19" s="985"/>
      <c r="AS19" s="1026"/>
      <c r="AT19" s="985"/>
      <c r="AU19" s="936"/>
      <c r="AV19" s="939"/>
      <c r="AW19" s="939"/>
      <c r="AX19" s="939"/>
      <c r="AY19" s="939"/>
      <c r="AZ19" s="939"/>
      <c r="BA19" s="939"/>
      <c r="BB19" s="939"/>
      <c r="BC19" s="939"/>
      <c r="BD19" s="939"/>
      <c r="BE19" s="936"/>
      <c r="BF19" s="939"/>
      <c r="BG19" s="939"/>
      <c r="BH19" s="939"/>
      <c r="BI19" s="936"/>
      <c r="BJ19" s="939"/>
      <c r="BK19" s="939"/>
      <c r="BL19" s="939"/>
      <c r="BM19" s="939"/>
      <c r="BN19" s="936"/>
      <c r="BO19" s="939"/>
      <c r="BP19" s="939"/>
      <c r="BQ19" s="939"/>
      <c r="BR19" s="939"/>
      <c r="BS19" s="939"/>
      <c r="BT19" s="939"/>
      <c r="BU19" s="939"/>
      <c r="BV19" s="939"/>
      <c r="BW19" s="939"/>
      <c r="BX19" s="939"/>
      <c r="BY19" s="939"/>
      <c r="BZ19" s="939"/>
      <c r="CA19" s="939"/>
      <c r="CB19" s="939"/>
      <c r="CC19" s="939"/>
      <c r="CD19" s="939"/>
      <c r="CE19" s="939"/>
      <c r="CF19" s="939"/>
      <c r="CG19" s="939"/>
      <c r="CH19" s="939"/>
      <c r="CI19" s="939"/>
      <c r="CJ19" s="939"/>
      <c r="CK19" s="939"/>
      <c r="CL19" s="939"/>
      <c r="CM19" s="939"/>
      <c r="CN19" s="939"/>
      <c r="CO19" s="939"/>
      <c r="CP19" s="939"/>
      <c r="CQ19" s="939"/>
      <c r="CR19" s="939"/>
      <c r="CS19" s="939"/>
      <c r="CT19" s="939"/>
      <c r="CU19" s="939"/>
      <c r="CV19" s="939"/>
      <c r="CW19" s="939"/>
      <c r="CX19" s="939"/>
      <c r="CY19" s="939"/>
      <c r="CZ19" s="939"/>
      <c r="DA19" s="939"/>
      <c r="DB19" s="939"/>
      <c r="DC19" s="939"/>
      <c r="DD19" s="939"/>
      <c r="DE19" s="939"/>
      <c r="DF19" s="939"/>
      <c r="DG19" s="939"/>
      <c r="DH19" s="939"/>
      <c r="DI19" s="939"/>
      <c r="DJ19" s="939"/>
      <c r="DK19" s="939"/>
      <c r="DL19" s="939"/>
      <c r="DM19" s="939"/>
      <c r="DN19" s="939"/>
      <c r="DO19" s="939"/>
      <c r="DP19" s="939"/>
      <c r="DQ19" s="939"/>
      <c r="DR19" s="939"/>
      <c r="DS19" s="241"/>
      <c r="DT19" s="241"/>
      <c r="DU19" s="241"/>
      <c r="DV19" s="241"/>
      <c r="DW19" s="241"/>
      <c r="DX19" s="241"/>
      <c r="DY19" s="241"/>
      <c r="DZ19" s="241"/>
      <c r="EA19" s="241"/>
      <c r="EB19" s="241"/>
      <c r="EC19" s="241"/>
      <c r="ED19" s="241"/>
      <c r="EE19" s="241"/>
      <c r="EF19" s="241"/>
      <c r="EG19" s="241"/>
      <c r="EH19" s="241"/>
      <c r="EI19" s="241"/>
      <c r="EJ19" s="241"/>
      <c r="EK19" s="241"/>
      <c r="EL19" s="241"/>
      <c r="EM19" s="241"/>
      <c r="EN19" s="241"/>
      <c r="EO19" s="241"/>
      <c r="EP19" s="241"/>
      <c r="EQ19" s="241"/>
      <c r="ER19" s="241"/>
      <c r="ES19" s="241"/>
      <c r="ET19" s="241"/>
      <c r="EU19" s="241"/>
      <c r="EV19" s="242"/>
      <c r="EW19" s="242"/>
      <c r="EX19" s="242"/>
      <c r="EY19" s="242"/>
      <c r="EZ19" s="1042"/>
      <c r="FA19" s="242"/>
      <c r="FB19" s="243"/>
      <c r="FC19" s="244"/>
      <c r="FD19" s="243"/>
      <c r="FE19" s="243"/>
      <c r="FF19" s="244"/>
      <c r="FG19" s="244"/>
      <c r="FH19" s="243"/>
      <c r="FI19" s="244"/>
      <c r="FJ19" s="243"/>
      <c r="FK19" s="243"/>
      <c r="FL19" s="243"/>
      <c r="FM19" s="243"/>
      <c r="FN19" s="242"/>
      <c r="FO19" s="242"/>
      <c r="FP19" s="242"/>
      <c r="FQ19" s="242"/>
      <c r="FR19" s="242"/>
      <c r="FS19" s="242"/>
      <c r="FT19" s="242"/>
      <c r="FU19" s="242"/>
      <c r="FV19" s="242"/>
      <c r="FW19" s="242"/>
      <c r="FX19" s="242"/>
      <c r="FY19" s="242"/>
      <c r="FZ19" s="242"/>
      <c r="GA19" s="242"/>
      <c r="GB19" s="242"/>
      <c r="GC19" s="242"/>
      <c r="GD19" s="242"/>
      <c r="GE19" s="242"/>
      <c r="GF19" s="242"/>
      <c r="GG19" s="242"/>
      <c r="GH19" s="242"/>
      <c r="GI19" s="242"/>
      <c r="GJ19" s="242"/>
      <c r="GK19" s="342"/>
      <c r="GL19" s="342"/>
      <c r="GM19" s="342"/>
      <c r="GN19" s="342"/>
      <c r="GO19" s="342"/>
      <c r="GP19" s="342"/>
      <c r="GQ19" s="342"/>
      <c r="GR19" s="342"/>
      <c r="GS19" s="342"/>
      <c r="GT19" s="242"/>
      <c r="GU19" s="242"/>
      <c r="GV19" s="242"/>
      <c r="GW19" s="242"/>
      <c r="GX19" s="242"/>
      <c r="GY19" s="242"/>
      <c r="GZ19" s="242"/>
      <c r="HA19" s="242"/>
      <c r="HB19" s="242"/>
      <c r="HC19" s="242"/>
      <c r="HD19" s="242"/>
      <c r="HE19" s="242"/>
      <c r="HF19" s="942"/>
    </row>
    <row r="20" spans="1:217" ht="15.6">
      <c r="A20" s="1066" t="s">
        <v>31</v>
      </c>
      <c r="B20" s="308" t="s">
        <v>674</v>
      </c>
      <c r="C20" s="920" t="s">
        <v>124</v>
      </c>
      <c r="D20" s="920" t="s">
        <v>124</v>
      </c>
      <c r="E20" s="920" t="s">
        <v>124</v>
      </c>
      <c r="F20" s="920" t="s">
        <v>124</v>
      </c>
      <c r="G20" s="920" t="s">
        <v>124</v>
      </c>
      <c r="H20" s="920" t="s">
        <v>124</v>
      </c>
      <c r="I20" s="920" t="s">
        <v>124</v>
      </c>
      <c r="J20" s="920" t="s">
        <v>124</v>
      </c>
      <c r="K20" s="920" t="s">
        <v>124</v>
      </c>
      <c r="L20" s="963" t="s">
        <v>124</v>
      </c>
      <c r="M20" s="920">
        <v>1.2999999999999999E-2</v>
      </c>
      <c r="N20" s="920">
        <v>1.2999999999999999E-2</v>
      </c>
      <c r="O20" s="920">
        <v>1.2999999999999999E-2</v>
      </c>
      <c r="P20" s="920">
        <v>1.2999999999999999E-2</v>
      </c>
      <c r="Q20" s="963">
        <v>1.2999999999999999E-2</v>
      </c>
      <c r="R20" s="920"/>
      <c r="S20" s="920" t="s">
        <v>572</v>
      </c>
      <c r="T20" s="969" t="s">
        <v>572</v>
      </c>
      <c r="U20" s="969" t="s">
        <v>652</v>
      </c>
      <c r="V20" s="969" t="s">
        <v>572</v>
      </c>
      <c r="W20" s="925" t="s">
        <v>124</v>
      </c>
      <c r="X20" s="925" t="s">
        <v>124</v>
      </c>
      <c r="Y20" s="925" t="s">
        <v>124</v>
      </c>
      <c r="Z20" s="925" t="s">
        <v>124</v>
      </c>
      <c r="AA20" s="925" t="s">
        <v>124</v>
      </c>
      <c r="AB20" s="925" t="s">
        <v>124</v>
      </c>
      <c r="AC20" s="925" t="s">
        <v>124</v>
      </c>
      <c r="AD20" s="925" t="s">
        <v>124</v>
      </c>
      <c r="AE20" s="925" t="s">
        <v>124</v>
      </c>
      <c r="AF20" s="1004" t="s">
        <v>124</v>
      </c>
      <c r="AG20" s="1004" t="s">
        <v>124</v>
      </c>
      <c r="AH20" s="1004" t="s">
        <v>124</v>
      </c>
      <c r="AI20" s="1004" t="s">
        <v>124</v>
      </c>
      <c r="AJ20" s="925" t="s">
        <v>124</v>
      </c>
      <c r="AK20" s="1004" t="s">
        <v>124</v>
      </c>
      <c r="AL20" s="925" t="s">
        <v>124</v>
      </c>
      <c r="AM20" s="1004" t="s">
        <v>124</v>
      </c>
      <c r="AN20" s="1004" t="s">
        <v>124</v>
      </c>
      <c r="AO20" s="1004" t="s">
        <v>124</v>
      </c>
      <c r="AP20" s="1031" t="s">
        <v>124</v>
      </c>
      <c r="AQ20" s="1031" t="s">
        <v>124</v>
      </c>
      <c r="AR20" s="1031" t="s">
        <v>124</v>
      </c>
      <c r="AS20" s="1031" t="s">
        <v>124</v>
      </c>
      <c r="AT20" s="1031" t="s">
        <v>124</v>
      </c>
      <c r="AU20" s="1031" t="s">
        <v>124</v>
      </c>
      <c r="AV20" s="1031" t="s">
        <v>124</v>
      </c>
      <c r="AW20" s="1031" t="s">
        <v>124</v>
      </c>
      <c r="AX20" s="1031" t="s">
        <v>124</v>
      </c>
      <c r="AY20" s="1031" t="s">
        <v>124</v>
      </c>
      <c r="AZ20" s="1031" t="s">
        <v>124</v>
      </c>
      <c r="BA20" s="1031" t="s">
        <v>124</v>
      </c>
      <c r="BB20" s="1031" t="s">
        <v>124</v>
      </c>
      <c r="BC20" s="1031" t="s">
        <v>124</v>
      </c>
      <c r="BD20" s="1031" t="s">
        <v>124</v>
      </c>
      <c r="BE20" s="1031" t="s">
        <v>124</v>
      </c>
      <c r="BF20" s="1031" t="s">
        <v>124</v>
      </c>
      <c r="BG20" s="1031" t="s">
        <v>124</v>
      </c>
      <c r="BH20" s="1031" t="s">
        <v>124</v>
      </c>
      <c r="BI20" s="1031" t="s">
        <v>124</v>
      </c>
      <c r="BJ20" s="1031" t="s">
        <v>124</v>
      </c>
      <c r="BK20" s="1031" t="s">
        <v>124</v>
      </c>
      <c r="BL20" s="1031" t="s">
        <v>124</v>
      </c>
      <c r="BM20" s="1031" t="s">
        <v>124</v>
      </c>
      <c r="BN20" s="1031" t="s">
        <v>124</v>
      </c>
      <c r="BO20" s="1031" t="s">
        <v>124</v>
      </c>
      <c r="BP20" s="1031" t="s">
        <v>124</v>
      </c>
      <c r="BQ20" s="1031" t="s">
        <v>124</v>
      </c>
      <c r="BR20" s="1031" t="s">
        <v>124</v>
      </c>
      <c r="BS20" s="1031" t="s">
        <v>124</v>
      </c>
      <c r="BT20" s="1031" t="s">
        <v>124</v>
      </c>
      <c r="BU20" s="1031" t="s">
        <v>124</v>
      </c>
      <c r="BV20" s="1031" t="s">
        <v>124</v>
      </c>
      <c r="BW20" s="1031" t="s">
        <v>124</v>
      </c>
      <c r="BX20" s="1031" t="s">
        <v>124</v>
      </c>
      <c r="BY20" s="1031" t="s">
        <v>124</v>
      </c>
      <c r="BZ20" s="1031" t="s">
        <v>124</v>
      </c>
      <c r="CA20" s="1031" t="s">
        <v>124</v>
      </c>
      <c r="CB20" s="1031" t="s">
        <v>124</v>
      </c>
      <c r="CC20" s="1031" t="s">
        <v>124</v>
      </c>
      <c r="CD20" s="1031" t="s">
        <v>124</v>
      </c>
      <c r="CE20" s="1031" t="s">
        <v>124</v>
      </c>
      <c r="CF20" s="1031" t="s">
        <v>124</v>
      </c>
      <c r="CG20" s="1031" t="s">
        <v>124</v>
      </c>
      <c r="CH20" s="1031" t="s">
        <v>124</v>
      </c>
      <c r="CI20" s="1031" t="s">
        <v>124</v>
      </c>
      <c r="CJ20" s="1031" t="s">
        <v>124</v>
      </c>
      <c r="CK20" s="1031" t="s">
        <v>124</v>
      </c>
      <c r="CL20" s="1031" t="s">
        <v>124</v>
      </c>
      <c r="CM20" s="1031" t="s">
        <v>124</v>
      </c>
      <c r="CN20" s="1031">
        <v>2.9000000000000001E-2</v>
      </c>
      <c r="CO20" s="1031">
        <v>2.9000000000000001E-2</v>
      </c>
      <c r="CP20" s="1031">
        <v>2.9000000000000001E-2</v>
      </c>
      <c r="CQ20" s="1031">
        <v>2.9000000000000001E-2</v>
      </c>
      <c r="CR20" s="1031">
        <v>2.9000000000000001E-2</v>
      </c>
      <c r="CS20" s="1031">
        <v>2.9000000000000001E-2</v>
      </c>
      <c r="CT20" s="1031">
        <v>2.9000000000000001E-2</v>
      </c>
      <c r="CU20" s="1031">
        <v>2.9000000000000001E-2</v>
      </c>
      <c r="CV20" s="1031">
        <v>2.9000000000000001E-2</v>
      </c>
      <c r="CW20" s="1031">
        <v>2.9000000000000001E-2</v>
      </c>
      <c r="CX20" s="1031">
        <v>2.9499999999999998E-2</v>
      </c>
      <c r="CY20" s="1031">
        <v>2.9499999999999998E-2</v>
      </c>
      <c r="CZ20" s="1031">
        <v>2.9499999999999998E-2</v>
      </c>
      <c r="DA20" s="1031">
        <v>3.0499999999999999E-2</v>
      </c>
      <c r="DB20" s="1031">
        <v>3.0499999999999999E-2</v>
      </c>
      <c r="DC20" s="1057" t="s">
        <v>124</v>
      </c>
      <c r="DD20" s="1057" t="s">
        <v>124</v>
      </c>
      <c r="DE20" s="1057" t="s">
        <v>124</v>
      </c>
      <c r="DF20" s="1057" t="s">
        <v>124</v>
      </c>
      <c r="DG20" s="1057" t="s">
        <v>124</v>
      </c>
      <c r="DH20" s="1057" t="s">
        <v>124</v>
      </c>
      <c r="DI20" s="1057" t="s">
        <v>124</v>
      </c>
      <c r="DJ20" s="1057" t="s">
        <v>124</v>
      </c>
      <c r="DK20" s="1057" t="s">
        <v>124</v>
      </c>
      <c r="DL20" s="1057" t="s">
        <v>124</v>
      </c>
      <c r="DM20" s="1057" t="s">
        <v>124</v>
      </c>
      <c r="DN20" s="1057" t="s">
        <v>124</v>
      </c>
      <c r="DO20" s="1057" t="s">
        <v>124</v>
      </c>
      <c r="DP20" s="1057" t="s">
        <v>124</v>
      </c>
      <c r="DQ20" s="1057" t="s">
        <v>124</v>
      </c>
      <c r="DR20" s="1057" t="s">
        <v>124</v>
      </c>
      <c r="DS20" s="1057">
        <v>3.5799999999999998E-2</v>
      </c>
      <c r="DT20" s="1057">
        <v>3.5799999999999998E-2</v>
      </c>
      <c r="DU20" s="1057">
        <v>3.5799999999999998E-2</v>
      </c>
      <c r="DV20" s="1057">
        <v>3.5799999999999998E-2</v>
      </c>
      <c r="DW20" s="1057">
        <v>3.3799999999999997E-2</v>
      </c>
      <c r="DX20" s="1057">
        <v>3.3799999999999997E-2</v>
      </c>
      <c r="DY20" s="1057" t="s">
        <v>124</v>
      </c>
      <c r="DZ20" s="1057" t="s">
        <v>124</v>
      </c>
      <c r="EA20" s="1057" t="s">
        <v>124</v>
      </c>
      <c r="EB20" s="1057" t="s">
        <v>498</v>
      </c>
      <c r="EC20" s="1057" t="s">
        <v>498</v>
      </c>
      <c r="ED20" s="1057" t="s">
        <v>498</v>
      </c>
      <c r="EE20" s="1057" t="s">
        <v>124</v>
      </c>
      <c r="EF20" s="1057" t="s">
        <v>124</v>
      </c>
      <c r="EG20" s="1057" t="s">
        <v>124</v>
      </c>
      <c r="EH20" s="1057" t="s">
        <v>124</v>
      </c>
      <c r="EI20" s="1057" t="s">
        <v>124</v>
      </c>
      <c r="EJ20" s="1057" t="s">
        <v>124</v>
      </c>
      <c r="EK20" s="1057" t="s">
        <v>124</v>
      </c>
      <c r="EL20" s="1057" t="s">
        <v>124</v>
      </c>
      <c r="EM20" s="1057">
        <v>3.3799999999999997E-2</v>
      </c>
      <c r="EN20" s="1057">
        <v>3.3799999999999997E-2</v>
      </c>
      <c r="EO20" s="1057">
        <v>3.3799999999999997E-2</v>
      </c>
      <c r="EP20" s="1057">
        <v>3.3799999999999997E-2</v>
      </c>
      <c r="EQ20" s="1057">
        <v>3.3799999999999997E-2</v>
      </c>
      <c r="ER20" s="1057">
        <v>3.1E-2</v>
      </c>
      <c r="ES20" s="1057">
        <v>3.1E-2</v>
      </c>
      <c r="ET20" s="1057">
        <v>3.1E-2</v>
      </c>
      <c r="EU20" s="1057">
        <v>3.1E-2</v>
      </c>
      <c r="EV20" s="242"/>
      <c r="EW20" s="242"/>
      <c r="EX20" s="242"/>
      <c r="EY20" s="242"/>
      <c r="EZ20" s="231" t="s">
        <v>270</v>
      </c>
      <c r="FA20" s="242"/>
      <c r="FB20" s="243"/>
      <c r="FC20" s="244"/>
      <c r="FD20" s="243"/>
      <c r="FE20" s="243"/>
      <c r="FF20" s="244"/>
      <c r="FG20" s="244"/>
      <c r="FH20" s="243"/>
      <c r="FI20" s="244"/>
      <c r="FJ20" s="243"/>
      <c r="FK20" s="243"/>
      <c r="FL20" s="243"/>
      <c r="FM20" s="243"/>
      <c r="FN20" s="242"/>
      <c r="FO20" s="242"/>
      <c r="FP20" s="242"/>
      <c r="FQ20" s="242"/>
      <c r="FR20" s="242"/>
      <c r="FS20" s="242"/>
      <c r="FT20" s="242"/>
      <c r="FU20" s="242"/>
      <c r="FV20" s="242"/>
      <c r="FW20" s="242"/>
      <c r="FX20" s="242"/>
      <c r="FY20" s="242"/>
      <c r="FZ20" s="242"/>
      <c r="GA20" s="242"/>
      <c r="GB20" s="242"/>
      <c r="GC20" s="242"/>
      <c r="GD20" s="242"/>
      <c r="GE20" s="242"/>
      <c r="GF20" s="242"/>
      <c r="GG20" s="242"/>
      <c r="GH20" s="242"/>
      <c r="GI20" s="242"/>
      <c r="GJ20" s="242"/>
      <c r="GK20" s="242"/>
      <c r="GL20" s="242"/>
      <c r="GM20" s="242"/>
      <c r="GN20" s="242"/>
      <c r="GO20" s="242"/>
      <c r="GP20" s="242"/>
      <c r="GQ20" s="242"/>
      <c r="GR20" s="242"/>
      <c r="GS20" s="242"/>
      <c r="GT20" s="242"/>
      <c r="GU20" s="242"/>
      <c r="GV20" s="242"/>
      <c r="GW20" s="242"/>
      <c r="GX20" s="242"/>
      <c r="GY20" s="242"/>
      <c r="GZ20" s="242"/>
      <c r="HA20" s="242"/>
      <c r="HB20" s="242"/>
      <c r="HC20" s="242"/>
      <c r="HD20" s="242"/>
      <c r="HE20" s="242"/>
      <c r="HF20" s="941" t="e">
        <f>C20-D20</f>
        <v>#VALUE!</v>
      </c>
    </row>
    <row r="21" spans="1:217" ht="15.6">
      <c r="A21" s="961"/>
      <c r="B21" s="280" t="s">
        <v>124</v>
      </c>
      <c r="C21" s="921"/>
      <c r="D21" s="921"/>
      <c r="E21" s="921"/>
      <c r="F21" s="921"/>
      <c r="G21" s="921"/>
      <c r="H21" s="921"/>
      <c r="I21" s="921"/>
      <c r="J21" s="921"/>
      <c r="K21" s="921"/>
      <c r="L21" s="950"/>
      <c r="M21" s="921"/>
      <c r="N21" s="921"/>
      <c r="O21" s="921"/>
      <c r="P21" s="921"/>
      <c r="Q21" s="950"/>
      <c r="R21" s="921"/>
      <c r="S21" s="921"/>
      <c r="T21" s="970"/>
      <c r="U21" s="970"/>
      <c r="V21" s="970"/>
      <c r="W21" s="926"/>
      <c r="X21" s="926"/>
      <c r="Y21" s="926"/>
      <c r="Z21" s="926"/>
      <c r="AA21" s="926"/>
      <c r="AB21" s="926"/>
      <c r="AC21" s="926"/>
      <c r="AD21" s="926"/>
      <c r="AE21" s="926"/>
      <c r="AF21" s="1006"/>
      <c r="AG21" s="1006"/>
      <c r="AH21" s="1006"/>
      <c r="AI21" s="1006"/>
      <c r="AJ21" s="926"/>
      <c r="AK21" s="1006"/>
      <c r="AL21" s="926"/>
      <c r="AM21" s="1006"/>
      <c r="AN21" s="1006"/>
      <c r="AO21" s="1006"/>
      <c r="AP21" s="939"/>
      <c r="AQ21" s="939"/>
      <c r="AR21" s="939"/>
      <c r="AS21" s="939"/>
      <c r="AT21" s="939"/>
      <c r="AU21" s="939"/>
      <c r="AV21" s="939"/>
      <c r="AW21" s="939"/>
      <c r="AX21" s="939"/>
      <c r="AY21" s="939"/>
      <c r="AZ21" s="939"/>
      <c r="BA21" s="939"/>
      <c r="BB21" s="939"/>
      <c r="BC21" s="939"/>
      <c r="BD21" s="939"/>
      <c r="BE21" s="939"/>
      <c r="BF21" s="939"/>
      <c r="BG21" s="939"/>
      <c r="BH21" s="939"/>
      <c r="BI21" s="939"/>
      <c r="BJ21" s="939"/>
      <c r="BK21" s="939"/>
      <c r="BL21" s="939"/>
      <c r="BM21" s="939"/>
      <c r="BN21" s="939"/>
      <c r="BO21" s="939"/>
      <c r="BP21" s="939"/>
      <c r="BQ21" s="939"/>
      <c r="BR21" s="939"/>
      <c r="BS21" s="939"/>
      <c r="BT21" s="939"/>
      <c r="BU21" s="939"/>
      <c r="BV21" s="939"/>
      <c r="BW21" s="939"/>
      <c r="BX21" s="939"/>
      <c r="BY21" s="939"/>
      <c r="BZ21" s="939"/>
      <c r="CA21" s="939"/>
      <c r="CB21" s="939"/>
      <c r="CC21" s="939"/>
      <c r="CD21" s="939"/>
      <c r="CE21" s="939"/>
      <c r="CF21" s="939"/>
      <c r="CG21" s="939"/>
      <c r="CH21" s="939"/>
      <c r="CI21" s="939"/>
      <c r="CJ21" s="939"/>
      <c r="CK21" s="939"/>
      <c r="CL21" s="939"/>
      <c r="CM21" s="939"/>
      <c r="CN21" s="939"/>
      <c r="CO21" s="939"/>
      <c r="CP21" s="939"/>
      <c r="CQ21" s="939"/>
      <c r="CR21" s="939"/>
      <c r="CS21" s="939"/>
      <c r="CT21" s="939"/>
      <c r="CU21" s="939"/>
      <c r="CV21" s="939"/>
      <c r="CW21" s="939"/>
      <c r="CX21" s="939"/>
      <c r="CY21" s="939"/>
      <c r="CZ21" s="939"/>
      <c r="DA21" s="939"/>
      <c r="DB21" s="939"/>
      <c r="DC21" s="1057"/>
      <c r="DD21" s="1057"/>
      <c r="DE21" s="1057"/>
      <c r="DF21" s="1057"/>
      <c r="DG21" s="1057"/>
      <c r="DH21" s="1057"/>
      <c r="DI21" s="1057"/>
      <c r="DJ21" s="1057"/>
      <c r="DK21" s="1057"/>
      <c r="DL21" s="1057"/>
      <c r="DM21" s="1057"/>
      <c r="DN21" s="1057"/>
      <c r="DO21" s="1057"/>
      <c r="DP21" s="1057"/>
      <c r="DQ21" s="1057"/>
      <c r="DR21" s="1057"/>
      <c r="DS21" s="1057"/>
      <c r="DT21" s="1057"/>
      <c r="DU21" s="1057"/>
      <c r="DV21" s="1057"/>
      <c r="DW21" s="1057"/>
      <c r="DX21" s="1057"/>
      <c r="DY21" s="1057"/>
      <c r="DZ21" s="1057"/>
      <c r="EA21" s="1057"/>
      <c r="EB21" s="1057"/>
      <c r="EC21" s="1057"/>
      <c r="ED21" s="1057"/>
      <c r="EE21" s="1057"/>
      <c r="EF21" s="1057"/>
      <c r="EG21" s="1057"/>
      <c r="EH21" s="1057"/>
      <c r="EI21" s="1057"/>
      <c r="EJ21" s="1057"/>
      <c r="EK21" s="1057"/>
      <c r="EL21" s="1057"/>
      <c r="EM21" s="1057"/>
      <c r="EN21" s="1057"/>
      <c r="EO21" s="1057"/>
      <c r="EP21" s="1057"/>
      <c r="EQ21" s="1057"/>
      <c r="ER21" s="1057"/>
      <c r="ES21" s="1057"/>
      <c r="ET21" s="1057"/>
      <c r="EU21" s="1057"/>
      <c r="EV21" s="242"/>
      <c r="EW21" s="242"/>
      <c r="EX21" s="242"/>
      <c r="EY21" s="242"/>
      <c r="EZ21" s="231" t="s">
        <v>497</v>
      </c>
      <c r="FA21" s="242"/>
      <c r="FB21" s="243"/>
      <c r="FC21" s="244"/>
      <c r="FD21" s="243"/>
      <c r="FE21" s="243"/>
      <c r="FF21" s="244"/>
      <c r="FG21" s="244"/>
      <c r="FH21" s="243"/>
      <c r="FI21" s="244"/>
      <c r="FJ21" s="243"/>
      <c r="FK21" s="243"/>
      <c r="FL21" s="243"/>
      <c r="FM21" s="243"/>
      <c r="FN21" s="242"/>
      <c r="FO21" s="242"/>
      <c r="FP21" s="242"/>
      <c r="FQ21" s="242"/>
      <c r="FR21" s="242"/>
      <c r="FS21" s="242"/>
      <c r="FT21" s="242"/>
      <c r="FU21" s="242"/>
      <c r="FV21" s="242"/>
      <c r="FW21" s="242"/>
      <c r="FX21" s="242"/>
      <c r="FY21" s="242"/>
      <c r="FZ21" s="242"/>
      <c r="GA21" s="242"/>
      <c r="GB21" s="242"/>
      <c r="GC21" s="242"/>
      <c r="GD21" s="242"/>
      <c r="GE21" s="242"/>
      <c r="GF21" s="242"/>
      <c r="GG21" s="242"/>
      <c r="GH21" s="242"/>
      <c r="GI21" s="242"/>
      <c r="GJ21" s="242"/>
      <c r="GK21" s="242"/>
      <c r="GL21" s="242"/>
      <c r="GM21" s="242"/>
      <c r="GN21" s="242"/>
      <c r="GO21" s="242"/>
      <c r="GP21" s="242"/>
      <c r="GQ21" s="242"/>
      <c r="GR21" s="242"/>
      <c r="GS21" s="242"/>
      <c r="GT21" s="242"/>
      <c r="GU21" s="242"/>
      <c r="GV21" s="242"/>
      <c r="GW21" s="242"/>
      <c r="GX21" s="242"/>
      <c r="GY21" s="242"/>
      <c r="GZ21" s="242"/>
      <c r="HA21" s="242"/>
      <c r="HB21" s="242"/>
      <c r="HC21" s="242"/>
      <c r="HD21" s="242"/>
      <c r="HE21" s="242"/>
      <c r="HF21" s="942"/>
    </row>
    <row r="22" spans="1:217" ht="55.2">
      <c r="A22" s="757" t="s">
        <v>23</v>
      </c>
      <c r="B22" s="765" t="s">
        <v>808</v>
      </c>
      <c r="C22" s="842">
        <v>1.2500000000000001E-2</v>
      </c>
      <c r="D22" s="842">
        <v>1.2500000000000001E-2</v>
      </c>
      <c r="E22" s="842">
        <v>1.2500000000000001E-2</v>
      </c>
      <c r="F22" s="276">
        <v>1.2999999999999999E-2</v>
      </c>
      <c r="G22" s="276">
        <v>1.2999999999999999E-2</v>
      </c>
      <c r="H22" s="275">
        <v>1.2999999999999999E-2</v>
      </c>
      <c r="I22" s="768" t="s">
        <v>124</v>
      </c>
      <c r="J22" s="768" t="s">
        <v>124</v>
      </c>
      <c r="K22" s="768" t="s">
        <v>124</v>
      </c>
      <c r="L22" s="768" t="s">
        <v>124</v>
      </c>
      <c r="M22" s="768" t="s">
        <v>124</v>
      </c>
      <c r="N22" s="768" t="s">
        <v>124</v>
      </c>
      <c r="O22" s="768" t="s">
        <v>124</v>
      </c>
      <c r="P22" s="768" t="s">
        <v>124</v>
      </c>
      <c r="Q22" s="768" t="s">
        <v>124</v>
      </c>
      <c r="R22" s="769" t="s">
        <v>572</v>
      </c>
      <c r="S22" s="769" t="s">
        <v>572</v>
      </c>
      <c r="T22" s="769" t="s">
        <v>572</v>
      </c>
      <c r="U22" s="769" t="s">
        <v>652</v>
      </c>
      <c r="V22" s="772" t="s">
        <v>124</v>
      </c>
      <c r="W22" s="772" t="s">
        <v>124</v>
      </c>
      <c r="X22" s="349" t="s">
        <v>124</v>
      </c>
      <c r="Y22" s="349" t="s">
        <v>124</v>
      </c>
      <c r="Z22" s="349" t="s">
        <v>124</v>
      </c>
      <c r="AA22" s="349" t="s">
        <v>124</v>
      </c>
      <c r="AB22" s="326">
        <v>1.2500000000000001E-2</v>
      </c>
      <c r="AC22" s="326">
        <v>1.2500000000000001E-2</v>
      </c>
      <c r="AD22" s="326">
        <v>1.2500000000000001E-2</v>
      </c>
      <c r="AE22" s="770">
        <v>1.2500000000000001E-2</v>
      </c>
      <c r="AF22" s="325">
        <v>1.4E-2</v>
      </c>
      <c r="AG22" s="325">
        <v>1.4E-2</v>
      </c>
      <c r="AH22" s="325">
        <v>1.4E-2</v>
      </c>
      <c r="AI22" s="770">
        <v>1.4E-2</v>
      </c>
      <c r="AJ22" s="326">
        <v>1.7999999999999999E-2</v>
      </c>
      <c r="AK22" s="325">
        <v>1.7999999999999999E-2</v>
      </c>
      <c r="AL22" s="326">
        <v>1.7999999999999999E-2</v>
      </c>
      <c r="AM22" s="325">
        <v>1.7999999999999999E-2</v>
      </c>
      <c r="AN22" s="770">
        <v>1.7999999999999999E-2</v>
      </c>
      <c r="AO22" s="325">
        <v>2.1000000000000001E-2</v>
      </c>
      <c r="AP22" s="324">
        <v>2.1000000000000001E-2</v>
      </c>
      <c r="AQ22" s="324">
        <v>2.1000000000000001E-2</v>
      </c>
      <c r="AR22" s="339">
        <v>2.1000000000000001E-2</v>
      </c>
      <c r="AS22" s="324">
        <v>0.02</v>
      </c>
      <c r="AT22" s="324">
        <v>0.02</v>
      </c>
      <c r="AU22" s="324">
        <v>0.02</v>
      </c>
      <c r="AV22" s="324">
        <v>0.02</v>
      </c>
      <c r="AW22" s="324">
        <v>0.02</v>
      </c>
      <c r="AX22" s="324">
        <v>2.1999999999999999E-2</v>
      </c>
      <c r="AY22" s="324">
        <v>2.1999999999999999E-2</v>
      </c>
      <c r="AZ22" s="324">
        <v>2.1999999999999999E-2</v>
      </c>
      <c r="BA22" s="324">
        <v>2.1999999999999999E-2</v>
      </c>
      <c r="BB22" s="324">
        <v>2.4E-2</v>
      </c>
      <c r="BC22" s="324">
        <v>2.4E-2</v>
      </c>
      <c r="BD22" s="324">
        <v>2.4E-2</v>
      </c>
      <c r="BE22" s="339">
        <v>2.4E-2</v>
      </c>
      <c r="BF22" s="324">
        <v>2.5000000000000001E-2</v>
      </c>
      <c r="BG22" s="324">
        <v>2.5000000000000001E-2</v>
      </c>
      <c r="BH22" s="324">
        <v>2.5000000000000001E-2</v>
      </c>
      <c r="BI22" s="339">
        <v>2.5000000000000001E-2</v>
      </c>
      <c r="BJ22" s="324">
        <v>2.4E-2</v>
      </c>
      <c r="BK22" s="324">
        <v>2.4E-2</v>
      </c>
      <c r="BL22" s="324">
        <v>2.4E-2</v>
      </c>
      <c r="BM22" s="324">
        <v>2.4E-2</v>
      </c>
      <c r="BN22" s="324">
        <v>2.4E-2</v>
      </c>
      <c r="BO22" s="324">
        <v>2.4E-2</v>
      </c>
      <c r="BP22" s="324">
        <v>2.4E-2</v>
      </c>
      <c r="BQ22" s="324">
        <v>2.4E-2</v>
      </c>
      <c r="BR22" s="324">
        <v>2.4E-2</v>
      </c>
      <c r="BS22" s="324">
        <v>2.4E-2</v>
      </c>
      <c r="BT22" s="324">
        <v>2.4E-2</v>
      </c>
      <c r="BU22" s="324">
        <v>2.4E-2</v>
      </c>
      <c r="BV22" s="324">
        <v>2.4E-2</v>
      </c>
      <c r="BW22" s="339">
        <v>2.4500000000000001E-2</v>
      </c>
      <c r="BX22" s="339">
        <v>2.4500000000000001E-2</v>
      </c>
      <c r="BY22" s="339">
        <v>2.4500000000000001E-2</v>
      </c>
      <c r="BZ22" s="339">
        <v>2.4500000000000001E-2</v>
      </c>
      <c r="CA22" s="339">
        <v>2.4500000000000001E-2</v>
      </c>
      <c r="CB22" s="339">
        <v>2.5499999999999998E-2</v>
      </c>
      <c r="CC22" s="339">
        <v>2.5499999999999998E-2</v>
      </c>
      <c r="CD22" s="339">
        <v>2.5499999999999998E-2</v>
      </c>
      <c r="CE22" s="339">
        <v>2.5499999999999998E-2</v>
      </c>
      <c r="CF22" s="339">
        <v>2.6499999999999999E-2</v>
      </c>
      <c r="CG22" s="339">
        <v>2.6499999999999999E-2</v>
      </c>
      <c r="CH22" s="339">
        <v>2.6499999999999999E-2</v>
      </c>
      <c r="CI22" s="339">
        <v>2.6499999999999999E-2</v>
      </c>
      <c r="CJ22" s="339">
        <v>2.6499999999999999E-2</v>
      </c>
      <c r="CK22" s="339">
        <v>2.5000000000000001E-2</v>
      </c>
      <c r="CL22" s="339">
        <v>2.5000000000000001E-2</v>
      </c>
      <c r="CM22" s="339">
        <v>2.5000000000000001E-2</v>
      </c>
      <c r="CN22" s="339">
        <v>2.5000000000000001E-2</v>
      </c>
      <c r="CO22" s="339">
        <v>2.5000000000000001E-2</v>
      </c>
      <c r="CP22" s="339">
        <v>2.5000000000000001E-2</v>
      </c>
      <c r="CQ22" s="339">
        <v>2.5000000000000001E-2</v>
      </c>
      <c r="CR22" s="339">
        <v>2.5000000000000001E-2</v>
      </c>
      <c r="CS22" s="339">
        <v>2.5000000000000001E-2</v>
      </c>
      <c r="CT22" s="339">
        <v>2.5000000000000001E-2</v>
      </c>
      <c r="CU22" s="339">
        <v>2.5000000000000001E-2</v>
      </c>
      <c r="CV22" s="339">
        <v>2.5000000000000001E-2</v>
      </c>
      <c r="CW22" s="339">
        <v>3.1E-2</v>
      </c>
      <c r="CX22" s="339">
        <v>3.3000000000000002E-2</v>
      </c>
      <c r="CY22" s="339">
        <v>3.3000000000000002E-2</v>
      </c>
      <c r="CZ22" s="339">
        <v>3.3000000000000002E-2</v>
      </c>
      <c r="DA22" s="339">
        <v>3.3000000000000002E-2</v>
      </c>
      <c r="DB22" s="339">
        <v>3.3000000000000002E-2</v>
      </c>
      <c r="DC22" s="338">
        <v>3.4000000000000002E-2</v>
      </c>
      <c r="DD22" s="338">
        <v>3.4000000000000002E-2</v>
      </c>
      <c r="DE22" s="338">
        <v>3.4000000000000002E-2</v>
      </c>
      <c r="DF22" s="338">
        <v>3.4000000000000002E-2</v>
      </c>
      <c r="DG22" s="338">
        <v>3.5000000000000003E-2</v>
      </c>
      <c r="DH22" s="338">
        <v>3.5000000000000003E-2</v>
      </c>
      <c r="DI22" s="338">
        <v>3.5000000000000003E-2</v>
      </c>
      <c r="DJ22" s="338">
        <v>3.5000000000000003E-2</v>
      </c>
      <c r="DK22" s="338">
        <v>3.5000000000000003E-2</v>
      </c>
      <c r="DL22" s="338">
        <v>3.5000000000000003E-2</v>
      </c>
      <c r="DM22" s="338">
        <v>3.5000000000000003E-2</v>
      </c>
      <c r="DN22" s="338">
        <v>3.5000000000000003E-2</v>
      </c>
      <c r="DO22" s="338">
        <v>3.5000000000000003E-2</v>
      </c>
      <c r="DP22" s="338">
        <v>3.5000000000000003E-2</v>
      </c>
      <c r="DQ22" s="338" t="s">
        <v>496</v>
      </c>
      <c r="DR22" s="338" t="s">
        <v>496</v>
      </c>
      <c r="DS22" s="338" t="s">
        <v>496</v>
      </c>
      <c r="DT22" s="338" t="s">
        <v>496</v>
      </c>
      <c r="DU22" s="338" t="s">
        <v>496</v>
      </c>
      <c r="DV22" s="338" t="s">
        <v>496</v>
      </c>
      <c r="DW22" s="341" t="s">
        <v>495</v>
      </c>
      <c r="DX22" s="338" t="s">
        <v>494</v>
      </c>
      <c r="DY22" s="338" t="s">
        <v>494</v>
      </c>
      <c r="DZ22" s="338" t="s">
        <v>494</v>
      </c>
      <c r="EA22" s="338">
        <v>3.4000000000000002E-2</v>
      </c>
      <c r="EB22" s="338">
        <v>3.4000000000000002E-2</v>
      </c>
      <c r="EC22" s="338">
        <v>3.4000000000000002E-2</v>
      </c>
      <c r="ED22" s="338">
        <v>3.4000000000000002E-2</v>
      </c>
      <c r="EE22" s="338">
        <v>3.4000000000000002E-2</v>
      </c>
      <c r="EF22" s="338">
        <v>3.4000000000000002E-2</v>
      </c>
      <c r="EG22" s="338">
        <v>3.4000000000000002E-2</v>
      </c>
      <c r="EH22" s="338">
        <v>3.4000000000000002E-2</v>
      </c>
      <c r="EI22" s="338">
        <v>3.4000000000000002E-2</v>
      </c>
      <c r="EJ22" s="338">
        <v>3.6799999999999999E-2</v>
      </c>
      <c r="EK22" s="338">
        <v>3.6799999999999999E-2</v>
      </c>
      <c r="EL22" s="338">
        <v>3.6799999999999999E-2</v>
      </c>
      <c r="EM22" s="338">
        <v>3.6799999999999999E-2</v>
      </c>
      <c r="EN22" s="338">
        <v>3.8800000000000001E-2</v>
      </c>
      <c r="EO22" s="338">
        <v>3.8800000000000001E-2</v>
      </c>
      <c r="EP22" s="338">
        <v>3.8800000000000001E-2</v>
      </c>
      <c r="EQ22" s="338">
        <v>3.8800000000000001E-2</v>
      </c>
      <c r="ER22" s="338">
        <v>0.04</v>
      </c>
      <c r="ES22" s="340"/>
      <c r="ET22" s="340"/>
      <c r="EU22" s="340"/>
      <c r="EV22" s="335"/>
      <c r="EW22" s="335"/>
      <c r="EX22" s="335"/>
      <c r="EY22" s="335"/>
      <c r="EZ22" s="771" t="s">
        <v>447</v>
      </c>
      <c r="FA22" s="335"/>
      <c r="FB22" s="336"/>
      <c r="FC22" s="337"/>
      <c r="FD22" s="336"/>
      <c r="FE22" s="336"/>
      <c r="FF22" s="337"/>
      <c r="FG22" s="337"/>
      <c r="FH22" s="336"/>
      <c r="FI22" s="337"/>
      <c r="FJ22" s="336"/>
      <c r="FK22" s="336"/>
      <c r="FL22" s="336"/>
      <c r="FM22" s="336"/>
      <c r="FN22" s="335"/>
      <c r="FO22" s="335"/>
      <c r="FP22" s="335"/>
      <c r="FQ22" s="335"/>
      <c r="FR22" s="335"/>
      <c r="FS22" s="335"/>
      <c r="FT22" s="335"/>
      <c r="FU22" s="335"/>
      <c r="FV22" s="335"/>
      <c r="FW22" s="335"/>
      <c r="FX22" s="335"/>
      <c r="FY22" s="335"/>
      <c r="FZ22" s="335"/>
      <c r="GA22" s="335"/>
      <c r="GB22" s="335"/>
      <c r="GC22" s="335"/>
      <c r="GD22" s="335"/>
      <c r="GE22" s="335"/>
      <c r="GF22" s="335"/>
      <c r="GG22" s="335"/>
      <c r="GH22" s="335"/>
      <c r="GI22" s="335"/>
      <c r="GJ22" s="335"/>
      <c r="GK22" s="335"/>
      <c r="GL22" s="335"/>
      <c r="GM22" s="335"/>
      <c r="GN22" s="335"/>
      <c r="GO22" s="335"/>
      <c r="GP22" s="335"/>
      <c r="GQ22" s="335"/>
      <c r="GR22" s="335"/>
      <c r="GS22" s="335"/>
      <c r="GT22" s="335"/>
      <c r="GU22" s="335"/>
      <c r="GV22" s="335"/>
      <c r="GW22" s="335"/>
      <c r="GX22" s="335"/>
      <c r="GY22" s="335"/>
      <c r="GZ22" s="335"/>
      <c r="HA22" s="335"/>
      <c r="HB22" s="335"/>
      <c r="HC22" s="335"/>
      <c r="HD22" s="335"/>
      <c r="HE22" s="335"/>
      <c r="HF22" s="768">
        <f>C22-D22</f>
        <v>0</v>
      </c>
      <c r="HG22" s="787" t="s">
        <v>775</v>
      </c>
    </row>
    <row r="23" spans="1:217" ht="15.6">
      <c r="A23" s="959" t="s">
        <v>42</v>
      </c>
      <c r="B23" s="280" t="s">
        <v>784</v>
      </c>
      <c r="C23" s="920">
        <v>1.2E-2</v>
      </c>
      <c r="D23" s="920">
        <v>1.2E-2</v>
      </c>
      <c r="E23" s="920">
        <v>1.2E-2</v>
      </c>
      <c r="F23" s="920">
        <v>1.2E-2</v>
      </c>
      <c r="G23" s="920">
        <v>1.2E-2</v>
      </c>
      <c r="H23" s="963">
        <v>1.2E-2</v>
      </c>
      <c r="I23" s="920">
        <v>1.4500000000000001E-2</v>
      </c>
      <c r="J23" s="920">
        <v>1.4500000000000001E-2</v>
      </c>
      <c r="K23" s="920">
        <v>1.4500000000000001E-2</v>
      </c>
      <c r="L23" s="920">
        <v>1.4500000000000001E-2</v>
      </c>
      <c r="M23" s="920">
        <v>1.4500000000000001E-2</v>
      </c>
      <c r="N23" s="920">
        <v>1.4500000000000001E-2</v>
      </c>
      <c r="O23" s="963">
        <v>1.4500000000000001E-2</v>
      </c>
      <c r="P23" s="920">
        <v>1.2999999999999999E-2</v>
      </c>
      <c r="Q23" s="963">
        <v>1.2999999999999999E-2</v>
      </c>
      <c r="R23" s="920">
        <v>1.15E-2</v>
      </c>
      <c r="S23" s="963">
        <v>1.15E-2</v>
      </c>
      <c r="T23" s="920">
        <v>1.2500000000000001E-2</v>
      </c>
      <c r="U23" s="920">
        <v>1.2500000000000001E-2</v>
      </c>
      <c r="V23" s="963">
        <v>1.2500000000000001E-2</v>
      </c>
      <c r="W23" s="925">
        <v>1.4E-2</v>
      </c>
      <c r="X23" s="925">
        <v>1.4E-2</v>
      </c>
      <c r="Y23" s="925">
        <v>1.4E-2</v>
      </c>
      <c r="Z23" s="925">
        <v>1.4E-2</v>
      </c>
      <c r="AA23" s="925">
        <v>1.4E-2</v>
      </c>
      <c r="AB23" s="925">
        <v>1.4E-2</v>
      </c>
      <c r="AC23" s="925">
        <v>1.4E-2</v>
      </c>
      <c r="AD23" s="925">
        <v>1.4E-2</v>
      </c>
      <c r="AE23" s="925">
        <v>1.4E-2</v>
      </c>
      <c r="AF23" s="1004">
        <v>1.4E-2</v>
      </c>
      <c r="AG23" s="1004">
        <v>1.4E-2</v>
      </c>
      <c r="AH23" s="1004">
        <v>1.4E-2</v>
      </c>
      <c r="AI23" s="999">
        <v>1.4999999999999999E-2</v>
      </c>
      <c r="AJ23" s="925">
        <v>1.7000000000000001E-2</v>
      </c>
      <c r="AK23" s="1004">
        <v>1.7000000000000001E-2</v>
      </c>
      <c r="AL23" s="999">
        <v>1.7000000000000001E-2</v>
      </c>
      <c r="AM23" s="1004">
        <v>1.7999999999999999E-2</v>
      </c>
      <c r="AN23" s="999">
        <v>1.7999999999999999E-2</v>
      </c>
      <c r="AO23" s="1004">
        <v>2.1999999999999999E-2</v>
      </c>
      <c r="AP23" s="1031">
        <v>2.1999999999999999E-2</v>
      </c>
      <c r="AQ23" s="940">
        <v>2.1999999999999999E-2</v>
      </c>
      <c r="AR23" s="1031">
        <v>2.1000000000000001E-2</v>
      </c>
      <c r="AS23" s="1031">
        <v>2.1000000000000001E-2</v>
      </c>
      <c r="AT23" s="1031">
        <v>2.1000000000000001E-2</v>
      </c>
      <c r="AU23" s="1031">
        <v>2.1000000000000001E-2</v>
      </c>
      <c r="AV23" s="940">
        <v>2.1000000000000001E-2</v>
      </c>
      <c r="AW23" s="1031">
        <v>2.3E-2</v>
      </c>
      <c r="AX23" s="1031">
        <v>2.3E-2</v>
      </c>
      <c r="AY23" s="1031">
        <v>2.3E-2</v>
      </c>
      <c r="AZ23" s="1031">
        <v>2.3E-2</v>
      </c>
      <c r="BA23" s="1031">
        <v>2.3E-2</v>
      </c>
      <c r="BB23" s="1031">
        <v>2.5000000000000001E-2</v>
      </c>
      <c r="BC23" s="1031">
        <v>2.5000000000000001E-2</v>
      </c>
      <c r="BD23" s="1031">
        <v>2.5000000000000001E-2</v>
      </c>
      <c r="BE23" s="1031">
        <v>2.8000000000000001E-2</v>
      </c>
      <c r="BF23" s="1031">
        <v>2.8000000000000001E-2</v>
      </c>
      <c r="BG23" s="940">
        <v>2.8000000000000001E-2</v>
      </c>
      <c r="BH23" s="1031">
        <v>2.6800000000000001E-2</v>
      </c>
      <c r="BI23" s="1031">
        <v>2.6800000000000001E-2</v>
      </c>
      <c r="BJ23" s="1031">
        <v>2.6800000000000001E-2</v>
      </c>
      <c r="BK23" s="1031">
        <v>2.6800000000000001E-2</v>
      </c>
      <c r="BL23" s="940">
        <v>2.6800000000000001E-2</v>
      </c>
      <c r="BM23" s="1031">
        <v>0.03</v>
      </c>
      <c r="BN23" s="1031">
        <v>0.03</v>
      </c>
      <c r="BO23" s="1031">
        <v>0.03</v>
      </c>
      <c r="BP23" s="1031">
        <v>0.03</v>
      </c>
      <c r="BQ23" s="1031">
        <v>0.03</v>
      </c>
      <c r="BR23" s="940">
        <v>0.03</v>
      </c>
      <c r="BS23" s="1031">
        <v>2.9000000000000001E-2</v>
      </c>
      <c r="BT23" s="1031">
        <v>2.9000000000000001E-2</v>
      </c>
      <c r="BU23" s="1031">
        <v>2.8500000000000001E-2</v>
      </c>
      <c r="BV23" s="1031">
        <v>2.8500000000000001E-2</v>
      </c>
      <c r="BW23" s="1031">
        <v>2.8500000000000001E-2</v>
      </c>
      <c r="BX23" s="1031">
        <v>2.8500000000000001E-2</v>
      </c>
      <c r="BY23" s="1031">
        <v>2.8500000000000001E-2</v>
      </c>
      <c r="BZ23" s="1031">
        <v>2.75E-2</v>
      </c>
      <c r="CA23" s="1031">
        <v>2.75E-2</v>
      </c>
      <c r="CB23" s="1031">
        <v>2.75E-2</v>
      </c>
      <c r="CC23" s="1031">
        <v>0.03</v>
      </c>
      <c r="CD23" s="1031">
        <v>0.03</v>
      </c>
      <c r="CE23" s="1031">
        <v>3.15E-2</v>
      </c>
      <c r="CF23" s="1031">
        <v>3.15E-2</v>
      </c>
      <c r="CG23" s="1031">
        <v>3.3000000000000002E-2</v>
      </c>
      <c r="CH23" s="1031">
        <v>3.3000000000000002E-2</v>
      </c>
      <c r="CI23" s="1031">
        <v>3.4000000000000002E-2</v>
      </c>
      <c r="CJ23" s="1031">
        <v>3.4000000000000002E-2</v>
      </c>
      <c r="CK23" s="1031">
        <v>3.4000000000000002E-2</v>
      </c>
      <c r="CL23" s="1031">
        <v>3.4000000000000002E-2</v>
      </c>
      <c r="CM23" s="1031">
        <v>3.4000000000000002E-2</v>
      </c>
      <c r="CN23" s="1031">
        <v>3.3000000000000002E-2</v>
      </c>
      <c r="CO23" s="1031">
        <v>3.3000000000000002E-2</v>
      </c>
      <c r="CP23" s="1031">
        <v>3.3000000000000002E-2</v>
      </c>
      <c r="CQ23" s="1031">
        <v>3.3000000000000002E-2</v>
      </c>
      <c r="CR23" s="1031">
        <v>3.3000000000000002E-2</v>
      </c>
      <c r="CS23" s="1031">
        <v>3.3000000000000002E-2</v>
      </c>
      <c r="CT23" s="1031">
        <v>3.3000000000000002E-2</v>
      </c>
      <c r="CU23" s="1031">
        <v>3.3000000000000002E-2</v>
      </c>
      <c r="CV23" s="1031">
        <v>3.3000000000000002E-2</v>
      </c>
      <c r="CW23" s="1031">
        <v>3.3000000000000002E-2</v>
      </c>
      <c r="CX23" s="1031">
        <v>3.1E-2</v>
      </c>
      <c r="CY23" s="1031">
        <v>3.1E-2</v>
      </c>
      <c r="CZ23" s="1031">
        <v>3.1E-2</v>
      </c>
      <c r="DA23" s="1031">
        <v>3.1E-2</v>
      </c>
      <c r="DB23" s="1031">
        <v>3.1E-2</v>
      </c>
      <c r="DC23" s="1031">
        <v>3.1E-2</v>
      </c>
      <c r="DD23" s="1031">
        <v>3.1E-2</v>
      </c>
      <c r="DE23" s="1031">
        <v>3.1E-2</v>
      </c>
      <c r="DF23" s="1031">
        <v>3.1E-2</v>
      </c>
      <c r="DG23" s="1031">
        <v>3.1E-2</v>
      </c>
      <c r="DH23" s="1031">
        <v>3.1E-2</v>
      </c>
      <c r="DI23" s="1031">
        <v>3.1E-2</v>
      </c>
      <c r="DJ23" s="1031">
        <v>3.1E-2</v>
      </c>
      <c r="DK23" s="1031">
        <v>3.1E-2</v>
      </c>
      <c r="DL23" s="1031">
        <v>3.1E-2</v>
      </c>
      <c r="DM23" s="1031">
        <v>3.1E-2</v>
      </c>
      <c r="DN23" s="1031">
        <v>3.1E-2</v>
      </c>
      <c r="DO23" s="1031">
        <v>3.1E-2</v>
      </c>
      <c r="DP23" s="1031">
        <v>3.1E-2</v>
      </c>
      <c r="DQ23" s="1031">
        <v>3.1E-2</v>
      </c>
      <c r="DR23" s="1031">
        <v>3.1E-2</v>
      </c>
      <c r="DS23" s="1031">
        <v>3.1E-2</v>
      </c>
      <c r="DT23" s="1031">
        <v>3.1E-2</v>
      </c>
      <c r="DU23" s="1031">
        <v>3.1E-2</v>
      </c>
      <c r="DV23" s="1031">
        <v>3.1E-2</v>
      </c>
      <c r="DW23" s="1031">
        <v>3.1E-2</v>
      </c>
      <c r="DX23" s="1031">
        <v>3.1E-2</v>
      </c>
      <c r="DY23" s="1031">
        <v>3.1E-2</v>
      </c>
      <c r="DZ23" s="1031">
        <v>3.1E-2</v>
      </c>
      <c r="EA23" s="1031">
        <v>3.1E-2</v>
      </c>
      <c r="EB23" s="1031">
        <v>3.1E-2</v>
      </c>
      <c r="EC23" s="1031">
        <v>3.1E-2</v>
      </c>
      <c r="ED23" s="1031">
        <v>3.1E-2</v>
      </c>
      <c r="EE23" s="1031">
        <v>3.1E-2</v>
      </c>
      <c r="EF23" s="1031">
        <v>3.1E-2</v>
      </c>
      <c r="EG23" s="1031">
        <v>3.1E-2</v>
      </c>
      <c r="EH23" s="1031">
        <v>3.1E-2</v>
      </c>
      <c r="EI23" s="1031">
        <v>3.1E-2</v>
      </c>
      <c r="EJ23" s="1031">
        <v>3.1E-2</v>
      </c>
      <c r="EK23" s="1031">
        <v>3.1E-2</v>
      </c>
      <c r="EL23" s="1031">
        <v>3.1E-2</v>
      </c>
      <c r="EM23" s="1031">
        <v>3.1E-2</v>
      </c>
      <c r="EN23" s="1031">
        <v>3.1E-2</v>
      </c>
      <c r="EO23" s="1031">
        <v>3.1E-2</v>
      </c>
      <c r="EP23" s="1031">
        <v>3.1E-2</v>
      </c>
      <c r="EQ23" s="1031">
        <v>3.1E-2</v>
      </c>
      <c r="ER23" s="1031">
        <v>3.1E-2</v>
      </c>
      <c r="ES23" s="1031">
        <v>3.1E-2</v>
      </c>
      <c r="ET23" s="1031">
        <v>3.1E-2</v>
      </c>
      <c r="EU23" s="1031">
        <v>3.1E-2</v>
      </c>
      <c r="EV23" s="1031">
        <v>3.1E-2</v>
      </c>
      <c r="EW23" s="1031">
        <v>3.4000000000000002E-2</v>
      </c>
      <c r="EX23" s="1031">
        <v>3.4000000000000002E-2</v>
      </c>
      <c r="EY23" s="1031">
        <v>3.4000000000000002E-2</v>
      </c>
      <c r="EZ23" s="1050" t="s">
        <v>281</v>
      </c>
      <c r="FA23" s="242"/>
      <c r="FB23" s="243"/>
      <c r="FC23" s="244"/>
      <c r="FD23" s="243"/>
      <c r="FE23" s="243"/>
      <c r="FF23" s="244"/>
      <c r="FG23" s="244"/>
      <c r="FH23" s="243"/>
      <c r="FI23" s="244"/>
      <c r="FJ23" s="243"/>
      <c r="FK23" s="243"/>
      <c r="FL23" s="243"/>
      <c r="FM23" s="243"/>
      <c r="FN23" s="242"/>
      <c r="FO23" s="242"/>
      <c r="FP23" s="242"/>
      <c r="FQ23" s="242"/>
      <c r="FR23" s="242"/>
      <c r="FS23" s="242"/>
      <c r="FT23" s="242"/>
      <c r="FU23" s="242"/>
      <c r="FV23" s="242"/>
      <c r="FW23" s="242"/>
      <c r="FX23" s="242"/>
      <c r="FY23" s="242"/>
      <c r="FZ23" s="1031">
        <v>3.4000000000000002E-2</v>
      </c>
      <c r="GA23" s="1031">
        <v>3.4000000000000002E-2</v>
      </c>
      <c r="GB23" s="1031">
        <v>3.4000000000000002E-2</v>
      </c>
      <c r="GC23" s="1031">
        <v>3.4000000000000002E-2</v>
      </c>
      <c r="GD23" s="1031">
        <v>3.3799999999999997E-2</v>
      </c>
      <c r="GE23" s="1031">
        <v>3.3799999999999997E-2</v>
      </c>
      <c r="GF23" s="1031">
        <v>3.3799999999999997E-2</v>
      </c>
      <c r="GG23" s="1031">
        <v>3.3799999999999997E-2</v>
      </c>
      <c r="GH23" s="1031">
        <v>3.3799999999999997E-2</v>
      </c>
      <c r="GI23" s="1031">
        <v>3.3799999999999997E-2</v>
      </c>
      <c r="GJ23" s="1031">
        <v>3.2000000000000001E-2</v>
      </c>
      <c r="GK23" s="334"/>
      <c r="GL23" s="334"/>
      <c r="GM23" s="334"/>
      <c r="GN23" s="334"/>
      <c r="GO23" s="334"/>
      <c r="GP23" s="334"/>
      <c r="GQ23" s="334"/>
      <c r="GR23" s="334"/>
      <c r="GS23" s="334"/>
      <c r="GT23" s="242"/>
      <c r="GU23" s="242"/>
      <c r="GV23" s="242"/>
      <c r="GW23" s="242"/>
      <c r="GX23" s="242"/>
      <c r="GY23" s="242"/>
      <c r="GZ23" s="242"/>
      <c r="HA23" s="242"/>
      <c r="HB23" s="1031">
        <v>3.4000000000000002E-2</v>
      </c>
      <c r="HC23" s="1031">
        <v>3.4000000000000002E-2</v>
      </c>
      <c r="HD23" s="1031">
        <v>3.4000000000000002E-2</v>
      </c>
      <c r="HE23" s="1031">
        <v>3.4000000000000002E-2</v>
      </c>
      <c r="HF23" s="941">
        <f>C23-D23</f>
        <v>0</v>
      </c>
    </row>
    <row r="24" spans="1:217" ht="24.75" customHeight="1">
      <c r="A24" s="961"/>
      <c r="B24" s="280" t="s">
        <v>785</v>
      </c>
      <c r="C24" s="921"/>
      <c r="D24" s="921"/>
      <c r="E24" s="921"/>
      <c r="F24" s="921"/>
      <c r="G24" s="921"/>
      <c r="H24" s="950"/>
      <c r="I24" s="921"/>
      <c r="J24" s="921"/>
      <c r="K24" s="921"/>
      <c r="L24" s="921"/>
      <c r="M24" s="921"/>
      <c r="N24" s="921"/>
      <c r="O24" s="950"/>
      <c r="P24" s="921"/>
      <c r="Q24" s="950"/>
      <c r="R24" s="921"/>
      <c r="S24" s="950"/>
      <c r="T24" s="921"/>
      <c r="U24" s="921"/>
      <c r="V24" s="950"/>
      <c r="W24" s="926"/>
      <c r="X24" s="926"/>
      <c r="Y24" s="926"/>
      <c r="Z24" s="926"/>
      <c r="AA24" s="926"/>
      <c r="AB24" s="926"/>
      <c r="AC24" s="926"/>
      <c r="AD24" s="926"/>
      <c r="AE24" s="926"/>
      <c r="AF24" s="1006"/>
      <c r="AG24" s="1006"/>
      <c r="AH24" s="1006"/>
      <c r="AI24" s="1001"/>
      <c r="AJ24" s="926"/>
      <c r="AK24" s="1006"/>
      <c r="AL24" s="1001"/>
      <c r="AM24" s="1006"/>
      <c r="AN24" s="1001"/>
      <c r="AO24" s="1006"/>
      <c r="AP24" s="939"/>
      <c r="AQ24" s="936"/>
      <c r="AR24" s="939"/>
      <c r="AS24" s="939"/>
      <c r="AT24" s="939"/>
      <c r="AU24" s="939"/>
      <c r="AV24" s="936"/>
      <c r="AW24" s="939"/>
      <c r="AX24" s="939"/>
      <c r="AY24" s="939"/>
      <c r="AZ24" s="939"/>
      <c r="BA24" s="939"/>
      <c r="BB24" s="939"/>
      <c r="BC24" s="939"/>
      <c r="BD24" s="939"/>
      <c r="BE24" s="939"/>
      <c r="BF24" s="939"/>
      <c r="BG24" s="936"/>
      <c r="BH24" s="939"/>
      <c r="BI24" s="939"/>
      <c r="BJ24" s="939"/>
      <c r="BK24" s="939"/>
      <c r="BL24" s="936"/>
      <c r="BM24" s="939"/>
      <c r="BN24" s="939"/>
      <c r="BO24" s="939"/>
      <c r="BP24" s="939"/>
      <c r="BQ24" s="939"/>
      <c r="BR24" s="936"/>
      <c r="BS24" s="939"/>
      <c r="BT24" s="939"/>
      <c r="BU24" s="939"/>
      <c r="BV24" s="939"/>
      <c r="BW24" s="939"/>
      <c r="BX24" s="939"/>
      <c r="BY24" s="939"/>
      <c r="BZ24" s="939"/>
      <c r="CA24" s="939"/>
      <c r="CB24" s="939"/>
      <c r="CC24" s="939"/>
      <c r="CD24" s="939"/>
      <c r="CE24" s="939"/>
      <c r="CF24" s="939"/>
      <c r="CG24" s="939"/>
      <c r="CH24" s="939"/>
      <c r="CI24" s="939"/>
      <c r="CJ24" s="939"/>
      <c r="CK24" s="939"/>
      <c r="CL24" s="939"/>
      <c r="CM24" s="939"/>
      <c r="CN24" s="939"/>
      <c r="CO24" s="939"/>
      <c r="CP24" s="939"/>
      <c r="CQ24" s="939"/>
      <c r="CR24" s="939"/>
      <c r="CS24" s="939"/>
      <c r="CT24" s="939"/>
      <c r="CU24" s="939"/>
      <c r="CV24" s="939"/>
      <c r="CW24" s="939"/>
      <c r="CX24" s="939"/>
      <c r="CY24" s="939"/>
      <c r="CZ24" s="939"/>
      <c r="DA24" s="939"/>
      <c r="DB24" s="939"/>
      <c r="DC24" s="939"/>
      <c r="DD24" s="939"/>
      <c r="DE24" s="939"/>
      <c r="DF24" s="939"/>
      <c r="DG24" s="939"/>
      <c r="DH24" s="939"/>
      <c r="DI24" s="939"/>
      <c r="DJ24" s="939"/>
      <c r="DK24" s="939"/>
      <c r="DL24" s="939"/>
      <c r="DM24" s="939"/>
      <c r="DN24" s="939"/>
      <c r="DO24" s="939"/>
      <c r="DP24" s="939"/>
      <c r="DQ24" s="939"/>
      <c r="DR24" s="939"/>
      <c r="DS24" s="939"/>
      <c r="DT24" s="939"/>
      <c r="DU24" s="939"/>
      <c r="DV24" s="939"/>
      <c r="DW24" s="939"/>
      <c r="DX24" s="939"/>
      <c r="DY24" s="939"/>
      <c r="DZ24" s="939"/>
      <c r="EA24" s="939"/>
      <c r="EB24" s="939"/>
      <c r="EC24" s="939"/>
      <c r="ED24" s="939"/>
      <c r="EE24" s="939"/>
      <c r="EF24" s="939"/>
      <c r="EG24" s="939"/>
      <c r="EH24" s="939"/>
      <c r="EI24" s="939"/>
      <c r="EJ24" s="939"/>
      <c r="EK24" s="939"/>
      <c r="EL24" s="939"/>
      <c r="EM24" s="939"/>
      <c r="EN24" s="939"/>
      <c r="EO24" s="939"/>
      <c r="EP24" s="939"/>
      <c r="EQ24" s="939"/>
      <c r="ER24" s="939"/>
      <c r="ES24" s="939"/>
      <c r="ET24" s="939"/>
      <c r="EU24" s="939"/>
      <c r="EV24" s="939"/>
      <c r="EW24" s="939"/>
      <c r="EX24" s="939"/>
      <c r="EY24" s="939"/>
      <c r="EZ24" s="1051"/>
      <c r="FA24" s="242"/>
      <c r="FB24" s="243"/>
      <c r="FC24" s="244"/>
      <c r="FD24" s="243"/>
      <c r="FE24" s="243"/>
      <c r="FF24" s="244"/>
      <c r="FG24" s="244"/>
      <c r="FH24" s="243"/>
      <c r="FI24" s="244"/>
      <c r="FJ24" s="243"/>
      <c r="FK24" s="243"/>
      <c r="FL24" s="243"/>
      <c r="FM24" s="243"/>
      <c r="FN24" s="242"/>
      <c r="FO24" s="242"/>
      <c r="FP24" s="242"/>
      <c r="FQ24" s="242"/>
      <c r="FR24" s="242"/>
      <c r="FS24" s="242"/>
      <c r="FT24" s="242"/>
      <c r="FU24" s="242"/>
      <c r="FV24" s="242"/>
      <c r="FW24" s="242"/>
      <c r="FX24" s="242"/>
      <c r="FY24" s="242"/>
      <c r="FZ24" s="939"/>
      <c r="GA24" s="939"/>
      <c r="GB24" s="939"/>
      <c r="GC24" s="939"/>
      <c r="GD24" s="939"/>
      <c r="GE24" s="939"/>
      <c r="GF24" s="939"/>
      <c r="GG24" s="939"/>
      <c r="GH24" s="939"/>
      <c r="GI24" s="939"/>
      <c r="GJ24" s="939"/>
      <c r="GK24" s="323">
        <v>3.2000000000000001E-2</v>
      </c>
      <c r="GL24" s="323">
        <v>3.2000000000000001E-2</v>
      </c>
      <c r="GM24" s="323">
        <v>3.2000000000000001E-2</v>
      </c>
      <c r="GN24" s="323">
        <v>3.2000000000000001E-2</v>
      </c>
      <c r="GO24" s="323">
        <v>3.2000000000000001E-2</v>
      </c>
      <c r="GP24" s="323">
        <v>3.2000000000000001E-2</v>
      </c>
      <c r="GQ24" s="323">
        <v>3.2000000000000001E-2</v>
      </c>
      <c r="GR24" s="323">
        <v>0.03</v>
      </c>
      <c r="GS24" s="323">
        <v>0.03</v>
      </c>
      <c r="GT24" s="323">
        <v>0.03</v>
      </c>
      <c r="GU24" s="323">
        <v>0.03</v>
      </c>
      <c r="GV24" s="323">
        <v>0.03</v>
      </c>
      <c r="GW24" s="323" t="s">
        <v>124</v>
      </c>
      <c r="GX24" s="242"/>
      <c r="GY24" s="242"/>
      <c r="GZ24" s="242"/>
      <c r="HA24" s="242"/>
      <c r="HB24" s="939"/>
      <c r="HC24" s="939"/>
      <c r="HD24" s="939"/>
      <c r="HE24" s="939"/>
      <c r="HF24" s="942"/>
      <c r="HG24" s="218" t="s">
        <v>765</v>
      </c>
      <c r="HH24" s="747" t="s">
        <v>766</v>
      </c>
    </row>
    <row r="25" spans="1:217" ht="15" customHeight="1">
      <c r="A25" s="959" t="s">
        <v>35</v>
      </c>
      <c r="B25" s="280" t="s">
        <v>710</v>
      </c>
      <c r="C25" s="909">
        <v>1.35E-2</v>
      </c>
      <c r="D25" s="909">
        <v>1.35E-2</v>
      </c>
      <c r="E25" s="909">
        <v>1.35E-2</v>
      </c>
      <c r="F25" s="909">
        <v>1.35E-2</v>
      </c>
      <c r="G25" s="909">
        <v>1.35E-2</v>
      </c>
      <c r="H25" s="909">
        <v>1.35E-2</v>
      </c>
      <c r="I25" s="909">
        <v>1.35E-2</v>
      </c>
      <c r="J25" s="909">
        <v>1.35E-2</v>
      </c>
      <c r="K25" s="909">
        <v>1.35E-2</v>
      </c>
      <c r="L25" s="967">
        <v>1.35E-2</v>
      </c>
      <c r="M25" s="909">
        <v>1.4E-2</v>
      </c>
      <c r="N25" s="909">
        <v>1.4E-2</v>
      </c>
      <c r="O25" s="909">
        <v>1.4E-2</v>
      </c>
      <c r="P25" s="909">
        <v>1.4E-2</v>
      </c>
      <c r="Q25" s="909">
        <v>1.4E-2</v>
      </c>
      <c r="R25" s="909">
        <v>1.4E-2</v>
      </c>
      <c r="S25" s="909">
        <v>1.2500000000000001E-2</v>
      </c>
      <c r="T25" s="909">
        <v>1.2500000000000001E-2</v>
      </c>
      <c r="U25" s="909">
        <v>1.2500000000000001E-2</v>
      </c>
      <c r="V25" s="909">
        <v>1.2500000000000001E-2</v>
      </c>
      <c r="W25" s="909">
        <v>1.2500000000000001E-2</v>
      </c>
      <c r="X25" s="909">
        <v>1.2500000000000001E-2</v>
      </c>
      <c r="Y25" s="909">
        <v>1.2500000000000001E-2</v>
      </c>
      <c r="Z25" s="909">
        <v>1.2500000000000001E-2</v>
      </c>
      <c r="AA25" s="909">
        <v>1.2500000000000001E-2</v>
      </c>
      <c r="AB25" s="909">
        <v>1.2500000000000001E-2</v>
      </c>
      <c r="AC25" s="967">
        <v>1.2500000000000001E-2</v>
      </c>
      <c r="AD25" s="909">
        <v>1.35E-2</v>
      </c>
      <c r="AE25" s="967">
        <v>1.35E-2</v>
      </c>
      <c r="AF25" s="978">
        <v>1.4500000000000001E-2</v>
      </c>
      <c r="AG25" s="967">
        <v>1.4500000000000001E-2</v>
      </c>
      <c r="AH25" s="967">
        <v>1.4999999999999999E-2</v>
      </c>
      <c r="AI25" s="978">
        <v>1.6E-2</v>
      </c>
      <c r="AJ25" s="967">
        <v>1.6E-2</v>
      </c>
      <c r="AK25" s="978">
        <v>1.7000000000000001E-2</v>
      </c>
      <c r="AL25" s="967">
        <v>1.7000000000000001E-2</v>
      </c>
      <c r="AM25" s="978">
        <v>1.8499999999999999E-2</v>
      </c>
      <c r="AN25" s="978">
        <v>1.8499999999999999E-2</v>
      </c>
      <c r="AO25" s="978">
        <v>1.8499999999999999E-2</v>
      </c>
      <c r="AP25" s="984">
        <v>1.8499999999999999E-2</v>
      </c>
      <c r="AQ25" s="984">
        <v>2.0500000000000001E-2</v>
      </c>
      <c r="AR25" s="1012">
        <v>2.2000000000000002E-2</v>
      </c>
      <c r="AS25" s="1012">
        <v>2.2000000000000002E-2</v>
      </c>
      <c r="AT25" s="984">
        <v>2.1999999999999999E-2</v>
      </c>
      <c r="AU25" s="1012" t="s">
        <v>493</v>
      </c>
      <c r="AV25" s="1012" t="s">
        <v>493</v>
      </c>
      <c r="AW25" s="1012" t="s">
        <v>493</v>
      </c>
      <c r="AX25" s="1012" t="s">
        <v>493</v>
      </c>
      <c r="AY25" s="984" t="s">
        <v>493</v>
      </c>
      <c r="AZ25" s="1012" t="s">
        <v>492</v>
      </c>
      <c r="BA25" s="1012" t="s">
        <v>492</v>
      </c>
      <c r="BB25" s="1012" t="e">
        <f>#REF!</f>
        <v>#REF!</v>
      </c>
      <c r="BC25" s="984" t="e">
        <f>#REF!</f>
        <v>#REF!</v>
      </c>
      <c r="BD25" s="1012">
        <v>2.75E-2</v>
      </c>
      <c r="BE25" s="1012">
        <v>2.75E-2</v>
      </c>
      <c r="BF25" s="1012">
        <v>2.75E-2</v>
      </c>
      <c r="BG25" s="984">
        <v>2.75E-2</v>
      </c>
      <c r="BH25" s="1012">
        <v>2.9000000000000001E-2</v>
      </c>
      <c r="BI25" s="1012" t="e">
        <f>#REF!</f>
        <v>#REF!</v>
      </c>
      <c r="BJ25" s="984" t="e">
        <f>#REF!</f>
        <v>#REF!</v>
      </c>
      <c r="BK25" s="1012" t="e">
        <f>#REF!</f>
        <v>#REF!</v>
      </c>
      <c r="BL25" s="984" t="e">
        <f>#REF!</f>
        <v>#REF!</v>
      </c>
      <c r="BM25" s="1012" t="e">
        <f>#REF!</f>
        <v>#REF!</v>
      </c>
      <c r="BN25" s="1012" t="e">
        <f>#REF!</f>
        <v>#REF!</v>
      </c>
      <c r="BO25" s="1012" t="e">
        <f>#REF!</f>
        <v>#REF!</v>
      </c>
      <c r="BP25" s="1012" t="e">
        <f>#REF!</f>
        <v>#REF!</v>
      </c>
      <c r="BQ25" s="1012" t="e">
        <f>#REF!</f>
        <v>#REF!</v>
      </c>
      <c r="BR25" s="1012" t="e">
        <f>#REF!</f>
        <v>#REF!</v>
      </c>
      <c r="BS25" s="1012" t="e">
        <f>#REF!</f>
        <v>#REF!</v>
      </c>
      <c r="BT25" s="1012" t="e">
        <f>#REF!</f>
        <v>#REF!</v>
      </c>
      <c r="BU25" s="1012" t="e">
        <f>#REF!</f>
        <v>#REF!</v>
      </c>
      <c r="BV25" s="1012" t="e">
        <f>#REF!</f>
        <v>#REF!</v>
      </c>
      <c r="BW25" s="1012" t="s">
        <v>491</v>
      </c>
      <c r="BX25" s="1012" t="s">
        <v>490</v>
      </c>
      <c r="BY25" s="1012" t="e">
        <f>#REF!</f>
        <v>#REF!</v>
      </c>
      <c r="BZ25" s="1012" t="s">
        <v>490</v>
      </c>
      <c r="CA25" s="1012" t="e">
        <f>#REF!</f>
        <v>#REF!</v>
      </c>
      <c r="CB25" s="1012" t="s">
        <v>489</v>
      </c>
      <c r="CC25" s="1012" t="s">
        <v>488</v>
      </c>
      <c r="CD25" s="1012" t="s">
        <v>487</v>
      </c>
      <c r="CE25" s="1012" t="s">
        <v>486</v>
      </c>
      <c r="CF25" s="955">
        <v>3.3500000000000002E-2</v>
      </c>
      <c r="CG25" s="955">
        <v>3.3500000000000002E-2</v>
      </c>
      <c r="CH25" s="955">
        <v>3.4500000000000003E-2</v>
      </c>
      <c r="CI25" s="955">
        <v>3.5000000000000003E-2</v>
      </c>
      <c r="CJ25" s="955">
        <v>3.5000000000000003E-2</v>
      </c>
      <c r="CK25" s="955">
        <v>3.5000000000000003E-2</v>
      </c>
      <c r="CL25" s="955">
        <v>3.5000000000000003E-2</v>
      </c>
      <c r="CM25" s="955">
        <v>3.5000000000000003E-2</v>
      </c>
      <c r="CN25" s="955">
        <v>3.5000000000000003E-2</v>
      </c>
      <c r="CO25" s="955">
        <v>3.5000000000000003E-2</v>
      </c>
      <c r="CP25" s="955">
        <v>3.5000000000000003E-2</v>
      </c>
      <c r="CQ25" s="955">
        <v>3.5000000000000003E-2</v>
      </c>
      <c r="CR25" s="955">
        <v>3.5000000000000003E-2</v>
      </c>
      <c r="CS25" s="955">
        <v>3.4000000000000002E-2</v>
      </c>
      <c r="CT25" s="955">
        <v>3.3500000000000002E-2</v>
      </c>
      <c r="CU25" s="955">
        <v>3.3500000000000002E-2</v>
      </c>
      <c r="CV25" s="955">
        <v>3.3500000000000002E-2</v>
      </c>
      <c r="CW25" s="955">
        <v>3.3500000000000002E-2</v>
      </c>
      <c r="CX25" s="955">
        <v>3.3500000000000002E-2</v>
      </c>
      <c r="CY25" s="955">
        <v>3.3500000000000002E-2</v>
      </c>
      <c r="CZ25" s="955">
        <v>3.3500000000000002E-2</v>
      </c>
      <c r="DA25" s="955">
        <v>3.3500000000000002E-2</v>
      </c>
      <c r="DB25" s="955">
        <v>3.3500000000000002E-2</v>
      </c>
      <c r="DC25" s="955">
        <v>3.3500000000000002E-2</v>
      </c>
      <c r="DD25" s="955">
        <v>3.3500000000000002E-2</v>
      </c>
      <c r="DE25" s="955">
        <v>3.3500000000000002E-2</v>
      </c>
      <c r="DF25" s="955">
        <v>3.3500000000000002E-2</v>
      </c>
      <c r="DG25" s="955">
        <v>3.3500000000000002E-2</v>
      </c>
      <c r="DH25" s="955">
        <v>3.3500000000000002E-2</v>
      </c>
      <c r="DI25" s="955">
        <v>3.3500000000000002E-2</v>
      </c>
      <c r="DJ25" s="955">
        <v>3.3500000000000002E-2</v>
      </c>
      <c r="DK25" s="955">
        <v>3.3500000000000002E-2</v>
      </c>
      <c r="DL25" s="955">
        <v>3.3500000000000002E-2</v>
      </c>
      <c r="DM25" s="955">
        <v>3.3500000000000002E-2</v>
      </c>
      <c r="DN25" s="955">
        <v>3.3500000000000002E-2</v>
      </c>
      <c r="DO25" s="955">
        <v>3.3500000000000002E-2</v>
      </c>
      <c r="DP25" s="955">
        <v>3.3500000000000002E-2</v>
      </c>
      <c r="DQ25" s="955">
        <v>3.3500000000000002E-2</v>
      </c>
      <c r="DR25" s="955">
        <v>3.3500000000000002E-2</v>
      </c>
      <c r="DS25" s="955">
        <v>3.3500000000000002E-2</v>
      </c>
      <c r="DT25" s="955">
        <v>3.3500000000000002E-2</v>
      </c>
      <c r="DU25" s="955">
        <v>3.3500000000000002E-2</v>
      </c>
      <c r="DV25" s="955">
        <v>3.3500000000000002E-2</v>
      </c>
      <c r="DW25" s="955">
        <v>3.3500000000000002E-2</v>
      </c>
      <c r="DX25" s="955">
        <v>3.3500000000000002E-2</v>
      </c>
      <c r="DY25" s="955">
        <v>3.3000000000000002E-2</v>
      </c>
      <c r="DZ25" s="955">
        <v>3.3000000000000002E-2</v>
      </c>
      <c r="EA25" s="955">
        <v>3.3000000000000002E-2</v>
      </c>
      <c r="EB25" s="955">
        <v>3.3000000000000002E-2</v>
      </c>
      <c r="EC25" s="955">
        <v>3.3000000000000002E-2</v>
      </c>
      <c r="ED25" s="955">
        <v>3.3000000000000002E-2</v>
      </c>
      <c r="EE25" s="955">
        <v>3.3000000000000002E-2</v>
      </c>
      <c r="EF25" s="955">
        <v>3.3000000000000002E-2</v>
      </c>
      <c r="EG25" s="955">
        <v>3.3000000000000002E-2</v>
      </c>
      <c r="EH25" s="955">
        <v>3.3000000000000002E-2</v>
      </c>
      <c r="EI25" s="955">
        <v>3.3000000000000002E-2</v>
      </c>
      <c r="EJ25" s="955">
        <v>3.3000000000000002E-2</v>
      </c>
      <c r="EK25" s="955">
        <v>3.5000000000000003E-2</v>
      </c>
      <c r="EL25" s="955">
        <v>3.5000000000000003E-2</v>
      </c>
      <c r="EM25" s="955">
        <v>3.5000000000000003E-2</v>
      </c>
      <c r="EN25" s="955">
        <v>3.5000000000000003E-2</v>
      </c>
      <c r="EO25" s="955">
        <v>3.5000000000000003E-2</v>
      </c>
      <c r="EP25" s="955">
        <v>3.5000000000000003E-2</v>
      </c>
      <c r="EQ25" s="955">
        <v>3.5499999999999997E-2</v>
      </c>
      <c r="ER25" s="955">
        <v>3.5499999999999997E-2</v>
      </c>
      <c r="ES25" s="955">
        <v>3.5499999999999997E-2</v>
      </c>
      <c r="ET25" s="955">
        <v>3.5999999999999997E-2</v>
      </c>
      <c r="EU25" s="955">
        <v>3.6499999999999998E-2</v>
      </c>
      <c r="EV25" s="955">
        <v>3.6499999999999998E-2</v>
      </c>
      <c r="EW25" s="955">
        <v>3.6499999999999998E-2</v>
      </c>
      <c r="EX25" s="955">
        <v>3.7499999999999999E-2</v>
      </c>
      <c r="EY25" s="955">
        <v>3.7499999999999999E-2</v>
      </c>
      <c r="EZ25" s="231" t="s">
        <v>281</v>
      </c>
      <c r="FA25" s="1040">
        <v>6.0000000000000001E-3</v>
      </c>
      <c r="FB25" s="238" t="s">
        <v>485</v>
      </c>
      <c r="FC25" s="1042" t="s">
        <v>323</v>
      </c>
      <c r="FD25" s="1040">
        <v>6.0000000000000001E-3</v>
      </c>
      <c r="FE25" s="238" t="s">
        <v>485</v>
      </c>
      <c r="FF25" s="237" t="s">
        <v>323</v>
      </c>
      <c r="FG25" s="1042" t="s">
        <v>321</v>
      </c>
      <c r="FH25" s="1041">
        <v>4.4999999999999997E-3</v>
      </c>
      <c r="FI25" s="1041">
        <v>4.4999999999999997E-3</v>
      </c>
      <c r="FJ25" s="1041">
        <v>4.4999999999999997E-3</v>
      </c>
      <c r="FK25" s="1041">
        <v>4.4999999999999997E-3</v>
      </c>
      <c r="FL25" s="1040">
        <v>6.0000000000000001E-3</v>
      </c>
      <c r="FM25" s="1040">
        <v>6.0000000000000001E-3</v>
      </c>
      <c r="FN25" s="1040">
        <v>6.0000000000000001E-3</v>
      </c>
      <c r="FO25" s="1040">
        <v>6.0000000000000001E-3</v>
      </c>
      <c r="FP25" s="1040">
        <v>6.0000000000000001E-3</v>
      </c>
      <c r="FQ25" s="1040">
        <v>6.0000000000000001E-3</v>
      </c>
      <c r="FR25" s="1040">
        <v>6.0000000000000001E-3</v>
      </c>
      <c r="FS25" s="1040">
        <v>6.0000000000000001E-3</v>
      </c>
      <c r="FT25" s="1040">
        <v>6.0000000000000001E-3</v>
      </c>
      <c r="FU25" s="1040">
        <v>6.0000000000000001E-3</v>
      </c>
      <c r="FV25" s="1040">
        <v>6.0000000000000001E-3</v>
      </c>
      <c r="FW25" s="1040">
        <v>6.0000000000000001E-3</v>
      </c>
      <c r="FX25" s="1040">
        <v>6.0000000000000001E-3</v>
      </c>
      <c r="FY25" s="955">
        <v>1.6E-2</v>
      </c>
      <c r="FZ25" s="955">
        <v>3.7499999999999999E-2</v>
      </c>
      <c r="GA25" s="955">
        <v>3.7499999999999999E-2</v>
      </c>
      <c r="GB25" s="955">
        <v>3.7499999999999999E-2</v>
      </c>
      <c r="GC25" s="955">
        <v>3.9E-2</v>
      </c>
      <c r="GD25" s="955">
        <v>3.9E-2</v>
      </c>
      <c r="GE25" s="955">
        <v>3.9E-2</v>
      </c>
      <c r="GF25" s="955">
        <v>3.9E-2</v>
      </c>
      <c r="GG25" s="955">
        <v>3.9E-2</v>
      </c>
      <c r="GH25" s="955">
        <v>0.03</v>
      </c>
      <c r="GI25" s="955">
        <v>0.03</v>
      </c>
      <c r="GJ25" s="955">
        <v>0.03</v>
      </c>
      <c r="GK25" s="955">
        <v>0.03</v>
      </c>
      <c r="GL25" s="955">
        <v>0.03</v>
      </c>
      <c r="GM25" s="955">
        <v>0.03</v>
      </c>
      <c r="GN25" s="955">
        <v>0.03</v>
      </c>
      <c r="GO25" s="955">
        <v>0.03</v>
      </c>
      <c r="GP25" s="955">
        <v>0.03</v>
      </c>
      <c r="GQ25" s="955">
        <v>0.03</v>
      </c>
      <c r="GR25" s="955">
        <v>0.03</v>
      </c>
      <c r="GS25" s="955">
        <v>2.35E-2</v>
      </c>
      <c r="GT25" s="955">
        <v>2.35E-2</v>
      </c>
      <c r="GU25" s="955">
        <v>2.35E-2</v>
      </c>
      <c r="GV25" s="955">
        <v>0.02</v>
      </c>
      <c r="GW25" s="955">
        <v>0.02</v>
      </c>
      <c r="GX25" s="955">
        <v>0.02</v>
      </c>
      <c r="GY25" s="955">
        <v>1.6E-2</v>
      </c>
      <c r="GZ25" s="955">
        <v>1.6E-2</v>
      </c>
      <c r="HA25" s="955">
        <v>1.6E-2</v>
      </c>
      <c r="HB25" s="955">
        <v>3.7499999999999999E-2</v>
      </c>
      <c r="HC25" s="955">
        <v>3.7499999999999999E-2</v>
      </c>
      <c r="HD25" s="955">
        <v>3.7499999999999999E-2</v>
      </c>
      <c r="HE25" s="955">
        <v>3.7499999999999999E-2</v>
      </c>
      <c r="HF25" s="941">
        <f>C25-D25</f>
        <v>0</v>
      </c>
      <c r="HG25" s="218" t="s">
        <v>755</v>
      </c>
    </row>
    <row r="26" spans="1:217" ht="15" customHeight="1">
      <c r="A26" s="960"/>
      <c r="B26" s="280" t="s">
        <v>754</v>
      </c>
      <c r="C26" s="922"/>
      <c r="D26" s="922"/>
      <c r="E26" s="922"/>
      <c r="F26" s="922"/>
      <c r="G26" s="922"/>
      <c r="H26" s="922"/>
      <c r="I26" s="922"/>
      <c r="J26" s="922"/>
      <c r="K26" s="922"/>
      <c r="L26" s="971"/>
      <c r="M26" s="922"/>
      <c r="N26" s="922"/>
      <c r="O26" s="922"/>
      <c r="P26" s="922"/>
      <c r="Q26" s="922"/>
      <c r="R26" s="922"/>
      <c r="S26" s="922"/>
      <c r="T26" s="922"/>
      <c r="U26" s="922"/>
      <c r="V26" s="922"/>
      <c r="W26" s="922"/>
      <c r="X26" s="922"/>
      <c r="Y26" s="922"/>
      <c r="Z26" s="922"/>
      <c r="AA26" s="922"/>
      <c r="AB26" s="922"/>
      <c r="AC26" s="971"/>
      <c r="AD26" s="922"/>
      <c r="AE26" s="971"/>
      <c r="AF26" s="983"/>
      <c r="AG26" s="971"/>
      <c r="AH26" s="971"/>
      <c r="AI26" s="983"/>
      <c r="AJ26" s="971"/>
      <c r="AK26" s="983"/>
      <c r="AL26" s="971"/>
      <c r="AM26" s="983"/>
      <c r="AN26" s="983"/>
      <c r="AO26" s="983"/>
      <c r="AP26" s="989"/>
      <c r="AQ26" s="989"/>
      <c r="AR26" s="1029"/>
      <c r="AS26" s="1029"/>
      <c r="AT26" s="989"/>
      <c r="AU26" s="1029"/>
      <c r="AV26" s="1029"/>
      <c r="AW26" s="1029"/>
      <c r="AX26" s="1029"/>
      <c r="AY26" s="989"/>
      <c r="AZ26" s="1029"/>
      <c r="BA26" s="1029"/>
      <c r="BB26" s="1029"/>
      <c r="BC26" s="989"/>
      <c r="BD26" s="1029"/>
      <c r="BE26" s="1029"/>
      <c r="BF26" s="1029"/>
      <c r="BG26" s="989"/>
      <c r="BH26" s="1029"/>
      <c r="BI26" s="1029"/>
      <c r="BJ26" s="989"/>
      <c r="BK26" s="1029"/>
      <c r="BL26" s="989"/>
      <c r="BM26" s="1029"/>
      <c r="BN26" s="1029"/>
      <c r="BO26" s="1029"/>
      <c r="BP26" s="1029"/>
      <c r="BQ26" s="1029"/>
      <c r="BR26" s="1029"/>
      <c r="BS26" s="1029"/>
      <c r="BT26" s="1029"/>
      <c r="BU26" s="1029"/>
      <c r="BV26" s="1029"/>
      <c r="BW26" s="1029"/>
      <c r="BX26" s="1029"/>
      <c r="BY26" s="1029"/>
      <c r="BZ26" s="1029"/>
      <c r="CA26" s="1029"/>
      <c r="CB26" s="1029"/>
      <c r="CC26" s="1029"/>
      <c r="CD26" s="1029"/>
      <c r="CE26" s="1029"/>
      <c r="CF26" s="1013"/>
      <c r="CG26" s="1013"/>
      <c r="CH26" s="1013"/>
      <c r="CI26" s="1013"/>
      <c r="CJ26" s="1013"/>
      <c r="CK26" s="1013"/>
      <c r="CL26" s="1013"/>
      <c r="CM26" s="1013"/>
      <c r="CN26" s="1013"/>
      <c r="CO26" s="1013"/>
      <c r="CP26" s="1013"/>
      <c r="CQ26" s="1013"/>
      <c r="CR26" s="1013"/>
      <c r="CS26" s="1013"/>
      <c r="CT26" s="1013"/>
      <c r="CU26" s="1013"/>
      <c r="CV26" s="1013"/>
      <c r="CW26" s="1013"/>
      <c r="CX26" s="1013"/>
      <c r="CY26" s="1013"/>
      <c r="CZ26" s="1013"/>
      <c r="DA26" s="1013"/>
      <c r="DB26" s="1013"/>
      <c r="DC26" s="1013"/>
      <c r="DD26" s="1013"/>
      <c r="DE26" s="1013"/>
      <c r="DF26" s="1013"/>
      <c r="DG26" s="1013"/>
      <c r="DH26" s="1013"/>
      <c r="DI26" s="1013"/>
      <c r="DJ26" s="1013"/>
      <c r="DK26" s="1013"/>
      <c r="DL26" s="1013"/>
      <c r="DM26" s="1013"/>
      <c r="DN26" s="1013"/>
      <c r="DO26" s="1013"/>
      <c r="DP26" s="1013"/>
      <c r="DQ26" s="1013"/>
      <c r="DR26" s="1013"/>
      <c r="DS26" s="1013"/>
      <c r="DT26" s="1013"/>
      <c r="DU26" s="1013"/>
      <c r="DV26" s="1013"/>
      <c r="DW26" s="1013"/>
      <c r="DX26" s="1013"/>
      <c r="DY26" s="1013"/>
      <c r="DZ26" s="1013"/>
      <c r="EA26" s="1013"/>
      <c r="EB26" s="1013"/>
      <c r="EC26" s="1013"/>
      <c r="ED26" s="1013"/>
      <c r="EE26" s="1013"/>
      <c r="EF26" s="1013"/>
      <c r="EG26" s="1013"/>
      <c r="EH26" s="1013"/>
      <c r="EI26" s="1013"/>
      <c r="EJ26" s="1013"/>
      <c r="EK26" s="1013"/>
      <c r="EL26" s="1013"/>
      <c r="EM26" s="1013"/>
      <c r="EN26" s="1013"/>
      <c r="EO26" s="1013"/>
      <c r="EP26" s="1013"/>
      <c r="EQ26" s="1013"/>
      <c r="ER26" s="1013"/>
      <c r="ES26" s="1013"/>
      <c r="ET26" s="1013"/>
      <c r="EU26" s="1013"/>
      <c r="EV26" s="1013"/>
      <c r="EW26" s="1013"/>
      <c r="EX26" s="1013"/>
      <c r="EY26" s="1013"/>
      <c r="EZ26" s="231"/>
      <c r="FA26" s="1040"/>
      <c r="FB26" s="238"/>
      <c r="FC26" s="1042"/>
      <c r="FD26" s="1040"/>
      <c r="FE26" s="238"/>
      <c r="FF26" s="237"/>
      <c r="FG26" s="1042"/>
      <c r="FH26" s="1041"/>
      <c r="FI26" s="1041"/>
      <c r="FJ26" s="1041"/>
      <c r="FK26" s="1041"/>
      <c r="FL26" s="1040"/>
      <c r="FM26" s="1040"/>
      <c r="FN26" s="1040"/>
      <c r="FO26" s="1040"/>
      <c r="FP26" s="1040"/>
      <c r="FQ26" s="1040"/>
      <c r="FR26" s="1040"/>
      <c r="FS26" s="1040"/>
      <c r="FT26" s="1040"/>
      <c r="FU26" s="1040"/>
      <c r="FV26" s="1040"/>
      <c r="FW26" s="1040"/>
      <c r="FX26" s="1040"/>
      <c r="FY26" s="1013"/>
      <c r="FZ26" s="1013"/>
      <c r="GA26" s="1013"/>
      <c r="GB26" s="1013"/>
      <c r="GC26" s="1013"/>
      <c r="GD26" s="1013"/>
      <c r="GE26" s="1013"/>
      <c r="GF26" s="1013"/>
      <c r="GG26" s="1013"/>
      <c r="GH26" s="1013"/>
      <c r="GI26" s="1013"/>
      <c r="GJ26" s="1013"/>
      <c r="GK26" s="1013"/>
      <c r="GL26" s="1013"/>
      <c r="GM26" s="1013"/>
      <c r="GN26" s="1013"/>
      <c r="GO26" s="1013"/>
      <c r="GP26" s="1013"/>
      <c r="GQ26" s="1013"/>
      <c r="GR26" s="1013"/>
      <c r="GS26" s="1013"/>
      <c r="GT26" s="1013"/>
      <c r="GU26" s="1013"/>
      <c r="GV26" s="1013"/>
      <c r="GW26" s="1013"/>
      <c r="GX26" s="1013"/>
      <c r="GY26" s="1013"/>
      <c r="GZ26" s="1013"/>
      <c r="HA26" s="1013"/>
      <c r="HB26" s="1013"/>
      <c r="HC26" s="1013"/>
      <c r="HD26" s="1013"/>
      <c r="HE26" s="1013"/>
      <c r="HF26" s="1048"/>
      <c r="HG26" s="218" t="s">
        <v>582</v>
      </c>
    </row>
    <row r="27" spans="1:217" ht="15.6">
      <c r="A27" s="670" t="s">
        <v>12</v>
      </c>
      <c r="B27" s="280" t="s">
        <v>583</v>
      </c>
      <c r="C27" s="820">
        <v>1.35E-2</v>
      </c>
      <c r="D27" s="820">
        <v>1.35E-2</v>
      </c>
      <c r="E27" s="820">
        <v>1.35E-2</v>
      </c>
      <c r="F27" s="280">
        <v>1.4E-2</v>
      </c>
      <c r="G27" s="280">
        <v>1.4E-2</v>
      </c>
      <c r="H27" s="280">
        <v>1.4E-2</v>
      </c>
      <c r="I27" s="280">
        <v>1.4E-2</v>
      </c>
      <c r="J27" s="280">
        <v>1.4E-2</v>
      </c>
      <c r="K27" s="280">
        <v>1.4E-2</v>
      </c>
      <c r="L27" s="280">
        <v>1.4E-2</v>
      </c>
      <c r="M27" s="280">
        <v>1.4E-2</v>
      </c>
      <c r="N27" s="280">
        <v>1.4E-2</v>
      </c>
      <c r="O27" s="280">
        <v>1.4E-2</v>
      </c>
      <c r="P27" s="280">
        <v>1.4E-2</v>
      </c>
      <c r="Q27" s="280">
        <v>1.4E-2</v>
      </c>
      <c r="R27" s="280">
        <v>1.4E-2</v>
      </c>
      <c r="S27" s="280">
        <v>1.4E-2</v>
      </c>
      <c r="T27" s="240">
        <v>1.4E-2</v>
      </c>
      <c r="U27" s="240">
        <v>1.4E-2</v>
      </c>
      <c r="V27" s="240">
        <v>1.4E-2</v>
      </c>
      <c r="W27" s="280">
        <v>1.4E-2</v>
      </c>
      <c r="X27" s="280">
        <v>1.4E-2</v>
      </c>
      <c r="Y27" s="280">
        <v>1.4E-2</v>
      </c>
      <c r="Z27" s="280">
        <v>1.4E-2</v>
      </c>
      <c r="AA27" s="280">
        <v>1.4E-2</v>
      </c>
      <c r="AB27" s="269">
        <v>1.4E-2</v>
      </c>
      <c r="AC27" s="280">
        <v>1.4500000000000001E-2</v>
      </c>
      <c r="AD27" s="269">
        <v>1.4500000000000001E-2</v>
      </c>
      <c r="AE27" s="280">
        <v>1.6E-2</v>
      </c>
      <c r="AF27" s="269">
        <v>1.6E-2</v>
      </c>
      <c r="AG27" s="240">
        <v>1.7000000000000001E-2</v>
      </c>
      <c r="AH27" s="269">
        <v>1.7000000000000001E-2</v>
      </c>
      <c r="AI27" s="240">
        <v>1.7999999999999999E-2</v>
      </c>
      <c r="AJ27" s="280">
        <v>1.7999999999999999E-2</v>
      </c>
      <c r="AK27" s="269">
        <v>1.7999999999999999E-2</v>
      </c>
      <c r="AL27" s="280">
        <v>0.02</v>
      </c>
      <c r="AM27" s="269">
        <v>0.02</v>
      </c>
      <c r="AN27" s="269">
        <v>2.1000000000000001E-2</v>
      </c>
      <c r="AO27" s="240">
        <v>2.1999999999999999E-2</v>
      </c>
      <c r="AP27" s="235">
        <v>2.1999999999999999E-2</v>
      </c>
      <c r="AQ27" s="235">
        <v>2.1999999999999999E-2</v>
      </c>
      <c r="AR27" s="279">
        <v>2.1999999999999999E-2</v>
      </c>
      <c r="AS27" s="279">
        <v>2.35E-2</v>
      </c>
      <c r="AT27" s="323">
        <v>2.5000000000000001E-2</v>
      </c>
      <c r="AU27" s="323">
        <v>2.5000000000000001E-2</v>
      </c>
      <c r="AV27" s="323">
        <v>2.5000000000000001E-2</v>
      </c>
      <c r="AW27" s="323">
        <v>2.5000000000000001E-2</v>
      </c>
      <c r="AX27" s="323">
        <v>2.5000000000000001E-2</v>
      </c>
      <c r="AY27" s="323">
        <v>2.5000000000000001E-2</v>
      </c>
      <c r="AZ27" s="333">
        <v>2.5000000000000001E-2</v>
      </c>
      <c r="BA27" s="323">
        <v>2.6499999999999999E-2</v>
      </c>
      <c r="BB27" s="323">
        <v>2.6499999999999999E-2</v>
      </c>
      <c r="BC27" s="323">
        <v>2.6499999999999999E-2</v>
      </c>
      <c r="BD27" s="323">
        <v>2.6499999999999999E-2</v>
      </c>
      <c r="BE27" s="323">
        <v>2.75E-2</v>
      </c>
      <c r="BF27" s="323">
        <v>2.75E-2</v>
      </c>
      <c r="BG27" s="333">
        <v>2.75E-2</v>
      </c>
      <c r="BH27" s="323">
        <v>2.9000000000000001E-2</v>
      </c>
      <c r="BI27" s="323">
        <v>2.9000000000000001E-2</v>
      </c>
      <c r="BJ27" s="323">
        <v>2.9000000000000001E-2</v>
      </c>
      <c r="BK27" s="323">
        <v>2.9000000000000001E-2</v>
      </c>
      <c r="BL27" s="333">
        <v>2.9000000000000001E-2</v>
      </c>
      <c r="BM27" s="323">
        <v>0.03</v>
      </c>
      <c r="BN27" s="323">
        <v>0.03</v>
      </c>
      <c r="BO27" s="323">
        <v>0.03</v>
      </c>
      <c r="BP27" s="323">
        <v>0.03</v>
      </c>
      <c r="BQ27" s="333">
        <v>0.03</v>
      </c>
      <c r="BR27" s="323">
        <v>2.9000000000000001E-2</v>
      </c>
      <c r="BS27" s="323">
        <v>2.9000000000000001E-2</v>
      </c>
      <c r="BT27" s="323">
        <v>2.9000000000000001E-2</v>
      </c>
      <c r="BU27" s="323">
        <v>2.9000000000000001E-2</v>
      </c>
      <c r="BV27" s="323">
        <v>2.9000000000000001E-2</v>
      </c>
      <c r="BW27" s="323">
        <v>2.9000000000000001E-2</v>
      </c>
      <c r="BX27" s="323">
        <v>2.9000000000000001E-2</v>
      </c>
      <c r="BY27" s="323">
        <v>2.9000000000000001E-2</v>
      </c>
      <c r="BZ27" s="323">
        <v>3.1E-2</v>
      </c>
      <c r="CA27" s="323">
        <v>3.1E-2</v>
      </c>
      <c r="CB27" s="323">
        <v>2.9499999999999998E-2</v>
      </c>
      <c r="CC27" s="323">
        <v>0.03</v>
      </c>
      <c r="CD27" s="323">
        <v>3.2500000000000001E-2</v>
      </c>
      <c r="CE27" s="323">
        <v>3.2500000000000001E-2</v>
      </c>
      <c r="CF27" s="323">
        <v>3.4500000000000003E-2</v>
      </c>
      <c r="CG27" s="323">
        <v>3.4500000000000003E-2</v>
      </c>
      <c r="CH27" s="323">
        <v>3.4500000000000003E-2</v>
      </c>
      <c r="CI27" s="323">
        <v>3.5000000000000003E-2</v>
      </c>
      <c r="CJ27" s="323">
        <v>3.5000000000000003E-2</v>
      </c>
      <c r="CK27" s="323">
        <v>3.4000000000000002E-2</v>
      </c>
      <c r="CL27" s="323">
        <v>3.4000000000000002E-2</v>
      </c>
      <c r="CM27" s="323">
        <v>3.4000000000000002E-2</v>
      </c>
      <c r="CN27" s="323">
        <v>3.4000000000000002E-2</v>
      </c>
      <c r="CO27" s="323">
        <v>3.4000000000000002E-2</v>
      </c>
      <c r="CP27" s="323">
        <v>3.4000000000000002E-2</v>
      </c>
      <c r="CQ27" s="323">
        <v>3.4000000000000002E-2</v>
      </c>
      <c r="CR27" s="323">
        <v>3.4000000000000002E-2</v>
      </c>
      <c r="CS27" s="323">
        <v>3.4000000000000002E-2</v>
      </c>
      <c r="CT27" s="323">
        <v>3.4000000000000002E-2</v>
      </c>
      <c r="CU27" s="323">
        <v>3.4000000000000002E-2</v>
      </c>
      <c r="CV27" s="323">
        <v>3.4000000000000002E-2</v>
      </c>
      <c r="CW27" s="323">
        <v>3.4000000000000002E-2</v>
      </c>
      <c r="CX27" s="323">
        <v>3.4000000000000002E-2</v>
      </c>
      <c r="CY27" s="323">
        <v>3.4000000000000002E-2</v>
      </c>
      <c r="CZ27" s="323">
        <v>3.4000000000000002E-2</v>
      </c>
      <c r="DA27" s="323">
        <v>3.4000000000000002E-2</v>
      </c>
      <c r="DB27" s="323">
        <v>3.4000000000000002E-2</v>
      </c>
      <c r="DC27" s="323">
        <v>3.4000000000000002E-2</v>
      </c>
      <c r="DD27" s="323">
        <v>3.4000000000000002E-2</v>
      </c>
      <c r="DE27" s="323">
        <v>3.4000000000000002E-2</v>
      </c>
      <c r="DF27" s="323" t="s">
        <v>124</v>
      </c>
      <c r="DG27" s="323" t="s">
        <v>124</v>
      </c>
      <c r="DH27" s="323" t="s">
        <v>124</v>
      </c>
      <c r="DI27" s="323" t="s">
        <v>124</v>
      </c>
      <c r="DJ27" s="323" t="s">
        <v>124</v>
      </c>
      <c r="DK27" s="323" t="s">
        <v>124</v>
      </c>
      <c r="DL27" s="323" t="s">
        <v>124</v>
      </c>
      <c r="DM27" s="323" t="s">
        <v>124</v>
      </c>
      <c r="DN27" s="323" t="s">
        <v>124</v>
      </c>
      <c r="DO27" s="323" t="s">
        <v>124</v>
      </c>
      <c r="DP27" s="323" t="s">
        <v>124</v>
      </c>
      <c r="DQ27" s="323" t="s">
        <v>124</v>
      </c>
      <c r="DR27" s="323" t="s">
        <v>124</v>
      </c>
      <c r="DS27" s="323" t="s">
        <v>124</v>
      </c>
      <c r="DT27" s="323" t="s">
        <v>124</v>
      </c>
      <c r="DU27" s="323" t="s">
        <v>124</v>
      </c>
      <c r="DV27" s="323" t="s">
        <v>124</v>
      </c>
      <c r="DW27" s="323" t="s">
        <v>124</v>
      </c>
      <c r="DX27" s="323" t="s">
        <v>124</v>
      </c>
      <c r="DY27" s="224">
        <v>3.4000000000000002E-2</v>
      </c>
      <c r="DZ27" s="224">
        <v>3.4000000000000002E-2</v>
      </c>
      <c r="EA27" s="224">
        <v>3.4000000000000002E-2</v>
      </c>
      <c r="EB27" s="224">
        <v>3.4000000000000002E-2</v>
      </c>
      <c r="EC27" s="224">
        <v>3.4000000000000002E-2</v>
      </c>
      <c r="ED27" s="224">
        <v>3.4000000000000002E-2</v>
      </c>
      <c r="EE27" s="224">
        <v>3.4000000000000002E-2</v>
      </c>
      <c r="EF27" s="224">
        <v>3.4000000000000002E-2</v>
      </c>
      <c r="EG27" s="224">
        <v>3.4000000000000002E-2</v>
      </c>
      <c r="EH27" s="224">
        <v>3.4000000000000002E-2</v>
      </c>
      <c r="EI27" s="224">
        <v>3.4000000000000002E-2</v>
      </c>
      <c r="EJ27" s="224">
        <v>3.4000000000000002E-2</v>
      </c>
      <c r="EK27" s="224">
        <v>3.4000000000000002E-2</v>
      </c>
      <c r="EL27" s="224">
        <v>3.4000000000000002E-2</v>
      </c>
      <c r="EM27" s="224">
        <v>3.4000000000000002E-2</v>
      </c>
      <c r="EN27" s="224">
        <v>3.4000000000000002E-2</v>
      </c>
      <c r="EO27" s="224">
        <v>3.4000000000000002E-2</v>
      </c>
      <c r="EP27" s="224">
        <v>3.4000000000000002E-2</v>
      </c>
      <c r="EQ27" s="224">
        <v>3.4000000000000002E-2</v>
      </c>
      <c r="ER27" s="224">
        <v>3.4000000000000002E-2</v>
      </c>
      <c r="ES27" s="224">
        <v>3.4000000000000002E-2</v>
      </c>
      <c r="ET27" s="224">
        <v>3.4000000000000002E-2</v>
      </c>
      <c r="EU27" s="224">
        <v>3.4000000000000002E-2</v>
      </c>
      <c r="EV27" s="224">
        <v>3.4000000000000002E-2</v>
      </c>
      <c r="EW27" s="224">
        <v>3.4000000000000002E-2</v>
      </c>
      <c r="EX27" s="224">
        <v>3.4000000000000002E-2</v>
      </c>
      <c r="EY27" s="224">
        <v>3.4000000000000002E-2</v>
      </c>
      <c r="EZ27" s="231" t="s">
        <v>364</v>
      </c>
      <c r="FA27" s="235"/>
      <c r="FB27" s="254"/>
      <c r="FC27" s="231"/>
      <c r="FD27" s="235"/>
      <c r="FE27" s="254"/>
      <c r="FF27" s="237"/>
      <c r="FG27" s="231"/>
      <c r="FH27" s="253"/>
      <c r="FI27" s="253"/>
      <c r="FJ27" s="253"/>
      <c r="FK27" s="253"/>
      <c r="FL27" s="235"/>
      <c r="FM27" s="235"/>
      <c r="FN27" s="235"/>
      <c r="FO27" s="235"/>
      <c r="FP27" s="235"/>
      <c r="FQ27" s="235"/>
      <c r="FR27" s="235"/>
      <c r="FS27" s="235"/>
      <c r="FT27" s="235"/>
      <c r="FU27" s="235"/>
      <c r="FV27" s="235"/>
      <c r="FW27" s="235"/>
      <c r="FX27" s="235"/>
      <c r="FY27" s="267"/>
      <c r="FZ27" s="224">
        <v>1.9E-2</v>
      </c>
      <c r="GA27" s="224">
        <v>1.9E-2</v>
      </c>
      <c r="GB27" s="224">
        <v>1.9E-2</v>
      </c>
      <c r="GC27" s="224">
        <v>1.9E-2</v>
      </c>
      <c r="GD27" s="224">
        <v>1.9E-2</v>
      </c>
      <c r="GE27" s="224">
        <v>1.9E-2</v>
      </c>
      <c r="GF27" s="224">
        <v>1.9E-2</v>
      </c>
      <c r="GG27" s="224">
        <v>1.9E-2</v>
      </c>
      <c r="GH27" s="224">
        <v>1.9E-2</v>
      </c>
      <c r="GI27" s="224">
        <v>1.9E-2</v>
      </c>
      <c r="GJ27" s="224">
        <v>1.9E-2</v>
      </c>
      <c r="GK27" s="224">
        <v>1.9E-2</v>
      </c>
      <c r="GL27" s="224">
        <v>1.9E-2</v>
      </c>
      <c r="GM27" s="224">
        <v>1.9E-2</v>
      </c>
      <c r="GN27" s="224">
        <v>1.9E-2</v>
      </c>
      <c r="GO27" s="224">
        <v>1.9E-2</v>
      </c>
      <c r="GP27" s="224">
        <v>1.9E-2</v>
      </c>
      <c r="GQ27" s="224">
        <v>1.9E-2</v>
      </c>
      <c r="GR27" s="224">
        <v>1.9E-2</v>
      </c>
      <c r="GS27" s="224">
        <v>1.9E-2</v>
      </c>
      <c r="GT27" s="224">
        <v>1.9E-2</v>
      </c>
      <c r="GU27" s="224">
        <v>1.9E-2</v>
      </c>
      <c r="GV27" s="224">
        <v>1.9E-2</v>
      </c>
      <c r="GW27" s="224">
        <v>1.9E-2</v>
      </c>
      <c r="GX27" s="224">
        <v>1.9E-2</v>
      </c>
      <c r="GY27" s="267"/>
      <c r="GZ27" s="267"/>
      <c r="HA27" s="267"/>
      <c r="HB27" s="224">
        <v>1.9E-2</v>
      </c>
      <c r="HC27" s="224">
        <v>3.4000000000000002E-2</v>
      </c>
      <c r="HD27" s="224">
        <v>3.4000000000000002E-2</v>
      </c>
      <c r="HE27" s="224">
        <v>3.4000000000000002E-2</v>
      </c>
      <c r="HF27" s="330">
        <f>C27-D27</f>
        <v>0</v>
      </c>
      <c r="HG27" s="218" t="s">
        <v>595</v>
      </c>
    </row>
    <row r="28" spans="1:217" ht="69">
      <c r="A28" s="757" t="s">
        <v>33</v>
      </c>
      <c r="B28" s="841" t="s">
        <v>836</v>
      </c>
      <c r="C28" s="849">
        <v>1.4E-2</v>
      </c>
      <c r="D28" s="849">
        <v>1.4E-2</v>
      </c>
      <c r="E28" s="842">
        <v>7.0000000000000001E-3</v>
      </c>
      <c r="F28" s="276">
        <v>8.0000000000000002E-3</v>
      </c>
      <c r="G28" s="276">
        <v>8.0000000000000002E-3</v>
      </c>
      <c r="H28" s="276">
        <v>8.0000000000000002E-3</v>
      </c>
      <c r="I28" s="276">
        <v>8.0000000000000002E-3</v>
      </c>
      <c r="J28" s="276">
        <v>8.0000000000000002E-3</v>
      </c>
      <c r="K28" s="276">
        <v>8.0000000000000002E-3</v>
      </c>
      <c r="L28" s="276">
        <v>8.0000000000000002E-3</v>
      </c>
      <c r="M28" s="276">
        <v>8.0000000000000002E-3</v>
      </c>
      <c r="N28" s="276">
        <v>8.0000000000000002E-3</v>
      </c>
      <c r="O28" s="276">
        <v>1.7000000000000001E-2</v>
      </c>
      <c r="P28" s="275">
        <v>1.7000000000000001E-2</v>
      </c>
      <c r="Q28" s="276">
        <v>1.6E-2</v>
      </c>
      <c r="R28" s="276">
        <v>1.6E-2</v>
      </c>
      <c r="S28" s="276">
        <v>1.6E-2</v>
      </c>
      <c r="T28" s="276">
        <v>1.6E-2</v>
      </c>
      <c r="U28" s="275">
        <v>1.6E-2</v>
      </c>
      <c r="V28" s="276">
        <v>8.0000000000000002E-3</v>
      </c>
      <c r="W28" s="276">
        <v>8.0000000000000002E-3</v>
      </c>
      <c r="X28" s="276">
        <v>8.0000000000000002E-3</v>
      </c>
      <c r="Y28" s="276">
        <v>8.0000000000000002E-3</v>
      </c>
      <c r="Z28" s="276">
        <v>8.0000000000000002E-3</v>
      </c>
      <c r="AA28" s="276">
        <v>8.0000000000000002E-3</v>
      </c>
      <c r="AB28" s="276">
        <v>8.0000000000000002E-3</v>
      </c>
      <c r="AC28" s="276">
        <v>8.0000000000000002E-3</v>
      </c>
      <c r="AD28" s="276">
        <v>8.0000000000000002E-3</v>
      </c>
      <c r="AE28" s="275">
        <v>9.4999999999999998E-3</v>
      </c>
      <c r="AF28" s="233">
        <v>1.0500000000000001E-2</v>
      </c>
      <c r="AG28" s="275">
        <v>1.0500000000000001E-2</v>
      </c>
      <c r="AH28" s="233">
        <v>1.15E-2</v>
      </c>
      <c r="AI28" s="233">
        <v>1.15E-2</v>
      </c>
      <c r="AJ28" s="275">
        <v>1.15E-2</v>
      </c>
      <c r="AK28" s="233">
        <v>8.5000000000000006E-3</v>
      </c>
      <c r="AL28" s="276">
        <v>8.5000000000000006E-3</v>
      </c>
      <c r="AM28" s="275">
        <v>8.5000000000000006E-3</v>
      </c>
      <c r="AN28" s="275">
        <v>1.0500000000000001E-2</v>
      </c>
      <c r="AO28" s="233">
        <v>1.2E-2</v>
      </c>
      <c r="AP28" s="274">
        <v>1.2E-2</v>
      </c>
      <c r="AQ28" s="273">
        <v>1.4E-2</v>
      </c>
      <c r="AR28" s="274">
        <v>1.4E-2</v>
      </c>
      <c r="AS28" s="274">
        <v>1.55E-2</v>
      </c>
      <c r="AT28" s="274">
        <v>0.02</v>
      </c>
      <c r="AU28" s="274">
        <v>1.55E-2</v>
      </c>
      <c r="AV28" s="273">
        <v>1.6E-2</v>
      </c>
      <c r="AW28" s="273">
        <v>1.6E-2</v>
      </c>
      <c r="AX28" s="274">
        <v>1.6E-2</v>
      </c>
      <c r="AY28" s="273">
        <v>1.9E-2</v>
      </c>
      <c r="AZ28" s="273">
        <v>1.9E-2</v>
      </c>
      <c r="BA28" s="273">
        <v>1.9E-2</v>
      </c>
      <c r="BB28" s="273">
        <v>2.1999999999999999E-2</v>
      </c>
      <c r="BC28" s="273">
        <v>2.1999999999999999E-2</v>
      </c>
      <c r="BD28" s="273">
        <v>2.1999999999999999E-2</v>
      </c>
      <c r="BE28" s="273">
        <v>2.4E-2</v>
      </c>
      <c r="BF28" s="273">
        <v>2.4E-2</v>
      </c>
      <c r="BG28" s="273">
        <v>2.4E-2</v>
      </c>
      <c r="BH28" s="273">
        <v>2.4E-2</v>
      </c>
      <c r="BI28" s="274">
        <v>2.4E-2</v>
      </c>
      <c r="BJ28" s="273">
        <v>2.58E-2</v>
      </c>
      <c r="BK28" s="273">
        <v>2.58E-2</v>
      </c>
      <c r="BL28" s="273">
        <v>2.58E-2</v>
      </c>
      <c r="BM28" s="274" t="s">
        <v>484</v>
      </c>
      <c r="BN28" s="273">
        <v>2.6499999999999999E-2</v>
      </c>
      <c r="BO28" s="273">
        <v>2.6499999999999999E-2</v>
      </c>
      <c r="BP28" s="273">
        <v>2.6499999999999999E-2</v>
      </c>
      <c r="BQ28" s="273">
        <v>2.6499999999999999E-2</v>
      </c>
      <c r="BR28" s="274">
        <v>2.6499999999999999E-2</v>
      </c>
      <c r="BS28" s="273">
        <v>2.75E-2</v>
      </c>
      <c r="BT28" s="273">
        <v>2.75E-2</v>
      </c>
      <c r="BU28" s="273">
        <v>2.75E-2</v>
      </c>
      <c r="BV28" s="273">
        <v>2.75E-2</v>
      </c>
      <c r="BW28" s="273">
        <v>2.75E-2</v>
      </c>
      <c r="BX28" s="273">
        <v>2.75E-2</v>
      </c>
      <c r="BY28" s="273" t="s">
        <v>483</v>
      </c>
      <c r="BZ28" s="273" t="s">
        <v>483</v>
      </c>
      <c r="CA28" s="273" t="s">
        <v>483</v>
      </c>
      <c r="CB28" s="273" t="s">
        <v>482</v>
      </c>
      <c r="CC28" s="273" t="s">
        <v>482</v>
      </c>
      <c r="CD28" s="273" t="s">
        <v>481</v>
      </c>
      <c r="CE28" s="273" t="s">
        <v>481</v>
      </c>
      <c r="CF28" s="273" t="s">
        <v>124</v>
      </c>
      <c r="CG28" s="332"/>
      <c r="CH28" s="332"/>
      <c r="CI28" s="332"/>
      <c r="CJ28" s="332"/>
      <c r="CK28" s="332"/>
      <c r="CL28" s="332"/>
      <c r="CM28" s="332"/>
      <c r="CN28" s="332"/>
      <c r="CO28" s="332"/>
      <c r="CP28" s="332"/>
      <c r="CQ28" s="273"/>
      <c r="CR28" s="273"/>
      <c r="CS28" s="273"/>
      <c r="CT28" s="273"/>
      <c r="CU28" s="273"/>
      <c r="CV28" s="273"/>
      <c r="CW28" s="273"/>
      <c r="CX28" s="273"/>
      <c r="CY28" s="273"/>
      <c r="CZ28" s="273"/>
      <c r="DA28" s="273"/>
      <c r="DB28" s="273"/>
      <c r="DC28" s="273"/>
      <c r="DD28" s="273"/>
      <c r="DE28" s="273"/>
      <c r="DF28" s="273"/>
      <c r="DG28" s="273"/>
      <c r="DH28" s="273"/>
      <c r="DI28" s="273"/>
      <c r="DJ28" s="273"/>
      <c r="DK28" s="273"/>
      <c r="DL28" s="273"/>
      <c r="DM28" s="273"/>
      <c r="DN28" s="273"/>
      <c r="DO28" s="273"/>
      <c r="DP28" s="273"/>
      <c r="DQ28" s="273"/>
      <c r="DR28" s="273"/>
      <c r="DS28" s="273"/>
      <c r="DT28" s="273"/>
      <c r="DU28" s="273"/>
      <c r="DV28" s="273"/>
      <c r="DW28" s="273"/>
      <c r="DX28" s="273"/>
      <c r="DY28" s="273"/>
      <c r="DZ28" s="273"/>
      <c r="EA28" s="273"/>
      <c r="EB28" s="273"/>
      <c r="EC28" s="273"/>
      <c r="ED28" s="273"/>
      <c r="EE28" s="273"/>
      <c r="EF28" s="273"/>
      <c r="EG28" s="273"/>
      <c r="EH28" s="273"/>
      <c r="EI28" s="273"/>
      <c r="EJ28" s="273"/>
      <c r="EK28" s="273"/>
      <c r="EL28" s="273"/>
      <c r="EM28" s="273"/>
      <c r="EN28" s="273"/>
      <c r="EO28" s="273"/>
      <c r="EP28" s="273"/>
      <c r="EQ28" s="273"/>
      <c r="ER28" s="273"/>
      <c r="ES28" s="273"/>
      <c r="ET28" s="273"/>
      <c r="EU28" s="273"/>
      <c r="EV28" s="273"/>
      <c r="EW28" s="273"/>
      <c r="EX28" s="273"/>
      <c r="EY28" s="273"/>
      <c r="EZ28" s="258" t="s">
        <v>480</v>
      </c>
      <c r="FA28" s="235"/>
      <c r="FB28" s="238"/>
      <c r="FC28" s="231"/>
      <c r="FD28" s="236"/>
      <c r="FE28" s="238"/>
      <c r="FF28" s="237"/>
      <c r="FG28" s="231"/>
      <c r="FH28" s="236"/>
      <c r="FI28" s="236"/>
      <c r="FJ28" s="236"/>
      <c r="FK28" s="236"/>
      <c r="FL28" s="236"/>
      <c r="FM28" s="236"/>
      <c r="FN28" s="235"/>
      <c r="FO28" s="235"/>
      <c r="FP28" s="235"/>
      <c r="FQ28" s="235"/>
      <c r="FR28" s="235"/>
      <c r="FS28" s="235"/>
      <c r="FT28" s="235"/>
      <c r="FU28" s="235"/>
      <c r="FV28" s="235"/>
      <c r="FW28" s="235"/>
      <c r="FX28" s="235"/>
      <c r="FY28" s="331"/>
      <c r="FZ28" s="273"/>
      <c r="GA28" s="273"/>
      <c r="GB28" s="273"/>
      <c r="GC28" s="273"/>
      <c r="GD28" s="273"/>
      <c r="GE28" s="273"/>
      <c r="GF28" s="273"/>
      <c r="GG28" s="273"/>
      <c r="GH28" s="273"/>
      <c r="GI28" s="273"/>
      <c r="GJ28" s="273"/>
      <c r="GK28" s="273"/>
      <c r="GL28" s="273"/>
      <c r="GM28" s="273"/>
      <c r="GN28" s="331"/>
      <c r="GO28" s="331"/>
      <c r="GP28" s="331"/>
      <c r="GQ28" s="331"/>
      <c r="GR28" s="331"/>
      <c r="GS28" s="331"/>
      <c r="GT28" s="331"/>
      <c r="GU28" s="331"/>
      <c r="GV28" s="331"/>
      <c r="GW28" s="331"/>
      <c r="GX28" s="331"/>
      <c r="GY28" s="331"/>
      <c r="GZ28" s="331"/>
      <c r="HA28" s="331"/>
      <c r="HB28" s="273"/>
      <c r="HC28" s="273"/>
      <c r="HD28" s="273"/>
      <c r="HE28" s="273"/>
      <c r="HF28" s="330">
        <f>C28-D28</f>
        <v>0</v>
      </c>
    </row>
    <row r="29" spans="1:217">
      <c r="A29" s="959" t="s">
        <v>16</v>
      </c>
      <c r="B29" s="308" t="s">
        <v>575</v>
      </c>
      <c r="C29" s="909">
        <v>1.2999999999999999E-2</v>
      </c>
      <c r="D29" s="909">
        <v>1.2999999999999999E-2</v>
      </c>
      <c r="E29" s="909">
        <v>1.2999999999999999E-2</v>
      </c>
      <c r="F29" s="909">
        <v>1.2999999999999999E-2</v>
      </c>
      <c r="G29" s="967">
        <v>1.2999999999999999E-2</v>
      </c>
      <c r="H29" s="909">
        <v>1.35E-2</v>
      </c>
      <c r="I29" s="909">
        <v>1.35E-2</v>
      </c>
      <c r="J29" s="909">
        <v>1.35E-2</v>
      </c>
      <c r="K29" s="967">
        <v>1.35E-2</v>
      </c>
      <c r="L29" s="909">
        <v>1.4E-2</v>
      </c>
      <c r="M29" s="909">
        <v>1.4E-2</v>
      </c>
      <c r="N29" s="909">
        <v>1.4E-2</v>
      </c>
      <c r="O29" s="909">
        <v>1.4E-2</v>
      </c>
      <c r="P29" s="909">
        <v>1.4E-2</v>
      </c>
      <c r="Q29" s="909">
        <v>1.4E-2</v>
      </c>
      <c r="R29" s="909">
        <v>1.4E-2</v>
      </c>
      <c r="S29" s="909">
        <v>1.4E-2</v>
      </c>
      <c r="T29" s="909">
        <v>1.4E-2</v>
      </c>
      <c r="U29" s="909">
        <v>1.4E-2</v>
      </c>
      <c r="V29" s="909">
        <v>1.4E-2</v>
      </c>
      <c r="W29" s="909">
        <v>1.4E-2</v>
      </c>
      <c r="X29" s="967">
        <v>1.4E-2</v>
      </c>
      <c r="Y29" s="909">
        <v>1.2999999999999999E-2</v>
      </c>
      <c r="Z29" s="909">
        <v>1.2999999999999999E-2</v>
      </c>
      <c r="AA29" s="909">
        <v>1.2999999999999999E-2</v>
      </c>
      <c r="AB29" s="967">
        <v>1.2999999999999999E-2</v>
      </c>
      <c r="AC29" s="909">
        <v>1.35E-2</v>
      </c>
      <c r="AD29" s="967">
        <v>1.35E-2</v>
      </c>
      <c r="AE29" s="967">
        <v>1.4500000000000001E-2</v>
      </c>
      <c r="AF29" s="967">
        <v>1.55E-2</v>
      </c>
      <c r="AG29" s="967">
        <v>1.6500000000000001E-2</v>
      </c>
      <c r="AH29" s="978">
        <v>1.7000000000000001E-2</v>
      </c>
      <c r="AI29" s="978">
        <v>1.7000000000000001E-2</v>
      </c>
      <c r="AJ29" s="967">
        <v>1.7000000000000001E-2</v>
      </c>
      <c r="AK29" s="967">
        <v>1.7999999999999999E-2</v>
      </c>
      <c r="AL29" s="967">
        <v>1.8200000000000001E-2</v>
      </c>
      <c r="AM29" s="967">
        <v>1.8599999999999998E-2</v>
      </c>
      <c r="AN29" s="967">
        <v>1.95E-2</v>
      </c>
      <c r="AO29" s="978">
        <v>0.02</v>
      </c>
      <c r="AP29" s="984">
        <v>0.02</v>
      </c>
      <c r="AQ29" s="1012">
        <v>2.1000000000000001E-2</v>
      </c>
      <c r="AR29" s="984">
        <v>2.1000000000000001E-2</v>
      </c>
      <c r="AS29" s="984">
        <v>2.1499999999999998E-2</v>
      </c>
      <c r="AT29" s="1025">
        <v>2.2499999999999999E-2</v>
      </c>
      <c r="AU29" s="1025">
        <v>2.3E-2</v>
      </c>
      <c r="AV29" s="1025">
        <v>2.35E-2</v>
      </c>
      <c r="AW29" s="1025">
        <v>2.4E-2</v>
      </c>
      <c r="AX29" s="1023">
        <v>2.4500000000000001E-2</v>
      </c>
      <c r="AY29" s="1021">
        <v>2.5000000000000001E-2</v>
      </c>
      <c r="AZ29" s="1021">
        <v>2.5000000000000001E-2</v>
      </c>
      <c r="BA29" s="1021">
        <v>2.5000000000000001E-2</v>
      </c>
      <c r="BB29" s="1021">
        <v>2.5000000000000001E-2</v>
      </c>
      <c r="BC29" s="1021">
        <v>2.5000000000000001E-2</v>
      </c>
      <c r="BD29" s="1021">
        <v>2.6499999999999999E-2</v>
      </c>
      <c r="BE29" s="1021">
        <v>2.75E-2</v>
      </c>
      <c r="BF29" s="1021">
        <v>2.75E-2</v>
      </c>
      <c r="BG29" s="1021">
        <v>2.75E-2</v>
      </c>
      <c r="BH29" s="1021">
        <v>2.8000000000000001E-2</v>
      </c>
      <c r="BI29" s="1021">
        <v>2.8000000000000001E-2</v>
      </c>
      <c r="BJ29" s="1023">
        <v>2.8000000000000001E-2</v>
      </c>
      <c r="BK29" s="1021">
        <v>2.9000000000000001E-2</v>
      </c>
      <c r="BL29" s="1023" t="s">
        <v>479</v>
      </c>
      <c r="BM29" s="1021">
        <v>0.03</v>
      </c>
      <c r="BN29" s="1021">
        <v>0.03</v>
      </c>
      <c r="BO29" s="1021">
        <v>0.03</v>
      </c>
      <c r="BP29" s="1021">
        <v>0.03</v>
      </c>
      <c r="BQ29" s="1021">
        <v>0.03</v>
      </c>
      <c r="BR29" s="1021">
        <v>0.03</v>
      </c>
      <c r="BS29" s="1021">
        <v>0.03</v>
      </c>
      <c r="BT29" s="1021">
        <v>0.03</v>
      </c>
      <c r="BU29" s="1021">
        <v>0.03</v>
      </c>
      <c r="BV29" s="1021">
        <v>3.0499999999999999E-2</v>
      </c>
      <c r="BW29" s="1021">
        <v>3.0499999999999999E-2</v>
      </c>
      <c r="BX29" s="1021">
        <v>3.0499999999999999E-2</v>
      </c>
      <c r="BY29" s="1021">
        <v>3.1E-2</v>
      </c>
      <c r="BZ29" s="1021">
        <v>0.03</v>
      </c>
      <c r="CA29" s="1021">
        <v>2.9000000000000001E-2</v>
      </c>
      <c r="CB29" s="1021">
        <v>3.0499999999999999E-2</v>
      </c>
      <c r="CC29" s="1021">
        <v>3.15E-2</v>
      </c>
      <c r="CD29" s="1021">
        <v>3.15E-2</v>
      </c>
      <c r="CE29" s="1021">
        <v>3.2000000000000001E-2</v>
      </c>
      <c r="CF29" s="1021">
        <v>3.3500000000000002E-2</v>
      </c>
      <c r="CG29" s="1021">
        <v>3.3500000000000002E-2</v>
      </c>
      <c r="CH29" s="1021">
        <v>3.3500000000000002E-2</v>
      </c>
      <c r="CI29" s="1021">
        <v>3.4000000000000002E-2</v>
      </c>
      <c r="CJ29" s="1021">
        <v>3.4500000000000003E-2</v>
      </c>
      <c r="CK29" s="1021">
        <v>3.5000000000000003E-2</v>
      </c>
      <c r="CL29" s="1021">
        <v>3.5000000000000003E-2</v>
      </c>
      <c r="CM29" s="1021">
        <v>3.5000000000000003E-2</v>
      </c>
      <c r="CN29" s="1021">
        <v>3.5000000000000003E-2</v>
      </c>
      <c r="CO29" s="1021">
        <v>3.5000000000000003E-2</v>
      </c>
      <c r="CP29" s="1021">
        <v>3.5000000000000003E-2</v>
      </c>
      <c r="CQ29" s="1021">
        <v>3.5000000000000003E-2</v>
      </c>
      <c r="CR29" s="1021">
        <v>3.4000000000000002E-2</v>
      </c>
      <c r="CS29" s="1021">
        <v>3.4000000000000002E-2</v>
      </c>
      <c r="CT29" s="1021">
        <v>3.3000000000000002E-2</v>
      </c>
      <c r="CU29" s="1021">
        <v>3.3000000000000002E-2</v>
      </c>
      <c r="CV29" s="1021">
        <v>3.3000000000000002E-2</v>
      </c>
      <c r="CW29" s="1021">
        <v>3.3500000000000002E-2</v>
      </c>
      <c r="CX29" s="1021">
        <v>3.3500000000000002E-2</v>
      </c>
      <c r="CY29" s="1021">
        <v>3.3500000000000002E-2</v>
      </c>
      <c r="CZ29" s="1021">
        <v>3.3500000000000002E-2</v>
      </c>
      <c r="DA29" s="1021">
        <v>3.3500000000000002E-2</v>
      </c>
      <c r="DB29" s="1021">
        <v>3.4000000000000002E-2</v>
      </c>
      <c r="DC29" s="1021">
        <v>3.4000000000000002E-2</v>
      </c>
      <c r="DD29" s="1021">
        <v>3.4000000000000002E-2</v>
      </c>
      <c r="DE29" s="1021">
        <v>3.4000000000000002E-2</v>
      </c>
      <c r="DF29" s="1021">
        <v>3.4000000000000002E-2</v>
      </c>
      <c r="DG29" s="1021">
        <v>3.4500000000000003E-2</v>
      </c>
      <c r="DH29" s="1021">
        <v>3.4500000000000003E-2</v>
      </c>
      <c r="DI29" s="1021">
        <v>3.4500000000000003E-2</v>
      </c>
      <c r="DJ29" s="1021">
        <v>3.4500000000000003E-2</v>
      </c>
      <c r="DK29" s="1021">
        <v>3.5000000000000003E-2</v>
      </c>
      <c r="DL29" s="1021">
        <v>3.5999999999999997E-2</v>
      </c>
      <c r="DM29" s="1021">
        <v>3.5999999999999997E-2</v>
      </c>
      <c r="DN29" s="1021">
        <v>3.5999999999999997E-2</v>
      </c>
      <c r="DO29" s="1021">
        <v>3.5999999999999997E-2</v>
      </c>
      <c r="DP29" s="1021">
        <v>3.5999999999999997E-2</v>
      </c>
      <c r="DQ29" s="1021">
        <v>3.5999999999999997E-2</v>
      </c>
      <c r="DR29" s="1021">
        <v>3.5499999999999997E-2</v>
      </c>
      <c r="DS29" s="1021">
        <v>3.5000000000000003E-2</v>
      </c>
      <c r="DT29" s="1021">
        <v>3.4500000000000003E-2</v>
      </c>
      <c r="DU29" s="1021">
        <v>3.4500000000000003E-2</v>
      </c>
      <c r="DV29" s="1021">
        <v>3.3500000000000002E-2</v>
      </c>
      <c r="DW29" s="1021">
        <v>3.3500000000000002E-2</v>
      </c>
      <c r="DX29" s="1021">
        <v>3.3500000000000002E-2</v>
      </c>
      <c r="DY29" s="1021">
        <v>3.3500000000000002E-2</v>
      </c>
      <c r="DZ29" s="1021">
        <v>3.4000000000000002E-2</v>
      </c>
      <c r="EA29" s="1021">
        <v>3.4000000000000002E-2</v>
      </c>
      <c r="EB29" s="1021">
        <v>3.4000000000000002E-2</v>
      </c>
      <c r="EC29" s="1021">
        <v>3.4500000000000003E-2</v>
      </c>
      <c r="ED29" s="1021">
        <v>3.5000000000000003E-2</v>
      </c>
      <c r="EE29" s="1021">
        <v>3.5000000000000003E-2</v>
      </c>
      <c r="EF29" s="1021">
        <v>3.5000000000000003E-2</v>
      </c>
      <c r="EG29" s="1021">
        <v>3.5000000000000003E-2</v>
      </c>
      <c r="EH29" s="1021">
        <v>3.5000000000000003E-2</v>
      </c>
      <c r="EI29" s="1021">
        <v>3.5000000000000003E-2</v>
      </c>
      <c r="EJ29" s="1021">
        <v>3.5000000000000003E-2</v>
      </c>
      <c r="EK29" s="1021">
        <v>3.5000000000000003E-2</v>
      </c>
      <c r="EL29" s="1021">
        <v>3.5000000000000003E-2</v>
      </c>
      <c r="EM29" s="1021">
        <v>3.5000000000000003E-2</v>
      </c>
      <c r="EN29" s="1021">
        <v>3.5000000000000003E-2</v>
      </c>
      <c r="EO29" s="1021">
        <v>3.5000000000000003E-2</v>
      </c>
      <c r="EP29" s="1021">
        <v>3.5000000000000003E-2</v>
      </c>
      <c r="EQ29" s="1021">
        <v>3.5000000000000003E-2</v>
      </c>
      <c r="ER29" s="1021">
        <v>3.5000000000000003E-2</v>
      </c>
      <c r="ES29" s="1021">
        <v>3.5000000000000003E-2</v>
      </c>
      <c r="ET29" s="1021">
        <v>3.5499999999999997E-2</v>
      </c>
      <c r="EU29" s="1021">
        <v>3.5499999999999997E-2</v>
      </c>
      <c r="EV29" s="1021">
        <v>3.5999999999999997E-2</v>
      </c>
      <c r="EW29" s="1021">
        <v>3.5999999999999997E-2</v>
      </c>
      <c r="EX29" s="1021">
        <v>3.6499999999999998E-2</v>
      </c>
      <c r="EY29" s="1021">
        <v>3.6999999999999998E-2</v>
      </c>
      <c r="EZ29" s="258" t="s">
        <v>306</v>
      </c>
      <c r="FA29" s="235"/>
      <c r="FB29" s="238"/>
      <c r="FC29" s="231"/>
      <c r="FD29" s="236"/>
      <c r="FE29" s="238"/>
      <c r="FF29" s="237"/>
      <c r="FG29" s="231"/>
      <c r="FH29" s="236"/>
      <c r="FI29" s="236"/>
      <c r="FJ29" s="236"/>
      <c r="FK29" s="236"/>
      <c r="FL29" s="236"/>
      <c r="FM29" s="236"/>
      <c r="FN29" s="235"/>
      <c r="FO29" s="235"/>
      <c r="FP29" s="235"/>
      <c r="FQ29" s="235"/>
      <c r="FR29" s="235"/>
      <c r="FS29" s="235"/>
      <c r="FT29" s="235"/>
      <c r="FU29" s="235"/>
      <c r="FV29" s="235"/>
      <c r="FW29" s="235"/>
      <c r="FX29" s="235"/>
      <c r="FY29" s="1021">
        <v>1.7999999999999999E-2</v>
      </c>
      <c r="FZ29" s="1021">
        <v>3.7499999999999999E-2</v>
      </c>
      <c r="GA29" s="1021">
        <v>3.7499999999999999E-2</v>
      </c>
      <c r="GB29" s="1021">
        <v>3.7499999999999999E-2</v>
      </c>
      <c r="GC29" s="1021">
        <v>3.7499999999999999E-2</v>
      </c>
      <c r="GD29" s="1021">
        <v>3.7999999999999999E-2</v>
      </c>
      <c r="GE29" s="1021">
        <v>3.7999999999999999E-2</v>
      </c>
      <c r="GF29" s="1021">
        <v>3.9E-2</v>
      </c>
      <c r="GG29" s="1021">
        <v>3.7999999999999999E-2</v>
      </c>
      <c r="GH29" s="1021">
        <v>3.7999999999999999E-2</v>
      </c>
      <c r="GI29" s="1021">
        <v>3.7999999999999999E-2</v>
      </c>
      <c r="GJ29" s="1021">
        <v>3.6999999999999998E-2</v>
      </c>
      <c r="GK29" s="1021">
        <v>3.6999999999999998E-2</v>
      </c>
      <c r="GL29" s="1021">
        <v>3.6999999999999998E-2</v>
      </c>
      <c r="GM29" s="1021">
        <v>3.6999999999999998E-2</v>
      </c>
      <c r="GN29" s="1021">
        <v>3.6999999999999998E-2</v>
      </c>
      <c r="GO29" s="1021">
        <v>3.6499999999999998E-2</v>
      </c>
      <c r="GP29" s="1021">
        <v>3.5999999999999997E-2</v>
      </c>
      <c r="GQ29" s="1021">
        <v>3.2000000000000001E-2</v>
      </c>
      <c r="GR29" s="1021">
        <v>0.03</v>
      </c>
      <c r="GS29" s="1021">
        <v>0.03</v>
      </c>
      <c r="GT29" s="1021">
        <v>2.7E-2</v>
      </c>
      <c r="GU29" s="1021">
        <v>2.7E-2</v>
      </c>
      <c r="GV29" s="1021">
        <v>2.3E-2</v>
      </c>
      <c r="GW29" s="1021">
        <v>2.1499999999999998E-2</v>
      </c>
      <c r="GX29" s="1021">
        <v>2.1000000000000001E-2</v>
      </c>
      <c r="GY29" s="1021">
        <v>0.02</v>
      </c>
      <c r="GZ29" s="1021">
        <v>0.02</v>
      </c>
      <c r="HA29" s="1021">
        <v>0.02</v>
      </c>
      <c r="HB29" s="1021">
        <v>3.7499999999999999E-2</v>
      </c>
      <c r="HC29" s="1021">
        <v>3.6999999999999998E-2</v>
      </c>
      <c r="HD29" s="1021">
        <v>3.7499999999999999E-2</v>
      </c>
      <c r="HE29" s="1021">
        <v>3.7499999999999999E-2</v>
      </c>
      <c r="HF29" s="941">
        <f>C29-D29</f>
        <v>0</v>
      </c>
    </row>
    <row r="30" spans="1:217">
      <c r="A30" s="961"/>
      <c r="B30" s="280" t="s">
        <v>822</v>
      </c>
      <c r="C30" s="910"/>
      <c r="D30" s="910"/>
      <c r="E30" s="910"/>
      <c r="F30" s="910"/>
      <c r="G30" s="968"/>
      <c r="H30" s="910"/>
      <c r="I30" s="910"/>
      <c r="J30" s="910"/>
      <c r="K30" s="968"/>
      <c r="L30" s="910"/>
      <c r="M30" s="910"/>
      <c r="N30" s="910"/>
      <c r="O30" s="910"/>
      <c r="P30" s="910"/>
      <c r="Q30" s="910"/>
      <c r="R30" s="910"/>
      <c r="S30" s="910"/>
      <c r="T30" s="910"/>
      <c r="U30" s="910"/>
      <c r="V30" s="910"/>
      <c r="W30" s="910"/>
      <c r="X30" s="968"/>
      <c r="Y30" s="910"/>
      <c r="Z30" s="910"/>
      <c r="AA30" s="910"/>
      <c r="AB30" s="968"/>
      <c r="AC30" s="910"/>
      <c r="AD30" s="968"/>
      <c r="AE30" s="968"/>
      <c r="AF30" s="968"/>
      <c r="AG30" s="968"/>
      <c r="AH30" s="979"/>
      <c r="AI30" s="979"/>
      <c r="AJ30" s="968"/>
      <c r="AK30" s="968"/>
      <c r="AL30" s="968"/>
      <c r="AM30" s="968"/>
      <c r="AN30" s="968"/>
      <c r="AO30" s="979"/>
      <c r="AP30" s="985"/>
      <c r="AQ30" s="1026"/>
      <c r="AR30" s="985"/>
      <c r="AS30" s="985"/>
      <c r="AT30" s="1025"/>
      <c r="AU30" s="1025"/>
      <c r="AV30" s="1025"/>
      <c r="AW30" s="1025"/>
      <c r="AX30" s="1024"/>
      <c r="AY30" s="1022"/>
      <c r="AZ30" s="1022"/>
      <c r="BA30" s="1022"/>
      <c r="BB30" s="1022"/>
      <c r="BC30" s="1022"/>
      <c r="BD30" s="1022"/>
      <c r="BE30" s="1022"/>
      <c r="BF30" s="1022"/>
      <c r="BG30" s="1022"/>
      <c r="BH30" s="1022"/>
      <c r="BI30" s="1022"/>
      <c r="BJ30" s="1024"/>
      <c r="BK30" s="1022"/>
      <c r="BL30" s="1024"/>
      <c r="BM30" s="1022"/>
      <c r="BN30" s="1022"/>
      <c r="BO30" s="1022"/>
      <c r="BP30" s="1022"/>
      <c r="BQ30" s="1022"/>
      <c r="BR30" s="1022"/>
      <c r="BS30" s="1022"/>
      <c r="BT30" s="1022"/>
      <c r="BU30" s="1022"/>
      <c r="BV30" s="1022"/>
      <c r="BW30" s="1022"/>
      <c r="BX30" s="1022"/>
      <c r="BY30" s="1022"/>
      <c r="BZ30" s="1022"/>
      <c r="CA30" s="1022"/>
      <c r="CB30" s="1022"/>
      <c r="CC30" s="1022"/>
      <c r="CD30" s="1022"/>
      <c r="CE30" s="1022"/>
      <c r="CF30" s="1022"/>
      <c r="CG30" s="1022"/>
      <c r="CH30" s="1022"/>
      <c r="CI30" s="1022"/>
      <c r="CJ30" s="1022"/>
      <c r="CK30" s="1022"/>
      <c r="CL30" s="1022"/>
      <c r="CM30" s="1022"/>
      <c r="CN30" s="1022"/>
      <c r="CO30" s="1022"/>
      <c r="CP30" s="1022"/>
      <c r="CQ30" s="1022"/>
      <c r="CR30" s="1022"/>
      <c r="CS30" s="1022"/>
      <c r="CT30" s="1022"/>
      <c r="CU30" s="1022"/>
      <c r="CV30" s="1022"/>
      <c r="CW30" s="1022"/>
      <c r="CX30" s="1022"/>
      <c r="CY30" s="1022"/>
      <c r="CZ30" s="1022"/>
      <c r="DA30" s="1022"/>
      <c r="DB30" s="1022"/>
      <c r="DC30" s="1022"/>
      <c r="DD30" s="1022"/>
      <c r="DE30" s="1022"/>
      <c r="DF30" s="1022"/>
      <c r="DG30" s="1022"/>
      <c r="DH30" s="1022"/>
      <c r="DI30" s="1022"/>
      <c r="DJ30" s="1022"/>
      <c r="DK30" s="1022"/>
      <c r="DL30" s="1022"/>
      <c r="DM30" s="1022"/>
      <c r="DN30" s="1022"/>
      <c r="DO30" s="1022"/>
      <c r="DP30" s="1022"/>
      <c r="DQ30" s="1022"/>
      <c r="DR30" s="1022"/>
      <c r="DS30" s="1022"/>
      <c r="DT30" s="1022"/>
      <c r="DU30" s="1022"/>
      <c r="DV30" s="1022"/>
      <c r="DW30" s="1022"/>
      <c r="DX30" s="1022"/>
      <c r="DY30" s="1022"/>
      <c r="DZ30" s="1022"/>
      <c r="EA30" s="1022"/>
      <c r="EB30" s="1022"/>
      <c r="EC30" s="1022"/>
      <c r="ED30" s="1022"/>
      <c r="EE30" s="1022"/>
      <c r="EF30" s="1022"/>
      <c r="EG30" s="1022"/>
      <c r="EH30" s="1022"/>
      <c r="EI30" s="1022"/>
      <c r="EJ30" s="1022"/>
      <c r="EK30" s="1022"/>
      <c r="EL30" s="1022"/>
      <c r="EM30" s="1022"/>
      <c r="EN30" s="1022"/>
      <c r="EO30" s="1022"/>
      <c r="EP30" s="1022"/>
      <c r="EQ30" s="1022"/>
      <c r="ER30" s="1022"/>
      <c r="ES30" s="1022"/>
      <c r="ET30" s="1022"/>
      <c r="EU30" s="1022"/>
      <c r="EV30" s="1022"/>
      <c r="EW30" s="1022"/>
      <c r="EX30" s="1022"/>
      <c r="EY30" s="1022"/>
      <c r="EZ30" s="258" t="s">
        <v>323</v>
      </c>
      <c r="FA30" s="235">
        <v>1.7999999999999999E-2</v>
      </c>
      <c r="FB30" s="238">
        <v>1.7999999999999999E-2</v>
      </c>
      <c r="FC30" s="231" t="s">
        <v>261</v>
      </c>
      <c r="FD30" s="236">
        <v>6.0000000000000001E-3</v>
      </c>
      <c r="FE30" s="238">
        <v>6.0000000000000001E-3</v>
      </c>
      <c r="FF30" s="237" t="s">
        <v>322</v>
      </c>
      <c r="FG30" s="231" t="s">
        <v>321</v>
      </c>
      <c r="FH30" s="236">
        <v>4.4999999999999997E-3</v>
      </c>
      <c r="FI30" s="236">
        <v>4.4999999999999997E-3</v>
      </c>
      <c r="FJ30" s="236">
        <v>6.0000000000000001E-3</v>
      </c>
      <c r="FK30" s="236">
        <v>4.4999999999999997E-3</v>
      </c>
      <c r="FL30" s="236">
        <v>6.0000000000000001E-3</v>
      </c>
      <c r="FM30" s="236">
        <v>6.0000000000000001E-3</v>
      </c>
      <c r="FN30" s="235">
        <v>6.0000000000000001E-3</v>
      </c>
      <c r="FO30" s="235">
        <v>6.0000000000000001E-3</v>
      </c>
      <c r="FP30" s="235">
        <v>8.0000000000000002E-3</v>
      </c>
      <c r="FQ30" s="235">
        <v>0.01</v>
      </c>
      <c r="FR30" s="235">
        <v>0.01</v>
      </c>
      <c r="FS30" s="235">
        <v>0.01</v>
      </c>
      <c r="FT30" s="235">
        <v>0.01</v>
      </c>
      <c r="FU30" s="235">
        <v>1.4E-2</v>
      </c>
      <c r="FV30" s="235">
        <v>1.4E-2</v>
      </c>
      <c r="FW30" s="235">
        <v>1.6E-2</v>
      </c>
      <c r="FX30" s="235">
        <v>1.6E-2</v>
      </c>
      <c r="FY30" s="1022"/>
      <c r="FZ30" s="1022"/>
      <c r="GA30" s="1022"/>
      <c r="GB30" s="1022"/>
      <c r="GC30" s="1022"/>
      <c r="GD30" s="1022"/>
      <c r="GE30" s="1022"/>
      <c r="GF30" s="1022"/>
      <c r="GG30" s="1022"/>
      <c r="GH30" s="1022"/>
      <c r="GI30" s="1022"/>
      <c r="GJ30" s="1022"/>
      <c r="GK30" s="1022"/>
      <c r="GL30" s="1022"/>
      <c r="GM30" s="1022"/>
      <c r="GN30" s="1022"/>
      <c r="GO30" s="1022"/>
      <c r="GP30" s="1022"/>
      <c r="GQ30" s="1022"/>
      <c r="GR30" s="1022"/>
      <c r="GS30" s="1022"/>
      <c r="GT30" s="1022"/>
      <c r="GU30" s="1022"/>
      <c r="GV30" s="1022"/>
      <c r="GW30" s="1022"/>
      <c r="GX30" s="1022"/>
      <c r="GY30" s="1022"/>
      <c r="GZ30" s="1022"/>
      <c r="HA30" s="1022"/>
      <c r="HB30" s="1022"/>
      <c r="HC30" s="1022"/>
      <c r="HD30" s="1022"/>
      <c r="HE30" s="1022"/>
      <c r="HF30" s="942"/>
    </row>
    <row r="31" spans="1:217" ht="15" customHeight="1">
      <c r="A31" s="959" t="s">
        <v>48</v>
      </c>
      <c r="B31" s="840" t="s">
        <v>819</v>
      </c>
      <c r="C31" s="915">
        <v>1.2500000000000001E-2</v>
      </c>
      <c r="D31" s="915">
        <v>1.2500000000000001E-2</v>
      </c>
      <c r="E31" s="915">
        <v>1.2500000000000001E-2</v>
      </c>
      <c r="F31" s="909">
        <v>1.2999999999999999E-2</v>
      </c>
      <c r="G31" s="909">
        <v>1.2999999999999999E-2</v>
      </c>
      <c r="H31" s="909">
        <v>1.2999999999999999E-2</v>
      </c>
      <c r="I31" s="909">
        <v>1.2999999999999999E-2</v>
      </c>
      <c r="J31" s="909">
        <v>1.2999999999999999E-2</v>
      </c>
      <c r="K31" s="909">
        <v>1.2999999999999999E-2</v>
      </c>
      <c r="L31" s="909">
        <v>1.2999999999999999E-2</v>
      </c>
      <c r="M31" s="909">
        <v>1.2999999999999999E-2</v>
      </c>
      <c r="N31" s="909">
        <v>1.2999999999999999E-2</v>
      </c>
      <c r="O31" s="967">
        <v>1.2999999999999999E-2</v>
      </c>
      <c r="P31" s="909">
        <v>1.4E-2</v>
      </c>
      <c r="Q31" s="909">
        <v>1.4E-2</v>
      </c>
      <c r="R31" s="909">
        <v>1.4E-2</v>
      </c>
      <c r="S31" s="967">
        <v>1.4E-2</v>
      </c>
      <c r="T31" s="967">
        <v>1.2999999999999999E-2</v>
      </c>
      <c r="U31" s="909">
        <v>1.2E-2</v>
      </c>
      <c r="V31" s="909">
        <v>1.2E-2</v>
      </c>
      <c r="W31" s="909">
        <v>1.2E-2</v>
      </c>
      <c r="X31" s="909">
        <v>1.2E-2</v>
      </c>
      <c r="Y31" s="909">
        <v>1.2E-2</v>
      </c>
      <c r="Z31" s="909">
        <v>1.2E-2</v>
      </c>
      <c r="AA31" s="909">
        <v>1.2E-2</v>
      </c>
      <c r="AB31" s="909">
        <v>1.2E-2</v>
      </c>
      <c r="AC31" s="967">
        <v>1.2E-2</v>
      </c>
      <c r="AD31" s="909">
        <v>1.4E-2</v>
      </c>
      <c r="AE31" s="967">
        <v>1.4E-2</v>
      </c>
      <c r="AF31" s="967">
        <v>1.4999999999999999E-2</v>
      </c>
      <c r="AG31" s="967">
        <v>1.55E-2</v>
      </c>
      <c r="AH31" s="978">
        <v>1.6E-2</v>
      </c>
      <c r="AI31" s="967">
        <v>1.6E-2</v>
      </c>
      <c r="AJ31" s="909">
        <v>1.6500000000000001E-2</v>
      </c>
      <c r="AK31" s="978">
        <v>1.6500000000000001E-2</v>
      </c>
      <c r="AL31" s="967">
        <v>1.6500000000000001E-2</v>
      </c>
      <c r="AM31" s="978">
        <v>1.7500000000000002E-2</v>
      </c>
      <c r="AN31" s="967">
        <v>1.7500000000000002E-2</v>
      </c>
      <c r="AO31" s="967">
        <v>1.8499999999999999E-2</v>
      </c>
      <c r="AP31" s="984">
        <v>1.95E-2</v>
      </c>
      <c r="AQ31" s="1012">
        <v>2.0499999999999997E-2</v>
      </c>
      <c r="AR31" s="1012">
        <v>2.0499999999999997E-2</v>
      </c>
      <c r="AS31" s="1012">
        <v>2.0499999999999997E-2</v>
      </c>
      <c r="AT31" s="987">
        <v>2.0500000000000001E-2</v>
      </c>
      <c r="AU31" s="987">
        <v>2.0500000000000001E-2</v>
      </c>
      <c r="AV31" s="987">
        <v>2.0500000000000001E-2</v>
      </c>
      <c r="AW31" s="987">
        <v>2.0500000000000001E-2</v>
      </c>
      <c r="AX31" s="1016">
        <v>2.1999999999999999E-2</v>
      </c>
      <c r="AY31" s="987">
        <v>2.3E-2</v>
      </c>
      <c r="AZ31" s="1016">
        <v>2.3E-2</v>
      </c>
      <c r="BA31" s="987">
        <v>2.4500000000000001E-2</v>
      </c>
      <c r="BB31" s="1016">
        <v>2.4500000000000001E-2</v>
      </c>
      <c r="BC31" s="987">
        <v>2.5499999999999998E-2</v>
      </c>
      <c r="BD31" s="987">
        <v>2.5499999999999998E-2</v>
      </c>
      <c r="BE31" s="987">
        <v>2.6499999999999999E-2</v>
      </c>
      <c r="BF31" s="987">
        <v>2.6499999999999999E-2</v>
      </c>
      <c r="BG31" s="1016">
        <v>2.6499999999999999E-2</v>
      </c>
      <c r="BH31" s="987">
        <v>2.7E-2</v>
      </c>
      <c r="BI31" s="987">
        <v>2.7E-2</v>
      </c>
      <c r="BJ31" s="987">
        <v>2.7E-2</v>
      </c>
      <c r="BK31" s="987">
        <v>2.7E-2</v>
      </c>
      <c r="BL31" s="987">
        <v>2.7E-2</v>
      </c>
      <c r="BM31" s="987">
        <v>2.7E-2</v>
      </c>
      <c r="BN31" s="987">
        <v>2.7E-2</v>
      </c>
      <c r="BO31" s="987">
        <v>2.7E-2</v>
      </c>
      <c r="BP31" s="987">
        <v>2.7E-2</v>
      </c>
      <c r="BQ31" s="987">
        <v>2.7E-2</v>
      </c>
      <c r="BR31" s="987">
        <v>2.7E-2</v>
      </c>
      <c r="BS31" s="987">
        <v>2.7E-2</v>
      </c>
      <c r="BT31" s="987">
        <v>2.7E-2</v>
      </c>
      <c r="BU31" s="987">
        <v>2.7E-2</v>
      </c>
      <c r="BV31" s="987">
        <v>2.7E-2</v>
      </c>
      <c r="BW31" s="987">
        <v>2.7E-2</v>
      </c>
      <c r="BX31" s="987">
        <v>2.7E-2</v>
      </c>
      <c r="BY31" s="987">
        <v>2.7E-2</v>
      </c>
      <c r="BZ31" s="987">
        <v>2.7E-2</v>
      </c>
      <c r="CA31" s="987">
        <v>2.7E-2</v>
      </c>
      <c r="CB31" s="987">
        <v>2.7E-2</v>
      </c>
      <c r="CC31" s="987">
        <v>2.75E-2</v>
      </c>
      <c r="CD31" s="987">
        <v>2.75E-2</v>
      </c>
      <c r="CE31" s="987">
        <v>2.75E-2</v>
      </c>
      <c r="CF31" s="987">
        <v>2.8500000000000001E-2</v>
      </c>
      <c r="CG31" s="987">
        <v>2.8500000000000001E-2</v>
      </c>
      <c r="CH31" s="987">
        <v>2.9499999999999998E-2</v>
      </c>
      <c r="CI31" s="987">
        <v>2.9499999999999998E-2</v>
      </c>
      <c r="CJ31" s="987">
        <v>2.9499999999999998E-2</v>
      </c>
      <c r="CK31" s="987">
        <v>2.9499999999999998E-2</v>
      </c>
      <c r="CL31" s="987">
        <v>2.9499999999999998E-2</v>
      </c>
      <c r="CM31" s="987">
        <v>2.9499999999999998E-2</v>
      </c>
      <c r="CN31" s="987">
        <v>2.9499999999999998E-2</v>
      </c>
      <c r="CO31" s="987">
        <v>0.03</v>
      </c>
      <c r="CP31" s="987">
        <v>0.03</v>
      </c>
      <c r="CQ31" s="987">
        <v>0.03</v>
      </c>
      <c r="CR31" s="987">
        <v>0.03</v>
      </c>
      <c r="CS31" s="987">
        <v>0.03</v>
      </c>
      <c r="CT31" s="987">
        <v>0.03</v>
      </c>
      <c r="CU31" s="987">
        <v>0.03</v>
      </c>
      <c r="CV31" s="987">
        <v>0.03</v>
      </c>
      <c r="CW31" s="987">
        <v>0.03</v>
      </c>
      <c r="CX31" s="987">
        <v>0.03</v>
      </c>
      <c r="CY31" s="987">
        <v>0.03</v>
      </c>
      <c r="CZ31" s="987">
        <v>0.03</v>
      </c>
      <c r="DA31" s="987">
        <v>0.03</v>
      </c>
      <c r="DB31" s="987">
        <v>0.03</v>
      </c>
      <c r="DC31" s="987">
        <v>3.0499999999999999E-2</v>
      </c>
      <c r="DD31" s="987">
        <v>3.0499999999999999E-2</v>
      </c>
      <c r="DE31" s="987">
        <v>3.0499999999999999E-2</v>
      </c>
      <c r="DF31" s="987">
        <v>0.03</v>
      </c>
      <c r="DG31" s="261">
        <v>0.03</v>
      </c>
      <c r="DH31" s="261">
        <v>0.03</v>
      </c>
      <c r="DI31" s="261">
        <v>0.03</v>
      </c>
      <c r="DJ31" s="261">
        <v>3.1800000000000002E-2</v>
      </c>
      <c r="DK31" s="261">
        <v>3.1800000000000002E-2</v>
      </c>
      <c r="DL31" s="261">
        <v>3.3500000000000002E-2</v>
      </c>
      <c r="DM31" s="261">
        <v>3.4000000000000002E-2</v>
      </c>
      <c r="DN31" s="261">
        <v>3.4000000000000002E-2</v>
      </c>
      <c r="DO31" s="261">
        <v>3.4000000000000002E-2</v>
      </c>
      <c r="DP31" s="261">
        <v>3.4000000000000002E-2</v>
      </c>
      <c r="DQ31" s="261">
        <v>3.4000000000000002E-2</v>
      </c>
      <c r="DR31" s="261">
        <v>3.4000000000000002E-2</v>
      </c>
      <c r="DS31" s="261">
        <v>3.3000000000000002E-2</v>
      </c>
      <c r="DT31" s="261">
        <v>3.3000000000000002E-2</v>
      </c>
      <c r="DU31" s="261">
        <v>3.3000000000000002E-2</v>
      </c>
      <c r="DV31" s="261">
        <v>3.2000000000000001E-2</v>
      </c>
      <c r="DW31" s="261">
        <v>0.03</v>
      </c>
      <c r="DX31" s="261">
        <v>0.03</v>
      </c>
      <c r="DY31" s="261">
        <v>0.03</v>
      </c>
      <c r="DZ31" s="261">
        <v>0.03</v>
      </c>
      <c r="EA31" s="261">
        <v>3.2000000000000001E-2</v>
      </c>
      <c r="EB31" s="261">
        <v>3.2000000000000001E-2</v>
      </c>
      <c r="EC31" s="261">
        <v>3.2000000000000001E-2</v>
      </c>
      <c r="ED31" s="261">
        <v>3.2000000000000001E-2</v>
      </c>
      <c r="EE31" s="261">
        <v>3.2000000000000001E-2</v>
      </c>
      <c r="EF31" s="261">
        <v>3.2000000000000001E-2</v>
      </c>
      <c r="EG31" s="261">
        <v>3.2000000000000001E-2</v>
      </c>
      <c r="EH31" s="261">
        <v>3.2000000000000001E-2</v>
      </c>
      <c r="EI31" s="261" t="s">
        <v>124</v>
      </c>
      <c r="EJ31" s="261" t="s">
        <v>124</v>
      </c>
      <c r="EK31" s="261" t="s">
        <v>124</v>
      </c>
      <c r="EL31" s="261">
        <v>0.03</v>
      </c>
      <c r="EM31" s="261">
        <v>3.1E-2</v>
      </c>
      <c r="EN31" s="261">
        <v>3.1E-2</v>
      </c>
      <c r="EO31" s="261">
        <v>3.1E-2</v>
      </c>
      <c r="EP31" s="261">
        <v>3.1E-2</v>
      </c>
      <c r="EQ31" s="261">
        <v>3.1E-2</v>
      </c>
      <c r="ER31" s="261">
        <v>3.3000000000000002E-2</v>
      </c>
      <c r="ES31" s="261">
        <v>3.3000000000000002E-2</v>
      </c>
      <c r="ET31" s="261">
        <v>3.3000000000000002E-2</v>
      </c>
      <c r="EU31" s="261">
        <v>3.4500000000000003E-2</v>
      </c>
      <c r="EV31" s="261">
        <v>3.4500000000000003E-2</v>
      </c>
      <c r="EW31" s="261">
        <v>3.5499999999999997E-2</v>
      </c>
      <c r="EX31" s="261">
        <v>3.5499999999999997E-2</v>
      </c>
      <c r="EY31" s="261">
        <v>3.5499999999999997E-2</v>
      </c>
      <c r="EZ31" s="231" t="s">
        <v>306</v>
      </c>
      <c r="FA31" s="235" t="s">
        <v>124</v>
      </c>
      <c r="FB31" s="238" t="s">
        <v>124</v>
      </c>
      <c r="FC31" s="231" t="s">
        <v>306</v>
      </c>
      <c r="FD31" s="236"/>
      <c r="FE31" s="238"/>
      <c r="FF31" s="237"/>
      <c r="FG31" s="231"/>
      <c r="FH31" s="236"/>
      <c r="FI31" s="236"/>
      <c r="FJ31" s="236"/>
      <c r="FK31" s="236"/>
      <c r="FL31" s="236"/>
      <c r="FM31" s="236"/>
      <c r="FN31" s="235"/>
      <c r="FO31" s="235"/>
      <c r="FP31" s="235"/>
      <c r="FQ31" s="235"/>
      <c r="FR31" s="235"/>
      <c r="FS31" s="235">
        <v>2E-3</v>
      </c>
      <c r="FT31" s="235"/>
      <c r="FU31" s="235">
        <v>1.38E-2</v>
      </c>
      <c r="FV31" s="235">
        <v>1.38E-2</v>
      </c>
      <c r="FW31" s="235">
        <v>1.38E-2</v>
      </c>
      <c r="FX31" s="235">
        <v>1.38E-2</v>
      </c>
      <c r="FY31" s="312" t="s">
        <v>124</v>
      </c>
      <c r="FZ31" s="312" t="s">
        <v>124</v>
      </c>
      <c r="GA31" s="312" t="s">
        <v>124</v>
      </c>
      <c r="GB31" s="312" t="s">
        <v>124</v>
      </c>
      <c r="GC31" s="312" t="s">
        <v>124</v>
      </c>
      <c r="GD31" s="312" t="s">
        <v>124</v>
      </c>
      <c r="GE31" s="312" t="s">
        <v>124</v>
      </c>
      <c r="GF31" s="312" t="s">
        <v>124</v>
      </c>
      <c r="GG31" s="312" t="s">
        <v>124</v>
      </c>
      <c r="GH31" s="312" t="s">
        <v>124</v>
      </c>
      <c r="GI31" s="312" t="s">
        <v>124</v>
      </c>
      <c r="GJ31" s="312" t="s">
        <v>124</v>
      </c>
      <c r="GK31" s="312" t="s">
        <v>124</v>
      </c>
      <c r="GL31" s="312" t="s">
        <v>124</v>
      </c>
      <c r="GM31" s="312" t="s">
        <v>124</v>
      </c>
      <c r="GN31" s="312" t="s">
        <v>124</v>
      </c>
      <c r="GO31" s="312" t="s">
        <v>124</v>
      </c>
      <c r="GP31" s="312" t="s">
        <v>124</v>
      </c>
      <c r="GQ31" s="312" t="s">
        <v>124</v>
      </c>
      <c r="GR31" s="312" t="s">
        <v>124</v>
      </c>
      <c r="GS31" s="312" t="s">
        <v>124</v>
      </c>
      <c r="GT31" s="312" t="s">
        <v>124</v>
      </c>
      <c r="GU31" s="312" t="s">
        <v>124</v>
      </c>
      <c r="GV31" s="312" t="s">
        <v>124</v>
      </c>
      <c r="GW31" s="312" t="s">
        <v>124</v>
      </c>
      <c r="GX31" s="312" t="s">
        <v>124</v>
      </c>
      <c r="GY31" s="312" t="s">
        <v>124</v>
      </c>
      <c r="GZ31" s="312" t="s">
        <v>124</v>
      </c>
      <c r="HA31" s="312" t="s">
        <v>124</v>
      </c>
      <c r="HB31" s="312" t="s">
        <v>124</v>
      </c>
      <c r="HC31" s="261">
        <v>3.5499999999999997E-2</v>
      </c>
      <c r="HD31" s="312" t="s">
        <v>124</v>
      </c>
      <c r="HE31" s="312" t="s">
        <v>124</v>
      </c>
      <c r="HF31" s="941">
        <f>C31-D31</f>
        <v>0</v>
      </c>
    </row>
    <row r="32" spans="1:217">
      <c r="A32" s="960"/>
      <c r="B32" s="272" t="s">
        <v>602</v>
      </c>
      <c r="C32" s="916"/>
      <c r="D32" s="916"/>
      <c r="E32" s="916"/>
      <c r="F32" s="910"/>
      <c r="G32" s="910"/>
      <c r="H32" s="910"/>
      <c r="I32" s="910"/>
      <c r="J32" s="910"/>
      <c r="K32" s="910"/>
      <c r="L32" s="910"/>
      <c r="M32" s="910"/>
      <c r="N32" s="910"/>
      <c r="O32" s="968"/>
      <c r="P32" s="910"/>
      <c r="Q32" s="910"/>
      <c r="R32" s="910"/>
      <c r="S32" s="968"/>
      <c r="T32" s="968"/>
      <c r="U32" s="910"/>
      <c r="V32" s="910"/>
      <c r="W32" s="910"/>
      <c r="X32" s="910"/>
      <c r="Y32" s="910"/>
      <c r="Z32" s="910"/>
      <c r="AA32" s="910"/>
      <c r="AB32" s="910"/>
      <c r="AC32" s="968"/>
      <c r="AD32" s="910"/>
      <c r="AE32" s="968"/>
      <c r="AF32" s="968"/>
      <c r="AG32" s="968"/>
      <c r="AH32" s="979"/>
      <c r="AI32" s="968"/>
      <c r="AJ32" s="910"/>
      <c r="AK32" s="979"/>
      <c r="AL32" s="968"/>
      <c r="AM32" s="979"/>
      <c r="AN32" s="968"/>
      <c r="AO32" s="968"/>
      <c r="AP32" s="985"/>
      <c r="AQ32" s="1026"/>
      <c r="AR32" s="1026"/>
      <c r="AS32" s="1026"/>
      <c r="AT32" s="1018"/>
      <c r="AU32" s="1018"/>
      <c r="AV32" s="1018"/>
      <c r="AW32" s="1018"/>
      <c r="AX32" s="1017"/>
      <c r="AY32" s="1018"/>
      <c r="AZ32" s="1017"/>
      <c r="BA32" s="1018"/>
      <c r="BB32" s="1017"/>
      <c r="BC32" s="1018"/>
      <c r="BD32" s="1018"/>
      <c r="BE32" s="1018"/>
      <c r="BF32" s="1018"/>
      <c r="BG32" s="1017"/>
      <c r="BH32" s="1018"/>
      <c r="BI32" s="1018"/>
      <c r="BJ32" s="1018"/>
      <c r="BK32" s="1018"/>
      <c r="BL32" s="1018"/>
      <c r="BM32" s="1018"/>
      <c r="BN32" s="1018"/>
      <c r="BO32" s="1018"/>
      <c r="BP32" s="1018"/>
      <c r="BQ32" s="1018"/>
      <c r="BR32" s="1018"/>
      <c r="BS32" s="1018"/>
      <c r="BT32" s="1018"/>
      <c r="BU32" s="1018"/>
      <c r="BV32" s="1018"/>
      <c r="BW32" s="1018"/>
      <c r="BX32" s="1018"/>
      <c r="BY32" s="1018"/>
      <c r="BZ32" s="1018"/>
      <c r="CA32" s="1018"/>
      <c r="CB32" s="1018"/>
      <c r="CC32" s="1018"/>
      <c r="CD32" s="1018"/>
      <c r="CE32" s="1018"/>
      <c r="CF32" s="1018"/>
      <c r="CG32" s="1018"/>
      <c r="CH32" s="1018"/>
      <c r="CI32" s="1018"/>
      <c r="CJ32" s="1018"/>
      <c r="CK32" s="1018"/>
      <c r="CL32" s="1018"/>
      <c r="CM32" s="1018"/>
      <c r="CN32" s="1018"/>
      <c r="CO32" s="1018"/>
      <c r="CP32" s="1018"/>
      <c r="CQ32" s="1018"/>
      <c r="CR32" s="1018"/>
      <c r="CS32" s="1018"/>
      <c r="CT32" s="1018"/>
      <c r="CU32" s="1018"/>
      <c r="CV32" s="1018"/>
      <c r="CW32" s="1018"/>
      <c r="CX32" s="1018"/>
      <c r="CY32" s="1018"/>
      <c r="CZ32" s="1018"/>
      <c r="DA32" s="1018"/>
      <c r="DB32" s="1018"/>
      <c r="DC32" s="1018"/>
      <c r="DD32" s="1018"/>
      <c r="DE32" s="1018"/>
      <c r="DF32" s="1018"/>
      <c r="DG32" s="261"/>
      <c r="DH32" s="261"/>
      <c r="DI32" s="261"/>
      <c r="DJ32" s="261"/>
      <c r="DK32" s="261"/>
      <c r="DL32" s="261"/>
      <c r="DM32" s="261"/>
      <c r="DN32" s="261"/>
      <c r="DO32" s="261"/>
      <c r="DP32" s="261"/>
      <c r="DQ32" s="261"/>
      <c r="DR32" s="261"/>
      <c r="DS32" s="261"/>
      <c r="DT32" s="261"/>
      <c r="DU32" s="261"/>
      <c r="DV32" s="261"/>
      <c r="DW32" s="261"/>
      <c r="DX32" s="261"/>
      <c r="DY32" s="261"/>
      <c r="DZ32" s="261"/>
      <c r="EA32" s="261"/>
      <c r="EB32" s="261"/>
      <c r="EC32" s="261"/>
      <c r="ED32" s="261"/>
      <c r="EE32" s="261"/>
      <c r="EF32" s="261"/>
      <c r="EG32" s="261"/>
      <c r="EH32" s="261"/>
      <c r="EI32" s="261"/>
      <c r="EJ32" s="261"/>
      <c r="EK32" s="261"/>
      <c r="EL32" s="261"/>
      <c r="EM32" s="261"/>
      <c r="EN32" s="261"/>
      <c r="EO32" s="261"/>
      <c r="EP32" s="261"/>
      <c r="EQ32" s="261"/>
      <c r="ER32" s="261"/>
      <c r="ES32" s="261"/>
      <c r="ET32" s="261"/>
      <c r="EU32" s="261"/>
      <c r="EV32" s="261"/>
      <c r="EW32" s="261"/>
      <c r="EX32" s="261"/>
      <c r="EY32" s="261"/>
      <c r="EZ32" s="231" t="s">
        <v>271</v>
      </c>
      <c r="FA32" s="235"/>
      <c r="FB32" s="238"/>
      <c r="FC32" s="231"/>
      <c r="FD32" s="236"/>
      <c r="FE32" s="238"/>
      <c r="FF32" s="237"/>
      <c r="FG32" s="231"/>
      <c r="FH32" s="236"/>
      <c r="FI32" s="236"/>
      <c r="FJ32" s="236"/>
      <c r="FK32" s="236"/>
      <c r="FL32" s="236"/>
      <c r="FM32" s="236"/>
      <c r="FN32" s="235"/>
      <c r="FO32" s="235"/>
      <c r="FP32" s="235"/>
      <c r="FQ32" s="235"/>
      <c r="FR32" s="235"/>
      <c r="FS32" s="235"/>
      <c r="FT32" s="235"/>
      <c r="FU32" s="235"/>
      <c r="FV32" s="235"/>
      <c r="FW32" s="235"/>
      <c r="FX32" s="235"/>
      <c r="FY32" s="312"/>
      <c r="FZ32" s="312"/>
      <c r="GA32" s="312"/>
      <c r="GB32" s="312"/>
      <c r="GC32" s="312"/>
      <c r="GD32" s="312"/>
      <c r="GE32" s="312"/>
      <c r="GF32" s="312"/>
      <c r="GG32" s="312"/>
      <c r="GH32" s="312"/>
      <c r="GI32" s="312"/>
      <c r="GJ32" s="312"/>
      <c r="GK32" s="312"/>
      <c r="GL32" s="312"/>
      <c r="GM32" s="312"/>
      <c r="GN32" s="312"/>
      <c r="GO32" s="312"/>
      <c r="GP32" s="312"/>
      <c r="GQ32" s="312"/>
      <c r="GR32" s="312"/>
      <c r="GS32" s="312"/>
      <c r="GT32" s="312"/>
      <c r="GU32" s="312"/>
      <c r="GV32" s="312"/>
      <c r="GW32" s="312"/>
      <c r="GX32" s="312"/>
      <c r="GY32" s="312"/>
      <c r="GZ32" s="312"/>
      <c r="HA32" s="312"/>
      <c r="HB32" s="312"/>
      <c r="HC32" s="261"/>
      <c r="HD32" s="312"/>
      <c r="HE32" s="312"/>
      <c r="HF32" s="942"/>
    </row>
    <row r="33" spans="1:216">
      <c r="A33" s="1065" t="s">
        <v>570</v>
      </c>
      <c r="B33" s="304" t="s">
        <v>821</v>
      </c>
      <c r="C33" s="909">
        <v>1.4E-2</v>
      </c>
      <c r="D33" s="909">
        <v>1.4E-2</v>
      </c>
      <c r="E33" s="909">
        <v>1.4E-2</v>
      </c>
      <c r="F33" s="909">
        <v>1.6E-2</v>
      </c>
      <c r="G33" s="909">
        <v>1.6E-2</v>
      </c>
      <c r="H33" s="909">
        <v>1.6E-2</v>
      </c>
      <c r="I33" s="967">
        <v>1.6E-2</v>
      </c>
      <c r="J33" s="909">
        <v>1.7999999999999999E-2</v>
      </c>
      <c r="K33" s="909">
        <v>1.7999999999999999E-2</v>
      </c>
      <c r="L33" s="909">
        <v>1.7999999999999999E-2</v>
      </c>
      <c r="M33" s="909">
        <v>1.7999999999999999E-2</v>
      </c>
      <c r="N33" s="967">
        <v>1.7999999999999999E-2</v>
      </c>
      <c r="O33" s="909">
        <v>1.4500000000000001E-2</v>
      </c>
      <c r="P33" s="909">
        <v>1.4500000000000001E-2</v>
      </c>
      <c r="Q33" s="909">
        <v>1.4500000000000001E-2</v>
      </c>
      <c r="R33" s="909">
        <v>1.4500000000000001E-2</v>
      </c>
      <c r="S33" s="909">
        <v>1.55E-2</v>
      </c>
      <c r="T33" s="909">
        <v>1.55E-2</v>
      </c>
      <c r="U33" s="909">
        <v>1.55E-2</v>
      </c>
      <c r="V33" s="967">
        <v>1.55E-2</v>
      </c>
      <c r="W33" s="909">
        <v>1.78E-2</v>
      </c>
      <c r="X33" s="909">
        <v>1.78E-2</v>
      </c>
      <c r="Y33" s="909">
        <v>1.78E-2</v>
      </c>
      <c r="Z33" s="909">
        <v>1.78E-2</v>
      </c>
      <c r="AA33" s="967">
        <v>1.78E-2</v>
      </c>
      <c r="AB33" s="573"/>
      <c r="AC33" s="574"/>
      <c r="AD33" s="573"/>
      <c r="AE33" s="574"/>
      <c r="AF33" s="574"/>
      <c r="AG33" s="574"/>
      <c r="AH33" s="575"/>
      <c r="AI33" s="574"/>
      <c r="AJ33" s="573"/>
      <c r="AK33" s="575"/>
      <c r="AL33" s="574"/>
      <c r="AM33" s="575"/>
      <c r="AN33" s="574"/>
      <c r="AO33" s="574"/>
      <c r="AP33" s="576"/>
      <c r="AQ33" s="577"/>
      <c r="AR33" s="577"/>
      <c r="AS33" s="577"/>
      <c r="AT33" s="332"/>
      <c r="AU33" s="332"/>
      <c r="AV33" s="332"/>
      <c r="AW33" s="332"/>
      <c r="AX33" s="578"/>
      <c r="AY33" s="332"/>
      <c r="AZ33" s="578"/>
      <c r="BA33" s="332"/>
      <c r="BB33" s="578"/>
      <c r="BC33" s="332"/>
      <c r="BD33" s="332"/>
      <c r="BE33" s="332"/>
      <c r="BF33" s="332"/>
      <c r="BG33" s="578"/>
      <c r="BH33" s="332"/>
      <c r="BI33" s="332"/>
      <c r="BJ33" s="332"/>
      <c r="BK33" s="332"/>
      <c r="BL33" s="332"/>
      <c r="BM33" s="332"/>
      <c r="BN33" s="332"/>
      <c r="BO33" s="332"/>
      <c r="BP33" s="332"/>
      <c r="BQ33" s="332"/>
      <c r="BR33" s="332"/>
      <c r="BS33" s="332"/>
      <c r="BT33" s="332"/>
      <c r="BU33" s="332"/>
      <c r="BV33" s="332"/>
      <c r="BW33" s="332"/>
      <c r="BX33" s="332"/>
      <c r="BY33" s="332"/>
      <c r="BZ33" s="332"/>
      <c r="CA33" s="332"/>
      <c r="CB33" s="332"/>
      <c r="CC33" s="332"/>
      <c r="CD33" s="332"/>
      <c r="CE33" s="332"/>
      <c r="CF33" s="332"/>
      <c r="CG33" s="332"/>
      <c r="CH33" s="332"/>
      <c r="CI33" s="332"/>
      <c r="CJ33" s="332"/>
      <c r="CK33" s="332"/>
      <c r="CL33" s="332"/>
      <c r="CM33" s="332"/>
      <c r="CN33" s="332"/>
      <c r="CO33" s="332"/>
      <c r="CP33" s="332"/>
      <c r="CQ33" s="332"/>
      <c r="CR33" s="332"/>
      <c r="CS33" s="332"/>
      <c r="CT33" s="332"/>
      <c r="CU33" s="332"/>
      <c r="CV33" s="332"/>
      <c r="CW33" s="332"/>
      <c r="CX33" s="332"/>
      <c r="CY33" s="332"/>
      <c r="CZ33" s="332"/>
      <c r="DA33" s="332"/>
      <c r="DB33" s="332"/>
      <c r="DC33" s="332"/>
      <c r="DD33" s="332"/>
      <c r="DE33" s="332"/>
      <c r="DF33" s="332"/>
      <c r="DG33" s="261"/>
      <c r="DH33" s="261"/>
      <c r="DI33" s="261"/>
      <c r="DJ33" s="261"/>
      <c r="DK33" s="261"/>
      <c r="DL33" s="261"/>
      <c r="DM33" s="261"/>
      <c r="DN33" s="261"/>
      <c r="DO33" s="261"/>
      <c r="DP33" s="261"/>
      <c r="DQ33" s="261"/>
      <c r="DR33" s="261"/>
      <c r="DS33" s="261"/>
      <c r="DT33" s="261"/>
      <c r="DU33" s="261"/>
      <c r="DV33" s="261"/>
      <c r="DW33" s="261"/>
      <c r="DX33" s="261"/>
      <c r="DY33" s="261"/>
      <c r="DZ33" s="261"/>
      <c r="EA33" s="261"/>
      <c r="EB33" s="261"/>
      <c r="EC33" s="261"/>
      <c r="ED33" s="261"/>
      <c r="EE33" s="261"/>
      <c r="EF33" s="261"/>
      <c r="EG33" s="261"/>
      <c r="EH33" s="261"/>
      <c r="EI33" s="261"/>
      <c r="EJ33" s="261"/>
      <c r="EK33" s="261"/>
      <c r="EL33" s="261"/>
      <c r="EM33" s="261"/>
      <c r="EN33" s="261"/>
      <c r="EO33" s="261"/>
      <c r="EP33" s="261"/>
      <c r="EQ33" s="261"/>
      <c r="ER33" s="261"/>
      <c r="ES33" s="261"/>
      <c r="ET33" s="261"/>
      <c r="EU33" s="261"/>
      <c r="EV33" s="261"/>
      <c r="EW33" s="261"/>
      <c r="EX33" s="261"/>
      <c r="EY33" s="261"/>
      <c r="EZ33" s="231"/>
      <c r="FA33" s="235"/>
      <c r="FB33" s="238"/>
      <c r="FC33" s="231"/>
      <c r="FD33" s="236"/>
      <c r="FE33" s="238"/>
      <c r="FF33" s="237"/>
      <c r="FG33" s="231"/>
      <c r="FH33" s="236"/>
      <c r="FI33" s="236"/>
      <c r="FJ33" s="236"/>
      <c r="FK33" s="236"/>
      <c r="FL33" s="236"/>
      <c r="FM33" s="236"/>
      <c r="FN33" s="235"/>
      <c r="FO33" s="235"/>
      <c r="FP33" s="235"/>
      <c r="FQ33" s="235"/>
      <c r="FR33" s="235"/>
      <c r="FS33" s="235"/>
      <c r="FT33" s="235"/>
      <c r="FU33" s="235"/>
      <c r="FV33" s="235"/>
      <c r="FW33" s="235"/>
      <c r="FX33" s="235"/>
      <c r="FY33" s="312"/>
      <c r="FZ33" s="312"/>
      <c r="GA33" s="312"/>
      <c r="GB33" s="312"/>
      <c r="GC33" s="312"/>
      <c r="GD33" s="312"/>
      <c r="GE33" s="312"/>
      <c r="GF33" s="312"/>
      <c r="GG33" s="312"/>
      <c r="GH33" s="312"/>
      <c r="GI33" s="312"/>
      <c r="GJ33" s="312"/>
      <c r="GK33" s="312"/>
      <c r="GL33" s="312"/>
      <c r="GM33" s="312"/>
      <c r="GN33" s="312"/>
      <c r="GO33" s="312"/>
      <c r="GP33" s="312"/>
      <c r="GQ33" s="312"/>
      <c r="GR33" s="312"/>
      <c r="GS33" s="312"/>
      <c r="GT33" s="312"/>
      <c r="GU33" s="312"/>
      <c r="GV33" s="312"/>
      <c r="GW33" s="312"/>
      <c r="GX33" s="312"/>
      <c r="GY33" s="312"/>
      <c r="GZ33" s="312"/>
      <c r="HA33" s="312"/>
      <c r="HB33" s="312"/>
      <c r="HC33" s="261"/>
      <c r="HD33" s="312"/>
      <c r="HE33" s="312"/>
      <c r="HF33" s="941">
        <f>C33-D33</f>
        <v>0</v>
      </c>
    </row>
    <row r="34" spans="1:216">
      <c r="A34" s="1065"/>
      <c r="B34" s="308" t="s">
        <v>673</v>
      </c>
      <c r="C34" s="910"/>
      <c r="D34" s="910"/>
      <c r="E34" s="910"/>
      <c r="F34" s="910"/>
      <c r="G34" s="910"/>
      <c r="H34" s="910"/>
      <c r="I34" s="968"/>
      <c r="J34" s="910"/>
      <c r="K34" s="910"/>
      <c r="L34" s="910"/>
      <c r="M34" s="910"/>
      <c r="N34" s="968"/>
      <c r="O34" s="910"/>
      <c r="P34" s="910"/>
      <c r="Q34" s="910"/>
      <c r="R34" s="910"/>
      <c r="S34" s="910"/>
      <c r="T34" s="910"/>
      <c r="U34" s="910"/>
      <c r="V34" s="968"/>
      <c r="W34" s="910"/>
      <c r="X34" s="910"/>
      <c r="Y34" s="910"/>
      <c r="Z34" s="910"/>
      <c r="AA34" s="968"/>
      <c r="AB34" s="304">
        <v>1.8800000000000001E-2</v>
      </c>
      <c r="AC34" s="304">
        <v>1.8800000000000001E-2</v>
      </c>
      <c r="AD34" s="304">
        <v>2.0799999999999999E-2</v>
      </c>
      <c r="AE34" s="304">
        <v>2.0799999999999999E-2</v>
      </c>
      <c r="AF34" s="232">
        <v>2.0799999999999999E-2</v>
      </c>
      <c r="AG34" s="232">
        <v>2.0799999999999999E-2</v>
      </c>
      <c r="AH34" s="232" t="s">
        <v>124</v>
      </c>
      <c r="AI34" s="232" t="s">
        <v>124</v>
      </c>
      <c r="AJ34" s="304" t="s">
        <v>124</v>
      </c>
      <c r="AK34" s="232" t="s">
        <v>124</v>
      </c>
      <c r="AL34" s="304" t="s">
        <v>124</v>
      </c>
      <c r="AM34" s="232" t="s">
        <v>124</v>
      </c>
      <c r="AN34" s="232" t="s">
        <v>124</v>
      </c>
      <c r="AO34" s="232" t="s">
        <v>124</v>
      </c>
      <c r="AP34" s="302" t="s">
        <v>124</v>
      </c>
      <c r="AQ34" s="302" t="s">
        <v>124</v>
      </c>
      <c r="AR34" s="302" t="s">
        <v>124</v>
      </c>
      <c r="AS34" s="302" t="s">
        <v>124</v>
      </c>
      <c r="AT34" s="302" t="s">
        <v>124</v>
      </c>
      <c r="AU34" s="302" t="s">
        <v>124</v>
      </c>
      <c r="AV34" s="302" t="s">
        <v>124</v>
      </c>
      <c r="AW34" s="302" t="s">
        <v>124</v>
      </c>
      <c r="AX34" s="302" t="s">
        <v>124</v>
      </c>
      <c r="AY34" s="302" t="s">
        <v>124</v>
      </c>
      <c r="AZ34" s="302" t="s">
        <v>124</v>
      </c>
      <c r="BA34" s="302" t="s">
        <v>124</v>
      </c>
      <c r="BB34" s="302" t="s">
        <v>124</v>
      </c>
      <c r="BC34" s="302" t="s">
        <v>124</v>
      </c>
      <c r="BD34" s="302" t="s">
        <v>124</v>
      </c>
      <c r="BE34" s="302" t="s">
        <v>124</v>
      </c>
      <c r="BF34" s="302" t="s">
        <v>124</v>
      </c>
      <c r="BG34" s="302" t="s">
        <v>124</v>
      </c>
      <c r="BH34" s="302" t="s">
        <v>124</v>
      </c>
      <c r="BI34" s="302" t="s">
        <v>124</v>
      </c>
      <c r="BJ34" s="302" t="s">
        <v>124</v>
      </c>
      <c r="BK34" s="302" t="s">
        <v>124</v>
      </c>
      <c r="BL34" s="302" t="s">
        <v>124</v>
      </c>
      <c r="BM34" s="302" t="s">
        <v>124</v>
      </c>
      <c r="BN34" s="302" t="s">
        <v>124</v>
      </c>
      <c r="BO34" s="302" t="s">
        <v>124</v>
      </c>
      <c r="BP34" s="302" t="s">
        <v>124</v>
      </c>
      <c r="BQ34" s="302" t="s">
        <v>124</v>
      </c>
      <c r="BR34" s="302" t="s">
        <v>124</v>
      </c>
      <c r="BS34" s="302" t="s">
        <v>124</v>
      </c>
      <c r="BT34" s="302" t="s">
        <v>124</v>
      </c>
      <c r="BU34" s="302" t="s">
        <v>124</v>
      </c>
      <c r="BV34" s="302" t="s">
        <v>124</v>
      </c>
      <c r="BW34" s="302" t="s">
        <v>124</v>
      </c>
      <c r="BX34" s="302" t="s">
        <v>124</v>
      </c>
      <c r="BY34" s="302" t="s">
        <v>124</v>
      </c>
      <c r="BZ34" s="302" t="s">
        <v>124</v>
      </c>
      <c r="CA34" s="302" t="s">
        <v>124</v>
      </c>
      <c r="CB34" s="302" t="s">
        <v>124</v>
      </c>
      <c r="CC34" s="302" t="s">
        <v>124</v>
      </c>
      <c r="CD34" s="302" t="s">
        <v>124</v>
      </c>
      <c r="CE34" s="302" t="s">
        <v>124</v>
      </c>
      <c r="CF34" s="302" t="s">
        <v>124</v>
      </c>
      <c r="CG34" s="302" t="s">
        <v>124</v>
      </c>
      <c r="CH34" s="302" t="s">
        <v>124</v>
      </c>
      <c r="CI34" s="302" t="s">
        <v>124</v>
      </c>
      <c r="CJ34" s="302" t="s">
        <v>124</v>
      </c>
      <c r="CK34" s="302" t="s">
        <v>124</v>
      </c>
      <c r="CL34" s="302" t="s">
        <v>124</v>
      </c>
      <c r="CM34" s="302" t="s">
        <v>124</v>
      </c>
      <c r="CN34" s="302" t="s">
        <v>124</v>
      </c>
      <c r="CO34" s="302" t="s">
        <v>124</v>
      </c>
      <c r="CP34" s="302" t="s">
        <v>124</v>
      </c>
      <c r="CQ34" s="302" t="s">
        <v>124</v>
      </c>
      <c r="CR34" s="302" t="s">
        <v>124</v>
      </c>
      <c r="CS34" s="302" t="s">
        <v>124</v>
      </c>
      <c r="CT34" s="302" t="s">
        <v>124</v>
      </c>
      <c r="CU34" s="302" t="s">
        <v>124</v>
      </c>
      <c r="CV34" s="302" t="s">
        <v>124</v>
      </c>
      <c r="CW34" s="302" t="s">
        <v>124</v>
      </c>
      <c r="CX34" s="302" t="s">
        <v>124</v>
      </c>
      <c r="CY34" s="302" t="s">
        <v>124</v>
      </c>
      <c r="CZ34" s="302" t="s">
        <v>124</v>
      </c>
      <c r="DA34" s="302" t="s">
        <v>124</v>
      </c>
      <c r="DB34" s="302" t="s">
        <v>124</v>
      </c>
      <c r="DC34" s="302" t="s">
        <v>124</v>
      </c>
      <c r="DD34" s="302" t="s">
        <v>124</v>
      </c>
      <c r="DE34" s="302" t="s">
        <v>124</v>
      </c>
      <c r="DF34" s="302" t="s">
        <v>124</v>
      </c>
      <c r="DG34" s="302" t="s">
        <v>124</v>
      </c>
      <c r="DH34" s="302" t="s">
        <v>124</v>
      </c>
      <c r="DI34" s="302" t="s">
        <v>124</v>
      </c>
      <c r="DJ34" s="302" t="s">
        <v>124</v>
      </c>
      <c r="DK34" s="302" t="s">
        <v>124</v>
      </c>
      <c r="DL34" s="302" t="s">
        <v>124</v>
      </c>
      <c r="DM34" s="302" t="s">
        <v>124</v>
      </c>
      <c r="DN34" s="302" t="s">
        <v>124</v>
      </c>
      <c r="DO34" s="302" t="s">
        <v>124</v>
      </c>
      <c r="DP34" s="302" t="s">
        <v>124</v>
      </c>
      <c r="DQ34" s="302" t="s">
        <v>124</v>
      </c>
      <c r="DR34" s="302" t="s">
        <v>124</v>
      </c>
      <c r="DS34" s="302" t="s">
        <v>124</v>
      </c>
      <c r="DT34" s="302" t="s">
        <v>124</v>
      </c>
      <c r="DU34" s="302" t="s">
        <v>124</v>
      </c>
      <c r="DV34" s="302" t="s">
        <v>124</v>
      </c>
      <c r="DW34" s="302" t="s">
        <v>124</v>
      </c>
      <c r="DX34" s="302" t="s">
        <v>124</v>
      </c>
      <c r="DY34" s="302" t="s">
        <v>124</v>
      </c>
      <c r="DZ34" s="302" t="s">
        <v>124</v>
      </c>
      <c r="EA34" s="302" t="s">
        <v>124</v>
      </c>
      <c r="EB34" s="302" t="s">
        <v>124</v>
      </c>
      <c r="EC34" s="302" t="s">
        <v>124</v>
      </c>
      <c r="ED34" s="302" t="s">
        <v>124</v>
      </c>
      <c r="EE34" s="302" t="s">
        <v>124</v>
      </c>
      <c r="EF34" s="302" t="s">
        <v>124</v>
      </c>
      <c r="EG34" s="302" t="s">
        <v>124</v>
      </c>
      <c r="EH34" s="302" t="s">
        <v>124</v>
      </c>
      <c r="EI34" s="302" t="s">
        <v>124</v>
      </c>
      <c r="EJ34" s="302" t="s">
        <v>124</v>
      </c>
      <c r="EK34" s="302" t="s">
        <v>124</v>
      </c>
      <c r="EL34" s="302" t="s">
        <v>124</v>
      </c>
      <c r="EM34" s="302" t="s">
        <v>124</v>
      </c>
      <c r="EN34" s="302" t="s">
        <v>124</v>
      </c>
      <c r="EO34" s="302" t="s">
        <v>124</v>
      </c>
      <c r="EP34" s="302" t="s">
        <v>124</v>
      </c>
      <c r="EQ34" s="302" t="s">
        <v>124</v>
      </c>
      <c r="ER34" s="302" t="s">
        <v>124</v>
      </c>
      <c r="ES34" s="302" t="s">
        <v>124</v>
      </c>
      <c r="ET34" s="302" t="s">
        <v>124</v>
      </c>
      <c r="EU34" s="302" t="s">
        <v>124</v>
      </c>
      <c r="EV34" s="302" t="s">
        <v>124</v>
      </c>
      <c r="EW34" s="302" t="s">
        <v>124</v>
      </c>
      <c r="EX34" s="302" t="s">
        <v>124</v>
      </c>
      <c r="EY34" s="302" t="s">
        <v>124</v>
      </c>
      <c r="EZ34" s="302" t="s">
        <v>124</v>
      </c>
      <c r="FA34" s="302" t="s">
        <v>124</v>
      </c>
      <c r="FB34" s="302" t="s">
        <v>124</v>
      </c>
      <c r="FC34" s="302" t="s">
        <v>124</v>
      </c>
      <c r="FD34" s="302" t="s">
        <v>124</v>
      </c>
      <c r="FE34" s="302" t="s">
        <v>124</v>
      </c>
      <c r="FF34" s="302" t="s">
        <v>124</v>
      </c>
      <c r="FG34" s="302" t="s">
        <v>124</v>
      </c>
      <c r="FH34" s="302" t="s">
        <v>124</v>
      </c>
      <c r="FI34" s="302" t="s">
        <v>124</v>
      </c>
      <c r="FJ34" s="302" t="s">
        <v>124</v>
      </c>
      <c r="FK34" s="302" t="s">
        <v>124</v>
      </c>
      <c r="FL34" s="302" t="s">
        <v>124</v>
      </c>
      <c r="FM34" s="302" t="s">
        <v>124</v>
      </c>
      <c r="FN34" s="302" t="s">
        <v>124</v>
      </c>
      <c r="FO34" s="302" t="s">
        <v>124</v>
      </c>
      <c r="FP34" s="302" t="s">
        <v>124</v>
      </c>
      <c r="FQ34" s="302" t="s">
        <v>124</v>
      </c>
      <c r="FR34" s="302" t="s">
        <v>124</v>
      </c>
      <c r="FS34" s="302" t="s">
        <v>124</v>
      </c>
      <c r="FT34" s="302" t="s">
        <v>124</v>
      </c>
      <c r="FU34" s="302" t="s">
        <v>124</v>
      </c>
      <c r="FV34" s="302" t="s">
        <v>124</v>
      </c>
      <c r="FW34" s="302" t="s">
        <v>124</v>
      </c>
      <c r="FX34" s="302" t="s">
        <v>124</v>
      </c>
      <c r="FY34" s="302" t="s">
        <v>124</v>
      </c>
      <c r="FZ34" s="302" t="s">
        <v>124</v>
      </c>
      <c r="GA34" s="302" t="s">
        <v>124</v>
      </c>
      <c r="GB34" s="302" t="s">
        <v>124</v>
      </c>
      <c r="GC34" s="302" t="s">
        <v>124</v>
      </c>
      <c r="GD34" s="302" t="s">
        <v>124</v>
      </c>
      <c r="GE34" s="302" t="s">
        <v>124</v>
      </c>
      <c r="GF34" s="302" t="s">
        <v>124</v>
      </c>
      <c r="GG34" s="302" t="s">
        <v>124</v>
      </c>
      <c r="GH34" s="302" t="s">
        <v>124</v>
      </c>
      <c r="GI34" s="302" t="s">
        <v>124</v>
      </c>
      <c r="GJ34" s="302" t="s">
        <v>124</v>
      </c>
      <c r="GK34" s="302" t="s">
        <v>124</v>
      </c>
      <c r="GL34" s="302" t="s">
        <v>124</v>
      </c>
      <c r="GM34" s="302" t="s">
        <v>124</v>
      </c>
      <c r="GN34" s="302" t="s">
        <v>124</v>
      </c>
      <c r="GO34" s="302" t="s">
        <v>124</v>
      </c>
      <c r="GP34" s="302" t="s">
        <v>124</v>
      </c>
      <c r="GQ34" s="302" t="s">
        <v>124</v>
      </c>
      <c r="GR34" s="302" t="s">
        <v>124</v>
      </c>
      <c r="GS34" s="302" t="s">
        <v>124</v>
      </c>
      <c r="GT34" s="302" t="s">
        <v>124</v>
      </c>
      <c r="GU34" s="302" t="s">
        <v>124</v>
      </c>
      <c r="GV34" s="302" t="s">
        <v>124</v>
      </c>
      <c r="GW34" s="302" t="s">
        <v>124</v>
      </c>
      <c r="GX34" s="302" t="s">
        <v>124</v>
      </c>
      <c r="GY34" s="302" t="s">
        <v>124</v>
      </c>
      <c r="GZ34" s="302" t="s">
        <v>124</v>
      </c>
      <c r="HA34" s="302" t="s">
        <v>124</v>
      </c>
      <c r="HB34" s="302" t="s">
        <v>124</v>
      </c>
      <c r="HC34" s="302" t="s">
        <v>124</v>
      </c>
      <c r="HD34" s="302" t="s">
        <v>124</v>
      </c>
      <c r="HE34" s="302" t="s">
        <v>124</v>
      </c>
      <c r="HF34" s="942"/>
    </row>
    <row r="35" spans="1:216" ht="27.6">
      <c r="A35" s="381" t="s">
        <v>29</v>
      </c>
      <c r="B35" s="651" t="s">
        <v>680</v>
      </c>
      <c r="C35" s="280" t="s">
        <v>124</v>
      </c>
      <c r="D35" s="280" t="s">
        <v>124</v>
      </c>
      <c r="E35" s="280" t="s">
        <v>124</v>
      </c>
      <c r="F35" s="280" t="s">
        <v>124</v>
      </c>
      <c r="G35" s="280" t="s">
        <v>124</v>
      </c>
      <c r="H35" s="280" t="s">
        <v>124</v>
      </c>
      <c r="I35" s="280" t="s">
        <v>124</v>
      </c>
      <c r="J35" s="280" t="s">
        <v>124</v>
      </c>
      <c r="K35" s="280" t="s">
        <v>124</v>
      </c>
      <c r="L35" s="280" t="s">
        <v>124</v>
      </c>
      <c r="M35" s="280" t="s">
        <v>124</v>
      </c>
      <c r="N35" s="280" t="s">
        <v>124</v>
      </c>
      <c r="O35" s="280">
        <v>1.4999999999999999E-2</v>
      </c>
      <c r="P35" s="280">
        <v>1.4999999999999999E-2</v>
      </c>
      <c r="Q35" s="280"/>
      <c r="R35" s="682"/>
      <c r="S35" s="682"/>
      <c r="T35" s="682"/>
      <c r="U35" s="682"/>
      <c r="V35" s="683"/>
      <c r="W35" s="682"/>
      <c r="X35" s="682"/>
      <c r="Y35" s="682"/>
      <c r="Z35" s="682"/>
      <c r="AA35" s="683"/>
      <c r="AB35" s="681"/>
      <c r="AC35" s="681"/>
      <c r="AD35" s="681"/>
      <c r="AE35" s="681"/>
      <c r="AF35" s="684"/>
      <c r="AG35" s="684"/>
      <c r="AH35" s="684"/>
      <c r="AI35" s="684"/>
      <c r="AJ35" s="681"/>
      <c r="AK35" s="684"/>
      <c r="AL35" s="681"/>
      <c r="AM35" s="684"/>
      <c r="AN35" s="684"/>
      <c r="AO35" s="684"/>
      <c r="AP35" s="685"/>
      <c r="AQ35" s="685"/>
      <c r="AR35" s="685"/>
      <c r="AS35" s="685"/>
      <c r="AT35" s="685"/>
      <c r="AU35" s="685"/>
      <c r="AV35" s="685"/>
      <c r="AW35" s="685"/>
      <c r="AX35" s="685"/>
      <c r="AY35" s="685"/>
      <c r="AZ35" s="685"/>
      <c r="BA35" s="685"/>
      <c r="BB35" s="685"/>
      <c r="BC35" s="685"/>
      <c r="BD35" s="685"/>
      <c r="BE35" s="685"/>
      <c r="BF35" s="685"/>
      <c r="BG35" s="685"/>
      <c r="BH35" s="685"/>
      <c r="BI35" s="685"/>
      <c r="BJ35" s="685"/>
      <c r="BK35" s="685"/>
      <c r="BL35" s="685"/>
      <c r="BM35" s="685"/>
      <c r="BN35" s="685"/>
      <c r="BO35" s="685"/>
      <c r="BP35" s="685"/>
      <c r="BQ35" s="685"/>
      <c r="BR35" s="685"/>
      <c r="BS35" s="685"/>
      <c r="BT35" s="685"/>
      <c r="BU35" s="685"/>
      <c r="BV35" s="685"/>
      <c r="BW35" s="685"/>
      <c r="BX35" s="685"/>
      <c r="BY35" s="685"/>
      <c r="BZ35" s="685"/>
      <c r="CA35" s="685"/>
      <c r="CB35" s="685"/>
      <c r="CC35" s="685"/>
      <c r="CD35" s="685"/>
      <c r="CE35" s="685"/>
      <c r="CF35" s="685"/>
      <c r="CG35" s="685"/>
      <c r="CH35" s="685"/>
      <c r="CI35" s="685"/>
      <c r="CJ35" s="685"/>
      <c r="CK35" s="685"/>
      <c r="CL35" s="685"/>
      <c r="CM35" s="685"/>
      <c r="CN35" s="685"/>
      <c r="CO35" s="685"/>
      <c r="CP35" s="685"/>
      <c r="CQ35" s="685"/>
      <c r="CR35" s="685"/>
      <c r="CS35" s="685"/>
      <c r="CT35" s="685"/>
      <c r="CU35" s="685"/>
      <c r="CV35" s="685"/>
      <c r="CW35" s="685"/>
      <c r="CX35" s="685"/>
      <c r="CY35" s="685"/>
      <c r="CZ35" s="685"/>
      <c r="DA35" s="685"/>
      <c r="DB35" s="685"/>
      <c r="DC35" s="685"/>
      <c r="DD35" s="685"/>
      <c r="DE35" s="685"/>
      <c r="DF35" s="685"/>
      <c r="DG35" s="685"/>
      <c r="DH35" s="685"/>
      <c r="DI35" s="685"/>
      <c r="DJ35" s="685"/>
      <c r="DK35" s="685"/>
      <c r="DL35" s="685"/>
      <c r="DM35" s="685"/>
      <c r="DN35" s="685"/>
      <c r="DO35" s="685"/>
      <c r="DP35" s="685"/>
      <c r="DQ35" s="685"/>
      <c r="DR35" s="685"/>
      <c r="DS35" s="685"/>
      <c r="DT35" s="685"/>
      <c r="DU35" s="685"/>
      <c r="DV35" s="685"/>
      <c r="DW35" s="685"/>
      <c r="DX35" s="685"/>
      <c r="DY35" s="685"/>
      <c r="DZ35" s="685"/>
      <c r="EA35" s="685"/>
      <c r="EB35" s="685"/>
      <c r="EC35" s="685"/>
      <c r="ED35" s="685"/>
      <c r="EE35" s="685"/>
      <c r="EF35" s="685"/>
      <c r="EG35" s="685"/>
      <c r="EH35" s="685"/>
      <c r="EI35" s="685"/>
      <c r="EJ35" s="685"/>
      <c r="EK35" s="685"/>
      <c r="EL35" s="685"/>
      <c r="EM35" s="685"/>
      <c r="EN35" s="685"/>
      <c r="EO35" s="685"/>
      <c r="EP35" s="685"/>
      <c r="EQ35" s="685"/>
      <c r="ER35" s="685"/>
      <c r="ES35" s="685"/>
      <c r="ET35" s="685"/>
      <c r="EU35" s="685"/>
      <c r="EV35" s="685"/>
      <c r="EW35" s="685"/>
      <c r="EX35" s="685"/>
      <c r="EY35" s="685"/>
      <c r="EZ35" s="685"/>
      <c r="FA35" s="685"/>
      <c r="FB35" s="685"/>
      <c r="FC35" s="685"/>
      <c r="FD35" s="685"/>
      <c r="FE35" s="685"/>
      <c r="FF35" s="685"/>
      <c r="FG35" s="685"/>
      <c r="FH35" s="685"/>
      <c r="FI35" s="685"/>
      <c r="FJ35" s="685"/>
      <c r="FK35" s="685"/>
      <c r="FL35" s="685"/>
      <c r="FM35" s="685"/>
      <c r="FN35" s="685"/>
      <c r="FO35" s="685"/>
      <c r="FP35" s="685"/>
      <c r="FQ35" s="685"/>
      <c r="FR35" s="685"/>
      <c r="FS35" s="685"/>
      <c r="FT35" s="685"/>
      <c r="FU35" s="685"/>
      <c r="FV35" s="685"/>
      <c r="FW35" s="685"/>
      <c r="FX35" s="685"/>
      <c r="FY35" s="685"/>
      <c r="FZ35" s="685"/>
      <c r="GA35" s="685"/>
      <c r="GB35" s="685"/>
      <c r="GC35" s="685"/>
      <c r="GD35" s="685"/>
      <c r="GE35" s="685"/>
      <c r="GF35" s="685"/>
      <c r="GG35" s="685"/>
      <c r="GH35" s="685"/>
      <c r="GI35" s="685"/>
      <c r="GJ35" s="685"/>
      <c r="GK35" s="685"/>
      <c r="GL35" s="685"/>
      <c r="GM35" s="685"/>
      <c r="GN35" s="685"/>
      <c r="GO35" s="685"/>
      <c r="GP35" s="685"/>
      <c r="GQ35" s="685"/>
      <c r="GR35" s="685"/>
      <c r="GS35" s="685"/>
      <c r="GT35" s="685"/>
      <c r="GU35" s="685"/>
      <c r="GV35" s="685"/>
      <c r="GW35" s="685"/>
      <c r="GX35" s="685"/>
      <c r="GY35" s="685"/>
      <c r="GZ35" s="685"/>
      <c r="HA35" s="685"/>
      <c r="HB35" s="685"/>
      <c r="HC35" s="685"/>
      <c r="HD35" s="685"/>
      <c r="HE35" s="685"/>
      <c r="HF35" s="330" t="e">
        <f>C35-D35</f>
        <v>#VALUE!</v>
      </c>
    </row>
    <row r="36" spans="1:216" ht="20.399999999999999">
      <c r="A36" s="964" t="s">
        <v>571</v>
      </c>
      <c r="B36" s="965"/>
      <c r="C36" s="965"/>
      <c r="D36" s="965"/>
      <c r="E36" s="965"/>
      <c r="F36" s="965"/>
      <c r="G36" s="965"/>
      <c r="H36" s="965"/>
      <c r="I36" s="965"/>
      <c r="J36" s="965"/>
      <c r="K36" s="965"/>
      <c r="L36" s="965"/>
      <c r="M36" s="965"/>
      <c r="N36" s="965"/>
      <c r="O36" s="965"/>
      <c r="P36" s="965"/>
      <c r="Q36" s="965"/>
      <c r="R36" s="965"/>
      <c r="S36" s="965"/>
      <c r="T36" s="965"/>
      <c r="U36" s="965"/>
      <c r="V36" s="965"/>
      <c r="W36" s="965"/>
      <c r="X36" s="965"/>
      <c r="Y36" s="965"/>
      <c r="Z36" s="965"/>
      <c r="AA36" s="965"/>
      <c r="AB36" s="965"/>
      <c r="AC36" s="965"/>
      <c r="AD36" s="965"/>
      <c r="AE36" s="965"/>
      <c r="AF36" s="965"/>
      <c r="AG36" s="965"/>
      <c r="AH36" s="965"/>
      <c r="AI36" s="965"/>
      <c r="AJ36" s="965"/>
      <c r="AK36" s="965"/>
      <c r="AL36" s="965"/>
      <c r="AM36" s="965"/>
      <c r="AN36" s="965"/>
      <c r="AO36" s="965"/>
      <c r="AP36" s="965"/>
      <c r="AQ36" s="965"/>
      <c r="AR36" s="965"/>
      <c r="AS36" s="965"/>
      <c r="AT36" s="965"/>
      <c r="AU36" s="965"/>
      <c r="AV36" s="965"/>
      <c r="AW36" s="965"/>
      <c r="AX36" s="965"/>
      <c r="AY36" s="965"/>
      <c r="AZ36" s="965"/>
      <c r="BA36" s="965"/>
      <c r="BB36" s="965"/>
      <c r="BC36" s="965"/>
      <c r="BD36" s="965"/>
      <c r="BE36" s="965"/>
      <c r="BF36" s="965"/>
      <c r="BG36" s="965"/>
      <c r="BH36" s="965"/>
      <c r="BI36" s="965"/>
      <c r="BJ36" s="965"/>
      <c r="BK36" s="965"/>
      <c r="BL36" s="965"/>
      <c r="BM36" s="965"/>
      <c r="BN36" s="965"/>
      <c r="BO36" s="965"/>
      <c r="BP36" s="965"/>
      <c r="BQ36" s="965"/>
      <c r="BR36" s="965"/>
      <c r="BS36" s="965"/>
      <c r="BT36" s="965"/>
      <c r="BU36" s="965"/>
      <c r="BV36" s="965"/>
      <c r="BW36" s="965"/>
      <c r="BX36" s="965"/>
      <c r="BY36" s="965"/>
      <c r="BZ36" s="965"/>
      <c r="CA36" s="965"/>
      <c r="CB36" s="965"/>
      <c r="CC36" s="965"/>
      <c r="CD36" s="965"/>
      <c r="CE36" s="965"/>
      <c r="CF36" s="965"/>
      <c r="CG36" s="965"/>
      <c r="CH36" s="965"/>
      <c r="CI36" s="965"/>
      <c r="CJ36" s="965"/>
      <c r="CK36" s="965"/>
      <c r="CL36" s="965"/>
      <c r="CM36" s="965"/>
      <c r="CN36" s="965"/>
      <c r="CO36" s="965"/>
      <c r="CP36" s="965"/>
      <c r="CQ36" s="965"/>
      <c r="CR36" s="965"/>
      <c r="CS36" s="965"/>
      <c r="CT36" s="965"/>
      <c r="CU36" s="965"/>
      <c r="CV36" s="965"/>
      <c r="CW36" s="965"/>
      <c r="CX36" s="965"/>
      <c r="CY36" s="965"/>
      <c r="CZ36" s="965"/>
      <c r="DA36" s="965"/>
      <c r="DB36" s="965"/>
      <c r="DC36" s="965"/>
      <c r="DD36" s="965"/>
      <c r="DE36" s="965"/>
      <c r="DF36" s="965"/>
      <c r="DG36" s="965"/>
      <c r="DH36" s="965"/>
      <c r="DI36" s="965"/>
      <c r="DJ36" s="965"/>
      <c r="DK36" s="965"/>
      <c r="DL36" s="965"/>
      <c r="DM36" s="965"/>
      <c r="DN36" s="965"/>
      <c r="DO36" s="965"/>
      <c r="DP36" s="965"/>
      <c r="DQ36" s="965"/>
      <c r="DR36" s="965"/>
      <c r="DS36" s="965"/>
      <c r="DT36" s="965"/>
      <c r="DU36" s="965"/>
      <c r="DV36" s="965"/>
      <c r="DW36" s="965"/>
      <c r="DX36" s="965"/>
      <c r="DY36" s="965"/>
      <c r="DZ36" s="965"/>
      <c r="EA36" s="965"/>
      <c r="EB36" s="965"/>
      <c r="EC36" s="965"/>
      <c r="ED36" s="965"/>
      <c r="EE36" s="965"/>
      <c r="EF36" s="965"/>
      <c r="EG36" s="965"/>
      <c r="EH36" s="965"/>
      <c r="EI36" s="965"/>
      <c r="EJ36" s="965"/>
      <c r="EK36" s="965"/>
      <c r="EL36" s="965"/>
      <c r="EM36" s="965"/>
      <c r="EN36" s="965"/>
      <c r="EO36" s="965"/>
      <c r="EP36" s="965"/>
      <c r="EQ36" s="965"/>
      <c r="ER36" s="965"/>
      <c r="ES36" s="965"/>
      <c r="ET36" s="965"/>
      <c r="EU36" s="965"/>
      <c r="EV36" s="965"/>
      <c r="EW36" s="965"/>
      <c r="EX36" s="965"/>
      <c r="EY36" s="965"/>
      <c r="EZ36" s="965"/>
      <c r="FA36" s="965"/>
      <c r="FB36" s="965"/>
      <c r="FC36" s="965"/>
      <c r="FD36" s="965"/>
      <c r="FE36" s="965"/>
      <c r="FF36" s="965"/>
      <c r="FG36" s="965"/>
      <c r="FH36" s="965"/>
      <c r="FI36" s="965"/>
      <c r="FJ36" s="965"/>
      <c r="FK36" s="965"/>
      <c r="FL36" s="965"/>
      <c r="FM36" s="965"/>
      <c r="FN36" s="965"/>
      <c r="FO36" s="965"/>
      <c r="FP36" s="965"/>
      <c r="FQ36" s="965"/>
      <c r="FR36" s="965"/>
      <c r="FS36" s="965"/>
      <c r="FT36" s="965"/>
      <c r="FU36" s="965"/>
      <c r="FV36" s="965"/>
      <c r="FW36" s="965"/>
      <c r="FX36" s="965"/>
      <c r="FY36" s="965"/>
      <c r="FZ36" s="965"/>
      <c r="GA36" s="965"/>
      <c r="GB36" s="965"/>
      <c r="GC36" s="965"/>
      <c r="GD36" s="965"/>
      <c r="GE36" s="965"/>
      <c r="GF36" s="965"/>
      <c r="GG36" s="965"/>
      <c r="GH36" s="965"/>
      <c r="GI36" s="965"/>
      <c r="GJ36" s="965"/>
      <c r="GK36" s="965"/>
      <c r="GL36" s="965"/>
      <c r="GM36" s="965"/>
      <c r="GN36" s="965"/>
      <c r="GO36" s="965"/>
      <c r="GP36" s="965"/>
      <c r="GQ36" s="965"/>
      <c r="GR36" s="965"/>
      <c r="GS36" s="965"/>
      <c r="GT36" s="965"/>
      <c r="GU36" s="965"/>
      <c r="GV36" s="965"/>
      <c r="GW36" s="965"/>
      <c r="GX36" s="965"/>
      <c r="GY36" s="965"/>
      <c r="GZ36" s="965"/>
      <c r="HA36" s="965"/>
      <c r="HB36" s="965"/>
      <c r="HC36" s="965"/>
      <c r="HD36" s="965"/>
      <c r="HE36" s="965"/>
      <c r="HF36" s="966"/>
    </row>
    <row r="37" spans="1:216" ht="15.6">
      <c r="A37" s="690" t="s">
        <v>328</v>
      </c>
      <c r="B37" s="652"/>
      <c r="C37" s="653">
        <f t="shared" ref="C37:D37" si="11">C3</f>
        <v>46099</v>
      </c>
      <c r="D37" s="653">
        <f t="shared" si="11"/>
        <v>46092</v>
      </c>
      <c r="E37" s="653">
        <f t="shared" ref="E37" si="12">E3</f>
        <v>46085</v>
      </c>
      <c r="F37" s="653">
        <f t="shared" ref="F37:P37" si="13">F3</f>
        <v>46078</v>
      </c>
      <c r="G37" s="653">
        <f t="shared" ref="G37" si="14">G3</f>
        <v>46071</v>
      </c>
      <c r="H37" s="653">
        <f t="shared" ref="H37" si="15">H3</f>
        <v>46064</v>
      </c>
      <c r="I37" s="653">
        <f>I3</f>
        <v>46057</v>
      </c>
      <c r="J37" s="653">
        <f t="shared" si="13"/>
        <v>46050</v>
      </c>
      <c r="K37" s="653">
        <f t="shared" si="13"/>
        <v>46043</v>
      </c>
      <c r="L37" s="653">
        <f t="shared" si="13"/>
        <v>46036</v>
      </c>
      <c r="M37" s="653">
        <f t="shared" si="13"/>
        <v>46029</v>
      </c>
      <c r="N37" s="653">
        <f t="shared" si="13"/>
        <v>46022</v>
      </c>
      <c r="O37" s="653">
        <f t="shared" si="13"/>
        <v>46015</v>
      </c>
      <c r="P37" s="653">
        <f t="shared" si="13"/>
        <v>46008</v>
      </c>
      <c r="Q37" s="653">
        <f t="shared" ref="Q37:AF37" si="16">Q3</f>
        <v>46001</v>
      </c>
      <c r="R37" s="653">
        <f t="shared" si="16"/>
        <v>45994</v>
      </c>
      <c r="S37" s="653">
        <f t="shared" si="16"/>
        <v>46092</v>
      </c>
      <c r="T37" s="591">
        <f t="shared" si="16"/>
        <v>45980</v>
      </c>
      <c r="U37" s="591">
        <f t="shared" si="16"/>
        <v>45973</v>
      </c>
      <c r="V37" s="344">
        <f t="shared" si="16"/>
        <v>45966</v>
      </c>
      <c r="W37" s="247">
        <f t="shared" si="16"/>
        <v>45959</v>
      </c>
      <c r="X37" s="247">
        <f t="shared" si="16"/>
        <v>45952</v>
      </c>
      <c r="Y37" s="247">
        <f t="shared" si="16"/>
        <v>45945</v>
      </c>
      <c r="Z37" s="247">
        <f t="shared" si="16"/>
        <v>45938</v>
      </c>
      <c r="AA37" s="247">
        <f t="shared" si="16"/>
        <v>45931</v>
      </c>
      <c r="AB37" s="247">
        <f t="shared" si="16"/>
        <v>45924</v>
      </c>
      <c r="AC37" s="247">
        <f t="shared" si="16"/>
        <v>45917</v>
      </c>
      <c r="AD37" s="247">
        <f t="shared" si="16"/>
        <v>45910</v>
      </c>
      <c r="AE37" s="247">
        <f t="shared" si="16"/>
        <v>46092</v>
      </c>
      <c r="AF37" s="252">
        <f t="shared" si="16"/>
        <v>45896</v>
      </c>
      <c r="AG37" s="252">
        <v>45889</v>
      </c>
      <c r="AH37" s="252">
        <v>45882</v>
      </c>
      <c r="AI37" s="252">
        <v>45875</v>
      </c>
      <c r="AJ37" s="247">
        <v>45868</v>
      </c>
      <c r="AK37" s="252">
        <v>45861</v>
      </c>
      <c r="AL37" s="247">
        <v>45854</v>
      </c>
      <c r="AM37" s="252">
        <v>45847</v>
      </c>
      <c r="AN37" s="252">
        <v>45840</v>
      </c>
      <c r="AO37" s="252">
        <f>AO3</f>
        <v>45833</v>
      </c>
      <c r="AP37" s="247">
        <v>45826</v>
      </c>
      <c r="AQ37" s="247">
        <f t="shared" ref="AQ37:BV37" si="17">AQ3</f>
        <v>45819</v>
      </c>
      <c r="AR37" s="247">
        <f t="shared" si="17"/>
        <v>45812</v>
      </c>
      <c r="AS37" s="247">
        <f t="shared" si="17"/>
        <v>45805</v>
      </c>
      <c r="AT37" s="247">
        <f t="shared" si="17"/>
        <v>45798</v>
      </c>
      <c r="AU37" s="247">
        <f t="shared" si="17"/>
        <v>45792</v>
      </c>
      <c r="AV37" s="247">
        <f t="shared" si="17"/>
        <v>45785</v>
      </c>
      <c r="AW37" s="247">
        <f t="shared" si="17"/>
        <v>45777</v>
      </c>
      <c r="AX37" s="247">
        <f t="shared" si="17"/>
        <v>45771</v>
      </c>
      <c r="AY37" s="247">
        <f t="shared" si="17"/>
        <v>45763</v>
      </c>
      <c r="AZ37" s="247">
        <f t="shared" si="17"/>
        <v>45757</v>
      </c>
      <c r="BA37" s="247">
        <f t="shared" si="17"/>
        <v>45750</v>
      </c>
      <c r="BB37" s="247">
        <f t="shared" si="17"/>
        <v>45742</v>
      </c>
      <c r="BC37" s="247" t="e">
        <f t="shared" si="17"/>
        <v>#REF!</v>
      </c>
      <c r="BD37" s="247">
        <f t="shared" si="17"/>
        <v>45729</v>
      </c>
      <c r="BE37" s="247">
        <f t="shared" si="17"/>
        <v>45722</v>
      </c>
      <c r="BF37" s="247">
        <f t="shared" si="17"/>
        <v>45715</v>
      </c>
      <c r="BG37" s="247">
        <f t="shared" si="17"/>
        <v>45708</v>
      </c>
      <c r="BH37" s="247">
        <f t="shared" si="17"/>
        <v>45701</v>
      </c>
      <c r="BI37" s="247">
        <f t="shared" si="17"/>
        <v>45694</v>
      </c>
      <c r="BJ37" s="247">
        <f t="shared" si="17"/>
        <v>45688</v>
      </c>
      <c r="BK37" s="247">
        <f t="shared" si="17"/>
        <v>45315</v>
      </c>
      <c r="BL37" s="247">
        <f t="shared" si="17"/>
        <v>45673</v>
      </c>
      <c r="BM37" s="247">
        <f t="shared" si="17"/>
        <v>45666</v>
      </c>
      <c r="BN37" s="247">
        <f t="shared" si="17"/>
        <v>45659</v>
      </c>
      <c r="BO37" s="247">
        <f t="shared" si="17"/>
        <v>45652</v>
      </c>
      <c r="BP37" s="247">
        <f t="shared" si="17"/>
        <v>45645</v>
      </c>
      <c r="BQ37" s="247">
        <f t="shared" si="17"/>
        <v>45638</v>
      </c>
      <c r="BR37" s="247">
        <f t="shared" si="17"/>
        <v>45631</v>
      </c>
      <c r="BS37" s="247">
        <f t="shared" si="17"/>
        <v>45625</v>
      </c>
      <c r="BT37" s="247">
        <f t="shared" si="17"/>
        <v>45617</v>
      </c>
      <c r="BU37" s="247">
        <f t="shared" si="17"/>
        <v>45610</v>
      </c>
      <c r="BV37" s="247">
        <f t="shared" si="17"/>
        <v>45603</v>
      </c>
      <c r="BW37" s="247">
        <f t="shared" ref="BW37:DB37" si="18">BW3</f>
        <v>45595</v>
      </c>
      <c r="BX37" s="247">
        <f t="shared" si="18"/>
        <v>45591</v>
      </c>
      <c r="BY37" s="247">
        <f t="shared" si="18"/>
        <v>45582</v>
      </c>
      <c r="BZ37" s="247">
        <f t="shared" si="18"/>
        <v>45575</v>
      </c>
      <c r="CA37" s="247">
        <f t="shared" si="18"/>
        <v>45568</v>
      </c>
      <c r="CB37" s="247">
        <f t="shared" si="18"/>
        <v>45561</v>
      </c>
      <c r="CC37" s="247">
        <f t="shared" si="18"/>
        <v>45554</v>
      </c>
      <c r="CD37" s="247">
        <f t="shared" si="18"/>
        <v>45547</v>
      </c>
      <c r="CE37" s="247">
        <f t="shared" si="18"/>
        <v>45540</v>
      </c>
      <c r="CF37" s="247">
        <f t="shared" si="18"/>
        <v>45533</v>
      </c>
      <c r="CG37" s="247">
        <f t="shared" si="18"/>
        <v>45526</v>
      </c>
      <c r="CH37" s="247">
        <f t="shared" si="18"/>
        <v>45519</v>
      </c>
      <c r="CI37" s="247">
        <f t="shared" si="18"/>
        <v>45511</v>
      </c>
      <c r="CJ37" s="247">
        <f t="shared" si="18"/>
        <v>45505</v>
      </c>
      <c r="CK37" s="247">
        <f t="shared" si="18"/>
        <v>45498</v>
      </c>
      <c r="CL37" s="247">
        <f t="shared" si="18"/>
        <v>45492</v>
      </c>
      <c r="CM37" s="247" t="str">
        <f t="shared" si="18"/>
        <v>11/7/224</v>
      </c>
      <c r="CN37" s="247">
        <f t="shared" si="18"/>
        <v>45477</v>
      </c>
      <c r="CO37" s="247">
        <f t="shared" si="18"/>
        <v>45464</v>
      </c>
      <c r="CP37" s="247">
        <f t="shared" si="18"/>
        <v>45456</v>
      </c>
      <c r="CQ37" s="247">
        <f t="shared" si="18"/>
        <v>45449</v>
      </c>
      <c r="CR37" s="247">
        <f t="shared" si="18"/>
        <v>45442</v>
      </c>
      <c r="CS37" s="247">
        <f t="shared" si="18"/>
        <v>45435</v>
      </c>
      <c r="CT37" s="247">
        <f t="shared" si="18"/>
        <v>45428</v>
      </c>
      <c r="CU37" s="247">
        <f t="shared" si="18"/>
        <v>45421</v>
      </c>
      <c r="CV37" s="247">
        <f t="shared" si="18"/>
        <v>45414</v>
      </c>
      <c r="CW37" s="247">
        <f t="shared" si="18"/>
        <v>45407</v>
      </c>
      <c r="CX37" s="247">
        <f t="shared" si="18"/>
        <v>45400</v>
      </c>
      <c r="CY37" s="247">
        <f t="shared" si="18"/>
        <v>45393</v>
      </c>
      <c r="CZ37" s="247">
        <f t="shared" si="18"/>
        <v>45386</v>
      </c>
      <c r="DA37" s="247">
        <f t="shared" si="18"/>
        <v>45378</v>
      </c>
      <c r="DB37" s="247">
        <f t="shared" si="18"/>
        <v>45372</v>
      </c>
      <c r="DC37" s="247">
        <f t="shared" ref="DC37:EH37" si="19">DC3</f>
        <v>45365</v>
      </c>
      <c r="DD37" s="247">
        <f t="shared" si="19"/>
        <v>45358</v>
      </c>
      <c r="DE37" s="247">
        <f t="shared" si="19"/>
        <v>45351</v>
      </c>
      <c r="DF37" s="247">
        <f t="shared" si="19"/>
        <v>45343</v>
      </c>
      <c r="DG37" s="247">
        <f t="shared" si="19"/>
        <v>45336</v>
      </c>
      <c r="DH37" s="247">
        <f t="shared" si="19"/>
        <v>45329</v>
      </c>
      <c r="DI37" s="247">
        <f t="shared" si="19"/>
        <v>45323</v>
      </c>
      <c r="DJ37" s="247">
        <f t="shared" si="19"/>
        <v>45316</v>
      </c>
      <c r="DK37" s="247">
        <f t="shared" si="19"/>
        <v>45309</v>
      </c>
      <c r="DL37" s="247">
        <f t="shared" si="19"/>
        <v>45302</v>
      </c>
      <c r="DM37" s="247">
        <f t="shared" si="19"/>
        <v>45295</v>
      </c>
      <c r="DN37" s="247">
        <f t="shared" si="19"/>
        <v>45288</v>
      </c>
      <c r="DO37" s="247">
        <f t="shared" si="19"/>
        <v>45281</v>
      </c>
      <c r="DP37" s="247" t="str">
        <f t="shared" si="19"/>
        <v>14/21/2023</v>
      </c>
      <c r="DQ37" s="247">
        <f t="shared" si="19"/>
        <v>45267</v>
      </c>
      <c r="DR37" s="247">
        <f t="shared" si="19"/>
        <v>45260</v>
      </c>
      <c r="DS37" s="247">
        <f t="shared" si="19"/>
        <v>45253</v>
      </c>
      <c r="DT37" s="247">
        <f t="shared" si="19"/>
        <v>45246</v>
      </c>
      <c r="DU37" s="247">
        <f t="shared" si="19"/>
        <v>45239</v>
      </c>
      <c r="DV37" s="247">
        <f t="shared" si="19"/>
        <v>45232</v>
      </c>
      <c r="DW37" s="247">
        <f t="shared" si="19"/>
        <v>45225</v>
      </c>
      <c r="DX37" s="247">
        <f t="shared" si="19"/>
        <v>45218</v>
      </c>
      <c r="DY37" s="247">
        <f t="shared" si="19"/>
        <v>45211</v>
      </c>
      <c r="DZ37" s="247">
        <f t="shared" si="19"/>
        <v>45204</v>
      </c>
      <c r="EA37" s="247">
        <f t="shared" si="19"/>
        <v>45197</v>
      </c>
      <c r="EB37" s="247">
        <f t="shared" si="19"/>
        <v>45190</v>
      </c>
      <c r="EC37" s="247">
        <f t="shared" si="19"/>
        <v>45183</v>
      </c>
      <c r="ED37" s="247">
        <f t="shared" si="19"/>
        <v>45176</v>
      </c>
      <c r="EE37" s="247">
        <f t="shared" si="19"/>
        <v>45168</v>
      </c>
      <c r="EF37" s="247">
        <f t="shared" si="19"/>
        <v>45162</v>
      </c>
      <c r="EG37" s="247">
        <f t="shared" si="19"/>
        <v>45155</v>
      </c>
      <c r="EH37" s="247">
        <f t="shared" si="19"/>
        <v>45148</v>
      </c>
      <c r="EI37" s="247">
        <v>45141</v>
      </c>
      <c r="EJ37" s="247">
        <v>45134</v>
      </c>
      <c r="EK37" s="247">
        <v>45127</v>
      </c>
      <c r="EL37" s="247">
        <v>45120</v>
      </c>
      <c r="EM37" s="247">
        <v>45113</v>
      </c>
      <c r="EN37" s="247">
        <v>45105</v>
      </c>
      <c r="EO37" s="247">
        <v>45099</v>
      </c>
      <c r="EP37" s="247">
        <v>45092</v>
      </c>
      <c r="EQ37" s="247">
        <v>45085</v>
      </c>
      <c r="ER37" s="247">
        <v>45076</v>
      </c>
      <c r="ES37" s="247">
        <v>45070</v>
      </c>
      <c r="ET37" s="247">
        <v>45063</v>
      </c>
      <c r="EU37" s="247">
        <v>45056</v>
      </c>
      <c r="EV37" s="247">
        <v>45049</v>
      </c>
      <c r="EW37" s="247">
        <v>45042</v>
      </c>
      <c r="EX37" s="247">
        <v>45035</v>
      </c>
      <c r="EY37" s="247">
        <v>45028</v>
      </c>
      <c r="EZ37" s="244"/>
      <c r="FA37" s="247">
        <v>44803</v>
      </c>
      <c r="FB37" s="251"/>
      <c r="FC37" s="244"/>
      <c r="FD37" s="1047">
        <v>44706</v>
      </c>
      <c r="FE37" s="251"/>
      <c r="FF37" s="250"/>
      <c r="FG37" s="1046"/>
      <c r="FH37" s="1045" t="s">
        <v>118</v>
      </c>
      <c r="FI37" s="1053">
        <v>44685</v>
      </c>
      <c r="FJ37" s="1047">
        <v>44699</v>
      </c>
      <c r="FK37" s="1047">
        <v>44690</v>
      </c>
      <c r="FL37" s="1047">
        <v>44713</v>
      </c>
      <c r="FM37" s="1047">
        <v>44720</v>
      </c>
      <c r="FN37" s="1043">
        <v>44727</v>
      </c>
      <c r="FO37" s="1043">
        <v>44733</v>
      </c>
      <c r="FP37" s="1043">
        <v>44741</v>
      </c>
      <c r="FQ37" s="1043">
        <v>44755</v>
      </c>
      <c r="FR37" s="1043">
        <v>44748</v>
      </c>
      <c r="FS37" s="1043">
        <v>44769</v>
      </c>
      <c r="FT37" s="1043">
        <v>44762</v>
      </c>
      <c r="FU37" s="1043">
        <v>44783</v>
      </c>
      <c r="FV37" s="1043">
        <v>44776</v>
      </c>
      <c r="FW37" s="247">
        <v>44797</v>
      </c>
      <c r="FX37" s="247">
        <v>44790</v>
      </c>
      <c r="FY37" s="247">
        <v>44805</v>
      </c>
      <c r="FZ37" s="247">
        <v>45000</v>
      </c>
      <c r="GA37" s="247">
        <v>44993</v>
      </c>
      <c r="GB37" s="247">
        <v>44986</v>
      </c>
      <c r="GC37" s="247">
        <v>44979</v>
      </c>
      <c r="GD37" s="247">
        <v>44972</v>
      </c>
      <c r="GE37" s="247">
        <v>44965</v>
      </c>
      <c r="GF37" s="247">
        <v>44958</v>
      </c>
      <c r="GG37" s="247">
        <v>44951</v>
      </c>
      <c r="GH37" s="247">
        <v>44944</v>
      </c>
      <c r="GI37" s="247">
        <v>44937</v>
      </c>
      <c r="GJ37" s="247">
        <v>44930</v>
      </c>
      <c r="GK37" s="247">
        <v>44923</v>
      </c>
      <c r="GL37" s="247">
        <v>44916</v>
      </c>
      <c r="GM37" s="247">
        <v>44910</v>
      </c>
      <c r="GN37" s="247">
        <v>44902</v>
      </c>
      <c r="GO37" s="247">
        <v>44896</v>
      </c>
      <c r="GP37" s="247">
        <v>44888</v>
      </c>
      <c r="GQ37" s="247">
        <v>44881</v>
      </c>
      <c r="GR37" s="247">
        <v>44874</v>
      </c>
      <c r="GS37" s="247">
        <v>44868</v>
      </c>
      <c r="GT37" s="247">
        <v>44860</v>
      </c>
      <c r="GU37" s="247">
        <v>44853</v>
      </c>
      <c r="GV37" s="247">
        <v>44846</v>
      </c>
      <c r="GW37" s="247">
        <v>44839</v>
      </c>
      <c r="GX37" s="247">
        <v>44831</v>
      </c>
      <c r="GY37" s="247">
        <v>44825</v>
      </c>
      <c r="GZ37" s="247">
        <v>44818</v>
      </c>
      <c r="HA37" s="247">
        <v>44811</v>
      </c>
      <c r="HB37" s="247">
        <v>45002</v>
      </c>
      <c r="HC37" s="247">
        <v>45020</v>
      </c>
      <c r="HD37" s="247">
        <v>45014</v>
      </c>
      <c r="HE37" s="247">
        <v>45008</v>
      </c>
      <c r="HF37" s="244"/>
    </row>
    <row r="38" spans="1:216" ht="15.6">
      <c r="A38" s="690"/>
      <c r="B38" s="650" t="s">
        <v>327</v>
      </c>
      <c r="C38" s="246" t="s">
        <v>325</v>
      </c>
      <c r="D38" s="246" t="s">
        <v>325</v>
      </c>
      <c r="E38" s="246" t="s">
        <v>325</v>
      </c>
      <c r="F38" s="246" t="s">
        <v>325</v>
      </c>
      <c r="G38" s="246" t="s">
        <v>325</v>
      </c>
      <c r="H38" s="246" t="s">
        <v>325</v>
      </c>
      <c r="I38" s="246" t="s">
        <v>325</v>
      </c>
      <c r="J38" s="246" t="s">
        <v>325</v>
      </c>
      <c r="K38" s="246" t="s">
        <v>325</v>
      </c>
      <c r="L38" s="246" t="s">
        <v>325</v>
      </c>
      <c r="M38" s="246" t="s">
        <v>325</v>
      </c>
      <c r="N38" s="246" t="s">
        <v>325</v>
      </c>
      <c r="O38" s="246" t="s">
        <v>325</v>
      </c>
      <c r="P38" s="246" t="s">
        <v>325</v>
      </c>
      <c r="Q38" s="246" t="s">
        <v>325</v>
      </c>
      <c r="R38" s="246" t="s">
        <v>325</v>
      </c>
      <c r="S38" s="246" t="s">
        <v>325</v>
      </c>
      <c r="T38" s="246" t="s">
        <v>325</v>
      </c>
      <c r="U38" s="246" t="s">
        <v>325</v>
      </c>
      <c r="V38" s="246" t="s">
        <v>325</v>
      </c>
      <c r="W38" s="246" t="s">
        <v>325</v>
      </c>
      <c r="X38" s="246" t="s">
        <v>325</v>
      </c>
      <c r="Y38" s="246" t="s">
        <v>325</v>
      </c>
      <c r="Z38" s="246" t="s">
        <v>325</v>
      </c>
      <c r="AA38" s="246" t="s">
        <v>325</v>
      </c>
      <c r="AB38" s="246" t="s">
        <v>325</v>
      </c>
      <c r="AC38" s="246" t="s">
        <v>325</v>
      </c>
      <c r="AD38" s="246" t="s">
        <v>325</v>
      </c>
      <c r="AE38" s="246" t="s">
        <v>325</v>
      </c>
      <c r="AF38" s="245" t="s">
        <v>325</v>
      </c>
      <c r="AG38" s="245" t="s">
        <v>325</v>
      </c>
      <c r="AH38" s="245" t="s">
        <v>325</v>
      </c>
      <c r="AI38" s="245" t="s">
        <v>325</v>
      </c>
      <c r="AJ38" s="246" t="s">
        <v>325</v>
      </c>
      <c r="AK38" s="245" t="s">
        <v>325</v>
      </c>
      <c r="AL38" s="246" t="s">
        <v>325</v>
      </c>
      <c r="AM38" s="245" t="s">
        <v>325</v>
      </c>
      <c r="AN38" s="245" t="s">
        <v>325</v>
      </c>
      <c r="AO38" s="245" t="s">
        <v>325</v>
      </c>
      <c r="AP38" s="242" t="s">
        <v>325</v>
      </c>
      <c r="AQ38" s="242" t="s">
        <v>325</v>
      </c>
      <c r="AR38" s="242" t="s">
        <v>325</v>
      </c>
      <c r="AS38" s="242" t="s">
        <v>325</v>
      </c>
      <c r="AT38" s="242" t="s">
        <v>325</v>
      </c>
      <c r="AU38" s="242" t="s">
        <v>325</v>
      </c>
      <c r="AV38" s="242" t="s">
        <v>325</v>
      </c>
      <c r="AW38" s="242" t="s">
        <v>325</v>
      </c>
      <c r="AX38" s="242" t="s">
        <v>325</v>
      </c>
      <c r="AY38" s="242" t="s">
        <v>325</v>
      </c>
      <c r="AZ38" s="242" t="s">
        <v>325</v>
      </c>
      <c r="BA38" s="242" t="s">
        <v>325</v>
      </c>
      <c r="BB38" s="242" t="s">
        <v>325</v>
      </c>
      <c r="BC38" s="242" t="s">
        <v>325</v>
      </c>
      <c r="BD38" s="242" t="s">
        <v>325</v>
      </c>
      <c r="BE38" s="242" t="s">
        <v>325</v>
      </c>
      <c r="BF38" s="242" t="s">
        <v>325</v>
      </c>
      <c r="BG38" s="242" t="s">
        <v>325</v>
      </c>
      <c r="BH38" s="242" t="s">
        <v>325</v>
      </c>
      <c r="BI38" s="242" t="s">
        <v>325</v>
      </c>
      <c r="BJ38" s="242" t="s">
        <v>325</v>
      </c>
      <c r="BK38" s="242" t="s">
        <v>325</v>
      </c>
      <c r="BL38" s="242" t="s">
        <v>325</v>
      </c>
      <c r="BM38" s="242" t="s">
        <v>325</v>
      </c>
      <c r="BN38" s="242" t="s">
        <v>325</v>
      </c>
      <c r="BO38" s="242" t="s">
        <v>325</v>
      </c>
      <c r="BP38" s="242" t="s">
        <v>325</v>
      </c>
      <c r="BQ38" s="242" t="s">
        <v>325</v>
      </c>
      <c r="BR38" s="242" t="s">
        <v>325</v>
      </c>
      <c r="BS38" s="242" t="s">
        <v>325</v>
      </c>
      <c r="BT38" s="242" t="s">
        <v>325</v>
      </c>
      <c r="BU38" s="242" t="s">
        <v>325</v>
      </c>
      <c r="BV38" s="242" t="s">
        <v>325</v>
      </c>
      <c r="BW38" s="242" t="s">
        <v>325</v>
      </c>
      <c r="BX38" s="242" t="s">
        <v>325</v>
      </c>
      <c r="BY38" s="242" t="s">
        <v>325</v>
      </c>
      <c r="BZ38" s="242" t="s">
        <v>325</v>
      </c>
      <c r="CA38" s="242" t="s">
        <v>325</v>
      </c>
      <c r="CB38" s="242" t="s">
        <v>325</v>
      </c>
      <c r="CC38" s="242" t="s">
        <v>325</v>
      </c>
      <c r="CD38" s="242" t="s">
        <v>325</v>
      </c>
      <c r="CE38" s="242" t="s">
        <v>325</v>
      </c>
      <c r="CF38" s="242" t="s">
        <v>325</v>
      </c>
      <c r="CG38" s="242" t="s">
        <v>325</v>
      </c>
      <c r="CH38" s="242" t="s">
        <v>325</v>
      </c>
      <c r="CI38" s="242" t="s">
        <v>325</v>
      </c>
      <c r="CJ38" s="242" t="s">
        <v>325</v>
      </c>
      <c r="CK38" s="242" t="s">
        <v>325</v>
      </c>
      <c r="CL38" s="242" t="s">
        <v>325</v>
      </c>
      <c r="CM38" s="242" t="s">
        <v>325</v>
      </c>
      <c r="CN38" s="242" t="s">
        <v>325</v>
      </c>
      <c r="CO38" s="242" t="s">
        <v>325</v>
      </c>
      <c r="CP38" s="242" t="s">
        <v>325</v>
      </c>
      <c r="CQ38" s="242" t="s">
        <v>325</v>
      </c>
      <c r="CR38" s="242" t="s">
        <v>325</v>
      </c>
      <c r="CS38" s="242" t="s">
        <v>325</v>
      </c>
      <c r="CT38" s="242" t="s">
        <v>325</v>
      </c>
      <c r="CU38" s="242" t="s">
        <v>325</v>
      </c>
      <c r="CV38" s="242" t="s">
        <v>325</v>
      </c>
      <c r="CW38" s="242" t="s">
        <v>325</v>
      </c>
      <c r="CX38" s="242" t="s">
        <v>325</v>
      </c>
      <c r="CY38" s="242" t="s">
        <v>325</v>
      </c>
      <c r="CZ38" s="242" t="s">
        <v>325</v>
      </c>
      <c r="DA38" s="242" t="s">
        <v>325</v>
      </c>
      <c r="DB38" s="242" t="s">
        <v>325</v>
      </c>
      <c r="DC38" s="242" t="s">
        <v>325</v>
      </c>
      <c r="DD38" s="242" t="s">
        <v>325</v>
      </c>
      <c r="DE38" s="242" t="s">
        <v>325</v>
      </c>
      <c r="DF38" s="242" t="s">
        <v>325</v>
      </c>
      <c r="DG38" s="242" t="s">
        <v>325</v>
      </c>
      <c r="DH38" s="242" t="s">
        <v>325</v>
      </c>
      <c r="DI38" s="242" t="s">
        <v>325</v>
      </c>
      <c r="DJ38" s="242" t="s">
        <v>325</v>
      </c>
      <c r="DK38" s="242" t="s">
        <v>325</v>
      </c>
      <c r="DL38" s="242" t="s">
        <v>325</v>
      </c>
      <c r="DM38" s="242" t="s">
        <v>325</v>
      </c>
      <c r="DN38" s="242" t="s">
        <v>325</v>
      </c>
      <c r="DO38" s="242" t="s">
        <v>325</v>
      </c>
      <c r="DP38" s="242" t="s">
        <v>325</v>
      </c>
      <c r="DQ38" s="242" t="s">
        <v>325</v>
      </c>
      <c r="DR38" s="242" t="s">
        <v>325</v>
      </c>
      <c r="DS38" s="242" t="s">
        <v>325</v>
      </c>
      <c r="DT38" s="242" t="s">
        <v>325</v>
      </c>
      <c r="DU38" s="242" t="s">
        <v>325</v>
      </c>
      <c r="DV38" s="242" t="s">
        <v>325</v>
      </c>
      <c r="DW38" s="242" t="s">
        <v>325</v>
      </c>
      <c r="DX38" s="242" t="s">
        <v>325</v>
      </c>
      <c r="DY38" s="242" t="s">
        <v>325</v>
      </c>
      <c r="DZ38" s="242" t="s">
        <v>325</v>
      </c>
      <c r="EA38" s="242" t="s">
        <v>325</v>
      </c>
      <c r="EB38" s="242" t="s">
        <v>325</v>
      </c>
      <c r="EC38" s="242" t="s">
        <v>325</v>
      </c>
      <c r="ED38" s="242" t="s">
        <v>325</v>
      </c>
      <c r="EE38" s="242" t="s">
        <v>325</v>
      </c>
      <c r="EF38" s="242" t="s">
        <v>325</v>
      </c>
      <c r="EG38" s="242" t="s">
        <v>325</v>
      </c>
      <c r="EH38" s="242" t="s">
        <v>325</v>
      </c>
      <c r="EI38" s="242" t="s">
        <v>325</v>
      </c>
      <c r="EJ38" s="242" t="s">
        <v>325</v>
      </c>
      <c r="EK38" s="242" t="s">
        <v>325</v>
      </c>
      <c r="EL38" s="242" t="s">
        <v>325</v>
      </c>
      <c r="EM38" s="242" t="s">
        <v>325</v>
      </c>
      <c r="EN38" s="242" t="s">
        <v>325</v>
      </c>
      <c r="EO38" s="242" t="s">
        <v>325</v>
      </c>
      <c r="EP38" s="242" t="s">
        <v>325</v>
      </c>
      <c r="EQ38" s="242" t="s">
        <v>325</v>
      </c>
      <c r="ER38" s="242" t="s">
        <v>325</v>
      </c>
      <c r="ES38" s="242" t="s">
        <v>325</v>
      </c>
      <c r="ET38" s="242" t="s">
        <v>325</v>
      </c>
      <c r="EU38" s="242" t="s">
        <v>325</v>
      </c>
      <c r="EV38" s="242" t="s">
        <v>325</v>
      </c>
      <c r="EW38" s="242" t="s">
        <v>325</v>
      </c>
      <c r="EX38" s="242" t="s">
        <v>325</v>
      </c>
      <c r="EY38" s="242" t="s">
        <v>325</v>
      </c>
      <c r="EZ38" s="244" t="s">
        <v>120</v>
      </c>
      <c r="FA38" s="242" t="s">
        <v>325</v>
      </c>
      <c r="FB38" s="243" t="s">
        <v>327</v>
      </c>
      <c r="FC38" s="244" t="s">
        <v>120</v>
      </c>
      <c r="FD38" s="1045" t="s">
        <v>325</v>
      </c>
      <c r="FE38" s="243" t="s">
        <v>327</v>
      </c>
      <c r="FF38" s="244" t="s">
        <v>120</v>
      </c>
      <c r="FG38" s="1046" t="s">
        <v>326</v>
      </c>
      <c r="FH38" s="1045" t="s">
        <v>325</v>
      </c>
      <c r="FI38" s="1046" t="s">
        <v>325</v>
      </c>
      <c r="FJ38" s="1045" t="s">
        <v>325</v>
      </c>
      <c r="FK38" s="1045" t="s">
        <v>325</v>
      </c>
      <c r="FL38" s="1045" t="s">
        <v>325</v>
      </c>
      <c r="FM38" s="1045" t="s">
        <v>325</v>
      </c>
      <c r="FN38" s="1044" t="s">
        <v>325</v>
      </c>
      <c r="FO38" s="1044" t="s">
        <v>325</v>
      </c>
      <c r="FP38" s="1044" t="s">
        <v>325</v>
      </c>
      <c r="FQ38" s="1044" t="s">
        <v>325</v>
      </c>
      <c r="FR38" s="1044" t="s">
        <v>325</v>
      </c>
      <c r="FS38" s="1044" t="s">
        <v>325</v>
      </c>
      <c r="FT38" s="1044" t="s">
        <v>325</v>
      </c>
      <c r="FU38" s="1044" t="s">
        <v>325</v>
      </c>
      <c r="FV38" s="1044" t="s">
        <v>325</v>
      </c>
      <c r="FW38" s="242" t="s">
        <v>325</v>
      </c>
      <c r="FX38" s="242" t="s">
        <v>325</v>
      </c>
      <c r="FY38" s="242" t="s">
        <v>325</v>
      </c>
      <c r="FZ38" s="242" t="s">
        <v>325</v>
      </c>
      <c r="GA38" s="242" t="s">
        <v>325</v>
      </c>
      <c r="GB38" s="242" t="s">
        <v>325</v>
      </c>
      <c r="GC38" s="242" t="s">
        <v>325</v>
      </c>
      <c r="GD38" s="242" t="s">
        <v>325</v>
      </c>
      <c r="GE38" s="242" t="s">
        <v>325</v>
      </c>
      <c r="GF38" s="242" t="s">
        <v>325</v>
      </c>
      <c r="GG38" s="242" t="s">
        <v>325</v>
      </c>
      <c r="GH38" s="242" t="s">
        <v>325</v>
      </c>
      <c r="GI38" s="242" t="s">
        <v>325</v>
      </c>
      <c r="GJ38" s="242" t="s">
        <v>325</v>
      </c>
      <c r="GK38" s="242" t="s">
        <v>325</v>
      </c>
      <c r="GL38" s="242" t="s">
        <v>325</v>
      </c>
      <c r="GM38" s="242" t="s">
        <v>325</v>
      </c>
      <c r="GN38" s="242" t="s">
        <v>325</v>
      </c>
      <c r="GO38" s="242" t="s">
        <v>325</v>
      </c>
      <c r="GP38" s="242" t="s">
        <v>325</v>
      </c>
      <c r="GQ38" s="242" t="s">
        <v>325</v>
      </c>
      <c r="GR38" s="242" t="s">
        <v>325</v>
      </c>
      <c r="GS38" s="242" t="s">
        <v>325</v>
      </c>
      <c r="GT38" s="242" t="s">
        <v>325</v>
      </c>
      <c r="GU38" s="242" t="s">
        <v>325</v>
      </c>
      <c r="GV38" s="242" t="s">
        <v>325</v>
      </c>
      <c r="GW38" s="242" t="s">
        <v>325</v>
      </c>
      <c r="GX38" s="242" t="s">
        <v>325</v>
      </c>
      <c r="GY38" s="242" t="s">
        <v>325</v>
      </c>
      <c r="GZ38" s="242" t="s">
        <v>325</v>
      </c>
      <c r="HA38" s="242" t="s">
        <v>325</v>
      </c>
      <c r="HB38" s="242" t="s">
        <v>325</v>
      </c>
      <c r="HC38" s="242" t="s">
        <v>325</v>
      </c>
      <c r="HD38" s="242" t="s">
        <v>325</v>
      </c>
      <c r="HE38" s="242" t="s">
        <v>325</v>
      </c>
      <c r="HF38" s="244" t="s">
        <v>324</v>
      </c>
    </row>
    <row r="39" spans="1:216" ht="15.75" customHeight="1">
      <c r="A39" s="959" t="s">
        <v>46</v>
      </c>
      <c r="B39" s="843" t="s">
        <v>802</v>
      </c>
      <c r="C39" s="915">
        <v>0</v>
      </c>
      <c r="D39" s="915">
        <v>0</v>
      </c>
      <c r="E39" s="915">
        <v>0</v>
      </c>
      <c r="F39" s="915">
        <v>1.2500000000000001E-2</v>
      </c>
      <c r="G39" s="946">
        <v>1.35E-2</v>
      </c>
      <c r="H39" s="948">
        <v>1.35E-2</v>
      </c>
      <c r="I39" s="946">
        <v>1.4500000000000001E-2</v>
      </c>
      <c r="J39" s="948">
        <v>1.4500000000000001E-2</v>
      </c>
      <c r="K39" s="946">
        <v>1.0999999999999999E-2</v>
      </c>
      <c r="L39" s="948">
        <v>1.0999999999999999E-2</v>
      </c>
      <c r="M39" s="946">
        <v>1.15E-2</v>
      </c>
      <c r="N39" s="946">
        <v>1.15E-2</v>
      </c>
      <c r="O39" s="946">
        <v>1.15E-2</v>
      </c>
      <c r="P39" s="946">
        <v>1.15E-2</v>
      </c>
      <c r="Q39" s="946">
        <v>1.15E-2</v>
      </c>
      <c r="R39" s="946">
        <v>1.15E-2</v>
      </c>
      <c r="S39" s="948">
        <v>1.0500000000000001E-2</v>
      </c>
      <c r="T39" s="946">
        <v>1.0999999999999999E-2</v>
      </c>
      <c r="U39" s="946">
        <v>1.0999999999999999E-2</v>
      </c>
      <c r="V39" s="946">
        <v>1.0999999999999999E-2</v>
      </c>
      <c r="W39" s="946">
        <v>1.0999999999999999E-2</v>
      </c>
      <c r="X39" s="946">
        <v>1.0999999999999999E-2</v>
      </c>
      <c r="Y39" s="946">
        <v>1.0999999999999999E-2</v>
      </c>
      <c r="Z39" s="946">
        <v>1.0999999999999999E-2</v>
      </c>
      <c r="AA39" s="946">
        <v>1.0999999999999999E-2</v>
      </c>
      <c r="AB39" s="946">
        <v>1.0999999999999999E-2</v>
      </c>
      <c r="AC39" s="946">
        <v>1.0999999999999999E-2</v>
      </c>
      <c r="AD39" s="948">
        <v>1.0999999999999999E-2</v>
      </c>
      <c r="AE39" s="948">
        <v>1.15E-2</v>
      </c>
      <c r="AF39" s="948">
        <v>1.2E-2</v>
      </c>
      <c r="AG39" s="948">
        <v>1.2999999999999999E-2</v>
      </c>
      <c r="AH39" s="1002">
        <v>1.35E-2</v>
      </c>
      <c r="AI39" s="1002">
        <v>1.4E-2</v>
      </c>
      <c r="AJ39" s="946">
        <v>1.4E-2</v>
      </c>
      <c r="AK39" s="948">
        <v>1.4E-2</v>
      </c>
      <c r="AL39" s="946">
        <v>1.4500000000000001E-2</v>
      </c>
      <c r="AM39" s="948">
        <v>1.4500000000000001E-2</v>
      </c>
      <c r="AN39" s="948" t="s">
        <v>478</v>
      </c>
      <c r="AO39" s="948" t="s">
        <v>477</v>
      </c>
      <c r="AP39" s="995" t="s">
        <v>476</v>
      </c>
      <c r="AQ39" s="995" t="s">
        <v>475</v>
      </c>
      <c r="AR39" s="995" t="s">
        <v>474</v>
      </c>
      <c r="AS39" s="1034" t="s">
        <v>473</v>
      </c>
      <c r="AT39" s="937" t="s">
        <v>473</v>
      </c>
      <c r="AU39" s="934" t="s">
        <v>473</v>
      </c>
      <c r="AV39" s="937" t="s">
        <v>472</v>
      </c>
      <c r="AW39" s="937" t="s">
        <v>472</v>
      </c>
      <c r="AX39" s="934" t="s">
        <v>472</v>
      </c>
      <c r="AY39" s="937">
        <v>2.1999999999999999E-2</v>
      </c>
      <c r="AZ39" s="937">
        <v>2.1999999999999999E-2</v>
      </c>
      <c r="BA39" s="937">
        <v>2.1999999999999999E-2</v>
      </c>
      <c r="BB39" s="937">
        <v>2.1999999999999999E-2</v>
      </c>
      <c r="BC39" s="937">
        <v>2.1999999999999999E-2</v>
      </c>
      <c r="BD39" s="937">
        <v>2.1999999999999999E-2</v>
      </c>
      <c r="BE39" s="937">
        <v>2.3E-2</v>
      </c>
      <c r="BF39" s="937">
        <v>2.3E-2</v>
      </c>
      <c r="BG39" s="934">
        <v>2.4E-2</v>
      </c>
      <c r="BH39" s="937">
        <v>2.5000000000000001E-2</v>
      </c>
      <c r="BI39" s="934">
        <v>2.5000000000000001E-2</v>
      </c>
      <c r="BJ39" s="934">
        <v>2.58E-2</v>
      </c>
      <c r="BK39" s="937">
        <v>2.58E-2</v>
      </c>
      <c r="BL39" s="937">
        <v>2.4E-2</v>
      </c>
      <c r="BM39" s="937">
        <v>2.4E-2</v>
      </c>
      <c r="BN39" s="934">
        <v>2.4E-2</v>
      </c>
      <c r="BO39" s="937">
        <v>2.5499999999999998E-2</v>
      </c>
      <c r="BP39" s="937">
        <v>2.5499999999999998E-2</v>
      </c>
      <c r="BQ39" s="937">
        <v>2.5499999999999998E-2</v>
      </c>
      <c r="BR39" s="937">
        <v>2.5499999999999998E-2</v>
      </c>
      <c r="BS39" s="937">
        <v>2.5499999999999998E-2</v>
      </c>
      <c r="BT39" s="937">
        <v>2.5499999999999998E-2</v>
      </c>
      <c r="BU39" s="937">
        <v>2.5499999999999998E-2</v>
      </c>
      <c r="BV39" s="937">
        <v>2.5499999999999998E-2</v>
      </c>
      <c r="BW39" s="934" t="s">
        <v>471</v>
      </c>
      <c r="BX39" s="934" t="s">
        <v>471</v>
      </c>
      <c r="BY39" s="934" t="s">
        <v>471</v>
      </c>
      <c r="BZ39" s="934" t="s">
        <v>471</v>
      </c>
      <c r="CA39" s="934" t="s">
        <v>471</v>
      </c>
      <c r="CB39" s="934" t="s">
        <v>471</v>
      </c>
      <c r="CC39" s="934" t="s">
        <v>471</v>
      </c>
      <c r="CD39" s="934" t="s">
        <v>471</v>
      </c>
      <c r="CE39" s="934" t="s">
        <v>471</v>
      </c>
      <c r="CF39" s="934" t="s">
        <v>470</v>
      </c>
      <c r="CG39" s="934" t="s">
        <v>470</v>
      </c>
      <c r="CH39" s="934" t="s">
        <v>470</v>
      </c>
      <c r="CI39" s="934" t="s">
        <v>470</v>
      </c>
      <c r="CJ39" s="934" t="s">
        <v>470</v>
      </c>
      <c r="CK39" s="934" t="s">
        <v>470</v>
      </c>
      <c r="CL39" s="934" t="s">
        <v>470</v>
      </c>
      <c r="CM39" s="934" t="s">
        <v>470</v>
      </c>
      <c r="CN39" s="934" t="s">
        <v>470</v>
      </c>
      <c r="CO39" s="934" t="s">
        <v>470</v>
      </c>
      <c r="CP39" s="934" t="s">
        <v>470</v>
      </c>
      <c r="CQ39" s="934" t="s">
        <v>470</v>
      </c>
      <c r="CR39" s="934" t="s">
        <v>469</v>
      </c>
      <c r="CS39" s="934" t="s">
        <v>469</v>
      </c>
      <c r="CT39" s="934" t="s">
        <v>469</v>
      </c>
      <c r="CU39" s="934" t="s">
        <v>469</v>
      </c>
      <c r="CV39" s="934" t="s">
        <v>469</v>
      </c>
      <c r="CW39" s="934" t="s">
        <v>469</v>
      </c>
      <c r="CX39" s="934" t="s">
        <v>469</v>
      </c>
      <c r="CY39" s="934" t="s">
        <v>469</v>
      </c>
      <c r="CZ39" s="934" t="s">
        <v>469</v>
      </c>
      <c r="DA39" s="934" t="s">
        <v>469</v>
      </c>
      <c r="DB39" s="934" t="s">
        <v>469</v>
      </c>
      <c r="DC39" s="934" t="s">
        <v>469</v>
      </c>
      <c r="DD39" s="934" t="s">
        <v>469</v>
      </c>
      <c r="DE39" s="934" t="s">
        <v>468</v>
      </c>
      <c r="DF39" s="934" t="s">
        <v>468</v>
      </c>
      <c r="DG39" s="934" t="s">
        <v>468</v>
      </c>
      <c r="DH39" s="940">
        <v>3.3000000000000002E-2</v>
      </c>
      <c r="DI39" s="940">
        <v>3.3000000000000002E-2</v>
      </c>
      <c r="DJ39" s="940">
        <v>3.3000000000000002E-2</v>
      </c>
      <c r="DK39" s="940">
        <v>3.3000000000000002E-2</v>
      </c>
      <c r="DL39" s="940">
        <v>3.3000000000000002E-2</v>
      </c>
      <c r="DM39" s="940">
        <v>3.3000000000000002E-2</v>
      </c>
      <c r="DN39" s="931">
        <v>3.4000000000000002E-2</v>
      </c>
      <c r="DO39" s="931">
        <v>3.4000000000000002E-2</v>
      </c>
      <c r="DP39" s="931">
        <v>3.4000000000000002E-2</v>
      </c>
      <c r="DQ39" s="931">
        <v>3.4000000000000002E-2</v>
      </c>
      <c r="DR39" s="931">
        <v>3.4000000000000002E-2</v>
      </c>
      <c r="DS39" s="931">
        <v>3.4000000000000002E-2</v>
      </c>
      <c r="DT39" s="931">
        <v>3.4000000000000002E-2</v>
      </c>
      <c r="DU39" s="931">
        <v>3.2000000000000001E-2</v>
      </c>
      <c r="DV39" s="931">
        <v>3.2000000000000001E-2</v>
      </c>
      <c r="DW39" s="931">
        <v>3.2000000000000001E-2</v>
      </c>
      <c r="DX39" s="931">
        <v>3.2000000000000001E-2</v>
      </c>
      <c r="DY39" s="931">
        <v>3.2000000000000001E-2</v>
      </c>
      <c r="DZ39" s="931">
        <v>3.2000000000000001E-2</v>
      </c>
      <c r="EA39" s="931">
        <v>3.4000000000000002E-2</v>
      </c>
      <c r="EB39" s="931">
        <v>3.4000000000000002E-2</v>
      </c>
      <c r="EC39" s="931">
        <v>3.4000000000000002E-2</v>
      </c>
      <c r="ED39" s="931">
        <v>3.4000000000000002E-2</v>
      </c>
      <c r="EE39" s="931">
        <v>3.4000000000000002E-2</v>
      </c>
      <c r="EF39" s="931">
        <v>3.4000000000000002E-2</v>
      </c>
      <c r="EG39" s="931">
        <v>3.4000000000000002E-2</v>
      </c>
      <c r="EH39" s="931">
        <v>3.4000000000000002E-2</v>
      </c>
      <c r="EI39" s="931">
        <v>3.4000000000000002E-2</v>
      </c>
      <c r="EJ39" s="931">
        <v>3.4000000000000002E-2</v>
      </c>
      <c r="EK39" s="931">
        <v>3.4000000000000002E-2</v>
      </c>
      <c r="EL39" s="931">
        <v>3.4000000000000002E-2</v>
      </c>
      <c r="EM39" s="931">
        <v>3.4000000000000002E-2</v>
      </c>
      <c r="EN39" s="931">
        <v>3.4000000000000002E-2</v>
      </c>
      <c r="EO39" s="931">
        <v>3.4000000000000002E-2</v>
      </c>
      <c r="EP39" s="931">
        <v>3.4000000000000002E-2</v>
      </c>
      <c r="EQ39" s="931">
        <v>3.4000000000000002E-2</v>
      </c>
      <c r="ER39" s="931">
        <v>3.4000000000000002E-2</v>
      </c>
      <c r="ES39" s="931">
        <v>3.4000000000000002E-2</v>
      </c>
      <c r="ET39" s="931">
        <v>3.4000000000000002E-2</v>
      </c>
      <c r="EU39" s="931">
        <v>3.4000000000000002E-2</v>
      </c>
      <c r="EV39" s="327"/>
      <c r="EW39" s="327"/>
      <c r="EX39" s="327"/>
      <c r="EY39" s="327"/>
      <c r="EZ39" s="231" t="s">
        <v>259</v>
      </c>
      <c r="FA39" s="327"/>
      <c r="FB39" s="328"/>
      <c r="FC39" s="329"/>
      <c r="FD39" s="328"/>
      <c r="FE39" s="328"/>
      <c r="FF39" s="329"/>
      <c r="FG39" s="329"/>
      <c r="FH39" s="328"/>
      <c r="FI39" s="329"/>
      <c r="FJ39" s="328"/>
      <c r="FK39" s="328"/>
      <c r="FL39" s="328"/>
      <c r="FM39" s="328"/>
      <c r="FN39" s="327"/>
      <c r="FO39" s="327"/>
      <c r="FP39" s="327"/>
      <c r="FQ39" s="327"/>
      <c r="FR39" s="327"/>
      <c r="FS39" s="327"/>
      <c r="FT39" s="327"/>
      <c r="FU39" s="327"/>
      <c r="FV39" s="327"/>
      <c r="FW39" s="327"/>
      <c r="FX39" s="327"/>
      <c r="FY39" s="327"/>
      <c r="FZ39" s="327"/>
      <c r="GA39" s="327"/>
      <c r="GB39" s="327"/>
      <c r="GC39" s="327"/>
      <c r="GD39" s="327"/>
      <c r="GE39" s="327"/>
      <c r="GF39" s="327"/>
      <c r="GG39" s="327"/>
      <c r="GH39" s="327"/>
      <c r="GI39" s="327"/>
      <c r="GJ39" s="327"/>
      <c r="GK39" s="327"/>
      <c r="GL39" s="327"/>
      <c r="GM39" s="327"/>
      <c r="GN39" s="327"/>
      <c r="GO39" s="327"/>
      <c r="GP39" s="327"/>
      <c r="GQ39" s="327"/>
      <c r="GR39" s="327"/>
      <c r="GS39" s="327"/>
      <c r="GT39" s="327"/>
      <c r="GU39" s="327"/>
      <c r="GV39" s="327"/>
      <c r="GW39" s="327"/>
      <c r="GX39" s="327"/>
      <c r="GY39" s="327"/>
      <c r="GZ39" s="327"/>
      <c r="HA39" s="327"/>
      <c r="HB39" s="327"/>
      <c r="HC39" s="327"/>
      <c r="HD39" s="327"/>
      <c r="HE39" s="327"/>
      <c r="HF39" s="941">
        <f>C39-D39</f>
        <v>0</v>
      </c>
      <c r="HG39" s="218" t="s">
        <v>467</v>
      </c>
      <c r="HH39" s="747" t="s">
        <v>768</v>
      </c>
    </row>
    <row r="40" spans="1:216" ht="15.6">
      <c r="A40" s="960"/>
      <c r="B40" s="843" t="s">
        <v>803</v>
      </c>
      <c r="C40" s="928"/>
      <c r="D40" s="928"/>
      <c r="E40" s="928"/>
      <c r="F40" s="928"/>
      <c r="G40" s="947"/>
      <c r="H40" s="949"/>
      <c r="I40" s="947"/>
      <c r="J40" s="949"/>
      <c r="K40" s="947"/>
      <c r="L40" s="949"/>
      <c r="M40" s="947"/>
      <c r="N40" s="947"/>
      <c r="O40" s="947"/>
      <c r="P40" s="947"/>
      <c r="Q40" s="947"/>
      <c r="R40" s="947"/>
      <c r="S40" s="949"/>
      <c r="T40" s="947"/>
      <c r="U40" s="947"/>
      <c r="V40" s="947"/>
      <c r="W40" s="947"/>
      <c r="X40" s="947"/>
      <c r="Y40" s="947"/>
      <c r="Z40" s="947"/>
      <c r="AA40" s="947"/>
      <c r="AB40" s="947"/>
      <c r="AC40" s="947"/>
      <c r="AD40" s="949"/>
      <c r="AE40" s="949"/>
      <c r="AF40" s="949"/>
      <c r="AG40" s="949"/>
      <c r="AH40" s="1003"/>
      <c r="AI40" s="1003"/>
      <c r="AJ40" s="947"/>
      <c r="AK40" s="949"/>
      <c r="AL40" s="947"/>
      <c r="AM40" s="949"/>
      <c r="AN40" s="949"/>
      <c r="AO40" s="949"/>
      <c r="AP40" s="996"/>
      <c r="AQ40" s="996"/>
      <c r="AR40" s="996"/>
      <c r="AS40" s="1035"/>
      <c r="AT40" s="938"/>
      <c r="AU40" s="935"/>
      <c r="AV40" s="938"/>
      <c r="AW40" s="938"/>
      <c r="AX40" s="935"/>
      <c r="AY40" s="938"/>
      <c r="AZ40" s="938"/>
      <c r="BA40" s="938"/>
      <c r="BB40" s="938"/>
      <c r="BC40" s="938"/>
      <c r="BD40" s="938"/>
      <c r="BE40" s="938"/>
      <c r="BF40" s="938"/>
      <c r="BG40" s="935"/>
      <c r="BH40" s="938"/>
      <c r="BI40" s="935"/>
      <c r="BJ40" s="935"/>
      <c r="BK40" s="938"/>
      <c r="BL40" s="938"/>
      <c r="BM40" s="938"/>
      <c r="BN40" s="935"/>
      <c r="BO40" s="938"/>
      <c r="BP40" s="938"/>
      <c r="BQ40" s="938"/>
      <c r="BR40" s="938"/>
      <c r="BS40" s="938"/>
      <c r="BT40" s="938"/>
      <c r="BU40" s="938"/>
      <c r="BV40" s="938"/>
      <c r="BW40" s="935"/>
      <c r="BX40" s="935"/>
      <c r="BY40" s="935"/>
      <c r="BZ40" s="935"/>
      <c r="CA40" s="935"/>
      <c r="CB40" s="935"/>
      <c r="CC40" s="935"/>
      <c r="CD40" s="935"/>
      <c r="CE40" s="935"/>
      <c r="CF40" s="935"/>
      <c r="CG40" s="935"/>
      <c r="CH40" s="935"/>
      <c r="CI40" s="935"/>
      <c r="CJ40" s="935"/>
      <c r="CK40" s="935"/>
      <c r="CL40" s="935"/>
      <c r="CM40" s="935"/>
      <c r="CN40" s="935"/>
      <c r="CO40" s="935"/>
      <c r="CP40" s="935"/>
      <c r="CQ40" s="935"/>
      <c r="CR40" s="935"/>
      <c r="CS40" s="935"/>
      <c r="CT40" s="935"/>
      <c r="CU40" s="935"/>
      <c r="CV40" s="935"/>
      <c r="CW40" s="935"/>
      <c r="CX40" s="935"/>
      <c r="CY40" s="935"/>
      <c r="CZ40" s="935"/>
      <c r="DA40" s="935"/>
      <c r="DB40" s="935"/>
      <c r="DC40" s="935"/>
      <c r="DD40" s="935"/>
      <c r="DE40" s="935"/>
      <c r="DF40" s="935"/>
      <c r="DG40" s="935"/>
      <c r="DH40" s="935"/>
      <c r="DI40" s="935"/>
      <c r="DJ40" s="935"/>
      <c r="DK40" s="935"/>
      <c r="DL40" s="935"/>
      <c r="DM40" s="935"/>
      <c r="DN40" s="932"/>
      <c r="DO40" s="932"/>
      <c r="DP40" s="932"/>
      <c r="DQ40" s="932"/>
      <c r="DR40" s="932"/>
      <c r="DS40" s="932"/>
      <c r="DT40" s="932"/>
      <c r="DU40" s="932"/>
      <c r="DV40" s="932"/>
      <c r="DW40" s="932"/>
      <c r="DX40" s="932"/>
      <c r="DY40" s="932"/>
      <c r="DZ40" s="932"/>
      <c r="EA40" s="932"/>
      <c r="EB40" s="932"/>
      <c r="EC40" s="932"/>
      <c r="ED40" s="932"/>
      <c r="EE40" s="932"/>
      <c r="EF40" s="932"/>
      <c r="EG40" s="932"/>
      <c r="EH40" s="932"/>
      <c r="EI40" s="932"/>
      <c r="EJ40" s="932"/>
      <c r="EK40" s="932"/>
      <c r="EL40" s="932"/>
      <c r="EM40" s="932"/>
      <c r="EN40" s="932"/>
      <c r="EO40" s="932"/>
      <c r="EP40" s="932"/>
      <c r="EQ40" s="932"/>
      <c r="ER40" s="932"/>
      <c r="ES40" s="932"/>
      <c r="ET40" s="932"/>
      <c r="EU40" s="932"/>
      <c r="EV40" s="327"/>
      <c r="EW40" s="327"/>
      <c r="EX40" s="327"/>
      <c r="EY40" s="327"/>
      <c r="EZ40" s="231" t="s">
        <v>259</v>
      </c>
      <c r="FA40" s="327"/>
      <c r="FB40" s="328"/>
      <c r="FC40" s="329"/>
      <c r="FD40" s="328"/>
      <c r="FE40" s="328"/>
      <c r="FF40" s="329"/>
      <c r="FG40" s="329"/>
      <c r="FH40" s="328"/>
      <c r="FI40" s="329"/>
      <c r="FJ40" s="328"/>
      <c r="FK40" s="328"/>
      <c r="FL40" s="328"/>
      <c r="FM40" s="328"/>
      <c r="FN40" s="327"/>
      <c r="FO40" s="327"/>
      <c r="FP40" s="327"/>
      <c r="FQ40" s="327"/>
      <c r="FR40" s="327"/>
      <c r="FS40" s="327"/>
      <c r="FT40" s="327"/>
      <c r="FU40" s="327"/>
      <c r="FV40" s="327"/>
      <c r="FW40" s="327"/>
      <c r="FX40" s="327"/>
      <c r="FY40" s="327"/>
      <c r="FZ40" s="327"/>
      <c r="GA40" s="327"/>
      <c r="GB40" s="327"/>
      <c r="GC40" s="327"/>
      <c r="GD40" s="327"/>
      <c r="GE40" s="327"/>
      <c r="GF40" s="327"/>
      <c r="GG40" s="327"/>
      <c r="GH40" s="327"/>
      <c r="GI40" s="327"/>
      <c r="GJ40" s="327"/>
      <c r="GK40" s="327"/>
      <c r="GL40" s="327"/>
      <c r="GM40" s="327"/>
      <c r="GN40" s="327"/>
      <c r="GO40" s="327"/>
      <c r="GP40" s="327"/>
      <c r="GQ40" s="327"/>
      <c r="GR40" s="327"/>
      <c r="GS40" s="327"/>
      <c r="GT40" s="327"/>
      <c r="GU40" s="327"/>
      <c r="GV40" s="327"/>
      <c r="GW40" s="327"/>
      <c r="GX40" s="327"/>
      <c r="GY40" s="327"/>
      <c r="GZ40" s="327"/>
      <c r="HA40" s="327"/>
      <c r="HB40" s="327"/>
      <c r="HC40" s="327"/>
      <c r="HD40" s="327"/>
      <c r="HE40" s="327"/>
      <c r="HF40" s="1048"/>
    </row>
    <row r="41" spans="1:216" ht="15.6">
      <c r="A41" s="961"/>
      <c r="B41" s="843" t="s">
        <v>804</v>
      </c>
      <c r="C41" s="929"/>
      <c r="D41" s="929"/>
      <c r="E41" s="929"/>
      <c r="F41" s="929"/>
      <c r="G41" s="921"/>
      <c r="H41" s="950"/>
      <c r="I41" s="921"/>
      <c r="J41" s="950"/>
      <c r="K41" s="921"/>
      <c r="L41" s="950"/>
      <c r="M41" s="921"/>
      <c r="N41" s="921"/>
      <c r="O41" s="921"/>
      <c r="P41" s="921"/>
      <c r="Q41" s="921"/>
      <c r="R41" s="921"/>
      <c r="S41" s="950"/>
      <c r="T41" s="921"/>
      <c r="U41" s="921"/>
      <c r="V41" s="921"/>
      <c r="W41" s="921"/>
      <c r="X41" s="921"/>
      <c r="Y41" s="921"/>
      <c r="Z41" s="921"/>
      <c r="AA41" s="921"/>
      <c r="AB41" s="921"/>
      <c r="AC41" s="921"/>
      <c r="AD41" s="950"/>
      <c r="AE41" s="950"/>
      <c r="AF41" s="950"/>
      <c r="AG41" s="950"/>
      <c r="AH41" s="970"/>
      <c r="AI41" s="970"/>
      <c r="AJ41" s="921"/>
      <c r="AK41" s="950"/>
      <c r="AL41" s="921"/>
      <c r="AM41" s="950"/>
      <c r="AN41" s="950"/>
      <c r="AO41" s="950"/>
      <c r="AP41" s="997"/>
      <c r="AQ41" s="997"/>
      <c r="AR41" s="997"/>
      <c r="AS41" s="1015"/>
      <c r="AT41" s="939"/>
      <c r="AU41" s="936"/>
      <c r="AV41" s="939"/>
      <c r="AW41" s="939"/>
      <c r="AX41" s="936"/>
      <c r="AY41" s="939"/>
      <c r="AZ41" s="939"/>
      <c r="BA41" s="939"/>
      <c r="BB41" s="939"/>
      <c r="BC41" s="939"/>
      <c r="BD41" s="939"/>
      <c r="BE41" s="939"/>
      <c r="BF41" s="939"/>
      <c r="BG41" s="936"/>
      <c r="BH41" s="939"/>
      <c r="BI41" s="936"/>
      <c r="BJ41" s="936"/>
      <c r="BK41" s="939"/>
      <c r="BL41" s="939"/>
      <c r="BM41" s="939"/>
      <c r="BN41" s="936"/>
      <c r="BO41" s="939"/>
      <c r="BP41" s="939"/>
      <c r="BQ41" s="939"/>
      <c r="BR41" s="939"/>
      <c r="BS41" s="939"/>
      <c r="BT41" s="939"/>
      <c r="BU41" s="939"/>
      <c r="BV41" s="939"/>
      <c r="BW41" s="936"/>
      <c r="BX41" s="936"/>
      <c r="BY41" s="936"/>
      <c r="BZ41" s="936"/>
      <c r="CA41" s="936"/>
      <c r="CB41" s="936"/>
      <c r="CC41" s="936"/>
      <c r="CD41" s="936"/>
      <c r="CE41" s="936"/>
      <c r="CF41" s="936"/>
      <c r="CG41" s="936"/>
      <c r="CH41" s="936"/>
      <c r="CI41" s="936"/>
      <c r="CJ41" s="936"/>
      <c r="CK41" s="936"/>
      <c r="CL41" s="936"/>
      <c r="CM41" s="936"/>
      <c r="CN41" s="936"/>
      <c r="CO41" s="936"/>
      <c r="CP41" s="936"/>
      <c r="CQ41" s="936"/>
      <c r="CR41" s="936"/>
      <c r="CS41" s="936"/>
      <c r="CT41" s="936"/>
      <c r="CU41" s="936"/>
      <c r="CV41" s="936"/>
      <c r="CW41" s="936"/>
      <c r="CX41" s="936"/>
      <c r="CY41" s="936"/>
      <c r="CZ41" s="936"/>
      <c r="DA41" s="936"/>
      <c r="DB41" s="936"/>
      <c r="DC41" s="936"/>
      <c r="DD41" s="936"/>
      <c r="DE41" s="936"/>
      <c r="DF41" s="936"/>
      <c r="DG41" s="936"/>
      <c r="DH41" s="936"/>
      <c r="DI41" s="936"/>
      <c r="DJ41" s="936"/>
      <c r="DK41" s="936"/>
      <c r="DL41" s="936"/>
      <c r="DM41" s="936"/>
      <c r="DN41" s="933"/>
      <c r="DO41" s="933"/>
      <c r="DP41" s="933"/>
      <c r="DQ41" s="933"/>
      <c r="DR41" s="933"/>
      <c r="DS41" s="933"/>
      <c r="DT41" s="933"/>
      <c r="DU41" s="933"/>
      <c r="DV41" s="933"/>
      <c r="DW41" s="933"/>
      <c r="DX41" s="933"/>
      <c r="DY41" s="933"/>
      <c r="DZ41" s="933"/>
      <c r="EA41" s="933"/>
      <c r="EB41" s="933"/>
      <c r="EC41" s="933"/>
      <c r="ED41" s="933"/>
      <c r="EE41" s="933"/>
      <c r="EF41" s="933"/>
      <c r="EG41" s="933"/>
      <c r="EH41" s="933"/>
      <c r="EI41" s="933"/>
      <c r="EJ41" s="933"/>
      <c r="EK41" s="933"/>
      <c r="EL41" s="933"/>
      <c r="EM41" s="933"/>
      <c r="EN41" s="933"/>
      <c r="EO41" s="933"/>
      <c r="EP41" s="933"/>
      <c r="EQ41" s="933"/>
      <c r="ER41" s="933"/>
      <c r="ES41" s="933"/>
      <c r="ET41" s="933"/>
      <c r="EU41" s="933"/>
      <c r="EV41" s="327"/>
      <c r="EW41" s="327"/>
      <c r="EX41" s="327"/>
      <c r="EY41" s="327"/>
      <c r="EZ41" s="231" t="s">
        <v>259</v>
      </c>
      <c r="FA41" s="327"/>
      <c r="FB41" s="328"/>
      <c r="FC41" s="329"/>
      <c r="FD41" s="328"/>
      <c r="FE41" s="328"/>
      <c r="FF41" s="329"/>
      <c r="FG41" s="329"/>
      <c r="FH41" s="328"/>
      <c r="FI41" s="329"/>
      <c r="FJ41" s="328"/>
      <c r="FK41" s="328"/>
      <c r="FL41" s="328"/>
      <c r="FM41" s="328"/>
      <c r="FN41" s="327"/>
      <c r="FO41" s="327"/>
      <c r="FP41" s="327"/>
      <c r="FQ41" s="327"/>
      <c r="FR41" s="327"/>
      <c r="FS41" s="327"/>
      <c r="FT41" s="327"/>
      <c r="FU41" s="327"/>
      <c r="FV41" s="327"/>
      <c r="FW41" s="327"/>
      <c r="FX41" s="327"/>
      <c r="FY41" s="327"/>
      <c r="FZ41" s="327"/>
      <c r="GA41" s="327"/>
      <c r="GB41" s="327"/>
      <c r="GC41" s="327"/>
      <c r="GD41" s="327"/>
      <c r="GE41" s="327"/>
      <c r="GF41" s="327"/>
      <c r="GG41" s="327"/>
      <c r="GH41" s="327"/>
      <c r="GI41" s="327"/>
      <c r="GJ41" s="327"/>
      <c r="GK41" s="327"/>
      <c r="GL41" s="327"/>
      <c r="GM41" s="327"/>
      <c r="GN41" s="327"/>
      <c r="GO41" s="327"/>
      <c r="GP41" s="327"/>
      <c r="GQ41" s="327"/>
      <c r="GR41" s="327"/>
      <c r="GS41" s="327"/>
      <c r="GT41" s="327"/>
      <c r="GU41" s="327"/>
      <c r="GV41" s="327"/>
      <c r="GW41" s="327"/>
      <c r="GX41" s="327"/>
      <c r="GY41" s="327"/>
      <c r="GZ41" s="327"/>
      <c r="HA41" s="327"/>
      <c r="HB41" s="327"/>
      <c r="HC41" s="327"/>
      <c r="HD41" s="327"/>
      <c r="HE41" s="327"/>
      <c r="HF41" s="942"/>
    </row>
    <row r="42" spans="1:216" ht="15.6">
      <c r="A42" s="670" t="s">
        <v>12</v>
      </c>
      <c r="B42" s="326" t="s">
        <v>124</v>
      </c>
      <c r="C42" s="326"/>
      <c r="D42" s="326"/>
      <c r="E42" s="326"/>
      <c r="F42" s="326"/>
      <c r="G42" s="326"/>
      <c r="H42" s="326"/>
      <c r="I42" s="326"/>
      <c r="J42" s="326"/>
      <c r="K42" s="326"/>
      <c r="L42" s="326"/>
      <c r="M42" s="326"/>
      <c r="N42" s="326"/>
      <c r="O42" s="326"/>
      <c r="P42" s="326"/>
      <c r="Q42" s="326"/>
      <c r="R42" s="326"/>
      <c r="S42" s="326"/>
      <c r="T42" s="325"/>
      <c r="U42" s="325"/>
      <c r="V42" s="325" t="s">
        <v>572</v>
      </c>
      <c r="W42" s="326" t="s">
        <v>124</v>
      </c>
      <c r="X42" s="326" t="s">
        <v>124</v>
      </c>
      <c r="Y42" s="326" t="s">
        <v>124</v>
      </c>
      <c r="Z42" s="326" t="s">
        <v>124</v>
      </c>
      <c r="AA42" s="326" t="s">
        <v>124</v>
      </c>
      <c r="AB42" s="326" t="s">
        <v>124</v>
      </c>
      <c r="AC42" s="326" t="s">
        <v>124</v>
      </c>
      <c r="AD42" s="326" t="s">
        <v>124</v>
      </c>
      <c r="AE42" s="326" t="s">
        <v>124</v>
      </c>
      <c r="AF42" s="325" t="s">
        <v>124</v>
      </c>
      <c r="AG42" s="325" t="s">
        <v>124</v>
      </c>
      <c r="AH42" s="325" t="s">
        <v>124</v>
      </c>
      <c r="AI42" s="325" t="s">
        <v>124</v>
      </c>
      <c r="AJ42" s="326" t="s">
        <v>124</v>
      </c>
      <c r="AK42" s="325" t="s">
        <v>124</v>
      </c>
      <c r="AL42" s="326" t="s">
        <v>124</v>
      </c>
      <c r="AM42" s="325" t="s">
        <v>124</v>
      </c>
      <c r="AN42" s="325" t="s">
        <v>124</v>
      </c>
      <c r="AO42" s="325" t="s">
        <v>124</v>
      </c>
      <c r="AP42" s="324" t="s">
        <v>124</v>
      </c>
      <c r="AQ42" s="324" t="s">
        <v>124</v>
      </c>
      <c r="AR42" s="324" t="s">
        <v>124</v>
      </c>
      <c r="AS42" s="324" t="s">
        <v>124</v>
      </c>
      <c r="AT42" s="324" t="s">
        <v>124</v>
      </c>
      <c r="AU42" s="324" t="s">
        <v>124</v>
      </c>
      <c r="AV42" s="324" t="s">
        <v>124</v>
      </c>
      <c r="AW42" s="324" t="s">
        <v>124</v>
      </c>
      <c r="AX42" s="324" t="s">
        <v>124</v>
      </c>
      <c r="AY42" s="324" t="s">
        <v>124</v>
      </c>
      <c r="AZ42" s="324" t="s">
        <v>124</v>
      </c>
      <c r="BA42" s="324" t="s">
        <v>124</v>
      </c>
      <c r="BB42" s="324" t="s">
        <v>124</v>
      </c>
      <c r="BC42" s="324" t="s">
        <v>124</v>
      </c>
      <c r="BD42" s="324" t="s">
        <v>124</v>
      </c>
      <c r="BE42" s="324" t="s">
        <v>124</v>
      </c>
      <c r="BF42" s="324" t="s">
        <v>124</v>
      </c>
      <c r="BG42" s="324" t="s">
        <v>124</v>
      </c>
      <c r="BH42" s="324" t="s">
        <v>124</v>
      </c>
      <c r="BI42" s="324" t="s">
        <v>124</v>
      </c>
      <c r="BJ42" s="324" t="s">
        <v>124</v>
      </c>
      <c r="BK42" s="324" t="s">
        <v>124</v>
      </c>
      <c r="BL42" s="324" t="s">
        <v>124</v>
      </c>
      <c r="BM42" s="324" t="s">
        <v>124</v>
      </c>
      <c r="BN42" s="324" t="s">
        <v>124</v>
      </c>
      <c r="BO42" s="324" t="s">
        <v>124</v>
      </c>
      <c r="BP42" s="324" t="s">
        <v>124</v>
      </c>
      <c r="BQ42" s="324" t="s">
        <v>124</v>
      </c>
      <c r="BR42" s="324" t="s">
        <v>124</v>
      </c>
      <c r="BS42" s="324" t="s">
        <v>124</v>
      </c>
      <c r="BT42" s="324" t="s">
        <v>124</v>
      </c>
      <c r="BU42" s="324" t="s">
        <v>124</v>
      </c>
      <c r="BV42" s="324" t="s">
        <v>124</v>
      </c>
      <c r="BW42" s="324" t="s">
        <v>124</v>
      </c>
      <c r="BX42" s="324" t="s">
        <v>124</v>
      </c>
      <c r="BY42" s="324" t="s">
        <v>124</v>
      </c>
      <c r="BZ42" s="324" t="s">
        <v>124</v>
      </c>
      <c r="CA42" s="324" t="s">
        <v>124</v>
      </c>
      <c r="CB42" s="324" t="s">
        <v>124</v>
      </c>
      <c r="CC42" s="324" t="s">
        <v>124</v>
      </c>
      <c r="CD42" s="324" t="s">
        <v>124</v>
      </c>
      <c r="CE42" s="324" t="s">
        <v>124</v>
      </c>
      <c r="CF42" s="324" t="s">
        <v>124</v>
      </c>
      <c r="CG42" s="324" t="s">
        <v>124</v>
      </c>
      <c r="CH42" s="324" t="s">
        <v>124</v>
      </c>
      <c r="CI42" s="324" t="s">
        <v>124</v>
      </c>
      <c r="CJ42" s="324" t="s">
        <v>124</v>
      </c>
      <c r="CK42" s="324" t="s">
        <v>124</v>
      </c>
      <c r="CL42" s="324" t="s">
        <v>124</v>
      </c>
      <c r="CM42" s="324" t="s">
        <v>124</v>
      </c>
      <c r="CN42" s="324" t="s">
        <v>124</v>
      </c>
      <c r="CO42" s="324" t="s">
        <v>124</v>
      </c>
      <c r="CP42" s="324" t="s">
        <v>124</v>
      </c>
      <c r="CQ42" s="324" t="s">
        <v>124</v>
      </c>
      <c r="CR42" s="324" t="s">
        <v>124</v>
      </c>
      <c r="CS42" s="324" t="s">
        <v>124</v>
      </c>
      <c r="CT42" s="324" t="s">
        <v>124</v>
      </c>
      <c r="CU42" s="324" t="s">
        <v>124</v>
      </c>
      <c r="CV42" s="324" t="s">
        <v>124</v>
      </c>
      <c r="CW42" s="324" t="s">
        <v>124</v>
      </c>
      <c r="CX42" s="324" t="s">
        <v>124</v>
      </c>
      <c r="CY42" s="324" t="s">
        <v>124</v>
      </c>
      <c r="CZ42" s="324" t="s">
        <v>124</v>
      </c>
      <c r="DA42" s="324" t="s">
        <v>124</v>
      </c>
      <c r="DB42" s="324" t="s">
        <v>124</v>
      </c>
      <c r="DC42" s="324" t="s">
        <v>124</v>
      </c>
      <c r="DD42" s="324" t="s">
        <v>124</v>
      </c>
      <c r="DE42" s="324" t="s">
        <v>124</v>
      </c>
      <c r="DF42" s="324" t="s">
        <v>124</v>
      </c>
      <c r="DG42" s="324" t="s">
        <v>124</v>
      </c>
      <c r="DH42" s="324" t="s">
        <v>124</v>
      </c>
      <c r="DI42" s="324" t="s">
        <v>124</v>
      </c>
      <c r="DJ42" s="324" t="s">
        <v>124</v>
      </c>
      <c r="DK42" s="324" t="s">
        <v>124</v>
      </c>
      <c r="DL42" s="324" t="s">
        <v>124</v>
      </c>
      <c r="DM42" s="324" t="s">
        <v>124</v>
      </c>
      <c r="DN42" s="324" t="s">
        <v>124</v>
      </c>
      <c r="DO42" s="324" t="s">
        <v>124</v>
      </c>
      <c r="DP42" s="324" t="s">
        <v>124</v>
      </c>
      <c r="DQ42" s="324" t="s">
        <v>124</v>
      </c>
      <c r="DR42" s="324" t="s">
        <v>124</v>
      </c>
      <c r="DS42" s="324" t="s">
        <v>124</v>
      </c>
      <c r="DT42" s="324" t="s">
        <v>124</v>
      </c>
      <c r="DU42" s="324" t="s">
        <v>124</v>
      </c>
      <c r="DV42" s="324" t="s">
        <v>124</v>
      </c>
      <c r="DW42" s="324" t="s">
        <v>124</v>
      </c>
      <c r="DX42" s="324" t="s">
        <v>124</v>
      </c>
      <c r="DY42" s="323">
        <v>3.4500000000000003E-2</v>
      </c>
      <c r="DZ42" s="323">
        <v>3.4500000000000003E-2</v>
      </c>
      <c r="EA42" s="323">
        <v>3.4500000000000003E-2</v>
      </c>
      <c r="EB42" s="323">
        <v>3.4500000000000003E-2</v>
      </c>
      <c r="EC42" s="323">
        <v>3.4500000000000003E-2</v>
      </c>
      <c r="ED42" s="323">
        <v>3.4500000000000003E-2</v>
      </c>
      <c r="EE42" s="323">
        <v>3.4500000000000003E-2</v>
      </c>
      <c r="EF42" s="323">
        <v>3.4500000000000003E-2</v>
      </c>
      <c r="EG42" s="323">
        <v>3.4500000000000003E-2</v>
      </c>
      <c r="EH42" s="323">
        <v>3.4500000000000003E-2</v>
      </c>
      <c r="EI42" s="323">
        <v>3.4500000000000003E-2</v>
      </c>
      <c r="EJ42" s="323">
        <v>3.4500000000000003E-2</v>
      </c>
      <c r="EK42" s="323">
        <v>3.4500000000000003E-2</v>
      </c>
      <c r="EL42" s="323">
        <v>3.4500000000000003E-2</v>
      </c>
      <c r="EM42" s="323">
        <v>3.4500000000000003E-2</v>
      </c>
      <c r="EN42" s="323">
        <v>3.4500000000000003E-2</v>
      </c>
      <c r="EO42" s="323">
        <v>3.4500000000000003E-2</v>
      </c>
      <c r="EP42" s="323">
        <v>3.4500000000000003E-2</v>
      </c>
      <c r="EQ42" s="323">
        <v>3.5000000000000003E-2</v>
      </c>
      <c r="ER42" s="323">
        <v>3.5000000000000003E-2</v>
      </c>
      <c r="ES42" s="323">
        <v>3.5999999999999997E-2</v>
      </c>
      <c r="ET42" s="323">
        <v>3.5999999999999997E-2</v>
      </c>
      <c r="EU42" s="323">
        <v>3.5999999999999997E-2</v>
      </c>
      <c r="EV42" s="323">
        <v>3.5999999999999997E-2</v>
      </c>
      <c r="EW42" s="323">
        <v>3.5999999999999997E-2</v>
      </c>
      <c r="EX42" s="323">
        <v>3.5999999999999997E-2</v>
      </c>
      <c r="EY42" s="323">
        <v>3.5999999999999997E-2</v>
      </c>
      <c r="EZ42" s="231" t="s">
        <v>275</v>
      </c>
      <c r="FA42" s="242"/>
      <c r="FB42" s="243"/>
      <c r="FC42" s="244"/>
      <c r="FD42" s="243"/>
      <c r="FE42" s="243"/>
      <c r="FF42" s="244"/>
      <c r="FG42" s="244"/>
      <c r="FH42" s="243"/>
      <c r="FI42" s="244"/>
      <c r="FJ42" s="243"/>
      <c r="FK42" s="243"/>
      <c r="FL42" s="243"/>
      <c r="FM42" s="243"/>
      <c r="FN42" s="242"/>
      <c r="FO42" s="242"/>
      <c r="FP42" s="242"/>
      <c r="FQ42" s="242"/>
      <c r="FR42" s="242"/>
      <c r="FS42" s="242"/>
      <c r="FT42" s="242"/>
      <c r="FU42" s="242"/>
      <c r="FV42" s="242"/>
      <c r="FW42" s="242"/>
      <c r="FX42" s="242"/>
      <c r="FY42" s="242"/>
      <c r="FZ42" s="323">
        <v>3.5999999999999997E-2</v>
      </c>
      <c r="GA42" s="323">
        <v>3.5999999999999997E-2</v>
      </c>
      <c r="GB42" s="323">
        <v>3.5999999999999997E-2</v>
      </c>
      <c r="GC42" s="323">
        <v>3.5999999999999997E-2</v>
      </c>
      <c r="GD42" s="323">
        <v>3.5999999999999997E-2</v>
      </c>
      <c r="GE42" s="323">
        <v>3.5999999999999997E-2</v>
      </c>
      <c r="GF42" s="323">
        <v>3.5999999999999997E-2</v>
      </c>
      <c r="GG42" s="323">
        <v>3.5999999999999997E-2</v>
      </c>
      <c r="GH42" s="323">
        <v>3.5999999999999997E-2</v>
      </c>
      <c r="GI42" s="323">
        <v>3.5999999999999997E-2</v>
      </c>
      <c r="GJ42" s="323">
        <v>4.1000000000000002E-2</v>
      </c>
      <c r="GK42" s="323">
        <v>4.1000000000000002E-2</v>
      </c>
      <c r="GL42" s="323">
        <v>4.1000000000000002E-2</v>
      </c>
      <c r="GM42" s="323">
        <v>4.1000000000000002E-2</v>
      </c>
      <c r="GN42" s="323">
        <v>2.4E-2</v>
      </c>
      <c r="GO42" s="323">
        <v>2.4E-2</v>
      </c>
      <c r="GP42" s="323">
        <v>2.4E-2</v>
      </c>
      <c r="GQ42" s="323">
        <v>2.4E-2</v>
      </c>
      <c r="GR42" s="323">
        <v>2.4E-2</v>
      </c>
      <c r="GS42" s="323">
        <v>2.4E-2</v>
      </c>
      <c r="GT42" s="323">
        <v>2.4E-2</v>
      </c>
      <c r="GU42" s="323">
        <v>2.4E-2</v>
      </c>
      <c r="GV42" s="323">
        <v>2.4E-2</v>
      </c>
      <c r="GW42" s="323">
        <v>2.4E-2</v>
      </c>
      <c r="GX42" s="323">
        <v>2.4E-2</v>
      </c>
      <c r="GY42" s="242"/>
      <c r="GZ42" s="242"/>
      <c r="HA42" s="242"/>
      <c r="HB42" s="323">
        <v>3.5999999999999997E-2</v>
      </c>
      <c r="HC42" s="323">
        <v>3.5999999999999997E-2</v>
      </c>
      <c r="HD42" s="323">
        <v>3.5999999999999997E-2</v>
      </c>
      <c r="HE42" s="323">
        <v>3.5999999999999997E-2</v>
      </c>
      <c r="HF42" s="178" t="s">
        <v>124</v>
      </c>
    </row>
    <row r="43" spans="1:216">
      <c r="A43" s="959" t="s">
        <v>44</v>
      </c>
      <c r="B43" s="308" t="s">
        <v>466</v>
      </c>
      <c r="C43" s="909">
        <v>1.15E-2</v>
      </c>
      <c r="D43" s="909">
        <v>1.15E-2</v>
      </c>
      <c r="E43" s="909">
        <v>1.15E-2</v>
      </c>
      <c r="F43" s="909">
        <v>1.15E-2</v>
      </c>
      <c r="G43" s="967">
        <v>1.15E-2</v>
      </c>
      <c r="H43" s="909">
        <v>8.9999999999999993E-3</v>
      </c>
      <c r="I43" s="909">
        <v>8.9999999999999993E-3</v>
      </c>
      <c r="J43" s="909">
        <v>8.9999999999999993E-3</v>
      </c>
      <c r="K43" s="909">
        <v>8.9999999999999993E-3</v>
      </c>
      <c r="L43" s="909">
        <v>8.9999999999999993E-3</v>
      </c>
      <c r="M43" s="909">
        <v>8.9999999999999993E-3</v>
      </c>
      <c r="N43" s="909">
        <v>8.9999999999999993E-3</v>
      </c>
      <c r="O43" s="909">
        <v>8.9999999999999993E-3</v>
      </c>
      <c r="P43" s="909">
        <v>8.9999999999999993E-3</v>
      </c>
      <c r="Q43" s="909">
        <v>8.9999999999999993E-3</v>
      </c>
      <c r="R43" s="909">
        <v>8.9999999999999993E-3</v>
      </c>
      <c r="S43" s="909">
        <v>8.9999999999999993E-3</v>
      </c>
      <c r="T43" s="909">
        <v>8.9999999999999993E-3</v>
      </c>
      <c r="U43" s="909">
        <v>8.9999999999999993E-3</v>
      </c>
      <c r="V43" s="967">
        <v>8.9999999999999993E-3</v>
      </c>
      <c r="W43" s="909" t="s">
        <v>124</v>
      </c>
      <c r="X43" s="909" t="s">
        <v>124</v>
      </c>
      <c r="Y43" s="909" t="s">
        <v>124</v>
      </c>
      <c r="Z43" s="909" t="s">
        <v>124</v>
      </c>
      <c r="AA43" s="909" t="s">
        <v>124</v>
      </c>
      <c r="AB43" s="909" t="s">
        <v>124</v>
      </c>
      <c r="AC43" s="909" t="s">
        <v>124</v>
      </c>
      <c r="AD43" s="909" t="s">
        <v>124</v>
      </c>
      <c r="AE43" s="978">
        <v>1.6E-2</v>
      </c>
      <c r="AF43" s="978">
        <v>1.6E-2</v>
      </c>
      <c r="AG43" s="978">
        <v>1.6E-2</v>
      </c>
      <c r="AH43" s="978">
        <v>1.6E-2</v>
      </c>
      <c r="AI43" s="978">
        <v>1.6E-2</v>
      </c>
      <c r="AJ43" s="967">
        <v>1.6E-2</v>
      </c>
      <c r="AK43" s="978" t="s">
        <v>124</v>
      </c>
      <c r="AL43" s="909" t="s">
        <v>124</v>
      </c>
      <c r="AM43" s="978" t="s">
        <v>124</v>
      </c>
      <c r="AN43" s="978" t="s">
        <v>124</v>
      </c>
      <c r="AO43" s="978" t="s">
        <v>124</v>
      </c>
      <c r="AP43" s="1007" t="s">
        <v>124</v>
      </c>
      <c r="AQ43" s="1007" t="s">
        <v>124</v>
      </c>
      <c r="AR43" s="1007">
        <v>2.35E-2</v>
      </c>
      <c r="AS43" s="1007">
        <v>2.35E-2</v>
      </c>
      <c r="AT43" s="1007">
        <v>2.35E-2</v>
      </c>
      <c r="AU43" s="1007">
        <v>2.35E-2</v>
      </c>
      <c r="AV43" s="1032">
        <v>2.35E-2</v>
      </c>
      <c r="AW43" s="1007">
        <v>2.5000000000000001E-2</v>
      </c>
      <c r="AX43" s="1007">
        <v>2.5000000000000001E-2</v>
      </c>
      <c r="AY43" s="1007">
        <v>2.5000000000000001E-2</v>
      </c>
      <c r="AZ43" s="1007">
        <v>2.5000000000000001E-2</v>
      </c>
      <c r="BA43" s="1007">
        <v>2.5000000000000001E-2</v>
      </c>
      <c r="BB43" s="1007">
        <v>2.5000000000000001E-2</v>
      </c>
      <c r="BC43" s="1032">
        <v>2.5000000000000001E-2</v>
      </c>
      <c r="BD43" s="1007">
        <v>2.8500000000000001E-2</v>
      </c>
      <c r="BE43" s="1007">
        <v>2.8500000000000001E-2</v>
      </c>
      <c r="BF43" s="1007">
        <v>2.8500000000000001E-2</v>
      </c>
      <c r="BG43" s="1032">
        <v>2.8500000000000001E-2</v>
      </c>
      <c r="BH43" s="1007">
        <v>2.6499999999999999E-2</v>
      </c>
      <c r="BI43" s="1007">
        <v>2.6499999999999999E-2</v>
      </c>
      <c r="BJ43" s="1007">
        <v>2.6499999999999999E-2</v>
      </c>
      <c r="BK43" s="1007">
        <v>2.6499999999999999E-2</v>
      </c>
      <c r="BL43" s="1007">
        <v>2.6499999999999999E-2</v>
      </c>
      <c r="BM43" s="1007">
        <v>2.6499999999999999E-2</v>
      </c>
      <c r="BN43" s="1007">
        <v>2.6499999999999999E-2</v>
      </c>
      <c r="BO43" s="1007">
        <v>2.6499999999999999E-2</v>
      </c>
      <c r="BP43" s="1007">
        <v>2.6499999999999999E-2</v>
      </c>
      <c r="BQ43" s="1032">
        <v>2.6499999999999999E-2</v>
      </c>
      <c r="BR43" s="1007" t="s">
        <v>124</v>
      </c>
      <c r="BS43" s="1007" t="s">
        <v>124</v>
      </c>
      <c r="BT43" s="1007" t="s">
        <v>124</v>
      </c>
      <c r="BU43" s="1032" t="s">
        <v>124</v>
      </c>
      <c r="BV43" s="1007">
        <v>2.9000000000000001E-2</v>
      </c>
      <c r="BW43" s="1007">
        <v>2.9000000000000001E-2</v>
      </c>
      <c r="BX43" s="1007">
        <v>2.9000000000000001E-2</v>
      </c>
      <c r="BY43" s="1007">
        <v>2.9000000000000001E-2</v>
      </c>
      <c r="BZ43" s="1007">
        <v>2.9000000000000001E-2</v>
      </c>
      <c r="CA43" s="1007">
        <v>3.15E-2</v>
      </c>
      <c r="CB43" s="1007">
        <v>3.15E-2</v>
      </c>
      <c r="CC43" s="1007">
        <v>3.15E-2</v>
      </c>
      <c r="CD43" s="1007">
        <v>3.15E-2</v>
      </c>
      <c r="CE43" s="1007">
        <v>3.15E-2</v>
      </c>
      <c r="CF43" s="1007">
        <v>3.15E-2</v>
      </c>
      <c r="CG43" s="1007">
        <v>3.15E-2</v>
      </c>
      <c r="CH43" s="1007">
        <v>3.4000000000000002E-2</v>
      </c>
      <c r="CI43" s="1007">
        <v>3.4000000000000002E-2</v>
      </c>
      <c r="CJ43" s="1007">
        <v>3.4000000000000002E-2</v>
      </c>
      <c r="CK43" s="1007">
        <v>3.4000000000000002E-2</v>
      </c>
      <c r="CL43" s="1007">
        <v>3.4000000000000002E-2</v>
      </c>
      <c r="CM43" s="1007">
        <v>3.4000000000000002E-2</v>
      </c>
      <c r="CN43" s="1007">
        <v>3.4000000000000002E-2</v>
      </c>
      <c r="CO43" s="1007">
        <v>3.3500000000000002E-2</v>
      </c>
      <c r="CP43" s="1007">
        <v>3.3500000000000002E-2</v>
      </c>
      <c r="CQ43" s="1007">
        <v>3.3500000000000002E-2</v>
      </c>
      <c r="CR43" s="1007">
        <v>3.3500000000000002E-2</v>
      </c>
      <c r="CS43" s="1007">
        <v>3.3500000000000002E-2</v>
      </c>
      <c r="CT43" s="1007">
        <v>3.3500000000000002E-2</v>
      </c>
      <c r="CU43" s="1007">
        <v>3.3500000000000002E-2</v>
      </c>
      <c r="CV43" s="1007">
        <v>3.3500000000000002E-2</v>
      </c>
      <c r="CW43" s="1007" t="s">
        <v>124</v>
      </c>
      <c r="CX43" s="1007" t="s">
        <v>124</v>
      </c>
      <c r="CY43" s="1007" t="s">
        <v>124</v>
      </c>
      <c r="CZ43" s="1007" t="s">
        <v>124</v>
      </c>
      <c r="DA43" s="1007" t="s">
        <v>124</v>
      </c>
      <c r="DB43" s="1007" t="s">
        <v>124</v>
      </c>
      <c r="DC43" s="1007" t="s">
        <v>124</v>
      </c>
      <c r="DD43" s="1007" t="s">
        <v>124</v>
      </c>
      <c r="DE43" s="1007" t="s">
        <v>124</v>
      </c>
      <c r="DF43" s="1007">
        <v>3.5499999999999997E-2</v>
      </c>
      <c r="DG43" s="1007">
        <v>3.5499999999999997E-2</v>
      </c>
      <c r="DH43" s="1007">
        <v>3.5499999999999997E-2</v>
      </c>
      <c r="DI43" s="1007">
        <v>3.5499999999999997E-2</v>
      </c>
      <c r="DJ43" s="1007">
        <v>3.6499999999999998E-2</v>
      </c>
      <c r="DK43" s="1007">
        <v>3.6499999999999998E-2</v>
      </c>
      <c r="DL43" s="1007">
        <v>3.6499999999999998E-2</v>
      </c>
      <c r="DM43" s="1007">
        <v>3.6499999999999998E-2</v>
      </c>
      <c r="DN43" s="1007">
        <v>3.6499999999999998E-2</v>
      </c>
      <c r="DO43" s="1007">
        <v>3.6499999999999998E-2</v>
      </c>
      <c r="DP43" s="1007">
        <v>3.6499999999999998E-2</v>
      </c>
      <c r="DQ43" s="1007">
        <v>3.6499999999999998E-2</v>
      </c>
      <c r="DR43" s="1007" t="s">
        <v>124</v>
      </c>
      <c r="DS43" s="1007">
        <v>3.5499999999999997E-2</v>
      </c>
      <c r="DT43" s="1007">
        <v>3.5499999999999997E-2</v>
      </c>
      <c r="DU43" s="1007">
        <v>3.5499999999999997E-2</v>
      </c>
      <c r="DV43" s="1007">
        <v>3.5499999999999997E-2</v>
      </c>
      <c r="DW43" s="1007">
        <v>3.5499999999999997E-2</v>
      </c>
      <c r="DX43" s="1007">
        <v>3.5499999999999997E-2</v>
      </c>
      <c r="DY43" s="1007">
        <v>3.5499999999999997E-2</v>
      </c>
      <c r="DZ43" s="1007">
        <v>3.5499999999999997E-2</v>
      </c>
      <c r="EA43" s="1007">
        <v>3.5499999999999997E-2</v>
      </c>
      <c r="EB43" s="1007">
        <v>3.5499999999999997E-2</v>
      </c>
      <c r="EC43" s="1007">
        <v>3.5499999999999997E-2</v>
      </c>
      <c r="ED43" s="1007">
        <v>3.5499999999999997E-2</v>
      </c>
      <c r="EE43" s="1007">
        <v>3.5499999999999997E-2</v>
      </c>
      <c r="EF43" s="1007">
        <v>3.5499999999999997E-2</v>
      </c>
      <c r="EG43" s="1007">
        <v>3.2000000000000001E-2</v>
      </c>
      <c r="EH43" s="1007">
        <v>3.2000000000000001E-2</v>
      </c>
      <c r="EI43" s="1007">
        <v>3.2000000000000001E-2</v>
      </c>
      <c r="EJ43" s="1007">
        <v>3.2000000000000001E-2</v>
      </c>
      <c r="EK43" s="1007">
        <v>3.2000000000000001E-2</v>
      </c>
      <c r="EL43" s="1007">
        <v>3.2000000000000001E-2</v>
      </c>
      <c r="EM43" s="1007">
        <v>3.2000000000000001E-2</v>
      </c>
      <c r="EN43" s="1007">
        <v>3.2000000000000001E-2</v>
      </c>
      <c r="EO43" s="1007">
        <v>3.5000000000000003E-2</v>
      </c>
      <c r="EP43" s="1007">
        <v>3.5000000000000003E-2</v>
      </c>
      <c r="EQ43" s="1007">
        <v>3.5000000000000003E-2</v>
      </c>
      <c r="ER43" s="1007">
        <v>3.5000000000000003E-2</v>
      </c>
      <c r="ES43" s="1007">
        <v>3.5000000000000003E-2</v>
      </c>
      <c r="ET43" s="1007">
        <v>3.7499999999999999E-2</v>
      </c>
      <c r="EU43" s="1007">
        <v>3.7499999999999999E-2</v>
      </c>
      <c r="EV43" s="1007">
        <v>3.7499999999999999E-2</v>
      </c>
      <c r="EW43" s="1007">
        <v>3.7499999999999999E-2</v>
      </c>
      <c r="EX43" s="1007">
        <v>3.7499999999999999E-2</v>
      </c>
      <c r="EY43" s="1007">
        <v>3.7499999999999999E-2</v>
      </c>
      <c r="EZ43" s="1050" t="s">
        <v>376</v>
      </c>
      <c r="FA43" s="234">
        <v>2.2499999999999999E-2</v>
      </c>
      <c r="FB43" s="238">
        <v>2.2499999999999999E-2</v>
      </c>
      <c r="FC43" s="231" t="s">
        <v>259</v>
      </c>
      <c r="FD43" s="234">
        <v>1.2500000000000001E-2</v>
      </c>
      <c r="FE43" s="238">
        <v>8.9999999999999993E-3</v>
      </c>
      <c r="FF43" s="237" t="s">
        <v>375</v>
      </c>
      <c r="FG43" s="258" t="s">
        <v>374</v>
      </c>
      <c r="FH43" s="320">
        <v>1.2500000000000001E-2</v>
      </c>
      <c r="FI43" s="320">
        <v>1.2500000000000001E-2</v>
      </c>
      <c r="FJ43" s="320">
        <v>1.2500000000000001E-2</v>
      </c>
      <c r="FK43" s="320">
        <v>1.2500000000000001E-2</v>
      </c>
      <c r="FL43" s="234">
        <v>1.2500000000000001E-2</v>
      </c>
      <c r="FM43" s="234">
        <v>1.2500000000000001E-2</v>
      </c>
      <c r="FN43" s="234">
        <v>1.2500000000000001E-2</v>
      </c>
      <c r="FO43" s="234">
        <v>1.2500000000000001E-2</v>
      </c>
      <c r="FP43" s="234">
        <v>1.6E-2</v>
      </c>
      <c r="FQ43" s="234">
        <v>1.6E-2</v>
      </c>
      <c r="FR43" s="234">
        <v>1.6E-2</v>
      </c>
      <c r="FS43" s="234">
        <v>0.02</v>
      </c>
      <c r="FT43" s="234">
        <v>1.6E-2</v>
      </c>
      <c r="FU43" s="234">
        <v>2.2499999999999999E-2</v>
      </c>
      <c r="FV43" s="234">
        <v>0.02</v>
      </c>
      <c r="FW43" s="234">
        <v>2.2499999999999999E-2</v>
      </c>
      <c r="FX43" s="234">
        <v>2.2499999999999999E-2</v>
      </c>
      <c r="FY43" s="273">
        <v>2.2499999999999999E-2</v>
      </c>
      <c r="FZ43" s="1007">
        <v>0.04</v>
      </c>
      <c r="GA43" s="1007">
        <v>0.04</v>
      </c>
      <c r="GB43" s="1007">
        <v>0.04</v>
      </c>
      <c r="GC43" s="1007">
        <v>0.04</v>
      </c>
      <c r="GD43" s="1007">
        <v>0.04</v>
      </c>
      <c r="GE43" s="1007">
        <v>0.04</v>
      </c>
      <c r="GF43" s="1007">
        <v>0.04</v>
      </c>
      <c r="GG43" s="1007">
        <v>0.04</v>
      </c>
      <c r="GH43" s="1007">
        <v>0.04</v>
      </c>
      <c r="GI43" s="1007">
        <v>0.04</v>
      </c>
      <c r="GJ43" s="1007">
        <v>0.04</v>
      </c>
      <c r="GK43" s="1007">
        <v>0.04</v>
      </c>
      <c r="GL43" s="1007">
        <v>3.7499999999999999E-2</v>
      </c>
      <c r="GM43" s="1007">
        <v>3.7499999999999999E-2</v>
      </c>
      <c r="GN43" s="1007">
        <v>3.7499999999999999E-2</v>
      </c>
      <c r="GO43" s="1007">
        <v>3.7499999999999999E-2</v>
      </c>
      <c r="GP43" s="1007">
        <v>3.7499999999999999E-2</v>
      </c>
      <c r="GQ43" s="1007">
        <v>3.7499999999999999E-2</v>
      </c>
      <c r="GR43" s="1007">
        <v>3.3300000000000003E-2</v>
      </c>
      <c r="GS43" s="1007" t="s">
        <v>373</v>
      </c>
      <c r="GT43" s="1007" t="s">
        <v>373</v>
      </c>
      <c r="GU43" s="1007" t="s">
        <v>373</v>
      </c>
      <c r="GV43" s="1007" t="s">
        <v>373</v>
      </c>
      <c r="GW43" s="987">
        <v>2.6499999999999999E-2</v>
      </c>
      <c r="GX43" s="273">
        <v>2.6499999999999999E-2</v>
      </c>
      <c r="GY43" s="273">
        <v>2.6499999999999999E-2</v>
      </c>
      <c r="GZ43" s="273">
        <v>2.6499999999999999E-2</v>
      </c>
      <c r="HA43" s="273">
        <v>2.6499999999999999E-2</v>
      </c>
      <c r="HB43" s="1007">
        <v>0.04</v>
      </c>
      <c r="HC43" s="1007">
        <v>3.7499999999999999E-2</v>
      </c>
      <c r="HD43" s="1007">
        <v>3.7499999999999999E-2</v>
      </c>
      <c r="HE43" s="1007">
        <v>0.04</v>
      </c>
      <c r="HF43" s="941">
        <f>C41-D41</f>
        <v>0</v>
      </c>
    </row>
    <row r="44" spans="1:216">
      <c r="A44" s="961"/>
      <c r="B44" s="280" t="s">
        <v>799</v>
      </c>
      <c r="C44" s="922"/>
      <c r="D44" s="922"/>
      <c r="E44" s="922"/>
      <c r="F44" s="922"/>
      <c r="G44" s="971"/>
      <c r="H44" s="922"/>
      <c r="I44" s="922"/>
      <c r="J44" s="922"/>
      <c r="K44" s="922"/>
      <c r="L44" s="922"/>
      <c r="M44" s="922"/>
      <c r="N44" s="922"/>
      <c r="O44" s="922"/>
      <c r="P44" s="922"/>
      <c r="Q44" s="922"/>
      <c r="R44" s="922"/>
      <c r="S44" s="922"/>
      <c r="T44" s="922"/>
      <c r="U44" s="922"/>
      <c r="V44" s="971"/>
      <c r="W44" s="914"/>
      <c r="X44" s="914"/>
      <c r="Y44" s="914"/>
      <c r="Z44" s="914"/>
      <c r="AA44" s="914"/>
      <c r="AB44" s="914"/>
      <c r="AC44" s="914"/>
      <c r="AD44" s="914"/>
      <c r="AE44" s="986"/>
      <c r="AF44" s="986"/>
      <c r="AG44" s="986"/>
      <c r="AH44" s="986"/>
      <c r="AI44" s="986"/>
      <c r="AJ44" s="994"/>
      <c r="AK44" s="986"/>
      <c r="AL44" s="914"/>
      <c r="AM44" s="986"/>
      <c r="AN44" s="986"/>
      <c r="AO44" s="986"/>
      <c r="AP44" s="988"/>
      <c r="AQ44" s="988"/>
      <c r="AR44" s="988"/>
      <c r="AS44" s="988"/>
      <c r="AT44" s="988"/>
      <c r="AU44" s="988"/>
      <c r="AV44" s="1028"/>
      <c r="AW44" s="988"/>
      <c r="AX44" s="988"/>
      <c r="AY44" s="988"/>
      <c r="AZ44" s="988"/>
      <c r="BA44" s="988"/>
      <c r="BB44" s="988"/>
      <c r="BC44" s="1028"/>
      <c r="BD44" s="988"/>
      <c r="BE44" s="988"/>
      <c r="BF44" s="988"/>
      <c r="BG44" s="1028"/>
      <c r="BH44" s="988"/>
      <c r="BI44" s="988"/>
      <c r="BJ44" s="988"/>
      <c r="BK44" s="988"/>
      <c r="BL44" s="988"/>
      <c r="BM44" s="988"/>
      <c r="BN44" s="988"/>
      <c r="BO44" s="988"/>
      <c r="BP44" s="988"/>
      <c r="BQ44" s="1028"/>
      <c r="BR44" s="988"/>
      <c r="BS44" s="988"/>
      <c r="BT44" s="988"/>
      <c r="BU44" s="1028"/>
      <c r="BV44" s="988"/>
      <c r="BW44" s="988"/>
      <c r="BX44" s="988"/>
      <c r="BY44" s="988"/>
      <c r="BZ44" s="988"/>
      <c r="CA44" s="988"/>
      <c r="CB44" s="988"/>
      <c r="CC44" s="988"/>
      <c r="CD44" s="988"/>
      <c r="CE44" s="988"/>
      <c r="CF44" s="988"/>
      <c r="CG44" s="988"/>
      <c r="CH44" s="988"/>
      <c r="CI44" s="988"/>
      <c r="CJ44" s="988"/>
      <c r="CK44" s="988"/>
      <c r="CL44" s="988"/>
      <c r="CM44" s="988"/>
      <c r="CN44" s="988"/>
      <c r="CO44" s="988"/>
      <c r="CP44" s="988"/>
      <c r="CQ44" s="988"/>
      <c r="CR44" s="988"/>
      <c r="CS44" s="988"/>
      <c r="CT44" s="988"/>
      <c r="CU44" s="988"/>
      <c r="CV44" s="988"/>
      <c r="CW44" s="988"/>
      <c r="CX44" s="988"/>
      <c r="CY44" s="988"/>
      <c r="CZ44" s="988"/>
      <c r="DA44" s="988"/>
      <c r="DB44" s="988"/>
      <c r="DC44" s="988"/>
      <c r="DD44" s="988"/>
      <c r="DE44" s="988"/>
      <c r="DF44" s="988"/>
      <c r="DG44" s="988"/>
      <c r="DH44" s="988"/>
      <c r="DI44" s="988"/>
      <c r="DJ44" s="988"/>
      <c r="DK44" s="988"/>
      <c r="DL44" s="988"/>
      <c r="DM44" s="988"/>
      <c r="DN44" s="988"/>
      <c r="DO44" s="988"/>
      <c r="DP44" s="988"/>
      <c r="DQ44" s="988"/>
      <c r="DR44" s="988"/>
      <c r="DS44" s="988"/>
      <c r="DT44" s="988"/>
      <c r="DU44" s="988"/>
      <c r="DV44" s="988"/>
      <c r="DW44" s="988"/>
      <c r="DX44" s="988"/>
      <c r="DY44" s="988"/>
      <c r="DZ44" s="988"/>
      <c r="EA44" s="988"/>
      <c r="EB44" s="988"/>
      <c r="EC44" s="988"/>
      <c r="ED44" s="988"/>
      <c r="EE44" s="988"/>
      <c r="EF44" s="988"/>
      <c r="EG44" s="988"/>
      <c r="EH44" s="988"/>
      <c r="EI44" s="988"/>
      <c r="EJ44" s="988"/>
      <c r="EK44" s="988"/>
      <c r="EL44" s="988"/>
      <c r="EM44" s="988"/>
      <c r="EN44" s="988"/>
      <c r="EO44" s="988"/>
      <c r="EP44" s="988"/>
      <c r="EQ44" s="988"/>
      <c r="ER44" s="988"/>
      <c r="ES44" s="988"/>
      <c r="ET44" s="988"/>
      <c r="EU44" s="988"/>
      <c r="EV44" s="988"/>
      <c r="EW44" s="988"/>
      <c r="EX44" s="988"/>
      <c r="EY44" s="988"/>
      <c r="EZ44" s="1051"/>
      <c r="FA44" s="234"/>
      <c r="FB44" s="238"/>
      <c r="FC44" s="231"/>
      <c r="FD44" s="319"/>
      <c r="FE44" s="238"/>
      <c r="FF44" s="237"/>
      <c r="FG44" s="322"/>
      <c r="FH44" s="320"/>
      <c r="FI44" s="320"/>
      <c r="FJ44" s="321"/>
      <c r="FK44" s="320"/>
      <c r="FL44" s="319"/>
      <c r="FM44" s="319"/>
      <c r="FN44" s="234"/>
      <c r="FO44" s="234"/>
      <c r="FP44" s="234"/>
      <c r="FQ44" s="234"/>
      <c r="FR44" s="234"/>
      <c r="FS44" s="234"/>
      <c r="FT44" s="234"/>
      <c r="FU44" s="234"/>
      <c r="FV44" s="234"/>
      <c r="FW44" s="234"/>
      <c r="FX44" s="234"/>
      <c r="FY44" s="273"/>
      <c r="FZ44" s="988"/>
      <c r="GA44" s="988"/>
      <c r="GB44" s="988"/>
      <c r="GC44" s="988"/>
      <c r="GD44" s="988"/>
      <c r="GE44" s="988"/>
      <c r="GF44" s="988"/>
      <c r="GG44" s="988"/>
      <c r="GH44" s="988"/>
      <c r="GI44" s="988"/>
      <c r="GJ44" s="988"/>
      <c r="GK44" s="988"/>
      <c r="GL44" s="988"/>
      <c r="GM44" s="988"/>
      <c r="GN44" s="988"/>
      <c r="GO44" s="988"/>
      <c r="GP44" s="988"/>
      <c r="GQ44" s="988"/>
      <c r="GR44" s="988"/>
      <c r="GS44" s="988"/>
      <c r="GT44" s="988"/>
      <c r="GU44" s="988"/>
      <c r="GV44" s="988"/>
      <c r="GW44" s="988"/>
      <c r="GX44" s="273"/>
      <c r="GY44" s="273"/>
      <c r="GZ44" s="273"/>
      <c r="HA44" s="273"/>
      <c r="HB44" s="988"/>
      <c r="HC44" s="988"/>
      <c r="HD44" s="988"/>
      <c r="HE44" s="988"/>
      <c r="HF44" s="942">
        <f>W44-AT44</f>
        <v>0</v>
      </c>
    </row>
    <row r="45" spans="1:216">
      <c r="A45" s="1060" t="s">
        <v>35</v>
      </c>
      <c r="B45" s="280" t="s">
        <v>586</v>
      </c>
      <c r="C45" s="909">
        <v>1.15E-2</v>
      </c>
      <c r="D45" s="909">
        <v>1.15E-2</v>
      </c>
      <c r="E45" s="909">
        <v>1.15E-2</v>
      </c>
      <c r="F45" s="909">
        <v>1.15E-2</v>
      </c>
      <c r="G45" s="909">
        <v>1.15E-2</v>
      </c>
      <c r="H45" s="909">
        <v>1.15E-2</v>
      </c>
      <c r="I45" s="909">
        <v>1.15E-2</v>
      </c>
      <c r="J45" s="909">
        <v>1.15E-2</v>
      </c>
      <c r="K45" s="909">
        <v>1.15E-2</v>
      </c>
      <c r="L45" s="967">
        <v>1.15E-2</v>
      </c>
      <c r="M45" s="909">
        <v>1.2E-2</v>
      </c>
      <c r="N45" s="909">
        <v>1.2E-2</v>
      </c>
      <c r="O45" s="967">
        <v>1.2E-2</v>
      </c>
      <c r="P45" s="909">
        <v>1.4E-2</v>
      </c>
      <c r="Q45" s="909">
        <v>1.4E-2</v>
      </c>
      <c r="R45" s="909">
        <v>1.4E-2</v>
      </c>
      <c r="S45" s="909">
        <v>1.2E-2</v>
      </c>
      <c r="T45" s="909">
        <v>1.2E-2</v>
      </c>
      <c r="U45" s="909">
        <v>1.2E-2</v>
      </c>
      <c r="V45" s="909">
        <v>1.2E-2</v>
      </c>
      <c r="W45" s="909">
        <v>1.2E-2</v>
      </c>
      <c r="X45" s="909">
        <v>1.2E-2</v>
      </c>
      <c r="Y45" s="909">
        <v>1.2E-2</v>
      </c>
      <c r="Z45" s="909">
        <v>1.2E-2</v>
      </c>
      <c r="AA45" s="909">
        <v>1.2E-2</v>
      </c>
      <c r="AB45" s="909">
        <v>1.2E-2</v>
      </c>
      <c r="AC45" s="967">
        <v>1.2E-2</v>
      </c>
      <c r="AD45" s="909">
        <v>1.35E-2</v>
      </c>
      <c r="AE45" s="967">
        <v>1.35E-2</v>
      </c>
      <c r="AF45" s="978">
        <v>1.4500000000000001E-2</v>
      </c>
      <c r="AG45" s="967">
        <v>1.4500000000000001E-2</v>
      </c>
      <c r="AH45" s="967">
        <v>1.4999999999999999E-2</v>
      </c>
      <c r="AI45" s="978">
        <v>1.6E-2</v>
      </c>
      <c r="AJ45" s="967">
        <v>1.6E-2</v>
      </c>
      <c r="AK45" s="978">
        <v>1.6500000000000001E-2</v>
      </c>
      <c r="AL45" s="967">
        <v>1.6500000000000001E-2</v>
      </c>
      <c r="AM45" s="978">
        <v>1.7999999999999999E-2</v>
      </c>
      <c r="AN45" s="978">
        <v>1.7999999999999999E-2</v>
      </c>
      <c r="AO45" s="978">
        <v>1.7999999999999999E-2</v>
      </c>
      <c r="AP45" s="984">
        <v>1.7999999999999999E-2</v>
      </c>
      <c r="AQ45" s="984">
        <v>0.02</v>
      </c>
      <c r="AR45" s="1012">
        <v>2.1499999999999998E-2</v>
      </c>
      <c r="AS45" s="1012" t="s">
        <v>436</v>
      </c>
      <c r="AT45" s="984" t="e">
        <f>#REF!</f>
        <v>#REF!</v>
      </c>
      <c r="AU45" s="1012" t="s">
        <v>371</v>
      </c>
      <c r="AV45" s="1012" t="s">
        <v>371</v>
      </c>
      <c r="AW45" s="1012" t="s">
        <v>371</v>
      </c>
      <c r="AX45" s="1012" t="s">
        <v>371</v>
      </c>
      <c r="AY45" s="984" t="s">
        <v>371</v>
      </c>
      <c r="AZ45" s="1012" t="s">
        <v>370</v>
      </c>
      <c r="BA45" s="1012" t="s">
        <v>370</v>
      </c>
      <c r="BB45" s="1012" t="str">
        <f t="shared" ref="BB45:CB45" si="20">BC45</f>
        <v>2.75%
（电子银行）</v>
      </c>
      <c r="BC45" s="984" t="str">
        <f t="shared" si="20"/>
        <v>2.75%
（电子银行）</v>
      </c>
      <c r="BD45" s="1012" t="str">
        <f t="shared" si="20"/>
        <v>2.75%
（电子银行）</v>
      </c>
      <c r="BE45" s="1012" t="str">
        <f t="shared" si="20"/>
        <v>2.75%
（电子银行）</v>
      </c>
      <c r="BF45" s="1012" t="str">
        <f t="shared" si="20"/>
        <v>2.75%
（电子银行）</v>
      </c>
      <c r="BG45" s="1012" t="str">
        <f t="shared" si="20"/>
        <v>2.75%
（电子银行）</v>
      </c>
      <c r="BH45" s="1012" t="str">
        <f t="shared" si="20"/>
        <v>2.75%
（电子银行）</v>
      </c>
      <c r="BI45" s="1012" t="str">
        <f t="shared" si="20"/>
        <v>2.75%
（电子银行）</v>
      </c>
      <c r="BJ45" s="1012" t="str">
        <f t="shared" si="20"/>
        <v>2.75%
（电子银行）</v>
      </c>
      <c r="BK45" s="1012" t="str">
        <f t="shared" si="20"/>
        <v>2.75%
（电子银行）</v>
      </c>
      <c r="BL45" s="1012" t="str">
        <f t="shared" si="20"/>
        <v>2.75%
（电子银行）</v>
      </c>
      <c r="BM45" s="1012" t="str">
        <f t="shared" si="20"/>
        <v>2.75%
（电子银行）</v>
      </c>
      <c r="BN45" s="1012" t="str">
        <f t="shared" si="20"/>
        <v>2.75%
（电子银行）</v>
      </c>
      <c r="BO45" s="1012" t="str">
        <f t="shared" si="20"/>
        <v>2.75%
（电子银行）</v>
      </c>
      <c r="BP45" s="1012" t="str">
        <f t="shared" si="20"/>
        <v>2.75%
（电子银行）</v>
      </c>
      <c r="BQ45" s="1012" t="str">
        <f t="shared" si="20"/>
        <v>2.75%
（电子银行）</v>
      </c>
      <c r="BR45" s="1012" t="str">
        <f t="shared" si="20"/>
        <v>2.75%
（电子银行）</v>
      </c>
      <c r="BS45" s="1012" t="str">
        <f t="shared" si="20"/>
        <v>2.75%
（电子银行）</v>
      </c>
      <c r="BT45" s="1012" t="str">
        <f t="shared" si="20"/>
        <v>2.75%
（电子银行）</v>
      </c>
      <c r="BU45" s="1012" t="str">
        <f t="shared" si="20"/>
        <v>2.75%
（电子银行）</v>
      </c>
      <c r="BV45" s="1012" t="str">
        <f t="shared" si="20"/>
        <v>2.75%
（电子银行）</v>
      </c>
      <c r="BW45" s="1012" t="str">
        <f t="shared" si="20"/>
        <v>2.75%
（电子银行）</v>
      </c>
      <c r="BX45" s="1012" t="str">
        <f t="shared" si="20"/>
        <v>2.75%
（电子银行）</v>
      </c>
      <c r="BY45" s="1012" t="str">
        <f t="shared" si="20"/>
        <v>2.75%
（电子银行）</v>
      </c>
      <c r="BZ45" s="1012" t="str">
        <f t="shared" si="20"/>
        <v>2.75%
（电子银行）</v>
      </c>
      <c r="CA45" s="1012" t="str">
        <f t="shared" si="20"/>
        <v>2.75%
（电子银行）</v>
      </c>
      <c r="CB45" s="1012" t="str">
        <f t="shared" si="20"/>
        <v>2.75%
（电子银行）</v>
      </c>
      <c r="CC45" s="1012" t="s">
        <v>465</v>
      </c>
      <c r="CD45" s="955">
        <v>2.9000000000000001E-2</v>
      </c>
      <c r="CE45" s="955">
        <v>3.1E-2</v>
      </c>
      <c r="CF45" s="955">
        <v>3.1E-2</v>
      </c>
      <c r="CG45" s="955">
        <v>3.1E-2</v>
      </c>
      <c r="CH45" s="955">
        <v>3.1E-2</v>
      </c>
      <c r="CI45" s="955">
        <v>3.15E-2</v>
      </c>
      <c r="CJ45" s="955">
        <v>3.15E-2</v>
      </c>
      <c r="CK45" s="955">
        <v>3.15E-2</v>
      </c>
      <c r="CL45" s="955">
        <v>3.15E-2</v>
      </c>
      <c r="CM45" s="955">
        <v>3.15E-2</v>
      </c>
      <c r="CN45" s="955">
        <v>3.15E-2</v>
      </c>
      <c r="CO45" s="955">
        <v>3.15E-2</v>
      </c>
      <c r="CP45" s="955">
        <v>3.15E-2</v>
      </c>
      <c r="CQ45" s="955">
        <v>3.15E-2</v>
      </c>
      <c r="CR45" s="955">
        <v>3.15E-2</v>
      </c>
      <c r="CS45" s="955">
        <v>3.15E-2</v>
      </c>
      <c r="CT45" s="955">
        <v>3.15E-2</v>
      </c>
      <c r="CU45" s="955">
        <v>3.15E-2</v>
      </c>
      <c r="CV45" s="955">
        <v>3.15E-2</v>
      </c>
      <c r="CW45" s="955">
        <v>3.2000000000000001E-2</v>
      </c>
      <c r="CX45" s="955">
        <v>3.2000000000000001E-2</v>
      </c>
      <c r="CY45" s="955">
        <v>3.2000000000000001E-2</v>
      </c>
      <c r="CZ45" s="955">
        <v>3.2000000000000001E-2</v>
      </c>
      <c r="DA45" s="955">
        <v>3.2000000000000001E-2</v>
      </c>
      <c r="DB45" s="955">
        <v>3.2000000000000001E-2</v>
      </c>
      <c r="DC45" s="955">
        <v>3.2000000000000001E-2</v>
      </c>
      <c r="DD45" s="955">
        <v>3.2000000000000001E-2</v>
      </c>
      <c r="DE45" s="955">
        <v>3.2000000000000001E-2</v>
      </c>
      <c r="DF45" s="955">
        <v>3.2000000000000001E-2</v>
      </c>
      <c r="DG45" s="955">
        <v>3.2000000000000001E-2</v>
      </c>
      <c r="DH45" s="955">
        <v>3.2000000000000001E-2</v>
      </c>
      <c r="DI45" s="955">
        <v>3.2000000000000001E-2</v>
      </c>
      <c r="DJ45" s="955">
        <v>3.2000000000000001E-2</v>
      </c>
      <c r="DK45" s="955">
        <v>3.2000000000000001E-2</v>
      </c>
      <c r="DL45" s="955">
        <v>3.2000000000000001E-2</v>
      </c>
      <c r="DM45" s="955">
        <v>3.2000000000000001E-2</v>
      </c>
      <c r="DN45" s="955">
        <v>3.2000000000000001E-2</v>
      </c>
      <c r="DO45" s="955">
        <v>3.2000000000000001E-2</v>
      </c>
      <c r="DP45" s="955">
        <v>3.2000000000000001E-2</v>
      </c>
      <c r="DQ45" s="955">
        <v>3.2000000000000001E-2</v>
      </c>
      <c r="DR45" s="955">
        <v>3.2000000000000001E-2</v>
      </c>
      <c r="DS45" s="955">
        <v>3.2000000000000001E-2</v>
      </c>
      <c r="DT45" s="955">
        <v>3.2000000000000001E-2</v>
      </c>
      <c r="DU45" s="955">
        <v>3.2000000000000001E-2</v>
      </c>
      <c r="DV45" s="955">
        <v>3.2000000000000001E-2</v>
      </c>
      <c r="DW45" s="955">
        <v>3.2000000000000001E-2</v>
      </c>
      <c r="DX45" s="955">
        <v>3.2000000000000001E-2</v>
      </c>
      <c r="DY45" s="955">
        <v>3.2000000000000001E-2</v>
      </c>
      <c r="DZ45" s="955">
        <v>3.2000000000000001E-2</v>
      </c>
      <c r="EA45" s="955">
        <v>3.2000000000000001E-2</v>
      </c>
      <c r="EB45" s="955">
        <v>3.2000000000000001E-2</v>
      </c>
      <c r="EC45" s="955">
        <v>3.2000000000000001E-2</v>
      </c>
      <c r="ED45" s="955">
        <v>3.2000000000000001E-2</v>
      </c>
      <c r="EE45" s="955">
        <v>3.2000000000000001E-2</v>
      </c>
      <c r="EF45" s="955">
        <v>3.2000000000000001E-2</v>
      </c>
      <c r="EG45" s="955">
        <v>3.2000000000000001E-2</v>
      </c>
      <c r="EH45" s="955">
        <v>3.2000000000000001E-2</v>
      </c>
      <c r="EI45" s="955">
        <v>3.2000000000000001E-2</v>
      </c>
      <c r="EJ45" s="955">
        <v>3.2000000000000001E-2</v>
      </c>
      <c r="EK45" s="955">
        <v>3.3500000000000002E-2</v>
      </c>
      <c r="EL45" s="955">
        <v>3.3500000000000002E-2</v>
      </c>
      <c r="EM45" s="955">
        <v>3.4000000000000002E-2</v>
      </c>
      <c r="EN45" s="955">
        <v>3.4000000000000002E-2</v>
      </c>
      <c r="EO45" s="955">
        <v>3.4000000000000002E-2</v>
      </c>
      <c r="EP45" s="955">
        <v>3.4000000000000002E-2</v>
      </c>
      <c r="EQ45" s="955">
        <v>3.4000000000000002E-2</v>
      </c>
      <c r="ER45" s="955">
        <v>3.4000000000000002E-2</v>
      </c>
      <c r="ES45" s="955">
        <v>3.4000000000000002E-2</v>
      </c>
      <c r="ET45" s="955">
        <v>3.5499999999999997E-2</v>
      </c>
      <c r="EU45" s="955">
        <v>3.5499999999999997E-2</v>
      </c>
      <c r="EV45" s="955">
        <v>3.5499999999999997E-2</v>
      </c>
      <c r="EW45" s="955">
        <v>3.6499999999999998E-2</v>
      </c>
      <c r="EX45" s="955">
        <v>3.15E-2</v>
      </c>
      <c r="EY45" s="955">
        <v>3.15E-2</v>
      </c>
      <c r="EZ45" s="231" t="s">
        <v>281</v>
      </c>
      <c r="FA45" s="1040">
        <v>1.2500000000000001E-2</v>
      </c>
      <c r="FB45" s="254" t="s">
        <v>433</v>
      </c>
      <c r="FC45" s="1042" t="s">
        <v>323</v>
      </c>
      <c r="FD45" s="1040">
        <v>1.2500000000000001E-2</v>
      </c>
      <c r="FE45" s="238" t="s">
        <v>434</v>
      </c>
      <c r="FF45" s="1052" t="s">
        <v>323</v>
      </c>
      <c r="FG45" s="1042" t="s">
        <v>321</v>
      </c>
      <c r="FH45" s="1041">
        <v>5.4999999999999997E-3</v>
      </c>
      <c r="FI45" s="1041">
        <v>5.4999999999999997E-3</v>
      </c>
      <c r="FJ45" s="1041">
        <v>5.4999999999999997E-3</v>
      </c>
      <c r="FK45" s="1041">
        <v>5.4999999999999997E-3</v>
      </c>
      <c r="FL45" s="1040">
        <v>1.2500000000000001E-2</v>
      </c>
      <c r="FM45" s="1040">
        <v>1.2500000000000001E-2</v>
      </c>
      <c r="FN45" s="1040">
        <v>1.2500000000000001E-2</v>
      </c>
      <c r="FO45" s="1040">
        <v>1.2500000000000001E-2</v>
      </c>
      <c r="FP45" s="1040">
        <v>1.2500000000000001E-2</v>
      </c>
      <c r="FQ45" s="1040">
        <v>1.2500000000000001E-2</v>
      </c>
      <c r="FR45" s="1040">
        <v>1.2500000000000001E-2</v>
      </c>
      <c r="FS45" s="1040">
        <v>1.2500000000000001E-2</v>
      </c>
      <c r="FT45" s="1040">
        <v>1.2500000000000001E-2</v>
      </c>
      <c r="FU45" s="1040">
        <v>1.2500000000000001E-2</v>
      </c>
      <c r="FV45" s="1040">
        <v>1.2500000000000001E-2</v>
      </c>
      <c r="FW45" s="1040">
        <v>1.2500000000000001E-2</v>
      </c>
      <c r="FX45" s="1040">
        <v>1.2500000000000001E-2</v>
      </c>
      <c r="FY45" s="955">
        <v>1.9E-2</v>
      </c>
      <c r="FZ45" s="955">
        <v>3.15E-2</v>
      </c>
      <c r="GA45" s="955">
        <v>3.15E-2</v>
      </c>
      <c r="GB45" s="955">
        <v>3.15E-2</v>
      </c>
      <c r="GC45" s="955">
        <v>3.15E-2</v>
      </c>
      <c r="GD45" s="955">
        <v>3.15E-2</v>
      </c>
      <c r="GE45" s="955">
        <v>3.15E-2</v>
      </c>
      <c r="GF45" s="955">
        <v>3.15E-2</v>
      </c>
      <c r="GG45" s="955">
        <v>3.15E-2</v>
      </c>
      <c r="GH45" s="955">
        <v>3.15E-2</v>
      </c>
      <c r="GI45" s="955">
        <v>3.15E-2</v>
      </c>
      <c r="GJ45" s="955">
        <v>3.15E-2</v>
      </c>
      <c r="GK45" s="955">
        <v>3.15E-2</v>
      </c>
      <c r="GL45" s="955">
        <v>3.15E-2</v>
      </c>
      <c r="GM45" s="955">
        <v>3.15E-2</v>
      </c>
      <c r="GN45" s="955">
        <v>3.15E-2</v>
      </c>
      <c r="GO45" s="955">
        <v>3.15E-2</v>
      </c>
      <c r="GP45" s="955">
        <v>3.15E-2</v>
      </c>
      <c r="GQ45" s="955">
        <v>3.15E-2</v>
      </c>
      <c r="GR45" s="955">
        <v>3.15E-2</v>
      </c>
      <c r="GS45" s="955">
        <v>2.9000000000000001E-2</v>
      </c>
      <c r="GT45" s="955">
        <v>2.9000000000000001E-2</v>
      </c>
      <c r="GU45" s="955">
        <v>2.9000000000000001E-2</v>
      </c>
      <c r="GV45" s="955">
        <v>2.2499999999999999E-2</v>
      </c>
      <c r="GW45" s="955">
        <v>2.2499999999999999E-2</v>
      </c>
      <c r="GX45" s="955">
        <v>2.2499999999999999E-2</v>
      </c>
      <c r="GY45" s="955">
        <v>1.9E-2</v>
      </c>
      <c r="GZ45" s="955">
        <v>1.9E-2</v>
      </c>
      <c r="HA45" s="955">
        <v>1.9E-2</v>
      </c>
      <c r="HB45" s="955">
        <v>3.15E-2</v>
      </c>
      <c r="HC45" s="955">
        <v>3.15E-2</v>
      </c>
      <c r="HD45" s="955">
        <v>3.15E-2</v>
      </c>
      <c r="HE45" s="955">
        <v>3.15E-2</v>
      </c>
      <c r="HF45" s="941">
        <f>C45-D45</f>
        <v>0</v>
      </c>
      <c r="HG45" s="218" t="s">
        <v>755</v>
      </c>
    </row>
    <row r="46" spans="1:216">
      <c r="A46" s="1060"/>
      <c r="B46" s="280" t="s">
        <v>587</v>
      </c>
      <c r="C46" s="922"/>
      <c r="D46" s="922"/>
      <c r="E46" s="922"/>
      <c r="F46" s="922"/>
      <c r="G46" s="922"/>
      <c r="H46" s="922"/>
      <c r="I46" s="922"/>
      <c r="J46" s="922"/>
      <c r="K46" s="922"/>
      <c r="L46" s="971"/>
      <c r="M46" s="922"/>
      <c r="N46" s="922"/>
      <c r="O46" s="971"/>
      <c r="P46" s="922"/>
      <c r="Q46" s="922"/>
      <c r="R46" s="922"/>
      <c r="S46" s="922"/>
      <c r="T46" s="922"/>
      <c r="U46" s="922"/>
      <c r="V46" s="922"/>
      <c r="W46" s="922"/>
      <c r="X46" s="922"/>
      <c r="Y46" s="922"/>
      <c r="Z46" s="922"/>
      <c r="AA46" s="922"/>
      <c r="AB46" s="922"/>
      <c r="AC46" s="971"/>
      <c r="AD46" s="922"/>
      <c r="AE46" s="971"/>
      <c r="AF46" s="983"/>
      <c r="AG46" s="971"/>
      <c r="AH46" s="971"/>
      <c r="AI46" s="983"/>
      <c r="AJ46" s="971"/>
      <c r="AK46" s="983"/>
      <c r="AL46" s="971"/>
      <c r="AM46" s="983"/>
      <c r="AN46" s="983"/>
      <c r="AO46" s="983"/>
      <c r="AP46" s="989"/>
      <c r="AQ46" s="989"/>
      <c r="AR46" s="1029"/>
      <c r="AS46" s="1029"/>
      <c r="AT46" s="989"/>
      <c r="AU46" s="1029"/>
      <c r="AV46" s="1029"/>
      <c r="AW46" s="1029"/>
      <c r="AX46" s="1029"/>
      <c r="AY46" s="989"/>
      <c r="AZ46" s="1029"/>
      <c r="BA46" s="1029"/>
      <c r="BB46" s="1029"/>
      <c r="BC46" s="989"/>
      <c r="BD46" s="1029"/>
      <c r="BE46" s="1029"/>
      <c r="BF46" s="1029"/>
      <c r="BG46" s="1029"/>
      <c r="BH46" s="1029"/>
      <c r="BI46" s="1029"/>
      <c r="BJ46" s="1029"/>
      <c r="BK46" s="1029"/>
      <c r="BL46" s="1029"/>
      <c r="BM46" s="1029"/>
      <c r="BN46" s="1029"/>
      <c r="BO46" s="1029"/>
      <c r="BP46" s="1029"/>
      <c r="BQ46" s="1029"/>
      <c r="BR46" s="1029"/>
      <c r="BS46" s="1029"/>
      <c r="BT46" s="1029"/>
      <c r="BU46" s="1029"/>
      <c r="BV46" s="1029"/>
      <c r="BW46" s="1029"/>
      <c r="BX46" s="1029"/>
      <c r="BY46" s="1029"/>
      <c r="BZ46" s="1029"/>
      <c r="CA46" s="1029"/>
      <c r="CB46" s="1029"/>
      <c r="CC46" s="1029"/>
      <c r="CD46" s="1013"/>
      <c r="CE46" s="1013"/>
      <c r="CF46" s="1013"/>
      <c r="CG46" s="1013"/>
      <c r="CH46" s="1013"/>
      <c r="CI46" s="1013"/>
      <c r="CJ46" s="1013"/>
      <c r="CK46" s="1013"/>
      <c r="CL46" s="1013"/>
      <c r="CM46" s="1013"/>
      <c r="CN46" s="1013"/>
      <c r="CO46" s="1013"/>
      <c r="CP46" s="1013"/>
      <c r="CQ46" s="1013"/>
      <c r="CR46" s="1013"/>
      <c r="CS46" s="1013"/>
      <c r="CT46" s="1013"/>
      <c r="CU46" s="1013"/>
      <c r="CV46" s="1013"/>
      <c r="CW46" s="1013"/>
      <c r="CX46" s="1013"/>
      <c r="CY46" s="1013"/>
      <c r="CZ46" s="1013"/>
      <c r="DA46" s="1013"/>
      <c r="DB46" s="1013"/>
      <c r="DC46" s="1013"/>
      <c r="DD46" s="1013"/>
      <c r="DE46" s="1013"/>
      <c r="DF46" s="1013"/>
      <c r="DG46" s="1013"/>
      <c r="DH46" s="1013"/>
      <c r="DI46" s="1013"/>
      <c r="DJ46" s="1013"/>
      <c r="DK46" s="1013"/>
      <c r="DL46" s="1013"/>
      <c r="DM46" s="1013"/>
      <c r="DN46" s="1013"/>
      <c r="DO46" s="1013"/>
      <c r="DP46" s="1013"/>
      <c r="DQ46" s="1013"/>
      <c r="DR46" s="1013"/>
      <c r="DS46" s="1013"/>
      <c r="DT46" s="1013"/>
      <c r="DU46" s="1013"/>
      <c r="DV46" s="1013"/>
      <c r="DW46" s="1013"/>
      <c r="DX46" s="1013"/>
      <c r="DY46" s="1013"/>
      <c r="DZ46" s="1013"/>
      <c r="EA46" s="1013"/>
      <c r="EB46" s="1013"/>
      <c r="EC46" s="1013"/>
      <c r="ED46" s="1013"/>
      <c r="EE46" s="1013"/>
      <c r="EF46" s="1013"/>
      <c r="EG46" s="1013"/>
      <c r="EH46" s="1013"/>
      <c r="EI46" s="1013"/>
      <c r="EJ46" s="1013"/>
      <c r="EK46" s="1013"/>
      <c r="EL46" s="1013"/>
      <c r="EM46" s="1013"/>
      <c r="EN46" s="1013"/>
      <c r="EO46" s="1013"/>
      <c r="EP46" s="1013"/>
      <c r="EQ46" s="1013"/>
      <c r="ER46" s="1013"/>
      <c r="ES46" s="1013"/>
      <c r="ET46" s="1013"/>
      <c r="EU46" s="1013"/>
      <c r="EV46" s="1013"/>
      <c r="EW46" s="1013"/>
      <c r="EX46" s="1013"/>
      <c r="EY46" s="1013"/>
      <c r="EZ46" s="231"/>
      <c r="FA46" s="1040"/>
      <c r="FB46" s="254"/>
      <c r="FC46" s="1042"/>
      <c r="FD46" s="1040"/>
      <c r="FE46" s="238"/>
      <c r="FF46" s="1052"/>
      <c r="FG46" s="1042"/>
      <c r="FH46" s="1041"/>
      <c r="FI46" s="1041"/>
      <c r="FJ46" s="1041"/>
      <c r="FK46" s="1041"/>
      <c r="FL46" s="1040"/>
      <c r="FM46" s="1040"/>
      <c r="FN46" s="1040"/>
      <c r="FO46" s="1040"/>
      <c r="FP46" s="1040"/>
      <c r="FQ46" s="1040"/>
      <c r="FR46" s="1040"/>
      <c r="FS46" s="1040"/>
      <c r="FT46" s="1040"/>
      <c r="FU46" s="1040"/>
      <c r="FV46" s="1040"/>
      <c r="FW46" s="1040"/>
      <c r="FX46" s="1040"/>
      <c r="FY46" s="1013"/>
      <c r="FZ46" s="1013"/>
      <c r="GA46" s="1013"/>
      <c r="GB46" s="1013"/>
      <c r="GC46" s="1013"/>
      <c r="GD46" s="1013"/>
      <c r="GE46" s="1013"/>
      <c r="GF46" s="1013"/>
      <c r="GG46" s="1013"/>
      <c r="GH46" s="1013"/>
      <c r="GI46" s="1013"/>
      <c r="GJ46" s="1013"/>
      <c r="GK46" s="1013"/>
      <c r="GL46" s="1013"/>
      <c r="GM46" s="1013"/>
      <c r="GN46" s="1013"/>
      <c r="GO46" s="1013"/>
      <c r="GP46" s="1013"/>
      <c r="GQ46" s="1013"/>
      <c r="GR46" s="1013"/>
      <c r="GS46" s="1013"/>
      <c r="GT46" s="1013"/>
      <c r="GU46" s="1013"/>
      <c r="GV46" s="1013"/>
      <c r="GW46" s="1013"/>
      <c r="GX46" s="1013"/>
      <c r="GY46" s="1013"/>
      <c r="GZ46" s="1013"/>
      <c r="HA46" s="1013"/>
      <c r="HB46" s="1013"/>
      <c r="HC46" s="1013"/>
      <c r="HD46" s="1013"/>
      <c r="HE46" s="1013"/>
      <c r="HF46" s="1048"/>
      <c r="HG46" s="218" t="s">
        <v>582</v>
      </c>
    </row>
    <row r="47" spans="1:216">
      <c r="A47" s="959" t="s">
        <v>16</v>
      </c>
      <c r="B47" s="920" t="s">
        <v>752</v>
      </c>
      <c r="C47" s="920">
        <v>1.35E-2</v>
      </c>
      <c r="D47" s="920">
        <v>1.35E-2</v>
      </c>
      <c r="E47" s="920">
        <v>1.35E-2</v>
      </c>
      <c r="F47" s="920">
        <v>1.35E-2</v>
      </c>
      <c r="G47" s="920">
        <v>1.35E-2</v>
      </c>
      <c r="H47" s="920">
        <v>1.35E-2</v>
      </c>
      <c r="I47" s="920">
        <v>1.35E-2</v>
      </c>
      <c r="J47" s="920">
        <v>1.35E-2</v>
      </c>
      <c r="K47" s="920">
        <v>1.35E-2</v>
      </c>
      <c r="L47" s="920">
        <v>1.35E-2</v>
      </c>
      <c r="M47" s="920">
        <v>1.35E-2</v>
      </c>
      <c r="N47" s="920">
        <v>1.35E-2</v>
      </c>
      <c r="O47" s="920">
        <v>1.35E-2</v>
      </c>
      <c r="P47" s="920">
        <v>1.35E-2</v>
      </c>
      <c r="Q47" s="920">
        <v>1.35E-2</v>
      </c>
      <c r="R47" s="920">
        <v>1.35E-2</v>
      </c>
      <c r="S47" s="963">
        <v>1.35E-2</v>
      </c>
      <c r="T47" s="920">
        <v>1.4E-2</v>
      </c>
      <c r="U47" s="920">
        <v>1.4E-2</v>
      </c>
      <c r="V47" s="963">
        <v>1.4E-2</v>
      </c>
      <c r="W47" s="909">
        <v>1.35E-2</v>
      </c>
      <c r="X47" s="909">
        <v>1.35E-2</v>
      </c>
      <c r="Y47" s="909">
        <v>1.35E-2</v>
      </c>
      <c r="Z47" s="967">
        <v>1.35E-2</v>
      </c>
      <c r="AA47" s="909">
        <v>1.2999999999999999E-2</v>
      </c>
      <c r="AB47" s="967">
        <v>1.2999999999999999E-2</v>
      </c>
      <c r="AC47" s="967">
        <v>1.38E-2</v>
      </c>
      <c r="AD47" s="967">
        <v>1.4E-2</v>
      </c>
      <c r="AE47" s="967">
        <v>1.4999999999999999E-2</v>
      </c>
      <c r="AF47" s="967">
        <v>1.55E-2</v>
      </c>
      <c r="AG47" s="967">
        <v>1.6E-2</v>
      </c>
      <c r="AH47" s="978">
        <v>1.7000000000000001E-2</v>
      </c>
      <c r="AI47" s="978">
        <v>1.7000000000000001E-2</v>
      </c>
      <c r="AJ47" s="967">
        <v>1.7000000000000001E-2</v>
      </c>
      <c r="AK47" s="967">
        <v>1.7000000000000001E-2</v>
      </c>
      <c r="AL47" s="967">
        <v>1.7500000000000002E-2</v>
      </c>
      <c r="AM47" s="967">
        <v>1.8200000000000001E-2</v>
      </c>
      <c r="AN47" s="967">
        <v>1.8499999999999999E-2</v>
      </c>
      <c r="AO47" s="978">
        <v>1.9E-2</v>
      </c>
      <c r="AP47" s="984">
        <v>1.9E-2</v>
      </c>
      <c r="AQ47" s="1012">
        <v>0.02</v>
      </c>
      <c r="AR47" s="984">
        <v>0.02</v>
      </c>
      <c r="AS47" s="984">
        <v>2.2000000000000002E-2</v>
      </c>
      <c r="AT47" s="984">
        <v>2.1999999999999999E-2</v>
      </c>
      <c r="AU47" s="1025">
        <v>2.2499999999999999E-2</v>
      </c>
      <c r="AV47" s="1025">
        <v>2.35E-2</v>
      </c>
      <c r="AW47" s="1025">
        <v>2.4E-2</v>
      </c>
      <c r="AX47" s="1021">
        <v>2.4500000000000001E-2</v>
      </c>
      <c r="AY47" s="1021">
        <v>2.4500000000000001E-2</v>
      </c>
      <c r="AZ47" s="1021">
        <v>2.4500000000000001E-2</v>
      </c>
      <c r="BA47" s="1021">
        <v>2.4500000000000001E-2</v>
      </c>
      <c r="BB47" s="1021">
        <v>2.4500000000000001E-2</v>
      </c>
      <c r="BC47" s="1021">
        <v>2.4500000000000001E-2</v>
      </c>
      <c r="BD47" s="1021">
        <v>2.5499999999999998E-2</v>
      </c>
      <c r="BE47" s="1023">
        <v>2.5999999999999999E-2</v>
      </c>
      <c r="BF47" s="1021">
        <v>2.7E-2</v>
      </c>
      <c r="BG47" s="1021">
        <v>2.7E-2</v>
      </c>
      <c r="BH47" s="1021">
        <v>2.7E-2</v>
      </c>
      <c r="BI47" s="1021">
        <v>2.75E-2</v>
      </c>
      <c r="BJ47" s="1021">
        <v>2.75E-2</v>
      </c>
      <c r="BK47" s="1021">
        <v>2.75E-2</v>
      </c>
      <c r="BL47" s="1021">
        <v>2.75E-2</v>
      </c>
      <c r="BM47" s="1021">
        <v>2.75E-2</v>
      </c>
      <c r="BN47" s="1021">
        <v>2.75E-2</v>
      </c>
      <c r="BO47" s="1021">
        <v>2.75E-2</v>
      </c>
      <c r="BP47" s="1021">
        <v>2.75E-2</v>
      </c>
      <c r="BQ47" s="1021">
        <v>2.75E-2</v>
      </c>
      <c r="BR47" s="1021">
        <v>2.75E-2</v>
      </c>
      <c r="BS47" s="1021">
        <v>2.75E-2</v>
      </c>
      <c r="BT47" s="1021">
        <v>2.75E-2</v>
      </c>
      <c r="BU47" s="1021">
        <v>2.75E-2</v>
      </c>
      <c r="BV47" s="1021">
        <v>2.75E-2</v>
      </c>
      <c r="BW47" s="1021">
        <v>2.8000000000000001E-2</v>
      </c>
      <c r="BX47" s="1021">
        <v>2.8000000000000001E-2</v>
      </c>
      <c r="BY47" s="1021">
        <v>2.8000000000000001E-2</v>
      </c>
      <c r="BZ47" s="1021">
        <v>2.8000000000000001E-2</v>
      </c>
      <c r="CA47" s="1021">
        <v>2.8000000000000001E-2</v>
      </c>
      <c r="CB47" s="1021">
        <v>2.8500000000000001E-2</v>
      </c>
      <c r="CC47" s="1021">
        <v>2.8500000000000001E-2</v>
      </c>
      <c r="CD47" s="1021">
        <v>2.8500000000000001E-2</v>
      </c>
      <c r="CE47" s="1021">
        <v>2.9000000000000001E-2</v>
      </c>
      <c r="CF47" s="1021">
        <v>3.1E-2</v>
      </c>
      <c r="CG47" s="1021">
        <v>3.1E-2</v>
      </c>
      <c r="CH47" s="1021">
        <v>3.1E-2</v>
      </c>
      <c r="CI47" s="1021">
        <v>3.2000000000000001E-2</v>
      </c>
      <c r="CJ47" s="1021">
        <v>3.3000000000000002E-2</v>
      </c>
      <c r="CK47" s="1021">
        <v>3.3000000000000002E-2</v>
      </c>
      <c r="CL47" s="1021">
        <v>3.3000000000000002E-2</v>
      </c>
      <c r="CM47" s="1021">
        <v>3.3000000000000002E-2</v>
      </c>
      <c r="CN47" s="1021">
        <v>3.3000000000000002E-2</v>
      </c>
      <c r="CO47" s="1021">
        <v>3.3000000000000002E-2</v>
      </c>
      <c r="CP47" s="1021">
        <v>3.3000000000000002E-2</v>
      </c>
      <c r="CQ47" s="1021">
        <v>3.3000000000000002E-2</v>
      </c>
      <c r="CR47" s="1021">
        <v>3.2000000000000001E-2</v>
      </c>
      <c r="CS47" s="1021">
        <v>3.2000000000000001E-2</v>
      </c>
      <c r="CT47" s="1021">
        <v>3.2000000000000001E-2</v>
      </c>
      <c r="CU47" s="1021">
        <v>3.2000000000000001E-2</v>
      </c>
      <c r="CV47" s="1021">
        <v>3.2000000000000001E-2</v>
      </c>
      <c r="CW47" s="1021">
        <v>3.2000000000000001E-2</v>
      </c>
      <c r="CX47" s="1021">
        <v>3.2000000000000001E-2</v>
      </c>
      <c r="CY47" s="1021">
        <v>3.2000000000000001E-2</v>
      </c>
      <c r="CZ47" s="1021">
        <v>3.2500000000000001E-2</v>
      </c>
      <c r="DA47" s="1021">
        <v>3.2500000000000001E-2</v>
      </c>
      <c r="DB47" s="1021">
        <v>3.3000000000000002E-2</v>
      </c>
      <c r="DC47" s="1021">
        <v>3.3000000000000002E-2</v>
      </c>
      <c r="DD47" s="1021">
        <v>3.3000000000000002E-2</v>
      </c>
      <c r="DE47" s="1021">
        <v>3.3000000000000002E-2</v>
      </c>
      <c r="DF47" s="1021">
        <v>3.3000000000000002E-2</v>
      </c>
      <c r="DG47" s="1021">
        <v>3.3500000000000002E-2</v>
      </c>
      <c r="DH47" s="1021">
        <v>3.3500000000000002E-2</v>
      </c>
      <c r="DI47" s="1021">
        <v>3.3500000000000002E-2</v>
      </c>
      <c r="DJ47" s="1021">
        <v>3.3500000000000002E-2</v>
      </c>
      <c r="DK47" s="1021">
        <v>3.4000000000000002E-2</v>
      </c>
      <c r="DL47" s="1021">
        <v>3.4500000000000003E-2</v>
      </c>
      <c r="DM47" s="1021">
        <v>3.4500000000000003E-2</v>
      </c>
      <c r="DN47" s="1021">
        <v>3.5499999999999997E-2</v>
      </c>
      <c r="DO47" s="1021">
        <v>3.5499999999999997E-2</v>
      </c>
      <c r="DP47" s="1021">
        <v>3.5499999999999997E-2</v>
      </c>
      <c r="DQ47" s="1021">
        <v>3.5499999999999997E-2</v>
      </c>
      <c r="DR47" s="1021">
        <v>3.5000000000000003E-2</v>
      </c>
      <c r="DS47" s="1021">
        <v>3.4500000000000003E-2</v>
      </c>
      <c r="DT47" s="1021">
        <v>3.4500000000000003E-2</v>
      </c>
      <c r="DU47" s="1021">
        <v>3.3000000000000002E-2</v>
      </c>
      <c r="DV47" s="1021">
        <v>3.3000000000000002E-2</v>
      </c>
      <c r="DW47" s="1021">
        <v>3.3000000000000002E-2</v>
      </c>
      <c r="DX47" s="1021">
        <v>3.3000000000000002E-2</v>
      </c>
      <c r="DY47" s="1021">
        <v>3.3000000000000002E-2</v>
      </c>
      <c r="DZ47" s="1021">
        <v>3.3000000000000002E-2</v>
      </c>
      <c r="EA47" s="1021">
        <v>3.3500000000000002E-2</v>
      </c>
      <c r="EB47" s="1021">
        <v>3.3500000000000002E-2</v>
      </c>
      <c r="EC47" s="1021">
        <v>3.3500000000000002E-2</v>
      </c>
      <c r="ED47" s="1021">
        <v>3.3500000000000002E-2</v>
      </c>
      <c r="EE47" s="1021">
        <v>3.3500000000000002E-2</v>
      </c>
      <c r="EF47" s="1021">
        <v>3.3500000000000002E-2</v>
      </c>
      <c r="EG47" s="1021">
        <v>3.3500000000000002E-2</v>
      </c>
      <c r="EH47" s="1021">
        <v>3.3500000000000002E-2</v>
      </c>
      <c r="EI47" s="1021">
        <v>3.3500000000000002E-2</v>
      </c>
      <c r="EJ47" s="1021">
        <v>3.3500000000000002E-2</v>
      </c>
      <c r="EK47" s="1021">
        <v>3.3500000000000002E-2</v>
      </c>
      <c r="EL47" s="1021">
        <v>3.3500000000000002E-2</v>
      </c>
      <c r="EM47" s="1021">
        <v>3.3500000000000002E-2</v>
      </c>
      <c r="EN47" s="1021">
        <v>3.3500000000000002E-2</v>
      </c>
      <c r="EO47" s="1021">
        <v>3.3500000000000002E-2</v>
      </c>
      <c r="EP47" s="1021">
        <v>3.3500000000000002E-2</v>
      </c>
      <c r="EQ47" s="1021">
        <v>3.4500000000000003E-2</v>
      </c>
      <c r="ER47" s="1021">
        <v>3.4500000000000003E-2</v>
      </c>
      <c r="ES47" s="1021">
        <v>3.4500000000000003E-2</v>
      </c>
      <c r="ET47" s="1021">
        <v>3.5000000000000003E-2</v>
      </c>
      <c r="EU47" s="1021">
        <v>3.5499999999999997E-2</v>
      </c>
      <c r="EV47" s="1021">
        <v>3.5999999999999997E-2</v>
      </c>
      <c r="EW47" s="1021">
        <v>3.5999999999999997E-2</v>
      </c>
      <c r="EX47" s="1021">
        <v>3.6499999999999998E-2</v>
      </c>
      <c r="EY47" s="1021">
        <v>3.6999999999999998E-2</v>
      </c>
      <c r="EZ47" s="239" t="s">
        <v>306</v>
      </c>
      <c r="FA47" s="235"/>
      <c r="FB47" s="238"/>
      <c r="FC47" s="231"/>
      <c r="FD47" s="235"/>
      <c r="FE47" s="238"/>
      <c r="FF47" s="282"/>
      <c r="FG47" s="231"/>
      <c r="FH47" s="236"/>
      <c r="FI47" s="236"/>
      <c r="FJ47" s="236"/>
      <c r="FK47" s="236"/>
      <c r="FL47" s="235"/>
      <c r="FM47" s="235"/>
      <c r="FN47" s="235"/>
      <c r="FO47" s="235"/>
      <c r="FP47" s="235"/>
      <c r="FQ47" s="235"/>
      <c r="FR47" s="235"/>
      <c r="FS47" s="235"/>
      <c r="FT47" s="235"/>
      <c r="FU47" s="235"/>
      <c r="FV47" s="235"/>
      <c r="FW47" s="235"/>
      <c r="FX47" s="235"/>
      <c r="FY47" s="987">
        <v>2.1000000000000001E-2</v>
      </c>
      <c r="FZ47" s="987">
        <v>3.7999999999999999E-2</v>
      </c>
      <c r="GA47" s="987">
        <v>3.7999999999999999E-2</v>
      </c>
      <c r="GB47" s="987">
        <v>3.7999999999999999E-2</v>
      </c>
      <c r="GC47" s="987">
        <v>3.7999999999999999E-2</v>
      </c>
      <c r="GD47" s="987">
        <v>3.85E-2</v>
      </c>
      <c r="GE47" s="987">
        <v>3.85E-2</v>
      </c>
      <c r="GF47" s="987">
        <v>0.04</v>
      </c>
      <c r="GG47" s="987">
        <v>0.04</v>
      </c>
      <c r="GH47" s="987">
        <v>0.04</v>
      </c>
      <c r="GI47" s="987">
        <v>0.04</v>
      </c>
      <c r="GJ47" s="987">
        <v>3.95E-2</v>
      </c>
      <c r="GK47" s="987">
        <v>3.95E-2</v>
      </c>
      <c r="GL47" s="987">
        <v>3.95E-2</v>
      </c>
      <c r="GM47" s="987">
        <v>3.95E-2</v>
      </c>
      <c r="GN47" s="987">
        <v>3.95E-2</v>
      </c>
      <c r="GO47" s="987">
        <v>3.85E-2</v>
      </c>
      <c r="GP47" s="987">
        <v>3.85E-2</v>
      </c>
      <c r="GQ47" s="987">
        <v>3.3500000000000002E-2</v>
      </c>
      <c r="GR47" s="987">
        <v>3.15E-2</v>
      </c>
      <c r="GS47" s="987">
        <v>3.15E-2</v>
      </c>
      <c r="GT47" s="987">
        <v>0.03</v>
      </c>
      <c r="GU47" s="987">
        <v>0.03</v>
      </c>
      <c r="GV47" s="987">
        <v>2.8500000000000001E-2</v>
      </c>
      <c r="GW47" s="987">
        <v>2.5499999999999998E-2</v>
      </c>
      <c r="GX47" s="987">
        <v>2.5000000000000001E-2</v>
      </c>
      <c r="GY47" s="987">
        <v>2.2499999999999999E-2</v>
      </c>
      <c r="GZ47" s="987">
        <v>2.2499999999999999E-2</v>
      </c>
      <c r="HA47" s="987">
        <v>2.2499999999999999E-2</v>
      </c>
      <c r="HB47" s="987">
        <v>3.7999999999999999E-2</v>
      </c>
      <c r="HC47" s="1021">
        <v>3.6999999999999998E-2</v>
      </c>
      <c r="HD47" s="987">
        <v>3.7499999999999999E-2</v>
      </c>
      <c r="HE47" s="987">
        <v>3.7999999999999999E-2</v>
      </c>
      <c r="HF47" s="941">
        <f>C47-D47</f>
        <v>0</v>
      </c>
    </row>
    <row r="48" spans="1:216">
      <c r="A48" s="961"/>
      <c r="B48" s="921"/>
      <c r="C48" s="921"/>
      <c r="D48" s="921"/>
      <c r="E48" s="921"/>
      <c r="F48" s="921"/>
      <c r="G48" s="921"/>
      <c r="H48" s="921"/>
      <c r="I48" s="921"/>
      <c r="J48" s="921"/>
      <c r="K48" s="921"/>
      <c r="L48" s="921"/>
      <c r="M48" s="921"/>
      <c r="N48" s="921"/>
      <c r="O48" s="921"/>
      <c r="P48" s="921"/>
      <c r="Q48" s="921"/>
      <c r="R48" s="921"/>
      <c r="S48" s="950"/>
      <c r="T48" s="921"/>
      <c r="U48" s="921"/>
      <c r="V48" s="950"/>
      <c r="W48" s="910"/>
      <c r="X48" s="910"/>
      <c r="Y48" s="910"/>
      <c r="Z48" s="968"/>
      <c r="AA48" s="910"/>
      <c r="AB48" s="968"/>
      <c r="AC48" s="968"/>
      <c r="AD48" s="968"/>
      <c r="AE48" s="968"/>
      <c r="AF48" s="968"/>
      <c r="AG48" s="968"/>
      <c r="AH48" s="979"/>
      <c r="AI48" s="979"/>
      <c r="AJ48" s="968"/>
      <c r="AK48" s="968"/>
      <c r="AL48" s="968"/>
      <c r="AM48" s="968"/>
      <c r="AN48" s="968"/>
      <c r="AO48" s="979"/>
      <c r="AP48" s="985"/>
      <c r="AQ48" s="1026"/>
      <c r="AR48" s="985"/>
      <c r="AS48" s="985"/>
      <c r="AT48" s="985"/>
      <c r="AU48" s="1025"/>
      <c r="AV48" s="1025"/>
      <c r="AW48" s="1025"/>
      <c r="AX48" s="1022"/>
      <c r="AY48" s="1022"/>
      <c r="AZ48" s="1022"/>
      <c r="BA48" s="1022"/>
      <c r="BB48" s="1022"/>
      <c r="BC48" s="1022"/>
      <c r="BD48" s="1022"/>
      <c r="BE48" s="1024"/>
      <c r="BF48" s="1022"/>
      <c r="BG48" s="1022"/>
      <c r="BH48" s="1022"/>
      <c r="BI48" s="1022"/>
      <c r="BJ48" s="1022"/>
      <c r="BK48" s="1022"/>
      <c r="BL48" s="1022"/>
      <c r="BM48" s="1022"/>
      <c r="BN48" s="1022"/>
      <c r="BO48" s="1022"/>
      <c r="BP48" s="1022"/>
      <c r="BQ48" s="1022"/>
      <c r="BR48" s="1022"/>
      <c r="BS48" s="1022"/>
      <c r="BT48" s="1022"/>
      <c r="BU48" s="1022"/>
      <c r="BV48" s="1022"/>
      <c r="BW48" s="1022"/>
      <c r="BX48" s="1022"/>
      <c r="BY48" s="1022"/>
      <c r="BZ48" s="1022"/>
      <c r="CA48" s="1022"/>
      <c r="CB48" s="1022"/>
      <c r="CC48" s="1022"/>
      <c r="CD48" s="1022"/>
      <c r="CE48" s="1022"/>
      <c r="CF48" s="1022"/>
      <c r="CG48" s="1022"/>
      <c r="CH48" s="1022"/>
      <c r="CI48" s="1022"/>
      <c r="CJ48" s="1022"/>
      <c r="CK48" s="1022"/>
      <c r="CL48" s="1022"/>
      <c r="CM48" s="1022"/>
      <c r="CN48" s="1022"/>
      <c r="CO48" s="1022"/>
      <c r="CP48" s="1022"/>
      <c r="CQ48" s="1022"/>
      <c r="CR48" s="1022"/>
      <c r="CS48" s="1022"/>
      <c r="CT48" s="1022"/>
      <c r="CU48" s="1022"/>
      <c r="CV48" s="1022"/>
      <c r="CW48" s="1022"/>
      <c r="CX48" s="1022"/>
      <c r="CY48" s="1022"/>
      <c r="CZ48" s="1022"/>
      <c r="DA48" s="1022"/>
      <c r="DB48" s="1022"/>
      <c r="DC48" s="1022"/>
      <c r="DD48" s="1022"/>
      <c r="DE48" s="1022"/>
      <c r="DF48" s="1022"/>
      <c r="DG48" s="1022"/>
      <c r="DH48" s="1022"/>
      <c r="DI48" s="1022"/>
      <c r="DJ48" s="1022"/>
      <c r="DK48" s="1022"/>
      <c r="DL48" s="1022"/>
      <c r="DM48" s="1022"/>
      <c r="DN48" s="1022"/>
      <c r="DO48" s="1022"/>
      <c r="DP48" s="1022"/>
      <c r="DQ48" s="1022"/>
      <c r="DR48" s="1022"/>
      <c r="DS48" s="1022"/>
      <c r="DT48" s="1022"/>
      <c r="DU48" s="1022"/>
      <c r="DV48" s="1022"/>
      <c r="DW48" s="1022"/>
      <c r="DX48" s="1022"/>
      <c r="DY48" s="1022"/>
      <c r="DZ48" s="1022"/>
      <c r="EA48" s="1022"/>
      <c r="EB48" s="1022"/>
      <c r="EC48" s="1022"/>
      <c r="ED48" s="1022"/>
      <c r="EE48" s="1022"/>
      <c r="EF48" s="1022"/>
      <c r="EG48" s="1022"/>
      <c r="EH48" s="1022"/>
      <c r="EI48" s="1022"/>
      <c r="EJ48" s="1022"/>
      <c r="EK48" s="1022"/>
      <c r="EL48" s="1022"/>
      <c r="EM48" s="1022"/>
      <c r="EN48" s="1022"/>
      <c r="EO48" s="1022"/>
      <c r="EP48" s="1022"/>
      <c r="EQ48" s="1022"/>
      <c r="ER48" s="1022"/>
      <c r="ES48" s="1022"/>
      <c r="ET48" s="1022"/>
      <c r="EU48" s="1022"/>
      <c r="EV48" s="1022"/>
      <c r="EW48" s="1022"/>
      <c r="EX48" s="1022"/>
      <c r="EY48" s="1022"/>
      <c r="EZ48" s="239" t="s">
        <v>323</v>
      </c>
      <c r="FA48" s="235">
        <v>2.1000000000000001E-2</v>
      </c>
      <c r="FB48" s="238">
        <v>2.1000000000000001E-2</v>
      </c>
      <c r="FC48" s="231" t="s">
        <v>261</v>
      </c>
      <c r="FD48" s="236">
        <v>8.9999999999999993E-3</v>
      </c>
      <c r="FE48" s="238">
        <v>8.9999999999999993E-3</v>
      </c>
      <c r="FF48" s="237" t="s">
        <v>322</v>
      </c>
      <c r="FG48" s="231" t="s">
        <v>321</v>
      </c>
      <c r="FH48" s="236">
        <v>5.4999999999999997E-3</v>
      </c>
      <c r="FI48" s="236">
        <v>5.4999999999999997E-3</v>
      </c>
      <c r="FJ48" s="236">
        <v>8.9999999999999993E-3</v>
      </c>
      <c r="FK48" s="236">
        <v>5.4999999999999997E-3</v>
      </c>
      <c r="FL48" s="236">
        <v>8.9999999999999993E-3</v>
      </c>
      <c r="FM48" s="236">
        <v>8.9999999999999993E-3</v>
      </c>
      <c r="FN48" s="235">
        <v>8.9999999999999993E-3</v>
      </c>
      <c r="FO48" s="235">
        <v>8.9999999999999993E-3</v>
      </c>
      <c r="FP48" s="235">
        <v>1.2E-2</v>
      </c>
      <c r="FQ48" s="235">
        <v>1.2999999999999999E-2</v>
      </c>
      <c r="FR48" s="235">
        <v>1.2999999999999999E-2</v>
      </c>
      <c r="FS48" s="235">
        <v>1.2999999999999999E-2</v>
      </c>
      <c r="FT48" s="235">
        <v>1.2999999999999999E-2</v>
      </c>
      <c r="FU48" s="235">
        <v>1.7000000000000001E-2</v>
      </c>
      <c r="FV48" s="235">
        <v>1.7000000000000001E-2</v>
      </c>
      <c r="FW48" s="235">
        <v>1.9E-2</v>
      </c>
      <c r="FX48" s="235">
        <v>1.9E-2</v>
      </c>
      <c r="FY48" s="988"/>
      <c r="FZ48" s="988"/>
      <c r="GA48" s="988"/>
      <c r="GB48" s="988"/>
      <c r="GC48" s="988"/>
      <c r="GD48" s="988"/>
      <c r="GE48" s="988"/>
      <c r="GF48" s="988"/>
      <c r="GG48" s="988"/>
      <c r="GH48" s="988"/>
      <c r="GI48" s="988"/>
      <c r="GJ48" s="988"/>
      <c r="GK48" s="988"/>
      <c r="GL48" s="988"/>
      <c r="GM48" s="988"/>
      <c r="GN48" s="988"/>
      <c r="GO48" s="988"/>
      <c r="GP48" s="988"/>
      <c r="GQ48" s="988"/>
      <c r="GR48" s="988"/>
      <c r="GS48" s="988"/>
      <c r="GT48" s="988"/>
      <c r="GU48" s="988"/>
      <c r="GV48" s="988"/>
      <c r="GW48" s="988"/>
      <c r="GX48" s="988"/>
      <c r="GY48" s="988"/>
      <c r="GZ48" s="988"/>
      <c r="HA48" s="988"/>
      <c r="HB48" s="988"/>
      <c r="HC48" s="1022"/>
      <c r="HD48" s="988"/>
      <c r="HE48" s="988"/>
      <c r="HF48" s="942">
        <f>W48-AT48</f>
        <v>0</v>
      </c>
    </row>
    <row r="49" spans="1:216" ht="15" customHeight="1">
      <c r="A49" s="959" t="s">
        <v>42</v>
      </c>
      <c r="B49" s="280" t="s">
        <v>784</v>
      </c>
      <c r="C49" s="920">
        <v>1.2E-2</v>
      </c>
      <c r="D49" s="920">
        <v>1.2E-2</v>
      </c>
      <c r="E49" s="920">
        <v>1.2E-2</v>
      </c>
      <c r="F49" s="920">
        <v>1.2E-2</v>
      </c>
      <c r="G49" s="920">
        <v>1.2E-2</v>
      </c>
      <c r="H49" s="963">
        <v>1.2E-2</v>
      </c>
      <c r="I49" s="920">
        <v>1.4500000000000001E-2</v>
      </c>
      <c r="J49" s="920">
        <v>1.4500000000000001E-2</v>
      </c>
      <c r="K49" s="920">
        <v>1.4500000000000001E-2</v>
      </c>
      <c r="L49" s="920">
        <v>1.4500000000000001E-2</v>
      </c>
      <c r="M49" s="920">
        <v>1.4500000000000001E-2</v>
      </c>
      <c r="N49" s="920">
        <v>1.4500000000000001E-2</v>
      </c>
      <c r="O49" s="963">
        <v>1.4500000000000001E-2</v>
      </c>
      <c r="P49" s="920">
        <v>1.2500000000000001E-2</v>
      </c>
      <c r="Q49" s="963">
        <v>1.2500000000000001E-2</v>
      </c>
      <c r="R49" s="920">
        <v>1.0999999999999999E-2</v>
      </c>
      <c r="S49" s="963">
        <v>1.0999999999999999E-2</v>
      </c>
      <c r="T49" s="920">
        <v>1.2E-2</v>
      </c>
      <c r="U49" s="920">
        <v>1.2E-2</v>
      </c>
      <c r="V49" s="963">
        <v>1.2E-2</v>
      </c>
      <c r="W49" s="909">
        <v>1.2999999999999999E-2</v>
      </c>
      <c r="X49" s="909">
        <v>1.2999999999999999E-2</v>
      </c>
      <c r="Y49" s="909">
        <v>1.2999999999999999E-2</v>
      </c>
      <c r="Z49" s="909">
        <v>1.2999999999999999E-2</v>
      </c>
      <c r="AA49" s="967">
        <v>1.2999999999999999E-2</v>
      </c>
      <c r="AB49" s="909">
        <v>1.0999999999999999E-2</v>
      </c>
      <c r="AC49" s="909">
        <v>1.0999999999999999E-2</v>
      </c>
      <c r="AD49" s="909">
        <v>1.0999999999999999E-2</v>
      </c>
      <c r="AE49" s="909">
        <v>1.0999999999999999E-2</v>
      </c>
      <c r="AF49" s="978">
        <v>1.0999999999999999E-2</v>
      </c>
      <c r="AG49" s="978">
        <v>1.0999999999999999E-2</v>
      </c>
      <c r="AH49" s="978">
        <v>1.0999999999999999E-2</v>
      </c>
      <c r="AI49" s="967">
        <v>1.2E-2</v>
      </c>
      <c r="AJ49" s="967">
        <v>1.4999999999999999E-2</v>
      </c>
      <c r="AK49" s="978">
        <v>1.6E-2</v>
      </c>
      <c r="AL49" s="967">
        <v>1.6E-2</v>
      </c>
      <c r="AM49" s="978">
        <v>1.7999999999999999E-2</v>
      </c>
      <c r="AN49" s="967">
        <v>1.7999999999999999E-2</v>
      </c>
      <c r="AO49" s="978">
        <v>2.1999999999999999E-2</v>
      </c>
      <c r="AP49" s="1012">
        <v>2.1999999999999999E-2</v>
      </c>
      <c r="AQ49" s="984">
        <v>2.1999999999999999E-2</v>
      </c>
      <c r="AR49" s="1012">
        <v>2.1000000000000001E-2</v>
      </c>
      <c r="AS49" s="1012">
        <v>2.1000000000000001E-2</v>
      </c>
      <c r="AT49" s="1031">
        <v>2.1000000000000001E-2</v>
      </c>
      <c r="AU49" s="1031">
        <v>2.1000000000000001E-2</v>
      </c>
      <c r="AV49" s="940">
        <v>2.1000000000000001E-2</v>
      </c>
      <c r="AW49" s="1031">
        <v>2.3E-2</v>
      </c>
      <c r="AX49" s="1031">
        <v>2.3E-2</v>
      </c>
      <c r="AY49" s="1031">
        <v>2.3E-2</v>
      </c>
      <c r="AZ49" s="1031">
        <v>2.3E-2</v>
      </c>
      <c r="BA49" s="1031">
        <v>2.3E-2</v>
      </c>
      <c r="BB49" s="1031">
        <v>2.5000000000000001E-2</v>
      </c>
      <c r="BC49" s="1031">
        <v>2.5000000000000001E-2</v>
      </c>
      <c r="BD49" s="1031">
        <v>2.5000000000000001E-2</v>
      </c>
      <c r="BE49" s="1031">
        <v>2.8000000000000001E-2</v>
      </c>
      <c r="BF49" s="1031">
        <v>2.8000000000000001E-2</v>
      </c>
      <c r="BG49" s="940">
        <v>2.8000000000000001E-2</v>
      </c>
      <c r="BH49" s="1031">
        <v>2.6800000000000001E-2</v>
      </c>
      <c r="BI49" s="1031">
        <v>2.6800000000000001E-2</v>
      </c>
      <c r="BJ49" s="1031">
        <v>2.6800000000000001E-2</v>
      </c>
      <c r="BK49" s="1031">
        <v>2.6800000000000001E-2</v>
      </c>
      <c r="BL49" s="940">
        <v>2.6800000000000001E-2</v>
      </c>
      <c r="BM49" s="1031">
        <v>0.03</v>
      </c>
      <c r="BN49" s="1031">
        <v>0.03</v>
      </c>
      <c r="BO49" s="1031">
        <v>0.03</v>
      </c>
      <c r="BP49" s="1031">
        <v>0.03</v>
      </c>
      <c r="BQ49" s="1031">
        <v>0.03</v>
      </c>
      <c r="BR49" s="940">
        <v>0.03</v>
      </c>
      <c r="BS49" s="1031">
        <v>2.9000000000000001E-2</v>
      </c>
      <c r="BT49" s="1031">
        <v>2.9000000000000001E-2</v>
      </c>
      <c r="BU49" s="1031">
        <v>2.8500000000000001E-2</v>
      </c>
      <c r="BV49" s="1031">
        <v>2.8500000000000001E-2</v>
      </c>
      <c r="BW49" s="1031">
        <v>2.8500000000000001E-2</v>
      </c>
      <c r="BX49" s="1031">
        <v>2.8500000000000001E-2</v>
      </c>
      <c r="BY49" s="1031">
        <v>2.8500000000000001E-2</v>
      </c>
      <c r="BZ49" s="1031">
        <v>2.6499999999999999E-2</v>
      </c>
      <c r="CA49" s="1031">
        <v>2.6499999999999999E-2</v>
      </c>
      <c r="CB49" s="1031">
        <v>2.6499999999999999E-2</v>
      </c>
      <c r="CC49" s="1031">
        <v>0.03</v>
      </c>
      <c r="CD49" s="1031">
        <v>0.03</v>
      </c>
      <c r="CE49" s="1040">
        <v>3.15E-2</v>
      </c>
      <c r="CF49" s="1040">
        <v>3.15E-2</v>
      </c>
      <c r="CG49" s="1040">
        <v>3.3000000000000002E-2</v>
      </c>
      <c r="CH49" s="1040">
        <v>3.3000000000000002E-2</v>
      </c>
      <c r="CI49" s="1040">
        <v>3.4000000000000002E-2</v>
      </c>
      <c r="CJ49" s="1040">
        <v>3.4000000000000002E-2</v>
      </c>
      <c r="CK49" s="1040">
        <v>3.4000000000000002E-2</v>
      </c>
      <c r="CL49" s="1040">
        <v>3.4000000000000002E-2</v>
      </c>
      <c r="CM49" s="1040">
        <v>3.4000000000000002E-2</v>
      </c>
      <c r="CN49" s="1040">
        <v>3.3000000000000002E-2</v>
      </c>
      <c r="CO49" s="1040">
        <v>3.3000000000000002E-2</v>
      </c>
      <c r="CP49" s="1040">
        <v>3.3000000000000002E-2</v>
      </c>
      <c r="CQ49" s="1040">
        <v>3.3000000000000002E-2</v>
      </c>
      <c r="CR49" s="1040">
        <v>3.3000000000000002E-2</v>
      </c>
      <c r="CS49" s="1040">
        <v>3.3000000000000002E-2</v>
      </c>
      <c r="CT49" s="1040">
        <v>3.3000000000000002E-2</v>
      </c>
      <c r="CU49" s="1040">
        <v>3.3000000000000002E-2</v>
      </c>
      <c r="CV49" s="1040">
        <v>3.3000000000000002E-2</v>
      </c>
      <c r="CW49" s="1040">
        <v>3.3000000000000002E-2</v>
      </c>
      <c r="CX49" s="1040">
        <v>3.2000000000000001E-2</v>
      </c>
      <c r="CY49" s="1040">
        <v>3.2000000000000001E-2</v>
      </c>
      <c r="CZ49" s="1040">
        <v>3.2000000000000001E-2</v>
      </c>
      <c r="DA49" s="1040">
        <v>3.2000000000000001E-2</v>
      </c>
      <c r="DB49" s="1040">
        <v>3.2000000000000001E-2</v>
      </c>
      <c r="DC49" s="1040">
        <v>3.2000000000000001E-2</v>
      </c>
      <c r="DD49" s="1040">
        <v>3.2000000000000001E-2</v>
      </c>
      <c r="DE49" s="1040">
        <v>3.3000000000000002E-2</v>
      </c>
      <c r="DF49" s="1040">
        <v>3.3000000000000002E-2</v>
      </c>
      <c r="DG49" s="1040">
        <v>3.3000000000000002E-2</v>
      </c>
      <c r="DH49" s="1040">
        <v>3.3000000000000002E-2</v>
      </c>
      <c r="DI49" s="1040">
        <v>3.3000000000000002E-2</v>
      </c>
      <c r="DJ49" s="1040">
        <v>3.3000000000000002E-2</v>
      </c>
      <c r="DK49" s="1040">
        <v>3.3000000000000002E-2</v>
      </c>
      <c r="DL49" s="1040">
        <v>3.4500000000000003E-2</v>
      </c>
      <c r="DM49" s="1040">
        <v>3.4500000000000003E-2</v>
      </c>
      <c r="DN49" s="1040">
        <v>3.4500000000000003E-2</v>
      </c>
      <c r="DO49" s="1040">
        <v>3.4500000000000003E-2</v>
      </c>
      <c r="DP49" s="1040">
        <v>3.6799999999999999E-2</v>
      </c>
      <c r="DQ49" s="1040">
        <v>3.6799999999999999E-2</v>
      </c>
      <c r="DR49" s="1040">
        <v>3.6799999999999999E-2</v>
      </c>
      <c r="DS49" s="1040">
        <v>3.6799999999999999E-2</v>
      </c>
      <c r="DT49" s="1040">
        <v>3.6799999999999999E-2</v>
      </c>
      <c r="DU49" s="1040">
        <v>3.6799999999999999E-2</v>
      </c>
      <c r="DV49" s="1040">
        <v>3.6799999999999999E-2</v>
      </c>
      <c r="DW49" s="1040">
        <v>3.6799999999999999E-2</v>
      </c>
      <c r="DX49" s="1040">
        <v>3.6799999999999999E-2</v>
      </c>
      <c r="DY49" s="1040">
        <v>3.6799999999999999E-2</v>
      </c>
      <c r="DZ49" s="1040">
        <v>3.6799999999999999E-2</v>
      </c>
      <c r="EA49" s="1040">
        <v>3.6799999999999999E-2</v>
      </c>
      <c r="EB49" s="1040">
        <v>3.6799999999999999E-2</v>
      </c>
      <c r="EC49" s="1040">
        <v>3.4500000000000003E-2</v>
      </c>
      <c r="ED49" s="1040">
        <v>3.4500000000000003E-2</v>
      </c>
      <c r="EE49" s="1040">
        <v>3.4500000000000003E-2</v>
      </c>
      <c r="EF49" s="1040">
        <v>3.4500000000000003E-2</v>
      </c>
      <c r="EG49" s="1040">
        <v>3.4500000000000003E-2</v>
      </c>
      <c r="EH49" s="1040">
        <v>3.4500000000000003E-2</v>
      </c>
      <c r="EI49" s="1040">
        <v>3.4500000000000003E-2</v>
      </c>
      <c r="EJ49" s="1040">
        <v>3.4500000000000003E-2</v>
      </c>
      <c r="EK49" s="1040">
        <v>3.4500000000000003E-2</v>
      </c>
      <c r="EL49" s="1040">
        <v>3.4500000000000003E-2</v>
      </c>
      <c r="EM49" s="1040">
        <v>3.5499999999999997E-2</v>
      </c>
      <c r="EN49" s="1040">
        <v>3.5499999999999997E-2</v>
      </c>
      <c r="EO49" s="1040">
        <v>3.5499999999999997E-2</v>
      </c>
      <c r="EP49" s="1040">
        <v>3.5499999999999997E-2</v>
      </c>
      <c r="EQ49" s="1040">
        <v>3.5499999999999997E-2</v>
      </c>
      <c r="ER49" s="1040">
        <v>3.5499999999999997E-2</v>
      </c>
      <c r="ES49" s="1040">
        <v>3.5499999999999997E-2</v>
      </c>
      <c r="ET49" s="1040">
        <v>3.5499999999999997E-2</v>
      </c>
      <c r="EU49" s="1040">
        <v>3.5499999999999997E-2</v>
      </c>
      <c r="EV49" s="1040">
        <v>3.5499999999999997E-2</v>
      </c>
      <c r="EW49" s="1040">
        <v>4.1000000000000002E-2</v>
      </c>
      <c r="EX49" s="1040">
        <v>4.1000000000000002E-2</v>
      </c>
      <c r="EY49" s="1040">
        <v>3.5999999999999997E-2</v>
      </c>
      <c r="EZ49" s="952" t="s">
        <v>330</v>
      </c>
      <c r="FA49" s="1040">
        <v>1.9E-2</v>
      </c>
      <c r="FB49" s="254" t="s">
        <v>464</v>
      </c>
      <c r="FC49" s="952" t="s">
        <v>330</v>
      </c>
      <c r="FD49" s="317"/>
      <c r="FE49" s="318"/>
      <c r="FF49" s="237"/>
      <c r="FG49" s="231"/>
      <c r="FH49" s="236"/>
      <c r="FI49" s="236"/>
      <c r="FJ49" s="236"/>
      <c r="FK49" s="236"/>
      <c r="FL49" s="317"/>
      <c r="FM49" s="317"/>
      <c r="FN49" s="316"/>
      <c r="FO49" s="316"/>
      <c r="FP49" s="316"/>
      <c r="FQ49" s="315"/>
      <c r="FR49" s="316"/>
      <c r="FS49" s="315"/>
      <c r="FT49" s="315"/>
      <c r="FU49" s="1049" t="s">
        <v>124</v>
      </c>
      <c r="FV49" s="315"/>
      <c r="FW49" s="1040">
        <v>1.9E-2</v>
      </c>
      <c r="FX49" s="1040">
        <v>1.9E-2</v>
      </c>
      <c r="FY49" s="1040">
        <v>1.9E-2</v>
      </c>
      <c r="FZ49" s="1040">
        <v>3.5999999999999997E-2</v>
      </c>
      <c r="GA49" s="1040">
        <v>3.5999999999999997E-2</v>
      </c>
      <c r="GB49" s="1040">
        <v>3.5999999999999997E-2</v>
      </c>
      <c r="GC49" s="1040">
        <v>3.5999999999999997E-2</v>
      </c>
      <c r="GD49" s="1040">
        <v>3.8800000000000001E-2</v>
      </c>
      <c r="GE49" s="1040">
        <v>3.8800000000000001E-2</v>
      </c>
      <c r="GF49" s="1040">
        <v>3.8800000000000001E-2</v>
      </c>
      <c r="GG49" s="1040">
        <v>3.8800000000000001E-2</v>
      </c>
      <c r="GH49" s="1040">
        <v>3.8800000000000001E-2</v>
      </c>
      <c r="GI49" s="1040">
        <v>3.8800000000000001E-2</v>
      </c>
      <c r="GJ49" s="1040">
        <v>3.1E-2</v>
      </c>
      <c r="GK49" s="1040">
        <v>3.1E-2</v>
      </c>
      <c r="GL49" s="1040">
        <v>3.1E-2</v>
      </c>
      <c r="GM49" s="1040">
        <v>3.1E-2</v>
      </c>
      <c r="GN49" s="1040">
        <v>3.1E-2</v>
      </c>
      <c r="GO49" s="1040">
        <v>3.1E-2</v>
      </c>
      <c r="GP49" s="1040">
        <v>3.1E-2</v>
      </c>
      <c r="GQ49" s="1040">
        <v>3.1E-2</v>
      </c>
      <c r="GR49" s="1040">
        <v>3.1E-2</v>
      </c>
      <c r="GS49" s="1040">
        <v>3.1E-2</v>
      </c>
      <c r="GT49" s="1040">
        <v>3.1E-2</v>
      </c>
      <c r="GU49" s="1040">
        <v>3.1E-2</v>
      </c>
      <c r="GV49" s="1040">
        <v>3.1E-2</v>
      </c>
      <c r="GW49" s="1040">
        <v>2.4E-2</v>
      </c>
      <c r="GX49" s="1040">
        <v>1.9E-2</v>
      </c>
      <c r="GY49" s="1040">
        <v>1.9E-2</v>
      </c>
      <c r="GZ49" s="1040">
        <v>1.9E-2</v>
      </c>
      <c r="HA49" s="1040">
        <v>1.9E-2</v>
      </c>
      <c r="HB49" s="1040">
        <v>3.5999999999999997E-2</v>
      </c>
      <c r="HC49" s="1040">
        <v>3.5999999999999997E-2</v>
      </c>
      <c r="HD49" s="1040">
        <v>3.5999999999999997E-2</v>
      </c>
      <c r="HE49" s="1040">
        <v>3.5999999999999997E-2</v>
      </c>
      <c r="HF49" s="941">
        <f>C49-D49</f>
        <v>0</v>
      </c>
    </row>
    <row r="50" spans="1:216" ht="15" customHeight="1">
      <c r="A50" s="961"/>
      <c r="B50" s="280" t="s">
        <v>785</v>
      </c>
      <c r="C50" s="921"/>
      <c r="D50" s="921"/>
      <c r="E50" s="921"/>
      <c r="F50" s="921"/>
      <c r="G50" s="921"/>
      <c r="H50" s="950"/>
      <c r="I50" s="921"/>
      <c r="J50" s="921"/>
      <c r="K50" s="921"/>
      <c r="L50" s="921"/>
      <c r="M50" s="921"/>
      <c r="N50" s="921"/>
      <c r="O50" s="950"/>
      <c r="P50" s="921"/>
      <c r="Q50" s="950"/>
      <c r="R50" s="921"/>
      <c r="S50" s="950"/>
      <c r="T50" s="921"/>
      <c r="U50" s="921"/>
      <c r="V50" s="950"/>
      <c r="W50" s="910"/>
      <c r="X50" s="910"/>
      <c r="Y50" s="910"/>
      <c r="Z50" s="910"/>
      <c r="AA50" s="968"/>
      <c r="AB50" s="910"/>
      <c r="AC50" s="910"/>
      <c r="AD50" s="910"/>
      <c r="AE50" s="910"/>
      <c r="AF50" s="979"/>
      <c r="AG50" s="979"/>
      <c r="AH50" s="979"/>
      <c r="AI50" s="968"/>
      <c r="AJ50" s="968"/>
      <c r="AK50" s="979"/>
      <c r="AL50" s="968"/>
      <c r="AM50" s="979"/>
      <c r="AN50" s="968"/>
      <c r="AO50" s="979"/>
      <c r="AP50" s="1026"/>
      <c r="AQ50" s="985"/>
      <c r="AR50" s="1026"/>
      <c r="AS50" s="1026"/>
      <c r="AT50" s="939"/>
      <c r="AU50" s="939"/>
      <c r="AV50" s="936"/>
      <c r="AW50" s="939"/>
      <c r="AX50" s="939"/>
      <c r="AY50" s="939"/>
      <c r="AZ50" s="939"/>
      <c r="BA50" s="939"/>
      <c r="BB50" s="939"/>
      <c r="BC50" s="939"/>
      <c r="BD50" s="939"/>
      <c r="BE50" s="939"/>
      <c r="BF50" s="939"/>
      <c r="BG50" s="936"/>
      <c r="BH50" s="939"/>
      <c r="BI50" s="939"/>
      <c r="BJ50" s="939"/>
      <c r="BK50" s="939"/>
      <c r="BL50" s="936"/>
      <c r="BM50" s="939"/>
      <c r="BN50" s="939"/>
      <c r="BO50" s="939"/>
      <c r="BP50" s="939"/>
      <c r="BQ50" s="939"/>
      <c r="BR50" s="936"/>
      <c r="BS50" s="939"/>
      <c r="BT50" s="939"/>
      <c r="BU50" s="939"/>
      <c r="BV50" s="939"/>
      <c r="BW50" s="939"/>
      <c r="BX50" s="939"/>
      <c r="BY50" s="939"/>
      <c r="BZ50" s="939"/>
      <c r="CA50" s="939"/>
      <c r="CB50" s="939"/>
      <c r="CC50" s="939"/>
      <c r="CD50" s="939"/>
      <c r="CE50" s="1040"/>
      <c r="CF50" s="1040"/>
      <c r="CG50" s="1040"/>
      <c r="CH50" s="1040"/>
      <c r="CI50" s="1040"/>
      <c r="CJ50" s="1040"/>
      <c r="CK50" s="1040"/>
      <c r="CL50" s="1040"/>
      <c r="CM50" s="1040"/>
      <c r="CN50" s="1040"/>
      <c r="CO50" s="1040"/>
      <c r="CP50" s="1040"/>
      <c r="CQ50" s="1040"/>
      <c r="CR50" s="1040"/>
      <c r="CS50" s="1040"/>
      <c r="CT50" s="1040"/>
      <c r="CU50" s="1040"/>
      <c r="CV50" s="1040"/>
      <c r="CW50" s="1040"/>
      <c r="CX50" s="1040"/>
      <c r="CY50" s="1040"/>
      <c r="CZ50" s="1040"/>
      <c r="DA50" s="1040"/>
      <c r="DB50" s="1040"/>
      <c r="DC50" s="1040"/>
      <c r="DD50" s="1040"/>
      <c r="DE50" s="1040"/>
      <c r="DF50" s="1040"/>
      <c r="DG50" s="1040"/>
      <c r="DH50" s="1040"/>
      <c r="DI50" s="1040"/>
      <c r="DJ50" s="1040"/>
      <c r="DK50" s="1040"/>
      <c r="DL50" s="1040"/>
      <c r="DM50" s="1040"/>
      <c r="DN50" s="1040"/>
      <c r="DO50" s="1040"/>
      <c r="DP50" s="1040"/>
      <c r="DQ50" s="1040"/>
      <c r="DR50" s="1040"/>
      <c r="DS50" s="1040"/>
      <c r="DT50" s="1040"/>
      <c r="DU50" s="1040"/>
      <c r="DV50" s="1040"/>
      <c r="DW50" s="1040"/>
      <c r="DX50" s="1040"/>
      <c r="DY50" s="1040"/>
      <c r="DZ50" s="1040"/>
      <c r="EA50" s="1040"/>
      <c r="EB50" s="1040"/>
      <c r="EC50" s="1040"/>
      <c r="ED50" s="1040"/>
      <c r="EE50" s="1040"/>
      <c r="EF50" s="1040"/>
      <c r="EG50" s="1040"/>
      <c r="EH50" s="1040"/>
      <c r="EI50" s="1040"/>
      <c r="EJ50" s="1040"/>
      <c r="EK50" s="1040"/>
      <c r="EL50" s="1040"/>
      <c r="EM50" s="1040"/>
      <c r="EN50" s="1040"/>
      <c r="EO50" s="1040"/>
      <c r="EP50" s="1040"/>
      <c r="EQ50" s="1040"/>
      <c r="ER50" s="1040"/>
      <c r="ES50" s="1040"/>
      <c r="ET50" s="1040"/>
      <c r="EU50" s="1040"/>
      <c r="EV50" s="1040"/>
      <c r="EW50" s="1040"/>
      <c r="EX50" s="1040"/>
      <c r="EY50" s="1040"/>
      <c r="EZ50" s="952"/>
      <c r="FA50" s="1040"/>
      <c r="FB50" s="254"/>
      <c r="FC50" s="952"/>
      <c r="FD50" s="317"/>
      <c r="FE50" s="318"/>
      <c r="FF50" s="237"/>
      <c r="FG50" s="231"/>
      <c r="FH50" s="236"/>
      <c r="FI50" s="236"/>
      <c r="FJ50" s="236"/>
      <c r="FK50" s="236"/>
      <c r="FL50" s="317"/>
      <c r="FM50" s="317"/>
      <c r="FN50" s="316"/>
      <c r="FO50" s="316"/>
      <c r="FP50" s="316"/>
      <c r="FQ50" s="315"/>
      <c r="FR50" s="316"/>
      <c r="FS50" s="315"/>
      <c r="FT50" s="315"/>
      <c r="FU50" s="1049"/>
      <c r="FV50" s="315"/>
      <c r="FW50" s="1040"/>
      <c r="FX50" s="1040"/>
      <c r="FY50" s="1040"/>
      <c r="FZ50" s="1040"/>
      <c r="GA50" s="1040"/>
      <c r="GB50" s="1040"/>
      <c r="GC50" s="1040"/>
      <c r="GD50" s="1040"/>
      <c r="GE50" s="1040"/>
      <c r="GF50" s="1040"/>
      <c r="GG50" s="1040"/>
      <c r="GH50" s="1040"/>
      <c r="GI50" s="1040"/>
      <c r="GJ50" s="1040"/>
      <c r="GK50" s="1040"/>
      <c r="GL50" s="1040"/>
      <c r="GM50" s="1040"/>
      <c r="GN50" s="1040"/>
      <c r="GO50" s="1040"/>
      <c r="GP50" s="1040"/>
      <c r="GQ50" s="1040"/>
      <c r="GR50" s="1040"/>
      <c r="GS50" s="1040"/>
      <c r="GT50" s="1040"/>
      <c r="GU50" s="1040"/>
      <c r="GV50" s="1040"/>
      <c r="GW50" s="1040"/>
      <c r="GX50" s="1040"/>
      <c r="GY50" s="1040"/>
      <c r="GZ50" s="1040"/>
      <c r="HA50" s="1040"/>
      <c r="HB50" s="1040"/>
      <c r="HC50" s="1040"/>
      <c r="HD50" s="1040"/>
      <c r="HE50" s="1040"/>
      <c r="HF50" s="942">
        <f>W50-AT50</f>
        <v>0</v>
      </c>
      <c r="HG50" s="218" t="s">
        <v>390</v>
      </c>
      <c r="HH50" s="747" t="s">
        <v>766</v>
      </c>
    </row>
    <row r="51" spans="1:216" ht="15" customHeight="1">
      <c r="A51" s="1060" t="s">
        <v>20</v>
      </c>
      <c r="B51" s="280" t="s">
        <v>671</v>
      </c>
      <c r="C51" s="920">
        <v>1.2999999999999999E-2</v>
      </c>
      <c r="D51" s="920">
        <v>1.2999999999999999E-2</v>
      </c>
      <c r="E51" s="920">
        <v>1.2999999999999999E-2</v>
      </c>
      <c r="F51" s="920">
        <v>1.2999999999999999E-2</v>
      </c>
      <c r="G51" s="920">
        <v>1.2999999999999999E-2</v>
      </c>
      <c r="H51" s="920">
        <v>1.2999999999999999E-2</v>
      </c>
      <c r="I51" s="920">
        <v>1.2999999999999999E-2</v>
      </c>
      <c r="J51" s="920">
        <v>1.2999999999999999E-2</v>
      </c>
      <c r="K51" s="920">
        <v>1.2999999999999999E-2</v>
      </c>
      <c r="L51" s="920">
        <v>1.2999999999999999E-2</v>
      </c>
      <c r="M51" s="920">
        <v>1.2999999999999999E-2</v>
      </c>
      <c r="N51" s="920">
        <v>1.2999999999999999E-2</v>
      </c>
      <c r="O51" s="963">
        <v>1.2999999999999999E-2</v>
      </c>
      <c r="P51" s="920">
        <v>1.2500000000000001E-2</v>
      </c>
      <c r="Q51" s="920">
        <v>1.2500000000000001E-2</v>
      </c>
      <c r="R51" s="920">
        <v>1.2500000000000001E-2</v>
      </c>
      <c r="S51" s="920">
        <v>1.2E-2</v>
      </c>
      <c r="T51" s="920">
        <v>1.2E-2</v>
      </c>
      <c r="U51" s="920">
        <v>1.2E-2</v>
      </c>
      <c r="V51" s="963">
        <v>1.2E-2</v>
      </c>
      <c r="W51" s="909">
        <v>1.2500000000000001E-2</v>
      </c>
      <c r="X51" s="909">
        <v>1.2500000000000001E-2</v>
      </c>
      <c r="Y51" s="909">
        <v>1.2500000000000001E-2</v>
      </c>
      <c r="Z51" s="909">
        <v>1.2500000000000001E-2</v>
      </c>
      <c r="AA51" s="967">
        <v>1.2500000000000001E-2</v>
      </c>
      <c r="AB51" s="909">
        <v>1.2999999999999999E-2</v>
      </c>
      <c r="AC51" s="909">
        <v>1.2999999999999999E-2</v>
      </c>
      <c r="AD51" s="967">
        <v>1.2999999999999999E-2</v>
      </c>
      <c r="AE51" s="967">
        <v>1.4E-2</v>
      </c>
      <c r="AF51" s="967">
        <v>1.4500000000000001E-2</v>
      </c>
      <c r="AG51" s="978">
        <v>1.55E-2</v>
      </c>
      <c r="AH51" s="909">
        <v>1.55E-2</v>
      </c>
      <c r="AI51" s="967">
        <v>1.55E-2</v>
      </c>
      <c r="AJ51" s="909">
        <v>1.55E-2</v>
      </c>
      <c r="AK51" s="978">
        <v>1.55E-2</v>
      </c>
      <c r="AL51" s="967">
        <v>1.55E-2</v>
      </c>
      <c r="AM51" s="967">
        <v>1.6500000000000001E-2</v>
      </c>
      <c r="AN51" s="967">
        <v>1.7500000000000002E-2</v>
      </c>
      <c r="AO51" s="967">
        <v>1.9E-2</v>
      </c>
      <c r="AP51" s="984">
        <v>0.02</v>
      </c>
      <c r="AQ51" s="1012">
        <v>2.1000000000000001E-2</v>
      </c>
      <c r="AR51" s="984">
        <v>2.1000000000000001E-2</v>
      </c>
      <c r="AS51" s="1012">
        <v>2.1499999999999998E-2</v>
      </c>
      <c r="AT51" s="984">
        <v>2.1499999999999998E-2</v>
      </c>
      <c r="AU51" s="1031">
        <v>2.1000000000000001E-2</v>
      </c>
      <c r="AV51" s="940">
        <v>2.1000000000000001E-2</v>
      </c>
      <c r="AW51" s="1031">
        <v>2.1000000000000001E-2</v>
      </c>
      <c r="AX51" s="1031">
        <v>2.1999999999999999E-2</v>
      </c>
      <c r="AY51" s="1031">
        <v>2.1999999999999999E-2</v>
      </c>
      <c r="AZ51" s="1031">
        <v>2.1999999999999999E-2</v>
      </c>
      <c r="BA51" s="1031">
        <v>2.1999999999999999E-2</v>
      </c>
      <c r="BB51" s="1031">
        <v>2.3E-2</v>
      </c>
      <c r="BC51" s="1031">
        <v>2.3E-2</v>
      </c>
      <c r="BD51" s="1031">
        <v>2.3E-2</v>
      </c>
      <c r="BE51" s="940">
        <v>2.4500000000000001E-2</v>
      </c>
      <c r="BF51" s="1031">
        <v>2.5999999999999999E-2</v>
      </c>
      <c r="BG51" s="1031">
        <v>2.5999999999999999E-2</v>
      </c>
      <c r="BH51" s="1031">
        <v>2.5999999999999999E-2</v>
      </c>
      <c r="BI51" s="940">
        <v>2.5999999999999999E-2</v>
      </c>
      <c r="BJ51" s="1031">
        <v>2.75E-2</v>
      </c>
      <c r="BK51" s="1031">
        <v>2.75E-2</v>
      </c>
      <c r="BL51" s="1031">
        <v>2.75E-2</v>
      </c>
      <c r="BM51" s="1031">
        <v>2.75E-2</v>
      </c>
      <c r="BN51" s="940">
        <v>2.75E-2</v>
      </c>
      <c r="BO51" s="1031">
        <v>2.8000000000000001E-2</v>
      </c>
      <c r="BP51" s="1031">
        <v>2.8000000000000001E-2</v>
      </c>
      <c r="BQ51" s="1031">
        <v>2.8000000000000001E-2</v>
      </c>
      <c r="BR51" s="1031">
        <v>2.8000000000000001E-2</v>
      </c>
      <c r="BS51" s="1031">
        <v>2.8000000000000001E-2</v>
      </c>
      <c r="BT51" s="1031">
        <v>2.8000000000000001E-2</v>
      </c>
      <c r="BU51" s="1031">
        <v>2.8000000000000001E-2</v>
      </c>
      <c r="BV51" s="1031">
        <v>2.8000000000000001E-2</v>
      </c>
      <c r="BW51" s="1031">
        <v>2.8000000000000001E-2</v>
      </c>
      <c r="BX51" s="1031">
        <v>2.8000000000000001E-2</v>
      </c>
      <c r="BY51" s="1031">
        <v>2.8000000000000001E-2</v>
      </c>
      <c r="BZ51" s="1031">
        <v>2.8000000000000001E-2</v>
      </c>
      <c r="CA51" s="1031">
        <v>2.8000000000000001E-2</v>
      </c>
      <c r="CB51" s="1031">
        <v>2.8000000000000001E-2</v>
      </c>
      <c r="CC51" s="1031">
        <v>0.03</v>
      </c>
      <c r="CD51" s="1031">
        <v>0.03</v>
      </c>
      <c r="CE51" s="1031">
        <v>0.03</v>
      </c>
      <c r="CF51" s="955">
        <v>3.1E-2</v>
      </c>
      <c r="CG51" s="955">
        <v>3.1E-2</v>
      </c>
      <c r="CH51" s="955">
        <v>3.3000000000000002E-2</v>
      </c>
      <c r="CI51" s="955">
        <v>3.3000000000000002E-2</v>
      </c>
      <c r="CJ51" s="955">
        <v>3.3000000000000002E-2</v>
      </c>
      <c r="CK51" s="955">
        <v>3.4000000000000002E-2</v>
      </c>
      <c r="CL51" s="955">
        <v>3.4000000000000002E-2</v>
      </c>
      <c r="CM51" s="955">
        <v>3.4000000000000002E-2</v>
      </c>
      <c r="CN51" s="955">
        <v>3.4000000000000002E-2</v>
      </c>
      <c r="CO51" s="955">
        <v>3.2500000000000001E-2</v>
      </c>
      <c r="CP51" s="955">
        <v>3.2500000000000001E-2</v>
      </c>
      <c r="CQ51" s="955">
        <v>3.2500000000000001E-2</v>
      </c>
      <c r="CR51" s="955">
        <v>3.2500000000000001E-2</v>
      </c>
      <c r="CS51" s="955">
        <v>3.2500000000000001E-2</v>
      </c>
      <c r="CT51" s="955">
        <v>3.2500000000000001E-2</v>
      </c>
      <c r="CU51" s="955">
        <v>3.2500000000000001E-2</v>
      </c>
      <c r="CV51" s="955">
        <v>3.2500000000000001E-2</v>
      </c>
      <c r="CW51" s="955">
        <v>3.3000000000000002E-2</v>
      </c>
      <c r="CX51" s="955">
        <v>3.3000000000000002E-2</v>
      </c>
      <c r="CY51" s="955">
        <v>3.3000000000000002E-2</v>
      </c>
      <c r="CZ51" s="955">
        <v>3.3000000000000002E-2</v>
      </c>
      <c r="DA51" s="955">
        <v>3.4000000000000002E-2</v>
      </c>
      <c r="DB51" s="955">
        <v>3.4000000000000002E-2</v>
      </c>
      <c r="DC51" s="955">
        <v>3.4000000000000002E-2</v>
      </c>
      <c r="DD51" s="955">
        <v>3.4000000000000002E-2</v>
      </c>
      <c r="DE51" s="955">
        <v>3.5499999999999997E-2</v>
      </c>
      <c r="DF51" s="955">
        <v>3.5499999999999997E-2</v>
      </c>
      <c r="DG51" s="955">
        <v>3.5499999999999997E-2</v>
      </c>
      <c r="DH51" s="955">
        <v>3.5499999999999997E-2</v>
      </c>
      <c r="DI51" s="955">
        <v>3.5499999999999997E-2</v>
      </c>
      <c r="DJ51" s="955">
        <v>3.5499999999999997E-2</v>
      </c>
      <c r="DK51" s="955">
        <v>3.5499999999999997E-2</v>
      </c>
      <c r="DL51" s="955">
        <v>3.5499999999999997E-2</v>
      </c>
      <c r="DM51" s="955">
        <v>3.5499999999999997E-2</v>
      </c>
      <c r="DN51" s="955">
        <v>3.5499999999999997E-2</v>
      </c>
      <c r="DO51" s="955">
        <v>3.5499999999999997E-2</v>
      </c>
      <c r="DP51" s="955">
        <v>3.5499999999999997E-2</v>
      </c>
      <c r="DQ51" s="955">
        <v>3.5499999999999997E-2</v>
      </c>
      <c r="DR51" s="955">
        <v>3.4500000000000003E-2</v>
      </c>
      <c r="DS51" s="955">
        <v>3.4500000000000003E-2</v>
      </c>
      <c r="DT51" s="955">
        <v>3.4500000000000003E-2</v>
      </c>
      <c r="DU51" s="955">
        <v>3.4500000000000003E-2</v>
      </c>
      <c r="DV51" s="955">
        <v>3.4500000000000003E-2</v>
      </c>
      <c r="DW51" s="955">
        <v>3.4500000000000003E-2</v>
      </c>
      <c r="DX51" s="955">
        <v>3.4500000000000003E-2</v>
      </c>
      <c r="DY51" s="955">
        <v>3.4500000000000003E-2</v>
      </c>
      <c r="DZ51" s="955">
        <v>3.4500000000000003E-2</v>
      </c>
      <c r="EA51" s="955">
        <v>3.4500000000000003E-2</v>
      </c>
      <c r="EB51" s="955">
        <v>3.4500000000000003E-2</v>
      </c>
      <c r="EC51" s="955">
        <v>3.4500000000000003E-2</v>
      </c>
      <c r="ED51" s="955">
        <v>3.4500000000000003E-2</v>
      </c>
      <c r="EE51" s="955">
        <v>3.4000000000000002E-2</v>
      </c>
      <c r="EF51" s="955">
        <v>3.4000000000000002E-2</v>
      </c>
      <c r="EG51" s="955">
        <v>3.4000000000000002E-2</v>
      </c>
      <c r="EH51" s="955">
        <v>3.4000000000000002E-2</v>
      </c>
      <c r="EI51" s="955">
        <v>3.4000000000000002E-2</v>
      </c>
      <c r="EJ51" s="955">
        <v>3.2000000000000001E-2</v>
      </c>
      <c r="EK51" s="955">
        <v>3.2000000000000001E-2</v>
      </c>
      <c r="EL51" s="955">
        <v>3.2000000000000001E-2</v>
      </c>
      <c r="EM51" s="955">
        <v>3.2000000000000001E-2</v>
      </c>
      <c r="EN51" s="955">
        <v>3.2000000000000001E-2</v>
      </c>
      <c r="EO51" s="955">
        <v>3.2000000000000001E-2</v>
      </c>
      <c r="EP51" s="955">
        <v>3.2000000000000001E-2</v>
      </c>
      <c r="EQ51" s="955">
        <v>3.2000000000000001E-2</v>
      </c>
      <c r="ER51" s="955">
        <v>3.4000000000000002E-2</v>
      </c>
      <c r="ES51" s="955">
        <v>3.4000000000000002E-2</v>
      </c>
      <c r="ET51" s="955">
        <v>3.4000000000000002E-2</v>
      </c>
      <c r="EU51" s="955">
        <v>3.4000000000000002E-2</v>
      </c>
      <c r="EV51" s="955">
        <v>3.4000000000000002E-2</v>
      </c>
      <c r="EW51" s="955">
        <v>3.5000000000000003E-2</v>
      </c>
      <c r="EX51" s="955">
        <v>3.5000000000000003E-2</v>
      </c>
      <c r="EY51" s="955">
        <v>3.5000000000000003E-2</v>
      </c>
      <c r="EZ51" s="1042" t="s">
        <v>306</v>
      </c>
      <c r="FA51" s="1040">
        <v>1.2999999999999999E-2</v>
      </c>
      <c r="FB51" s="238" t="s">
        <v>432</v>
      </c>
      <c r="FC51" s="1042" t="s">
        <v>306</v>
      </c>
      <c r="FD51" s="1041">
        <v>3.5000000000000001E-3</v>
      </c>
      <c r="FE51" s="238">
        <v>3.0000000000000001E-3</v>
      </c>
      <c r="FF51" s="237" t="s">
        <v>333</v>
      </c>
      <c r="FG51" s="1042"/>
      <c r="FH51" s="1041">
        <v>3.5000000000000001E-3</v>
      </c>
      <c r="FI51" s="1041">
        <v>3.5000000000000001E-3</v>
      </c>
      <c r="FJ51" s="1041">
        <v>3.5000000000000001E-3</v>
      </c>
      <c r="FK51" s="1041">
        <v>3.5000000000000001E-3</v>
      </c>
      <c r="FL51" s="1041">
        <v>3.5000000000000001E-3</v>
      </c>
      <c r="FM51" s="1041">
        <v>3.5000000000000001E-3</v>
      </c>
      <c r="FN51" s="1040">
        <v>3.5000000000000001E-3</v>
      </c>
      <c r="FO51" s="1040">
        <v>3.5000000000000001E-3</v>
      </c>
      <c r="FP51" s="1040">
        <v>3.5000000000000001E-3</v>
      </c>
      <c r="FQ51" s="1040">
        <v>3.5000000000000001E-3</v>
      </c>
      <c r="FR51" s="1040">
        <v>3.5000000000000001E-3</v>
      </c>
      <c r="FS51" s="1040">
        <v>3.5000000000000001E-3</v>
      </c>
      <c r="FT51" s="1040">
        <v>3.5000000000000001E-3</v>
      </c>
      <c r="FU51" s="1040">
        <v>1.2999999999999999E-2</v>
      </c>
      <c r="FV51" s="1040">
        <v>1.2999999999999999E-2</v>
      </c>
      <c r="FW51" s="1040">
        <v>1.2999999999999999E-2</v>
      </c>
      <c r="FX51" s="1040">
        <v>1.2999999999999999E-2</v>
      </c>
      <c r="FY51" s="955">
        <v>1.4999999999999999E-2</v>
      </c>
      <c r="FZ51" s="955">
        <v>3.5999999999999997E-2</v>
      </c>
      <c r="GA51" s="955">
        <v>3.5999999999999997E-2</v>
      </c>
      <c r="GB51" s="955">
        <v>3.5999999999999997E-2</v>
      </c>
      <c r="GC51" s="955">
        <v>3.6999999999999998E-2</v>
      </c>
      <c r="GD51" s="955">
        <v>3.6999999999999998E-2</v>
      </c>
      <c r="GE51" s="955">
        <v>3.6999999999999998E-2</v>
      </c>
      <c r="GF51" s="955">
        <v>3.6999999999999998E-2</v>
      </c>
      <c r="GG51" s="955">
        <v>0.04</v>
      </c>
      <c r="GH51" s="955">
        <v>0.04</v>
      </c>
      <c r="GI51" s="955">
        <v>0.04</v>
      </c>
      <c r="GJ51" s="955">
        <v>0.04</v>
      </c>
      <c r="GK51" s="955">
        <v>0.04</v>
      </c>
      <c r="GL51" s="955">
        <v>0.04</v>
      </c>
      <c r="GM51" s="955">
        <v>0.04</v>
      </c>
      <c r="GN51" s="955">
        <v>0.04</v>
      </c>
      <c r="GO51" s="955">
        <v>0.04</v>
      </c>
      <c r="GP51" s="955">
        <v>0.03</v>
      </c>
      <c r="GQ51" s="955">
        <v>0.03</v>
      </c>
      <c r="GR51" s="955">
        <v>0.03</v>
      </c>
      <c r="GS51" s="955">
        <v>0.03</v>
      </c>
      <c r="GT51" s="955">
        <v>0.02</v>
      </c>
      <c r="GU51" s="955">
        <v>0.02</v>
      </c>
      <c r="GV51" s="955">
        <v>0.02</v>
      </c>
      <c r="GW51" s="955">
        <v>0.02</v>
      </c>
      <c r="GX51" s="955">
        <v>1.4999999999999999E-2</v>
      </c>
      <c r="GY51" s="955">
        <v>1.4999999999999999E-2</v>
      </c>
      <c r="GZ51" s="955">
        <v>1.4999999999999999E-2</v>
      </c>
      <c r="HA51" s="955">
        <v>1.4999999999999999E-2</v>
      </c>
      <c r="HB51" s="955">
        <v>3.5999999999999997E-2</v>
      </c>
      <c r="HC51" s="955">
        <v>3.5000000000000003E-2</v>
      </c>
      <c r="HD51" s="955">
        <v>3.5999999999999997E-2</v>
      </c>
      <c r="HE51" s="955">
        <v>3.5999999999999997E-2</v>
      </c>
      <c r="HF51" s="941">
        <f>C51-D51</f>
        <v>0</v>
      </c>
      <c r="HG51" s="218" t="s">
        <v>594</v>
      </c>
    </row>
    <row r="52" spans="1:216" ht="15" customHeight="1">
      <c r="A52" s="1060"/>
      <c r="B52" s="280" t="s">
        <v>672</v>
      </c>
      <c r="C52" s="921"/>
      <c r="D52" s="921"/>
      <c r="E52" s="921"/>
      <c r="F52" s="921"/>
      <c r="G52" s="921"/>
      <c r="H52" s="921"/>
      <c r="I52" s="921"/>
      <c r="J52" s="921"/>
      <c r="K52" s="921"/>
      <c r="L52" s="921"/>
      <c r="M52" s="921"/>
      <c r="N52" s="921"/>
      <c r="O52" s="950"/>
      <c r="P52" s="921"/>
      <c r="Q52" s="921"/>
      <c r="R52" s="921"/>
      <c r="S52" s="921"/>
      <c r="T52" s="921"/>
      <c r="U52" s="921"/>
      <c r="V52" s="950"/>
      <c r="W52" s="910"/>
      <c r="X52" s="910"/>
      <c r="Y52" s="910"/>
      <c r="Z52" s="910"/>
      <c r="AA52" s="968"/>
      <c r="AB52" s="910"/>
      <c r="AC52" s="910"/>
      <c r="AD52" s="968"/>
      <c r="AE52" s="968"/>
      <c r="AF52" s="968"/>
      <c r="AG52" s="979"/>
      <c r="AH52" s="910"/>
      <c r="AI52" s="968"/>
      <c r="AJ52" s="910"/>
      <c r="AK52" s="979"/>
      <c r="AL52" s="968"/>
      <c r="AM52" s="968"/>
      <c r="AN52" s="968"/>
      <c r="AO52" s="968"/>
      <c r="AP52" s="985"/>
      <c r="AQ52" s="1026"/>
      <c r="AR52" s="985"/>
      <c r="AS52" s="1026"/>
      <c r="AT52" s="985"/>
      <c r="AU52" s="939"/>
      <c r="AV52" s="936"/>
      <c r="AW52" s="939"/>
      <c r="AX52" s="939"/>
      <c r="AY52" s="939"/>
      <c r="AZ52" s="939"/>
      <c r="BA52" s="939"/>
      <c r="BB52" s="939"/>
      <c r="BC52" s="939"/>
      <c r="BD52" s="939"/>
      <c r="BE52" s="936"/>
      <c r="BF52" s="939"/>
      <c r="BG52" s="939"/>
      <c r="BH52" s="939"/>
      <c r="BI52" s="936"/>
      <c r="BJ52" s="939"/>
      <c r="BK52" s="939"/>
      <c r="BL52" s="939"/>
      <c r="BM52" s="939"/>
      <c r="BN52" s="936"/>
      <c r="BO52" s="939"/>
      <c r="BP52" s="939"/>
      <c r="BQ52" s="939"/>
      <c r="BR52" s="939"/>
      <c r="BS52" s="939"/>
      <c r="BT52" s="939"/>
      <c r="BU52" s="939"/>
      <c r="BV52" s="939"/>
      <c r="BW52" s="939"/>
      <c r="BX52" s="939"/>
      <c r="BY52" s="939"/>
      <c r="BZ52" s="939"/>
      <c r="CA52" s="939"/>
      <c r="CB52" s="939"/>
      <c r="CC52" s="939"/>
      <c r="CD52" s="939"/>
      <c r="CE52" s="939"/>
      <c r="CF52" s="1030"/>
      <c r="CG52" s="1030"/>
      <c r="CH52" s="1030"/>
      <c r="CI52" s="1030"/>
      <c r="CJ52" s="1030"/>
      <c r="CK52" s="1030"/>
      <c r="CL52" s="1030"/>
      <c r="CM52" s="1030"/>
      <c r="CN52" s="1030"/>
      <c r="CO52" s="1030"/>
      <c r="CP52" s="1030"/>
      <c r="CQ52" s="1030"/>
      <c r="CR52" s="1030"/>
      <c r="CS52" s="1030"/>
      <c r="CT52" s="1030"/>
      <c r="CU52" s="1030"/>
      <c r="CV52" s="1030"/>
      <c r="CW52" s="1030"/>
      <c r="CX52" s="1030"/>
      <c r="CY52" s="1030"/>
      <c r="CZ52" s="1030"/>
      <c r="DA52" s="1030"/>
      <c r="DB52" s="1030"/>
      <c r="DC52" s="1030"/>
      <c r="DD52" s="1030"/>
      <c r="DE52" s="1030"/>
      <c r="DF52" s="1030"/>
      <c r="DG52" s="1030"/>
      <c r="DH52" s="1030"/>
      <c r="DI52" s="1030"/>
      <c r="DJ52" s="1030"/>
      <c r="DK52" s="1030"/>
      <c r="DL52" s="1030"/>
      <c r="DM52" s="1030"/>
      <c r="DN52" s="1030"/>
      <c r="DO52" s="1030"/>
      <c r="DP52" s="1030"/>
      <c r="DQ52" s="1030"/>
      <c r="DR52" s="1030"/>
      <c r="DS52" s="1030"/>
      <c r="DT52" s="1030"/>
      <c r="DU52" s="1030"/>
      <c r="DV52" s="1030"/>
      <c r="DW52" s="1030"/>
      <c r="DX52" s="1030"/>
      <c r="DY52" s="1030"/>
      <c r="DZ52" s="1030"/>
      <c r="EA52" s="1030"/>
      <c r="EB52" s="1030"/>
      <c r="EC52" s="1030"/>
      <c r="ED52" s="1030"/>
      <c r="EE52" s="1030"/>
      <c r="EF52" s="1030"/>
      <c r="EG52" s="1030"/>
      <c r="EH52" s="1030"/>
      <c r="EI52" s="1030"/>
      <c r="EJ52" s="1030"/>
      <c r="EK52" s="1030"/>
      <c r="EL52" s="1030"/>
      <c r="EM52" s="1030"/>
      <c r="EN52" s="1030"/>
      <c r="EO52" s="1030"/>
      <c r="EP52" s="1030"/>
      <c r="EQ52" s="1030"/>
      <c r="ER52" s="1030"/>
      <c r="ES52" s="1030"/>
      <c r="ET52" s="1030"/>
      <c r="EU52" s="1030"/>
      <c r="EV52" s="1030"/>
      <c r="EW52" s="1030"/>
      <c r="EX52" s="1030"/>
      <c r="EY52" s="1030"/>
      <c r="EZ52" s="1042"/>
      <c r="FA52" s="1040"/>
      <c r="FB52" s="254" t="s">
        <v>431</v>
      </c>
      <c r="FC52" s="1042"/>
      <c r="FD52" s="1041"/>
      <c r="FE52" s="238">
        <v>3.5000000000000001E-3</v>
      </c>
      <c r="FF52" s="237" t="s">
        <v>430</v>
      </c>
      <c r="FG52" s="1042"/>
      <c r="FH52" s="1041"/>
      <c r="FI52" s="1041"/>
      <c r="FJ52" s="1041"/>
      <c r="FK52" s="1041"/>
      <c r="FL52" s="1041"/>
      <c r="FM52" s="1041"/>
      <c r="FN52" s="1040"/>
      <c r="FO52" s="1040"/>
      <c r="FP52" s="1040"/>
      <c r="FQ52" s="1040"/>
      <c r="FR52" s="1040"/>
      <c r="FS52" s="1040"/>
      <c r="FT52" s="1040"/>
      <c r="FU52" s="1040"/>
      <c r="FV52" s="1040"/>
      <c r="FW52" s="1040"/>
      <c r="FX52" s="1040"/>
      <c r="FY52" s="1030"/>
      <c r="FZ52" s="1030"/>
      <c r="GA52" s="1030"/>
      <c r="GB52" s="1030"/>
      <c r="GC52" s="1030"/>
      <c r="GD52" s="1030"/>
      <c r="GE52" s="1030"/>
      <c r="GF52" s="1030"/>
      <c r="GG52" s="1030"/>
      <c r="GH52" s="1030"/>
      <c r="GI52" s="1030"/>
      <c r="GJ52" s="1030"/>
      <c r="GK52" s="1030"/>
      <c r="GL52" s="1030"/>
      <c r="GM52" s="1030"/>
      <c r="GN52" s="1030"/>
      <c r="GO52" s="1030"/>
      <c r="GP52" s="1030"/>
      <c r="GQ52" s="1030"/>
      <c r="GR52" s="1030"/>
      <c r="GS52" s="1030"/>
      <c r="GT52" s="1030"/>
      <c r="GU52" s="1030"/>
      <c r="GV52" s="1030"/>
      <c r="GW52" s="1030"/>
      <c r="GX52" s="1030"/>
      <c r="GY52" s="1030"/>
      <c r="GZ52" s="1030"/>
      <c r="HA52" s="1030"/>
      <c r="HB52" s="1030"/>
      <c r="HC52" s="1030"/>
      <c r="HD52" s="1030"/>
      <c r="HE52" s="1030"/>
      <c r="HF52" s="942">
        <f>W52-AT52</f>
        <v>0</v>
      </c>
    </row>
    <row r="53" spans="1:216" ht="28.5" customHeight="1">
      <c r="A53" s="757" t="s">
        <v>50</v>
      </c>
      <c r="B53" s="280" t="s">
        <v>590</v>
      </c>
      <c r="C53" s="276">
        <v>1.2E-2</v>
      </c>
      <c r="D53" s="276">
        <v>1.2E-2</v>
      </c>
      <c r="E53" s="276">
        <v>1.2E-2</v>
      </c>
      <c r="F53" s="276">
        <v>1.2E-2</v>
      </c>
      <c r="G53" s="276">
        <v>1.2E-2</v>
      </c>
      <c r="H53" s="276">
        <v>1.2E-2</v>
      </c>
      <c r="I53" s="276">
        <v>1.2E-2</v>
      </c>
      <c r="J53" s="276">
        <v>1.2E-2</v>
      </c>
      <c r="K53" s="276">
        <v>1.2E-2</v>
      </c>
      <c r="L53" s="276">
        <v>1.2E-2</v>
      </c>
      <c r="M53" s="276">
        <v>1.2E-2</v>
      </c>
      <c r="N53" s="276">
        <v>1.2E-2</v>
      </c>
      <c r="O53" s="276">
        <v>1.2E-2</v>
      </c>
      <c r="P53" s="276">
        <v>1.2E-2</v>
      </c>
      <c r="Q53" s="276">
        <v>1.2E-2</v>
      </c>
      <c r="R53" s="276">
        <v>1.2E-2</v>
      </c>
      <c r="S53" s="276">
        <v>1.2E-2</v>
      </c>
      <c r="T53" s="276">
        <v>1.2E-2</v>
      </c>
      <c r="U53" s="276">
        <v>1.2E-2</v>
      </c>
      <c r="V53" s="276">
        <v>1.2E-2</v>
      </c>
      <c r="W53" s="276">
        <v>1.2E-2</v>
      </c>
      <c r="X53" s="276">
        <v>1.2E-2</v>
      </c>
      <c r="Y53" s="276">
        <v>1.2E-2</v>
      </c>
      <c r="Z53" s="276">
        <v>1.2E-2</v>
      </c>
      <c r="AA53" s="276">
        <v>1.2E-2</v>
      </c>
      <c r="AB53" s="276">
        <v>1.2E-2</v>
      </c>
      <c r="AC53" s="275">
        <v>1.2E-2</v>
      </c>
      <c r="AD53" s="276">
        <v>1.35E-2</v>
      </c>
      <c r="AE53" s="275">
        <v>1.35E-2</v>
      </c>
      <c r="AF53" s="233">
        <v>1.4999999999999999E-2</v>
      </c>
      <c r="AG53" s="275">
        <v>1.4999999999999999E-2</v>
      </c>
      <c r="AH53" s="233">
        <v>1.55E-2</v>
      </c>
      <c r="AI53" s="275">
        <v>1.55E-2</v>
      </c>
      <c r="AJ53" s="276">
        <v>1.6500000000000001E-2</v>
      </c>
      <c r="AK53" s="233">
        <v>1.6500000000000001E-2</v>
      </c>
      <c r="AL53" s="276">
        <v>1.6500000000000001E-2</v>
      </c>
      <c r="AM53" s="275">
        <v>1.6500000000000001E-2</v>
      </c>
      <c r="AN53" s="275">
        <v>1.7500000000000002E-2</v>
      </c>
      <c r="AO53" s="233">
        <v>1.8499999999999999E-2</v>
      </c>
      <c r="AP53" s="256">
        <v>1.8499999999999999E-2</v>
      </c>
      <c r="AQ53" s="313">
        <v>1.8499999999999999E-2</v>
      </c>
      <c r="AR53" s="256">
        <v>0.02</v>
      </c>
      <c r="AS53" s="256">
        <v>0.02</v>
      </c>
      <c r="AT53" s="256">
        <v>0.02</v>
      </c>
      <c r="AU53" s="256">
        <v>0.02</v>
      </c>
      <c r="AV53" s="313">
        <v>0.02</v>
      </c>
      <c r="AW53" s="256">
        <v>2.1000000000000001E-2</v>
      </c>
      <c r="AX53" s="256">
        <v>2.1000000000000001E-2</v>
      </c>
      <c r="AY53" s="256">
        <v>2.1000000000000001E-2</v>
      </c>
      <c r="AZ53" s="313">
        <v>2.1000000000000001E-2</v>
      </c>
      <c r="BA53" s="256">
        <v>2.3E-2</v>
      </c>
      <c r="BB53" s="256">
        <v>2.3E-2</v>
      </c>
      <c r="BC53" s="256">
        <v>2.3E-2</v>
      </c>
      <c r="BD53" s="256">
        <v>2.3E-2</v>
      </c>
      <c r="BE53" s="256">
        <v>2.4E-2</v>
      </c>
      <c r="BF53" s="256">
        <v>2.4E-2</v>
      </c>
      <c r="BG53" s="256">
        <v>2.4E-2</v>
      </c>
      <c r="BH53" s="256">
        <v>2.4E-2</v>
      </c>
      <c r="BI53" s="256">
        <v>2.4E-2</v>
      </c>
      <c r="BJ53" s="256">
        <v>2.4E-2</v>
      </c>
      <c r="BK53" s="256">
        <v>2.4E-2</v>
      </c>
      <c r="BL53" s="256">
        <v>2.4E-2</v>
      </c>
      <c r="BM53" s="256">
        <v>2.4E-2</v>
      </c>
      <c r="BN53" s="256">
        <v>2.4E-2</v>
      </c>
      <c r="BO53" s="256">
        <v>2.4E-2</v>
      </c>
      <c r="BP53" s="313">
        <v>2.4E-2</v>
      </c>
      <c r="BQ53" s="256">
        <v>2.5000000000000001E-2</v>
      </c>
      <c r="BR53" s="256">
        <v>2.5000000000000001E-2</v>
      </c>
      <c r="BS53" s="256">
        <v>2.5000000000000001E-2</v>
      </c>
      <c r="BT53" s="256">
        <v>2.5000000000000001E-2</v>
      </c>
      <c r="BU53" s="256">
        <v>2.5999999999999999E-2</v>
      </c>
      <c r="BV53" s="256">
        <v>2.5999999999999999E-2</v>
      </c>
      <c r="BW53" s="313">
        <v>2.7E-2</v>
      </c>
      <c r="BX53" s="313">
        <v>2.7E-2</v>
      </c>
      <c r="BY53" s="313">
        <v>2.7E-2</v>
      </c>
      <c r="BZ53" s="313">
        <v>2.7E-2</v>
      </c>
      <c r="CA53" s="313">
        <v>2.7E-2</v>
      </c>
      <c r="CB53" s="313">
        <v>2.7E-2</v>
      </c>
      <c r="CC53" s="313">
        <v>2.7E-2</v>
      </c>
      <c r="CD53" s="313">
        <v>2.7E-2</v>
      </c>
      <c r="CE53" s="313">
        <v>2.7E-2</v>
      </c>
      <c r="CF53" s="313">
        <v>2.7E-2</v>
      </c>
      <c r="CG53" s="313">
        <v>2.7E-2</v>
      </c>
      <c r="CH53" s="313">
        <v>2.7E-2</v>
      </c>
      <c r="CI53" s="313">
        <v>2.7E-2</v>
      </c>
      <c r="CJ53" s="313">
        <v>2.7E-2</v>
      </c>
      <c r="CK53" s="313">
        <v>2.7E-2</v>
      </c>
      <c r="CL53" s="313">
        <v>2.7E-2</v>
      </c>
      <c r="CM53" s="313">
        <v>2.7E-2</v>
      </c>
      <c r="CN53" s="313">
        <v>2.7E-2</v>
      </c>
      <c r="CO53" s="313">
        <v>2.7E-2</v>
      </c>
      <c r="CP53" s="313">
        <v>2.7E-2</v>
      </c>
      <c r="CQ53" s="313">
        <v>2.7E-2</v>
      </c>
      <c r="CR53" s="313">
        <v>2.7E-2</v>
      </c>
      <c r="CS53" s="313">
        <v>2.7E-2</v>
      </c>
      <c r="CT53" s="313">
        <v>2.7E-2</v>
      </c>
      <c r="CU53" s="313">
        <v>2.7E-2</v>
      </c>
      <c r="CV53" s="313">
        <v>2.7E-2</v>
      </c>
      <c r="CW53" s="313">
        <v>2.7E-2</v>
      </c>
      <c r="CX53" s="313">
        <v>2.8000000000000001E-2</v>
      </c>
      <c r="CY53" s="313">
        <v>2.8000000000000001E-2</v>
      </c>
      <c r="CZ53" s="313">
        <v>2.9000000000000001E-2</v>
      </c>
      <c r="DA53" s="313">
        <v>2.9000000000000001E-2</v>
      </c>
      <c r="DB53" s="313">
        <v>2.9000000000000001E-2</v>
      </c>
      <c r="DC53" s="313">
        <v>2.9000000000000001E-2</v>
      </c>
      <c r="DD53" s="313">
        <v>2.9000000000000001E-2</v>
      </c>
      <c r="DE53" s="313">
        <v>0.03</v>
      </c>
      <c r="DF53" s="313">
        <v>0.03</v>
      </c>
      <c r="DG53" s="313">
        <v>3.1E-2</v>
      </c>
      <c r="DH53" s="313">
        <v>3.1E-2</v>
      </c>
      <c r="DI53" s="313">
        <v>3.1E-2</v>
      </c>
      <c r="DJ53" s="313">
        <v>3.1E-2</v>
      </c>
      <c r="DK53" s="313">
        <v>3.1E-2</v>
      </c>
      <c r="DL53" s="313">
        <v>3.1E-2</v>
      </c>
      <c r="DM53" s="313">
        <v>3.1E-2</v>
      </c>
      <c r="DN53" s="313">
        <v>3.1E-2</v>
      </c>
      <c r="DO53" s="313">
        <v>3.1E-2</v>
      </c>
      <c r="DP53" s="313">
        <v>3.1E-2</v>
      </c>
      <c r="DQ53" s="313">
        <v>3.1E-2</v>
      </c>
      <c r="DR53" s="313">
        <v>3.1E-2</v>
      </c>
      <c r="DS53" s="313">
        <v>3.1E-2</v>
      </c>
      <c r="DT53" s="313">
        <v>3.1E-2</v>
      </c>
      <c r="DU53" s="313">
        <v>3.1E-2</v>
      </c>
      <c r="DV53" s="313">
        <v>3.1E-2</v>
      </c>
      <c r="DW53" s="313">
        <v>3.1E-2</v>
      </c>
      <c r="DX53" s="313">
        <v>3.1E-2</v>
      </c>
      <c r="DY53" s="313">
        <v>3.1E-2</v>
      </c>
      <c r="DZ53" s="313">
        <v>2.7E-2</v>
      </c>
      <c r="EA53" s="313">
        <v>2.7E-2</v>
      </c>
      <c r="EB53" s="313">
        <v>2.7E-2</v>
      </c>
      <c r="EC53" s="313">
        <v>2.7E-2</v>
      </c>
      <c r="ED53" s="313">
        <v>2.7E-2</v>
      </c>
      <c r="EE53" s="313">
        <v>2.7E-2</v>
      </c>
      <c r="EF53" s="313">
        <v>2.7E-2</v>
      </c>
      <c r="EG53" s="313">
        <v>2.7E-2</v>
      </c>
      <c r="EH53" s="313">
        <v>2.7E-2</v>
      </c>
      <c r="EI53" s="313">
        <v>2.7E-2</v>
      </c>
      <c r="EJ53" s="313">
        <v>2.7E-2</v>
      </c>
      <c r="EK53" s="313">
        <v>2.7E-2</v>
      </c>
      <c r="EL53" s="313">
        <v>2.7E-2</v>
      </c>
      <c r="EM53" s="313">
        <v>2.7E-2</v>
      </c>
      <c r="EN53" s="313">
        <v>2.7E-2</v>
      </c>
      <c r="EO53" s="313">
        <v>2.7E-2</v>
      </c>
      <c r="EP53" s="313">
        <v>2.9000000000000001E-2</v>
      </c>
      <c r="EQ53" s="313">
        <v>2.9000000000000001E-2</v>
      </c>
      <c r="ER53" s="313">
        <v>3.1E-2</v>
      </c>
      <c r="ES53" s="313">
        <v>3.1E-2</v>
      </c>
      <c r="ET53" s="313">
        <v>3.2000000000000001E-2</v>
      </c>
      <c r="EU53" s="313">
        <v>3.4500000000000003E-2</v>
      </c>
      <c r="EV53" s="313">
        <v>3.4500000000000003E-2</v>
      </c>
      <c r="EW53" s="313">
        <v>3.5499999999999997E-2</v>
      </c>
      <c r="EX53" s="313">
        <v>3.5499999999999997E-2</v>
      </c>
      <c r="EY53" s="313">
        <v>3.5499999999999997E-2</v>
      </c>
      <c r="EZ53" s="231" t="s">
        <v>306</v>
      </c>
      <c r="FA53" s="279"/>
      <c r="FB53" s="300"/>
      <c r="FC53" s="297"/>
      <c r="FD53" s="296"/>
      <c r="FE53" s="299"/>
      <c r="FF53" s="298"/>
      <c r="FG53" s="297"/>
      <c r="FH53" s="296"/>
      <c r="FI53" s="296"/>
      <c r="FJ53" s="296"/>
      <c r="FK53" s="296"/>
      <c r="FL53" s="296"/>
      <c r="FM53" s="296"/>
      <c r="FN53" s="279"/>
      <c r="FO53" s="279"/>
      <c r="FP53" s="279"/>
      <c r="FQ53" s="279"/>
      <c r="FR53" s="279"/>
      <c r="FS53" s="279"/>
      <c r="FT53" s="279"/>
      <c r="FU53" s="279"/>
      <c r="FV53" s="279"/>
      <c r="FW53" s="279"/>
      <c r="FX53" s="279"/>
      <c r="FY53" s="314"/>
      <c r="FZ53" s="313">
        <v>3.95E-2</v>
      </c>
      <c r="GA53" s="313">
        <v>3.95E-2</v>
      </c>
      <c r="GB53" s="313">
        <v>3.95E-2</v>
      </c>
      <c r="GC53" s="313">
        <v>3.95E-2</v>
      </c>
      <c r="GD53" s="313">
        <v>3.95E-2</v>
      </c>
      <c r="GE53" s="313">
        <v>3.95E-2</v>
      </c>
      <c r="GF53" s="313">
        <v>3.95E-2</v>
      </c>
      <c r="GG53" s="313">
        <v>3.95E-2</v>
      </c>
      <c r="GH53" s="313">
        <v>3.95E-2</v>
      </c>
      <c r="GI53" s="313">
        <v>3.95E-2</v>
      </c>
      <c r="GJ53" s="313">
        <v>3.95E-2</v>
      </c>
      <c r="GK53" s="313">
        <v>3.95E-2</v>
      </c>
      <c r="GL53" s="313">
        <v>3.95E-2</v>
      </c>
      <c r="GM53" s="313">
        <v>3.95E-2</v>
      </c>
      <c r="GN53" s="313">
        <v>3.95E-2</v>
      </c>
      <c r="GO53" s="313">
        <v>3.95E-2</v>
      </c>
      <c r="GP53" s="313">
        <v>3.95E-2</v>
      </c>
      <c r="GQ53" s="313">
        <v>3.95E-2</v>
      </c>
      <c r="GR53" s="314"/>
      <c r="GS53" s="314"/>
      <c r="GT53" s="314"/>
      <c r="GU53" s="314"/>
      <c r="GV53" s="314"/>
      <c r="GW53" s="314"/>
      <c r="GX53" s="314"/>
      <c r="GY53" s="314"/>
      <c r="GZ53" s="314"/>
      <c r="HA53" s="314"/>
      <c r="HB53" s="313">
        <v>3.95E-2</v>
      </c>
      <c r="HC53" s="313">
        <v>3.5499999999999997E-2</v>
      </c>
      <c r="HD53" s="313">
        <v>3.5499999999999997E-2</v>
      </c>
      <c r="HE53" s="313">
        <v>3.5499999999999997E-2</v>
      </c>
      <c r="HF53" s="178">
        <f>C53-D53</f>
        <v>0</v>
      </c>
    </row>
    <row r="54" spans="1:216">
      <c r="A54" s="959" t="s">
        <v>48</v>
      </c>
      <c r="B54" s="840" t="s">
        <v>819</v>
      </c>
      <c r="C54" s="915">
        <v>1.2500000000000001E-2</v>
      </c>
      <c r="D54" s="915">
        <v>1.2500000000000001E-2</v>
      </c>
      <c r="E54" s="915">
        <v>1.2500000000000001E-2</v>
      </c>
      <c r="F54" s="909">
        <v>1.2999999999999999E-2</v>
      </c>
      <c r="G54" s="909">
        <v>1.2999999999999999E-2</v>
      </c>
      <c r="H54" s="909">
        <v>1.2999999999999999E-2</v>
      </c>
      <c r="I54" s="909">
        <v>1.2999999999999999E-2</v>
      </c>
      <c r="J54" s="909">
        <v>1.2999999999999999E-2</v>
      </c>
      <c r="K54" s="909">
        <v>1.2999999999999999E-2</v>
      </c>
      <c r="L54" s="909">
        <v>1.2999999999999999E-2</v>
      </c>
      <c r="M54" s="909">
        <v>1.2999999999999999E-2</v>
      </c>
      <c r="N54" s="909">
        <v>1.2999999999999999E-2</v>
      </c>
      <c r="O54" s="967">
        <v>1.2999999999999999E-2</v>
      </c>
      <c r="P54" s="909">
        <v>1.4E-2</v>
      </c>
      <c r="Q54" s="909">
        <v>1.4E-2</v>
      </c>
      <c r="R54" s="909">
        <v>1.4E-2</v>
      </c>
      <c r="S54" s="967">
        <v>1.4E-2</v>
      </c>
      <c r="T54" s="967">
        <v>1.2999999999999999E-2</v>
      </c>
      <c r="U54" s="909">
        <v>1.2E-2</v>
      </c>
      <c r="V54" s="909">
        <v>1.2E-2</v>
      </c>
      <c r="W54" s="909">
        <v>1.2E-2</v>
      </c>
      <c r="X54" s="909">
        <v>1.2E-2</v>
      </c>
      <c r="Y54" s="909">
        <v>1.2E-2</v>
      </c>
      <c r="Z54" s="909">
        <v>1.2E-2</v>
      </c>
      <c r="AA54" s="909">
        <v>1.2E-2</v>
      </c>
      <c r="AB54" s="967">
        <v>1.2E-2</v>
      </c>
      <c r="AC54" s="967">
        <v>1.35E-2</v>
      </c>
      <c r="AD54" s="909">
        <v>1.4E-2</v>
      </c>
      <c r="AE54" s="967">
        <v>1.4E-2</v>
      </c>
      <c r="AF54" s="967">
        <v>1.4999999999999999E-2</v>
      </c>
      <c r="AG54" s="978">
        <v>1.55E-2</v>
      </c>
      <c r="AH54" s="978">
        <v>1.55E-2</v>
      </c>
      <c r="AI54" s="967">
        <v>1.55E-2</v>
      </c>
      <c r="AJ54" s="909">
        <v>1.6500000000000001E-2</v>
      </c>
      <c r="AK54" s="978">
        <v>1.6500000000000001E-2</v>
      </c>
      <c r="AL54" s="967">
        <v>1.6500000000000001E-2</v>
      </c>
      <c r="AM54" s="978">
        <v>1.7500000000000002E-2</v>
      </c>
      <c r="AN54" s="967">
        <v>1.7500000000000002E-2</v>
      </c>
      <c r="AO54" s="967">
        <v>1.8499999999999999E-2</v>
      </c>
      <c r="AP54" s="984">
        <v>1.9E-2</v>
      </c>
      <c r="AQ54" s="1012">
        <v>0.02</v>
      </c>
      <c r="AR54" s="1012">
        <v>0.02</v>
      </c>
      <c r="AS54" s="1012">
        <v>0.02</v>
      </c>
      <c r="AT54" s="987">
        <v>0.02</v>
      </c>
      <c r="AU54" s="987">
        <v>0.02</v>
      </c>
      <c r="AV54" s="1016">
        <v>0.02</v>
      </c>
      <c r="AW54" s="987">
        <v>0.02</v>
      </c>
      <c r="AX54" s="987">
        <v>2.1499999999999998E-2</v>
      </c>
      <c r="AY54" s="987">
        <v>2.2499999999999999E-2</v>
      </c>
      <c r="AZ54" s="1016">
        <v>2.2499999999999999E-2</v>
      </c>
      <c r="BA54" s="987">
        <v>2.4E-2</v>
      </c>
      <c r="BB54" s="1016">
        <v>2.4E-2</v>
      </c>
      <c r="BC54" s="987">
        <v>2.5000000000000001E-2</v>
      </c>
      <c r="BD54" s="987">
        <v>2.5000000000000001E-2</v>
      </c>
      <c r="BE54" s="987">
        <v>2.5999999999999999E-2</v>
      </c>
      <c r="BF54" s="987">
        <v>2.5999999999999999E-2</v>
      </c>
      <c r="BG54" s="987">
        <v>2.5999999999999999E-2</v>
      </c>
      <c r="BH54" s="987">
        <v>2.5999999999999999E-2</v>
      </c>
      <c r="BI54" s="987">
        <v>2.5999999999999999E-2</v>
      </c>
      <c r="BJ54" s="987">
        <v>2.5999999999999999E-2</v>
      </c>
      <c r="BK54" s="987">
        <v>2.5999999999999999E-2</v>
      </c>
      <c r="BL54" s="987">
        <v>2.5999999999999999E-2</v>
      </c>
      <c r="BM54" s="987">
        <v>2.5999999999999999E-2</v>
      </c>
      <c r="BN54" s="987">
        <v>2.5999999999999999E-2</v>
      </c>
      <c r="BO54" s="987">
        <v>2.5999999999999999E-2</v>
      </c>
      <c r="BP54" s="987">
        <v>2.5999999999999999E-2</v>
      </c>
      <c r="BQ54" s="1016">
        <v>2.5999999999999999E-2</v>
      </c>
      <c r="BR54" s="987">
        <v>2.6499999999999999E-2</v>
      </c>
      <c r="BS54" s="987">
        <v>2.6499999999999999E-2</v>
      </c>
      <c r="BT54" s="987">
        <v>2.6499999999999999E-2</v>
      </c>
      <c r="BU54" s="987">
        <v>2.6499999999999999E-2</v>
      </c>
      <c r="BV54" s="987">
        <v>2.6499999999999999E-2</v>
      </c>
      <c r="BW54" s="987">
        <v>2.6499999999999999E-2</v>
      </c>
      <c r="BX54" s="987">
        <v>2.6499999999999999E-2</v>
      </c>
      <c r="BY54" s="987">
        <v>2.6499999999999999E-2</v>
      </c>
      <c r="BZ54" s="987">
        <v>2.6499999999999999E-2</v>
      </c>
      <c r="CA54" s="987">
        <v>2.6499999999999999E-2</v>
      </c>
      <c r="CB54" s="987">
        <v>2.6499999999999999E-2</v>
      </c>
      <c r="CC54" s="987">
        <v>2.8000000000000001E-2</v>
      </c>
      <c r="CD54" s="987">
        <v>2.8000000000000001E-2</v>
      </c>
      <c r="CE54" s="987">
        <v>2.8000000000000001E-2</v>
      </c>
      <c r="CF54" s="987">
        <v>2.9000000000000001E-2</v>
      </c>
      <c r="CG54" s="987">
        <v>2.9000000000000001E-2</v>
      </c>
      <c r="CH54" s="987">
        <v>2.9499999999999998E-2</v>
      </c>
      <c r="CI54" s="987">
        <v>2.9499999999999998E-2</v>
      </c>
      <c r="CJ54" s="987">
        <v>2.9499999999999998E-2</v>
      </c>
      <c r="CK54" s="987">
        <v>2.9499999999999998E-2</v>
      </c>
      <c r="CL54" s="987">
        <v>2.9499999999999998E-2</v>
      </c>
      <c r="CM54" s="987">
        <v>2.9499999999999998E-2</v>
      </c>
      <c r="CN54" s="987">
        <v>2.9499999999999998E-2</v>
      </c>
      <c r="CO54" s="987">
        <v>3.0499999999999999E-2</v>
      </c>
      <c r="CP54" s="987">
        <v>3.0499999999999999E-2</v>
      </c>
      <c r="CQ54" s="987">
        <v>3.0499999999999999E-2</v>
      </c>
      <c r="CR54" s="987">
        <v>3.0499999999999999E-2</v>
      </c>
      <c r="CS54" s="987">
        <v>3.0499999999999999E-2</v>
      </c>
      <c r="CT54" s="987">
        <v>3.0499999999999999E-2</v>
      </c>
      <c r="CU54" s="987">
        <v>3.0499999999999999E-2</v>
      </c>
      <c r="CV54" s="987">
        <v>3.0499999999999999E-2</v>
      </c>
      <c r="CW54" s="987">
        <v>3.0499999999999999E-2</v>
      </c>
      <c r="CX54" s="987">
        <v>3.0499999999999999E-2</v>
      </c>
      <c r="CY54" s="987">
        <v>0.03</v>
      </c>
      <c r="CZ54" s="987">
        <v>0.03</v>
      </c>
      <c r="DA54" s="987">
        <v>3.0499999999999999E-2</v>
      </c>
      <c r="DB54" s="987">
        <v>3.0499999999999999E-2</v>
      </c>
      <c r="DC54" s="987">
        <v>3.0499999999999999E-2</v>
      </c>
      <c r="DD54" s="987">
        <v>3.0499999999999999E-2</v>
      </c>
      <c r="DE54" s="987">
        <v>3.0499999999999999E-2</v>
      </c>
      <c r="DF54" s="987">
        <v>0.03</v>
      </c>
      <c r="DG54" s="261">
        <v>0.03</v>
      </c>
      <c r="DH54" s="261">
        <v>0.03</v>
      </c>
      <c r="DI54" s="261">
        <v>0.03</v>
      </c>
      <c r="DJ54" s="261">
        <v>3.1800000000000002E-2</v>
      </c>
      <c r="DK54" s="261">
        <v>3.1800000000000002E-2</v>
      </c>
      <c r="DL54" s="261">
        <v>3.3500000000000002E-2</v>
      </c>
      <c r="DM54" s="261">
        <v>3.4000000000000002E-2</v>
      </c>
      <c r="DN54" s="261">
        <v>3.4000000000000002E-2</v>
      </c>
      <c r="DO54" s="261">
        <v>3.4000000000000002E-2</v>
      </c>
      <c r="DP54" s="261">
        <v>3.4000000000000002E-2</v>
      </c>
      <c r="DQ54" s="261">
        <v>3.4000000000000002E-2</v>
      </c>
      <c r="DR54" s="261">
        <v>3.4000000000000002E-2</v>
      </c>
      <c r="DS54" s="261">
        <v>3.3000000000000002E-2</v>
      </c>
      <c r="DT54" s="261">
        <v>3.3000000000000002E-2</v>
      </c>
      <c r="DU54" s="261">
        <v>3.3000000000000002E-2</v>
      </c>
      <c r="DV54" s="261">
        <v>3.2000000000000001E-2</v>
      </c>
      <c r="DW54" s="261">
        <v>0.03</v>
      </c>
      <c r="DX54" s="261">
        <v>0.03</v>
      </c>
      <c r="DY54" s="261">
        <v>0.03</v>
      </c>
      <c r="DZ54" s="261">
        <v>0.03</v>
      </c>
      <c r="EA54" s="261">
        <v>3.2000000000000001E-2</v>
      </c>
      <c r="EB54" s="261">
        <v>3.2000000000000001E-2</v>
      </c>
      <c r="EC54" s="261">
        <v>3.2000000000000001E-2</v>
      </c>
      <c r="ED54" s="261">
        <v>3.2000000000000001E-2</v>
      </c>
      <c r="EE54" s="261">
        <v>3.2000000000000001E-2</v>
      </c>
      <c r="EF54" s="261">
        <v>3.2000000000000001E-2</v>
      </c>
      <c r="EG54" s="261">
        <v>3.2000000000000001E-2</v>
      </c>
      <c r="EH54" s="261">
        <v>3.2000000000000001E-2</v>
      </c>
      <c r="EI54" s="261" t="s">
        <v>124</v>
      </c>
      <c r="EJ54" s="261" t="s">
        <v>124</v>
      </c>
      <c r="EK54" s="261" t="s">
        <v>124</v>
      </c>
      <c r="EL54" s="261">
        <v>0.03</v>
      </c>
      <c r="EM54" s="261">
        <v>3.1E-2</v>
      </c>
      <c r="EN54" s="261">
        <v>3.1E-2</v>
      </c>
      <c r="EO54" s="261">
        <v>3.1E-2</v>
      </c>
      <c r="EP54" s="261">
        <v>3.1E-2</v>
      </c>
      <c r="EQ54" s="261">
        <v>3.1E-2</v>
      </c>
      <c r="ER54" s="261">
        <v>3.3000000000000002E-2</v>
      </c>
      <c r="ES54" s="261">
        <v>3.3000000000000002E-2</v>
      </c>
      <c r="ET54" s="261">
        <v>3.3000000000000002E-2</v>
      </c>
      <c r="EU54" s="261">
        <v>3.4500000000000003E-2</v>
      </c>
      <c r="EV54" s="261">
        <v>3.4500000000000003E-2</v>
      </c>
      <c r="EW54" s="261">
        <v>3.5499999999999997E-2</v>
      </c>
      <c r="EX54" s="261">
        <v>3.5499999999999997E-2</v>
      </c>
      <c r="EY54" s="261">
        <v>3.5499999999999997E-2</v>
      </c>
      <c r="EZ54" s="231" t="s">
        <v>306</v>
      </c>
      <c r="FA54" s="235" t="s">
        <v>124</v>
      </c>
      <c r="FB54" s="238" t="s">
        <v>124</v>
      </c>
      <c r="FC54" s="231" t="s">
        <v>306</v>
      </c>
      <c r="FD54" s="236"/>
      <c r="FE54" s="238"/>
      <c r="FF54" s="237"/>
      <c r="FG54" s="231"/>
      <c r="FH54" s="236"/>
      <c r="FI54" s="236"/>
      <c r="FJ54" s="236"/>
      <c r="FK54" s="236"/>
      <c r="FL54" s="236"/>
      <c r="FM54" s="236"/>
      <c r="FN54" s="235"/>
      <c r="FO54" s="235"/>
      <c r="FP54" s="235"/>
      <c r="FQ54" s="235"/>
      <c r="FR54" s="235"/>
      <c r="FS54" s="235">
        <v>2E-3</v>
      </c>
      <c r="FT54" s="235"/>
      <c r="FU54" s="235">
        <v>1.38E-2</v>
      </c>
      <c r="FV54" s="235">
        <v>1.38E-2</v>
      </c>
      <c r="FW54" s="235">
        <v>1.38E-2</v>
      </c>
      <c r="FX54" s="235">
        <v>1.38E-2</v>
      </c>
      <c r="FY54" s="312" t="s">
        <v>124</v>
      </c>
      <c r="FZ54" s="312" t="s">
        <v>124</v>
      </c>
      <c r="GA54" s="312" t="s">
        <v>124</v>
      </c>
      <c r="GB54" s="312" t="s">
        <v>124</v>
      </c>
      <c r="GC54" s="312" t="s">
        <v>124</v>
      </c>
      <c r="GD54" s="312" t="s">
        <v>124</v>
      </c>
      <c r="GE54" s="312" t="s">
        <v>124</v>
      </c>
      <c r="GF54" s="312" t="s">
        <v>124</v>
      </c>
      <c r="GG54" s="312" t="s">
        <v>124</v>
      </c>
      <c r="GH54" s="312" t="s">
        <v>124</v>
      </c>
      <c r="GI54" s="312" t="s">
        <v>124</v>
      </c>
      <c r="GJ54" s="312" t="s">
        <v>124</v>
      </c>
      <c r="GK54" s="312" t="s">
        <v>124</v>
      </c>
      <c r="GL54" s="312" t="s">
        <v>124</v>
      </c>
      <c r="GM54" s="312" t="s">
        <v>124</v>
      </c>
      <c r="GN54" s="312" t="s">
        <v>124</v>
      </c>
      <c r="GO54" s="312" t="s">
        <v>124</v>
      </c>
      <c r="GP54" s="312" t="s">
        <v>124</v>
      </c>
      <c r="GQ54" s="312" t="s">
        <v>124</v>
      </c>
      <c r="GR54" s="312" t="s">
        <v>124</v>
      </c>
      <c r="GS54" s="312" t="s">
        <v>124</v>
      </c>
      <c r="GT54" s="312" t="s">
        <v>124</v>
      </c>
      <c r="GU54" s="312" t="s">
        <v>124</v>
      </c>
      <c r="GV54" s="312" t="s">
        <v>124</v>
      </c>
      <c r="GW54" s="312" t="s">
        <v>124</v>
      </c>
      <c r="GX54" s="312" t="s">
        <v>124</v>
      </c>
      <c r="GY54" s="312" t="s">
        <v>124</v>
      </c>
      <c r="GZ54" s="312" t="s">
        <v>124</v>
      </c>
      <c r="HA54" s="312" t="s">
        <v>124</v>
      </c>
      <c r="HB54" s="312" t="s">
        <v>124</v>
      </c>
      <c r="HC54" s="261">
        <v>3.5499999999999997E-2</v>
      </c>
      <c r="HD54" s="312" t="s">
        <v>124</v>
      </c>
      <c r="HE54" s="312" t="s">
        <v>124</v>
      </c>
      <c r="HF54" s="941">
        <f>C54-D54</f>
        <v>0</v>
      </c>
    </row>
    <row r="55" spans="1:216">
      <c r="A55" s="960"/>
      <c r="B55" s="272" t="s">
        <v>602</v>
      </c>
      <c r="C55" s="916"/>
      <c r="D55" s="916"/>
      <c r="E55" s="916"/>
      <c r="F55" s="910"/>
      <c r="G55" s="910"/>
      <c r="H55" s="910"/>
      <c r="I55" s="910"/>
      <c r="J55" s="910"/>
      <c r="K55" s="910"/>
      <c r="L55" s="910"/>
      <c r="M55" s="910"/>
      <c r="N55" s="910"/>
      <c r="O55" s="968"/>
      <c r="P55" s="910"/>
      <c r="Q55" s="910"/>
      <c r="R55" s="910"/>
      <c r="S55" s="968"/>
      <c r="T55" s="968"/>
      <c r="U55" s="910"/>
      <c r="V55" s="910"/>
      <c r="W55" s="910"/>
      <c r="X55" s="910"/>
      <c r="Y55" s="910"/>
      <c r="Z55" s="910"/>
      <c r="AA55" s="910"/>
      <c r="AB55" s="968"/>
      <c r="AC55" s="968"/>
      <c r="AD55" s="910"/>
      <c r="AE55" s="968"/>
      <c r="AF55" s="968"/>
      <c r="AG55" s="979"/>
      <c r="AH55" s="979"/>
      <c r="AI55" s="968"/>
      <c r="AJ55" s="910"/>
      <c r="AK55" s="979"/>
      <c r="AL55" s="968"/>
      <c r="AM55" s="979"/>
      <c r="AN55" s="968"/>
      <c r="AO55" s="968"/>
      <c r="AP55" s="985"/>
      <c r="AQ55" s="1026"/>
      <c r="AR55" s="1026"/>
      <c r="AS55" s="1026"/>
      <c r="AT55" s="1018"/>
      <c r="AU55" s="1018"/>
      <c r="AV55" s="1017"/>
      <c r="AW55" s="1018"/>
      <c r="AX55" s="1018"/>
      <c r="AY55" s="1018"/>
      <c r="AZ55" s="1017"/>
      <c r="BA55" s="1018"/>
      <c r="BB55" s="1017"/>
      <c r="BC55" s="1018"/>
      <c r="BD55" s="1018"/>
      <c r="BE55" s="1018"/>
      <c r="BF55" s="1018"/>
      <c r="BG55" s="1018"/>
      <c r="BH55" s="1018"/>
      <c r="BI55" s="1018"/>
      <c r="BJ55" s="1018"/>
      <c r="BK55" s="1018"/>
      <c r="BL55" s="1018"/>
      <c r="BM55" s="1018"/>
      <c r="BN55" s="1018"/>
      <c r="BO55" s="1018"/>
      <c r="BP55" s="1018"/>
      <c r="BQ55" s="1017"/>
      <c r="BR55" s="1018"/>
      <c r="BS55" s="1018"/>
      <c r="BT55" s="1018"/>
      <c r="BU55" s="1018"/>
      <c r="BV55" s="1018"/>
      <c r="BW55" s="1018"/>
      <c r="BX55" s="1018"/>
      <c r="BY55" s="1018"/>
      <c r="BZ55" s="1018"/>
      <c r="CA55" s="1018"/>
      <c r="CB55" s="1018"/>
      <c r="CC55" s="1018"/>
      <c r="CD55" s="1018"/>
      <c r="CE55" s="1018"/>
      <c r="CF55" s="1018"/>
      <c r="CG55" s="1018"/>
      <c r="CH55" s="1018"/>
      <c r="CI55" s="1018"/>
      <c r="CJ55" s="1018"/>
      <c r="CK55" s="1018"/>
      <c r="CL55" s="1018"/>
      <c r="CM55" s="1018"/>
      <c r="CN55" s="1018"/>
      <c r="CO55" s="1018"/>
      <c r="CP55" s="1018"/>
      <c r="CQ55" s="1018"/>
      <c r="CR55" s="1018"/>
      <c r="CS55" s="1018"/>
      <c r="CT55" s="1018"/>
      <c r="CU55" s="1018"/>
      <c r="CV55" s="1018"/>
      <c r="CW55" s="1018"/>
      <c r="CX55" s="1018"/>
      <c r="CY55" s="1018"/>
      <c r="CZ55" s="1018"/>
      <c r="DA55" s="1018"/>
      <c r="DB55" s="1018"/>
      <c r="DC55" s="1018"/>
      <c r="DD55" s="1018"/>
      <c r="DE55" s="1018"/>
      <c r="DF55" s="1018"/>
      <c r="DG55" s="261"/>
      <c r="DH55" s="261"/>
      <c r="DI55" s="261"/>
      <c r="DJ55" s="261"/>
      <c r="DK55" s="261"/>
      <c r="DL55" s="261"/>
      <c r="DM55" s="261"/>
      <c r="DN55" s="261"/>
      <c r="DO55" s="261"/>
      <c r="DP55" s="261"/>
      <c r="DQ55" s="261"/>
      <c r="DR55" s="261"/>
      <c r="DS55" s="261"/>
      <c r="DT55" s="261"/>
      <c r="DU55" s="261"/>
      <c r="DV55" s="261"/>
      <c r="DW55" s="261"/>
      <c r="DX55" s="261"/>
      <c r="DY55" s="261"/>
      <c r="DZ55" s="261"/>
      <c r="EA55" s="261"/>
      <c r="EB55" s="261"/>
      <c r="EC55" s="261"/>
      <c r="ED55" s="261"/>
      <c r="EE55" s="261"/>
      <c r="EF55" s="261"/>
      <c r="EG55" s="261"/>
      <c r="EH55" s="261"/>
      <c r="EI55" s="261"/>
      <c r="EJ55" s="261"/>
      <c r="EK55" s="261"/>
      <c r="EL55" s="261"/>
      <c r="EM55" s="261"/>
      <c r="EN55" s="261"/>
      <c r="EO55" s="261"/>
      <c r="EP55" s="261"/>
      <c r="EQ55" s="261"/>
      <c r="ER55" s="261"/>
      <c r="ES55" s="261"/>
      <c r="ET55" s="261"/>
      <c r="EU55" s="261"/>
      <c r="EV55" s="261"/>
      <c r="EW55" s="261"/>
      <c r="EX55" s="261"/>
      <c r="EY55" s="261"/>
      <c r="EZ55" s="231" t="s">
        <v>271</v>
      </c>
      <c r="FA55" s="235"/>
      <c r="FB55" s="238"/>
      <c r="FC55" s="231"/>
      <c r="FD55" s="236"/>
      <c r="FE55" s="238"/>
      <c r="FF55" s="237"/>
      <c r="FG55" s="231"/>
      <c r="FH55" s="236"/>
      <c r="FI55" s="236"/>
      <c r="FJ55" s="236"/>
      <c r="FK55" s="236"/>
      <c r="FL55" s="236"/>
      <c r="FM55" s="236"/>
      <c r="FN55" s="235"/>
      <c r="FO55" s="235"/>
      <c r="FP55" s="235"/>
      <c r="FQ55" s="235"/>
      <c r="FR55" s="235"/>
      <c r="FS55" s="235"/>
      <c r="FT55" s="235"/>
      <c r="FU55" s="235"/>
      <c r="FV55" s="235"/>
      <c r="FW55" s="235"/>
      <c r="FX55" s="235"/>
      <c r="FY55" s="312"/>
      <c r="FZ55" s="312"/>
      <c r="GA55" s="312"/>
      <c r="GB55" s="312"/>
      <c r="GC55" s="312"/>
      <c r="GD55" s="312"/>
      <c r="GE55" s="312"/>
      <c r="GF55" s="312"/>
      <c r="GG55" s="312"/>
      <c r="GH55" s="312"/>
      <c r="GI55" s="312"/>
      <c r="GJ55" s="312"/>
      <c r="GK55" s="312"/>
      <c r="GL55" s="312"/>
      <c r="GM55" s="312"/>
      <c r="GN55" s="312"/>
      <c r="GO55" s="312"/>
      <c r="GP55" s="312"/>
      <c r="GQ55" s="312"/>
      <c r="GR55" s="312"/>
      <c r="GS55" s="312"/>
      <c r="GT55" s="312"/>
      <c r="GU55" s="312"/>
      <c r="GV55" s="312"/>
      <c r="GW55" s="312"/>
      <c r="GX55" s="312"/>
      <c r="GY55" s="312"/>
      <c r="GZ55" s="312"/>
      <c r="HA55" s="312"/>
      <c r="HB55" s="312"/>
      <c r="HC55" s="261"/>
      <c r="HD55" s="312"/>
      <c r="HE55" s="312"/>
      <c r="HF55" s="942">
        <f>W55-AT55</f>
        <v>0</v>
      </c>
    </row>
    <row r="56" spans="1:216" ht="39.75" customHeight="1">
      <c r="A56" s="756" t="s">
        <v>37</v>
      </c>
      <c r="B56" s="304" t="s">
        <v>760</v>
      </c>
      <c r="C56" s="304">
        <v>1.2999999999999999E-2</v>
      </c>
      <c r="D56" s="304">
        <v>1.2999999999999999E-2</v>
      </c>
      <c r="E56" s="304">
        <v>1.2999999999999999E-2</v>
      </c>
      <c r="F56" s="304">
        <v>1.2999999999999999E-2</v>
      </c>
      <c r="G56" s="304">
        <v>1.2999999999999999E-2</v>
      </c>
      <c r="H56" s="304">
        <v>1.2999999999999999E-2</v>
      </c>
      <c r="I56" s="304">
        <v>1.2999999999999999E-2</v>
      </c>
      <c r="J56" s="304">
        <v>1.2999999999999999E-2</v>
      </c>
      <c r="K56" s="303">
        <v>1.2999999999999999E-2</v>
      </c>
      <c r="L56" s="304">
        <v>1.41E-2</v>
      </c>
      <c r="M56" s="304">
        <v>1.41E-2</v>
      </c>
      <c r="N56" s="304">
        <v>1.41E-2</v>
      </c>
      <c r="O56" s="304">
        <v>1.41E-2</v>
      </c>
      <c r="P56" s="304">
        <v>1.41E-2</v>
      </c>
      <c r="Q56" s="304">
        <v>1.41E-2</v>
      </c>
      <c r="R56" s="304">
        <v>1.55E-2</v>
      </c>
      <c r="S56" s="304">
        <v>1.2999999999999999E-2</v>
      </c>
      <c r="T56" s="304">
        <v>1.2999999999999999E-2</v>
      </c>
      <c r="U56" s="303">
        <v>1.2999999999999999E-2</v>
      </c>
      <c r="V56" s="232">
        <v>1.2500000000000001E-2</v>
      </c>
      <c r="W56" s="303">
        <v>1.2500000000000001E-2</v>
      </c>
      <c r="X56" s="304">
        <v>1.2E-2</v>
      </c>
      <c r="Y56" s="304">
        <v>1.2E-2</v>
      </c>
      <c r="Z56" s="304">
        <v>1.2E-2</v>
      </c>
      <c r="AA56" s="304">
        <v>1.2E-2</v>
      </c>
      <c r="AB56" s="303">
        <v>1.2E-2</v>
      </c>
      <c r="AC56" s="304">
        <v>1.2500000000000001E-2</v>
      </c>
      <c r="AD56" s="303">
        <v>1.2500000000000001E-2</v>
      </c>
      <c r="AE56" s="303">
        <v>1.35E-2</v>
      </c>
      <c r="AF56" s="232">
        <v>1.4500000000000001E-2</v>
      </c>
      <c r="AG56" s="232">
        <v>1.4500000000000001E-2</v>
      </c>
      <c r="AH56" s="303">
        <v>1.4999999999999999E-2</v>
      </c>
      <c r="AI56" s="303">
        <v>1.61E-2</v>
      </c>
      <c r="AJ56" s="304">
        <v>1.7000000000000001E-2</v>
      </c>
      <c r="AK56" s="232">
        <v>1.7000000000000001E-2</v>
      </c>
      <c r="AL56" s="303">
        <v>1.7000000000000001E-2</v>
      </c>
      <c r="AM56" s="232">
        <v>1.7500000000000002E-2</v>
      </c>
      <c r="AN56" s="232">
        <v>1.7500000000000002E-2</v>
      </c>
      <c r="AO56" s="232">
        <v>1.7500000000000002E-2</v>
      </c>
      <c r="AP56" s="301">
        <v>1.7500000000000002E-2</v>
      </c>
      <c r="AQ56" s="302">
        <v>1.89E-2</v>
      </c>
      <c r="AR56" s="301">
        <v>2.0500000000000001E-2</v>
      </c>
      <c r="AS56" s="302" t="s">
        <v>463</v>
      </c>
      <c r="AT56" s="302" t="s">
        <v>463</v>
      </c>
      <c r="AU56" s="302" t="s">
        <v>463</v>
      </c>
      <c r="AV56" s="302" t="s">
        <v>463</v>
      </c>
      <c r="AW56" s="302" t="s">
        <v>463</v>
      </c>
      <c r="AX56" s="302" t="s">
        <v>462</v>
      </c>
      <c r="AY56" s="302" t="s">
        <v>462</v>
      </c>
      <c r="AZ56" s="302" t="s">
        <v>462</v>
      </c>
      <c r="BA56" s="302" t="s">
        <v>462</v>
      </c>
      <c r="BB56" s="302" t="s">
        <v>462</v>
      </c>
      <c r="BC56" s="302" t="s">
        <v>462</v>
      </c>
      <c r="BD56" s="302" t="s">
        <v>462</v>
      </c>
      <c r="BE56" s="302" t="s">
        <v>462</v>
      </c>
      <c r="BF56" s="302" t="s">
        <v>462</v>
      </c>
      <c r="BG56" s="302" t="s">
        <v>462</v>
      </c>
      <c r="BH56" s="302" t="s">
        <v>462</v>
      </c>
      <c r="BI56" s="302" t="s">
        <v>462</v>
      </c>
      <c r="BJ56" s="301" t="s">
        <v>462</v>
      </c>
      <c r="BK56" s="302" t="s">
        <v>461</v>
      </c>
      <c r="BL56" s="302" t="s">
        <v>461</v>
      </c>
      <c r="BM56" s="302" t="s">
        <v>461</v>
      </c>
      <c r="BN56" s="302" t="s">
        <v>461</v>
      </c>
      <c r="BO56" s="301" t="s">
        <v>461</v>
      </c>
      <c r="BP56" s="302" t="s">
        <v>460</v>
      </c>
      <c r="BQ56" s="302" t="s">
        <v>460</v>
      </c>
      <c r="BR56" s="301" t="s">
        <v>460</v>
      </c>
      <c r="BS56" s="302" t="s">
        <v>425</v>
      </c>
      <c r="BT56" s="302" t="s">
        <v>425</v>
      </c>
      <c r="BU56" s="302" t="s">
        <v>425</v>
      </c>
      <c r="BV56" s="302" t="s">
        <v>425</v>
      </c>
      <c r="BW56" s="301" t="s">
        <v>459</v>
      </c>
      <c r="BX56" s="301" t="s">
        <v>459</v>
      </c>
      <c r="BY56" s="301" t="s">
        <v>459</v>
      </c>
      <c r="BZ56" s="301" t="s">
        <v>459</v>
      </c>
      <c r="CA56" s="301" t="s">
        <v>459</v>
      </c>
      <c r="CB56" s="301" t="s">
        <v>459</v>
      </c>
      <c r="CC56" s="301" t="s">
        <v>458</v>
      </c>
      <c r="CD56" s="301" t="s">
        <v>458</v>
      </c>
      <c r="CE56" s="301" t="s">
        <v>458</v>
      </c>
      <c r="CF56" s="301" t="s">
        <v>458</v>
      </c>
      <c r="CG56" s="301" t="s">
        <v>458</v>
      </c>
      <c r="CH56" s="301" t="s">
        <v>458</v>
      </c>
      <c r="CI56" s="301" t="s">
        <v>458</v>
      </c>
      <c r="CJ56" s="295">
        <v>3.2000000000000001E-2</v>
      </c>
      <c r="CK56" s="295" t="s">
        <v>124</v>
      </c>
      <c r="CL56" s="295" t="s">
        <v>124</v>
      </c>
      <c r="CM56" s="295" t="s">
        <v>124</v>
      </c>
      <c r="CN56" s="295" t="s">
        <v>124</v>
      </c>
      <c r="CO56" s="295" t="s">
        <v>124</v>
      </c>
      <c r="CP56" s="295" t="s">
        <v>124</v>
      </c>
      <c r="CQ56" s="295" t="s">
        <v>124</v>
      </c>
      <c r="CR56" s="295" t="s">
        <v>124</v>
      </c>
      <c r="CS56" s="295" t="s">
        <v>124</v>
      </c>
      <c r="CT56" s="295" t="s">
        <v>124</v>
      </c>
      <c r="CU56" s="295" t="s">
        <v>124</v>
      </c>
      <c r="CV56" s="295" t="s">
        <v>124</v>
      </c>
      <c r="CW56" s="295" t="s">
        <v>124</v>
      </c>
      <c r="CX56" s="295" t="s">
        <v>124</v>
      </c>
      <c r="CY56" s="295" t="s">
        <v>124</v>
      </c>
      <c r="CZ56" s="295" t="s">
        <v>124</v>
      </c>
      <c r="DA56" s="295" t="s">
        <v>124</v>
      </c>
      <c r="DB56" s="295" t="s">
        <v>124</v>
      </c>
      <c r="DC56" s="295" t="s">
        <v>124</v>
      </c>
      <c r="DD56" s="295" t="s">
        <v>124</v>
      </c>
      <c r="DE56" s="295" t="s">
        <v>124</v>
      </c>
      <c r="DF56" s="295" t="s">
        <v>124</v>
      </c>
      <c r="DG56" s="295" t="s">
        <v>124</v>
      </c>
      <c r="DH56" s="295" t="s">
        <v>124</v>
      </c>
      <c r="DI56" s="295" t="s">
        <v>124</v>
      </c>
      <c r="DJ56" s="295" t="s">
        <v>124</v>
      </c>
      <c r="DK56" s="295" t="s">
        <v>124</v>
      </c>
      <c r="DL56" s="295" t="s">
        <v>124</v>
      </c>
      <c r="DM56" s="295" t="s">
        <v>124</v>
      </c>
      <c r="DN56" s="295" t="s">
        <v>124</v>
      </c>
      <c r="DO56" s="295" t="s">
        <v>124</v>
      </c>
      <c r="DP56" s="295" t="s">
        <v>124</v>
      </c>
      <c r="DQ56" s="295" t="s">
        <v>124</v>
      </c>
      <c r="DR56" s="295" t="s">
        <v>124</v>
      </c>
      <c r="DS56" s="295" t="s">
        <v>124</v>
      </c>
      <c r="DT56" s="295" t="s">
        <v>124</v>
      </c>
      <c r="DU56" s="295" t="s">
        <v>124</v>
      </c>
      <c r="DV56" s="295" t="s">
        <v>124</v>
      </c>
      <c r="DW56" s="295" t="s">
        <v>124</v>
      </c>
      <c r="DX56" s="295" t="s">
        <v>124</v>
      </c>
      <c r="DY56" s="295" t="s">
        <v>124</v>
      </c>
      <c r="DZ56" s="295" t="s">
        <v>124</v>
      </c>
      <c r="EA56" s="295" t="s">
        <v>124</v>
      </c>
      <c r="EB56" s="295" t="s">
        <v>124</v>
      </c>
      <c r="EC56" s="295" t="s">
        <v>124</v>
      </c>
      <c r="ED56" s="295" t="s">
        <v>124</v>
      </c>
      <c r="EE56" s="295" t="s">
        <v>124</v>
      </c>
      <c r="EF56" s="295" t="s">
        <v>124</v>
      </c>
      <c r="EG56" s="295" t="s">
        <v>124</v>
      </c>
      <c r="EH56" s="295" t="s">
        <v>124</v>
      </c>
      <c r="EI56" s="295" t="s">
        <v>124</v>
      </c>
      <c r="EJ56" s="295" t="s">
        <v>124</v>
      </c>
      <c r="EK56" s="295" t="s">
        <v>124</v>
      </c>
      <c r="EL56" s="295" t="s">
        <v>124</v>
      </c>
      <c r="EM56" s="295" t="s">
        <v>124</v>
      </c>
      <c r="EN56" s="295">
        <v>0.03</v>
      </c>
      <c r="EO56" s="295">
        <v>0.03</v>
      </c>
      <c r="EP56" s="295">
        <v>0.03</v>
      </c>
      <c r="EQ56" s="295">
        <v>0.03</v>
      </c>
      <c r="ER56" s="295">
        <v>0.03</v>
      </c>
      <c r="ES56" s="295">
        <v>0.03</v>
      </c>
      <c r="ET56" s="295">
        <v>0.03</v>
      </c>
      <c r="EU56" s="295">
        <v>0.03</v>
      </c>
      <c r="EV56" s="295">
        <v>0.03</v>
      </c>
      <c r="EW56" s="295">
        <v>0.03</v>
      </c>
      <c r="EX56" s="295">
        <v>0.03</v>
      </c>
      <c r="EY56" s="295">
        <v>0.03</v>
      </c>
      <c r="EZ56" s="231" t="s">
        <v>281</v>
      </c>
      <c r="FA56" s="279"/>
      <c r="FB56" s="299"/>
      <c r="FC56" s="297"/>
      <c r="FD56" s="296"/>
      <c r="FE56" s="299"/>
      <c r="FF56" s="298"/>
      <c r="FG56" s="297"/>
      <c r="FH56" s="296"/>
      <c r="FI56" s="296"/>
      <c r="FJ56" s="296"/>
      <c r="FK56" s="296"/>
      <c r="FL56" s="296"/>
      <c r="FM56" s="296"/>
      <c r="FN56" s="279"/>
      <c r="FO56" s="279"/>
      <c r="FP56" s="279"/>
      <c r="FQ56" s="279"/>
      <c r="FR56" s="279"/>
      <c r="FS56" s="279"/>
      <c r="FT56" s="279"/>
      <c r="FU56" s="279"/>
      <c r="FV56" s="279"/>
      <c r="FW56" s="279"/>
      <c r="FX56" s="279"/>
      <c r="FY56" s="310"/>
      <c r="FZ56" s="295">
        <v>3.6999999999999998E-2</v>
      </c>
      <c r="GA56" s="295">
        <v>3.6999999999999998E-2</v>
      </c>
      <c r="GB56" s="295">
        <v>3.6999999999999998E-2</v>
      </c>
      <c r="GC56" s="295">
        <v>3.6999999999999998E-2</v>
      </c>
      <c r="GD56" s="295">
        <v>3.6999999999999998E-2</v>
      </c>
      <c r="GE56" s="295">
        <v>3.6999999999999998E-2</v>
      </c>
      <c r="GF56" s="295">
        <v>3.5000000000000003E-2</v>
      </c>
      <c r="GG56" s="295">
        <v>3.5000000000000003E-2</v>
      </c>
      <c r="GH56" s="295">
        <v>3.5000000000000003E-2</v>
      </c>
      <c r="GI56" s="295">
        <v>3.5000000000000003E-2</v>
      </c>
      <c r="GJ56" s="295">
        <v>3.5000000000000003E-2</v>
      </c>
      <c r="GK56" s="295">
        <v>3.5000000000000003E-2</v>
      </c>
      <c r="GL56" s="295">
        <v>3.5000000000000003E-2</v>
      </c>
      <c r="GM56" s="295">
        <v>3.5000000000000003E-2</v>
      </c>
      <c r="GN56" s="295">
        <v>3.5000000000000003E-2</v>
      </c>
      <c r="GO56" s="295">
        <v>3.5000000000000003E-2</v>
      </c>
      <c r="GP56" s="295">
        <v>2.8000000000000001E-2</v>
      </c>
      <c r="GQ56" s="295">
        <v>2.8000000000000001E-2</v>
      </c>
      <c r="GR56" s="295">
        <v>2.8000000000000001E-2</v>
      </c>
      <c r="GS56" s="295">
        <v>2.8000000000000001E-2</v>
      </c>
      <c r="GT56" s="295">
        <v>2.8000000000000001E-2</v>
      </c>
      <c r="GU56" s="295">
        <v>2.8000000000000001E-2</v>
      </c>
      <c r="GV56" s="295">
        <v>2.8000000000000001E-2</v>
      </c>
      <c r="GW56" s="295">
        <v>2.8000000000000001E-2</v>
      </c>
      <c r="GX56" s="310"/>
      <c r="GY56" s="310"/>
      <c r="GZ56" s="310"/>
      <c r="HA56" s="310"/>
      <c r="HB56" s="295">
        <v>3.6999999999999998E-2</v>
      </c>
      <c r="HC56" s="295">
        <v>0.03</v>
      </c>
      <c r="HD56" s="295">
        <v>3.6999999999999998E-2</v>
      </c>
      <c r="HE56" s="295">
        <v>3.6999999999999998E-2</v>
      </c>
      <c r="HF56" s="178">
        <f>C56-D56</f>
        <v>0</v>
      </c>
      <c r="HG56" s="283">
        <f>(1.75%*20000+0.25%*2000)/22000</f>
        <v>1.613636363636364E-2</v>
      </c>
    </row>
    <row r="57" spans="1:216">
      <c r="A57" s="959" t="s">
        <v>31</v>
      </c>
      <c r="B57" s="308" t="s">
        <v>457</v>
      </c>
      <c r="C57" s="917">
        <v>1.2500000000000001E-2</v>
      </c>
      <c r="D57" s="917">
        <v>1.2500000000000001E-2</v>
      </c>
      <c r="E57" s="915">
        <v>1.23E-2</v>
      </c>
      <c r="F57" s="915">
        <v>1.23E-2</v>
      </c>
      <c r="G57" s="909">
        <v>1.4999999999999999E-2</v>
      </c>
      <c r="H57" s="909">
        <v>1.4999999999999999E-2</v>
      </c>
      <c r="I57" s="909">
        <v>1.4999999999999999E-2</v>
      </c>
      <c r="J57" s="909">
        <v>1.4999999999999999E-2</v>
      </c>
      <c r="K57" s="967">
        <v>1.4999999999999999E-2</v>
      </c>
      <c r="L57" s="967">
        <v>1.3299999999999999E-2</v>
      </c>
      <c r="M57" s="909">
        <v>1.2999999999999999E-2</v>
      </c>
      <c r="N57" s="909">
        <v>1.2999999999999999E-2</v>
      </c>
      <c r="O57" s="909">
        <v>1.2999999999999999E-2</v>
      </c>
      <c r="P57" s="967">
        <v>1.2999999999999999E-2</v>
      </c>
      <c r="Q57" s="909">
        <v>1.2500000000000001E-2</v>
      </c>
      <c r="R57" s="909">
        <v>1.2500000000000001E-2</v>
      </c>
      <c r="S57" s="909">
        <v>1.2500000000000001E-2</v>
      </c>
      <c r="T57" s="909">
        <v>1.2500000000000001E-2</v>
      </c>
      <c r="U57" s="967">
        <v>1.2500000000000001E-2</v>
      </c>
      <c r="V57" s="909">
        <v>1.2800000000000001E-2</v>
      </c>
      <c r="W57" s="909">
        <v>1.2800000000000001E-2</v>
      </c>
      <c r="X57" s="967">
        <v>1.2800000000000001E-2</v>
      </c>
      <c r="Y57" s="909" t="s">
        <v>439</v>
      </c>
      <c r="Z57" s="909" t="s">
        <v>439</v>
      </c>
      <c r="AA57" s="909" t="s">
        <v>439</v>
      </c>
      <c r="AB57" s="909" t="s">
        <v>439</v>
      </c>
      <c r="AC57" s="909" t="s">
        <v>439</v>
      </c>
      <c r="AD57" s="909" t="s">
        <v>439</v>
      </c>
      <c r="AE57" s="909" t="s">
        <v>439</v>
      </c>
      <c r="AF57" s="978" t="s">
        <v>439</v>
      </c>
      <c r="AG57" s="978" t="s">
        <v>439</v>
      </c>
      <c r="AH57" s="978" t="s">
        <v>439</v>
      </c>
      <c r="AI57" s="978" t="s">
        <v>439</v>
      </c>
      <c r="AJ57" s="909" t="s">
        <v>439</v>
      </c>
      <c r="AK57" s="978" t="s">
        <v>439</v>
      </c>
      <c r="AL57" s="909" t="s">
        <v>439</v>
      </c>
      <c r="AM57" s="978" t="s">
        <v>439</v>
      </c>
      <c r="AN57" s="978" t="s">
        <v>439</v>
      </c>
      <c r="AO57" s="978" t="s">
        <v>439</v>
      </c>
      <c r="AP57" s="1007" t="s">
        <v>439</v>
      </c>
      <c r="AQ57" s="1007" t="s">
        <v>439</v>
      </c>
      <c r="AR57" s="1007" t="s">
        <v>439</v>
      </c>
      <c r="AS57" s="1007" t="s">
        <v>456</v>
      </c>
      <c r="AT57" s="1007" t="s">
        <v>456</v>
      </c>
      <c r="AU57" s="1032" t="s">
        <v>456</v>
      </c>
      <c r="AV57" s="1007" t="s">
        <v>124</v>
      </c>
      <c r="AW57" s="1007" t="s">
        <v>124</v>
      </c>
      <c r="AX57" s="1007" t="s">
        <v>124</v>
      </c>
      <c r="AY57" s="1007" t="s">
        <v>124</v>
      </c>
      <c r="AZ57" s="1007" t="s">
        <v>124</v>
      </c>
      <c r="BA57" s="1007" t="s">
        <v>124</v>
      </c>
      <c r="BB57" s="1007" t="s">
        <v>124</v>
      </c>
      <c r="BC57" s="1007" t="s">
        <v>124</v>
      </c>
      <c r="BD57" s="1007" t="s">
        <v>124</v>
      </c>
      <c r="BE57" s="1007" t="s">
        <v>369</v>
      </c>
      <c r="BF57" s="1007" t="s">
        <v>369</v>
      </c>
      <c r="BG57" s="1007" t="s">
        <v>369</v>
      </c>
      <c r="BH57" s="1007" t="s">
        <v>369</v>
      </c>
      <c r="BI57" s="1007" t="s">
        <v>369</v>
      </c>
      <c r="BJ57" s="1007" t="s">
        <v>369</v>
      </c>
      <c r="BK57" s="1007" t="s">
        <v>369</v>
      </c>
      <c r="BL57" s="1007" t="s">
        <v>369</v>
      </c>
      <c r="BM57" s="1032" t="s">
        <v>455</v>
      </c>
      <c r="BN57" s="1007" t="s">
        <v>454</v>
      </c>
      <c r="BO57" s="1007" t="s">
        <v>454</v>
      </c>
      <c r="BP57" s="1032" t="s">
        <v>454</v>
      </c>
      <c r="BQ57" s="1007" t="s">
        <v>453</v>
      </c>
      <c r="BR57" s="1007" t="s">
        <v>453</v>
      </c>
      <c r="BS57" s="1007" t="s">
        <v>453</v>
      </c>
      <c r="BT57" s="1007" t="s">
        <v>453</v>
      </c>
      <c r="BU57" s="1007" t="s">
        <v>453</v>
      </c>
      <c r="BV57" s="1007" t="s">
        <v>453</v>
      </c>
      <c r="BW57" s="1007" t="s">
        <v>453</v>
      </c>
      <c r="BX57" s="1007" t="s">
        <v>453</v>
      </c>
      <c r="BY57" s="1007" t="s">
        <v>453</v>
      </c>
      <c r="BZ57" s="1007" t="s">
        <v>453</v>
      </c>
      <c r="CA57" s="1007" t="s">
        <v>453</v>
      </c>
      <c r="CB57" s="1007" t="s">
        <v>452</v>
      </c>
      <c r="CC57" s="1007" t="s">
        <v>452</v>
      </c>
      <c r="CD57" s="987">
        <v>0.03</v>
      </c>
      <c r="CE57" s="987">
        <v>0.03</v>
      </c>
      <c r="CF57" s="987">
        <v>3.1E-2</v>
      </c>
      <c r="CG57" s="987">
        <v>3.1E-2</v>
      </c>
      <c r="CH57" s="987">
        <v>3.1E-2</v>
      </c>
      <c r="CI57" s="987">
        <v>3.0499999999999999E-2</v>
      </c>
      <c r="CJ57" s="987">
        <v>2.9000000000000001E-2</v>
      </c>
      <c r="CK57" s="261"/>
      <c r="CL57" s="261"/>
      <c r="CM57" s="261"/>
      <c r="CN57" s="261"/>
      <c r="CO57" s="261"/>
      <c r="CP57" s="261"/>
      <c r="CQ57" s="261"/>
      <c r="CR57" s="261"/>
      <c r="CS57" s="261"/>
      <c r="CT57" s="261"/>
      <c r="CU57" s="261"/>
      <c r="CV57" s="261"/>
      <c r="CW57" s="261"/>
      <c r="CX57" s="261"/>
      <c r="CY57" s="261"/>
      <c r="CZ57" s="261"/>
      <c r="DA57" s="261"/>
      <c r="DB57" s="261"/>
      <c r="DC57" s="261"/>
      <c r="DD57" s="261"/>
      <c r="DE57" s="261"/>
      <c r="DF57" s="261"/>
      <c r="DG57" s="261"/>
      <c r="DH57" s="261"/>
      <c r="DI57" s="261"/>
      <c r="DJ57" s="261"/>
      <c r="DK57" s="261"/>
      <c r="DL57" s="261"/>
      <c r="DM57" s="261"/>
      <c r="DN57" s="261"/>
      <c r="DO57" s="261"/>
      <c r="DP57" s="261"/>
      <c r="DQ57" s="261"/>
      <c r="DR57" s="261"/>
      <c r="DS57" s="261"/>
      <c r="DT57" s="261"/>
      <c r="DU57" s="261"/>
      <c r="DV57" s="261"/>
      <c r="DW57" s="261"/>
      <c r="DX57" s="261"/>
      <c r="DY57" s="261"/>
      <c r="DZ57" s="261"/>
      <c r="EA57" s="261"/>
      <c r="EB57" s="261"/>
      <c r="EC57" s="261"/>
      <c r="ED57" s="261"/>
      <c r="EE57" s="261"/>
      <c r="EF57" s="261"/>
      <c r="EG57" s="261"/>
      <c r="EH57" s="261"/>
      <c r="EI57" s="261"/>
      <c r="EJ57" s="261"/>
      <c r="EK57" s="261"/>
      <c r="EL57" s="261"/>
      <c r="EM57" s="261"/>
      <c r="EN57" s="261"/>
      <c r="EO57" s="261"/>
      <c r="EP57" s="261"/>
      <c r="EQ57" s="261"/>
      <c r="ER57" s="261"/>
      <c r="ES57" s="261"/>
      <c r="ET57" s="261"/>
      <c r="EU57" s="261"/>
      <c r="EV57" s="261"/>
      <c r="EW57" s="261"/>
      <c r="EX57" s="261"/>
      <c r="EY57" s="261"/>
      <c r="EZ57" s="231" t="s">
        <v>351</v>
      </c>
      <c r="FA57" s="235"/>
      <c r="FB57" s="238"/>
      <c r="FC57" s="231"/>
      <c r="FD57" s="236"/>
      <c r="FE57" s="238"/>
      <c r="FF57" s="237"/>
      <c r="FG57" s="231"/>
      <c r="FH57" s="236"/>
      <c r="FI57" s="236"/>
      <c r="FJ57" s="236"/>
      <c r="FK57" s="236"/>
      <c r="FL57" s="236"/>
      <c r="FM57" s="236"/>
      <c r="FN57" s="235"/>
      <c r="FO57" s="235"/>
      <c r="FP57" s="235"/>
      <c r="FQ57" s="235"/>
      <c r="FR57" s="235"/>
      <c r="FS57" s="235"/>
      <c r="FT57" s="235"/>
      <c r="FU57" s="235"/>
      <c r="FV57" s="235"/>
      <c r="FW57" s="235"/>
      <c r="FX57" s="235"/>
      <c r="FY57" s="312"/>
      <c r="FZ57" s="261"/>
      <c r="GA57" s="261"/>
      <c r="GB57" s="261"/>
      <c r="GC57" s="261"/>
      <c r="GD57" s="261"/>
      <c r="GE57" s="261"/>
      <c r="GF57" s="261"/>
      <c r="GG57" s="261"/>
      <c r="GH57" s="261"/>
      <c r="GI57" s="261"/>
      <c r="GJ57" s="261"/>
      <c r="GK57" s="261"/>
      <c r="GL57" s="261"/>
      <c r="GM57" s="261"/>
      <c r="GN57" s="261"/>
      <c r="GO57" s="261"/>
      <c r="GP57" s="261"/>
      <c r="GQ57" s="261"/>
      <c r="GR57" s="261"/>
      <c r="GS57" s="261"/>
      <c r="GT57" s="261"/>
      <c r="GU57" s="261"/>
      <c r="GV57" s="261"/>
      <c r="GW57" s="261"/>
      <c r="GX57" s="312"/>
      <c r="GY57" s="312"/>
      <c r="GZ57" s="312"/>
      <c r="HA57" s="312"/>
      <c r="HB57" s="261"/>
      <c r="HC57" s="261"/>
      <c r="HD57" s="261"/>
      <c r="HE57" s="261"/>
      <c r="HF57" s="941">
        <f>C57-D57</f>
        <v>0</v>
      </c>
      <c r="HG57" s="218" t="s">
        <v>596</v>
      </c>
    </row>
    <row r="58" spans="1:216" ht="27.6">
      <c r="A58" s="960"/>
      <c r="B58" s="654" t="s">
        <v>597</v>
      </c>
      <c r="C58" s="918"/>
      <c r="D58" s="918"/>
      <c r="E58" s="930"/>
      <c r="F58" s="930"/>
      <c r="G58" s="922"/>
      <c r="H58" s="922"/>
      <c r="I58" s="922"/>
      <c r="J58" s="922"/>
      <c r="K58" s="971"/>
      <c r="L58" s="971"/>
      <c r="M58" s="922"/>
      <c r="N58" s="922"/>
      <c r="O58" s="922"/>
      <c r="P58" s="971"/>
      <c r="Q58" s="922"/>
      <c r="R58" s="922"/>
      <c r="S58" s="922"/>
      <c r="T58" s="922"/>
      <c r="U58" s="971"/>
      <c r="V58" s="922"/>
      <c r="W58" s="922"/>
      <c r="X58" s="971"/>
      <c r="Y58" s="922"/>
      <c r="Z58" s="922"/>
      <c r="AA58" s="922"/>
      <c r="AB58" s="922"/>
      <c r="AC58" s="922"/>
      <c r="AD58" s="922"/>
      <c r="AE58" s="922"/>
      <c r="AF58" s="983"/>
      <c r="AG58" s="983"/>
      <c r="AH58" s="983"/>
      <c r="AI58" s="983"/>
      <c r="AJ58" s="922"/>
      <c r="AK58" s="983"/>
      <c r="AL58" s="922"/>
      <c r="AM58" s="983"/>
      <c r="AN58" s="983"/>
      <c r="AO58" s="983"/>
      <c r="AP58" s="1008"/>
      <c r="AQ58" s="1008"/>
      <c r="AR58" s="1008"/>
      <c r="AS58" s="1008"/>
      <c r="AT58" s="1008"/>
      <c r="AU58" s="1033"/>
      <c r="AV58" s="1008"/>
      <c r="AW58" s="1008"/>
      <c r="AX58" s="1008"/>
      <c r="AY58" s="1008"/>
      <c r="AZ58" s="1008"/>
      <c r="BA58" s="1008"/>
      <c r="BB58" s="1008"/>
      <c r="BC58" s="1008"/>
      <c r="BD58" s="1008"/>
      <c r="BE58" s="1008"/>
      <c r="BF58" s="1008"/>
      <c r="BG58" s="1008"/>
      <c r="BH58" s="1008"/>
      <c r="BI58" s="1008"/>
      <c r="BJ58" s="1008"/>
      <c r="BK58" s="1008"/>
      <c r="BL58" s="1008"/>
      <c r="BM58" s="1033"/>
      <c r="BN58" s="1008"/>
      <c r="BO58" s="1008"/>
      <c r="BP58" s="1033"/>
      <c r="BQ58" s="1008"/>
      <c r="BR58" s="1008"/>
      <c r="BS58" s="1008"/>
      <c r="BT58" s="1008"/>
      <c r="BU58" s="1008"/>
      <c r="BV58" s="1008"/>
      <c r="BW58" s="1008"/>
      <c r="BX58" s="1008"/>
      <c r="BY58" s="1008"/>
      <c r="BZ58" s="1008"/>
      <c r="CA58" s="1008"/>
      <c r="CB58" s="1008"/>
      <c r="CC58" s="1008"/>
      <c r="CD58" s="1018"/>
      <c r="CE58" s="1018"/>
      <c r="CF58" s="1018"/>
      <c r="CG58" s="1018"/>
      <c r="CH58" s="1018"/>
      <c r="CI58" s="1018"/>
      <c r="CJ58" s="1018"/>
      <c r="CK58" s="261"/>
      <c r="CL58" s="261"/>
      <c r="CM58" s="261"/>
      <c r="CN58" s="261"/>
      <c r="CO58" s="261"/>
      <c r="CP58" s="261"/>
      <c r="CQ58" s="261"/>
      <c r="CR58" s="261"/>
      <c r="CS58" s="261"/>
      <c r="CT58" s="261"/>
      <c r="CU58" s="261"/>
      <c r="CV58" s="261"/>
      <c r="CW58" s="261"/>
      <c r="CX58" s="261"/>
      <c r="CY58" s="261"/>
      <c r="CZ58" s="261"/>
      <c r="DA58" s="261"/>
      <c r="DB58" s="261"/>
      <c r="DC58" s="261"/>
      <c r="DD58" s="261"/>
      <c r="DE58" s="261"/>
      <c r="DF58" s="261"/>
      <c r="DG58" s="261"/>
      <c r="DH58" s="261"/>
      <c r="DI58" s="261"/>
      <c r="DJ58" s="261"/>
      <c r="DK58" s="261"/>
      <c r="DL58" s="261"/>
      <c r="DM58" s="261"/>
      <c r="DN58" s="261"/>
      <c r="DO58" s="261"/>
      <c r="DP58" s="261"/>
      <c r="DQ58" s="261"/>
      <c r="DR58" s="261"/>
      <c r="DS58" s="261"/>
      <c r="DT58" s="261"/>
      <c r="DU58" s="261"/>
      <c r="DV58" s="261"/>
      <c r="DW58" s="261"/>
      <c r="DX58" s="261"/>
      <c r="DY58" s="261"/>
      <c r="DZ58" s="261"/>
      <c r="EA58" s="261"/>
      <c r="EB58" s="261"/>
      <c r="EC58" s="261"/>
      <c r="ED58" s="261"/>
      <c r="EE58" s="261"/>
      <c r="EF58" s="261"/>
      <c r="EG58" s="261"/>
      <c r="EH58" s="261"/>
      <c r="EI58" s="261"/>
      <c r="EJ58" s="261"/>
      <c r="EK58" s="261"/>
      <c r="EL58" s="261"/>
      <c r="EM58" s="261"/>
      <c r="EN58" s="261"/>
      <c r="EO58" s="261"/>
      <c r="EP58" s="261"/>
      <c r="EQ58" s="261"/>
      <c r="ER58" s="261"/>
      <c r="ES58" s="261"/>
      <c r="ET58" s="261"/>
      <c r="EU58" s="261"/>
      <c r="EV58" s="261"/>
      <c r="EW58" s="261"/>
      <c r="EX58" s="261"/>
      <c r="EY58" s="261"/>
      <c r="EZ58" s="231" t="s">
        <v>451</v>
      </c>
      <c r="FA58" s="235"/>
      <c r="FB58" s="238"/>
      <c r="FC58" s="231"/>
      <c r="FD58" s="236"/>
      <c r="FE58" s="238"/>
      <c r="FF58" s="237"/>
      <c r="FG58" s="231"/>
      <c r="FH58" s="236"/>
      <c r="FI58" s="236"/>
      <c r="FJ58" s="236"/>
      <c r="FK58" s="236"/>
      <c r="FL58" s="236"/>
      <c r="FM58" s="236"/>
      <c r="FN58" s="235"/>
      <c r="FO58" s="235"/>
      <c r="FP58" s="235"/>
      <c r="FQ58" s="235"/>
      <c r="FR58" s="235"/>
      <c r="FS58" s="235"/>
      <c r="FT58" s="235"/>
      <c r="FU58" s="235"/>
      <c r="FV58" s="235"/>
      <c r="FW58" s="235"/>
      <c r="FX58" s="235"/>
      <c r="FY58" s="312"/>
      <c r="FZ58" s="261"/>
      <c r="GA58" s="261"/>
      <c r="GB58" s="261"/>
      <c r="GC58" s="261"/>
      <c r="GD58" s="261"/>
      <c r="GE58" s="261"/>
      <c r="GF58" s="261"/>
      <c r="GG58" s="261"/>
      <c r="GH58" s="261"/>
      <c r="GI58" s="261"/>
      <c r="GJ58" s="261"/>
      <c r="GK58" s="261"/>
      <c r="GL58" s="261"/>
      <c r="GM58" s="261"/>
      <c r="GN58" s="261"/>
      <c r="GO58" s="261"/>
      <c r="GP58" s="261"/>
      <c r="GQ58" s="261"/>
      <c r="GR58" s="261"/>
      <c r="GS58" s="261"/>
      <c r="GT58" s="261"/>
      <c r="GU58" s="261"/>
      <c r="GV58" s="261"/>
      <c r="GW58" s="261"/>
      <c r="GX58" s="312"/>
      <c r="GY58" s="312"/>
      <c r="GZ58" s="312"/>
      <c r="HA58" s="312"/>
      <c r="HB58" s="261"/>
      <c r="HC58" s="261"/>
      <c r="HD58" s="261"/>
      <c r="HE58" s="261"/>
      <c r="HF58" s="1048"/>
    </row>
    <row r="59" spans="1:216" ht="41.4">
      <c r="A59" s="960"/>
      <c r="B59" s="654" t="s">
        <v>681</v>
      </c>
      <c r="C59" s="918"/>
      <c r="D59" s="918"/>
      <c r="E59" s="930"/>
      <c r="F59" s="930"/>
      <c r="G59" s="922"/>
      <c r="H59" s="922"/>
      <c r="I59" s="922"/>
      <c r="J59" s="922"/>
      <c r="K59" s="971"/>
      <c r="L59" s="971"/>
      <c r="M59" s="922"/>
      <c r="N59" s="922"/>
      <c r="O59" s="922"/>
      <c r="P59" s="971"/>
      <c r="Q59" s="922"/>
      <c r="R59" s="922"/>
      <c r="S59" s="922"/>
      <c r="T59" s="922"/>
      <c r="U59" s="971"/>
      <c r="V59" s="922"/>
      <c r="W59" s="922"/>
      <c r="X59" s="971"/>
      <c r="Y59" s="922"/>
      <c r="Z59" s="922"/>
      <c r="AA59" s="922"/>
      <c r="AB59" s="922"/>
      <c r="AC59" s="922"/>
      <c r="AD59" s="922"/>
      <c r="AE59" s="922"/>
      <c r="AF59" s="983"/>
      <c r="AG59" s="983"/>
      <c r="AH59" s="983"/>
      <c r="AI59" s="983"/>
      <c r="AJ59" s="922"/>
      <c r="AK59" s="983"/>
      <c r="AL59" s="922"/>
      <c r="AM59" s="983"/>
      <c r="AN59" s="983"/>
      <c r="AO59" s="983"/>
      <c r="AP59" s="1008"/>
      <c r="AQ59" s="1008"/>
      <c r="AR59" s="1008"/>
      <c r="AS59" s="1008"/>
      <c r="AT59" s="1008"/>
      <c r="AU59" s="1033"/>
      <c r="AV59" s="1008"/>
      <c r="AW59" s="1008"/>
      <c r="AX59" s="1008"/>
      <c r="AY59" s="1008"/>
      <c r="AZ59" s="1008"/>
      <c r="BA59" s="1008"/>
      <c r="BB59" s="1008"/>
      <c r="BC59" s="1008"/>
      <c r="BD59" s="1008"/>
      <c r="BE59" s="1008"/>
      <c r="BF59" s="1008"/>
      <c r="BG59" s="1008"/>
      <c r="BH59" s="1008"/>
      <c r="BI59" s="1008"/>
      <c r="BJ59" s="1008"/>
      <c r="BK59" s="1008"/>
      <c r="BL59" s="1008"/>
      <c r="BM59" s="1033"/>
      <c r="BN59" s="1008"/>
      <c r="BO59" s="1008"/>
      <c r="BP59" s="1033"/>
      <c r="BQ59" s="1008"/>
      <c r="BR59" s="1008"/>
      <c r="BS59" s="1008"/>
      <c r="BT59" s="1008"/>
      <c r="BU59" s="1008"/>
      <c r="BV59" s="1008"/>
      <c r="BW59" s="1008"/>
      <c r="BX59" s="1008"/>
      <c r="BY59" s="1008"/>
      <c r="BZ59" s="1008"/>
      <c r="CA59" s="1008"/>
      <c r="CB59" s="1008"/>
      <c r="CC59" s="1008"/>
      <c r="CD59" s="1018"/>
      <c r="CE59" s="1018"/>
      <c r="CF59" s="1018"/>
      <c r="CG59" s="1018"/>
      <c r="CH59" s="1018"/>
      <c r="CI59" s="1018"/>
      <c r="CJ59" s="1018"/>
      <c r="CK59" s="261"/>
      <c r="CL59" s="261"/>
      <c r="CM59" s="261"/>
      <c r="CN59" s="261"/>
      <c r="CO59" s="261"/>
      <c r="CP59" s="261"/>
      <c r="CQ59" s="261"/>
      <c r="CR59" s="261"/>
      <c r="CS59" s="261"/>
      <c r="CT59" s="261"/>
      <c r="CU59" s="261"/>
      <c r="CV59" s="261"/>
      <c r="CW59" s="261"/>
      <c r="CX59" s="261"/>
      <c r="CY59" s="261"/>
      <c r="CZ59" s="261"/>
      <c r="DA59" s="261"/>
      <c r="DB59" s="261"/>
      <c r="DC59" s="261"/>
      <c r="DD59" s="261"/>
      <c r="DE59" s="261"/>
      <c r="DF59" s="261"/>
      <c r="DG59" s="261"/>
      <c r="DH59" s="261"/>
      <c r="DI59" s="261"/>
      <c r="DJ59" s="261"/>
      <c r="DK59" s="261"/>
      <c r="DL59" s="261"/>
      <c r="DM59" s="261"/>
      <c r="DN59" s="261"/>
      <c r="DO59" s="261"/>
      <c r="DP59" s="261"/>
      <c r="DQ59" s="261"/>
      <c r="DR59" s="261"/>
      <c r="DS59" s="261"/>
      <c r="DT59" s="261"/>
      <c r="DU59" s="261"/>
      <c r="DV59" s="261"/>
      <c r="DW59" s="261"/>
      <c r="DX59" s="261"/>
      <c r="DY59" s="261"/>
      <c r="DZ59" s="261"/>
      <c r="EA59" s="261"/>
      <c r="EB59" s="261"/>
      <c r="EC59" s="261"/>
      <c r="ED59" s="261"/>
      <c r="EE59" s="261"/>
      <c r="EF59" s="261"/>
      <c r="EG59" s="261"/>
      <c r="EH59" s="261"/>
      <c r="EI59" s="261"/>
      <c r="EJ59" s="261"/>
      <c r="EK59" s="261"/>
      <c r="EL59" s="261"/>
      <c r="EM59" s="261"/>
      <c r="EN59" s="261"/>
      <c r="EO59" s="261"/>
      <c r="EP59" s="261"/>
      <c r="EQ59" s="261"/>
      <c r="ER59" s="261"/>
      <c r="ES59" s="261"/>
      <c r="ET59" s="261"/>
      <c r="EU59" s="261"/>
      <c r="EV59" s="261"/>
      <c r="EW59" s="261"/>
      <c r="EX59" s="261"/>
      <c r="EY59" s="261"/>
      <c r="EZ59" s="231" t="s">
        <v>330</v>
      </c>
      <c r="FA59" s="235"/>
      <c r="FB59" s="238"/>
      <c r="FC59" s="231"/>
      <c r="FD59" s="236"/>
      <c r="FE59" s="238"/>
      <c r="FF59" s="237"/>
      <c r="FG59" s="231"/>
      <c r="FH59" s="236"/>
      <c r="FI59" s="236"/>
      <c r="FJ59" s="236"/>
      <c r="FK59" s="236"/>
      <c r="FL59" s="236"/>
      <c r="FM59" s="236"/>
      <c r="FN59" s="235"/>
      <c r="FO59" s="235"/>
      <c r="FP59" s="235"/>
      <c r="FQ59" s="235"/>
      <c r="FR59" s="235"/>
      <c r="FS59" s="235"/>
      <c r="FT59" s="235"/>
      <c r="FU59" s="235"/>
      <c r="FV59" s="235"/>
      <c r="FW59" s="235"/>
      <c r="FX59" s="235"/>
      <c r="FY59" s="312"/>
      <c r="FZ59" s="261"/>
      <c r="GA59" s="261"/>
      <c r="GB59" s="261"/>
      <c r="GC59" s="261"/>
      <c r="GD59" s="261"/>
      <c r="GE59" s="261"/>
      <c r="GF59" s="261"/>
      <c r="GG59" s="261"/>
      <c r="GH59" s="261"/>
      <c r="GI59" s="261"/>
      <c r="GJ59" s="261"/>
      <c r="GK59" s="261"/>
      <c r="GL59" s="261"/>
      <c r="GM59" s="261"/>
      <c r="GN59" s="261"/>
      <c r="GO59" s="261"/>
      <c r="GP59" s="261"/>
      <c r="GQ59" s="261"/>
      <c r="GR59" s="261"/>
      <c r="GS59" s="261"/>
      <c r="GT59" s="261"/>
      <c r="GU59" s="261"/>
      <c r="GV59" s="261"/>
      <c r="GW59" s="261"/>
      <c r="GX59" s="312"/>
      <c r="GY59" s="312"/>
      <c r="GZ59" s="312"/>
      <c r="HA59" s="312"/>
      <c r="HB59" s="261"/>
      <c r="HC59" s="261"/>
      <c r="HD59" s="261"/>
      <c r="HE59" s="261"/>
      <c r="HF59" s="1048"/>
    </row>
    <row r="60" spans="1:216">
      <c r="A60" s="960"/>
      <c r="B60" s="308" t="s">
        <v>761</v>
      </c>
      <c r="C60" s="918"/>
      <c r="D60" s="918"/>
      <c r="E60" s="930"/>
      <c r="F60" s="930"/>
      <c r="G60" s="922"/>
      <c r="H60" s="922"/>
      <c r="I60" s="922"/>
      <c r="J60" s="922"/>
      <c r="K60" s="971"/>
      <c r="L60" s="971"/>
      <c r="M60" s="922"/>
      <c r="N60" s="922"/>
      <c r="O60" s="922"/>
      <c r="P60" s="971"/>
      <c r="Q60" s="922"/>
      <c r="R60" s="922"/>
      <c r="S60" s="922"/>
      <c r="T60" s="922"/>
      <c r="U60" s="971"/>
      <c r="V60" s="922"/>
      <c r="W60" s="922"/>
      <c r="X60" s="971"/>
      <c r="Y60" s="922"/>
      <c r="Z60" s="922"/>
      <c r="AA60" s="922"/>
      <c r="AB60" s="922"/>
      <c r="AC60" s="922"/>
      <c r="AD60" s="922"/>
      <c r="AE60" s="922"/>
      <c r="AF60" s="983"/>
      <c r="AG60" s="983"/>
      <c r="AH60" s="983"/>
      <c r="AI60" s="983"/>
      <c r="AJ60" s="922"/>
      <c r="AK60" s="983"/>
      <c r="AL60" s="922"/>
      <c r="AM60" s="983"/>
      <c r="AN60" s="983"/>
      <c r="AO60" s="983"/>
      <c r="AP60" s="1008"/>
      <c r="AQ60" s="1008"/>
      <c r="AR60" s="1008"/>
      <c r="AS60" s="1008"/>
      <c r="AT60" s="1008"/>
      <c r="AU60" s="1033"/>
      <c r="AV60" s="1008"/>
      <c r="AW60" s="1008"/>
      <c r="AX60" s="1008"/>
      <c r="AY60" s="1008"/>
      <c r="AZ60" s="1008"/>
      <c r="BA60" s="1008"/>
      <c r="BB60" s="1008"/>
      <c r="BC60" s="1008"/>
      <c r="BD60" s="1008"/>
      <c r="BE60" s="1008"/>
      <c r="BF60" s="1008"/>
      <c r="BG60" s="1008"/>
      <c r="BH60" s="1008"/>
      <c r="BI60" s="1008"/>
      <c r="BJ60" s="1008"/>
      <c r="BK60" s="1008"/>
      <c r="BL60" s="1008"/>
      <c r="BM60" s="1033"/>
      <c r="BN60" s="1008"/>
      <c r="BO60" s="1008"/>
      <c r="BP60" s="1033"/>
      <c r="BQ60" s="1008"/>
      <c r="BR60" s="1008"/>
      <c r="BS60" s="1008"/>
      <c r="BT60" s="1008"/>
      <c r="BU60" s="1008"/>
      <c r="BV60" s="1008"/>
      <c r="BW60" s="1008"/>
      <c r="BX60" s="1008"/>
      <c r="BY60" s="1008"/>
      <c r="BZ60" s="1008"/>
      <c r="CA60" s="1008"/>
      <c r="CB60" s="1008"/>
      <c r="CC60" s="1008"/>
      <c r="CD60" s="1018"/>
      <c r="CE60" s="1018"/>
      <c r="CF60" s="1018"/>
      <c r="CG60" s="1018"/>
      <c r="CH60" s="1018"/>
      <c r="CI60" s="1018"/>
      <c r="CJ60" s="1018"/>
      <c r="CK60" s="261"/>
      <c r="CL60" s="261"/>
      <c r="CM60" s="261"/>
      <c r="CN60" s="261"/>
      <c r="CO60" s="261"/>
      <c r="CP60" s="261"/>
      <c r="CQ60" s="261"/>
      <c r="CR60" s="261"/>
      <c r="CS60" s="261"/>
      <c r="CT60" s="261"/>
      <c r="CU60" s="261"/>
      <c r="CV60" s="261"/>
      <c r="CW60" s="261"/>
      <c r="CX60" s="261"/>
      <c r="CY60" s="261"/>
      <c r="CZ60" s="261"/>
      <c r="DA60" s="261"/>
      <c r="DB60" s="261"/>
      <c r="DC60" s="261"/>
      <c r="DD60" s="261"/>
      <c r="DE60" s="261"/>
      <c r="DF60" s="261"/>
      <c r="DG60" s="261"/>
      <c r="DH60" s="261"/>
      <c r="DI60" s="261"/>
      <c r="DJ60" s="261"/>
      <c r="DK60" s="261"/>
      <c r="DL60" s="261"/>
      <c r="DM60" s="261"/>
      <c r="DN60" s="261"/>
      <c r="DO60" s="261"/>
      <c r="DP60" s="261"/>
      <c r="DQ60" s="261"/>
      <c r="DR60" s="261"/>
      <c r="DS60" s="261"/>
      <c r="DT60" s="261"/>
      <c r="DU60" s="261"/>
      <c r="DV60" s="261"/>
      <c r="DW60" s="261"/>
      <c r="DX60" s="261"/>
      <c r="DY60" s="261"/>
      <c r="DZ60" s="261"/>
      <c r="EA60" s="261"/>
      <c r="EB60" s="261"/>
      <c r="EC60" s="261"/>
      <c r="ED60" s="261"/>
      <c r="EE60" s="261"/>
      <c r="EF60" s="261"/>
      <c r="EG60" s="261"/>
      <c r="EH60" s="261"/>
      <c r="EI60" s="261"/>
      <c r="EJ60" s="261"/>
      <c r="EK60" s="261"/>
      <c r="EL60" s="261"/>
      <c r="EM60" s="261"/>
      <c r="EN60" s="261"/>
      <c r="EO60" s="261"/>
      <c r="EP60" s="261"/>
      <c r="EQ60" s="261"/>
      <c r="ER60" s="261"/>
      <c r="ES60" s="261"/>
      <c r="ET60" s="261"/>
      <c r="EU60" s="261"/>
      <c r="EV60" s="261"/>
      <c r="EW60" s="261"/>
      <c r="EX60" s="261"/>
      <c r="EY60" s="261"/>
      <c r="EZ60" s="231"/>
      <c r="FA60" s="235"/>
      <c r="FB60" s="238"/>
      <c r="FC60" s="231"/>
      <c r="FD60" s="236"/>
      <c r="FE60" s="238"/>
      <c r="FF60" s="237"/>
      <c r="FG60" s="231"/>
      <c r="FH60" s="236"/>
      <c r="FI60" s="236"/>
      <c r="FJ60" s="236"/>
      <c r="FK60" s="236"/>
      <c r="FL60" s="236"/>
      <c r="FM60" s="236"/>
      <c r="FN60" s="235"/>
      <c r="FO60" s="235"/>
      <c r="FP60" s="235"/>
      <c r="FQ60" s="235"/>
      <c r="FR60" s="235"/>
      <c r="FS60" s="235"/>
      <c r="FT60" s="235"/>
      <c r="FU60" s="235"/>
      <c r="FV60" s="235"/>
      <c r="FW60" s="235"/>
      <c r="FX60" s="235"/>
      <c r="FY60" s="312"/>
      <c r="FZ60" s="261"/>
      <c r="GA60" s="261"/>
      <c r="GB60" s="261"/>
      <c r="GC60" s="261"/>
      <c r="GD60" s="261"/>
      <c r="GE60" s="261"/>
      <c r="GF60" s="261"/>
      <c r="GG60" s="261"/>
      <c r="GH60" s="261"/>
      <c r="GI60" s="261"/>
      <c r="GJ60" s="261"/>
      <c r="GK60" s="261"/>
      <c r="GL60" s="261"/>
      <c r="GM60" s="261"/>
      <c r="GN60" s="261"/>
      <c r="GO60" s="261"/>
      <c r="GP60" s="261"/>
      <c r="GQ60" s="261"/>
      <c r="GR60" s="261"/>
      <c r="GS60" s="261"/>
      <c r="GT60" s="261"/>
      <c r="GU60" s="261"/>
      <c r="GV60" s="261"/>
      <c r="GW60" s="261"/>
      <c r="GX60" s="312"/>
      <c r="GY60" s="312"/>
      <c r="GZ60" s="312"/>
      <c r="HA60" s="312"/>
      <c r="HB60" s="261"/>
      <c r="HC60" s="261"/>
      <c r="HD60" s="261"/>
      <c r="HE60" s="261"/>
      <c r="HF60" s="1048"/>
      <c r="HG60" s="218" t="s">
        <v>762</v>
      </c>
    </row>
    <row r="61" spans="1:216">
      <c r="A61" s="960"/>
      <c r="B61" s="308" t="s">
        <v>780</v>
      </c>
      <c r="C61" s="918"/>
      <c r="D61" s="918"/>
      <c r="E61" s="930"/>
      <c r="F61" s="930"/>
      <c r="G61" s="922"/>
      <c r="H61" s="922"/>
      <c r="I61" s="922"/>
      <c r="J61" s="922"/>
      <c r="K61" s="971"/>
      <c r="L61" s="971"/>
      <c r="M61" s="922"/>
      <c r="N61" s="922"/>
      <c r="O61" s="922"/>
      <c r="P61" s="971"/>
      <c r="Q61" s="922"/>
      <c r="R61" s="922"/>
      <c r="S61" s="922"/>
      <c r="T61" s="922"/>
      <c r="U61" s="971"/>
      <c r="V61" s="922"/>
      <c r="W61" s="922"/>
      <c r="X61" s="971"/>
      <c r="Y61" s="922"/>
      <c r="Z61" s="922"/>
      <c r="AA61" s="922"/>
      <c r="AB61" s="922"/>
      <c r="AC61" s="922"/>
      <c r="AD61" s="922"/>
      <c r="AE61" s="922"/>
      <c r="AF61" s="983"/>
      <c r="AG61" s="983"/>
      <c r="AH61" s="983"/>
      <c r="AI61" s="983"/>
      <c r="AJ61" s="922"/>
      <c r="AK61" s="983"/>
      <c r="AL61" s="922"/>
      <c r="AM61" s="983"/>
      <c r="AN61" s="983"/>
      <c r="AO61" s="983"/>
      <c r="AP61" s="1008"/>
      <c r="AQ61" s="1008"/>
      <c r="AR61" s="1008"/>
      <c r="AS61" s="1008"/>
      <c r="AT61" s="1008"/>
      <c r="AU61" s="1033"/>
      <c r="AV61" s="1008"/>
      <c r="AW61" s="1008"/>
      <c r="AX61" s="1008"/>
      <c r="AY61" s="1008"/>
      <c r="AZ61" s="1008"/>
      <c r="BA61" s="1008"/>
      <c r="BB61" s="1008"/>
      <c r="BC61" s="1008"/>
      <c r="BD61" s="1008"/>
      <c r="BE61" s="1008"/>
      <c r="BF61" s="1008"/>
      <c r="BG61" s="1008"/>
      <c r="BH61" s="1008"/>
      <c r="BI61" s="1008"/>
      <c r="BJ61" s="1008"/>
      <c r="BK61" s="1008"/>
      <c r="BL61" s="1008"/>
      <c r="BM61" s="1033"/>
      <c r="BN61" s="1008"/>
      <c r="BO61" s="1008"/>
      <c r="BP61" s="1033"/>
      <c r="BQ61" s="1008"/>
      <c r="BR61" s="1008"/>
      <c r="BS61" s="1008"/>
      <c r="BT61" s="1008"/>
      <c r="BU61" s="1008"/>
      <c r="BV61" s="1008"/>
      <c r="BW61" s="1008"/>
      <c r="BX61" s="1008"/>
      <c r="BY61" s="1008"/>
      <c r="BZ61" s="1008"/>
      <c r="CA61" s="1008"/>
      <c r="CB61" s="1008"/>
      <c r="CC61" s="1008"/>
      <c r="CD61" s="1018"/>
      <c r="CE61" s="1018"/>
      <c r="CF61" s="1018"/>
      <c r="CG61" s="1018"/>
      <c r="CH61" s="1018"/>
      <c r="CI61" s="1018"/>
      <c r="CJ61" s="1018"/>
      <c r="CK61" s="261"/>
      <c r="CL61" s="261"/>
      <c r="CM61" s="261"/>
      <c r="CN61" s="261"/>
      <c r="CO61" s="261"/>
      <c r="CP61" s="261"/>
      <c r="CQ61" s="261"/>
      <c r="CR61" s="261"/>
      <c r="CS61" s="261"/>
      <c r="CT61" s="261"/>
      <c r="CU61" s="261"/>
      <c r="CV61" s="261"/>
      <c r="CW61" s="261"/>
      <c r="CX61" s="261"/>
      <c r="CY61" s="261"/>
      <c r="CZ61" s="261"/>
      <c r="DA61" s="261"/>
      <c r="DB61" s="261"/>
      <c r="DC61" s="261"/>
      <c r="DD61" s="261"/>
      <c r="DE61" s="261"/>
      <c r="DF61" s="261"/>
      <c r="DG61" s="261"/>
      <c r="DH61" s="261"/>
      <c r="DI61" s="261"/>
      <c r="DJ61" s="261"/>
      <c r="DK61" s="261"/>
      <c r="DL61" s="261"/>
      <c r="DM61" s="261"/>
      <c r="DN61" s="261"/>
      <c r="DO61" s="261"/>
      <c r="DP61" s="261"/>
      <c r="DQ61" s="261"/>
      <c r="DR61" s="261"/>
      <c r="DS61" s="261"/>
      <c r="DT61" s="261"/>
      <c r="DU61" s="261"/>
      <c r="DV61" s="261"/>
      <c r="DW61" s="261"/>
      <c r="DX61" s="261"/>
      <c r="DY61" s="261"/>
      <c r="DZ61" s="261"/>
      <c r="EA61" s="261"/>
      <c r="EB61" s="261"/>
      <c r="EC61" s="261"/>
      <c r="ED61" s="261"/>
      <c r="EE61" s="261"/>
      <c r="EF61" s="261"/>
      <c r="EG61" s="261"/>
      <c r="EH61" s="261"/>
      <c r="EI61" s="261"/>
      <c r="EJ61" s="261"/>
      <c r="EK61" s="261"/>
      <c r="EL61" s="261"/>
      <c r="EM61" s="261"/>
      <c r="EN61" s="261"/>
      <c r="EO61" s="261"/>
      <c r="EP61" s="261"/>
      <c r="EQ61" s="261"/>
      <c r="ER61" s="261"/>
      <c r="ES61" s="261"/>
      <c r="ET61" s="261"/>
      <c r="EU61" s="261"/>
      <c r="EV61" s="261"/>
      <c r="EW61" s="261"/>
      <c r="EX61" s="261"/>
      <c r="EY61" s="261"/>
      <c r="EZ61" s="231"/>
      <c r="FA61" s="235"/>
      <c r="FB61" s="238"/>
      <c r="FC61" s="231"/>
      <c r="FD61" s="236"/>
      <c r="FE61" s="238"/>
      <c r="FF61" s="237"/>
      <c r="FG61" s="231"/>
      <c r="FH61" s="236"/>
      <c r="FI61" s="236"/>
      <c r="FJ61" s="236"/>
      <c r="FK61" s="236"/>
      <c r="FL61" s="236"/>
      <c r="FM61" s="236"/>
      <c r="FN61" s="235"/>
      <c r="FO61" s="235"/>
      <c r="FP61" s="235"/>
      <c r="FQ61" s="235"/>
      <c r="FR61" s="235"/>
      <c r="FS61" s="235"/>
      <c r="FT61" s="235"/>
      <c r="FU61" s="235"/>
      <c r="FV61" s="235"/>
      <c r="FW61" s="235"/>
      <c r="FX61" s="235"/>
      <c r="FY61" s="312"/>
      <c r="FZ61" s="261"/>
      <c r="GA61" s="261"/>
      <c r="GB61" s="261"/>
      <c r="GC61" s="261"/>
      <c r="GD61" s="261"/>
      <c r="GE61" s="261"/>
      <c r="GF61" s="261"/>
      <c r="GG61" s="261"/>
      <c r="GH61" s="261"/>
      <c r="GI61" s="261"/>
      <c r="GJ61" s="261"/>
      <c r="GK61" s="261"/>
      <c r="GL61" s="261"/>
      <c r="GM61" s="261"/>
      <c r="GN61" s="261"/>
      <c r="GO61" s="261"/>
      <c r="GP61" s="261"/>
      <c r="GQ61" s="261"/>
      <c r="GR61" s="261"/>
      <c r="GS61" s="261"/>
      <c r="GT61" s="261"/>
      <c r="GU61" s="261"/>
      <c r="GV61" s="261"/>
      <c r="GW61" s="261"/>
      <c r="GX61" s="312"/>
      <c r="GY61" s="312"/>
      <c r="GZ61" s="312"/>
      <c r="HA61" s="312"/>
      <c r="HB61" s="261"/>
      <c r="HC61" s="261"/>
      <c r="HD61" s="261"/>
      <c r="HE61" s="261"/>
      <c r="HF61" s="1048"/>
    </row>
    <row r="62" spans="1:216" ht="27.6">
      <c r="A62" s="960"/>
      <c r="B62" s="841" t="s">
        <v>835</v>
      </c>
      <c r="C62" s="918"/>
      <c r="D62" s="918"/>
      <c r="E62" s="930"/>
      <c r="F62" s="930"/>
      <c r="G62" s="922"/>
      <c r="H62" s="922"/>
      <c r="I62" s="922"/>
      <c r="J62" s="922"/>
      <c r="K62" s="971"/>
      <c r="L62" s="971"/>
      <c r="M62" s="922"/>
      <c r="N62" s="922"/>
      <c r="O62" s="922"/>
      <c r="P62" s="971"/>
      <c r="Q62" s="922"/>
      <c r="R62" s="922"/>
      <c r="S62" s="922"/>
      <c r="T62" s="922"/>
      <c r="U62" s="971"/>
      <c r="V62" s="922"/>
      <c r="W62" s="922"/>
      <c r="X62" s="971"/>
      <c r="Y62" s="922"/>
      <c r="Z62" s="922"/>
      <c r="AA62" s="922"/>
      <c r="AB62" s="922"/>
      <c r="AC62" s="922"/>
      <c r="AD62" s="922"/>
      <c r="AE62" s="922"/>
      <c r="AF62" s="983"/>
      <c r="AG62" s="983"/>
      <c r="AH62" s="983"/>
      <c r="AI62" s="983"/>
      <c r="AJ62" s="922"/>
      <c r="AK62" s="983"/>
      <c r="AL62" s="922"/>
      <c r="AM62" s="983"/>
      <c r="AN62" s="983"/>
      <c r="AO62" s="983"/>
      <c r="AP62" s="1008"/>
      <c r="AQ62" s="1008"/>
      <c r="AR62" s="1008"/>
      <c r="AS62" s="1008"/>
      <c r="AT62" s="1008"/>
      <c r="AU62" s="1033"/>
      <c r="AV62" s="1008"/>
      <c r="AW62" s="1008"/>
      <c r="AX62" s="1008"/>
      <c r="AY62" s="1008"/>
      <c r="AZ62" s="1008"/>
      <c r="BA62" s="1008"/>
      <c r="BB62" s="1008"/>
      <c r="BC62" s="1008"/>
      <c r="BD62" s="1008"/>
      <c r="BE62" s="1008"/>
      <c r="BF62" s="1008"/>
      <c r="BG62" s="1008"/>
      <c r="BH62" s="1008"/>
      <c r="BI62" s="1008"/>
      <c r="BJ62" s="1008"/>
      <c r="BK62" s="1008"/>
      <c r="BL62" s="1008"/>
      <c r="BM62" s="1033"/>
      <c r="BN62" s="1008"/>
      <c r="BO62" s="1008"/>
      <c r="BP62" s="1033"/>
      <c r="BQ62" s="1008"/>
      <c r="BR62" s="1008"/>
      <c r="BS62" s="1008"/>
      <c r="BT62" s="1008"/>
      <c r="BU62" s="1008"/>
      <c r="BV62" s="1008"/>
      <c r="BW62" s="1008"/>
      <c r="BX62" s="1008"/>
      <c r="BY62" s="1008"/>
      <c r="BZ62" s="1008"/>
      <c r="CA62" s="1008"/>
      <c r="CB62" s="1008"/>
      <c r="CC62" s="1008"/>
      <c r="CD62" s="1018"/>
      <c r="CE62" s="1018"/>
      <c r="CF62" s="1018"/>
      <c r="CG62" s="1018"/>
      <c r="CH62" s="1018"/>
      <c r="CI62" s="1018"/>
      <c r="CJ62" s="1018"/>
      <c r="CK62" s="261"/>
      <c r="CL62" s="261"/>
      <c r="CM62" s="261"/>
      <c r="CN62" s="261"/>
      <c r="CO62" s="261"/>
      <c r="CP62" s="261"/>
      <c r="CQ62" s="261"/>
      <c r="CR62" s="261"/>
      <c r="CS62" s="261"/>
      <c r="CT62" s="261"/>
      <c r="CU62" s="261"/>
      <c r="CV62" s="261"/>
      <c r="CW62" s="261"/>
      <c r="CX62" s="261"/>
      <c r="CY62" s="261"/>
      <c r="CZ62" s="261"/>
      <c r="DA62" s="261"/>
      <c r="DB62" s="261"/>
      <c r="DC62" s="261"/>
      <c r="DD62" s="261"/>
      <c r="DE62" s="261"/>
      <c r="DF62" s="261"/>
      <c r="DG62" s="261"/>
      <c r="DH62" s="261"/>
      <c r="DI62" s="261"/>
      <c r="DJ62" s="261"/>
      <c r="DK62" s="261"/>
      <c r="DL62" s="261"/>
      <c r="DM62" s="261"/>
      <c r="DN62" s="261"/>
      <c r="DO62" s="261"/>
      <c r="DP62" s="261"/>
      <c r="DQ62" s="261"/>
      <c r="DR62" s="261"/>
      <c r="DS62" s="261"/>
      <c r="DT62" s="261"/>
      <c r="DU62" s="261"/>
      <c r="DV62" s="261"/>
      <c r="DW62" s="261"/>
      <c r="DX62" s="261"/>
      <c r="DY62" s="261"/>
      <c r="DZ62" s="261"/>
      <c r="EA62" s="261"/>
      <c r="EB62" s="261"/>
      <c r="EC62" s="261"/>
      <c r="ED62" s="261"/>
      <c r="EE62" s="261"/>
      <c r="EF62" s="261"/>
      <c r="EG62" s="261"/>
      <c r="EH62" s="261"/>
      <c r="EI62" s="261"/>
      <c r="EJ62" s="261"/>
      <c r="EK62" s="261"/>
      <c r="EL62" s="261"/>
      <c r="EM62" s="261"/>
      <c r="EN62" s="261"/>
      <c r="EO62" s="261"/>
      <c r="EP62" s="261"/>
      <c r="EQ62" s="261"/>
      <c r="ER62" s="261"/>
      <c r="ES62" s="261"/>
      <c r="ET62" s="261"/>
      <c r="EU62" s="261"/>
      <c r="EV62" s="261"/>
      <c r="EW62" s="261"/>
      <c r="EX62" s="261"/>
      <c r="EY62" s="261"/>
      <c r="EZ62" s="231"/>
      <c r="FA62" s="235"/>
      <c r="FB62" s="238"/>
      <c r="FC62" s="231"/>
      <c r="FD62" s="236"/>
      <c r="FE62" s="238"/>
      <c r="FF62" s="237"/>
      <c r="FG62" s="231"/>
      <c r="FH62" s="236"/>
      <c r="FI62" s="236"/>
      <c r="FJ62" s="236"/>
      <c r="FK62" s="236"/>
      <c r="FL62" s="236"/>
      <c r="FM62" s="236"/>
      <c r="FN62" s="235"/>
      <c r="FO62" s="235"/>
      <c r="FP62" s="235"/>
      <c r="FQ62" s="235"/>
      <c r="FR62" s="235"/>
      <c r="FS62" s="235"/>
      <c r="FT62" s="235"/>
      <c r="FU62" s="235"/>
      <c r="FV62" s="235"/>
      <c r="FW62" s="235"/>
      <c r="FX62" s="235"/>
      <c r="FY62" s="312"/>
      <c r="FZ62" s="261"/>
      <c r="GA62" s="261"/>
      <c r="GB62" s="261"/>
      <c r="GC62" s="261"/>
      <c r="GD62" s="261"/>
      <c r="GE62" s="261"/>
      <c r="GF62" s="261"/>
      <c r="GG62" s="261"/>
      <c r="GH62" s="261"/>
      <c r="GI62" s="261"/>
      <c r="GJ62" s="261"/>
      <c r="GK62" s="261"/>
      <c r="GL62" s="261"/>
      <c r="GM62" s="261"/>
      <c r="GN62" s="261"/>
      <c r="GO62" s="261"/>
      <c r="GP62" s="261"/>
      <c r="GQ62" s="261"/>
      <c r="GR62" s="261"/>
      <c r="GS62" s="261"/>
      <c r="GT62" s="261"/>
      <c r="GU62" s="261"/>
      <c r="GV62" s="261"/>
      <c r="GW62" s="261"/>
      <c r="GX62" s="312"/>
      <c r="GY62" s="312"/>
      <c r="GZ62" s="312"/>
      <c r="HA62" s="312"/>
      <c r="HB62" s="261"/>
      <c r="HC62" s="261"/>
      <c r="HD62" s="261"/>
      <c r="HE62" s="261"/>
      <c r="HF62" s="1048"/>
    </row>
    <row r="63" spans="1:216" ht="41.4">
      <c r="A63" s="756" t="s">
        <v>33</v>
      </c>
      <c r="B63" s="839" t="s">
        <v>811</v>
      </c>
      <c r="C63" s="842">
        <v>7.4999999999999997E-3</v>
      </c>
      <c r="D63" s="842">
        <v>7.4999999999999997E-3</v>
      </c>
      <c r="E63" s="842">
        <v>7.4999999999999997E-3</v>
      </c>
      <c r="F63" s="276">
        <v>8.5000000000000006E-3</v>
      </c>
      <c r="G63" s="276">
        <v>8.5000000000000006E-3</v>
      </c>
      <c r="H63" s="276">
        <v>8.5000000000000006E-3</v>
      </c>
      <c r="I63" s="275">
        <v>8.5000000000000006E-3</v>
      </c>
      <c r="J63" s="276">
        <v>8.0000000000000002E-3</v>
      </c>
      <c r="K63" s="276">
        <v>8.0000000000000002E-3</v>
      </c>
      <c r="L63" s="276">
        <v>8.0000000000000002E-3</v>
      </c>
      <c r="M63" s="276">
        <v>8.0000000000000002E-3</v>
      </c>
      <c r="N63" s="276">
        <v>8.0000000000000002E-3</v>
      </c>
      <c r="O63" s="276">
        <v>8.0000000000000002E-3</v>
      </c>
      <c r="P63" s="276">
        <v>8.0000000000000002E-3</v>
      </c>
      <c r="Q63" s="276">
        <v>8.0000000000000002E-3</v>
      </c>
      <c r="R63" s="276">
        <v>8.0000000000000002E-3</v>
      </c>
      <c r="S63" s="276">
        <v>7.0000000000000001E-3</v>
      </c>
      <c r="T63" s="276">
        <v>7.0000000000000001E-3</v>
      </c>
      <c r="U63" s="276">
        <v>7.0000000000000001E-3</v>
      </c>
      <c r="V63" s="276">
        <v>7.0000000000000001E-3</v>
      </c>
      <c r="W63" s="276">
        <v>7.0000000000000001E-3</v>
      </c>
      <c r="X63" s="276">
        <v>7.0000000000000001E-3</v>
      </c>
      <c r="Y63" s="276">
        <v>7.0000000000000001E-3</v>
      </c>
      <c r="Z63" s="276">
        <v>7.0000000000000001E-3</v>
      </c>
      <c r="AA63" s="276">
        <v>7.0000000000000001E-3</v>
      </c>
      <c r="AB63" s="276">
        <v>7.0000000000000001E-3</v>
      </c>
      <c r="AC63" s="276">
        <v>7.0000000000000001E-3</v>
      </c>
      <c r="AD63" s="275">
        <v>7.0000000000000001E-3</v>
      </c>
      <c r="AE63" s="275">
        <v>8.5000000000000006E-3</v>
      </c>
      <c r="AF63" s="233">
        <v>9.4999999999999998E-3</v>
      </c>
      <c r="AG63" s="275">
        <v>9.4999999999999998E-3</v>
      </c>
      <c r="AH63" s="233">
        <v>1.0999999999999999E-2</v>
      </c>
      <c r="AI63" s="233">
        <v>1.0999999999999999E-2</v>
      </c>
      <c r="AJ63" s="275">
        <v>1.0999999999999999E-2</v>
      </c>
      <c r="AK63" s="233">
        <v>8.5000000000000006E-3</v>
      </c>
      <c r="AL63" s="276">
        <v>8.5000000000000006E-3</v>
      </c>
      <c r="AM63" s="275">
        <v>8.5000000000000006E-3</v>
      </c>
      <c r="AN63" s="275">
        <v>1.0500000000000001E-2</v>
      </c>
      <c r="AO63" s="233">
        <v>1.2E-2</v>
      </c>
      <c r="AP63" s="274">
        <v>1.2E-2</v>
      </c>
      <c r="AQ63" s="273">
        <v>1.4E-2</v>
      </c>
      <c r="AR63" s="274">
        <v>1.4E-2</v>
      </c>
      <c r="AS63" s="274">
        <v>1.4999999999999999E-2</v>
      </c>
      <c r="AT63" s="274">
        <v>1.95E-2</v>
      </c>
      <c r="AU63" s="274">
        <v>1.4999999999999999E-2</v>
      </c>
      <c r="AV63" s="273">
        <v>1.6E-2</v>
      </c>
      <c r="AW63" s="273">
        <v>1.6E-2</v>
      </c>
      <c r="AX63" s="274">
        <v>1.6E-2</v>
      </c>
      <c r="AY63" s="273">
        <v>1.9E-2</v>
      </c>
      <c r="AZ63" s="273">
        <v>1.9E-2</v>
      </c>
      <c r="BA63" s="273">
        <v>1.9E-2</v>
      </c>
      <c r="BB63" s="261">
        <v>2.35E-2</v>
      </c>
      <c r="BC63" s="261">
        <v>2.35E-2</v>
      </c>
      <c r="BD63" s="261">
        <v>2.35E-2</v>
      </c>
      <c r="BE63" s="295">
        <v>2.5499999999999998E-2</v>
      </c>
      <c r="BF63" s="261">
        <v>2.7E-2</v>
      </c>
      <c r="BG63" s="261">
        <v>2.7E-2</v>
      </c>
      <c r="BH63" s="261">
        <v>2.7E-2</v>
      </c>
      <c r="BI63" s="295">
        <v>2.7E-2</v>
      </c>
      <c r="BJ63" s="261">
        <v>2.7799999999999998E-2</v>
      </c>
      <c r="BK63" s="261">
        <v>2.7799999999999998E-2</v>
      </c>
      <c r="BL63" s="261">
        <v>2.7799999999999998E-2</v>
      </c>
      <c r="BM63" s="295" t="s">
        <v>450</v>
      </c>
      <c r="BN63" s="261">
        <v>2.5999999999999999E-2</v>
      </c>
      <c r="BO63" s="261">
        <v>2.5999999999999999E-2</v>
      </c>
      <c r="BP63" s="261">
        <v>2.5999999999999999E-2</v>
      </c>
      <c r="BQ63" s="261">
        <v>2.5999999999999999E-2</v>
      </c>
      <c r="BR63" s="295">
        <v>2.5999999999999999E-2</v>
      </c>
      <c r="BS63" s="261">
        <v>2.6499999999999999E-2</v>
      </c>
      <c r="BT63" s="261">
        <v>2.6499999999999999E-2</v>
      </c>
      <c r="BU63" s="261">
        <v>2.6499999999999999E-2</v>
      </c>
      <c r="BV63" s="261">
        <v>2.6499999999999999E-2</v>
      </c>
      <c r="BW63" s="261">
        <v>2.6499999999999999E-2</v>
      </c>
      <c r="BX63" s="261">
        <v>2.6499999999999999E-2</v>
      </c>
      <c r="BY63" s="261">
        <v>0.03</v>
      </c>
      <c r="BZ63" s="261">
        <v>0.03</v>
      </c>
      <c r="CA63" s="261">
        <v>0.03</v>
      </c>
      <c r="CB63" s="261">
        <v>3.0499999999999999E-2</v>
      </c>
      <c r="CC63" s="261">
        <v>3.0499999999999999E-2</v>
      </c>
      <c r="CD63" s="273">
        <v>2.9499999999999998E-2</v>
      </c>
      <c r="CE63" s="261">
        <v>2.9499999999999998E-2</v>
      </c>
      <c r="CF63" s="261">
        <v>3.2500000000000001E-2</v>
      </c>
      <c r="CG63" s="261">
        <v>3.2500000000000001E-2</v>
      </c>
      <c r="CH63" s="261">
        <v>3.2500000000000001E-2</v>
      </c>
      <c r="CI63" s="261">
        <v>3.2500000000000001E-2</v>
      </c>
      <c r="CJ63" s="261">
        <v>3.3500000000000002E-2</v>
      </c>
      <c r="CK63" s="261">
        <v>3.3500000000000002E-2</v>
      </c>
      <c r="CL63" s="261">
        <v>3.3500000000000002E-2</v>
      </c>
      <c r="CM63" s="261">
        <v>3.3500000000000002E-2</v>
      </c>
      <c r="CN63" s="261">
        <v>3.3500000000000002E-2</v>
      </c>
      <c r="CO63" s="261">
        <v>3.1E-2</v>
      </c>
      <c r="CP63" s="261" t="s">
        <v>449</v>
      </c>
      <c r="CQ63" s="261"/>
      <c r="CR63" s="261"/>
      <c r="CS63" s="261"/>
      <c r="CT63" s="261"/>
      <c r="CU63" s="261"/>
      <c r="CV63" s="261"/>
      <c r="CW63" s="261"/>
      <c r="CX63" s="261"/>
      <c r="CY63" s="261"/>
      <c r="CZ63" s="261"/>
      <c r="DA63" s="261"/>
      <c r="DB63" s="261"/>
      <c r="DC63" s="261"/>
      <c r="DD63" s="261"/>
      <c r="DE63" s="261"/>
      <c r="DF63" s="261"/>
      <c r="DG63" s="261"/>
      <c r="DH63" s="261"/>
      <c r="DI63" s="261"/>
      <c r="DJ63" s="261"/>
      <c r="DK63" s="261"/>
      <c r="DL63" s="261"/>
      <c r="DM63" s="261"/>
      <c r="DN63" s="261"/>
      <c r="DO63" s="261"/>
      <c r="DP63" s="261"/>
      <c r="DQ63" s="261"/>
      <c r="DR63" s="261"/>
      <c r="DS63" s="261"/>
      <c r="DT63" s="261"/>
      <c r="DU63" s="261"/>
      <c r="DV63" s="261"/>
      <c r="DW63" s="261"/>
      <c r="DX63" s="261"/>
      <c r="DY63" s="261"/>
      <c r="DZ63" s="261"/>
      <c r="EA63" s="261"/>
      <c r="EB63" s="261"/>
      <c r="EC63" s="261"/>
      <c r="ED63" s="261"/>
      <c r="EE63" s="261"/>
      <c r="EF63" s="261"/>
      <c r="EG63" s="261"/>
      <c r="EH63" s="261"/>
      <c r="EI63" s="261"/>
      <c r="EJ63" s="261"/>
      <c r="EK63" s="261"/>
      <c r="EL63" s="261"/>
      <c r="EM63" s="261"/>
      <c r="EN63" s="261"/>
      <c r="EO63" s="261"/>
      <c r="EP63" s="261"/>
      <c r="EQ63" s="261"/>
      <c r="ER63" s="261"/>
      <c r="ES63" s="261"/>
      <c r="ET63" s="261"/>
      <c r="EU63" s="261"/>
      <c r="EV63" s="261"/>
      <c r="EW63" s="261"/>
      <c r="EX63" s="261"/>
      <c r="EY63" s="261"/>
      <c r="EZ63" s="231" t="s">
        <v>448</v>
      </c>
      <c r="FA63" s="235"/>
      <c r="FB63" s="238"/>
      <c r="FC63" s="231"/>
      <c r="FD63" s="236"/>
      <c r="FE63" s="238"/>
      <c r="FF63" s="237"/>
      <c r="FG63" s="231"/>
      <c r="FH63" s="236"/>
      <c r="FI63" s="236"/>
      <c r="FJ63" s="236"/>
      <c r="FK63" s="236"/>
      <c r="FL63" s="236"/>
      <c r="FM63" s="236"/>
      <c r="FN63" s="235"/>
      <c r="FO63" s="235"/>
      <c r="FP63" s="235"/>
      <c r="FQ63" s="235"/>
      <c r="FR63" s="235"/>
      <c r="FS63" s="235"/>
      <c r="FT63" s="235"/>
      <c r="FU63" s="235"/>
      <c r="FV63" s="235"/>
      <c r="FW63" s="235"/>
      <c r="FX63" s="235"/>
      <c r="FY63" s="312"/>
      <c r="FZ63" s="261"/>
      <c r="GA63" s="261"/>
      <c r="GB63" s="261"/>
      <c r="GC63" s="261"/>
      <c r="GD63" s="261"/>
      <c r="GE63" s="261"/>
      <c r="GF63" s="261"/>
      <c r="GG63" s="261"/>
      <c r="GH63" s="261"/>
      <c r="GI63" s="261"/>
      <c r="GJ63" s="261"/>
      <c r="GK63" s="261"/>
      <c r="GL63" s="261"/>
      <c r="GM63" s="261"/>
      <c r="GN63" s="261"/>
      <c r="GO63" s="261"/>
      <c r="GP63" s="261"/>
      <c r="GQ63" s="261"/>
      <c r="GR63" s="261"/>
      <c r="GS63" s="261"/>
      <c r="GT63" s="261"/>
      <c r="GU63" s="261"/>
      <c r="GV63" s="261"/>
      <c r="GW63" s="261"/>
      <c r="GX63" s="312"/>
      <c r="GY63" s="312"/>
      <c r="GZ63" s="312"/>
      <c r="HA63" s="312"/>
      <c r="HB63" s="261"/>
      <c r="HC63" s="261"/>
      <c r="HD63" s="261"/>
      <c r="HE63" s="261"/>
      <c r="HF63" s="178">
        <f>C63-D63</f>
        <v>0</v>
      </c>
    </row>
    <row r="64" spans="1:216" ht="15" customHeight="1">
      <c r="A64" s="1060" t="s">
        <v>23</v>
      </c>
      <c r="B64" s="909" t="s">
        <v>809</v>
      </c>
      <c r="C64" s="913">
        <v>1.15E-2</v>
      </c>
      <c r="D64" s="913">
        <v>1.15E-2</v>
      </c>
      <c r="E64" s="913">
        <v>1.15E-2</v>
      </c>
      <c r="F64" s="1064"/>
      <c r="G64" s="1064" t="s">
        <v>124</v>
      </c>
      <c r="H64" s="1064" t="s">
        <v>124</v>
      </c>
      <c r="I64" s="1064" t="s">
        <v>124</v>
      </c>
      <c r="J64" s="1064" t="s">
        <v>124</v>
      </c>
      <c r="K64" s="1064" t="s">
        <v>124</v>
      </c>
      <c r="L64" s="1064" t="s">
        <v>124</v>
      </c>
      <c r="M64" s="1064" t="s">
        <v>124</v>
      </c>
      <c r="N64" s="1064" t="s">
        <v>124</v>
      </c>
      <c r="O64" s="1064" t="s">
        <v>124</v>
      </c>
      <c r="P64" s="1064" t="s">
        <v>124</v>
      </c>
      <c r="Q64" s="1064" t="s">
        <v>124</v>
      </c>
      <c r="R64" s="972" t="s">
        <v>124</v>
      </c>
      <c r="S64" s="972" t="s">
        <v>124</v>
      </c>
      <c r="T64" s="972" t="s">
        <v>124</v>
      </c>
      <c r="U64" s="972" t="s">
        <v>124</v>
      </c>
      <c r="V64" s="972" t="s">
        <v>124</v>
      </c>
      <c r="W64" s="972" t="s">
        <v>124</v>
      </c>
      <c r="X64" s="975" t="s">
        <v>124</v>
      </c>
      <c r="Y64" s="975" t="s">
        <v>124</v>
      </c>
      <c r="Z64" s="975" t="s">
        <v>124</v>
      </c>
      <c r="AA64" s="980" t="s">
        <v>124</v>
      </c>
      <c r="AB64" s="925">
        <v>1.2500000000000001E-2</v>
      </c>
      <c r="AC64" s="925">
        <v>1.2500000000000001E-2</v>
      </c>
      <c r="AD64" s="925">
        <v>1.2500000000000001E-2</v>
      </c>
      <c r="AE64" s="999">
        <v>1.2500000000000001E-2</v>
      </c>
      <c r="AF64" s="1004">
        <v>1.4E-2</v>
      </c>
      <c r="AG64" s="1004">
        <v>1.4E-2</v>
      </c>
      <c r="AH64" s="1004">
        <v>1.4E-2</v>
      </c>
      <c r="AI64" s="999">
        <v>1.4E-2</v>
      </c>
      <c r="AJ64" s="925">
        <v>1.7999999999999999E-2</v>
      </c>
      <c r="AK64" s="1004">
        <v>1.7999999999999999E-2</v>
      </c>
      <c r="AL64" s="925">
        <v>1.7999999999999999E-2</v>
      </c>
      <c r="AM64" s="1004">
        <v>1.7999999999999999E-2</v>
      </c>
      <c r="AN64" s="999">
        <v>1.7999999999999999E-2</v>
      </c>
      <c r="AO64" s="1004">
        <v>2.1000000000000001E-2</v>
      </c>
      <c r="AP64" s="1031">
        <v>2.1000000000000001E-2</v>
      </c>
      <c r="AQ64" s="1031">
        <v>2.1000000000000001E-2</v>
      </c>
      <c r="AR64" s="940">
        <v>2.1000000000000001E-2</v>
      </c>
      <c r="AS64" s="1031">
        <v>0.02</v>
      </c>
      <c r="AT64" s="1031">
        <v>0.02</v>
      </c>
      <c r="AU64" s="1031">
        <v>0.02</v>
      </c>
      <c r="AV64" s="1031">
        <v>0.02</v>
      </c>
      <c r="AW64" s="1031">
        <v>0.02</v>
      </c>
      <c r="AX64" s="1025">
        <v>2.1999999999999999E-2</v>
      </c>
      <c r="AY64" s="1025">
        <v>2.1999999999999999E-2</v>
      </c>
      <c r="AZ64" s="1025">
        <v>2.1999999999999999E-2</v>
      </c>
      <c r="BA64" s="1025">
        <v>2.1999999999999999E-2</v>
      </c>
      <c r="BB64" s="1025">
        <v>2.4E-2</v>
      </c>
      <c r="BC64" s="1025">
        <v>2.4E-2</v>
      </c>
      <c r="BD64" s="1025">
        <v>2.4E-2</v>
      </c>
      <c r="BE64" s="1038">
        <v>2.4E-2</v>
      </c>
      <c r="BF64" s="1025">
        <v>2.5000000000000001E-2</v>
      </c>
      <c r="BG64" s="1025">
        <v>2.5000000000000001E-2</v>
      </c>
      <c r="BH64" s="1025">
        <v>2.5000000000000001E-2</v>
      </c>
      <c r="BI64" s="1038">
        <v>2.5000000000000001E-2</v>
      </c>
      <c r="BJ64" s="1025">
        <v>2.4E-2</v>
      </c>
      <c r="BK64" s="1025">
        <v>2.4E-2</v>
      </c>
      <c r="BL64" s="1025">
        <v>2.4E-2</v>
      </c>
      <c r="BM64" s="1025">
        <v>2.4E-2</v>
      </c>
      <c r="BN64" s="1025">
        <v>2.4E-2</v>
      </c>
      <c r="BO64" s="1025">
        <v>2.4E-2</v>
      </c>
      <c r="BP64" s="1025">
        <v>2.4E-2</v>
      </c>
      <c r="BQ64" s="1025">
        <v>2.4E-2</v>
      </c>
      <c r="BR64" s="1025">
        <v>2.4E-2</v>
      </c>
      <c r="BS64" s="1025">
        <v>2.4E-2</v>
      </c>
      <c r="BT64" s="1025">
        <v>2.4E-2</v>
      </c>
      <c r="BU64" s="1025">
        <v>2.4E-2</v>
      </c>
      <c r="BV64" s="1025">
        <v>2.4E-2</v>
      </c>
      <c r="BW64" s="1038">
        <v>2.4500000000000001E-2</v>
      </c>
      <c r="BX64" s="1038">
        <v>2.4500000000000001E-2</v>
      </c>
      <c r="BY64" s="1038">
        <v>2.4500000000000001E-2</v>
      </c>
      <c r="BZ64" s="1038">
        <v>2.4500000000000001E-2</v>
      </c>
      <c r="CA64" s="1038">
        <v>2.4500000000000001E-2</v>
      </c>
      <c r="CB64" s="1038">
        <v>2.5499999999999998E-2</v>
      </c>
      <c r="CC64" s="1038">
        <v>2.5499999999999998E-2</v>
      </c>
      <c r="CD64" s="1038">
        <v>2.5499999999999998E-2</v>
      </c>
      <c r="CE64" s="1038">
        <v>2.5499999999999998E-2</v>
      </c>
      <c r="CF64" s="1038">
        <v>2.6499999999999999E-2</v>
      </c>
      <c r="CG64" s="1038">
        <v>2.6499999999999999E-2</v>
      </c>
      <c r="CH64" s="1038">
        <v>2.6499999999999999E-2</v>
      </c>
      <c r="CI64" s="1038">
        <v>2.6499999999999999E-2</v>
      </c>
      <c r="CJ64" s="1038">
        <v>2.6499999999999999E-2</v>
      </c>
      <c r="CK64" s="1038">
        <v>2.5000000000000001E-2</v>
      </c>
      <c r="CL64" s="1038">
        <v>2.5000000000000001E-2</v>
      </c>
      <c r="CM64" s="1038">
        <v>2.5000000000000001E-2</v>
      </c>
      <c r="CN64" s="1038">
        <v>2.5000000000000001E-2</v>
      </c>
      <c r="CO64" s="1038">
        <v>2.5000000000000001E-2</v>
      </c>
      <c r="CP64" s="1038">
        <v>2.5000000000000001E-2</v>
      </c>
      <c r="CQ64" s="1038">
        <v>2.5000000000000001E-2</v>
      </c>
      <c r="CR64" s="1038">
        <v>2.5000000000000001E-2</v>
      </c>
      <c r="CS64" s="1038">
        <v>2.5000000000000001E-2</v>
      </c>
      <c r="CT64" s="1038">
        <v>2.5000000000000001E-2</v>
      </c>
      <c r="CU64" s="1038">
        <v>2.5000000000000001E-2</v>
      </c>
      <c r="CV64" s="1038">
        <v>2.5000000000000001E-2</v>
      </c>
      <c r="CW64" s="1038">
        <v>0.03</v>
      </c>
      <c r="CX64" s="295"/>
      <c r="CY64" s="295"/>
      <c r="CZ64" s="295"/>
      <c r="DA64" s="295"/>
      <c r="DB64" s="295"/>
      <c r="DC64" s="295"/>
      <c r="DD64" s="295"/>
      <c r="DE64" s="295"/>
      <c r="DF64" s="295"/>
      <c r="DG64" s="295"/>
      <c r="DH64" s="295"/>
      <c r="DI64" s="295"/>
      <c r="DJ64" s="295"/>
      <c r="DK64" s="295"/>
      <c r="DL64" s="295"/>
      <c r="DM64" s="295"/>
      <c r="DN64" s="295"/>
      <c r="DO64" s="295"/>
      <c r="DP64" s="295"/>
      <c r="DQ64" s="295"/>
      <c r="DR64" s="295"/>
      <c r="DS64" s="295"/>
      <c r="DT64" s="295"/>
      <c r="DU64" s="295"/>
      <c r="DV64" s="295"/>
      <c r="DW64" s="295"/>
      <c r="DX64" s="295"/>
      <c r="DY64" s="295"/>
      <c r="DZ64" s="295"/>
      <c r="EA64" s="295"/>
      <c r="EB64" s="295"/>
      <c r="EC64" s="295"/>
      <c r="ED64" s="295"/>
      <c r="EE64" s="295"/>
      <c r="EF64" s="295"/>
      <c r="EG64" s="295"/>
      <c r="EH64" s="295"/>
      <c r="EI64" s="295"/>
      <c r="EJ64" s="295"/>
      <c r="EK64" s="295"/>
      <c r="EL64" s="295"/>
      <c r="EM64" s="295"/>
      <c r="EN64" s="295"/>
      <c r="EO64" s="295"/>
      <c r="EP64" s="295"/>
      <c r="EQ64" s="295"/>
      <c r="ER64" s="295"/>
      <c r="ES64" s="295"/>
      <c r="ET64" s="295"/>
      <c r="EU64" s="295"/>
      <c r="EV64" s="295"/>
      <c r="EW64" s="295"/>
      <c r="EX64" s="295"/>
      <c r="EY64" s="295"/>
      <c r="EZ64" s="1054" t="s">
        <v>447</v>
      </c>
      <c r="FA64" s="279"/>
      <c r="FB64" s="299"/>
      <c r="FC64" s="297"/>
      <c r="FD64" s="296"/>
      <c r="FE64" s="299"/>
      <c r="FF64" s="298"/>
      <c r="FG64" s="297"/>
      <c r="FH64" s="296"/>
      <c r="FI64" s="296"/>
      <c r="FJ64" s="296"/>
      <c r="FK64" s="296"/>
      <c r="FL64" s="296"/>
      <c r="FM64" s="296"/>
      <c r="FN64" s="279"/>
      <c r="FO64" s="279"/>
      <c r="FP64" s="279"/>
      <c r="FQ64" s="279"/>
      <c r="FR64" s="279"/>
      <c r="FS64" s="279"/>
      <c r="FT64" s="279"/>
      <c r="FU64" s="279"/>
      <c r="FV64" s="279"/>
      <c r="FW64" s="279"/>
      <c r="FX64" s="279"/>
      <c r="FY64" s="310"/>
      <c r="FZ64" s="295"/>
      <c r="GA64" s="295"/>
      <c r="GB64" s="295"/>
      <c r="GC64" s="295"/>
      <c r="GD64" s="295"/>
      <c r="GE64" s="295"/>
      <c r="GF64" s="295"/>
      <c r="GG64" s="295"/>
      <c r="GH64" s="295"/>
      <c r="GI64" s="295"/>
      <c r="GJ64" s="295"/>
      <c r="GK64" s="295"/>
      <c r="GL64" s="295"/>
      <c r="GM64" s="295"/>
      <c r="GN64" s="295"/>
      <c r="GO64" s="295"/>
      <c r="GP64" s="295"/>
      <c r="GQ64" s="295"/>
      <c r="GR64" s="295"/>
      <c r="GS64" s="295"/>
      <c r="GT64" s="295"/>
      <c r="GU64" s="295"/>
      <c r="GV64" s="295"/>
      <c r="GW64" s="295"/>
      <c r="GX64" s="310"/>
      <c r="GY64" s="310"/>
      <c r="GZ64" s="310"/>
      <c r="HA64" s="310"/>
      <c r="HB64" s="295"/>
      <c r="HC64" s="295"/>
      <c r="HD64" s="295"/>
      <c r="HE64" s="295"/>
      <c r="HF64" s="941">
        <f>C65-D65</f>
        <v>0</v>
      </c>
      <c r="HG64" s="218" t="s">
        <v>678</v>
      </c>
    </row>
    <row r="65" spans="1:215" ht="15" customHeight="1">
      <c r="A65" s="1060"/>
      <c r="B65" s="922"/>
      <c r="C65" s="919"/>
      <c r="D65" s="919"/>
      <c r="E65" s="919"/>
      <c r="F65" s="973"/>
      <c r="G65" s="973"/>
      <c r="H65" s="973"/>
      <c r="I65" s="973"/>
      <c r="J65" s="973"/>
      <c r="K65" s="973"/>
      <c r="L65" s="973"/>
      <c r="M65" s="973"/>
      <c r="N65" s="973"/>
      <c r="O65" s="973"/>
      <c r="P65" s="973"/>
      <c r="Q65" s="973"/>
      <c r="R65" s="973"/>
      <c r="S65" s="973"/>
      <c r="T65" s="973"/>
      <c r="U65" s="973"/>
      <c r="V65" s="973"/>
      <c r="W65" s="973"/>
      <c r="X65" s="976"/>
      <c r="Y65" s="976"/>
      <c r="Z65" s="976"/>
      <c r="AA65" s="981"/>
      <c r="AB65" s="974"/>
      <c r="AC65" s="974"/>
      <c r="AD65" s="974"/>
      <c r="AE65" s="1000"/>
      <c r="AF65" s="1005"/>
      <c r="AG65" s="1005"/>
      <c r="AH65" s="1005"/>
      <c r="AI65" s="1000"/>
      <c r="AJ65" s="974"/>
      <c r="AK65" s="1005"/>
      <c r="AL65" s="974"/>
      <c r="AM65" s="1005"/>
      <c r="AN65" s="1000"/>
      <c r="AO65" s="1005"/>
      <c r="AP65" s="938"/>
      <c r="AQ65" s="938"/>
      <c r="AR65" s="935"/>
      <c r="AS65" s="938"/>
      <c r="AT65" s="938"/>
      <c r="AU65" s="938"/>
      <c r="AV65" s="938"/>
      <c r="AW65" s="938"/>
      <c r="AX65" s="1025"/>
      <c r="AY65" s="1025"/>
      <c r="AZ65" s="1025"/>
      <c r="BA65" s="1025"/>
      <c r="BB65" s="1025"/>
      <c r="BC65" s="1025"/>
      <c r="BD65" s="1025"/>
      <c r="BE65" s="1038"/>
      <c r="BF65" s="1025"/>
      <c r="BG65" s="1025"/>
      <c r="BH65" s="1025"/>
      <c r="BI65" s="1038"/>
      <c r="BJ65" s="1025"/>
      <c r="BK65" s="1025"/>
      <c r="BL65" s="1025"/>
      <c r="BM65" s="1025"/>
      <c r="BN65" s="1025"/>
      <c r="BO65" s="1025"/>
      <c r="BP65" s="1025"/>
      <c r="BQ65" s="1025"/>
      <c r="BR65" s="1025"/>
      <c r="BS65" s="1025"/>
      <c r="BT65" s="1025"/>
      <c r="BU65" s="1025"/>
      <c r="BV65" s="1025"/>
      <c r="BW65" s="1038"/>
      <c r="BX65" s="1038"/>
      <c r="BY65" s="1038"/>
      <c r="BZ65" s="1038"/>
      <c r="CA65" s="1038"/>
      <c r="CB65" s="1038"/>
      <c r="CC65" s="1038"/>
      <c r="CD65" s="1038"/>
      <c r="CE65" s="1038"/>
      <c r="CF65" s="1038"/>
      <c r="CG65" s="1038"/>
      <c r="CH65" s="1038"/>
      <c r="CI65" s="1038"/>
      <c r="CJ65" s="1038"/>
      <c r="CK65" s="1038"/>
      <c r="CL65" s="1038"/>
      <c r="CM65" s="1038"/>
      <c r="CN65" s="1038"/>
      <c r="CO65" s="1038"/>
      <c r="CP65" s="1038"/>
      <c r="CQ65" s="1038"/>
      <c r="CR65" s="1038"/>
      <c r="CS65" s="1038"/>
      <c r="CT65" s="1038"/>
      <c r="CU65" s="1038"/>
      <c r="CV65" s="1038"/>
      <c r="CW65" s="1038"/>
      <c r="CX65" s="295"/>
      <c r="CY65" s="295"/>
      <c r="CZ65" s="295"/>
      <c r="DA65" s="295"/>
      <c r="DB65" s="295"/>
      <c r="DC65" s="295"/>
      <c r="DD65" s="295"/>
      <c r="DE65" s="295"/>
      <c r="DF65" s="295"/>
      <c r="DG65" s="295"/>
      <c r="DH65" s="295"/>
      <c r="DI65" s="295"/>
      <c r="DJ65" s="295"/>
      <c r="DK65" s="295"/>
      <c r="DL65" s="295"/>
      <c r="DM65" s="295"/>
      <c r="DN65" s="295"/>
      <c r="DO65" s="295"/>
      <c r="DP65" s="295"/>
      <c r="DQ65" s="295"/>
      <c r="DR65" s="295"/>
      <c r="DS65" s="295"/>
      <c r="DT65" s="295"/>
      <c r="DU65" s="295"/>
      <c r="DV65" s="295"/>
      <c r="DW65" s="295"/>
      <c r="DX65" s="295"/>
      <c r="DY65" s="295"/>
      <c r="DZ65" s="295"/>
      <c r="EA65" s="295"/>
      <c r="EB65" s="295"/>
      <c r="EC65" s="295"/>
      <c r="ED65" s="295"/>
      <c r="EE65" s="295"/>
      <c r="EF65" s="295"/>
      <c r="EG65" s="295"/>
      <c r="EH65" s="295"/>
      <c r="EI65" s="295"/>
      <c r="EJ65" s="295"/>
      <c r="EK65" s="295"/>
      <c r="EL65" s="295"/>
      <c r="EM65" s="295"/>
      <c r="EN65" s="295"/>
      <c r="EO65" s="295"/>
      <c r="EP65" s="295"/>
      <c r="EQ65" s="295"/>
      <c r="ER65" s="295"/>
      <c r="ES65" s="295"/>
      <c r="ET65" s="295"/>
      <c r="EU65" s="295"/>
      <c r="EV65" s="295"/>
      <c r="EW65" s="295"/>
      <c r="EX65" s="295"/>
      <c r="EY65" s="295"/>
      <c r="EZ65" s="1054"/>
      <c r="FA65" s="279"/>
      <c r="FB65" s="299"/>
      <c r="FC65" s="297"/>
      <c r="FD65" s="296"/>
      <c r="FE65" s="299"/>
      <c r="FF65" s="298"/>
      <c r="FG65" s="297"/>
      <c r="FH65" s="296"/>
      <c r="FI65" s="296"/>
      <c r="FJ65" s="296"/>
      <c r="FK65" s="296"/>
      <c r="FL65" s="296"/>
      <c r="FM65" s="296"/>
      <c r="FN65" s="279"/>
      <c r="FO65" s="279"/>
      <c r="FP65" s="279"/>
      <c r="FQ65" s="279"/>
      <c r="FR65" s="279"/>
      <c r="FS65" s="279"/>
      <c r="FT65" s="279"/>
      <c r="FU65" s="279"/>
      <c r="FV65" s="279"/>
      <c r="FW65" s="279"/>
      <c r="FX65" s="279"/>
      <c r="FY65" s="310"/>
      <c r="FZ65" s="295"/>
      <c r="GA65" s="295"/>
      <c r="GB65" s="295"/>
      <c r="GC65" s="295"/>
      <c r="GD65" s="295"/>
      <c r="GE65" s="295"/>
      <c r="GF65" s="295"/>
      <c r="GG65" s="295"/>
      <c r="GH65" s="295"/>
      <c r="GI65" s="295"/>
      <c r="GJ65" s="295"/>
      <c r="GK65" s="295"/>
      <c r="GL65" s="295"/>
      <c r="GM65" s="295"/>
      <c r="GN65" s="295"/>
      <c r="GO65" s="295"/>
      <c r="GP65" s="295"/>
      <c r="GQ65" s="295"/>
      <c r="GR65" s="295"/>
      <c r="GS65" s="295"/>
      <c r="GT65" s="295"/>
      <c r="GU65" s="295"/>
      <c r="GV65" s="295"/>
      <c r="GW65" s="295"/>
      <c r="GX65" s="310"/>
      <c r="GY65" s="310"/>
      <c r="GZ65" s="310"/>
      <c r="HA65" s="310"/>
      <c r="HB65" s="295"/>
      <c r="HC65" s="295"/>
      <c r="HD65" s="295"/>
      <c r="HE65" s="295"/>
      <c r="HF65" s="1048"/>
      <c r="HG65" s="218" t="s">
        <v>678</v>
      </c>
    </row>
    <row r="66" spans="1:215" ht="15" customHeight="1">
      <c r="A66" s="1060"/>
      <c r="B66" s="910"/>
      <c r="C66" s="914"/>
      <c r="D66" s="914"/>
      <c r="E66" s="914"/>
      <c r="F66" s="973"/>
      <c r="G66" s="973"/>
      <c r="H66" s="973"/>
      <c r="I66" s="973"/>
      <c r="J66" s="973"/>
      <c r="K66" s="973"/>
      <c r="L66" s="973"/>
      <c r="M66" s="973"/>
      <c r="N66" s="973"/>
      <c r="O66" s="973"/>
      <c r="P66" s="973"/>
      <c r="Q66" s="973"/>
      <c r="R66" s="973"/>
      <c r="S66" s="973"/>
      <c r="T66" s="973"/>
      <c r="U66" s="973"/>
      <c r="V66" s="973"/>
      <c r="W66" s="973"/>
      <c r="X66" s="977"/>
      <c r="Y66" s="977"/>
      <c r="Z66" s="977"/>
      <c r="AA66" s="982"/>
      <c r="AB66" s="926"/>
      <c r="AC66" s="926"/>
      <c r="AD66" s="926"/>
      <c r="AE66" s="1001"/>
      <c r="AF66" s="1006"/>
      <c r="AG66" s="1006"/>
      <c r="AH66" s="1006"/>
      <c r="AI66" s="1001"/>
      <c r="AJ66" s="926"/>
      <c r="AK66" s="1006"/>
      <c r="AL66" s="926"/>
      <c r="AM66" s="1006"/>
      <c r="AN66" s="1001"/>
      <c r="AO66" s="1006"/>
      <c r="AP66" s="939"/>
      <c r="AQ66" s="939"/>
      <c r="AR66" s="936"/>
      <c r="AS66" s="939"/>
      <c r="AT66" s="939"/>
      <c r="AU66" s="939"/>
      <c r="AV66" s="939"/>
      <c r="AW66" s="939"/>
      <c r="AX66" s="1025"/>
      <c r="AY66" s="1025"/>
      <c r="AZ66" s="1025"/>
      <c r="BA66" s="1025"/>
      <c r="BB66" s="1025"/>
      <c r="BC66" s="1025"/>
      <c r="BD66" s="1025"/>
      <c r="BE66" s="1038"/>
      <c r="BF66" s="1025"/>
      <c r="BG66" s="1025"/>
      <c r="BH66" s="1025"/>
      <c r="BI66" s="1038"/>
      <c r="BJ66" s="1025"/>
      <c r="BK66" s="1025"/>
      <c r="BL66" s="1025"/>
      <c r="BM66" s="1025"/>
      <c r="BN66" s="1025"/>
      <c r="BO66" s="1025"/>
      <c r="BP66" s="1025"/>
      <c r="BQ66" s="1025"/>
      <c r="BR66" s="1025"/>
      <c r="BS66" s="1025"/>
      <c r="BT66" s="1025"/>
      <c r="BU66" s="1025"/>
      <c r="BV66" s="1025"/>
      <c r="BW66" s="1038"/>
      <c r="BX66" s="1038"/>
      <c r="BY66" s="1038"/>
      <c r="BZ66" s="1038"/>
      <c r="CA66" s="1038"/>
      <c r="CB66" s="1038"/>
      <c r="CC66" s="1038"/>
      <c r="CD66" s="1038"/>
      <c r="CE66" s="1038"/>
      <c r="CF66" s="1038"/>
      <c r="CG66" s="1038"/>
      <c r="CH66" s="1038"/>
      <c r="CI66" s="1038"/>
      <c r="CJ66" s="1038"/>
      <c r="CK66" s="1038"/>
      <c r="CL66" s="1038"/>
      <c r="CM66" s="1038"/>
      <c r="CN66" s="1038"/>
      <c r="CO66" s="1038"/>
      <c r="CP66" s="1038"/>
      <c r="CQ66" s="1038"/>
      <c r="CR66" s="1038"/>
      <c r="CS66" s="1038"/>
      <c r="CT66" s="1038"/>
      <c r="CU66" s="1038"/>
      <c r="CV66" s="1038"/>
      <c r="CW66" s="1038"/>
      <c r="CX66" s="311">
        <v>0.03</v>
      </c>
      <c r="CY66" s="311">
        <v>0.03</v>
      </c>
      <c r="CZ66" s="311">
        <v>0.03</v>
      </c>
      <c r="DA66" s="311">
        <v>0.03</v>
      </c>
      <c r="DB66" s="311">
        <v>0.03</v>
      </c>
      <c r="DC66" s="311">
        <v>0.03</v>
      </c>
      <c r="DD66" s="311">
        <v>0.03</v>
      </c>
      <c r="DE66" s="311">
        <v>0.03</v>
      </c>
      <c r="DF66" s="311">
        <v>0.03</v>
      </c>
      <c r="DG66" s="311">
        <v>3.2000000000000001E-2</v>
      </c>
      <c r="DH66" s="311">
        <v>3.2000000000000001E-2</v>
      </c>
      <c r="DI66" s="311">
        <v>3.2000000000000001E-2</v>
      </c>
      <c r="DJ66" s="311">
        <v>3.2000000000000001E-2</v>
      </c>
      <c r="DK66" s="311">
        <v>3.2000000000000001E-2</v>
      </c>
      <c r="DL66" s="311">
        <v>3.3000000000000002E-2</v>
      </c>
      <c r="DM66" s="311">
        <v>3.3000000000000002E-2</v>
      </c>
      <c r="DN66" s="311">
        <v>3.3000000000000002E-2</v>
      </c>
      <c r="DO66" s="311">
        <v>3.3000000000000002E-2</v>
      </c>
      <c r="DP66" s="295">
        <v>3.3000000000000002E-2</v>
      </c>
      <c r="DQ66" s="295" t="s">
        <v>446</v>
      </c>
      <c r="DR66" s="295" t="s">
        <v>446</v>
      </c>
      <c r="DS66" s="295" t="s">
        <v>446</v>
      </c>
      <c r="DT66" s="295" t="s">
        <v>446</v>
      </c>
      <c r="DU66" s="295" t="s">
        <v>446</v>
      </c>
      <c r="DV66" s="295" t="s">
        <v>446</v>
      </c>
      <c r="DW66" s="295" t="s">
        <v>445</v>
      </c>
      <c r="DX66" s="295" t="s">
        <v>445</v>
      </c>
      <c r="DY66" s="295" t="s">
        <v>445</v>
      </c>
      <c r="DZ66" s="295" t="s">
        <v>444</v>
      </c>
      <c r="EA66" s="295" t="s">
        <v>124</v>
      </c>
      <c r="EB66" s="295" t="s">
        <v>124</v>
      </c>
      <c r="EC66" s="295" t="s">
        <v>124</v>
      </c>
      <c r="ED66" s="295" t="s">
        <v>124</v>
      </c>
      <c r="EE66" s="295">
        <v>3.4000000000000002E-2</v>
      </c>
      <c r="EF66" s="295">
        <v>3.4000000000000002E-2</v>
      </c>
      <c r="EG66" s="295">
        <v>3.4000000000000002E-2</v>
      </c>
      <c r="EH66" s="295">
        <v>3.4000000000000002E-2</v>
      </c>
      <c r="EI66" s="295">
        <v>3.4000000000000002E-2</v>
      </c>
      <c r="EJ66" s="295">
        <v>3.4799999999999998E-2</v>
      </c>
      <c r="EK66" s="295">
        <v>3.4799999999999998E-2</v>
      </c>
      <c r="EL66" s="295">
        <v>3.4799999999999998E-2</v>
      </c>
      <c r="EM66" s="295">
        <v>3.4799999999999998E-2</v>
      </c>
      <c r="EN66" s="295">
        <v>3.4799999999999998E-2</v>
      </c>
      <c r="EO66" s="295">
        <v>3.4799999999999998E-2</v>
      </c>
      <c r="EP66" s="295">
        <v>3.4799999999999998E-2</v>
      </c>
      <c r="EQ66" s="295">
        <v>3.4799999999999998E-2</v>
      </c>
      <c r="ER66" s="295">
        <v>3.4799999999999998E-2</v>
      </c>
      <c r="ES66" s="295"/>
      <c r="ET66" s="295"/>
      <c r="EU66" s="295"/>
      <c r="EV66" s="295"/>
      <c r="EW66" s="295"/>
      <c r="EX66" s="295"/>
      <c r="EY66" s="295"/>
      <c r="EZ66" s="1055"/>
      <c r="FA66" s="279"/>
      <c r="FB66" s="299"/>
      <c r="FC66" s="297"/>
      <c r="FD66" s="296"/>
      <c r="FE66" s="299"/>
      <c r="FF66" s="298"/>
      <c r="FG66" s="297"/>
      <c r="FH66" s="296"/>
      <c r="FI66" s="296"/>
      <c r="FJ66" s="296"/>
      <c r="FK66" s="296"/>
      <c r="FL66" s="296"/>
      <c r="FM66" s="296"/>
      <c r="FN66" s="279"/>
      <c r="FO66" s="279"/>
      <c r="FP66" s="279"/>
      <c r="FQ66" s="279"/>
      <c r="FR66" s="279"/>
      <c r="FS66" s="279"/>
      <c r="FT66" s="279"/>
      <c r="FU66" s="279"/>
      <c r="FV66" s="279"/>
      <c r="FW66" s="279"/>
      <c r="FX66" s="279"/>
      <c r="FY66" s="310"/>
      <c r="FZ66" s="295"/>
      <c r="GA66" s="295"/>
      <c r="GB66" s="295"/>
      <c r="GC66" s="295"/>
      <c r="GD66" s="295"/>
      <c r="GE66" s="295"/>
      <c r="GF66" s="295"/>
      <c r="GG66" s="295"/>
      <c r="GH66" s="295"/>
      <c r="GI66" s="295"/>
      <c r="GJ66" s="295"/>
      <c r="GK66" s="295"/>
      <c r="GL66" s="295"/>
      <c r="GM66" s="295"/>
      <c r="GN66" s="295"/>
      <c r="GO66" s="295"/>
      <c r="GP66" s="295"/>
      <c r="GQ66" s="295"/>
      <c r="GR66" s="295"/>
      <c r="GS66" s="295"/>
      <c r="GT66" s="295"/>
      <c r="GU66" s="295"/>
      <c r="GV66" s="295"/>
      <c r="GW66" s="295"/>
      <c r="GX66" s="310"/>
      <c r="GY66" s="310"/>
      <c r="GZ66" s="310"/>
      <c r="HA66" s="310"/>
      <c r="HB66" s="295"/>
      <c r="HC66" s="295"/>
      <c r="HD66" s="295"/>
      <c r="HE66" s="295"/>
      <c r="HF66" s="942"/>
      <c r="HG66" s="218" t="s">
        <v>443</v>
      </c>
    </row>
    <row r="67" spans="1:215">
      <c r="A67" s="309" t="s">
        <v>442</v>
      </c>
      <c r="B67" s="308" t="s">
        <v>441</v>
      </c>
      <c r="C67" s="308"/>
      <c r="D67" s="308"/>
      <c r="E67" s="308"/>
      <c r="F67" s="308"/>
      <c r="G67" s="308"/>
      <c r="H67" s="308"/>
      <c r="I67" s="308"/>
      <c r="J67" s="308"/>
      <c r="K67" s="308"/>
      <c r="L67" s="308"/>
      <c r="M67" s="308"/>
      <c r="N67" s="308"/>
      <c r="O67" s="308"/>
      <c r="P67" s="308"/>
      <c r="Q67" s="308"/>
      <c r="R67" s="308"/>
      <c r="S67" s="308"/>
      <c r="T67" s="287"/>
      <c r="U67" s="287"/>
      <c r="V67" s="287"/>
      <c r="W67" s="308">
        <v>3.1E-2</v>
      </c>
      <c r="X67" s="308">
        <v>3.1E-2</v>
      </c>
      <c r="Y67" s="308">
        <v>3.1E-2</v>
      </c>
      <c r="Z67" s="308">
        <v>3.1E-2</v>
      </c>
      <c r="AA67" s="308">
        <v>3.1E-2</v>
      </c>
      <c r="AB67" s="308">
        <v>3.1E-2</v>
      </c>
      <c r="AC67" s="308">
        <v>3.1E-2</v>
      </c>
      <c r="AD67" s="308">
        <v>3.1E-2</v>
      </c>
      <c r="AE67" s="308">
        <v>3.1E-2</v>
      </c>
      <c r="AF67" s="287">
        <v>3.1E-2</v>
      </c>
      <c r="AG67" s="287">
        <v>3.1E-2</v>
      </c>
      <c r="AH67" s="287">
        <v>3.1E-2</v>
      </c>
      <c r="AI67" s="287">
        <v>3.1E-2</v>
      </c>
      <c r="AJ67" s="308">
        <v>3.1E-2</v>
      </c>
      <c r="AK67" s="287">
        <v>3.1E-2</v>
      </c>
      <c r="AL67" s="308">
        <v>3.1E-2</v>
      </c>
      <c r="AM67" s="287">
        <v>3.1E-2</v>
      </c>
      <c r="AN67" s="287">
        <v>3.1E-2</v>
      </c>
      <c r="AO67" s="287">
        <v>3.1E-2</v>
      </c>
      <c r="AP67" s="227">
        <v>3.1E-2</v>
      </c>
      <c r="AQ67" s="227">
        <v>3.1E-2</v>
      </c>
      <c r="AR67" s="227">
        <v>3.1E-2</v>
      </c>
      <c r="AS67" s="227">
        <v>3.1E-2</v>
      </c>
      <c r="AT67" s="227">
        <v>3.1E-2</v>
      </c>
      <c r="AU67" s="227">
        <v>3.1E-2</v>
      </c>
      <c r="AV67" s="227">
        <v>3.1E-2</v>
      </c>
      <c r="AW67" s="227">
        <v>3.1E-2</v>
      </c>
      <c r="AX67" s="227">
        <v>3.1E-2</v>
      </c>
      <c r="AY67" s="227">
        <v>3.1E-2</v>
      </c>
      <c r="AZ67" s="227">
        <v>3.1E-2</v>
      </c>
      <c r="BA67" s="227">
        <v>3.1E-2</v>
      </c>
      <c r="BB67" s="227">
        <v>3.1E-2</v>
      </c>
      <c r="BC67" s="227">
        <v>3.1E-2</v>
      </c>
      <c r="BD67" s="227">
        <v>3.1E-2</v>
      </c>
      <c r="BE67" s="227">
        <v>3.1E-2</v>
      </c>
      <c r="BF67" s="227">
        <v>3.1E-2</v>
      </c>
      <c r="BG67" s="227">
        <v>3.1E-2</v>
      </c>
      <c r="BH67" s="227">
        <v>3.1E-2</v>
      </c>
      <c r="BI67" s="227">
        <v>3.1E-2</v>
      </c>
      <c r="BJ67" s="227">
        <v>3.1E-2</v>
      </c>
      <c r="BK67" s="227">
        <v>3.1E-2</v>
      </c>
      <c r="BL67" s="227">
        <v>3.1E-2</v>
      </c>
      <c r="BM67" s="227">
        <v>3.1E-2</v>
      </c>
      <c r="BN67" s="227">
        <v>3.1E-2</v>
      </c>
      <c r="BO67" s="227">
        <v>3.1E-2</v>
      </c>
      <c r="BP67" s="227">
        <v>3.1E-2</v>
      </c>
      <c r="BQ67" s="227">
        <v>3.1E-2</v>
      </c>
      <c r="BR67" s="227">
        <v>3.1E-2</v>
      </c>
      <c r="BS67" s="227">
        <v>3.1E-2</v>
      </c>
      <c r="BT67" s="227">
        <v>3.1E-2</v>
      </c>
      <c r="BU67" s="227">
        <v>3.1E-2</v>
      </c>
      <c r="BV67" s="227">
        <v>3.1E-2</v>
      </c>
      <c r="BW67" s="227">
        <v>3.1E-2</v>
      </c>
      <c r="BX67" s="227">
        <v>3.1E-2</v>
      </c>
      <c r="BY67" s="227">
        <v>3.1E-2</v>
      </c>
      <c r="BZ67" s="227">
        <v>3.1E-2</v>
      </c>
      <c r="CA67" s="227">
        <v>3.1E-2</v>
      </c>
      <c r="CB67" s="227">
        <v>3.1E-2</v>
      </c>
      <c r="CC67" s="227">
        <v>3.1E-2</v>
      </c>
      <c r="CD67" s="227">
        <v>3.1E-2</v>
      </c>
      <c r="CE67" s="227">
        <v>3.1E-2</v>
      </c>
      <c r="CF67" s="227">
        <v>3.1E-2</v>
      </c>
      <c r="CG67" s="227">
        <v>3.1E-2</v>
      </c>
      <c r="CH67" s="227">
        <v>3.1E-2</v>
      </c>
      <c r="CI67" s="227">
        <v>3.2000000000000001E-2</v>
      </c>
      <c r="CJ67" s="227">
        <v>3.2000000000000001E-2</v>
      </c>
      <c r="CK67" s="227">
        <v>3.2000000000000001E-2</v>
      </c>
      <c r="CL67" s="227" t="s">
        <v>124</v>
      </c>
      <c r="CM67" s="227"/>
      <c r="CN67" s="227"/>
      <c r="CO67" s="227"/>
      <c r="CP67" s="227"/>
      <c r="CQ67" s="227"/>
      <c r="CR67" s="227"/>
      <c r="CS67" s="227"/>
      <c r="CT67" s="227"/>
      <c r="CU67" s="227"/>
      <c r="CV67" s="227"/>
      <c r="CW67" s="227"/>
      <c r="CX67" s="227"/>
      <c r="CY67" s="227"/>
      <c r="CZ67" s="227"/>
      <c r="DA67" s="227"/>
      <c r="DB67" s="227"/>
      <c r="DC67" s="227"/>
      <c r="DD67" s="227"/>
      <c r="DE67" s="227"/>
      <c r="DF67" s="227"/>
      <c r="DG67" s="227"/>
      <c r="DH67" s="227"/>
      <c r="DI67" s="227"/>
      <c r="DJ67" s="227"/>
      <c r="DK67" s="227"/>
      <c r="DL67" s="227"/>
      <c r="DM67" s="227"/>
      <c r="DN67" s="227"/>
      <c r="DO67" s="227"/>
      <c r="DP67" s="265"/>
      <c r="DQ67" s="265"/>
      <c r="DR67" s="265"/>
      <c r="DS67" s="265"/>
      <c r="DT67" s="265"/>
      <c r="DU67" s="265"/>
      <c r="DV67" s="265"/>
      <c r="DW67" s="265"/>
      <c r="DX67" s="265"/>
      <c r="DY67" s="265"/>
      <c r="DZ67" s="265"/>
      <c r="EA67" s="265"/>
      <c r="EB67" s="265"/>
      <c r="EC67" s="265"/>
      <c r="ED67" s="265"/>
      <c r="EE67" s="265"/>
      <c r="EF67" s="265"/>
      <c r="EG67" s="265"/>
      <c r="EH67" s="265"/>
      <c r="EI67" s="265"/>
      <c r="EJ67" s="265"/>
      <c r="EK67" s="265"/>
      <c r="EL67" s="265"/>
      <c r="EM67" s="265"/>
      <c r="EN67" s="265"/>
      <c r="EO67" s="265"/>
      <c r="EP67" s="265"/>
      <c r="EQ67" s="265"/>
      <c r="ER67" s="265"/>
      <c r="ES67" s="265"/>
      <c r="ET67" s="265"/>
      <c r="EU67" s="265"/>
      <c r="EV67" s="265"/>
      <c r="EW67" s="265"/>
      <c r="EX67" s="265"/>
      <c r="EY67" s="265"/>
      <c r="EZ67" s="228" t="s">
        <v>342</v>
      </c>
      <c r="FA67" s="226"/>
      <c r="FB67" s="230"/>
      <c r="FC67" s="228"/>
      <c r="FD67" s="227"/>
      <c r="FE67" s="230"/>
      <c r="FF67" s="229"/>
      <c r="FG67" s="228"/>
      <c r="FH67" s="227"/>
      <c r="FI67" s="227"/>
      <c r="FJ67" s="227"/>
      <c r="FK67" s="227"/>
      <c r="FL67" s="227"/>
      <c r="FM67" s="227"/>
      <c r="FN67" s="226"/>
      <c r="FO67" s="226"/>
      <c r="FP67" s="226"/>
      <c r="FQ67" s="226"/>
      <c r="FR67" s="226"/>
      <c r="FS67" s="226"/>
      <c r="FT67" s="226"/>
      <c r="FU67" s="226"/>
      <c r="FV67" s="226"/>
      <c r="FW67" s="226"/>
      <c r="FX67" s="226"/>
      <c r="FY67" s="307"/>
      <c r="FZ67" s="265"/>
      <c r="GA67" s="265"/>
      <c r="GB67" s="265"/>
      <c r="GC67" s="265"/>
      <c r="GD67" s="265"/>
      <c r="GE67" s="265"/>
      <c r="GF67" s="265"/>
      <c r="GG67" s="265"/>
      <c r="GH67" s="265"/>
      <c r="GI67" s="265"/>
      <c r="GJ67" s="265"/>
      <c r="GK67" s="265"/>
      <c r="GL67" s="265"/>
      <c r="GM67" s="265"/>
      <c r="GN67" s="265"/>
      <c r="GO67" s="265"/>
      <c r="GP67" s="265"/>
      <c r="GQ67" s="265"/>
      <c r="GR67" s="265"/>
      <c r="GS67" s="265"/>
      <c r="GT67" s="265"/>
      <c r="GU67" s="265"/>
      <c r="GV67" s="265"/>
      <c r="GW67" s="265"/>
      <c r="GX67" s="307"/>
      <c r="GY67" s="307"/>
      <c r="GZ67" s="307"/>
      <c r="HA67" s="307"/>
      <c r="HB67" s="265"/>
      <c r="HC67" s="265"/>
      <c r="HD67" s="265"/>
      <c r="HE67" s="265"/>
      <c r="HF67" s="306" t="s">
        <v>439</v>
      </c>
    </row>
    <row r="68" spans="1:215">
      <c r="A68" s="959" t="s">
        <v>39</v>
      </c>
      <c r="B68" s="280"/>
      <c r="C68" s="920" t="s">
        <v>124</v>
      </c>
      <c r="D68" s="920" t="s">
        <v>124</v>
      </c>
      <c r="E68" s="920" t="s">
        <v>124</v>
      </c>
      <c r="F68" s="920" t="s">
        <v>124</v>
      </c>
      <c r="G68" s="920" t="s">
        <v>124</v>
      </c>
      <c r="H68" s="920" t="s">
        <v>124</v>
      </c>
      <c r="I68" s="920" t="s">
        <v>124</v>
      </c>
      <c r="J68" s="920" t="s">
        <v>124</v>
      </c>
      <c r="K68" s="920" t="s">
        <v>124</v>
      </c>
      <c r="L68" s="920" t="s">
        <v>124</v>
      </c>
      <c r="M68" s="920" t="s">
        <v>124</v>
      </c>
      <c r="N68" s="920" t="s">
        <v>124</v>
      </c>
      <c r="O68" s="920" t="s">
        <v>124</v>
      </c>
      <c r="P68" s="920" t="s">
        <v>124</v>
      </c>
      <c r="Q68" s="920" t="s">
        <v>124</v>
      </c>
      <c r="R68" s="920" t="s">
        <v>124</v>
      </c>
      <c r="S68" s="920" t="s">
        <v>124</v>
      </c>
      <c r="T68" s="969" t="s">
        <v>124</v>
      </c>
      <c r="U68" s="969" t="s">
        <v>124</v>
      </c>
      <c r="V68" s="969" t="s">
        <v>124</v>
      </c>
      <c r="W68" s="913" t="s">
        <v>124</v>
      </c>
      <c r="X68" s="913" t="s">
        <v>124</v>
      </c>
      <c r="Y68" s="913" t="s">
        <v>124</v>
      </c>
      <c r="Z68" s="913" t="s">
        <v>124</v>
      </c>
      <c r="AA68" s="913" t="s">
        <v>124</v>
      </c>
      <c r="AB68" s="913" t="s">
        <v>124</v>
      </c>
      <c r="AC68" s="913" t="s">
        <v>124</v>
      </c>
      <c r="AD68" s="913" t="s">
        <v>124</v>
      </c>
      <c r="AE68" s="913" t="s">
        <v>124</v>
      </c>
      <c r="AF68" s="998" t="s">
        <v>124</v>
      </c>
      <c r="AG68" s="998" t="s">
        <v>124</v>
      </c>
      <c r="AH68" s="998" t="s">
        <v>124</v>
      </c>
      <c r="AI68" s="998" t="s">
        <v>124</v>
      </c>
      <c r="AJ68" s="913" t="s">
        <v>124</v>
      </c>
      <c r="AK68" s="998" t="s">
        <v>124</v>
      </c>
      <c r="AL68" s="913" t="s">
        <v>124</v>
      </c>
      <c r="AM68" s="998" t="s">
        <v>124</v>
      </c>
      <c r="AN68" s="998" t="s">
        <v>124</v>
      </c>
      <c r="AO68" s="998" t="s">
        <v>124</v>
      </c>
      <c r="AP68" s="987" t="s">
        <v>124</v>
      </c>
      <c r="AQ68" s="987" t="s">
        <v>124</v>
      </c>
      <c r="AR68" s="987" t="s">
        <v>124</v>
      </c>
      <c r="AS68" s="987" t="s">
        <v>124</v>
      </c>
      <c r="AT68" s="987" t="s">
        <v>124</v>
      </c>
      <c r="AU68" s="987" t="s">
        <v>124</v>
      </c>
      <c r="AV68" s="987" t="s">
        <v>124</v>
      </c>
      <c r="AW68" s="987" t="s">
        <v>124</v>
      </c>
      <c r="AX68" s="987" t="s">
        <v>124</v>
      </c>
      <c r="AY68" s="987" t="s">
        <v>124</v>
      </c>
      <c r="AZ68" s="987" t="s">
        <v>124</v>
      </c>
      <c r="BA68" s="987" t="s">
        <v>124</v>
      </c>
      <c r="BB68" s="987" t="s">
        <v>124</v>
      </c>
      <c r="BC68" s="987" t="s">
        <v>124</v>
      </c>
      <c r="BD68" s="987" t="s">
        <v>124</v>
      </c>
      <c r="BE68" s="987">
        <v>2.4500000000000001E-2</v>
      </c>
      <c r="BF68" s="987">
        <v>2.4500000000000001E-2</v>
      </c>
      <c r="BG68" s="987">
        <v>2.4500000000000001E-2</v>
      </c>
      <c r="BH68" s="987">
        <v>2.4500000000000001E-2</v>
      </c>
      <c r="BI68" s="987">
        <v>2.4500000000000001E-2</v>
      </c>
      <c r="BJ68" s="987">
        <v>2.4500000000000001E-2</v>
      </c>
      <c r="BK68" s="987">
        <v>2.4500000000000001E-2</v>
      </c>
      <c r="BL68" s="987">
        <v>2.4500000000000001E-2</v>
      </c>
      <c r="BM68" s="987">
        <v>2.4500000000000001E-2</v>
      </c>
      <c r="BN68" s="987">
        <v>2.4500000000000001E-2</v>
      </c>
      <c r="BO68" s="987">
        <v>2.4500000000000001E-2</v>
      </c>
      <c r="BP68" s="987">
        <v>2.4500000000000001E-2</v>
      </c>
      <c r="BQ68" s="987">
        <v>2.4500000000000001E-2</v>
      </c>
      <c r="BR68" s="1016">
        <v>2.4500000000000001E-2</v>
      </c>
      <c r="BS68" s="987">
        <v>2.5999999999999999E-2</v>
      </c>
      <c r="BT68" s="987">
        <v>2.5999999999999999E-2</v>
      </c>
      <c r="BU68" s="987">
        <v>2.5999999999999999E-2</v>
      </c>
      <c r="BV68" s="987">
        <v>2.5999999999999999E-2</v>
      </c>
      <c r="BW68" s="987">
        <v>2.5999999999999999E-2</v>
      </c>
      <c r="BX68" s="987">
        <v>2.5999999999999999E-2</v>
      </c>
      <c r="BY68" s="987">
        <v>2.5999999999999999E-2</v>
      </c>
      <c r="BZ68" s="987">
        <v>2.5999999999999999E-2</v>
      </c>
      <c r="CA68" s="987">
        <v>2.5999999999999999E-2</v>
      </c>
      <c r="CB68" s="987">
        <v>2.8000000000000001E-2</v>
      </c>
      <c r="CC68" s="987">
        <v>2.9000000000000001E-2</v>
      </c>
      <c r="CD68" s="987">
        <v>2.9000000000000001E-2</v>
      </c>
      <c r="CE68" s="987">
        <v>2.9000000000000001E-2</v>
      </c>
      <c r="CF68" s="987">
        <v>2.9000000000000001E-2</v>
      </c>
      <c r="CG68" s="987">
        <v>2.9000000000000001E-2</v>
      </c>
      <c r="CH68" s="987">
        <v>2.9000000000000001E-2</v>
      </c>
      <c r="CI68" s="987">
        <v>2.9000000000000001E-2</v>
      </c>
      <c r="CJ68" s="987">
        <v>2.9000000000000001E-2</v>
      </c>
      <c r="CK68" s="987">
        <v>2.9000000000000001E-2</v>
      </c>
      <c r="CL68" s="987">
        <v>2.9000000000000001E-2</v>
      </c>
      <c r="CM68" s="987">
        <v>2.9000000000000001E-2</v>
      </c>
      <c r="CN68" s="987">
        <v>2.9000000000000001E-2</v>
      </c>
      <c r="CO68" s="987">
        <v>2.5999999999999999E-2</v>
      </c>
      <c r="CP68" s="987">
        <v>2.5999999999999999E-2</v>
      </c>
      <c r="CQ68" s="987">
        <v>2.5999999999999999E-2</v>
      </c>
      <c r="CR68" s="987">
        <v>2.5999999999999999E-2</v>
      </c>
      <c r="CS68" s="987">
        <v>2.8000000000000001E-2</v>
      </c>
      <c r="CT68" s="987">
        <v>2.8000000000000001E-2</v>
      </c>
      <c r="CU68" s="987">
        <v>2.8000000000000001E-2</v>
      </c>
      <c r="CV68" s="987">
        <v>2.8000000000000001E-2</v>
      </c>
      <c r="CW68" s="987">
        <v>2.8000000000000001E-2</v>
      </c>
      <c r="CX68" s="987">
        <v>2.9000000000000001E-2</v>
      </c>
      <c r="CY68" s="987">
        <v>2.9000000000000001E-2</v>
      </c>
      <c r="CZ68" s="987">
        <v>2.9000000000000001E-2</v>
      </c>
      <c r="DA68" s="987">
        <v>2.9000000000000001E-2</v>
      </c>
      <c r="DB68" s="987">
        <v>2.9000000000000001E-2</v>
      </c>
      <c r="DC68" s="987">
        <v>2.9000000000000001E-2</v>
      </c>
      <c r="DD68" s="987">
        <v>0.03</v>
      </c>
      <c r="DE68" s="987">
        <v>0.03</v>
      </c>
      <c r="DF68" s="987">
        <v>0.03</v>
      </c>
      <c r="DG68" s="987">
        <v>0.03</v>
      </c>
      <c r="DH68" s="987">
        <v>3.1E-2</v>
      </c>
      <c r="DI68" s="987">
        <v>3.1E-2</v>
      </c>
      <c r="DJ68" s="987">
        <v>3.1E-2</v>
      </c>
      <c r="DK68" s="987">
        <v>3.1E-2</v>
      </c>
      <c r="DL68" s="987">
        <v>3.1E-2</v>
      </c>
      <c r="DM68" s="987">
        <v>3.1E-2</v>
      </c>
      <c r="DN68" s="987">
        <v>3.1E-2</v>
      </c>
      <c r="DO68" s="987">
        <v>3.1E-2</v>
      </c>
      <c r="DP68" s="987">
        <v>3.1E-2</v>
      </c>
      <c r="DQ68" s="987">
        <v>3.1E-2</v>
      </c>
      <c r="DR68" s="987">
        <v>3.1E-2</v>
      </c>
      <c r="DS68" s="261">
        <v>2.7E-2</v>
      </c>
      <c r="DT68" s="261">
        <v>2.7E-2</v>
      </c>
      <c r="DU68" s="261">
        <v>2.7E-2</v>
      </c>
      <c r="DV68" s="261">
        <v>2.7E-2</v>
      </c>
      <c r="DW68" s="261">
        <v>2.7E-2</v>
      </c>
      <c r="DX68" s="261">
        <v>2.7E-2</v>
      </c>
      <c r="DY68" s="261">
        <v>2.7E-2</v>
      </c>
      <c r="DZ68" s="261">
        <v>2.7E-2</v>
      </c>
      <c r="EA68" s="261">
        <v>2.7E-2</v>
      </c>
      <c r="EB68" s="261">
        <v>2.7E-2</v>
      </c>
      <c r="EC68" s="261">
        <v>2.7E-2</v>
      </c>
      <c r="ED68" s="261">
        <v>2.7E-2</v>
      </c>
      <c r="EE68" s="261">
        <v>2.7E-2</v>
      </c>
      <c r="EF68" s="261">
        <v>2.7E-2</v>
      </c>
      <c r="EG68" s="261">
        <v>2.7E-2</v>
      </c>
      <c r="EH68" s="261">
        <v>2.7E-2</v>
      </c>
      <c r="EI68" s="261">
        <v>2.7E-2</v>
      </c>
      <c r="EJ68" s="261">
        <v>2.7E-2</v>
      </c>
      <c r="EK68" s="261">
        <v>2.7E-2</v>
      </c>
      <c r="EL68" s="261">
        <v>2.7E-2</v>
      </c>
      <c r="EM68" s="261">
        <v>2.7E-2</v>
      </c>
      <c r="EN68" s="261">
        <v>2.7E-2</v>
      </c>
      <c r="EO68" s="261">
        <v>2.7E-2</v>
      </c>
      <c r="EP68" s="261">
        <v>2.7E-2</v>
      </c>
      <c r="EQ68" s="261">
        <v>0.03</v>
      </c>
      <c r="ER68" s="261">
        <v>3.2000000000000001E-2</v>
      </c>
      <c r="ES68" s="261">
        <v>3.2000000000000001E-2</v>
      </c>
      <c r="ET68" s="261">
        <v>3.3000000000000002E-2</v>
      </c>
      <c r="EU68" s="261">
        <v>3.3000000000000002E-2</v>
      </c>
      <c r="EV68" s="261">
        <v>3.4000000000000002E-2</v>
      </c>
      <c r="EW68" s="261">
        <v>3.4000000000000002E-2</v>
      </c>
      <c r="EX68" s="261">
        <v>3.4000000000000002E-2</v>
      </c>
      <c r="EY68" s="261">
        <v>3.5000000000000003E-2</v>
      </c>
      <c r="EZ68" s="1050" t="s">
        <v>342</v>
      </c>
      <c r="FA68" s="235"/>
      <c r="FB68" s="254"/>
      <c r="FC68" s="231"/>
      <c r="FD68" s="236"/>
      <c r="FE68" s="238"/>
      <c r="FF68" s="237"/>
      <c r="FG68" s="231"/>
      <c r="FH68" s="236"/>
      <c r="FI68" s="236"/>
      <c r="FJ68" s="236"/>
      <c r="FK68" s="236"/>
      <c r="FL68" s="236"/>
      <c r="FM68" s="236"/>
      <c r="FN68" s="235"/>
      <c r="FO68" s="235"/>
      <c r="FP68" s="235"/>
      <c r="FQ68" s="235"/>
      <c r="FR68" s="235"/>
      <c r="FS68" s="235"/>
      <c r="FT68" s="235"/>
      <c r="FU68" s="235"/>
      <c r="FV68" s="235"/>
      <c r="FW68" s="235"/>
      <c r="FX68" s="235"/>
      <c r="FY68" s="261"/>
      <c r="FZ68" s="261" t="s">
        <v>440</v>
      </c>
      <c r="GA68" s="261" t="s">
        <v>440</v>
      </c>
      <c r="GB68" s="261" t="s">
        <v>440</v>
      </c>
      <c r="GC68" s="261"/>
      <c r="GD68" s="261"/>
      <c r="GE68" s="261"/>
      <c r="GF68" s="261"/>
      <c r="GG68" s="261"/>
      <c r="GH68" s="261"/>
      <c r="GI68" s="261"/>
      <c r="GJ68" s="261"/>
      <c r="GK68" s="261"/>
      <c r="GL68" s="261"/>
      <c r="GM68" s="261"/>
      <c r="GN68" s="261"/>
      <c r="GO68" s="261"/>
      <c r="GP68" s="261"/>
      <c r="GQ68" s="261"/>
      <c r="GR68" s="261"/>
      <c r="GS68" s="261"/>
      <c r="GT68" s="261"/>
      <c r="GU68" s="261"/>
      <c r="GV68" s="261"/>
      <c r="GW68" s="261"/>
      <c r="GX68" s="261"/>
      <c r="GY68" s="261"/>
      <c r="GZ68" s="261"/>
      <c r="HA68" s="261"/>
      <c r="HB68" s="261" t="s">
        <v>440</v>
      </c>
      <c r="HC68" s="261">
        <v>3.5000000000000003E-2</v>
      </c>
      <c r="HD68" s="261">
        <v>3.5000000000000003E-2</v>
      </c>
      <c r="HE68" s="261" t="s">
        <v>440</v>
      </c>
      <c r="HF68" s="941" t="s">
        <v>439</v>
      </c>
    </row>
    <row r="69" spans="1:215">
      <c r="A69" s="961"/>
      <c r="B69" s="280"/>
      <c r="C69" s="921"/>
      <c r="D69" s="921"/>
      <c r="E69" s="921"/>
      <c r="F69" s="921"/>
      <c r="G69" s="921"/>
      <c r="H69" s="921"/>
      <c r="I69" s="921"/>
      <c r="J69" s="921"/>
      <c r="K69" s="921"/>
      <c r="L69" s="921"/>
      <c r="M69" s="921"/>
      <c r="N69" s="921"/>
      <c r="O69" s="921"/>
      <c r="P69" s="921"/>
      <c r="Q69" s="921"/>
      <c r="R69" s="921"/>
      <c r="S69" s="921"/>
      <c r="T69" s="970"/>
      <c r="U69" s="970"/>
      <c r="V69" s="970"/>
      <c r="W69" s="914"/>
      <c r="X69" s="914"/>
      <c r="Y69" s="914"/>
      <c r="Z69" s="914"/>
      <c r="AA69" s="914"/>
      <c r="AB69" s="914"/>
      <c r="AC69" s="914"/>
      <c r="AD69" s="914"/>
      <c r="AE69" s="914"/>
      <c r="AF69" s="986"/>
      <c r="AG69" s="986"/>
      <c r="AH69" s="986"/>
      <c r="AI69" s="986"/>
      <c r="AJ69" s="914"/>
      <c r="AK69" s="986"/>
      <c r="AL69" s="914"/>
      <c r="AM69" s="986"/>
      <c r="AN69" s="986"/>
      <c r="AO69" s="986"/>
      <c r="AP69" s="988"/>
      <c r="AQ69" s="988"/>
      <c r="AR69" s="988"/>
      <c r="AS69" s="988"/>
      <c r="AT69" s="988"/>
      <c r="AU69" s="988"/>
      <c r="AV69" s="988"/>
      <c r="AW69" s="988"/>
      <c r="AX69" s="988"/>
      <c r="AY69" s="988"/>
      <c r="AZ69" s="988"/>
      <c r="BA69" s="988"/>
      <c r="BB69" s="988"/>
      <c r="BC69" s="988"/>
      <c r="BD69" s="988"/>
      <c r="BE69" s="988"/>
      <c r="BF69" s="988"/>
      <c r="BG69" s="988"/>
      <c r="BH69" s="988"/>
      <c r="BI69" s="988"/>
      <c r="BJ69" s="988"/>
      <c r="BK69" s="988"/>
      <c r="BL69" s="988"/>
      <c r="BM69" s="988"/>
      <c r="BN69" s="988"/>
      <c r="BO69" s="988"/>
      <c r="BP69" s="988"/>
      <c r="BQ69" s="988"/>
      <c r="BR69" s="1028"/>
      <c r="BS69" s="988"/>
      <c r="BT69" s="988"/>
      <c r="BU69" s="988"/>
      <c r="BV69" s="988"/>
      <c r="BW69" s="988"/>
      <c r="BX69" s="988"/>
      <c r="BY69" s="988"/>
      <c r="BZ69" s="988"/>
      <c r="CA69" s="988"/>
      <c r="CB69" s="988"/>
      <c r="CC69" s="988"/>
      <c r="CD69" s="988"/>
      <c r="CE69" s="988"/>
      <c r="CF69" s="988"/>
      <c r="CG69" s="988"/>
      <c r="CH69" s="988"/>
      <c r="CI69" s="988"/>
      <c r="CJ69" s="988"/>
      <c r="CK69" s="988"/>
      <c r="CL69" s="988"/>
      <c r="CM69" s="988"/>
      <c r="CN69" s="988"/>
      <c r="CO69" s="988"/>
      <c r="CP69" s="988"/>
      <c r="CQ69" s="988"/>
      <c r="CR69" s="988"/>
      <c r="CS69" s="988"/>
      <c r="CT69" s="988"/>
      <c r="CU69" s="988"/>
      <c r="CV69" s="988"/>
      <c r="CW69" s="988"/>
      <c r="CX69" s="988"/>
      <c r="CY69" s="988"/>
      <c r="CZ69" s="988"/>
      <c r="DA69" s="988"/>
      <c r="DB69" s="988"/>
      <c r="DC69" s="988"/>
      <c r="DD69" s="988"/>
      <c r="DE69" s="988"/>
      <c r="DF69" s="988"/>
      <c r="DG69" s="988"/>
      <c r="DH69" s="988"/>
      <c r="DI69" s="988"/>
      <c r="DJ69" s="988"/>
      <c r="DK69" s="988"/>
      <c r="DL69" s="988"/>
      <c r="DM69" s="988"/>
      <c r="DN69" s="988"/>
      <c r="DO69" s="988"/>
      <c r="DP69" s="988"/>
      <c r="DQ69" s="988"/>
      <c r="DR69" s="988"/>
      <c r="DS69" s="261"/>
      <c r="DT69" s="261"/>
      <c r="DU69" s="261"/>
      <c r="DV69" s="261"/>
      <c r="DW69" s="261"/>
      <c r="DX69" s="261"/>
      <c r="DY69" s="261"/>
      <c r="DZ69" s="261"/>
      <c r="EA69" s="261"/>
      <c r="EB69" s="261"/>
      <c r="EC69" s="261"/>
      <c r="ED69" s="261"/>
      <c r="EE69" s="261"/>
      <c r="EF69" s="261"/>
      <c r="EG69" s="261"/>
      <c r="EH69" s="261"/>
      <c r="EI69" s="261"/>
      <c r="EJ69" s="261"/>
      <c r="EK69" s="261"/>
      <c r="EL69" s="261"/>
      <c r="EM69" s="261"/>
      <c r="EN69" s="261"/>
      <c r="EO69" s="261"/>
      <c r="EP69" s="261"/>
      <c r="EQ69" s="261"/>
      <c r="ER69" s="261"/>
      <c r="ES69" s="261"/>
      <c r="ET69" s="261"/>
      <c r="EU69" s="261"/>
      <c r="EV69" s="261"/>
      <c r="EW69" s="261"/>
      <c r="EX69" s="261"/>
      <c r="EY69" s="261"/>
      <c r="EZ69" s="1051"/>
      <c r="FA69" s="235"/>
      <c r="FB69" s="254"/>
      <c r="FC69" s="231"/>
      <c r="FD69" s="236"/>
      <c r="FE69" s="238"/>
      <c r="FF69" s="237"/>
      <c r="FG69" s="231"/>
      <c r="FH69" s="236"/>
      <c r="FI69" s="236"/>
      <c r="FJ69" s="236"/>
      <c r="FK69" s="236"/>
      <c r="FL69" s="236"/>
      <c r="FM69" s="236"/>
      <c r="FN69" s="235"/>
      <c r="FO69" s="235"/>
      <c r="FP69" s="235"/>
      <c r="FQ69" s="235"/>
      <c r="FR69" s="235"/>
      <c r="FS69" s="235"/>
      <c r="FT69" s="235"/>
      <c r="FU69" s="235"/>
      <c r="FV69" s="235"/>
      <c r="FW69" s="235"/>
      <c r="FX69" s="235"/>
      <c r="FY69" s="261"/>
      <c r="FZ69" s="261"/>
      <c r="GA69" s="261"/>
      <c r="GB69" s="261"/>
      <c r="GC69" s="261"/>
      <c r="GD69" s="261"/>
      <c r="GE69" s="261"/>
      <c r="GF69" s="261"/>
      <c r="GG69" s="261"/>
      <c r="GH69" s="261"/>
      <c r="GI69" s="261"/>
      <c r="GJ69" s="261"/>
      <c r="GK69" s="261"/>
      <c r="GL69" s="261"/>
      <c r="GM69" s="261"/>
      <c r="GN69" s="261"/>
      <c r="GO69" s="261"/>
      <c r="GP69" s="261"/>
      <c r="GQ69" s="261"/>
      <c r="GR69" s="261"/>
      <c r="GS69" s="261"/>
      <c r="GT69" s="261"/>
      <c r="GU69" s="261"/>
      <c r="GV69" s="261"/>
      <c r="GW69" s="261"/>
      <c r="GX69" s="261"/>
      <c r="GY69" s="261"/>
      <c r="GZ69" s="261"/>
      <c r="HA69" s="261"/>
      <c r="HB69" s="261"/>
      <c r="HC69" s="261"/>
      <c r="HD69" s="261"/>
      <c r="HE69" s="261"/>
      <c r="HF69" s="942"/>
    </row>
    <row r="70" spans="1:215" ht="27.6">
      <c r="A70" s="312" t="s">
        <v>29</v>
      </c>
      <c r="B70" s="304" t="s">
        <v>796</v>
      </c>
      <c r="C70" s="280">
        <v>1.4999999999999999E-2</v>
      </c>
      <c r="D70" s="280">
        <v>1.4999999999999999E-2</v>
      </c>
      <c r="E70" s="280">
        <v>1.4999999999999999E-2</v>
      </c>
      <c r="F70" s="280">
        <v>1.4999999999999999E-2</v>
      </c>
      <c r="G70" s="280">
        <v>1.4999999999999999E-2</v>
      </c>
      <c r="H70" s="269">
        <v>1.4999999999999999E-2</v>
      </c>
      <c r="I70" s="269"/>
      <c r="J70" s="280">
        <v>1.6E-2</v>
      </c>
      <c r="K70" s="269">
        <v>1.6E-2</v>
      </c>
      <c r="L70" s="280"/>
      <c r="M70" s="280" t="s">
        <v>124</v>
      </c>
      <c r="N70" s="280" t="s">
        <v>124</v>
      </c>
      <c r="O70" s="280">
        <v>1.4999999999999999E-2</v>
      </c>
      <c r="P70" s="269">
        <v>1.4999999999999999E-2</v>
      </c>
      <c r="Q70" s="269">
        <v>1.35E-2</v>
      </c>
      <c r="R70" s="280"/>
      <c r="S70" s="280"/>
      <c r="T70" s="240"/>
      <c r="U70" s="240"/>
      <c r="V70" s="240"/>
      <c r="W70" s="272" t="s">
        <v>124</v>
      </c>
      <c r="X70" s="272" t="s">
        <v>124</v>
      </c>
      <c r="Y70" s="272" t="s">
        <v>124</v>
      </c>
      <c r="Z70" s="272" t="s">
        <v>124</v>
      </c>
      <c r="AA70" s="272" t="s">
        <v>124</v>
      </c>
      <c r="AB70" s="272" t="s">
        <v>124</v>
      </c>
      <c r="AC70" s="272" t="s">
        <v>124</v>
      </c>
      <c r="AD70" s="272" t="s">
        <v>124</v>
      </c>
      <c r="AE70" s="272" t="s">
        <v>124</v>
      </c>
      <c r="AF70" s="271" t="s">
        <v>124</v>
      </c>
      <c r="AG70" s="271" t="s">
        <v>124</v>
      </c>
      <c r="AH70" s="271" t="s">
        <v>124</v>
      </c>
      <c r="AI70" s="271" t="s">
        <v>124</v>
      </c>
      <c r="AJ70" s="272" t="s">
        <v>124</v>
      </c>
      <c r="AK70" s="271" t="s">
        <v>124</v>
      </c>
      <c r="AL70" s="272" t="s">
        <v>124</v>
      </c>
      <c r="AM70" s="271" t="s">
        <v>124</v>
      </c>
      <c r="AN70" s="271" t="s">
        <v>124</v>
      </c>
      <c r="AO70" s="271" t="s">
        <v>124</v>
      </c>
      <c r="AP70" s="261" t="s">
        <v>124</v>
      </c>
      <c r="AQ70" s="261" t="s">
        <v>124</v>
      </c>
      <c r="AR70" s="261" t="s">
        <v>124</v>
      </c>
      <c r="AS70" s="261" t="s">
        <v>124</v>
      </c>
      <c r="AT70" s="261" t="s">
        <v>124</v>
      </c>
      <c r="AU70" s="261" t="s">
        <v>124</v>
      </c>
      <c r="AV70" s="261" t="s">
        <v>124</v>
      </c>
      <c r="AW70" s="261" t="s">
        <v>124</v>
      </c>
      <c r="AX70" s="295" t="s">
        <v>124</v>
      </c>
      <c r="AY70" s="261">
        <v>2.8000000000000001E-2</v>
      </c>
      <c r="AZ70" s="261">
        <v>2.8000000000000001E-2</v>
      </c>
      <c r="BA70" s="261">
        <v>2.8000000000000001E-2</v>
      </c>
      <c r="BB70" s="261">
        <v>2.8000000000000001E-2</v>
      </c>
      <c r="BC70" s="261">
        <v>2.8000000000000001E-2</v>
      </c>
      <c r="BD70" s="261">
        <v>2.8000000000000001E-2</v>
      </c>
      <c r="BE70" s="261">
        <v>2.8000000000000001E-2</v>
      </c>
      <c r="BF70" s="261" t="s">
        <v>124</v>
      </c>
      <c r="BG70" s="261"/>
      <c r="BH70" s="261"/>
      <c r="BI70" s="261"/>
      <c r="BJ70" s="261"/>
      <c r="BK70" s="261"/>
      <c r="BL70" s="261"/>
      <c r="BM70" s="261"/>
      <c r="BN70" s="261"/>
      <c r="BO70" s="261"/>
      <c r="BP70" s="261"/>
      <c r="BQ70" s="261"/>
      <c r="BR70" s="295"/>
      <c r="BS70" s="261"/>
      <c r="BT70" s="261"/>
      <c r="BU70" s="261"/>
      <c r="BV70" s="261"/>
      <c r="BW70" s="261"/>
      <c r="BX70" s="261"/>
      <c r="BY70" s="261"/>
      <c r="BZ70" s="261"/>
      <c r="CA70" s="261"/>
      <c r="CB70" s="261"/>
      <c r="CC70" s="261"/>
      <c r="CD70" s="261"/>
      <c r="CE70" s="261"/>
      <c r="CF70" s="261"/>
      <c r="CG70" s="261"/>
      <c r="CH70" s="261"/>
      <c r="CI70" s="261"/>
      <c r="CJ70" s="261"/>
      <c r="CK70" s="261"/>
      <c r="CL70" s="261"/>
      <c r="CM70" s="261"/>
      <c r="CN70" s="261"/>
      <c r="CO70" s="261"/>
      <c r="CP70" s="261"/>
      <c r="CQ70" s="261"/>
      <c r="CR70" s="261"/>
      <c r="CS70" s="261"/>
      <c r="CT70" s="261"/>
      <c r="CU70" s="261"/>
      <c r="CV70" s="261"/>
      <c r="CW70" s="261"/>
      <c r="CX70" s="261"/>
      <c r="CY70" s="261"/>
      <c r="CZ70" s="261"/>
      <c r="DA70" s="261"/>
      <c r="DB70" s="261"/>
      <c r="DC70" s="261"/>
      <c r="DD70" s="261"/>
      <c r="DE70" s="261"/>
      <c r="DF70" s="261"/>
      <c r="DG70" s="261"/>
      <c r="DH70" s="261"/>
      <c r="DI70" s="261"/>
      <c r="DJ70" s="261"/>
      <c r="DK70" s="261"/>
      <c r="DL70" s="261"/>
      <c r="DM70" s="261"/>
      <c r="DN70" s="261"/>
      <c r="DO70" s="261"/>
      <c r="DP70" s="261"/>
      <c r="DQ70" s="261"/>
      <c r="DR70" s="261"/>
      <c r="DS70" s="261"/>
      <c r="DT70" s="261"/>
      <c r="DU70" s="261"/>
      <c r="DV70" s="261"/>
      <c r="DW70" s="261"/>
      <c r="DX70" s="261"/>
      <c r="DY70" s="261"/>
      <c r="DZ70" s="261"/>
      <c r="EA70" s="261"/>
      <c r="EB70" s="261"/>
      <c r="EC70" s="261"/>
      <c r="ED70" s="261"/>
      <c r="EE70" s="261"/>
      <c r="EF70" s="261"/>
      <c r="EG70" s="261"/>
      <c r="EH70" s="261"/>
      <c r="EI70" s="261"/>
      <c r="EJ70" s="261"/>
      <c r="EK70" s="261"/>
      <c r="EL70" s="261"/>
      <c r="EM70" s="261"/>
      <c r="EN70" s="261"/>
      <c r="EO70" s="261"/>
      <c r="EP70" s="261"/>
      <c r="EQ70" s="261"/>
      <c r="ER70" s="261"/>
      <c r="ES70" s="261"/>
      <c r="ET70" s="261"/>
      <c r="EU70" s="261"/>
      <c r="EV70" s="261"/>
      <c r="EW70" s="261"/>
      <c r="EX70" s="261"/>
      <c r="EY70" s="261"/>
      <c r="EZ70" s="231" t="s">
        <v>438</v>
      </c>
      <c r="FA70" s="235"/>
      <c r="FB70" s="254"/>
      <c r="FC70" s="231"/>
      <c r="FD70" s="236"/>
      <c r="FE70" s="238"/>
      <c r="FF70" s="237"/>
      <c r="FG70" s="231"/>
      <c r="FH70" s="236"/>
      <c r="FI70" s="236"/>
      <c r="FJ70" s="236"/>
      <c r="FK70" s="236"/>
      <c r="FL70" s="236"/>
      <c r="FM70" s="236"/>
      <c r="FN70" s="235"/>
      <c r="FO70" s="235"/>
      <c r="FP70" s="235"/>
      <c r="FQ70" s="235"/>
      <c r="FR70" s="235"/>
      <c r="FS70" s="235"/>
      <c r="FT70" s="235"/>
      <c r="FU70" s="235"/>
      <c r="FV70" s="235"/>
      <c r="FW70" s="235"/>
      <c r="FX70" s="235"/>
      <c r="FY70" s="261"/>
      <c r="FZ70" s="261"/>
      <c r="GA70" s="261"/>
      <c r="GB70" s="261"/>
      <c r="GC70" s="261"/>
      <c r="GD70" s="261"/>
      <c r="GE70" s="261"/>
      <c r="GF70" s="261"/>
      <c r="GG70" s="261"/>
      <c r="GH70" s="261"/>
      <c r="GI70" s="261"/>
      <c r="GJ70" s="261"/>
      <c r="GK70" s="261"/>
      <c r="GL70" s="261"/>
      <c r="GM70" s="261"/>
      <c r="GN70" s="261"/>
      <c r="GO70" s="261"/>
      <c r="GP70" s="261"/>
      <c r="GQ70" s="261"/>
      <c r="GR70" s="261"/>
      <c r="GS70" s="261"/>
      <c r="GT70" s="261"/>
      <c r="GU70" s="261"/>
      <c r="GV70" s="261"/>
      <c r="GW70" s="261"/>
      <c r="GX70" s="261"/>
      <c r="GY70" s="261"/>
      <c r="GZ70" s="261"/>
      <c r="HA70" s="261"/>
      <c r="HB70" s="261"/>
      <c r="HC70" s="261"/>
      <c r="HD70" s="261"/>
      <c r="HE70" s="261"/>
      <c r="HF70" s="178">
        <f>C70-D70</f>
        <v>0</v>
      </c>
      <c r="HG70" s="218" t="s">
        <v>823</v>
      </c>
    </row>
    <row r="71" spans="1:215" ht="20.399999999999999">
      <c r="A71" s="758" t="s">
        <v>437</v>
      </c>
      <c r="B71" s="742"/>
      <c r="C71" s="742"/>
      <c r="D71" s="742"/>
      <c r="E71" s="742"/>
      <c r="F71" s="742"/>
      <c r="G71" s="742"/>
      <c r="H71" s="742"/>
      <c r="I71" s="742"/>
      <c r="J71" s="742"/>
      <c r="K71" s="742"/>
      <c r="L71" s="742"/>
      <c r="M71" s="742"/>
      <c r="N71" s="742"/>
      <c r="O71" s="742"/>
      <c r="P71" s="742"/>
      <c r="Q71" s="742"/>
      <c r="R71" s="742"/>
      <c r="S71" s="742"/>
      <c r="T71" s="742"/>
      <c r="U71" s="742"/>
      <c r="V71" s="742"/>
      <c r="W71" s="742"/>
      <c r="X71" s="742"/>
      <c r="Y71" s="742"/>
      <c r="Z71" s="742"/>
      <c r="AA71" s="742"/>
      <c r="AB71" s="742"/>
      <c r="AC71" s="742"/>
      <c r="AD71" s="742"/>
      <c r="AE71" s="742"/>
      <c r="AF71" s="742"/>
      <c r="AG71" s="742"/>
      <c r="AH71" s="742"/>
      <c r="AI71" s="742"/>
      <c r="AJ71" s="742"/>
      <c r="AK71" s="742"/>
      <c r="AL71" s="742"/>
      <c r="AM71" s="742"/>
      <c r="AN71" s="742"/>
      <c r="AO71" s="742"/>
      <c r="AP71" s="742"/>
      <c r="AQ71" s="742"/>
      <c r="AR71" s="742"/>
      <c r="AS71" s="742"/>
      <c r="AT71" s="742"/>
      <c r="AU71" s="742"/>
      <c r="AV71" s="742"/>
      <c r="AW71" s="742"/>
      <c r="AX71" s="742"/>
      <c r="AY71" s="742"/>
      <c r="AZ71" s="742"/>
      <c r="BA71" s="742"/>
      <c r="BB71" s="742"/>
      <c r="BC71" s="742"/>
      <c r="BD71" s="742"/>
      <c r="BE71" s="742"/>
      <c r="BF71" s="742"/>
      <c r="BG71" s="742"/>
      <c r="BH71" s="742"/>
      <c r="BI71" s="742"/>
      <c r="BJ71" s="742"/>
      <c r="BK71" s="742"/>
      <c r="BL71" s="742"/>
      <c r="BM71" s="742"/>
      <c r="BN71" s="742"/>
      <c r="BO71" s="742"/>
      <c r="BP71" s="742"/>
      <c r="BQ71" s="742"/>
      <c r="BR71" s="742"/>
      <c r="BS71" s="742"/>
      <c r="BT71" s="742"/>
      <c r="BU71" s="742"/>
      <c r="BV71" s="742"/>
      <c r="BW71" s="742"/>
      <c r="BX71" s="742"/>
      <c r="BY71" s="742"/>
      <c r="BZ71" s="742"/>
      <c r="CA71" s="742"/>
      <c r="CB71" s="742"/>
      <c r="CC71" s="742"/>
      <c r="CD71" s="742"/>
      <c r="CE71" s="742"/>
      <c r="CF71" s="742"/>
      <c r="CG71" s="742"/>
      <c r="CH71" s="742"/>
      <c r="CI71" s="742"/>
      <c r="CJ71" s="742"/>
      <c r="CK71" s="742"/>
      <c r="CL71" s="742"/>
      <c r="CM71" s="742"/>
      <c r="CN71" s="742"/>
      <c r="CO71" s="742"/>
      <c r="CP71" s="742"/>
      <c r="CQ71" s="742"/>
      <c r="CR71" s="742"/>
      <c r="CS71" s="742"/>
      <c r="CT71" s="742"/>
      <c r="CU71" s="742"/>
      <c r="CV71" s="742"/>
      <c r="CW71" s="742"/>
      <c r="CX71" s="742"/>
      <c r="CY71" s="742"/>
      <c r="CZ71" s="742"/>
      <c r="DA71" s="742"/>
      <c r="DB71" s="742"/>
      <c r="DC71" s="742"/>
      <c r="DD71" s="742"/>
      <c r="DE71" s="742"/>
      <c r="DF71" s="742"/>
      <c r="DG71" s="742"/>
      <c r="DH71" s="742"/>
      <c r="DI71" s="742"/>
      <c r="DJ71" s="742"/>
      <c r="DK71" s="742"/>
      <c r="DL71" s="742"/>
      <c r="DM71" s="742"/>
      <c r="DN71" s="742"/>
      <c r="DO71" s="742"/>
      <c r="DP71" s="742"/>
      <c r="DQ71" s="742"/>
      <c r="DR71" s="742"/>
      <c r="DS71" s="742"/>
      <c r="DT71" s="742"/>
      <c r="DU71" s="742"/>
      <c r="DV71" s="742"/>
      <c r="DW71" s="742"/>
      <c r="DX71" s="742"/>
      <c r="DY71" s="742"/>
      <c r="DZ71" s="742"/>
      <c r="EA71" s="742"/>
      <c r="EB71" s="742"/>
      <c r="EC71" s="742"/>
      <c r="ED71" s="742"/>
      <c r="EE71" s="742"/>
      <c r="EF71" s="742"/>
      <c r="EG71" s="742"/>
      <c r="EH71" s="742"/>
      <c r="EI71" s="742"/>
      <c r="EJ71" s="742"/>
      <c r="EK71" s="742"/>
      <c r="EL71" s="742"/>
      <c r="EM71" s="742"/>
      <c r="EN71" s="742"/>
      <c r="EO71" s="742"/>
      <c r="EP71" s="742"/>
      <c r="EQ71" s="742"/>
      <c r="ER71" s="742"/>
      <c r="ES71" s="742"/>
      <c r="ET71" s="742"/>
      <c r="EU71" s="742"/>
      <c r="EV71" s="742"/>
      <c r="EW71" s="742"/>
      <c r="EX71" s="742"/>
      <c r="EY71" s="742"/>
      <c r="EZ71" s="742"/>
      <c r="FA71" s="742"/>
      <c r="FB71" s="742"/>
      <c r="FC71" s="742"/>
      <c r="FD71" s="742"/>
      <c r="FE71" s="742"/>
      <c r="FF71" s="742"/>
      <c r="FG71" s="742"/>
      <c r="FH71" s="742"/>
      <c r="FI71" s="742"/>
      <c r="FJ71" s="742"/>
      <c r="FK71" s="742"/>
      <c r="FL71" s="742"/>
      <c r="FM71" s="742"/>
      <c r="FN71" s="742"/>
      <c r="FO71" s="742"/>
      <c r="FP71" s="742"/>
      <c r="FQ71" s="742"/>
      <c r="FR71" s="742"/>
      <c r="FS71" s="742"/>
      <c r="FT71" s="742"/>
      <c r="FU71" s="742"/>
      <c r="FV71" s="742"/>
      <c r="FW71" s="742"/>
      <c r="FX71" s="742"/>
      <c r="FY71" s="742"/>
      <c r="FZ71" s="742"/>
      <c r="GA71" s="742"/>
      <c r="GB71" s="742"/>
      <c r="GC71" s="742"/>
      <c r="GD71" s="742"/>
      <c r="GE71" s="742"/>
      <c r="GF71" s="742"/>
      <c r="GG71" s="742"/>
      <c r="GH71" s="742"/>
      <c r="GI71" s="742"/>
      <c r="GJ71" s="742"/>
      <c r="GK71" s="742"/>
      <c r="GL71" s="742"/>
      <c r="GM71" s="742"/>
      <c r="GN71" s="742"/>
      <c r="GO71" s="742"/>
      <c r="GP71" s="742"/>
      <c r="GQ71" s="742"/>
      <c r="GR71" s="742"/>
      <c r="GS71" s="742"/>
      <c r="GT71" s="742"/>
      <c r="GU71" s="742"/>
      <c r="GV71" s="742"/>
      <c r="GW71" s="742"/>
      <c r="GX71" s="742"/>
      <c r="GY71" s="742"/>
      <c r="GZ71" s="742"/>
      <c r="HA71" s="742"/>
      <c r="HB71" s="742"/>
      <c r="HC71" s="742"/>
      <c r="HD71" s="742"/>
      <c r="HE71" s="742"/>
      <c r="HF71" s="743"/>
    </row>
    <row r="72" spans="1:215" ht="15.6">
      <c r="A72" s="690" t="s">
        <v>328</v>
      </c>
      <c r="B72" s="652"/>
      <c r="C72" s="653">
        <f t="shared" ref="C72:H72" si="21">C3</f>
        <v>46099</v>
      </c>
      <c r="D72" s="653">
        <f t="shared" si="21"/>
        <v>46092</v>
      </c>
      <c r="E72" s="653">
        <f t="shared" si="21"/>
        <v>46085</v>
      </c>
      <c r="F72" s="653">
        <f t="shared" si="21"/>
        <v>46078</v>
      </c>
      <c r="G72" s="653">
        <f t="shared" si="21"/>
        <v>46071</v>
      </c>
      <c r="H72" s="653">
        <f t="shared" si="21"/>
        <v>46064</v>
      </c>
      <c r="I72" s="653">
        <v>46057</v>
      </c>
      <c r="J72" s="653">
        <f t="shared" ref="J72:AF72" si="22">J3</f>
        <v>46050</v>
      </c>
      <c r="K72" s="653">
        <f t="shared" si="22"/>
        <v>46043</v>
      </c>
      <c r="L72" s="653">
        <f t="shared" si="22"/>
        <v>46036</v>
      </c>
      <c r="M72" s="653">
        <f t="shared" si="22"/>
        <v>46029</v>
      </c>
      <c r="N72" s="653">
        <f t="shared" si="22"/>
        <v>46022</v>
      </c>
      <c r="O72" s="653">
        <f t="shared" si="22"/>
        <v>46015</v>
      </c>
      <c r="P72" s="653">
        <f t="shared" si="22"/>
        <v>46008</v>
      </c>
      <c r="Q72" s="653">
        <f t="shared" si="22"/>
        <v>46001</v>
      </c>
      <c r="R72" s="653">
        <f t="shared" si="22"/>
        <v>45994</v>
      </c>
      <c r="S72" s="653">
        <f t="shared" si="22"/>
        <v>46092</v>
      </c>
      <c r="T72" s="591">
        <f t="shared" si="22"/>
        <v>45980</v>
      </c>
      <c r="U72" s="591">
        <f t="shared" si="22"/>
        <v>45973</v>
      </c>
      <c r="V72" s="591">
        <f t="shared" si="22"/>
        <v>45966</v>
      </c>
      <c r="W72" s="247">
        <f t="shared" si="22"/>
        <v>45959</v>
      </c>
      <c r="X72" s="247">
        <f t="shared" si="22"/>
        <v>45952</v>
      </c>
      <c r="Y72" s="247">
        <f t="shared" si="22"/>
        <v>45945</v>
      </c>
      <c r="Z72" s="247">
        <f t="shared" si="22"/>
        <v>45938</v>
      </c>
      <c r="AA72" s="247">
        <f t="shared" si="22"/>
        <v>45931</v>
      </c>
      <c r="AB72" s="247">
        <f t="shared" si="22"/>
        <v>45924</v>
      </c>
      <c r="AC72" s="247">
        <f t="shared" si="22"/>
        <v>45917</v>
      </c>
      <c r="AD72" s="247">
        <f t="shared" si="22"/>
        <v>45910</v>
      </c>
      <c r="AE72" s="247">
        <f t="shared" si="22"/>
        <v>46092</v>
      </c>
      <c r="AF72" s="252">
        <f t="shared" si="22"/>
        <v>45896</v>
      </c>
      <c r="AG72" s="252">
        <v>45889</v>
      </c>
      <c r="AH72" s="252">
        <v>45882</v>
      </c>
      <c r="AI72" s="252">
        <v>45875</v>
      </c>
      <c r="AJ72" s="247">
        <v>45868</v>
      </c>
      <c r="AK72" s="252">
        <v>45861</v>
      </c>
      <c r="AL72" s="247">
        <v>45854</v>
      </c>
      <c r="AM72" s="252">
        <v>45847</v>
      </c>
      <c r="AN72" s="252">
        <v>45840</v>
      </c>
      <c r="AO72" s="252">
        <f>AO3</f>
        <v>45833</v>
      </c>
      <c r="AP72" s="247">
        <v>45826</v>
      </c>
      <c r="AQ72" s="247">
        <f t="shared" ref="AQ72:BV72" si="23">AQ3</f>
        <v>45819</v>
      </c>
      <c r="AR72" s="247">
        <f t="shared" si="23"/>
        <v>45812</v>
      </c>
      <c r="AS72" s="247">
        <f t="shared" si="23"/>
        <v>45805</v>
      </c>
      <c r="AT72" s="247">
        <f t="shared" si="23"/>
        <v>45798</v>
      </c>
      <c r="AU72" s="247">
        <f t="shared" si="23"/>
        <v>45792</v>
      </c>
      <c r="AV72" s="247">
        <f t="shared" si="23"/>
        <v>45785</v>
      </c>
      <c r="AW72" s="247">
        <f t="shared" si="23"/>
        <v>45777</v>
      </c>
      <c r="AX72" s="247">
        <f t="shared" si="23"/>
        <v>45771</v>
      </c>
      <c r="AY72" s="247">
        <f t="shared" si="23"/>
        <v>45763</v>
      </c>
      <c r="AZ72" s="247">
        <f t="shared" si="23"/>
        <v>45757</v>
      </c>
      <c r="BA72" s="247">
        <f t="shared" si="23"/>
        <v>45750</v>
      </c>
      <c r="BB72" s="247">
        <f t="shared" si="23"/>
        <v>45742</v>
      </c>
      <c r="BC72" s="247" t="e">
        <f t="shared" si="23"/>
        <v>#REF!</v>
      </c>
      <c r="BD72" s="247">
        <f t="shared" si="23"/>
        <v>45729</v>
      </c>
      <c r="BE72" s="247">
        <f t="shared" si="23"/>
        <v>45722</v>
      </c>
      <c r="BF72" s="247">
        <f t="shared" si="23"/>
        <v>45715</v>
      </c>
      <c r="BG72" s="247">
        <f t="shared" si="23"/>
        <v>45708</v>
      </c>
      <c r="BH72" s="247">
        <f t="shared" si="23"/>
        <v>45701</v>
      </c>
      <c r="BI72" s="247">
        <f t="shared" si="23"/>
        <v>45694</v>
      </c>
      <c r="BJ72" s="247">
        <f t="shared" si="23"/>
        <v>45688</v>
      </c>
      <c r="BK72" s="247">
        <f t="shared" si="23"/>
        <v>45315</v>
      </c>
      <c r="BL72" s="247">
        <f t="shared" si="23"/>
        <v>45673</v>
      </c>
      <c r="BM72" s="247">
        <f t="shared" si="23"/>
        <v>45666</v>
      </c>
      <c r="BN72" s="247">
        <f t="shared" si="23"/>
        <v>45659</v>
      </c>
      <c r="BO72" s="247">
        <f t="shared" si="23"/>
        <v>45652</v>
      </c>
      <c r="BP72" s="247">
        <f t="shared" si="23"/>
        <v>45645</v>
      </c>
      <c r="BQ72" s="247">
        <f t="shared" si="23"/>
        <v>45638</v>
      </c>
      <c r="BR72" s="247">
        <f t="shared" si="23"/>
        <v>45631</v>
      </c>
      <c r="BS72" s="247">
        <f t="shared" si="23"/>
        <v>45625</v>
      </c>
      <c r="BT72" s="247">
        <f t="shared" si="23"/>
        <v>45617</v>
      </c>
      <c r="BU72" s="247">
        <f t="shared" si="23"/>
        <v>45610</v>
      </c>
      <c r="BV72" s="247">
        <f t="shared" si="23"/>
        <v>45603</v>
      </c>
      <c r="BW72" s="247">
        <f t="shared" ref="BW72:DB72" si="24">BW3</f>
        <v>45595</v>
      </c>
      <c r="BX72" s="247">
        <f t="shared" si="24"/>
        <v>45591</v>
      </c>
      <c r="BY72" s="247">
        <f t="shared" si="24"/>
        <v>45582</v>
      </c>
      <c r="BZ72" s="247">
        <f t="shared" si="24"/>
        <v>45575</v>
      </c>
      <c r="CA72" s="247">
        <f t="shared" si="24"/>
        <v>45568</v>
      </c>
      <c r="CB72" s="247">
        <f t="shared" si="24"/>
        <v>45561</v>
      </c>
      <c r="CC72" s="247">
        <f t="shared" si="24"/>
        <v>45554</v>
      </c>
      <c r="CD72" s="247">
        <f t="shared" si="24"/>
        <v>45547</v>
      </c>
      <c r="CE72" s="247">
        <f t="shared" si="24"/>
        <v>45540</v>
      </c>
      <c r="CF72" s="247">
        <f t="shared" si="24"/>
        <v>45533</v>
      </c>
      <c r="CG72" s="247">
        <f t="shared" si="24"/>
        <v>45526</v>
      </c>
      <c r="CH72" s="247">
        <f t="shared" si="24"/>
        <v>45519</v>
      </c>
      <c r="CI72" s="247">
        <f t="shared" si="24"/>
        <v>45511</v>
      </c>
      <c r="CJ72" s="247">
        <f t="shared" si="24"/>
        <v>45505</v>
      </c>
      <c r="CK72" s="247">
        <f t="shared" si="24"/>
        <v>45498</v>
      </c>
      <c r="CL72" s="247">
        <f t="shared" si="24"/>
        <v>45492</v>
      </c>
      <c r="CM72" s="247" t="str">
        <f t="shared" si="24"/>
        <v>11/7/224</v>
      </c>
      <c r="CN72" s="247">
        <f t="shared" si="24"/>
        <v>45477</v>
      </c>
      <c r="CO72" s="247">
        <f t="shared" si="24"/>
        <v>45464</v>
      </c>
      <c r="CP72" s="247">
        <f t="shared" si="24"/>
        <v>45456</v>
      </c>
      <c r="CQ72" s="247">
        <f t="shared" si="24"/>
        <v>45449</v>
      </c>
      <c r="CR72" s="247">
        <f t="shared" si="24"/>
        <v>45442</v>
      </c>
      <c r="CS72" s="247">
        <f t="shared" si="24"/>
        <v>45435</v>
      </c>
      <c r="CT72" s="247">
        <f t="shared" si="24"/>
        <v>45428</v>
      </c>
      <c r="CU72" s="247">
        <f t="shared" si="24"/>
        <v>45421</v>
      </c>
      <c r="CV72" s="247">
        <f t="shared" si="24"/>
        <v>45414</v>
      </c>
      <c r="CW72" s="247">
        <f t="shared" si="24"/>
        <v>45407</v>
      </c>
      <c r="CX72" s="247">
        <f t="shared" si="24"/>
        <v>45400</v>
      </c>
      <c r="CY72" s="247">
        <f t="shared" si="24"/>
        <v>45393</v>
      </c>
      <c r="CZ72" s="247">
        <f t="shared" si="24"/>
        <v>45386</v>
      </c>
      <c r="DA72" s="247">
        <f t="shared" si="24"/>
        <v>45378</v>
      </c>
      <c r="DB72" s="247">
        <f t="shared" si="24"/>
        <v>45372</v>
      </c>
      <c r="DC72" s="247">
        <f t="shared" ref="DC72:EH72" si="25">DC3</f>
        <v>45365</v>
      </c>
      <c r="DD72" s="247">
        <f t="shared" si="25"/>
        <v>45358</v>
      </c>
      <c r="DE72" s="247">
        <f t="shared" si="25"/>
        <v>45351</v>
      </c>
      <c r="DF72" s="247">
        <f t="shared" si="25"/>
        <v>45343</v>
      </c>
      <c r="DG72" s="247">
        <f t="shared" si="25"/>
        <v>45336</v>
      </c>
      <c r="DH72" s="247">
        <f t="shared" si="25"/>
        <v>45329</v>
      </c>
      <c r="DI72" s="247">
        <f t="shared" si="25"/>
        <v>45323</v>
      </c>
      <c r="DJ72" s="247">
        <f t="shared" si="25"/>
        <v>45316</v>
      </c>
      <c r="DK72" s="247">
        <f t="shared" si="25"/>
        <v>45309</v>
      </c>
      <c r="DL72" s="247">
        <f t="shared" si="25"/>
        <v>45302</v>
      </c>
      <c r="DM72" s="247">
        <f t="shared" si="25"/>
        <v>45295</v>
      </c>
      <c r="DN72" s="247">
        <f t="shared" si="25"/>
        <v>45288</v>
      </c>
      <c r="DO72" s="247">
        <f t="shared" si="25"/>
        <v>45281</v>
      </c>
      <c r="DP72" s="247" t="str">
        <f t="shared" si="25"/>
        <v>14/21/2023</v>
      </c>
      <c r="DQ72" s="247">
        <f t="shared" si="25"/>
        <v>45267</v>
      </c>
      <c r="DR72" s="247">
        <f t="shared" si="25"/>
        <v>45260</v>
      </c>
      <c r="DS72" s="247">
        <f t="shared" si="25"/>
        <v>45253</v>
      </c>
      <c r="DT72" s="247">
        <f t="shared" si="25"/>
        <v>45246</v>
      </c>
      <c r="DU72" s="247">
        <f t="shared" si="25"/>
        <v>45239</v>
      </c>
      <c r="DV72" s="247">
        <f t="shared" si="25"/>
        <v>45232</v>
      </c>
      <c r="DW72" s="247">
        <f t="shared" si="25"/>
        <v>45225</v>
      </c>
      <c r="DX72" s="247">
        <f t="shared" si="25"/>
        <v>45218</v>
      </c>
      <c r="DY72" s="247">
        <f t="shared" si="25"/>
        <v>45211</v>
      </c>
      <c r="DZ72" s="247">
        <f t="shared" si="25"/>
        <v>45204</v>
      </c>
      <c r="EA72" s="247">
        <f t="shared" si="25"/>
        <v>45197</v>
      </c>
      <c r="EB72" s="247">
        <f t="shared" si="25"/>
        <v>45190</v>
      </c>
      <c r="EC72" s="247">
        <f t="shared" si="25"/>
        <v>45183</v>
      </c>
      <c r="ED72" s="247">
        <f t="shared" si="25"/>
        <v>45176</v>
      </c>
      <c r="EE72" s="247">
        <f t="shared" si="25"/>
        <v>45168</v>
      </c>
      <c r="EF72" s="247">
        <f t="shared" si="25"/>
        <v>45162</v>
      </c>
      <c r="EG72" s="247">
        <f t="shared" si="25"/>
        <v>45155</v>
      </c>
      <c r="EH72" s="247">
        <f t="shared" si="25"/>
        <v>45148</v>
      </c>
      <c r="EI72" s="247">
        <v>45141</v>
      </c>
      <c r="EJ72" s="247">
        <v>45134</v>
      </c>
      <c r="EK72" s="247">
        <v>45127</v>
      </c>
      <c r="EL72" s="247">
        <v>45120</v>
      </c>
      <c r="EM72" s="247">
        <v>45113</v>
      </c>
      <c r="EN72" s="247">
        <v>45105</v>
      </c>
      <c r="EO72" s="247">
        <v>45099</v>
      </c>
      <c r="EP72" s="247">
        <v>45092</v>
      </c>
      <c r="EQ72" s="247">
        <v>45085</v>
      </c>
      <c r="ER72" s="247">
        <v>45076</v>
      </c>
      <c r="ES72" s="247">
        <v>45070</v>
      </c>
      <c r="ET72" s="247">
        <v>45063</v>
      </c>
      <c r="EU72" s="247">
        <v>45056</v>
      </c>
      <c r="EV72" s="247">
        <v>45049</v>
      </c>
      <c r="EW72" s="247">
        <v>45042</v>
      </c>
      <c r="EX72" s="247">
        <v>45035</v>
      </c>
      <c r="EY72" s="247">
        <v>45028</v>
      </c>
      <c r="EZ72" s="244"/>
      <c r="FA72" s="247">
        <v>44803</v>
      </c>
      <c r="FB72" s="251"/>
      <c r="FC72" s="244"/>
      <c r="FD72" s="1047">
        <v>44706</v>
      </c>
      <c r="FE72" s="251"/>
      <c r="FF72" s="250"/>
      <c r="FG72" s="1046"/>
      <c r="FH72" s="1045" t="s">
        <v>118</v>
      </c>
      <c r="FI72" s="1053">
        <v>44685</v>
      </c>
      <c r="FJ72" s="1047">
        <v>44699</v>
      </c>
      <c r="FK72" s="1047">
        <v>44690</v>
      </c>
      <c r="FL72" s="1047">
        <v>44713</v>
      </c>
      <c r="FM72" s="1047">
        <v>44720</v>
      </c>
      <c r="FN72" s="1043">
        <v>44727</v>
      </c>
      <c r="FO72" s="1043">
        <v>44733</v>
      </c>
      <c r="FP72" s="1043">
        <v>44741</v>
      </c>
      <c r="FQ72" s="1043">
        <v>44755</v>
      </c>
      <c r="FR72" s="1043">
        <v>44748</v>
      </c>
      <c r="FS72" s="1043">
        <v>44769</v>
      </c>
      <c r="FT72" s="1043">
        <v>44762</v>
      </c>
      <c r="FU72" s="1043">
        <v>44783</v>
      </c>
      <c r="FV72" s="1043">
        <v>44776</v>
      </c>
      <c r="FW72" s="247">
        <v>44797</v>
      </c>
      <c r="FX72" s="247">
        <v>44790</v>
      </c>
      <c r="FY72" s="247">
        <v>44805</v>
      </c>
      <c r="FZ72" s="247">
        <v>45000</v>
      </c>
      <c r="GA72" s="247">
        <v>44993</v>
      </c>
      <c r="GB72" s="247">
        <v>44986</v>
      </c>
      <c r="GC72" s="247">
        <v>44979</v>
      </c>
      <c r="GD72" s="247">
        <v>44972</v>
      </c>
      <c r="GE72" s="247">
        <v>44965</v>
      </c>
      <c r="GF72" s="247">
        <v>44958</v>
      </c>
      <c r="GG72" s="247">
        <v>44951</v>
      </c>
      <c r="GH72" s="247">
        <v>44944</v>
      </c>
      <c r="GI72" s="247">
        <v>44937</v>
      </c>
      <c r="GJ72" s="247">
        <v>44930</v>
      </c>
      <c r="GK72" s="247">
        <v>44923</v>
      </c>
      <c r="GL72" s="247">
        <v>44916</v>
      </c>
      <c r="GM72" s="247">
        <v>44910</v>
      </c>
      <c r="GN72" s="247">
        <v>44902</v>
      </c>
      <c r="GO72" s="247">
        <v>44896</v>
      </c>
      <c r="GP72" s="247">
        <v>44888</v>
      </c>
      <c r="GQ72" s="247">
        <v>44881</v>
      </c>
      <c r="GR72" s="247">
        <v>44874</v>
      </c>
      <c r="GS72" s="247">
        <v>44868</v>
      </c>
      <c r="GT72" s="247">
        <v>44860</v>
      </c>
      <c r="GU72" s="247">
        <v>44853</v>
      </c>
      <c r="GV72" s="247">
        <v>44846</v>
      </c>
      <c r="GW72" s="247">
        <v>44839</v>
      </c>
      <c r="GX72" s="247">
        <v>44831</v>
      </c>
      <c r="GY72" s="247">
        <v>44825</v>
      </c>
      <c r="GZ72" s="247">
        <v>44818</v>
      </c>
      <c r="HA72" s="247">
        <v>44811</v>
      </c>
      <c r="HB72" s="247">
        <v>45002</v>
      </c>
      <c r="HC72" s="247">
        <v>45020</v>
      </c>
      <c r="HD72" s="247">
        <v>45014</v>
      </c>
      <c r="HE72" s="247">
        <v>45008</v>
      </c>
      <c r="HF72" s="244"/>
    </row>
    <row r="73" spans="1:215" ht="15.6">
      <c r="A73" s="690"/>
      <c r="B73" s="650" t="s">
        <v>327</v>
      </c>
      <c r="C73" s="246" t="s">
        <v>325</v>
      </c>
      <c r="D73" s="246" t="s">
        <v>325</v>
      </c>
      <c r="E73" s="246" t="s">
        <v>325</v>
      </c>
      <c r="F73" s="246" t="s">
        <v>325</v>
      </c>
      <c r="G73" s="246" t="s">
        <v>325</v>
      </c>
      <c r="H73" s="246" t="s">
        <v>325</v>
      </c>
      <c r="I73" s="246" t="s">
        <v>325</v>
      </c>
      <c r="J73" s="246" t="s">
        <v>325</v>
      </c>
      <c r="K73" s="246" t="s">
        <v>325</v>
      </c>
      <c r="L73" s="246" t="s">
        <v>325</v>
      </c>
      <c r="M73" s="246" t="s">
        <v>325</v>
      </c>
      <c r="N73" s="246" t="s">
        <v>325</v>
      </c>
      <c r="O73" s="246" t="s">
        <v>325</v>
      </c>
      <c r="P73" s="246" t="s">
        <v>325</v>
      </c>
      <c r="Q73" s="246" t="s">
        <v>325</v>
      </c>
      <c r="R73" s="246" t="s">
        <v>325</v>
      </c>
      <c r="S73" s="246" t="s">
        <v>325</v>
      </c>
      <c r="T73" s="246" t="s">
        <v>325</v>
      </c>
      <c r="U73" s="246" t="s">
        <v>325</v>
      </c>
      <c r="V73" s="246" t="s">
        <v>325</v>
      </c>
      <c r="W73" s="246" t="s">
        <v>325</v>
      </c>
      <c r="X73" s="246" t="s">
        <v>325</v>
      </c>
      <c r="Y73" s="246" t="s">
        <v>325</v>
      </c>
      <c r="Z73" s="246" t="s">
        <v>325</v>
      </c>
      <c r="AA73" s="246" t="s">
        <v>325</v>
      </c>
      <c r="AB73" s="246" t="s">
        <v>325</v>
      </c>
      <c r="AC73" s="246" t="s">
        <v>325</v>
      </c>
      <c r="AD73" s="246" t="s">
        <v>325</v>
      </c>
      <c r="AE73" s="246" t="s">
        <v>325</v>
      </c>
      <c r="AF73" s="245" t="s">
        <v>325</v>
      </c>
      <c r="AG73" s="245" t="s">
        <v>325</v>
      </c>
      <c r="AH73" s="245" t="s">
        <v>325</v>
      </c>
      <c r="AI73" s="245" t="s">
        <v>325</v>
      </c>
      <c r="AJ73" s="246" t="s">
        <v>325</v>
      </c>
      <c r="AK73" s="245" t="s">
        <v>325</v>
      </c>
      <c r="AL73" s="246" t="s">
        <v>325</v>
      </c>
      <c r="AM73" s="245" t="s">
        <v>325</v>
      </c>
      <c r="AN73" s="245" t="s">
        <v>325</v>
      </c>
      <c r="AO73" s="245" t="s">
        <v>325</v>
      </c>
      <c r="AP73" s="242" t="s">
        <v>325</v>
      </c>
      <c r="AQ73" s="242" t="s">
        <v>325</v>
      </c>
      <c r="AR73" s="242" t="s">
        <v>325</v>
      </c>
      <c r="AS73" s="242" t="s">
        <v>325</v>
      </c>
      <c r="AT73" s="242" t="s">
        <v>325</v>
      </c>
      <c r="AU73" s="242" t="s">
        <v>325</v>
      </c>
      <c r="AV73" s="242" t="s">
        <v>325</v>
      </c>
      <c r="AW73" s="242" t="s">
        <v>325</v>
      </c>
      <c r="AX73" s="242" t="s">
        <v>325</v>
      </c>
      <c r="AY73" s="242" t="s">
        <v>325</v>
      </c>
      <c r="AZ73" s="242" t="s">
        <v>325</v>
      </c>
      <c r="BA73" s="242" t="s">
        <v>325</v>
      </c>
      <c r="BB73" s="242" t="s">
        <v>325</v>
      </c>
      <c r="BC73" s="242" t="s">
        <v>325</v>
      </c>
      <c r="BD73" s="242" t="s">
        <v>325</v>
      </c>
      <c r="BE73" s="242" t="s">
        <v>325</v>
      </c>
      <c r="BF73" s="242" t="s">
        <v>325</v>
      </c>
      <c r="BG73" s="242" t="s">
        <v>325</v>
      </c>
      <c r="BH73" s="242" t="s">
        <v>325</v>
      </c>
      <c r="BI73" s="242" t="s">
        <v>325</v>
      </c>
      <c r="BJ73" s="242" t="s">
        <v>325</v>
      </c>
      <c r="BK73" s="242" t="s">
        <v>325</v>
      </c>
      <c r="BL73" s="242" t="s">
        <v>325</v>
      </c>
      <c r="BM73" s="242" t="s">
        <v>325</v>
      </c>
      <c r="BN73" s="242" t="s">
        <v>325</v>
      </c>
      <c r="BO73" s="242" t="s">
        <v>325</v>
      </c>
      <c r="BP73" s="242" t="s">
        <v>325</v>
      </c>
      <c r="BQ73" s="242" t="s">
        <v>325</v>
      </c>
      <c r="BR73" s="242" t="s">
        <v>325</v>
      </c>
      <c r="BS73" s="242" t="s">
        <v>325</v>
      </c>
      <c r="BT73" s="242" t="s">
        <v>325</v>
      </c>
      <c r="BU73" s="242" t="s">
        <v>325</v>
      </c>
      <c r="BV73" s="242" t="s">
        <v>325</v>
      </c>
      <c r="BW73" s="242" t="s">
        <v>325</v>
      </c>
      <c r="BX73" s="242" t="s">
        <v>325</v>
      </c>
      <c r="BY73" s="242" t="s">
        <v>325</v>
      </c>
      <c r="BZ73" s="242" t="s">
        <v>325</v>
      </c>
      <c r="CA73" s="242" t="s">
        <v>325</v>
      </c>
      <c r="CB73" s="242" t="s">
        <v>325</v>
      </c>
      <c r="CC73" s="242" t="s">
        <v>325</v>
      </c>
      <c r="CD73" s="242" t="s">
        <v>325</v>
      </c>
      <c r="CE73" s="242" t="s">
        <v>325</v>
      </c>
      <c r="CF73" s="242" t="s">
        <v>325</v>
      </c>
      <c r="CG73" s="242" t="s">
        <v>325</v>
      </c>
      <c r="CH73" s="242" t="s">
        <v>325</v>
      </c>
      <c r="CI73" s="242" t="s">
        <v>325</v>
      </c>
      <c r="CJ73" s="242" t="s">
        <v>325</v>
      </c>
      <c r="CK73" s="242" t="s">
        <v>325</v>
      </c>
      <c r="CL73" s="242" t="s">
        <v>325</v>
      </c>
      <c r="CM73" s="242" t="s">
        <v>325</v>
      </c>
      <c r="CN73" s="242" t="s">
        <v>325</v>
      </c>
      <c r="CO73" s="242" t="s">
        <v>325</v>
      </c>
      <c r="CP73" s="242" t="s">
        <v>325</v>
      </c>
      <c r="CQ73" s="242" t="s">
        <v>325</v>
      </c>
      <c r="CR73" s="242" t="s">
        <v>325</v>
      </c>
      <c r="CS73" s="242" t="s">
        <v>325</v>
      </c>
      <c r="CT73" s="242" t="s">
        <v>325</v>
      </c>
      <c r="CU73" s="242" t="s">
        <v>325</v>
      </c>
      <c r="CV73" s="242" t="s">
        <v>325</v>
      </c>
      <c r="CW73" s="242" t="s">
        <v>325</v>
      </c>
      <c r="CX73" s="242" t="s">
        <v>325</v>
      </c>
      <c r="CY73" s="242" t="s">
        <v>325</v>
      </c>
      <c r="CZ73" s="242" t="s">
        <v>325</v>
      </c>
      <c r="DA73" s="242" t="s">
        <v>325</v>
      </c>
      <c r="DB73" s="242" t="s">
        <v>325</v>
      </c>
      <c r="DC73" s="242" t="s">
        <v>325</v>
      </c>
      <c r="DD73" s="242" t="s">
        <v>325</v>
      </c>
      <c r="DE73" s="242" t="s">
        <v>325</v>
      </c>
      <c r="DF73" s="242" t="s">
        <v>325</v>
      </c>
      <c r="DG73" s="242" t="s">
        <v>325</v>
      </c>
      <c r="DH73" s="242" t="s">
        <v>325</v>
      </c>
      <c r="DI73" s="242" t="s">
        <v>325</v>
      </c>
      <c r="DJ73" s="242" t="s">
        <v>325</v>
      </c>
      <c r="DK73" s="242" t="s">
        <v>325</v>
      </c>
      <c r="DL73" s="242" t="s">
        <v>325</v>
      </c>
      <c r="DM73" s="242" t="s">
        <v>325</v>
      </c>
      <c r="DN73" s="242" t="s">
        <v>325</v>
      </c>
      <c r="DO73" s="242" t="s">
        <v>325</v>
      </c>
      <c r="DP73" s="242" t="s">
        <v>325</v>
      </c>
      <c r="DQ73" s="242" t="s">
        <v>325</v>
      </c>
      <c r="DR73" s="242" t="s">
        <v>325</v>
      </c>
      <c r="DS73" s="242" t="s">
        <v>325</v>
      </c>
      <c r="DT73" s="242" t="s">
        <v>325</v>
      </c>
      <c r="DU73" s="242" t="s">
        <v>325</v>
      </c>
      <c r="DV73" s="242" t="s">
        <v>325</v>
      </c>
      <c r="DW73" s="242" t="s">
        <v>325</v>
      </c>
      <c r="DX73" s="242" t="s">
        <v>325</v>
      </c>
      <c r="DY73" s="242" t="s">
        <v>325</v>
      </c>
      <c r="DZ73" s="242" t="s">
        <v>325</v>
      </c>
      <c r="EA73" s="242" t="s">
        <v>325</v>
      </c>
      <c r="EB73" s="242" t="s">
        <v>325</v>
      </c>
      <c r="EC73" s="242" t="s">
        <v>325</v>
      </c>
      <c r="ED73" s="242" t="s">
        <v>325</v>
      </c>
      <c r="EE73" s="242" t="s">
        <v>325</v>
      </c>
      <c r="EF73" s="242" t="s">
        <v>325</v>
      </c>
      <c r="EG73" s="242" t="s">
        <v>325</v>
      </c>
      <c r="EH73" s="242" t="s">
        <v>325</v>
      </c>
      <c r="EI73" s="242" t="s">
        <v>325</v>
      </c>
      <c r="EJ73" s="242" t="s">
        <v>325</v>
      </c>
      <c r="EK73" s="242" t="s">
        <v>325</v>
      </c>
      <c r="EL73" s="242" t="s">
        <v>325</v>
      </c>
      <c r="EM73" s="242" t="s">
        <v>325</v>
      </c>
      <c r="EN73" s="242" t="s">
        <v>325</v>
      </c>
      <c r="EO73" s="242" t="s">
        <v>325</v>
      </c>
      <c r="EP73" s="242" t="s">
        <v>325</v>
      </c>
      <c r="EQ73" s="242" t="s">
        <v>325</v>
      </c>
      <c r="ER73" s="242" t="s">
        <v>325</v>
      </c>
      <c r="ES73" s="242" t="s">
        <v>325</v>
      </c>
      <c r="ET73" s="242" t="s">
        <v>325</v>
      </c>
      <c r="EU73" s="242" t="s">
        <v>325</v>
      </c>
      <c r="EV73" s="242" t="s">
        <v>325</v>
      </c>
      <c r="EW73" s="242" t="s">
        <v>325</v>
      </c>
      <c r="EX73" s="242" t="s">
        <v>325</v>
      </c>
      <c r="EY73" s="242" t="s">
        <v>325</v>
      </c>
      <c r="EZ73" s="244" t="s">
        <v>120</v>
      </c>
      <c r="FA73" s="242" t="s">
        <v>325</v>
      </c>
      <c r="FB73" s="243" t="s">
        <v>327</v>
      </c>
      <c r="FC73" s="244" t="s">
        <v>120</v>
      </c>
      <c r="FD73" s="1045" t="s">
        <v>325</v>
      </c>
      <c r="FE73" s="243" t="s">
        <v>327</v>
      </c>
      <c r="FF73" s="244" t="s">
        <v>120</v>
      </c>
      <c r="FG73" s="1046" t="s">
        <v>326</v>
      </c>
      <c r="FH73" s="1045" t="s">
        <v>325</v>
      </c>
      <c r="FI73" s="1046" t="s">
        <v>325</v>
      </c>
      <c r="FJ73" s="1045" t="s">
        <v>325</v>
      </c>
      <c r="FK73" s="1045" t="s">
        <v>325</v>
      </c>
      <c r="FL73" s="1045" t="s">
        <v>325</v>
      </c>
      <c r="FM73" s="1045" t="s">
        <v>325</v>
      </c>
      <c r="FN73" s="1044" t="s">
        <v>325</v>
      </c>
      <c r="FO73" s="1044" t="s">
        <v>325</v>
      </c>
      <c r="FP73" s="1044" t="s">
        <v>325</v>
      </c>
      <c r="FQ73" s="1044" t="s">
        <v>325</v>
      </c>
      <c r="FR73" s="1044" t="s">
        <v>325</v>
      </c>
      <c r="FS73" s="1044" t="s">
        <v>325</v>
      </c>
      <c r="FT73" s="1044" t="s">
        <v>325</v>
      </c>
      <c r="FU73" s="1044" t="s">
        <v>325</v>
      </c>
      <c r="FV73" s="1044" t="s">
        <v>325</v>
      </c>
      <c r="FW73" s="242" t="s">
        <v>325</v>
      </c>
      <c r="FX73" s="242" t="s">
        <v>325</v>
      </c>
      <c r="FY73" s="242" t="s">
        <v>325</v>
      </c>
      <c r="FZ73" s="242" t="s">
        <v>325</v>
      </c>
      <c r="GA73" s="242" t="s">
        <v>325</v>
      </c>
      <c r="GB73" s="242" t="s">
        <v>325</v>
      </c>
      <c r="GC73" s="242" t="s">
        <v>325</v>
      </c>
      <c r="GD73" s="242" t="s">
        <v>325</v>
      </c>
      <c r="GE73" s="242" t="s">
        <v>325</v>
      </c>
      <c r="GF73" s="242" t="s">
        <v>325</v>
      </c>
      <c r="GG73" s="242" t="s">
        <v>325</v>
      </c>
      <c r="GH73" s="242" t="s">
        <v>325</v>
      </c>
      <c r="GI73" s="242" t="s">
        <v>325</v>
      </c>
      <c r="GJ73" s="242" t="s">
        <v>325</v>
      </c>
      <c r="GK73" s="242" t="s">
        <v>325</v>
      </c>
      <c r="GL73" s="242" t="s">
        <v>325</v>
      </c>
      <c r="GM73" s="242" t="s">
        <v>325</v>
      </c>
      <c r="GN73" s="242" t="s">
        <v>325</v>
      </c>
      <c r="GO73" s="242" t="s">
        <v>325</v>
      </c>
      <c r="GP73" s="242" t="s">
        <v>325</v>
      </c>
      <c r="GQ73" s="242" t="s">
        <v>325</v>
      </c>
      <c r="GR73" s="242" t="s">
        <v>325</v>
      </c>
      <c r="GS73" s="242" t="s">
        <v>325</v>
      </c>
      <c r="GT73" s="242" t="s">
        <v>325</v>
      </c>
      <c r="GU73" s="242" t="s">
        <v>325</v>
      </c>
      <c r="GV73" s="242" t="s">
        <v>325</v>
      </c>
      <c r="GW73" s="242" t="s">
        <v>325</v>
      </c>
      <c r="GX73" s="242" t="s">
        <v>325</v>
      </c>
      <c r="GY73" s="242" t="s">
        <v>325</v>
      </c>
      <c r="GZ73" s="242" t="s">
        <v>325</v>
      </c>
      <c r="HA73" s="242" t="s">
        <v>325</v>
      </c>
      <c r="HB73" s="242" t="s">
        <v>325</v>
      </c>
      <c r="HC73" s="242" t="s">
        <v>325</v>
      </c>
      <c r="HD73" s="242" t="s">
        <v>325</v>
      </c>
      <c r="HE73" s="242" t="s">
        <v>325</v>
      </c>
      <c r="HF73" s="244" t="s">
        <v>324</v>
      </c>
    </row>
    <row r="74" spans="1:215">
      <c r="A74" s="1060" t="s">
        <v>35</v>
      </c>
      <c r="B74" s="280" t="s">
        <v>756</v>
      </c>
      <c r="C74" s="909">
        <v>1.0500000000000001E-2</v>
      </c>
      <c r="D74" s="909">
        <v>1.0500000000000001E-2</v>
      </c>
      <c r="E74" s="909">
        <v>1.0500000000000001E-2</v>
      </c>
      <c r="F74" s="909">
        <v>1.0500000000000001E-2</v>
      </c>
      <c r="G74" s="909">
        <v>1.0500000000000001E-2</v>
      </c>
      <c r="H74" s="909">
        <v>1.0500000000000001E-2</v>
      </c>
      <c r="I74" s="909">
        <v>1.0500000000000001E-2</v>
      </c>
      <c r="J74" s="909">
        <v>1.0500000000000001E-2</v>
      </c>
      <c r="K74" s="909">
        <v>1.0500000000000001E-2</v>
      </c>
      <c r="L74" s="967">
        <v>1.0500000000000001E-2</v>
      </c>
      <c r="M74" s="909">
        <v>1.15E-2</v>
      </c>
      <c r="N74" s="909">
        <v>1.15E-2</v>
      </c>
      <c r="O74" s="909">
        <v>1.15E-2</v>
      </c>
      <c r="P74" s="909">
        <v>1.15E-2</v>
      </c>
      <c r="Q74" s="909">
        <v>1.15E-2</v>
      </c>
      <c r="R74" s="909">
        <v>1.15E-2</v>
      </c>
      <c r="S74" s="909">
        <v>1.15E-2</v>
      </c>
      <c r="T74" s="909">
        <v>1.15E-2</v>
      </c>
      <c r="U74" s="909">
        <v>1.15E-2</v>
      </c>
      <c r="V74" s="909">
        <v>1.15E-2</v>
      </c>
      <c r="W74" s="909">
        <v>1.15E-2</v>
      </c>
      <c r="X74" s="909">
        <v>1.15E-2</v>
      </c>
      <c r="Y74" s="909">
        <v>1.15E-2</v>
      </c>
      <c r="Z74" s="909">
        <v>1.15E-2</v>
      </c>
      <c r="AA74" s="909">
        <v>1.15E-2</v>
      </c>
      <c r="AB74" s="909">
        <v>1.15E-2</v>
      </c>
      <c r="AC74" s="967">
        <v>1.15E-2</v>
      </c>
      <c r="AD74" s="909">
        <v>1.2500000000000001E-2</v>
      </c>
      <c r="AE74" s="967">
        <v>1.2500000000000001E-2</v>
      </c>
      <c r="AF74" s="978">
        <v>1.4E-2</v>
      </c>
      <c r="AG74" s="967">
        <v>1.4E-2</v>
      </c>
      <c r="AH74" s="967">
        <v>1.4500000000000001E-2</v>
      </c>
      <c r="AI74" s="978">
        <v>1.55E-2</v>
      </c>
      <c r="AJ74" s="967">
        <v>1.55E-2</v>
      </c>
      <c r="AK74" s="978">
        <v>1.6500000000000001E-2</v>
      </c>
      <c r="AL74" s="967">
        <v>1.6500000000000001E-2</v>
      </c>
      <c r="AM74" s="978">
        <v>1.7999999999999999E-2</v>
      </c>
      <c r="AN74" s="978">
        <v>1.7999999999999999E-2</v>
      </c>
      <c r="AO74" s="978">
        <v>1.7999999999999999E-2</v>
      </c>
      <c r="AP74" s="984">
        <v>1.7999999999999999E-2</v>
      </c>
      <c r="AQ74" s="984">
        <v>0.02</v>
      </c>
      <c r="AR74" s="1012" t="s">
        <v>436</v>
      </c>
      <c r="AS74" s="1012" t="s">
        <v>436</v>
      </c>
      <c r="AT74" s="984" t="e">
        <f>#REF!</f>
        <v>#REF!</v>
      </c>
      <c r="AU74" s="1012" t="s">
        <v>371</v>
      </c>
      <c r="AV74" s="1012" t="s">
        <v>371</v>
      </c>
      <c r="AW74" s="1012" t="s">
        <v>371</v>
      </c>
      <c r="AX74" s="1012" t="s">
        <v>371</v>
      </c>
      <c r="AY74" s="1012" t="s">
        <v>371</v>
      </c>
      <c r="AZ74" s="1012" t="s">
        <v>370</v>
      </c>
      <c r="BA74" s="1012" t="s">
        <v>370</v>
      </c>
      <c r="BB74" s="1012" t="str">
        <f t="shared" ref="BB74:CB74" si="26">BC74</f>
        <v>2.70%（电子银行）</v>
      </c>
      <c r="BC74" s="984" t="str">
        <f t="shared" si="26"/>
        <v>2.70%（电子银行）</v>
      </c>
      <c r="BD74" s="955" t="str">
        <f t="shared" si="26"/>
        <v>2.70%（电子银行）</v>
      </c>
      <c r="BE74" s="955" t="str">
        <f t="shared" si="26"/>
        <v>2.70%（电子银行）</v>
      </c>
      <c r="BF74" s="955" t="str">
        <f t="shared" si="26"/>
        <v>2.70%（电子银行）</v>
      </c>
      <c r="BG74" s="955" t="str">
        <f t="shared" si="26"/>
        <v>2.70%（电子银行）</v>
      </c>
      <c r="BH74" s="955" t="str">
        <f t="shared" si="26"/>
        <v>2.70%（电子银行）</v>
      </c>
      <c r="BI74" s="955" t="str">
        <f t="shared" si="26"/>
        <v>2.70%（电子银行）</v>
      </c>
      <c r="BJ74" s="955" t="str">
        <f t="shared" si="26"/>
        <v>2.70%（电子银行）</v>
      </c>
      <c r="BK74" s="955" t="str">
        <f t="shared" si="26"/>
        <v>2.70%（电子银行）</v>
      </c>
      <c r="BL74" s="955" t="str">
        <f t="shared" si="26"/>
        <v>2.70%（电子银行）</v>
      </c>
      <c r="BM74" s="955" t="str">
        <f t="shared" si="26"/>
        <v>2.70%（电子银行）</v>
      </c>
      <c r="BN74" s="955" t="str">
        <f t="shared" si="26"/>
        <v>2.70%（电子银行）</v>
      </c>
      <c r="BO74" s="955" t="str">
        <f t="shared" si="26"/>
        <v>2.70%（电子银行）</v>
      </c>
      <c r="BP74" s="955" t="str">
        <f t="shared" si="26"/>
        <v>2.70%（电子银行）</v>
      </c>
      <c r="BQ74" s="955" t="str">
        <f t="shared" si="26"/>
        <v>2.70%（电子银行）</v>
      </c>
      <c r="BR74" s="955" t="str">
        <f t="shared" si="26"/>
        <v>2.70%（电子银行）</v>
      </c>
      <c r="BS74" s="955" t="str">
        <f t="shared" si="26"/>
        <v>2.70%（电子银行）</v>
      </c>
      <c r="BT74" s="955" t="str">
        <f t="shared" si="26"/>
        <v>2.70%（电子银行）</v>
      </c>
      <c r="BU74" s="955" t="str">
        <f t="shared" si="26"/>
        <v>2.70%（电子银行）</v>
      </c>
      <c r="BV74" s="955" t="str">
        <f t="shared" si="26"/>
        <v>2.70%（电子银行）</v>
      </c>
      <c r="BW74" s="955" t="str">
        <f t="shared" si="26"/>
        <v>2.70%（电子银行）</v>
      </c>
      <c r="BX74" s="955" t="str">
        <f t="shared" si="26"/>
        <v>2.70%（电子银行）</v>
      </c>
      <c r="BY74" s="955" t="str">
        <f t="shared" si="26"/>
        <v>2.70%（电子银行）</v>
      </c>
      <c r="BZ74" s="955" t="str">
        <f t="shared" si="26"/>
        <v>2.70%（电子银行）</v>
      </c>
      <c r="CA74" s="955" t="str">
        <f t="shared" si="26"/>
        <v>2.70%（电子银行）</v>
      </c>
      <c r="CB74" s="955" t="str">
        <f t="shared" si="26"/>
        <v>2.70%（电子银行）</v>
      </c>
      <c r="CC74" s="955" t="s">
        <v>435</v>
      </c>
      <c r="CD74" s="955">
        <v>2.8000000000000001E-2</v>
      </c>
      <c r="CE74" s="955">
        <v>2.9000000000000001E-2</v>
      </c>
      <c r="CF74" s="955">
        <v>2.9000000000000001E-2</v>
      </c>
      <c r="CG74" s="955">
        <v>2.9000000000000001E-2</v>
      </c>
      <c r="CH74" s="955">
        <v>2.9499999999999998E-2</v>
      </c>
      <c r="CI74" s="955">
        <v>0.03</v>
      </c>
      <c r="CJ74" s="955">
        <v>0.03</v>
      </c>
      <c r="CK74" s="955">
        <v>0.03</v>
      </c>
      <c r="CL74" s="955">
        <v>3.0499999999999999E-2</v>
      </c>
      <c r="CM74" s="955">
        <v>3.0499999999999999E-2</v>
      </c>
      <c r="CN74" s="955">
        <v>3.0499999999999999E-2</v>
      </c>
      <c r="CO74" s="955">
        <v>3.0499999999999999E-2</v>
      </c>
      <c r="CP74" s="955">
        <v>3.0499999999999999E-2</v>
      </c>
      <c r="CQ74" s="955">
        <v>3.0499999999999999E-2</v>
      </c>
      <c r="CR74" s="955">
        <v>3.0499999999999999E-2</v>
      </c>
      <c r="CS74" s="955">
        <v>3.0499999999999999E-2</v>
      </c>
      <c r="CT74" s="955">
        <v>3.0499999999999999E-2</v>
      </c>
      <c r="CU74" s="955">
        <v>3.0499999999999999E-2</v>
      </c>
      <c r="CV74" s="955">
        <v>3.0499999999999999E-2</v>
      </c>
      <c r="CW74" s="955">
        <v>3.1E-2</v>
      </c>
      <c r="CX74" s="955">
        <v>3.1E-2</v>
      </c>
      <c r="CY74" s="955">
        <v>3.1E-2</v>
      </c>
      <c r="CZ74" s="955">
        <v>3.1E-2</v>
      </c>
      <c r="DA74" s="955">
        <v>3.1E-2</v>
      </c>
      <c r="DB74" s="955">
        <v>3.1E-2</v>
      </c>
      <c r="DC74" s="955">
        <v>3.1E-2</v>
      </c>
      <c r="DD74" s="955">
        <v>3.1E-2</v>
      </c>
      <c r="DE74" s="955">
        <v>3.1E-2</v>
      </c>
      <c r="DF74" s="955">
        <v>3.1E-2</v>
      </c>
      <c r="DG74" s="955">
        <v>3.1E-2</v>
      </c>
      <c r="DH74" s="955">
        <v>3.1E-2</v>
      </c>
      <c r="DI74" s="955">
        <v>3.1E-2</v>
      </c>
      <c r="DJ74" s="955">
        <v>3.1E-2</v>
      </c>
      <c r="DK74" s="955">
        <v>3.1E-2</v>
      </c>
      <c r="DL74" s="955">
        <v>3.1E-2</v>
      </c>
      <c r="DM74" s="955">
        <v>3.1E-2</v>
      </c>
      <c r="DN74" s="955">
        <v>3.1E-2</v>
      </c>
      <c r="DO74" s="955">
        <v>3.1E-2</v>
      </c>
      <c r="DP74" s="955">
        <v>3.1E-2</v>
      </c>
      <c r="DQ74" s="955">
        <v>3.1E-2</v>
      </c>
      <c r="DR74" s="955">
        <v>3.1E-2</v>
      </c>
      <c r="DS74" s="955">
        <v>3.1E-2</v>
      </c>
      <c r="DT74" s="955">
        <v>3.2000000000000001E-2</v>
      </c>
      <c r="DU74" s="955">
        <v>3.2000000000000001E-2</v>
      </c>
      <c r="DV74" s="955">
        <v>3.2000000000000001E-2</v>
      </c>
      <c r="DW74" s="955">
        <v>3.2000000000000001E-2</v>
      </c>
      <c r="DX74" s="955">
        <v>3.2000000000000001E-2</v>
      </c>
      <c r="DY74" s="955">
        <v>3.2000000000000001E-2</v>
      </c>
      <c r="DZ74" s="955">
        <v>3.2000000000000001E-2</v>
      </c>
      <c r="EA74" s="955">
        <v>3.2000000000000001E-2</v>
      </c>
      <c r="EB74" s="955">
        <v>3.2000000000000001E-2</v>
      </c>
      <c r="EC74" s="955">
        <v>3.2000000000000001E-2</v>
      </c>
      <c r="ED74" s="955">
        <v>3.2000000000000001E-2</v>
      </c>
      <c r="EE74" s="955">
        <v>3.2000000000000001E-2</v>
      </c>
      <c r="EF74" s="955">
        <v>3.2000000000000001E-2</v>
      </c>
      <c r="EG74" s="955">
        <v>3.2000000000000001E-2</v>
      </c>
      <c r="EH74" s="955">
        <v>3.2000000000000001E-2</v>
      </c>
      <c r="EI74" s="955">
        <v>3.2000000000000001E-2</v>
      </c>
      <c r="EJ74" s="955">
        <v>3.2000000000000001E-2</v>
      </c>
      <c r="EK74" s="955">
        <v>3.3000000000000002E-2</v>
      </c>
      <c r="EL74" s="955">
        <v>3.3000000000000002E-2</v>
      </c>
      <c r="EM74" s="955">
        <v>3.3500000000000002E-2</v>
      </c>
      <c r="EN74" s="955">
        <v>3.3500000000000002E-2</v>
      </c>
      <c r="EO74" s="955">
        <v>3.3500000000000002E-2</v>
      </c>
      <c r="EP74" s="955">
        <v>3.3500000000000002E-2</v>
      </c>
      <c r="EQ74" s="955">
        <v>3.4000000000000002E-2</v>
      </c>
      <c r="ER74" s="955">
        <v>3.4000000000000002E-2</v>
      </c>
      <c r="ES74" s="955">
        <v>3.4000000000000002E-2</v>
      </c>
      <c r="ET74" s="955">
        <v>3.4500000000000003E-2</v>
      </c>
      <c r="EU74" s="955">
        <v>3.5000000000000003E-2</v>
      </c>
      <c r="EV74" s="955">
        <v>3.5000000000000003E-2</v>
      </c>
      <c r="EW74" s="955">
        <v>3.5999999999999997E-2</v>
      </c>
      <c r="EX74" s="955">
        <v>3.2500000000000001E-2</v>
      </c>
      <c r="EY74" s="955">
        <v>3.2500000000000001E-2</v>
      </c>
      <c r="EZ74" s="231" t="s">
        <v>281</v>
      </c>
      <c r="FA74" s="1040">
        <v>1.2500000000000001E-2</v>
      </c>
      <c r="FB74" s="254" t="s">
        <v>433</v>
      </c>
      <c r="FC74" s="1042" t="s">
        <v>323</v>
      </c>
      <c r="FD74" s="1040">
        <v>1.2500000000000001E-2</v>
      </c>
      <c r="FE74" s="238" t="s">
        <v>434</v>
      </c>
      <c r="FF74" s="1052" t="s">
        <v>323</v>
      </c>
      <c r="FG74" s="1042" t="s">
        <v>321</v>
      </c>
      <c r="FH74" s="1041">
        <v>5.4999999999999997E-3</v>
      </c>
      <c r="FI74" s="1041">
        <v>5.4999999999999997E-3</v>
      </c>
      <c r="FJ74" s="1041">
        <v>5.4999999999999997E-3</v>
      </c>
      <c r="FK74" s="1041">
        <v>5.4999999999999997E-3</v>
      </c>
      <c r="FL74" s="1040">
        <v>1.2500000000000001E-2</v>
      </c>
      <c r="FM74" s="1040">
        <v>1.2500000000000001E-2</v>
      </c>
      <c r="FN74" s="1040">
        <v>1.2500000000000001E-2</v>
      </c>
      <c r="FO74" s="1040">
        <v>1.2500000000000001E-2</v>
      </c>
      <c r="FP74" s="1040">
        <v>1.2500000000000001E-2</v>
      </c>
      <c r="FQ74" s="1040">
        <v>1.2500000000000001E-2</v>
      </c>
      <c r="FR74" s="1040">
        <v>1.2500000000000001E-2</v>
      </c>
      <c r="FS74" s="1040">
        <v>1.2500000000000001E-2</v>
      </c>
      <c r="FT74" s="1040">
        <v>1.2500000000000001E-2</v>
      </c>
      <c r="FU74" s="1040">
        <v>1.2500000000000001E-2</v>
      </c>
      <c r="FV74" s="1040">
        <v>1.2500000000000001E-2</v>
      </c>
      <c r="FW74" s="1040">
        <v>1.2500000000000001E-2</v>
      </c>
      <c r="FX74" s="1040">
        <v>1.2500000000000001E-2</v>
      </c>
      <c r="FY74" s="955">
        <v>1.9E-2</v>
      </c>
      <c r="FZ74" s="955">
        <v>3.2500000000000001E-2</v>
      </c>
      <c r="GA74" s="955">
        <v>3.2500000000000001E-2</v>
      </c>
      <c r="GB74" s="955">
        <v>3.2500000000000001E-2</v>
      </c>
      <c r="GC74" s="955">
        <v>3.2500000000000001E-2</v>
      </c>
      <c r="GD74" s="955">
        <v>3.2500000000000001E-2</v>
      </c>
      <c r="GE74" s="955">
        <v>3.2500000000000001E-2</v>
      </c>
      <c r="GF74" s="955">
        <v>3.2500000000000001E-2</v>
      </c>
      <c r="GG74" s="955">
        <v>3.2500000000000001E-2</v>
      </c>
      <c r="GH74" s="955">
        <v>3.2500000000000001E-2</v>
      </c>
      <c r="GI74" s="955">
        <v>3.2500000000000001E-2</v>
      </c>
      <c r="GJ74" s="955">
        <v>3.2500000000000001E-2</v>
      </c>
      <c r="GK74" s="955">
        <v>3.2500000000000001E-2</v>
      </c>
      <c r="GL74" s="955">
        <v>3.2500000000000001E-2</v>
      </c>
      <c r="GM74" s="955">
        <v>3.2500000000000001E-2</v>
      </c>
      <c r="GN74" s="955">
        <v>3.2500000000000001E-2</v>
      </c>
      <c r="GO74" s="955">
        <v>3.2500000000000001E-2</v>
      </c>
      <c r="GP74" s="955">
        <v>3.2500000000000001E-2</v>
      </c>
      <c r="GQ74" s="955">
        <v>3.2500000000000001E-2</v>
      </c>
      <c r="GR74" s="955">
        <v>3.2500000000000001E-2</v>
      </c>
      <c r="GS74" s="955">
        <v>0.03</v>
      </c>
      <c r="GT74" s="955">
        <v>0.03</v>
      </c>
      <c r="GU74" s="955">
        <v>0.03</v>
      </c>
      <c r="GV74" s="955">
        <v>2.4500000000000001E-2</v>
      </c>
      <c r="GW74" s="955">
        <v>2.4500000000000001E-2</v>
      </c>
      <c r="GX74" s="955">
        <v>2.4500000000000001E-2</v>
      </c>
      <c r="GY74" s="955">
        <v>2.1000000000000001E-2</v>
      </c>
      <c r="GZ74" s="955">
        <v>2.1000000000000001E-2</v>
      </c>
      <c r="HA74" s="955">
        <v>2.1000000000000001E-2</v>
      </c>
      <c r="HB74" s="955">
        <v>3.2500000000000001E-2</v>
      </c>
      <c r="HC74" s="955">
        <v>3.2500000000000001E-2</v>
      </c>
      <c r="HD74" s="955">
        <v>3.2500000000000001E-2</v>
      </c>
      <c r="HE74" s="955">
        <v>3.2500000000000001E-2</v>
      </c>
      <c r="HF74" s="941">
        <f>C74-D74</f>
        <v>0</v>
      </c>
      <c r="HG74" s="218" t="s">
        <v>581</v>
      </c>
    </row>
    <row r="75" spans="1:215">
      <c r="A75" s="1060"/>
      <c r="B75" s="280" t="s">
        <v>757</v>
      </c>
      <c r="C75" s="922"/>
      <c r="D75" s="922"/>
      <c r="E75" s="922"/>
      <c r="F75" s="922"/>
      <c r="G75" s="922"/>
      <c r="H75" s="922"/>
      <c r="I75" s="922"/>
      <c r="J75" s="922"/>
      <c r="K75" s="922"/>
      <c r="L75" s="971"/>
      <c r="M75" s="922"/>
      <c r="N75" s="922"/>
      <c r="O75" s="922"/>
      <c r="P75" s="922"/>
      <c r="Q75" s="922"/>
      <c r="R75" s="922"/>
      <c r="S75" s="922"/>
      <c r="T75" s="922"/>
      <c r="U75" s="922"/>
      <c r="V75" s="922"/>
      <c r="W75" s="922"/>
      <c r="X75" s="922"/>
      <c r="Y75" s="922"/>
      <c r="Z75" s="922"/>
      <c r="AA75" s="922"/>
      <c r="AB75" s="922"/>
      <c r="AC75" s="971"/>
      <c r="AD75" s="922"/>
      <c r="AE75" s="971"/>
      <c r="AF75" s="983"/>
      <c r="AG75" s="971"/>
      <c r="AH75" s="971"/>
      <c r="AI75" s="983"/>
      <c r="AJ75" s="971"/>
      <c r="AK75" s="983"/>
      <c r="AL75" s="971"/>
      <c r="AM75" s="983"/>
      <c r="AN75" s="983"/>
      <c r="AO75" s="983"/>
      <c r="AP75" s="989"/>
      <c r="AQ75" s="989"/>
      <c r="AR75" s="1029"/>
      <c r="AS75" s="1029"/>
      <c r="AT75" s="989"/>
      <c r="AU75" s="1029"/>
      <c r="AV75" s="1029"/>
      <c r="AW75" s="1029"/>
      <c r="AX75" s="1029"/>
      <c r="AY75" s="1029"/>
      <c r="AZ75" s="1029"/>
      <c r="BA75" s="1029"/>
      <c r="BB75" s="1029"/>
      <c r="BC75" s="989"/>
      <c r="BD75" s="1013"/>
      <c r="BE75" s="1013"/>
      <c r="BF75" s="1013"/>
      <c r="BG75" s="1013"/>
      <c r="BH75" s="1013"/>
      <c r="BI75" s="1013"/>
      <c r="BJ75" s="1013"/>
      <c r="BK75" s="1013"/>
      <c r="BL75" s="1013"/>
      <c r="BM75" s="1013"/>
      <c r="BN75" s="1013"/>
      <c r="BO75" s="1013"/>
      <c r="BP75" s="1013"/>
      <c r="BQ75" s="1013"/>
      <c r="BR75" s="1013"/>
      <c r="BS75" s="1013"/>
      <c r="BT75" s="1013"/>
      <c r="BU75" s="1013"/>
      <c r="BV75" s="1013"/>
      <c r="BW75" s="1013"/>
      <c r="BX75" s="1013"/>
      <c r="BY75" s="1013"/>
      <c r="BZ75" s="1013"/>
      <c r="CA75" s="1013"/>
      <c r="CB75" s="1013"/>
      <c r="CC75" s="1013"/>
      <c r="CD75" s="1013"/>
      <c r="CE75" s="1013"/>
      <c r="CF75" s="1013"/>
      <c r="CG75" s="1013"/>
      <c r="CH75" s="1013"/>
      <c r="CI75" s="1013"/>
      <c r="CJ75" s="1013"/>
      <c r="CK75" s="1013"/>
      <c r="CL75" s="1013"/>
      <c r="CM75" s="1013"/>
      <c r="CN75" s="1013"/>
      <c r="CO75" s="1013"/>
      <c r="CP75" s="1013"/>
      <c r="CQ75" s="1013"/>
      <c r="CR75" s="1013"/>
      <c r="CS75" s="1013"/>
      <c r="CT75" s="1013"/>
      <c r="CU75" s="1013"/>
      <c r="CV75" s="1013"/>
      <c r="CW75" s="1013"/>
      <c r="CX75" s="1013"/>
      <c r="CY75" s="1013"/>
      <c r="CZ75" s="1013"/>
      <c r="DA75" s="1013"/>
      <c r="DB75" s="1013"/>
      <c r="DC75" s="1013"/>
      <c r="DD75" s="1013"/>
      <c r="DE75" s="1013"/>
      <c r="DF75" s="1013"/>
      <c r="DG75" s="1013"/>
      <c r="DH75" s="1013"/>
      <c r="DI75" s="1013"/>
      <c r="DJ75" s="1013"/>
      <c r="DK75" s="1013"/>
      <c r="DL75" s="1013"/>
      <c r="DM75" s="1013"/>
      <c r="DN75" s="1013"/>
      <c r="DO75" s="1013"/>
      <c r="DP75" s="1013"/>
      <c r="DQ75" s="1013"/>
      <c r="DR75" s="1013"/>
      <c r="DS75" s="1013"/>
      <c r="DT75" s="1013"/>
      <c r="DU75" s="1013"/>
      <c r="DV75" s="1013"/>
      <c r="DW75" s="1013"/>
      <c r="DX75" s="1013"/>
      <c r="DY75" s="1013"/>
      <c r="DZ75" s="1013"/>
      <c r="EA75" s="1013"/>
      <c r="EB75" s="1013"/>
      <c r="EC75" s="1013"/>
      <c r="ED75" s="1013"/>
      <c r="EE75" s="1013"/>
      <c r="EF75" s="1013"/>
      <c r="EG75" s="1013"/>
      <c r="EH75" s="1013"/>
      <c r="EI75" s="1013"/>
      <c r="EJ75" s="1013"/>
      <c r="EK75" s="1013"/>
      <c r="EL75" s="1013"/>
      <c r="EM75" s="1013"/>
      <c r="EN75" s="1013"/>
      <c r="EO75" s="1013"/>
      <c r="EP75" s="1013"/>
      <c r="EQ75" s="1013"/>
      <c r="ER75" s="1013"/>
      <c r="ES75" s="1013"/>
      <c r="ET75" s="1013"/>
      <c r="EU75" s="1013"/>
      <c r="EV75" s="1013"/>
      <c r="EW75" s="1013"/>
      <c r="EX75" s="1013"/>
      <c r="EY75" s="1013"/>
      <c r="EZ75" s="231"/>
      <c r="FA75" s="1040"/>
      <c r="FB75" s="254"/>
      <c r="FC75" s="1042"/>
      <c r="FD75" s="1040"/>
      <c r="FE75" s="238"/>
      <c r="FF75" s="1052"/>
      <c r="FG75" s="1042"/>
      <c r="FH75" s="1041"/>
      <c r="FI75" s="1041"/>
      <c r="FJ75" s="1041"/>
      <c r="FK75" s="1041"/>
      <c r="FL75" s="1040"/>
      <c r="FM75" s="1040"/>
      <c r="FN75" s="1040"/>
      <c r="FO75" s="1040"/>
      <c r="FP75" s="1040"/>
      <c r="FQ75" s="1040"/>
      <c r="FR75" s="1040"/>
      <c r="FS75" s="1040"/>
      <c r="FT75" s="1040"/>
      <c r="FU75" s="1040"/>
      <c r="FV75" s="1040"/>
      <c r="FW75" s="1040"/>
      <c r="FX75" s="1040"/>
      <c r="FY75" s="1013"/>
      <c r="FZ75" s="1013"/>
      <c r="GA75" s="1013"/>
      <c r="GB75" s="1013"/>
      <c r="GC75" s="1013"/>
      <c r="GD75" s="1013"/>
      <c r="GE75" s="1013"/>
      <c r="GF75" s="1013"/>
      <c r="GG75" s="1013"/>
      <c r="GH75" s="1013"/>
      <c r="GI75" s="1013"/>
      <c r="GJ75" s="1013"/>
      <c r="GK75" s="1013"/>
      <c r="GL75" s="1013"/>
      <c r="GM75" s="1013"/>
      <c r="GN75" s="1013"/>
      <c r="GO75" s="1013"/>
      <c r="GP75" s="1013"/>
      <c r="GQ75" s="1013"/>
      <c r="GR75" s="1013"/>
      <c r="GS75" s="1013"/>
      <c r="GT75" s="1013"/>
      <c r="GU75" s="1013"/>
      <c r="GV75" s="1013"/>
      <c r="GW75" s="1013"/>
      <c r="GX75" s="1013"/>
      <c r="GY75" s="1013"/>
      <c r="GZ75" s="1013"/>
      <c r="HA75" s="1013"/>
      <c r="HB75" s="1013"/>
      <c r="HC75" s="1013"/>
      <c r="HD75" s="1013"/>
      <c r="HE75" s="1013"/>
      <c r="HF75" s="1048"/>
      <c r="HG75" s="218" t="s">
        <v>582</v>
      </c>
    </row>
    <row r="76" spans="1:215">
      <c r="A76" s="959" t="s">
        <v>16</v>
      </c>
      <c r="B76" s="920" t="s">
        <v>752</v>
      </c>
      <c r="C76" s="920">
        <v>1.2E-2</v>
      </c>
      <c r="D76" s="920">
        <v>1.2E-2</v>
      </c>
      <c r="E76" s="920">
        <v>1.2E-2</v>
      </c>
      <c r="F76" s="920">
        <v>1.2E-2</v>
      </c>
      <c r="G76" s="920">
        <v>1.2E-2</v>
      </c>
      <c r="H76" s="920">
        <v>1.2E-2</v>
      </c>
      <c r="I76" s="920">
        <v>1.2E-2</v>
      </c>
      <c r="J76" s="920">
        <v>1.2E-2</v>
      </c>
      <c r="K76" s="920">
        <v>1.2E-2</v>
      </c>
      <c r="L76" s="920">
        <v>1.2E-2</v>
      </c>
      <c r="M76" s="920">
        <v>1.2E-2</v>
      </c>
      <c r="N76" s="920">
        <v>1.2E-2</v>
      </c>
      <c r="O76" s="920">
        <v>1.2E-2</v>
      </c>
      <c r="P76" s="920">
        <v>1.2E-2</v>
      </c>
      <c r="Q76" s="920">
        <v>1.2E-2</v>
      </c>
      <c r="R76" s="920">
        <v>1.2E-2</v>
      </c>
      <c r="S76" s="920">
        <v>1.2E-2</v>
      </c>
      <c r="T76" s="920">
        <v>1.2E-2</v>
      </c>
      <c r="U76" s="963">
        <v>1.2E-2</v>
      </c>
      <c r="V76" s="969">
        <v>1.2500000000000001E-2</v>
      </c>
      <c r="W76" s="909">
        <v>1.2500000000000001E-2</v>
      </c>
      <c r="X76" s="909">
        <v>1.2500000000000001E-2</v>
      </c>
      <c r="Y76" s="909">
        <v>1.2500000000000001E-2</v>
      </c>
      <c r="Z76" s="967">
        <v>1.2500000000000001E-2</v>
      </c>
      <c r="AA76" s="909">
        <v>1.18E-2</v>
      </c>
      <c r="AB76" s="967">
        <v>1.18E-2</v>
      </c>
      <c r="AC76" s="967">
        <v>1.2500000000000001E-2</v>
      </c>
      <c r="AD76" s="967">
        <v>1.35E-2</v>
      </c>
      <c r="AE76" s="909">
        <v>1.4E-2</v>
      </c>
      <c r="AF76" s="967">
        <v>1.4500000000000001E-2</v>
      </c>
      <c r="AG76" s="967">
        <v>1.4999999999999999E-2</v>
      </c>
      <c r="AH76" s="978">
        <v>1.6E-2</v>
      </c>
      <c r="AI76" s="967">
        <v>1.6E-2</v>
      </c>
      <c r="AJ76" s="967">
        <v>1.55E-2</v>
      </c>
      <c r="AK76" s="967">
        <v>1.6E-2</v>
      </c>
      <c r="AL76" s="967">
        <v>1.7000000000000001E-2</v>
      </c>
      <c r="AM76" s="978">
        <v>1.7500000000000002E-2</v>
      </c>
      <c r="AN76" s="967">
        <v>1.7500000000000002E-2</v>
      </c>
      <c r="AO76" s="978">
        <v>1.9E-2</v>
      </c>
      <c r="AP76" s="984">
        <v>1.9E-2</v>
      </c>
      <c r="AQ76" s="984">
        <v>1.95E-2</v>
      </c>
      <c r="AR76" s="984">
        <v>0.02</v>
      </c>
      <c r="AS76" s="1012">
        <v>2.1499999999999998E-2</v>
      </c>
      <c r="AT76" s="984">
        <v>2.1499999999999998E-2</v>
      </c>
      <c r="AU76" s="1025">
        <v>2.1999999999999999E-2</v>
      </c>
      <c r="AV76" s="1025">
        <v>2.2499999999999999E-2</v>
      </c>
      <c r="AW76" s="1025">
        <v>2.35E-2</v>
      </c>
      <c r="AX76" s="1023">
        <v>2.4E-2</v>
      </c>
      <c r="AY76" s="1023">
        <v>2.4500000000000001E-2</v>
      </c>
      <c r="AZ76" s="1021">
        <v>2.4E-2</v>
      </c>
      <c r="BA76" s="1021">
        <v>2.4E-2</v>
      </c>
      <c r="BB76" s="1021">
        <v>2.4500000000000001E-2</v>
      </c>
      <c r="BC76" s="1021">
        <v>2.4500000000000001E-2</v>
      </c>
      <c r="BD76" s="1021">
        <v>2.5499999999999998E-2</v>
      </c>
      <c r="BE76" s="1023">
        <v>2.6499999999999999E-2</v>
      </c>
      <c r="BF76" s="1021">
        <v>2.7E-2</v>
      </c>
      <c r="BG76" s="1021">
        <v>2.7E-2</v>
      </c>
      <c r="BH76" s="1021">
        <v>2.7E-2</v>
      </c>
      <c r="BI76" s="1021">
        <v>2.7E-2</v>
      </c>
      <c r="BJ76" s="1023">
        <v>2.7E-2</v>
      </c>
      <c r="BK76" s="1021">
        <v>2.5999999999999999E-2</v>
      </c>
      <c r="BL76" s="1021">
        <v>2.5999999999999999E-2</v>
      </c>
      <c r="BM76" s="1021">
        <v>2.5999999999999999E-2</v>
      </c>
      <c r="BN76" s="1021">
        <v>2.5999999999999999E-2</v>
      </c>
      <c r="BO76" s="1023">
        <v>2.5999999999999999E-2</v>
      </c>
      <c r="BP76" s="1021">
        <v>2.5499999999999998E-2</v>
      </c>
      <c r="BQ76" s="1021">
        <v>2.5499999999999998E-2</v>
      </c>
      <c r="BR76" s="1021">
        <v>2.5499999999999998E-2</v>
      </c>
      <c r="BS76" s="1021">
        <v>2.5499999999999998E-2</v>
      </c>
      <c r="BT76" s="1021">
        <v>2.5499999999999998E-2</v>
      </c>
      <c r="BU76" s="1021">
        <v>2.5499999999999998E-2</v>
      </c>
      <c r="BV76" s="1021">
        <v>2.5499999999999998E-2</v>
      </c>
      <c r="BW76" s="1021">
        <v>2.5999999999999999E-2</v>
      </c>
      <c r="BX76" s="1021">
        <v>2.5999999999999999E-2</v>
      </c>
      <c r="BY76" s="1021">
        <v>2.7E-2</v>
      </c>
      <c r="BZ76" s="1021">
        <v>2.7E-2</v>
      </c>
      <c r="CA76" s="1021">
        <v>2.7E-2</v>
      </c>
      <c r="CB76" s="1021">
        <v>2.8000000000000001E-2</v>
      </c>
      <c r="CC76" s="1021">
        <v>2.8000000000000001E-2</v>
      </c>
      <c r="CD76" s="1021">
        <v>2.8000000000000001E-2</v>
      </c>
      <c r="CE76" s="1021">
        <v>2.8000000000000001E-2</v>
      </c>
      <c r="CF76" s="1021">
        <v>2.9000000000000001E-2</v>
      </c>
      <c r="CG76" s="1021">
        <v>2.9000000000000001E-2</v>
      </c>
      <c r="CH76" s="1021">
        <v>2.9000000000000001E-2</v>
      </c>
      <c r="CI76" s="1021">
        <v>2.9499999999999998E-2</v>
      </c>
      <c r="CJ76" s="1021">
        <v>0.03</v>
      </c>
      <c r="CK76" s="1021">
        <v>0.03</v>
      </c>
      <c r="CL76" s="1021">
        <v>3.0499999999999999E-2</v>
      </c>
      <c r="CM76" s="1021">
        <v>3.0499999999999999E-2</v>
      </c>
      <c r="CN76" s="1021">
        <v>3.0499999999999999E-2</v>
      </c>
      <c r="CO76" s="1021">
        <v>3.0499999999999999E-2</v>
      </c>
      <c r="CP76" s="1021">
        <v>3.0499999999999999E-2</v>
      </c>
      <c r="CQ76" s="1021">
        <v>3.0499999999999999E-2</v>
      </c>
      <c r="CR76" s="1021">
        <v>3.0499999999999999E-2</v>
      </c>
      <c r="CS76" s="1021">
        <v>3.0499999999999999E-2</v>
      </c>
      <c r="CT76" s="1021">
        <v>3.0499999999999999E-2</v>
      </c>
      <c r="CU76" s="1021">
        <v>3.0499999999999999E-2</v>
      </c>
      <c r="CV76" s="1021">
        <v>3.1E-2</v>
      </c>
      <c r="CW76" s="1021">
        <v>3.1E-2</v>
      </c>
      <c r="CX76" s="1021">
        <v>3.1E-2</v>
      </c>
      <c r="CY76" s="1021">
        <v>3.1E-2</v>
      </c>
      <c r="CZ76" s="1021">
        <v>3.15E-2</v>
      </c>
      <c r="DA76" s="1021">
        <v>3.15E-2</v>
      </c>
      <c r="DB76" s="1021">
        <v>3.2000000000000001E-2</v>
      </c>
      <c r="DC76" s="1021">
        <v>3.2000000000000001E-2</v>
      </c>
      <c r="DD76" s="1021">
        <v>3.2000000000000001E-2</v>
      </c>
      <c r="DE76" s="1021">
        <v>3.2000000000000001E-2</v>
      </c>
      <c r="DF76" s="1021">
        <v>3.2000000000000001E-2</v>
      </c>
      <c r="DG76" s="1021">
        <v>3.2000000000000001E-2</v>
      </c>
      <c r="DH76" s="1021">
        <v>3.2000000000000001E-2</v>
      </c>
      <c r="DI76" s="1021">
        <v>3.2000000000000001E-2</v>
      </c>
      <c r="DJ76" s="1021">
        <v>3.3000000000000002E-2</v>
      </c>
      <c r="DK76" s="1021">
        <v>3.3500000000000002E-2</v>
      </c>
      <c r="DL76" s="1021">
        <v>3.3500000000000002E-2</v>
      </c>
      <c r="DM76" s="1021">
        <v>3.3500000000000002E-2</v>
      </c>
      <c r="DN76" s="1021">
        <v>3.3500000000000002E-2</v>
      </c>
      <c r="DO76" s="1021">
        <v>3.3500000000000002E-2</v>
      </c>
      <c r="DP76" s="1021">
        <v>3.3500000000000002E-2</v>
      </c>
      <c r="DQ76" s="1021">
        <v>3.3500000000000002E-2</v>
      </c>
      <c r="DR76" s="1021">
        <v>3.3000000000000002E-2</v>
      </c>
      <c r="DS76" s="1021">
        <v>3.3000000000000002E-2</v>
      </c>
      <c r="DT76" s="1021">
        <v>3.2000000000000001E-2</v>
      </c>
      <c r="DU76" s="1021">
        <v>3.2000000000000001E-2</v>
      </c>
      <c r="DV76" s="1021">
        <v>3.2000000000000001E-2</v>
      </c>
      <c r="DW76" s="1021">
        <v>3.2000000000000001E-2</v>
      </c>
      <c r="DX76" s="1021">
        <v>3.2000000000000001E-2</v>
      </c>
      <c r="DY76" s="1021">
        <v>3.2000000000000001E-2</v>
      </c>
      <c r="DZ76" s="1021">
        <v>3.2000000000000001E-2</v>
      </c>
      <c r="EA76" s="1021">
        <v>3.2500000000000001E-2</v>
      </c>
      <c r="EB76" s="1021">
        <v>3.2500000000000001E-2</v>
      </c>
      <c r="EC76" s="1021">
        <v>3.2500000000000001E-2</v>
      </c>
      <c r="ED76" s="1021">
        <v>3.2500000000000001E-2</v>
      </c>
      <c r="EE76" s="1021">
        <v>3.2500000000000001E-2</v>
      </c>
      <c r="EF76" s="1021">
        <v>3.2500000000000001E-2</v>
      </c>
      <c r="EG76" s="1021">
        <v>3.2500000000000001E-2</v>
      </c>
      <c r="EH76" s="1021">
        <v>3.3000000000000002E-2</v>
      </c>
      <c r="EI76" s="1021">
        <v>3.3000000000000002E-2</v>
      </c>
      <c r="EJ76" s="1021">
        <v>3.3000000000000002E-2</v>
      </c>
      <c r="EK76" s="1021">
        <v>3.3000000000000002E-2</v>
      </c>
      <c r="EL76" s="1021">
        <v>3.3000000000000002E-2</v>
      </c>
      <c r="EM76" s="1021">
        <v>3.3000000000000002E-2</v>
      </c>
      <c r="EN76" s="1021">
        <v>3.3000000000000002E-2</v>
      </c>
      <c r="EO76" s="1021">
        <v>3.3000000000000002E-2</v>
      </c>
      <c r="EP76" s="1021">
        <v>3.3000000000000002E-2</v>
      </c>
      <c r="EQ76" s="1021">
        <v>3.4000000000000002E-2</v>
      </c>
      <c r="ER76" s="1021">
        <v>3.4000000000000002E-2</v>
      </c>
      <c r="ES76" s="1021">
        <v>3.4000000000000002E-2</v>
      </c>
      <c r="ET76" s="1021">
        <v>3.4500000000000003E-2</v>
      </c>
      <c r="EU76" s="1021">
        <v>3.5000000000000003E-2</v>
      </c>
      <c r="EV76" s="1021">
        <v>3.5000000000000003E-2</v>
      </c>
      <c r="EW76" s="1021">
        <v>3.5499999999999997E-2</v>
      </c>
      <c r="EX76" s="1021">
        <v>3.6499999999999998E-2</v>
      </c>
      <c r="EY76" s="1021">
        <v>3.6999999999999998E-2</v>
      </c>
      <c r="EZ76" s="258" t="s">
        <v>306</v>
      </c>
      <c r="FA76" s="235"/>
      <c r="FB76" s="238"/>
      <c r="FC76" s="231"/>
      <c r="FD76" s="235"/>
      <c r="FE76" s="238"/>
      <c r="FF76" s="282"/>
      <c r="FG76" s="231"/>
      <c r="FH76" s="236"/>
      <c r="FI76" s="236"/>
      <c r="FJ76" s="236"/>
      <c r="FK76" s="236"/>
      <c r="FL76" s="235"/>
      <c r="FM76" s="235"/>
      <c r="FN76" s="235"/>
      <c r="FO76" s="235"/>
      <c r="FP76" s="235"/>
      <c r="FQ76" s="235"/>
      <c r="FR76" s="235"/>
      <c r="FS76" s="235"/>
      <c r="FT76" s="235"/>
      <c r="FU76" s="235"/>
      <c r="FV76" s="235"/>
      <c r="FW76" s="235"/>
      <c r="FX76" s="235"/>
      <c r="FY76" s="987">
        <v>2.1000000000000001E-2</v>
      </c>
      <c r="FZ76" s="987">
        <v>3.7999999999999999E-2</v>
      </c>
      <c r="GA76" s="987">
        <v>3.7999999999999999E-2</v>
      </c>
      <c r="GB76" s="987">
        <v>3.7999999999999999E-2</v>
      </c>
      <c r="GC76" s="987">
        <v>3.7999999999999999E-2</v>
      </c>
      <c r="GD76" s="987">
        <v>3.85E-2</v>
      </c>
      <c r="GE76" s="987">
        <v>3.85E-2</v>
      </c>
      <c r="GF76" s="987">
        <v>0.04</v>
      </c>
      <c r="GG76" s="987">
        <v>0.04</v>
      </c>
      <c r="GH76" s="987">
        <v>0.04</v>
      </c>
      <c r="GI76" s="987">
        <v>0.04</v>
      </c>
      <c r="GJ76" s="987">
        <v>0.04</v>
      </c>
      <c r="GK76" s="987">
        <v>0.04</v>
      </c>
      <c r="GL76" s="987">
        <v>0.04</v>
      </c>
      <c r="GM76" s="987">
        <v>0.04</v>
      </c>
      <c r="GN76" s="987">
        <v>0.04</v>
      </c>
      <c r="GO76" s="987">
        <v>3.9E-2</v>
      </c>
      <c r="GP76" s="987">
        <v>3.85E-2</v>
      </c>
      <c r="GQ76" s="987">
        <v>3.5999999999999997E-2</v>
      </c>
      <c r="GR76" s="987">
        <v>3.2500000000000001E-2</v>
      </c>
      <c r="GS76" s="987">
        <v>3.2500000000000001E-2</v>
      </c>
      <c r="GT76" s="987">
        <v>3.1E-2</v>
      </c>
      <c r="GU76" s="987">
        <v>3.1E-2</v>
      </c>
      <c r="GV76" s="987">
        <v>2.9499999999999998E-2</v>
      </c>
      <c r="GW76" s="987">
        <v>2.7E-2</v>
      </c>
      <c r="GX76" s="987">
        <v>2.6499999999999999E-2</v>
      </c>
      <c r="GY76" s="987">
        <v>2.4500000000000001E-2</v>
      </c>
      <c r="GZ76" s="987">
        <v>2.4500000000000001E-2</v>
      </c>
      <c r="HA76" s="987">
        <v>2.4500000000000001E-2</v>
      </c>
      <c r="HB76" s="987">
        <v>3.7999999999999999E-2</v>
      </c>
      <c r="HC76" s="1021">
        <v>3.6999999999999998E-2</v>
      </c>
      <c r="HD76" s="987">
        <v>3.7499999999999999E-2</v>
      </c>
      <c r="HE76" s="987">
        <v>3.7999999999999999E-2</v>
      </c>
      <c r="HF76" s="941">
        <f>C76-D76</f>
        <v>0</v>
      </c>
    </row>
    <row r="77" spans="1:215">
      <c r="A77" s="961"/>
      <c r="B77" s="921"/>
      <c r="C77" s="921"/>
      <c r="D77" s="921"/>
      <c r="E77" s="921"/>
      <c r="F77" s="921"/>
      <c r="G77" s="921"/>
      <c r="H77" s="921"/>
      <c r="I77" s="921"/>
      <c r="J77" s="921"/>
      <c r="K77" s="921"/>
      <c r="L77" s="921"/>
      <c r="M77" s="921"/>
      <c r="N77" s="921"/>
      <c r="O77" s="921"/>
      <c r="P77" s="921"/>
      <c r="Q77" s="921"/>
      <c r="R77" s="921"/>
      <c r="S77" s="921"/>
      <c r="T77" s="921"/>
      <c r="U77" s="950"/>
      <c r="V77" s="970"/>
      <c r="W77" s="910"/>
      <c r="X77" s="910"/>
      <c r="Y77" s="910"/>
      <c r="Z77" s="968"/>
      <c r="AA77" s="910"/>
      <c r="AB77" s="968"/>
      <c r="AC77" s="968"/>
      <c r="AD77" s="968"/>
      <c r="AE77" s="910"/>
      <c r="AF77" s="968"/>
      <c r="AG77" s="968"/>
      <c r="AH77" s="979"/>
      <c r="AI77" s="968"/>
      <c r="AJ77" s="968"/>
      <c r="AK77" s="968"/>
      <c r="AL77" s="968"/>
      <c r="AM77" s="979"/>
      <c r="AN77" s="968"/>
      <c r="AO77" s="979"/>
      <c r="AP77" s="985"/>
      <c r="AQ77" s="985"/>
      <c r="AR77" s="985"/>
      <c r="AS77" s="1026"/>
      <c r="AT77" s="985"/>
      <c r="AU77" s="1025"/>
      <c r="AV77" s="1025"/>
      <c r="AW77" s="1025"/>
      <c r="AX77" s="1024"/>
      <c r="AY77" s="1024"/>
      <c r="AZ77" s="1022"/>
      <c r="BA77" s="1022"/>
      <c r="BB77" s="1022"/>
      <c r="BC77" s="1022"/>
      <c r="BD77" s="1022"/>
      <c r="BE77" s="1024"/>
      <c r="BF77" s="1022"/>
      <c r="BG77" s="1022"/>
      <c r="BH77" s="1022"/>
      <c r="BI77" s="1022"/>
      <c r="BJ77" s="1024"/>
      <c r="BK77" s="1022"/>
      <c r="BL77" s="1022"/>
      <c r="BM77" s="1022"/>
      <c r="BN77" s="1022"/>
      <c r="BO77" s="1024"/>
      <c r="BP77" s="1022"/>
      <c r="BQ77" s="1022"/>
      <c r="BR77" s="1022"/>
      <c r="BS77" s="1022"/>
      <c r="BT77" s="1022"/>
      <c r="BU77" s="1022"/>
      <c r="BV77" s="1022"/>
      <c r="BW77" s="1022"/>
      <c r="BX77" s="1022"/>
      <c r="BY77" s="1022"/>
      <c r="BZ77" s="1022"/>
      <c r="CA77" s="1022"/>
      <c r="CB77" s="1022"/>
      <c r="CC77" s="1022"/>
      <c r="CD77" s="1022"/>
      <c r="CE77" s="1022"/>
      <c r="CF77" s="1022"/>
      <c r="CG77" s="1022"/>
      <c r="CH77" s="1022"/>
      <c r="CI77" s="1022"/>
      <c r="CJ77" s="1022"/>
      <c r="CK77" s="1022"/>
      <c r="CL77" s="1022"/>
      <c r="CM77" s="1022"/>
      <c r="CN77" s="1022"/>
      <c r="CO77" s="1022"/>
      <c r="CP77" s="1022"/>
      <c r="CQ77" s="1022"/>
      <c r="CR77" s="1022"/>
      <c r="CS77" s="1022"/>
      <c r="CT77" s="1022"/>
      <c r="CU77" s="1022"/>
      <c r="CV77" s="1022"/>
      <c r="CW77" s="1022"/>
      <c r="CX77" s="1022"/>
      <c r="CY77" s="1022"/>
      <c r="CZ77" s="1022"/>
      <c r="DA77" s="1022"/>
      <c r="DB77" s="1022"/>
      <c r="DC77" s="1022"/>
      <c r="DD77" s="1022"/>
      <c r="DE77" s="1022"/>
      <c r="DF77" s="1022"/>
      <c r="DG77" s="1022"/>
      <c r="DH77" s="1022"/>
      <c r="DI77" s="1022"/>
      <c r="DJ77" s="1022"/>
      <c r="DK77" s="1022"/>
      <c r="DL77" s="1022"/>
      <c r="DM77" s="1022"/>
      <c r="DN77" s="1022"/>
      <c r="DO77" s="1022"/>
      <c r="DP77" s="1022"/>
      <c r="DQ77" s="1022"/>
      <c r="DR77" s="1022"/>
      <c r="DS77" s="1022"/>
      <c r="DT77" s="1022"/>
      <c r="DU77" s="1022"/>
      <c r="DV77" s="1022"/>
      <c r="DW77" s="1022"/>
      <c r="DX77" s="1022"/>
      <c r="DY77" s="1022"/>
      <c r="DZ77" s="1022"/>
      <c r="EA77" s="1022"/>
      <c r="EB77" s="1022"/>
      <c r="EC77" s="1022"/>
      <c r="ED77" s="1022"/>
      <c r="EE77" s="1022"/>
      <c r="EF77" s="1022"/>
      <c r="EG77" s="1022"/>
      <c r="EH77" s="1022"/>
      <c r="EI77" s="1022"/>
      <c r="EJ77" s="1022"/>
      <c r="EK77" s="1022"/>
      <c r="EL77" s="1022"/>
      <c r="EM77" s="1022"/>
      <c r="EN77" s="1022"/>
      <c r="EO77" s="1022"/>
      <c r="EP77" s="1022"/>
      <c r="EQ77" s="1022"/>
      <c r="ER77" s="1022"/>
      <c r="ES77" s="1022"/>
      <c r="ET77" s="1022"/>
      <c r="EU77" s="1022"/>
      <c r="EV77" s="1022"/>
      <c r="EW77" s="1022"/>
      <c r="EX77" s="1022"/>
      <c r="EY77" s="1022"/>
      <c r="EZ77" s="258" t="s">
        <v>323</v>
      </c>
      <c r="FA77" s="235">
        <v>2.1000000000000001E-2</v>
      </c>
      <c r="FB77" s="238">
        <v>2.1000000000000001E-2</v>
      </c>
      <c r="FC77" s="231" t="s">
        <v>261</v>
      </c>
      <c r="FD77" s="236">
        <v>8.9999999999999993E-3</v>
      </c>
      <c r="FE77" s="238">
        <v>8.9999999999999993E-3</v>
      </c>
      <c r="FF77" s="237" t="s">
        <v>322</v>
      </c>
      <c r="FG77" s="231" t="s">
        <v>321</v>
      </c>
      <c r="FH77" s="236">
        <v>5.4999999999999997E-3</v>
      </c>
      <c r="FI77" s="236">
        <v>5.4999999999999997E-3</v>
      </c>
      <c r="FJ77" s="236">
        <v>8.9999999999999993E-3</v>
      </c>
      <c r="FK77" s="236">
        <v>5.4999999999999997E-3</v>
      </c>
      <c r="FL77" s="236">
        <v>8.9999999999999993E-3</v>
      </c>
      <c r="FM77" s="236">
        <v>8.9999999999999993E-3</v>
      </c>
      <c r="FN77" s="235">
        <v>8.9999999999999993E-3</v>
      </c>
      <c r="FO77" s="235">
        <v>8.9999999999999993E-3</v>
      </c>
      <c r="FP77" s="235">
        <v>1.2E-2</v>
      </c>
      <c r="FQ77" s="235">
        <v>1.2999999999999999E-2</v>
      </c>
      <c r="FR77" s="235">
        <v>1.2999999999999999E-2</v>
      </c>
      <c r="FS77" s="235">
        <v>1.2999999999999999E-2</v>
      </c>
      <c r="FT77" s="235">
        <v>1.2999999999999999E-2</v>
      </c>
      <c r="FU77" s="235">
        <v>1.7000000000000001E-2</v>
      </c>
      <c r="FV77" s="235">
        <v>1.7000000000000001E-2</v>
      </c>
      <c r="FW77" s="235">
        <v>1.9E-2</v>
      </c>
      <c r="FX77" s="235">
        <v>1.9E-2</v>
      </c>
      <c r="FY77" s="988"/>
      <c r="FZ77" s="988"/>
      <c r="GA77" s="988"/>
      <c r="GB77" s="988"/>
      <c r="GC77" s="988"/>
      <c r="GD77" s="988"/>
      <c r="GE77" s="988"/>
      <c r="GF77" s="988"/>
      <c r="GG77" s="988"/>
      <c r="GH77" s="988"/>
      <c r="GI77" s="988"/>
      <c r="GJ77" s="988"/>
      <c r="GK77" s="988"/>
      <c r="GL77" s="988"/>
      <c r="GM77" s="988"/>
      <c r="GN77" s="988"/>
      <c r="GO77" s="988"/>
      <c r="GP77" s="988"/>
      <c r="GQ77" s="988"/>
      <c r="GR77" s="988"/>
      <c r="GS77" s="988"/>
      <c r="GT77" s="988"/>
      <c r="GU77" s="988"/>
      <c r="GV77" s="988"/>
      <c r="GW77" s="988"/>
      <c r="GX77" s="988"/>
      <c r="GY77" s="988"/>
      <c r="GZ77" s="988"/>
      <c r="HA77" s="988"/>
      <c r="HB77" s="988"/>
      <c r="HC77" s="1022"/>
      <c r="HD77" s="988"/>
      <c r="HE77" s="988"/>
      <c r="HF77" s="942"/>
    </row>
    <row r="78" spans="1:215">
      <c r="A78" s="1060" t="s">
        <v>20</v>
      </c>
      <c r="B78" s="280" t="s">
        <v>585</v>
      </c>
      <c r="C78" s="920">
        <v>1.0999999999999999E-2</v>
      </c>
      <c r="D78" s="920">
        <v>1.0999999999999999E-2</v>
      </c>
      <c r="E78" s="920">
        <v>1.0999999999999999E-2</v>
      </c>
      <c r="F78" s="920">
        <v>1.0999999999999999E-2</v>
      </c>
      <c r="G78" s="920">
        <v>1.0999999999999999E-2</v>
      </c>
      <c r="H78" s="920">
        <v>1.0999999999999999E-2</v>
      </c>
      <c r="I78" s="920">
        <v>1.0999999999999999E-2</v>
      </c>
      <c r="J78" s="920">
        <v>1.0999999999999999E-2</v>
      </c>
      <c r="K78" s="920">
        <v>1.0999999999999999E-2</v>
      </c>
      <c r="L78" s="920">
        <v>1.0999999999999999E-2</v>
      </c>
      <c r="M78" s="920">
        <v>1.0999999999999999E-2</v>
      </c>
      <c r="N78" s="920">
        <v>1.0999999999999999E-2</v>
      </c>
      <c r="O78" s="920">
        <v>1.0999999999999999E-2</v>
      </c>
      <c r="P78" s="920">
        <v>1.0999999999999999E-2</v>
      </c>
      <c r="Q78" s="920">
        <v>1.0999999999999999E-2</v>
      </c>
      <c r="R78" s="920">
        <v>1.0999999999999999E-2</v>
      </c>
      <c r="S78" s="920">
        <v>1.0999999999999999E-2</v>
      </c>
      <c r="T78" s="969">
        <v>1.0999999999999999E-2</v>
      </c>
      <c r="U78" s="969">
        <v>1.0999999999999999E-2</v>
      </c>
      <c r="V78" s="969">
        <v>1.0999999999999999E-2</v>
      </c>
      <c r="W78" s="909">
        <v>1.0999999999999999E-2</v>
      </c>
      <c r="X78" s="909">
        <v>1.0999999999999999E-2</v>
      </c>
      <c r="Y78" s="909">
        <v>1.0999999999999999E-2</v>
      </c>
      <c r="Z78" s="909">
        <v>1.0999999999999999E-2</v>
      </c>
      <c r="AA78" s="909">
        <v>1.0999999999999999E-2</v>
      </c>
      <c r="AB78" s="909">
        <v>1.0999999999999999E-2</v>
      </c>
      <c r="AC78" s="909">
        <v>1.0999999999999999E-2</v>
      </c>
      <c r="AD78" s="967">
        <v>1.0999999999999999E-2</v>
      </c>
      <c r="AE78" s="967">
        <v>1.15E-2</v>
      </c>
      <c r="AF78" s="967">
        <v>1.2E-2</v>
      </c>
      <c r="AG78" s="978">
        <v>1.35E-2</v>
      </c>
      <c r="AH78" s="978">
        <v>1.35E-2</v>
      </c>
      <c r="AI78" s="967">
        <v>1.35E-2</v>
      </c>
      <c r="AJ78" s="909">
        <v>1.4E-2</v>
      </c>
      <c r="AK78" s="978">
        <v>1.4E-2</v>
      </c>
      <c r="AL78" s="967">
        <v>1.4E-2</v>
      </c>
      <c r="AM78" s="967">
        <v>1.4500000000000001E-2</v>
      </c>
      <c r="AN78" s="967">
        <v>1.55E-2</v>
      </c>
      <c r="AO78" s="967">
        <v>1.7000000000000001E-2</v>
      </c>
      <c r="AP78" s="984">
        <v>1.7999999999999999E-2</v>
      </c>
      <c r="AQ78" s="1012">
        <v>1.9E-2</v>
      </c>
      <c r="AR78" s="984">
        <v>1.9E-2</v>
      </c>
      <c r="AS78" s="1012">
        <v>1.95E-2</v>
      </c>
      <c r="AT78" s="955">
        <v>1.95E-2</v>
      </c>
      <c r="AU78" s="1036">
        <v>1.9E-2</v>
      </c>
      <c r="AV78" s="955">
        <v>1.95E-2</v>
      </c>
      <c r="AW78" s="955">
        <v>1.95E-2</v>
      </c>
      <c r="AX78" s="955">
        <v>2.0500000000000001E-2</v>
      </c>
      <c r="AY78" s="955">
        <v>2.0500000000000001E-2</v>
      </c>
      <c r="AZ78" s="955">
        <v>2.0500000000000001E-2</v>
      </c>
      <c r="BA78" s="955">
        <v>2.0500000000000001E-2</v>
      </c>
      <c r="BB78" s="955">
        <v>2.1499999999999998E-2</v>
      </c>
      <c r="BC78" s="955">
        <v>2.1499999999999998E-2</v>
      </c>
      <c r="BD78" s="955">
        <v>2.1499999999999998E-2</v>
      </c>
      <c r="BE78" s="1036">
        <v>2.3E-2</v>
      </c>
      <c r="BF78" s="955">
        <v>2.4500000000000001E-2</v>
      </c>
      <c r="BG78" s="955">
        <v>2.4500000000000001E-2</v>
      </c>
      <c r="BH78" s="955">
        <v>2.4500000000000001E-2</v>
      </c>
      <c r="BI78" s="1036">
        <v>2.4500000000000001E-2</v>
      </c>
      <c r="BJ78" s="955">
        <v>2.5999999999999999E-2</v>
      </c>
      <c r="BK78" s="955">
        <v>2.5999999999999999E-2</v>
      </c>
      <c r="BL78" s="955">
        <v>2.5999999999999999E-2</v>
      </c>
      <c r="BM78" s="955">
        <v>2.5999999999999999E-2</v>
      </c>
      <c r="BN78" s="955">
        <v>2.5999999999999999E-2</v>
      </c>
      <c r="BO78" s="955">
        <v>2.5999999999999999E-2</v>
      </c>
      <c r="BP78" s="955">
        <v>2.5999999999999999E-2</v>
      </c>
      <c r="BQ78" s="955">
        <v>2.5999999999999999E-2</v>
      </c>
      <c r="BR78" s="955">
        <v>2.5999999999999999E-2</v>
      </c>
      <c r="BS78" s="955">
        <v>2.5999999999999999E-2</v>
      </c>
      <c r="BT78" s="955">
        <v>2.5999999999999999E-2</v>
      </c>
      <c r="BU78" s="955">
        <v>2.5999999999999999E-2</v>
      </c>
      <c r="BV78" s="955">
        <v>2.5999999999999999E-2</v>
      </c>
      <c r="BW78" s="955">
        <v>2.5999999999999999E-2</v>
      </c>
      <c r="BX78" s="955">
        <v>2.5999999999999999E-2</v>
      </c>
      <c r="BY78" s="955">
        <v>2.5999999999999999E-2</v>
      </c>
      <c r="BZ78" s="955">
        <v>2.5999999999999999E-2</v>
      </c>
      <c r="CA78" s="955">
        <v>2.5999999999999999E-2</v>
      </c>
      <c r="CB78" s="955">
        <v>2.5999999999999999E-2</v>
      </c>
      <c r="CC78" s="955">
        <v>2.7E-2</v>
      </c>
      <c r="CD78" s="955">
        <v>2.7E-2</v>
      </c>
      <c r="CE78" s="955">
        <v>2.7E-2</v>
      </c>
      <c r="CF78" s="955">
        <v>2.8000000000000001E-2</v>
      </c>
      <c r="CG78" s="955">
        <v>2.8000000000000001E-2</v>
      </c>
      <c r="CH78" s="955">
        <v>3.0499999999999999E-2</v>
      </c>
      <c r="CI78" s="955">
        <v>3.0499999999999999E-2</v>
      </c>
      <c r="CJ78" s="955">
        <v>3.0499999999999999E-2</v>
      </c>
      <c r="CK78" s="955">
        <v>3.0499999999999999E-2</v>
      </c>
      <c r="CL78" s="955">
        <v>3.0499999999999999E-2</v>
      </c>
      <c r="CM78" s="955">
        <v>3.0499999999999999E-2</v>
      </c>
      <c r="CN78" s="955">
        <v>3.0499999999999999E-2</v>
      </c>
      <c r="CO78" s="955">
        <v>3.3500000000000002E-2</v>
      </c>
      <c r="CP78" s="955">
        <v>3.3000000000000002E-2</v>
      </c>
      <c r="CQ78" s="955">
        <v>3.3000000000000002E-2</v>
      </c>
      <c r="CR78" s="955">
        <v>3.2500000000000001E-2</v>
      </c>
      <c r="CS78" s="955">
        <v>3.2500000000000001E-2</v>
      </c>
      <c r="CT78" s="955">
        <v>3.2500000000000001E-2</v>
      </c>
      <c r="CU78" s="955">
        <v>3.2500000000000001E-2</v>
      </c>
      <c r="CV78" s="955">
        <v>3.2500000000000001E-2</v>
      </c>
      <c r="CW78" s="955">
        <v>3.1E-2</v>
      </c>
      <c r="CX78" s="955">
        <v>3.1E-2</v>
      </c>
      <c r="CY78" s="955">
        <v>3.1E-2</v>
      </c>
      <c r="CZ78" s="955">
        <v>3.1E-2</v>
      </c>
      <c r="DA78" s="955">
        <v>3.2000000000000001E-2</v>
      </c>
      <c r="DB78" s="955">
        <v>3.2000000000000001E-2</v>
      </c>
      <c r="DC78" s="955">
        <v>3.2000000000000001E-2</v>
      </c>
      <c r="DD78" s="955">
        <v>3.2000000000000001E-2</v>
      </c>
      <c r="DE78" s="955">
        <v>3.4000000000000002E-2</v>
      </c>
      <c r="DF78" s="955">
        <v>3.4000000000000002E-2</v>
      </c>
      <c r="DG78" s="955">
        <v>3.4000000000000002E-2</v>
      </c>
      <c r="DH78" s="955">
        <v>3.4000000000000002E-2</v>
      </c>
      <c r="DI78" s="955">
        <v>3.4000000000000002E-2</v>
      </c>
      <c r="DJ78" s="955">
        <v>3.4000000000000002E-2</v>
      </c>
      <c r="DK78" s="955">
        <v>3.4000000000000002E-2</v>
      </c>
      <c r="DL78" s="955">
        <v>3.4000000000000002E-2</v>
      </c>
      <c r="DM78" s="955">
        <v>3.4000000000000002E-2</v>
      </c>
      <c r="DN78" s="955">
        <v>3.4000000000000002E-2</v>
      </c>
      <c r="DO78" s="955">
        <v>3.4000000000000002E-2</v>
      </c>
      <c r="DP78" s="955">
        <v>3.4000000000000002E-2</v>
      </c>
      <c r="DQ78" s="955">
        <v>3.4000000000000002E-2</v>
      </c>
      <c r="DR78" s="955">
        <v>3.4000000000000002E-2</v>
      </c>
      <c r="DS78" s="955">
        <v>3.4000000000000002E-2</v>
      </c>
      <c r="DT78" s="955">
        <v>3.4000000000000002E-2</v>
      </c>
      <c r="DU78" s="955">
        <v>3.4000000000000002E-2</v>
      </c>
      <c r="DV78" s="955">
        <v>3.4000000000000002E-2</v>
      </c>
      <c r="DW78" s="955">
        <v>3.4000000000000002E-2</v>
      </c>
      <c r="DX78" s="955">
        <v>3.4000000000000002E-2</v>
      </c>
      <c r="DY78" s="955">
        <v>3.4000000000000002E-2</v>
      </c>
      <c r="DZ78" s="955">
        <v>3.4000000000000002E-2</v>
      </c>
      <c r="EA78" s="955">
        <v>3.4000000000000002E-2</v>
      </c>
      <c r="EB78" s="955">
        <v>3.4000000000000002E-2</v>
      </c>
      <c r="EC78" s="955">
        <v>3.4000000000000002E-2</v>
      </c>
      <c r="ED78" s="955">
        <v>3.4000000000000002E-2</v>
      </c>
      <c r="EE78" s="955">
        <v>3.5999999999999997E-2</v>
      </c>
      <c r="EF78" s="955">
        <v>3.5999999999999997E-2</v>
      </c>
      <c r="EG78" s="955">
        <v>3.5999999999999997E-2</v>
      </c>
      <c r="EH78" s="955">
        <v>3.5999999999999997E-2</v>
      </c>
      <c r="EI78" s="955">
        <v>3.5999999999999997E-2</v>
      </c>
      <c r="EJ78" s="955">
        <v>3.4000000000000002E-2</v>
      </c>
      <c r="EK78" s="955">
        <v>3.4000000000000002E-2</v>
      </c>
      <c r="EL78" s="955">
        <v>3.4000000000000002E-2</v>
      </c>
      <c r="EM78" s="955">
        <v>3.4000000000000002E-2</v>
      </c>
      <c r="EN78" s="955">
        <v>3.4000000000000002E-2</v>
      </c>
      <c r="EO78" s="955">
        <v>3.4000000000000002E-2</v>
      </c>
      <c r="EP78" s="955">
        <v>3.4000000000000002E-2</v>
      </c>
      <c r="EQ78" s="955">
        <v>3.4000000000000002E-2</v>
      </c>
      <c r="ER78" s="955">
        <v>3.5000000000000003E-2</v>
      </c>
      <c r="ES78" s="955">
        <v>3.5000000000000003E-2</v>
      </c>
      <c r="ET78" s="955">
        <v>3.5000000000000003E-2</v>
      </c>
      <c r="EU78" s="955">
        <v>3.5000000000000003E-2</v>
      </c>
      <c r="EV78" s="955">
        <v>3.5000000000000003E-2</v>
      </c>
      <c r="EW78" s="955">
        <v>3.5000000000000003E-2</v>
      </c>
      <c r="EX78" s="955">
        <v>3.5000000000000003E-2</v>
      </c>
      <c r="EY78" s="955">
        <v>3.5000000000000003E-2</v>
      </c>
      <c r="EZ78" s="1042" t="s">
        <v>306</v>
      </c>
      <c r="FA78" s="1040">
        <v>1.2999999999999999E-2</v>
      </c>
      <c r="FB78" s="238" t="s">
        <v>432</v>
      </c>
      <c r="FC78" s="1042" t="s">
        <v>306</v>
      </c>
      <c r="FD78" s="1041">
        <v>3.5000000000000001E-3</v>
      </c>
      <c r="FE78" s="238">
        <v>3.0000000000000001E-3</v>
      </c>
      <c r="FF78" s="237" t="s">
        <v>333</v>
      </c>
      <c r="FG78" s="1042"/>
      <c r="FH78" s="1041">
        <v>3.5000000000000001E-3</v>
      </c>
      <c r="FI78" s="1041">
        <v>3.5000000000000001E-3</v>
      </c>
      <c r="FJ78" s="1041">
        <v>3.5000000000000001E-3</v>
      </c>
      <c r="FK78" s="1041">
        <v>3.5000000000000001E-3</v>
      </c>
      <c r="FL78" s="1041">
        <v>3.5000000000000001E-3</v>
      </c>
      <c r="FM78" s="1041">
        <v>3.5000000000000001E-3</v>
      </c>
      <c r="FN78" s="1040">
        <v>3.5000000000000001E-3</v>
      </c>
      <c r="FO78" s="1040">
        <v>3.5000000000000001E-3</v>
      </c>
      <c r="FP78" s="1040">
        <v>3.5000000000000001E-3</v>
      </c>
      <c r="FQ78" s="1040">
        <v>3.5000000000000001E-3</v>
      </c>
      <c r="FR78" s="1040">
        <v>3.5000000000000001E-3</v>
      </c>
      <c r="FS78" s="1040">
        <v>3.5000000000000001E-3</v>
      </c>
      <c r="FT78" s="1040">
        <v>3.5000000000000001E-3</v>
      </c>
      <c r="FU78" s="1040">
        <v>1.2999999999999999E-2</v>
      </c>
      <c r="FV78" s="1040">
        <v>1.2999999999999999E-2</v>
      </c>
      <c r="FW78" s="1040">
        <v>1.2999999999999999E-2</v>
      </c>
      <c r="FX78" s="1040">
        <v>1.2999999999999999E-2</v>
      </c>
      <c r="FY78" s="955">
        <v>1.4999999999999999E-2</v>
      </c>
      <c r="FZ78" s="955">
        <v>3.5000000000000003E-2</v>
      </c>
      <c r="GA78" s="955">
        <v>3.5000000000000003E-2</v>
      </c>
      <c r="GB78" s="955">
        <v>3.5000000000000003E-2</v>
      </c>
      <c r="GC78" s="955">
        <v>3.5000000000000003E-2</v>
      </c>
      <c r="GD78" s="955">
        <v>3.5000000000000003E-2</v>
      </c>
      <c r="GE78" s="955">
        <v>3.5000000000000003E-2</v>
      </c>
      <c r="GF78" s="955">
        <v>3.5000000000000003E-2</v>
      </c>
      <c r="GG78" s="955">
        <v>4.1000000000000002E-2</v>
      </c>
      <c r="GH78" s="955">
        <v>4.1000000000000002E-2</v>
      </c>
      <c r="GI78" s="955">
        <v>4.1000000000000002E-2</v>
      </c>
      <c r="GJ78" s="955">
        <v>4.1000000000000002E-2</v>
      </c>
      <c r="GK78" s="955">
        <v>4.1000000000000002E-2</v>
      </c>
      <c r="GL78" s="955">
        <v>4.1000000000000002E-2</v>
      </c>
      <c r="GM78" s="955">
        <v>4.1000000000000002E-2</v>
      </c>
      <c r="GN78" s="955">
        <v>4.1000000000000002E-2</v>
      </c>
      <c r="GO78" s="955">
        <v>4.1000000000000002E-2</v>
      </c>
      <c r="GP78" s="955">
        <v>3.2000000000000001E-2</v>
      </c>
      <c r="GQ78" s="955">
        <v>3.2000000000000001E-2</v>
      </c>
      <c r="GR78" s="955">
        <v>3.2000000000000001E-2</v>
      </c>
      <c r="GS78" s="955">
        <v>3.2000000000000001E-2</v>
      </c>
      <c r="GT78" s="955">
        <v>2.1000000000000001E-2</v>
      </c>
      <c r="GU78" s="955">
        <v>2.1000000000000001E-2</v>
      </c>
      <c r="GV78" s="955">
        <v>2.1000000000000001E-2</v>
      </c>
      <c r="GW78" s="955">
        <v>2.1000000000000001E-2</v>
      </c>
      <c r="GX78" s="955">
        <v>1.6E-2</v>
      </c>
      <c r="GY78" s="955">
        <v>1.6E-2</v>
      </c>
      <c r="GZ78" s="955">
        <v>1.6E-2</v>
      </c>
      <c r="HA78" s="955">
        <v>1.6E-2</v>
      </c>
      <c r="HB78" s="955">
        <v>3.5000000000000003E-2</v>
      </c>
      <c r="HC78" s="955">
        <v>3.5000000000000003E-2</v>
      </c>
      <c r="HD78" s="955">
        <v>3.5000000000000003E-2</v>
      </c>
      <c r="HE78" s="955">
        <v>3.5000000000000003E-2</v>
      </c>
      <c r="HF78" s="941">
        <f>C78-D78</f>
        <v>0</v>
      </c>
      <c r="HG78" s="218" t="s">
        <v>594</v>
      </c>
    </row>
    <row r="79" spans="1:215">
      <c r="A79" s="1060"/>
      <c r="B79" s="280" t="s">
        <v>584</v>
      </c>
      <c r="C79" s="921"/>
      <c r="D79" s="921"/>
      <c r="E79" s="921"/>
      <c r="F79" s="921"/>
      <c r="G79" s="921"/>
      <c r="H79" s="921"/>
      <c r="I79" s="921"/>
      <c r="J79" s="921"/>
      <c r="K79" s="921"/>
      <c r="L79" s="921"/>
      <c r="M79" s="921"/>
      <c r="N79" s="921"/>
      <c r="O79" s="921"/>
      <c r="P79" s="921"/>
      <c r="Q79" s="921"/>
      <c r="R79" s="921"/>
      <c r="S79" s="921"/>
      <c r="T79" s="970"/>
      <c r="U79" s="970"/>
      <c r="V79" s="970"/>
      <c r="W79" s="910"/>
      <c r="X79" s="910"/>
      <c r="Y79" s="910"/>
      <c r="Z79" s="910"/>
      <c r="AA79" s="910"/>
      <c r="AB79" s="910"/>
      <c r="AC79" s="910"/>
      <c r="AD79" s="968"/>
      <c r="AE79" s="968"/>
      <c r="AF79" s="968"/>
      <c r="AG79" s="979"/>
      <c r="AH79" s="979"/>
      <c r="AI79" s="968"/>
      <c r="AJ79" s="910"/>
      <c r="AK79" s="979"/>
      <c r="AL79" s="968"/>
      <c r="AM79" s="968"/>
      <c r="AN79" s="968"/>
      <c r="AO79" s="968"/>
      <c r="AP79" s="985"/>
      <c r="AQ79" s="1026"/>
      <c r="AR79" s="985"/>
      <c r="AS79" s="1026"/>
      <c r="AT79" s="956"/>
      <c r="AU79" s="1037"/>
      <c r="AV79" s="1030"/>
      <c r="AW79" s="1030"/>
      <c r="AX79" s="1030"/>
      <c r="AY79" s="1030"/>
      <c r="AZ79" s="1030"/>
      <c r="BA79" s="1030"/>
      <c r="BB79" s="1030"/>
      <c r="BC79" s="1030"/>
      <c r="BD79" s="1030"/>
      <c r="BE79" s="1037"/>
      <c r="BF79" s="1030"/>
      <c r="BG79" s="1030"/>
      <c r="BH79" s="1030"/>
      <c r="BI79" s="1037"/>
      <c r="BJ79" s="1030"/>
      <c r="BK79" s="1030"/>
      <c r="BL79" s="1030"/>
      <c r="BM79" s="1030"/>
      <c r="BN79" s="1030"/>
      <c r="BO79" s="1030"/>
      <c r="BP79" s="1030"/>
      <c r="BQ79" s="1030"/>
      <c r="BR79" s="1030"/>
      <c r="BS79" s="1030"/>
      <c r="BT79" s="1030"/>
      <c r="BU79" s="1030"/>
      <c r="BV79" s="1030"/>
      <c r="BW79" s="1030"/>
      <c r="BX79" s="1030"/>
      <c r="BY79" s="1030"/>
      <c r="BZ79" s="1030"/>
      <c r="CA79" s="1030"/>
      <c r="CB79" s="1030"/>
      <c r="CC79" s="1030"/>
      <c r="CD79" s="1030"/>
      <c r="CE79" s="1030"/>
      <c r="CF79" s="1030"/>
      <c r="CG79" s="1030"/>
      <c r="CH79" s="1030"/>
      <c r="CI79" s="956"/>
      <c r="CJ79" s="1030"/>
      <c r="CK79" s="1030"/>
      <c r="CL79" s="1030"/>
      <c r="CM79" s="1030"/>
      <c r="CN79" s="1030"/>
      <c r="CO79" s="1030"/>
      <c r="CP79" s="1030"/>
      <c r="CQ79" s="1030"/>
      <c r="CR79" s="1030"/>
      <c r="CS79" s="1030"/>
      <c r="CT79" s="1030"/>
      <c r="CU79" s="1030"/>
      <c r="CV79" s="1030"/>
      <c r="CW79" s="1030"/>
      <c r="CX79" s="1030"/>
      <c r="CY79" s="1030"/>
      <c r="CZ79" s="1030"/>
      <c r="DA79" s="1030"/>
      <c r="DB79" s="1030"/>
      <c r="DC79" s="1030"/>
      <c r="DD79" s="1030"/>
      <c r="DE79" s="1030"/>
      <c r="DF79" s="1030"/>
      <c r="DG79" s="1030"/>
      <c r="DH79" s="1030"/>
      <c r="DI79" s="1030"/>
      <c r="DJ79" s="1030"/>
      <c r="DK79" s="1030"/>
      <c r="DL79" s="1030"/>
      <c r="DM79" s="1030"/>
      <c r="DN79" s="1030"/>
      <c r="DO79" s="1030"/>
      <c r="DP79" s="1030"/>
      <c r="DQ79" s="1030"/>
      <c r="DR79" s="1030"/>
      <c r="DS79" s="1030"/>
      <c r="DT79" s="1030"/>
      <c r="DU79" s="1030"/>
      <c r="DV79" s="1030"/>
      <c r="DW79" s="1030"/>
      <c r="DX79" s="1030"/>
      <c r="DY79" s="1030"/>
      <c r="DZ79" s="1030"/>
      <c r="EA79" s="1030"/>
      <c r="EB79" s="1030"/>
      <c r="EC79" s="1030"/>
      <c r="ED79" s="1030"/>
      <c r="EE79" s="1030"/>
      <c r="EF79" s="1030"/>
      <c r="EG79" s="1030"/>
      <c r="EH79" s="1030"/>
      <c r="EI79" s="1030"/>
      <c r="EJ79" s="1030"/>
      <c r="EK79" s="1030"/>
      <c r="EL79" s="1030"/>
      <c r="EM79" s="1030"/>
      <c r="EN79" s="1030"/>
      <c r="EO79" s="1030"/>
      <c r="EP79" s="1030"/>
      <c r="EQ79" s="1030"/>
      <c r="ER79" s="1030"/>
      <c r="ES79" s="1030"/>
      <c r="ET79" s="1030"/>
      <c r="EU79" s="1030"/>
      <c r="EV79" s="1030"/>
      <c r="EW79" s="1030"/>
      <c r="EX79" s="1030"/>
      <c r="EY79" s="1030"/>
      <c r="EZ79" s="1042"/>
      <c r="FA79" s="1040"/>
      <c r="FB79" s="254" t="s">
        <v>431</v>
      </c>
      <c r="FC79" s="1042"/>
      <c r="FD79" s="1041"/>
      <c r="FE79" s="238">
        <v>3.5000000000000001E-3</v>
      </c>
      <c r="FF79" s="237" t="s">
        <v>430</v>
      </c>
      <c r="FG79" s="1042"/>
      <c r="FH79" s="1041"/>
      <c r="FI79" s="1041"/>
      <c r="FJ79" s="1041"/>
      <c r="FK79" s="1041"/>
      <c r="FL79" s="1041"/>
      <c r="FM79" s="1041"/>
      <c r="FN79" s="1040"/>
      <c r="FO79" s="1040"/>
      <c r="FP79" s="1040"/>
      <c r="FQ79" s="1040"/>
      <c r="FR79" s="1040"/>
      <c r="FS79" s="1040"/>
      <c r="FT79" s="1040"/>
      <c r="FU79" s="1040"/>
      <c r="FV79" s="1040"/>
      <c r="FW79" s="1040"/>
      <c r="FX79" s="1040"/>
      <c r="FY79" s="1030"/>
      <c r="FZ79" s="1030"/>
      <c r="GA79" s="1030"/>
      <c r="GB79" s="1030"/>
      <c r="GC79" s="1030"/>
      <c r="GD79" s="1030"/>
      <c r="GE79" s="1030"/>
      <c r="GF79" s="1030"/>
      <c r="GG79" s="1030"/>
      <c r="GH79" s="1030"/>
      <c r="GI79" s="1030"/>
      <c r="GJ79" s="1030"/>
      <c r="GK79" s="1030"/>
      <c r="GL79" s="1030"/>
      <c r="GM79" s="1030"/>
      <c r="GN79" s="1030"/>
      <c r="GO79" s="1030"/>
      <c r="GP79" s="1030"/>
      <c r="GQ79" s="1030"/>
      <c r="GR79" s="1030"/>
      <c r="GS79" s="1030"/>
      <c r="GT79" s="1030"/>
      <c r="GU79" s="1030"/>
      <c r="GV79" s="1030"/>
      <c r="GW79" s="1030"/>
      <c r="GX79" s="1030"/>
      <c r="GY79" s="1030"/>
      <c r="GZ79" s="1030"/>
      <c r="HA79" s="1030"/>
      <c r="HB79" s="1030"/>
      <c r="HC79" s="1030"/>
      <c r="HD79" s="1030"/>
      <c r="HE79" s="1030"/>
      <c r="HF79" s="942"/>
    </row>
    <row r="80" spans="1:215" ht="30" customHeight="1">
      <c r="A80" s="1060" t="s">
        <v>31</v>
      </c>
      <c r="B80" s="841" t="s">
        <v>830</v>
      </c>
      <c r="C80" s="903">
        <v>1.2E-2</v>
      </c>
      <c r="D80" s="903">
        <v>1.2E-2</v>
      </c>
      <c r="E80" s="905">
        <v>1.2500000000000001E-2</v>
      </c>
      <c r="F80" s="907">
        <v>1.2500000000000001E-2</v>
      </c>
      <c r="G80" s="907">
        <v>1.2500000000000001E-2</v>
      </c>
      <c r="H80" s="907">
        <v>1.2500000000000001E-2</v>
      </c>
      <c r="I80" s="907">
        <v>1.2500000000000001E-2</v>
      </c>
      <c r="J80" s="991">
        <v>1.2500000000000001E-2</v>
      </c>
      <c r="K80" s="907">
        <v>1.3299999999999999E-2</v>
      </c>
      <c r="L80" s="991">
        <v>1.3299999999999999E-2</v>
      </c>
      <c r="M80" s="907">
        <v>1.2500000000000001E-2</v>
      </c>
      <c r="N80" s="907">
        <v>1.2500000000000001E-2</v>
      </c>
      <c r="O80" s="907">
        <v>1.2500000000000001E-2</v>
      </c>
      <c r="P80" s="907">
        <v>1.2500000000000001E-2</v>
      </c>
      <c r="Q80" s="991">
        <v>1.2500000000000001E-2</v>
      </c>
      <c r="R80" s="907">
        <v>1.2E-2</v>
      </c>
      <c r="S80" s="907">
        <v>1.2E-2</v>
      </c>
      <c r="T80" s="907">
        <v>1.2E-2</v>
      </c>
      <c r="U80" s="991">
        <v>1.2E-2</v>
      </c>
      <c r="V80" s="907">
        <v>1.0999999999999999E-2</v>
      </c>
      <c r="W80" s="907">
        <v>1.0999999999999999E-2</v>
      </c>
      <c r="X80" s="907">
        <v>1.0999999999999999E-2</v>
      </c>
      <c r="Y80" s="907">
        <v>1.0999999999999999E-2</v>
      </c>
      <c r="Z80" s="991">
        <v>1.0999999999999999E-2</v>
      </c>
      <c r="AA80" s="907">
        <v>1.2E-2</v>
      </c>
      <c r="AB80" s="907">
        <v>1.2E-2</v>
      </c>
      <c r="AC80" s="907">
        <v>1.2E-2</v>
      </c>
      <c r="AD80" s="907">
        <v>1.2E-2</v>
      </c>
      <c r="AE80" s="991">
        <v>1.2E-2</v>
      </c>
      <c r="AF80" s="990">
        <v>1.4200000000000001E-2</v>
      </c>
      <c r="AG80" s="991">
        <v>1.4200000000000001E-2</v>
      </c>
      <c r="AH80" s="990">
        <v>1.6500000000000001E-2</v>
      </c>
      <c r="AI80" s="990">
        <v>1.6500000000000001E-2</v>
      </c>
      <c r="AJ80" s="907">
        <v>1.6500000000000001E-2</v>
      </c>
      <c r="AK80" s="991">
        <v>1.6500000000000001E-2</v>
      </c>
      <c r="AL80" s="907">
        <v>1.6E-2</v>
      </c>
      <c r="AM80" s="991">
        <v>1.6E-2</v>
      </c>
      <c r="AN80" s="990" t="s">
        <v>429</v>
      </c>
      <c r="AO80" s="990" t="s">
        <v>429</v>
      </c>
      <c r="AP80" s="1009">
        <v>1.83E-2</v>
      </c>
      <c r="AQ80" s="1009">
        <v>1.83E-2</v>
      </c>
      <c r="AR80" s="1019">
        <v>1.83E-2</v>
      </c>
      <c r="AS80" s="1019">
        <v>1.8499999999999999E-2</v>
      </c>
      <c r="AT80" s="1009" t="s">
        <v>428</v>
      </c>
      <c r="AU80" s="1019" t="s">
        <v>428</v>
      </c>
      <c r="AV80" s="1009">
        <v>2.1999999999999999E-2</v>
      </c>
      <c r="AW80" s="1009">
        <v>2.1999999999999999E-2</v>
      </c>
      <c r="AX80" s="1009">
        <v>2.1999999999999999E-2</v>
      </c>
      <c r="AY80" s="1009">
        <v>2.3E-2</v>
      </c>
      <c r="AZ80" s="1019">
        <v>2.3E-2</v>
      </c>
      <c r="BA80" s="1009">
        <v>2.4500000000000001E-2</v>
      </c>
      <c r="BB80" s="1019">
        <v>2.4500000000000001E-2</v>
      </c>
      <c r="BC80" s="1009">
        <v>2.5499999999999998E-2</v>
      </c>
      <c r="BD80" s="1009">
        <v>2.5499999999999998E-2</v>
      </c>
      <c r="BE80" s="1009">
        <v>2.5499999999999998E-2</v>
      </c>
      <c r="BF80" s="1009">
        <v>2.5499999999999998E-2</v>
      </c>
      <c r="BG80" s="1019">
        <v>2.5499999999999998E-2</v>
      </c>
      <c r="BH80" s="1009" t="s">
        <v>124</v>
      </c>
      <c r="BI80" s="1009" t="s">
        <v>124</v>
      </c>
      <c r="BJ80" s="1009" t="s">
        <v>124</v>
      </c>
      <c r="BK80" s="1009" t="s">
        <v>124</v>
      </c>
      <c r="BL80" s="1009" t="s">
        <v>124</v>
      </c>
      <c r="BM80" s="1009" t="s">
        <v>124</v>
      </c>
      <c r="BN80" s="1009" t="s">
        <v>124</v>
      </c>
      <c r="BO80" s="1009" t="s">
        <v>124</v>
      </c>
      <c r="BP80" s="1009" t="s">
        <v>124</v>
      </c>
      <c r="BQ80" s="1009" t="s">
        <v>124</v>
      </c>
      <c r="BR80" s="1009" t="s">
        <v>124</v>
      </c>
      <c r="BS80" s="1009" t="s">
        <v>124</v>
      </c>
      <c r="BT80" s="1009" t="s">
        <v>124</v>
      </c>
      <c r="BU80" s="1009" t="s">
        <v>124</v>
      </c>
      <c r="BV80" s="1009" t="s">
        <v>124</v>
      </c>
      <c r="BW80" s="1009" t="s">
        <v>124</v>
      </c>
      <c r="BX80" s="1009" t="s">
        <v>124</v>
      </c>
      <c r="BY80" s="1009" t="s">
        <v>124</v>
      </c>
      <c r="BZ80" s="1009" t="s">
        <v>124</v>
      </c>
      <c r="CA80" s="1009" t="s">
        <v>124</v>
      </c>
      <c r="CB80" s="1009" t="s">
        <v>124</v>
      </c>
      <c r="CC80" s="1009" t="s">
        <v>124</v>
      </c>
      <c r="CD80" s="1009" t="s">
        <v>124</v>
      </c>
      <c r="CE80" s="1009" t="s">
        <v>124</v>
      </c>
      <c r="CF80" s="1009" t="s">
        <v>124</v>
      </c>
      <c r="CG80" s="1009" t="s">
        <v>124</v>
      </c>
      <c r="CH80" s="1009" t="s">
        <v>124</v>
      </c>
      <c r="CI80" s="1007" t="s">
        <v>124</v>
      </c>
      <c r="CJ80" s="1009">
        <v>2.8000000000000001E-2</v>
      </c>
      <c r="CK80" s="1009">
        <v>2.8000000000000001E-2</v>
      </c>
      <c r="CL80" s="1009">
        <v>2.8000000000000001E-2</v>
      </c>
      <c r="CM80" s="1009">
        <v>2.8000000000000001E-2</v>
      </c>
      <c r="CN80" s="1009">
        <v>2.8000000000000001E-2</v>
      </c>
      <c r="CO80" s="1009">
        <v>2.8000000000000001E-2</v>
      </c>
      <c r="CP80" s="1009">
        <v>2.8000000000000001E-2</v>
      </c>
      <c r="CQ80" s="1009">
        <v>2.8000000000000001E-2</v>
      </c>
      <c r="CR80" s="1009">
        <v>2.8000000000000001E-2</v>
      </c>
      <c r="CS80" s="1009">
        <v>2.8000000000000001E-2</v>
      </c>
      <c r="CT80" s="1009">
        <v>2.8000000000000001E-2</v>
      </c>
      <c r="CU80" s="1009">
        <v>2.8000000000000001E-2</v>
      </c>
      <c r="CV80" s="1009">
        <v>2.8000000000000001E-2</v>
      </c>
      <c r="CW80" s="1009">
        <v>2.9000000000000001E-2</v>
      </c>
      <c r="CX80" s="1009" t="s">
        <v>356</v>
      </c>
      <c r="CY80" s="1009" t="s">
        <v>356</v>
      </c>
      <c r="CZ80" s="1009" t="s">
        <v>356</v>
      </c>
      <c r="DA80" s="1011">
        <v>0.03</v>
      </c>
      <c r="DB80" s="1011" t="s">
        <v>355</v>
      </c>
      <c r="DC80" s="1011" t="s">
        <v>355</v>
      </c>
      <c r="DD80" s="1011" t="s">
        <v>355</v>
      </c>
      <c r="DE80" s="1011" t="s">
        <v>354</v>
      </c>
      <c r="DF80" s="1011" t="s">
        <v>354</v>
      </c>
      <c r="DG80" s="1011" t="s">
        <v>354</v>
      </c>
      <c r="DH80" s="1011" t="s">
        <v>354</v>
      </c>
      <c r="DI80" s="1011">
        <v>3.1E-2</v>
      </c>
      <c r="DJ80" s="1011">
        <v>3.1E-2</v>
      </c>
      <c r="DK80" s="1011">
        <v>3.1E-2</v>
      </c>
      <c r="DL80" s="1011">
        <v>3.1E-2</v>
      </c>
      <c r="DM80" s="1011">
        <v>3.3000000000000002E-2</v>
      </c>
      <c r="DN80" s="1011">
        <v>3.3000000000000002E-2</v>
      </c>
      <c r="DO80" s="1011">
        <v>3.3000000000000002E-2</v>
      </c>
      <c r="DP80" s="1011">
        <v>3.3000000000000002E-2</v>
      </c>
      <c r="DQ80" s="1011">
        <v>3.3000000000000002E-2</v>
      </c>
      <c r="DR80" s="1011">
        <v>3.3500000000000002E-2</v>
      </c>
      <c r="DS80" s="1011">
        <v>3.3500000000000002E-2</v>
      </c>
      <c r="DT80" s="1011">
        <v>3.3500000000000002E-2</v>
      </c>
      <c r="DU80" s="1011">
        <v>3.3500000000000002E-2</v>
      </c>
      <c r="DV80" s="1011">
        <v>3.2000000000000001E-2</v>
      </c>
      <c r="DW80" s="1011">
        <v>3.2000000000000001E-2</v>
      </c>
      <c r="DX80" s="1011">
        <v>3.2000000000000001E-2</v>
      </c>
      <c r="DY80" s="1011" t="s">
        <v>124</v>
      </c>
      <c r="DZ80" s="1011" t="s">
        <v>353</v>
      </c>
      <c r="EA80" s="1011" t="s">
        <v>353</v>
      </c>
      <c r="EB80" s="1011" t="s">
        <v>353</v>
      </c>
      <c r="EC80" s="1011">
        <v>3.1E-2</v>
      </c>
      <c r="ED80" s="1011">
        <v>3.0499999999999999E-2</v>
      </c>
      <c r="EE80" s="1011" t="s">
        <v>124</v>
      </c>
      <c r="EF80" s="1011" t="s">
        <v>124</v>
      </c>
      <c r="EG80" s="1011" t="s">
        <v>124</v>
      </c>
      <c r="EH80" s="1011" t="s">
        <v>124</v>
      </c>
      <c r="EI80" s="1011">
        <v>3.0499999999999999E-2</v>
      </c>
      <c r="EJ80" s="1011">
        <v>3.0499999999999999E-2</v>
      </c>
      <c r="EK80" s="1011">
        <v>3.0499999999999999E-2</v>
      </c>
      <c r="EL80" s="1011">
        <v>3.0499999999999999E-2</v>
      </c>
      <c r="EM80" s="1011">
        <v>3.2800000000000003E-2</v>
      </c>
      <c r="EN80" s="1011">
        <v>3.2800000000000003E-2</v>
      </c>
      <c r="EO80" s="1011">
        <v>3.2800000000000003E-2</v>
      </c>
      <c r="EP80" s="1011">
        <v>3.2800000000000003E-2</v>
      </c>
      <c r="EQ80" s="1011">
        <v>3.2800000000000003E-2</v>
      </c>
      <c r="ER80" s="1011">
        <v>3.15E-2</v>
      </c>
      <c r="ES80" s="1011">
        <v>3.15E-2</v>
      </c>
      <c r="ET80" s="1011">
        <v>3.3000000000000002E-2</v>
      </c>
      <c r="EU80" s="1011">
        <v>3.3000000000000002E-2</v>
      </c>
      <c r="EV80" s="1011">
        <v>3.5000000000000003E-2</v>
      </c>
      <c r="EW80" s="1011">
        <v>3.5000000000000003E-2</v>
      </c>
      <c r="EX80" s="1011">
        <v>3.5000000000000003E-2</v>
      </c>
      <c r="EY80" s="231" t="s">
        <v>270</v>
      </c>
      <c r="EZ80" s="305" t="s">
        <v>352</v>
      </c>
      <c r="FA80" s="235"/>
      <c r="FB80" s="254"/>
      <c r="FC80" s="231"/>
      <c r="FD80" s="236"/>
      <c r="FE80" s="238"/>
      <c r="FF80" s="237"/>
      <c r="FG80" s="231"/>
      <c r="FH80" s="236"/>
      <c r="FI80" s="236"/>
      <c r="FJ80" s="236"/>
      <c r="FK80" s="236"/>
      <c r="FL80" s="236"/>
      <c r="FM80" s="236"/>
      <c r="FN80" s="235"/>
      <c r="FO80" s="235"/>
      <c r="FP80" s="235"/>
      <c r="FQ80" s="235"/>
      <c r="FR80" s="235"/>
      <c r="FS80" s="235"/>
      <c r="FT80" s="235"/>
      <c r="FU80" s="235"/>
      <c r="FV80" s="235"/>
      <c r="FW80" s="235"/>
      <c r="FX80" s="235"/>
      <c r="FY80" s="261"/>
      <c r="FZ80" s="261"/>
      <c r="GA80" s="261"/>
      <c r="GB80" s="261"/>
      <c r="GC80" s="261"/>
      <c r="GD80" s="261"/>
      <c r="GE80" s="261"/>
      <c r="GF80" s="261"/>
      <c r="GG80" s="261"/>
      <c r="GH80" s="261"/>
      <c r="GI80" s="261"/>
      <c r="GJ80" s="261"/>
      <c r="GK80" s="261"/>
      <c r="GL80" s="261"/>
      <c r="GM80" s="261"/>
      <c r="GN80" s="261"/>
      <c r="GO80" s="261"/>
      <c r="GP80" s="261"/>
      <c r="GQ80" s="261"/>
      <c r="GR80" s="261"/>
      <c r="GS80" s="261"/>
      <c r="GT80" s="261"/>
      <c r="GU80" s="261"/>
      <c r="GV80" s="261"/>
      <c r="GW80" s="261"/>
      <c r="GX80" s="261"/>
      <c r="GY80" s="261"/>
      <c r="GZ80" s="261"/>
      <c r="HA80" s="261"/>
      <c r="HB80" s="261"/>
      <c r="HC80" s="261"/>
      <c r="HD80" s="261"/>
      <c r="HE80" s="261"/>
      <c r="HF80" s="941">
        <f>C80-D80</f>
        <v>0</v>
      </c>
    </row>
    <row r="81" spans="1:216" ht="15" customHeight="1">
      <c r="A81" s="1060"/>
      <c r="B81" s="651" t="s">
        <v>753</v>
      </c>
      <c r="C81" s="904"/>
      <c r="D81" s="904"/>
      <c r="E81" s="906"/>
      <c r="F81" s="908"/>
      <c r="G81" s="908"/>
      <c r="H81" s="908"/>
      <c r="I81" s="908"/>
      <c r="J81" s="992"/>
      <c r="K81" s="908"/>
      <c r="L81" s="992"/>
      <c r="M81" s="908"/>
      <c r="N81" s="908"/>
      <c r="O81" s="908"/>
      <c r="P81" s="908"/>
      <c r="Q81" s="992"/>
      <c r="R81" s="908"/>
      <c r="S81" s="908"/>
      <c r="T81" s="908"/>
      <c r="U81" s="992"/>
      <c r="V81" s="908"/>
      <c r="W81" s="908"/>
      <c r="X81" s="908"/>
      <c r="Y81" s="908"/>
      <c r="Z81" s="992"/>
      <c r="AA81" s="908"/>
      <c r="AB81" s="908"/>
      <c r="AC81" s="908"/>
      <c r="AD81" s="908"/>
      <c r="AE81" s="992"/>
      <c r="AF81" s="953"/>
      <c r="AG81" s="992"/>
      <c r="AH81" s="953"/>
      <c r="AI81" s="953"/>
      <c r="AJ81" s="908"/>
      <c r="AK81" s="992"/>
      <c r="AL81" s="908"/>
      <c r="AM81" s="992"/>
      <c r="AN81" s="953"/>
      <c r="AO81" s="953"/>
      <c r="AP81" s="1011"/>
      <c r="AQ81" s="1011"/>
      <c r="AR81" s="1020"/>
      <c r="AS81" s="1020"/>
      <c r="AT81" s="1011"/>
      <c r="AU81" s="1020"/>
      <c r="AV81" s="1011"/>
      <c r="AW81" s="1011"/>
      <c r="AX81" s="1011"/>
      <c r="AY81" s="1011"/>
      <c r="AZ81" s="1020"/>
      <c r="BA81" s="1011"/>
      <c r="BB81" s="1020"/>
      <c r="BC81" s="1011"/>
      <c r="BD81" s="1011"/>
      <c r="BE81" s="1011"/>
      <c r="BF81" s="1011"/>
      <c r="BG81" s="1020"/>
      <c r="BH81" s="1011"/>
      <c r="BI81" s="1011"/>
      <c r="BJ81" s="1011"/>
      <c r="BK81" s="1011"/>
      <c r="BL81" s="1011"/>
      <c r="BM81" s="1011"/>
      <c r="BN81" s="1011"/>
      <c r="BO81" s="1011"/>
      <c r="BP81" s="1011"/>
      <c r="BQ81" s="1011"/>
      <c r="BR81" s="1011"/>
      <c r="BS81" s="1011"/>
      <c r="BT81" s="1011"/>
      <c r="BU81" s="1011"/>
      <c r="BV81" s="1011"/>
      <c r="BW81" s="1011"/>
      <c r="BX81" s="1011"/>
      <c r="BY81" s="1011"/>
      <c r="BZ81" s="1011"/>
      <c r="CA81" s="1011"/>
      <c r="CB81" s="1011"/>
      <c r="CC81" s="1011"/>
      <c r="CD81" s="1011"/>
      <c r="CE81" s="1011"/>
      <c r="CF81" s="1011"/>
      <c r="CG81" s="1011"/>
      <c r="CH81" s="1011"/>
      <c r="CI81" s="1027"/>
      <c r="CJ81" s="1011"/>
      <c r="CK81" s="1011"/>
      <c r="CL81" s="1011"/>
      <c r="CM81" s="1011"/>
      <c r="CN81" s="1011"/>
      <c r="CO81" s="1011"/>
      <c r="CP81" s="1011"/>
      <c r="CQ81" s="1011"/>
      <c r="CR81" s="1011"/>
      <c r="CS81" s="1011"/>
      <c r="CT81" s="1011"/>
      <c r="CU81" s="1011"/>
      <c r="CV81" s="1011"/>
      <c r="CW81" s="1011"/>
      <c r="CX81" s="1011"/>
      <c r="CY81" s="1011"/>
      <c r="CZ81" s="1011"/>
      <c r="DA81" s="1011"/>
      <c r="DB81" s="1011"/>
      <c r="DC81" s="1011"/>
      <c r="DD81" s="1011"/>
      <c r="DE81" s="1011"/>
      <c r="DF81" s="1011"/>
      <c r="DG81" s="1011"/>
      <c r="DH81" s="1011"/>
      <c r="DI81" s="1011"/>
      <c r="DJ81" s="1011"/>
      <c r="DK81" s="1011"/>
      <c r="DL81" s="1011"/>
      <c r="DM81" s="1011"/>
      <c r="DN81" s="1011"/>
      <c r="DO81" s="1011"/>
      <c r="DP81" s="1011"/>
      <c r="DQ81" s="1011"/>
      <c r="DR81" s="1011"/>
      <c r="DS81" s="1011"/>
      <c r="DT81" s="1011"/>
      <c r="DU81" s="1011"/>
      <c r="DV81" s="1011"/>
      <c r="DW81" s="1011"/>
      <c r="DX81" s="1011"/>
      <c r="DY81" s="1011"/>
      <c r="DZ81" s="1011"/>
      <c r="EA81" s="1011"/>
      <c r="EB81" s="1011"/>
      <c r="EC81" s="1011"/>
      <c r="ED81" s="1011"/>
      <c r="EE81" s="1011"/>
      <c r="EF81" s="1011"/>
      <c r="EG81" s="1011"/>
      <c r="EH81" s="1011"/>
      <c r="EI81" s="1011"/>
      <c r="EJ81" s="1011"/>
      <c r="EK81" s="1011"/>
      <c r="EL81" s="1011"/>
      <c r="EM81" s="1011"/>
      <c r="EN81" s="1011"/>
      <c r="EO81" s="1011"/>
      <c r="EP81" s="1011"/>
      <c r="EQ81" s="1011"/>
      <c r="ER81" s="1011"/>
      <c r="ES81" s="1011"/>
      <c r="ET81" s="1011"/>
      <c r="EU81" s="1011"/>
      <c r="EV81" s="1011"/>
      <c r="EW81" s="1011"/>
      <c r="EX81" s="1011"/>
      <c r="EY81" s="231" t="s">
        <v>74</v>
      </c>
      <c r="EZ81" s="305" t="s">
        <v>351</v>
      </c>
      <c r="FA81" s="235"/>
      <c r="FB81" s="254"/>
      <c r="FC81" s="231"/>
      <c r="FD81" s="236"/>
      <c r="FE81" s="238"/>
      <c r="FF81" s="237"/>
      <c r="FG81" s="231"/>
      <c r="FH81" s="236"/>
      <c r="FI81" s="236"/>
      <c r="FJ81" s="236"/>
      <c r="FK81" s="236"/>
      <c r="FL81" s="236"/>
      <c r="FM81" s="236"/>
      <c r="FN81" s="235"/>
      <c r="FO81" s="235"/>
      <c r="FP81" s="235"/>
      <c r="FQ81" s="235"/>
      <c r="FR81" s="235"/>
      <c r="FS81" s="235"/>
      <c r="FT81" s="235"/>
      <c r="FU81" s="235"/>
      <c r="FV81" s="235"/>
      <c r="FW81" s="235"/>
      <c r="FX81" s="235"/>
      <c r="FY81" s="261"/>
      <c r="FZ81" s="261"/>
      <c r="GA81" s="261"/>
      <c r="GB81" s="261"/>
      <c r="GC81" s="261"/>
      <c r="GD81" s="261"/>
      <c r="GE81" s="261"/>
      <c r="GF81" s="261"/>
      <c r="GG81" s="261"/>
      <c r="GH81" s="261"/>
      <c r="GI81" s="261"/>
      <c r="GJ81" s="261"/>
      <c r="GK81" s="261"/>
      <c r="GL81" s="261"/>
      <c r="GM81" s="261"/>
      <c r="GN81" s="261"/>
      <c r="GO81" s="261"/>
      <c r="GP81" s="261"/>
      <c r="GQ81" s="261"/>
      <c r="GR81" s="261"/>
      <c r="GS81" s="261"/>
      <c r="GT81" s="261"/>
      <c r="GU81" s="261"/>
      <c r="GV81" s="261"/>
      <c r="GW81" s="261"/>
      <c r="GX81" s="261"/>
      <c r="GY81" s="261"/>
      <c r="GZ81" s="261"/>
      <c r="HA81" s="261"/>
      <c r="HB81" s="261"/>
      <c r="HC81" s="261"/>
      <c r="HD81" s="261"/>
      <c r="HE81" s="261"/>
      <c r="HF81" s="942"/>
    </row>
    <row r="82" spans="1:216" ht="41.25" customHeight="1">
      <c r="A82" s="312" t="s">
        <v>29</v>
      </c>
      <c r="B82" s="651" t="s">
        <v>684</v>
      </c>
      <c r="C82" s="272" t="s">
        <v>124</v>
      </c>
      <c r="D82" s="272" t="s">
        <v>124</v>
      </c>
      <c r="E82" s="272" t="s">
        <v>124</v>
      </c>
      <c r="F82" s="272" t="s">
        <v>124</v>
      </c>
      <c r="G82" s="272" t="s">
        <v>124</v>
      </c>
      <c r="H82" s="272" t="s">
        <v>124</v>
      </c>
      <c r="I82" s="272" t="s">
        <v>124</v>
      </c>
      <c r="J82" s="272" t="s">
        <v>124</v>
      </c>
      <c r="K82" s="272" t="s">
        <v>124</v>
      </c>
      <c r="L82" s="272" t="s">
        <v>124</v>
      </c>
      <c r="M82" s="272" t="s">
        <v>124</v>
      </c>
      <c r="N82" s="272"/>
      <c r="O82" s="272">
        <v>1.2999999999999999E-2</v>
      </c>
      <c r="P82" s="272">
        <v>1.2999999999999999E-2</v>
      </c>
      <c r="Q82" s="272">
        <v>1.2999999999999999E-2</v>
      </c>
      <c r="R82" s="272">
        <v>1.2999999999999999E-2</v>
      </c>
      <c r="S82" s="272">
        <v>1.2999999999999999E-2</v>
      </c>
      <c r="T82" s="272">
        <v>1.2999999999999999E-2</v>
      </c>
      <c r="U82" s="268">
        <v>1.2999999999999999E-2</v>
      </c>
      <c r="V82" s="272"/>
      <c r="W82" s="272"/>
      <c r="X82" s="272"/>
      <c r="Y82" s="272"/>
      <c r="Z82" s="272"/>
      <c r="AA82" s="272"/>
      <c r="AB82" s="272"/>
      <c r="AC82" s="272"/>
      <c r="AD82" s="272"/>
      <c r="AE82" s="272"/>
      <c r="AF82" s="272"/>
      <c r="AG82" s="272"/>
      <c r="AH82" s="272"/>
      <c r="AI82" s="272"/>
      <c r="AJ82" s="272"/>
      <c r="AK82" s="272"/>
      <c r="AL82" s="272"/>
      <c r="AM82" s="272"/>
      <c r="AN82" s="272"/>
      <c r="AO82" s="272"/>
      <c r="AP82" s="272"/>
      <c r="AQ82" s="272"/>
      <c r="AR82" s="272"/>
      <c r="AS82" s="272"/>
      <c r="AT82" s="272"/>
      <c r="AU82" s="272"/>
      <c r="AV82" s="272"/>
      <c r="AW82" s="272"/>
      <c r="AX82" s="272"/>
      <c r="AY82" s="272"/>
      <c r="AZ82" s="272"/>
      <c r="BA82" s="272"/>
      <c r="BB82" s="272"/>
      <c r="BC82" s="272"/>
      <c r="BD82" s="272"/>
      <c r="BE82" s="272"/>
      <c r="BF82" s="272"/>
      <c r="BG82" s="272"/>
      <c r="BH82" s="272"/>
      <c r="BI82" s="272"/>
      <c r="BJ82" s="272"/>
      <c r="BK82" s="272"/>
      <c r="BL82" s="272"/>
      <c r="BM82" s="272"/>
      <c r="BN82" s="272"/>
      <c r="BO82" s="272"/>
      <c r="BP82" s="272"/>
      <c r="BQ82" s="272"/>
      <c r="BR82" s="272"/>
      <c r="BS82" s="272"/>
      <c r="BT82" s="272"/>
      <c r="BU82" s="272"/>
      <c r="BV82" s="272"/>
      <c r="BW82" s="272"/>
      <c r="BX82" s="272"/>
      <c r="BY82" s="272"/>
      <c r="BZ82" s="272"/>
      <c r="CA82" s="272"/>
      <c r="CB82" s="272"/>
      <c r="CC82" s="272"/>
      <c r="CD82" s="272"/>
      <c r="CE82" s="272"/>
      <c r="CF82" s="272"/>
      <c r="CG82" s="272"/>
      <c r="CH82" s="272"/>
      <c r="CI82" s="272"/>
      <c r="CJ82" s="272"/>
      <c r="CK82" s="272"/>
      <c r="CL82" s="272"/>
      <c r="CM82" s="272"/>
      <c r="CN82" s="272"/>
      <c r="CO82" s="272"/>
      <c r="CP82" s="272"/>
      <c r="CQ82" s="272"/>
      <c r="CR82" s="272"/>
      <c r="CS82" s="272"/>
      <c r="CT82" s="272"/>
      <c r="CU82" s="272"/>
      <c r="CV82" s="272"/>
      <c r="CW82" s="272"/>
      <c r="CX82" s="272"/>
      <c r="CY82" s="272"/>
      <c r="CZ82" s="272"/>
      <c r="DA82" s="272"/>
      <c r="DB82" s="272"/>
      <c r="DC82" s="272"/>
      <c r="DD82" s="272"/>
      <c r="DE82" s="272"/>
      <c r="DF82" s="272"/>
      <c r="DG82" s="272"/>
      <c r="DH82" s="272"/>
      <c r="DI82" s="272"/>
      <c r="DJ82" s="272"/>
      <c r="DK82" s="272"/>
      <c r="DL82" s="272"/>
      <c r="DM82" s="272"/>
      <c r="DN82" s="272"/>
      <c r="DO82" s="272"/>
      <c r="DP82" s="272"/>
      <c r="DQ82" s="272"/>
      <c r="DR82" s="272"/>
      <c r="DS82" s="272"/>
      <c r="DT82" s="272"/>
      <c r="DU82" s="272"/>
      <c r="DV82" s="272"/>
      <c r="DW82" s="272"/>
      <c r="DX82" s="272"/>
      <c r="DY82" s="272"/>
      <c r="DZ82" s="272"/>
      <c r="EA82" s="272"/>
      <c r="EB82" s="272"/>
      <c r="EC82" s="272"/>
      <c r="ED82" s="272"/>
      <c r="EE82" s="272"/>
      <c r="EF82" s="272"/>
      <c r="EG82" s="272"/>
      <c r="EH82" s="272"/>
      <c r="EI82" s="272"/>
      <c r="EJ82" s="272"/>
      <c r="EK82" s="272"/>
      <c r="EL82" s="272"/>
      <c r="EM82" s="272"/>
      <c r="EN82" s="272"/>
      <c r="EO82" s="272"/>
      <c r="EP82" s="272"/>
      <c r="EQ82" s="272"/>
      <c r="ER82" s="272"/>
      <c r="ES82" s="272"/>
      <c r="ET82" s="272"/>
      <c r="EU82" s="272"/>
      <c r="EV82" s="272"/>
      <c r="EW82" s="272"/>
      <c r="EX82" s="272"/>
      <c r="EY82" s="272"/>
      <c r="EZ82" s="272"/>
      <c r="FA82" s="272"/>
      <c r="FB82" s="272"/>
      <c r="FC82" s="272"/>
      <c r="FD82" s="272"/>
      <c r="FE82" s="272"/>
      <c r="FF82" s="272"/>
      <c r="FG82" s="272"/>
      <c r="FH82" s="272"/>
      <c r="FI82" s="272"/>
      <c r="FJ82" s="272"/>
      <c r="FK82" s="272"/>
      <c r="FL82" s="272"/>
      <c r="FM82" s="272"/>
      <c r="FN82" s="272"/>
      <c r="FO82" s="272"/>
      <c r="FP82" s="272"/>
      <c r="FQ82" s="272"/>
      <c r="FR82" s="272"/>
      <c r="FS82" s="272"/>
      <c r="FT82" s="272"/>
      <c r="FU82" s="272"/>
      <c r="FV82" s="272"/>
      <c r="FW82" s="272"/>
      <c r="FX82" s="272"/>
      <c r="FY82" s="272"/>
      <c r="FZ82" s="272"/>
      <c r="GA82" s="272"/>
      <c r="GB82" s="272"/>
      <c r="GC82" s="272"/>
      <c r="GD82" s="272"/>
      <c r="GE82" s="272"/>
      <c r="GF82" s="272"/>
      <c r="GG82" s="272"/>
      <c r="GH82" s="272"/>
      <c r="GI82" s="272"/>
      <c r="GJ82" s="272"/>
      <c r="GK82" s="272"/>
      <c r="GL82" s="272"/>
      <c r="GM82" s="272"/>
      <c r="GN82" s="272"/>
      <c r="GO82" s="272"/>
      <c r="GP82" s="272"/>
      <c r="GQ82" s="272"/>
      <c r="GR82" s="272"/>
      <c r="GS82" s="272"/>
      <c r="GT82" s="272"/>
      <c r="GU82" s="272"/>
      <c r="GV82" s="272"/>
      <c r="GW82" s="272"/>
      <c r="GX82" s="272"/>
      <c r="GY82" s="272"/>
      <c r="GZ82" s="272"/>
      <c r="HA82" s="272"/>
      <c r="HB82" s="272"/>
      <c r="HC82" s="272"/>
      <c r="HD82" s="272"/>
      <c r="HE82" s="272"/>
      <c r="HF82" s="178" t="e">
        <f>C82-D82</f>
        <v>#VALUE!</v>
      </c>
      <c r="HG82" s="218" t="s">
        <v>594</v>
      </c>
    </row>
    <row r="83" spans="1:216" ht="41.4">
      <c r="A83" s="756" t="s">
        <v>37</v>
      </c>
      <c r="B83" s="304" t="s">
        <v>783</v>
      </c>
      <c r="C83" s="304">
        <v>1.32E-2</v>
      </c>
      <c r="D83" s="304">
        <v>1.32E-2</v>
      </c>
      <c r="E83" s="304">
        <v>1.32E-2</v>
      </c>
      <c r="F83" s="304">
        <v>1.32E-2</v>
      </c>
      <c r="G83" s="304">
        <v>1.32E-2</v>
      </c>
      <c r="H83" s="304">
        <v>1.32E-2</v>
      </c>
      <c r="I83" s="304">
        <v>1.32E-2</v>
      </c>
      <c r="J83" s="304">
        <v>1.32E-2</v>
      </c>
      <c r="K83" s="303">
        <v>1.32E-2</v>
      </c>
      <c r="L83" s="304">
        <v>1.0999999999999999E-2</v>
      </c>
      <c r="M83" s="304">
        <v>1.0999999999999999E-2</v>
      </c>
      <c r="N83" s="304">
        <v>1.0999999999999999E-2</v>
      </c>
      <c r="O83" s="304">
        <v>1.0999999999999999E-2</v>
      </c>
      <c r="P83" s="304">
        <v>1.0999999999999999E-2</v>
      </c>
      <c r="Q83" s="304">
        <v>1.0999999999999999E-2</v>
      </c>
      <c r="R83" s="304">
        <v>1.0999999999999999E-2</v>
      </c>
      <c r="S83" s="304">
        <v>1.0999999999999999E-2</v>
      </c>
      <c r="T83" s="232">
        <v>1.0999999999999999E-2</v>
      </c>
      <c r="U83" s="232">
        <v>1.0999999999999999E-2</v>
      </c>
      <c r="V83" s="232">
        <v>1.0999999999999999E-2</v>
      </c>
      <c r="W83" s="304">
        <v>1.0999999999999999E-2</v>
      </c>
      <c r="X83" s="304">
        <v>1.0999999999999999E-2</v>
      </c>
      <c r="Y83" s="304">
        <v>1.0999999999999999E-2</v>
      </c>
      <c r="Z83" s="304">
        <v>1.0999999999999999E-2</v>
      </c>
      <c r="AA83" s="304">
        <v>1.0999999999999999E-2</v>
      </c>
      <c r="AB83" s="303">
        <v>1.0999999999999999E-2</v>
      </c>
      <c r="AC83" s="304">
        <v>1.15E-2</v>
      </c>
      <c r="AD83" s="303">
        <v>1.15E-2</v>
      </c>
      <c r="AE83" s="303">
        <v>1.2999999999999999E-2</v>
      </c>
      <c r="AF83" s="232">
        <v>1.4E-2</v>
      </c>
      <c r="AG83" s="232">
        <v>1.4E-2</v>
      </c>
      <c r="AH83" s="303">
        <v>1.4999999999999999E-2</v>
      </c>
      <c r="AI83" s="303">
        <v>1.5699999999999999E-2</v>
      </c>
      <c r="AJ83" s="304">
        <v>1.66E-2</v>
      </c>
      <c r="AK83" s="232">
        <v>1.66E-2</v>
      </c>
      <c r="AL83" s="303">
        <v>1.66E-2</v>
      </c>
      <c r="AM83" s="232">
        <v>1.84E-2</v>
      </c>
      <c r="AN83" s="232">
        <v>1.84E-2</v>
      </c>
      <c r="AO83" s="232">
        <v>1.84E-2</v>
      </c>
      <c r="AP83" s="301">
        <v>1.84E-2</v>
      </c>
      <c r="AQ83" s="302">
        <v>1.9800000000000002E-2</v>
      </c>
      <c r="AR83" s="301">
        <v>2.1499999999999998E-2</v>
      </c>
      <c r="AS83" s="302" t="s">
        <v>384</v>
      </c>
      <c r="AT83" s="302" t="s">
        <v>384</v>
      </c>
      <c r="AU83" s="302" t="s">
        <v>384</v>
      </c>
      <c r="AV83" s="302" t="s">
        <v>384</v>
      </c>
      <c r="AW83" s="302" t="s">
        <v>384</v>
      </c>
      <c r="AX83" s="302" t="s">
        <v>383</v>
      </c>
      <c r="AY83" s="302" t="s">
        <v>383</v>
      </c>
      <c r="AZ83" s="302" t="s">
        <v>383</v>
      </c>
      <c r="BA83" s="302" t="s">
        <v>383</v>
      </c>
      <c r="BB83" s="302" t="s">
        <v>383</v>
      </c>
      <c r="BC83" s="302" t="s">
        <v>383</v>
      </c>
      <c r="BD83" s="302" t="s">
        <v>383</v>
      </c>
      <c r="BE83" s="302" t="s">
        <v>383</v>
      </c>
      <c r="BF83" s="302" t="s">
        <v>383</v>
      </c>
      <c r="BG83" s="302" t="s">
        <v>383</v>
      </c>
      <c r="BH83" s="302" t="s">
        <v>383</v>
      </c>
      <c r="BI83" s="302" t="s">
        <v>383</v>
      </c>
      <c r="BJ83" s="301" t="s">
        <v>383</v>
      </c>
      <c r="BK83" s="302" t="s">
        <v>382</v>
      </c>
      <c r="BL83" s="302" t="s">
        <v>382</v>
      </c>
      <c r="BM83" s="302" t="s">
        <v>382</v>
      </c>
      <c r="BN83" s="302" t="s">
        <v>382</v>
      </c>
      <c r="BO83" s="301" t="s">
        <v>382</v>
      </c>
      <c r="BP83" s="302" t="s">
        <v>427</v>
      </c>
      <c r="BQ83" s="302" t="s">
        <v>427</v>
      </c>
      <c r="BR83" s="301" t="s">
        <v>427</v>
      </c>
      <c r="BS83" s="302" t="s">
        <v>426</v>
      </c>
      <c r="BT83" s="302" t="s">
        <v>426</v>
      </c>
      <c r="BU83" s="302" t="s">
        <v>426</v>
      </c>
      <c r="BV83" s="302" t="s">
        <v>426</v>
      </c>
      <c r="BW83" s="301" t="s">
        <v>425</v>
      </c>
      <c r="BX83" s="301" t="s">
        <v>425</v>
      </c>
      <c r="BY83" s="301" t="s">
        <v>425</v>
      </c>
      <c r="BZ83" s="301" t="s">
        <v>425</v>
      </c>
      <c r="CA83" s="301" t="s">
        <v>425</v>
      </c>
      <c r="CB83" s="301" t="s">
        <v>425</v>
      </c>
      <c r="CC83" s="301" t="s">
        <v>424</v>
      </c>
      <c r="CD83" s="301" t="s">
        <v>424</v>
      </c>
      <c r="CE83" s="301" t="s">
        <v>424</v>
      </c>
      <c r="CF83" s="301" t="s">
        <v>424</v>
      </c>
      <c r="CG83" s="301" t="s">
        <v>424</v>
      </c>
      <c r="CH83" s="301" t="s">
        <v>424</v>
      </c>
      <c r="CI83" s="301" t="s">
        <v>424</v>
      </c>
      <c r="CJ83" s="295">
        <v>0.03</v>
      </c>
      <c r="CK83" s="295">
        <v>0.03</v>
      </c>
      <c r="CL83" s="295">
        <v>0.03</v>
      </c>
      <c r="CM83" s="295">
        <v>0.03</v>
      </c>
      <c r="CN83" s="295">
        <v>0.03</v>
      </c>
      <c r="CO83" s="295">
        <v>2.5000000000000001E-2</v>
      </c>
      <c r="CP83" s="295">
        <v>2.5000000000000001E-2</v>
      </c>
      <c r="CQ83" s="295">
        <v>2.5000000000000001E-2</v>
      </c>
      <c r="CR83" s="295">
        <v>2.5000000000000001E-2</v>
      </c>
      <c r="CS83" s="295">
        <v>2.5000000000000001E-2</v>
      </c>
      <c r="CT83" s="295">
        <v>2.5000000000000001E-2</v>
      </c>
      <c r="CU83" s="295">
        <v>2.5000000000000001E-2</v>
      </c>
      <c r="CV83" s="295">
        <v>2.5000000000000001E-2</v>
      </c>
      <c r="CW83" s="295">
        <v>2.5000000000000001E-2</v>
      </c>
      <c r="CX83" s="295">
        <v>2.5000000000000001E-2</v>
      </c>
      <c r="CY83" s="295">
        <v>2.5000000000000001E-2</v>
      </c>
      <c r="CZ83" s="295">
        <v>2.5000000000000001E-2</v>
      </c>
      <c r="DA83" s="295">
        <v>2.5000000000000001E-2</v>
      </c>
      <c r="DB83" s="295">
        <v>2.5000000000000001E-2</v>
      </c>
      <c r="DC83" s="295">
        <v>2.5000000000000001E-2</v>
      </c>
      <c r="DD83" s="295">
        <v>2.5000000000000001E-2</v>
      </c>
      <c r="DE83" s="295">
        <v>2.5000000000000001E-2</v>
      </c>
      <c r="DF83" s="295">
        <v>2.5000000000000001E-2</v>
      </c>
      <c r="DG83" s="295">
        <v>2.5499999999999998E-2</v>
      </c>
      <c r="DH83" s="295">
        <v>2.5499999999999998E-2</v>
      </c>
      <c r="DI83" s="295">
        <v>2.5499999999999998E-2</v>
      </c>
      <c r="DJ83" s="295">
        <v>2.5499999999999998E-2</v>
      </c>
      <c r="DK83" s="295">
        <v>2.5499999999999998E-2</v>
      </c>
      <c r="DL83" s="295">
        <v>2.5499999999999998E-2</v>
      </c>
      <c r="DM83" s="295">
        <v>2.5499999999999998E-2</v>
      </c>
      <c r="DN83" s="295">
        <v>2.5499999999999998E-2</v>
      </c>
      <c r="DO83" s="295">
        <v>2.5499999999999998E-2</v>
      </c>
      <c r="DP83" s="295">
        <v>2.5499999999999998E-2</v>
      </c>
      <c r="DQ83" s="295">
        <v>2.5499999999999998E-2</v>
      </c>
      <c r="DR83" s="295">
        <v>2.5499999999999998E-2</v>
      </c>
      <c r="DS83" s="295">
        <v>2.5499999999999998E-2</v>
      </c>
      <c r="DT83" s="295">
        <v>2.5499999999999998E-2</v>
      </c>
      <c r="DU83" s="295">
        <v>2.5499999999999998E-2</v>
      </c>
      <c r="DV83" s="295">
        <v>2.5499999999999998E-2</v>
      </c>
      <c r="DW83" s="295">
        <v>2.8000000000000001E-2</v>
      </c>
      <c r="DX83" s="295">
        <v>2.8000000000000001E-2</v>
      </c>
      <c r="DY83" s="295">
        <v>2.8000000000000001E-2</v>
      </c>
      <c r="DZ83" s="295">
        <v>2.8000000000000001E-2</v>
      </c>
      <c r="EA83" s="295">
        <v>2.8000000000000001E-2</v>
      </c>
      <c r="EB83" s="295">
        <v>2.8000000000000001E-2</v>
      </c>
      <c r="EC83" s="295">
        <v>2.9000000000000001E-2</v>
      </c>
      <c r="ED83" s="295">
        <v>2.9000000000000001E-2</v>
      </c>
      <c r="EE83" s="295">
        <v>2.9000000000000001E-2</v>
      </c>
      <c r="EF83" s="295">
        <v>2.9000000000000001E-2</v>
      </c>
      <c r="EG83" s="295">
        <v>2.9000000000000001E-2</v>
      </c>
      <c r="EH83" s="295">
        <v>2.9000000000000001E-2</v>
      </c>
      <c r="EI83" s="295">
        <v>2.9000000000000001E-2</v>
      </c>
      <c r="EJ83" s="295">
        <v>2.9000000000000001E-2</v>
      </c>
      <c r="EK83" s="295">
        <v>2.9000000000000001E-2</v>
      </c>
      <c r="EL83" s="295">
        <v>2.9000000000000001E-2</v>
      </c>
      <c r="EM83" s="295">
        <v>2.9000000000000001E-2</v>
      </c>
      <c r="EN83" s="295">
        <v>3.1E-2</v>
      </c>
      <c r="EO83" s="295">
        <v>3.1E-2</v>
      </c>
      <c r="EP83" s="295">
        <v>3.1E-2</v>
      </c>
      <c r="EQ83" s="295">
        <v>3.1E-2</v>
      </c>
      <c r="ER83" s="295">
        <v>3.1E-2</v>
      </c>
      <c r="ES83" s="295">
        <v>3.1E-2</v>
      </c>
      <c r="ET83" s="295">
        <v>3.1E-2</v>
      </c>
      <c r="EU83" s="295">
        <v>3.1E-2</v>
      </c>
      <c r="EV83" s="295">
        <v>3.1E-2</v>
      </c>
      <c r="EW83" s="295">
        <v>3.1E-2</v>
      </c>
      <c r="EX83" s="295">
        <v>3.1E-2</v>
      </c>
      <c r="EY83" s="295">
        <v>3.1E-2</v>
      </c>
      <c r="EZ83" s="231" t="s">
        <v>281</v>
      </c>
      <c r="FA83" s="279"/>
      <c r="FB83" s="300"/>
      <c r="FC83" s="297"/>
      <c r="FD83" s="296"/>
      <c r="FE83" s="299"/>
      <c r="FF83" s="298"/>
      <c r="FG83" s="297"/>
      <c r="FH83" s="296"/>
      <c r="FI83" s="296"/>
      <c r="FJ83" s="296"/>
      <c r="FK83" s="296"/>
      <c r="FL83" s="296"/>
      <c r="FM83" s="296"/>
      <c r="FN83" s="279"/>
      <c r="FO83" s="279"/>
      <c r="FP83" s="279"/>
      <c r="FQ83" s="279"/>
      <c r="FR83" s="279"/>
      <c r="FS83" s="279"/>
      <c r="FT83" s="279"/>
      <c r="FU83" s="279"/>
      <c r="FV83" s="279"/>
      <c r="FW83" s="279"/>
      <c r="FX83" s="279"/>
      <c r="FY83" s="295"/>
      <c r="FZ83" s="295" t="s">
        <v>422</v>
      </c>
      <c r="GA83" s="295" t="s">
        <v>422</v>
      </c>
      <c r="GB83" s="295" t="s">
        <v>422</v>
      </c>
      <c r="GC83" s="295" t="s">
        <v>422</v>
      </c>
      <c r="GD83" s="295" t="s">
        <v>422</v>
      </c>
      <c r="GE83" s="295" t="s">
        <v>423</v>
      </c>
      <c r="GF83" s="295">
        <v>3.5999999999999997E-2</v>
      </c>
      <c r="GG83" s="295">
        <v>3.5999999999999997E-2</v>
      </c>
      <c r="GH83" s="295">
        <v>3.5999999999999997E-2</v>
      </c>
      <c r="GI83" s="295">
        <v>3.5999999999999997E-2</v>
      </c>
      <c r="GJ83" s="295">
        <v>3.5999999999999997E-2</v>
      </c>
      <c r="GK83" s="295">
        <v>3.5999999999999997E-2</v>
      </c>
      <c r="GL83" s="295">
        <v>3.5999999999999997E-2</v>
      </c>
      <c r="GM83" s="295">
        <v>3.5999999999999997E-2</v>
      </c>
      <c r="GN83" s="295">
        <v>3.5999999999999997E-2</v>
      </c>
      <c r="GO83" s="295">
        <v>3.5999999999999997E-2</v>
      </c>
      <c r="GP83" s="295">
        <v>2.9000000000000001E-2</v>
      </c>
      <c r="GQ83" s="295">
        <v>2.9000000000000001E-2</v>
      </c>
      <c r="GR83" s="295">
        <v>2.9000000000000001E-2</v>
      </c>
      <c r="GS83" s="295">
        <v>2.9000000000000001E-2</v>
      </c>
      <c r="GT83" s="295">
        <v>2.9000000000000001E-2</v>
      </c>
      <c r="GU83" s="295">
        <v>2.9000000000000001E-2</v>
      </c>
      <c r="GV83" s="295">
        <v>2.9000000000000001E-2</v>
      </c>
      <c r="GW83" s="295">
        <v>2.9000000000000001E-2</v>
      </c>
      <c r="GX83" s="295"/>
      <c r="GY83" s="295"/>
      <c r="GZ83" s="295"/>
      <c r="HA83" s="295"/>
      <c r="HB83" s="295" t="s">
        <v>422</v>
      </c>
      <c r="HC83" s="295">
        <v>3.1E-2</v>
      </c>
      <c r="HD83" s="295" t="s">
        <v>422</v>
      </c>
      <c r="HE83" s="295" t="s">
        <v>422</v>
      </c>
      <c r="HF83" s="178">
        <f>C83-D83</f>
        <v>0</v>
      </c>
      <c r="HG83" s="555" t="s">
        <v>764</v>
      </c>
    </row>
    <row r="84" spans="1:216" ht="16.5" customHeight="1">
      <c r="A84" s="756" t="s">
        <v>421</v>
      </c>
      <c r="B84" s="272" t="s">
        <v>588</v>
      </c>
      <c r="C84" s="272">
        <v>0.01</v>
      </c>
      <c r="D84" s="272">
        <v>0.01</v>
      </c>
      <c r="E84" s="272">
        <v>0.01</v>
      </c>
      <c r="F84" s="272">
        <v>0.01</v>
      </c>
      <c r="G84" s="272">
        <v>0.01</v>
      </c>
      <c r="H84" s="272">
        <v>0.01</v>
      </c>
      <c r="I84" s="272">
        <v>0.01</v>
      </c>
      <c r="J84" s="272">
        <v>0.01</v>
      </c>
      <c r="K84" s="272">
        <v>0.01</v>
      </c>
      <c r="L84" s="272">
        <v>0.01</v>
      </c>
      <c r="M84" s="272">
        <v>0.01</v>
      </c>
      <c r="N84" s="272">
        <v>0.01</v>
      </c>
      <c r="O84" s="272">
        <v>0.01</v>
      </c>
      <c r="P84" s="272">
        <v>0.01</v>
      </c>
      <c r="Q84" s="272">
        <v>0.01</v>
      </c>
      <c r="R84" s="272">
        <v>0.01</v>
      </c>
      <c r="S84" s="272">
        <v>0.01</v>
      </c>
      <c r="T84" s="272">
        <v>0.01</v>
      </c>
      <c r="U84" s="272">
        <v>0.01</v>
      </c>
      <c r="V84" s="272">
        <v>0.01</v>
      </c>
      <c r="W84" s="272">
        <v>0.01</v>
      </c>
      <c r="X84" s="272">
        <v>0.01</v>
      </c>
      <c r="Y84" s="272">
        <v>0.01</v>
      </c>
      <c r="Z84" s="272">
        <v>0.01</v>
      </c>
      <c r="AA84" s="272">
        <v>0.01</v>
      </c>
      <c r="AB84" s="272">
        <v>0.01</v>
      </c>
      <c r="AC84" s="268" t="s">
        <v>589</v>
      </c>
      <c r="AD84" s="272" t="s">
        <v>580</v>
      </c>
      <c r="AE84" s="268" t="s">
        <v>580</v>
      </c>
      <c r="AF84" s="271" t="s">
        <v>569</v>
      </c>
      <c r="AG84" s="268" t="s">
        <v>569</v>
      </c>
      <c r="AH84" s="271" t="s">
        <v>420</v>
      </c>
      <c r="AI84" s="268" t="s">
        <v>420</v>
      </c>
      <c r="AJ84" s="272" t="s">
        <v>419</v>
      </c>
      <c r="AK84" s="271" t="s">
        <v>419</v>
      </c>
      <c r="AL84" s="272" t="s">
        <v>419</v>
      </c>
      <c r="AM84" s="268" t="s">
        <v>419</v>
      </c>
      <c r="AN84" s="271" t="s">
        <v>418</v>
      </c>
      <c r="AO84" s="271" t="s">
        <v>418</v>
      </c>
      <c r="AP84" s="261" t="s">
        <v>418</v>
      </c>
      <c r="AQ84" s="295" t="s">
        <v>418</v>
      </c>
      <c r="AR84" s="261" t="s">
        <v>417</v>
      </c>
      <c r="AS84" s="261" t="s">
        <v>417</v>
      </c>
      <c r="AT84" s="261" t="s">
        <v>416</v>
      </c>
      <c r="AU84" s="261" t="s">
        <v>416</v>
      </c>
      <c r="AV84" s="295" t="s">
        <v>416</v>
      </c>
      <c r="AW84" s="261" t="s">
        <v>415</v>
      </c>
      <c r="AX84" s="261" t="s">
        <v>415</v>
      </c>
      <c r="AY84" s="261" t="s">
        <v>414</v>
      </c>
      <c r="AZ84" s="295" t="s">
        <v>414</v>
      </c>
      <c r="BA84" s="261" t="s">
        <v>413</v>
      </c>
      <c r="BB84" s="261" t="s">
        <v>413</v>
      </c>
      <c r="BC84" s="261" t="s">
        <v>413</v>
      </c>
      <c r="BD84" s="261" t="s">
        <v>413</v>
      </c>
      <c r="BE84" s="261" t="s">
        <v>412</v>
      </c>
      <c r="BF84" s="261" t="s">
        <v>412</v>
      </c>
      <c r="BG84" s="261" t="s">
        <v>412</v>
      </c>
      <c r="BH84" s="261" t="s">
        <v>412</v>
      </c>
      <c r="BI84" s="261" t="s">
        <v>412</v>
      </c>
      <c r="BJ84" s="261" t="s">
        <v>412</v>
      </c>
      <c r="BK84" s="261" t="s">
        <v>412</v>
      </c>
      <c r="BL84" s="261" t="s">
        <v>412</v>
      </c>
      <c r="BM84" s="261" t="s">
        <v>412</v>
      </c>
      <c r="BN84" s="295" t="s">
        <v>412</v>
      </c>
      <c r="BO84" s="261" t="s">
        <v>411</v>
      </c>
      <c r="BP84" s="261" t="s">
        <v>411</v>
      </c>
      <c r="BQ84" s="261" t="s">
        <v>411</v>
      </c>
      <c r="BR84" s="261" t="s">
        <v>411</v>
      </c>
      <c r="BS84" s="261" t="s">
        <v>411</v>
      </c>
      <c r="BT84" s="261" t="s">
        <v>411</v>
      </c>
      <c r="BU84" s="261" t="s">
        <v>410</v>
      </c>
      <c r="BV84" s="261" t="s">
        <v>410</v>
      </c>
      <c r="BW84" s="295" t="s">
        <v>409</v>
      </c>
      <c r="BX84" s="295" t="s">
        <v>409</v>
      </c>
      <c r="BY84" s="295" t="s">
        <v>409</v>
      </c>
      <c r="BZ84" s="295" t="s">
        <v>409</v>
      </c>
      <c r="CA84" s="295" t="s">
        <v>409</v>
      </c>
      <c r="CB84" s="295" t="s">
        <v>409</v>
      </c>
      <c r="CC84" s="295" t="s">
        <v>409</v>
      </c>
      <c r="CD84" s="295" t="s">
        <v>409</v>
      </c>
      <c r="CE84" s="295" t="s">
        <v>409</v>
      </c>
      <c r="CF84" s="295" t="s">
        <v>408</v>
      </c>
      <c r="CG84" s="295" t="s">
        <v>408</v>
      </c>
      <c r="CH84" s="295" t="s">
        <v>408</v>
      </c>
      <c r="CI84" s="295" t="s">
        <v>408</v>
      </c>
      <c r="CJ84" s="295" t="s">
        <v>408</v>
      </c>
      <c r="CK84" s="295" t="s">
        <v>408</v>
      </c>
      <c r="CL84" s="295" t="s">
        <v>408</v>
      </c>
      <c r="CM84" s="295" t="s">
        <v>408</v>
      </c>
      <c r="CN84" s="295" t="s">
        <v>408</v>
      </c>
      <c r="CO84" s="295" t="s">
        <v>408</v>
      </c>
      <c r="CP84" s="295" t="s">
        <v>408</v>
      </c>
      <c r="CQ84" s="295" t="s">
        <v>408</v>
      </c>
      <c r="CR84" s="295" t="s">
        <v>408</v>
      </c>
      <c r="CS84" s="295" t="s">
        <v>408</v>
      </c>
      <c r="CT84" s="295" t="s">
        <v>408</v>
      </c>
      <c r="CU84" s="295" t="s">
        <v>408</v>
      </c>
      <c r="CV84" s="295" t="s">
        <v>408</v>
      </c>
      <c r="CW84" s="295" t="s">
        <v>408</v>
      </c>
      <c r="CX84" s="295" t="s">
        <v>408</v>
      </c>
      <c r="CY84" s="295" t="s">
        <v>408</v>
      </c>
      <c r="CZ84" s="295">
        <v>2.5999999999999999E-2</v>
      </c>
      <c r="DA84" s="295">
        <v>2.7E-2</v>
      </c>
      <c r="DB84" s="295" t="s">
        <v>407</v>
      </c>
      <c r="DC84" s="295" t="s">
        <v>407</v>
      </c>
      <c r="DD84" s="295" t="s">
        <v>407</v>
      </c>
      <c r="DE84" s="295" t="s">
        <v>406</v>
      </c>
      <c r="DF84" s="295">
        <v>2.9000000000000001E-2</v>
      </c>
      <c r="DG84" s="295">
        <v>3.1E-2</v>
      </c>
      <c r="DH84" s="295">
        <v>3.1E-2</v>
      </c>
      <c r="DI84" s="295">
        <v>3.1E-2</v>
      </c>
      <c r="DJ84" s="295">
        <v>3.1E-2</v>
      </c>
      <c r="DK84" s="295">
        <v>3.1E-2</v>
      </c>
      <c r="DL84" s="295">
        <v>3.1E-2</v>
      </c>
      <c r="DM84" s="295">
        <v>3.1E-2</v>
      </c>
      <c r="DN84" s="295">
        <v>3.1E-2</v>
      </c>
      <c r="DO84" s="295">
        <v>3.1E-2</v>
      </c>
      <c r="DP84" s="295">
        <v>3.1E-2</v>
      </c>
      <c r="DQ84" s="295">
        <v>3.1E-2</v>
      </c>
      <c r="DR84" s="295">
        <v>3.1E-2</v>
      </c>
      <c r="DS84" s="295">
        <v>3.1E-2</v>
      </c>
      <c r="DT84" s="295">
        <v>3.1E-2</v>
      </c>
      <c r="DU84" s="295">
        <v>3.1E-2</v>
      </c>
      <c r="DV84" s="295">
        <v>3.1E-2</v>
      </c>
      <c r="DW84" s="295">
        <v>3.1E-2</v>
      </c>
      <c r="DX84" s="295">
        <v>3.1E-2</v>
      </c>
      <c r="DY84" s="295">
        <v>3.1E-2</v>
      </c>
      <c r="DZ84" s="295">
        <v>2.7E-2</v>
      </c>
      <c r="EA84" s="295">
        <v>2.7E-2</v>
      </c>
      <c r="EB84" s="295">
        <v>2.7E-2</v>
      </c>
      <c r="EC84" s="295">
        <v>2.7E-2</v>
      </c>
      <c r="ED84" s="295">
        <v>2.7E-2</v>
      </c>
      <c r="EE84" s="295">
        <v>2.7E-2</v>
      </c>
      <c r="EF84" s="295">
        <v>2.7E-2</v>
      </c>
      <c r="EG84" s="295">
        <v>2.7E-2</v>
      </c>
      <c r="EH84" s="295">
        <v>2.7E-2</v>
      </c>
      <c r="EI84" s="295">
        <v>2.7E-2</v>
      </c>
      <c r="EJ84" s="295">
        <v>2.7E-2</v>
      </c>
      <c r="EK84" s="295">
        <v>2.7E-2</v>
      </c>
      <c r="EL84" s="295">
        <v>2.7E-2</v>
      </c>
      <c r="EM84" s="295">
        <v>2.7E-2</v>
      </c>
      <c r="EN84" s="295">
        <v>2.7E-2</v>
      </c>
      <c r="EO84" s="295">
        <v>2.9000000000000001E-2</v>
      </c>
      <c r="EP84" s="295" t="s">
        <v>405</v>
      </c>
      <c r="EQ84" s="295" t="s">
        <v>405</v>
      </c>
      <c r="ER84" s="295" t="s">
        <v>404</v>
      </c>
      <c r="ES84" s="295" t="s">
        <v>404</v>
      </c>
      <c r="ET84" s="295" t="s">
        <v>403</v>
      </c>
      <c r="EU84" s="295" t="s">
        <v>402</v>
      </c>
      <c r="EV84" s="295" t="s">
        <v>402</v>
      </c>
      <c r="EW84" s="295" t="s">
        <v>398</v>
      </c>
      <c r="EX84" s="295" t="s">
        <v>398</v>
      </c>
      <c r="EY84" s="295" t="s">
        <v>398</v>
      </c>
      <c r="EZ84" s="231" t="s">
        <v>306</v>
      </c>
      <c r="FA84" s="279"/>
      <c r="FB84" s="300"/>
      <c r="FC84" s="297"/>
      <c r="FD84" s="296"/>
      <c r="FE84" s="299"/>
      <c r="FF84" s="298"/>
      <c r="FG84" s="297"/>
      <c r="FH84" s="296"/>
      <c r="FI84" s="296"/>
      <c r="FJ84" s="296"/>
      <c r="FK84" s="296"/>
      <c r="FL84" s="296"/>
      <c r="FM84" s="296"/>
      <c r="FN84" s="279"/>
      <c r="FO84" s="279"/>
      <c r="FP84" s="279"/>
      <c r="FQ84" s="279"/>
      <c r="FR84" s="279"/>
      <c r="FS84" s="279"/>
      <c r="FT84" s="279"/>
      <c r="FU84" s="279"/>
      <c r="FV84" s="279"/>
      <c r="FW84" s="279"/>
      <c r="FX84" s="279"/>
      <c r="FY84" s="295"/>
      <c r="FZ84" s="295" t="s">
        <v>399</v>
      </c>
      <c r="GA84" s="295" t="s">
        <v>399</v>
      </c>
      <c r="GB84" s="295" t="s">
        <v>399</v>
      </c>
      <c r="GC84" s="295" t="s">
        <v>399</v>
      </c>
      <c r="GD84" s="295" t="s">
        <v>399</v>
      </c>
      <c r="GE84" s="295" t="s">
        <v>399</v>
      </c>
      <c r="GF84" s="295" t="s">
        <v>399</v>
      </c>
      <c r="GG84" s="295" t="s">
        <v>399</v>
      </c>
      <c r="GH84" s="295" t="s">
        <v>399</v>
      </c>
      <c r="GI84" s="295" t="s">
        <v>399</v>
      </c>
      <c r="GJ84" s="295" t="s">
        <v>399</v>
      </c>
      <c r="GK84" s="295" t="s">
        <v>399</v>
      </c>
      <c r="GL84" s="295" t="s">
        <v>399</v>
      </c>
      <c r="GM84" s="295" t="s">
        <v>399</v>
      </c>
      <c r="GN84" s="295" t="s">
        <v>399</v>
      </c>
      <c r="GO84" s="295" t="s">
        <v>399</v>
      </c>
      <c r="GP84" s="295" t="s">
        <v>399</v>
      </c>
      <c r="GQ84" s="295" t="s">
        <v>401</v>
      </c>
      <c r="GR84" s="295" t="s">
        <v>401</v>
      </c>
      <c r="GS84" s="295" t="s">
        <v>400</v>
      </c>
      <c r="GT84" s="295"/>
      <c r="GU84" s="295"/>
      <c r="GV84" s="295"/>
      <c r="GW84" s="295"/>
      <c r="GX84" s="295"/>
      <c r="GY84" s="295"/>
      <c r="GZ84" s="295"/>
      <c r="HA84" s="295"/>
      <c r="HB84" s="295" t="s">
        <v>399</v>
      </c>
      <c r="HC84" s="295" t="s">
        <v>398</v>
      </c>
      <c r="HD84" s="295" t="s">
        <v>398</v>
      </c>
      <c r="HE84" s="295" t="s">
        <v>398</v>
      </c>
      <c r="HF84" s="178">
        <f>C84-D84</f>
        <v>0</v>
      </c>
    </row>
    <row r="85" spans="1:216" ht="16.5" customHeight="1">
      <c r="A85" s="943" t="s">
        <v>46</v>
      </c>
      <c r="B85" s="830" t="s">
        <v>831</v>
      </c>
      <c r="C85" s="917">
        <v>1.0999999999999999E-2</v>
      </c>
      <c r="D85" s="917">
        <v>1.0999999999999999E-2</v>
      </c>
      <c r="E85" s="915">
        <v>1.2E-2</v>
      </c>
      <c r="F85" s="915">
        <v>0</v>
      </c>
      <c r="G85" s="946">
        <v>1.35E-2</v>
      </c>
      <c r="H85" s="948">
        <v>1.35E-2</v>
      </c>
      <c r="I85" s="946">
        <v>1.4500000000000001E-2</v>
      </c>
      <c r="J85" s="948">
        <v>1.4500000000000001E-2</v>
      </c>
      <c r="K85" s="946">
        <v>1.0999999999999999E-2</v>
      </c>
      <c r="L85" s="948">
        <v>1.0999999999999999E-2</v>
      </c>
      <c r="M85" s="946">
        <v>1.15E-2</v>
      </c>
      <c r="N85" s="946">
        <v>1.15E-2</v>
      </c>
      <c r="O85" s="946">
        <v>1.15E-2</v>
      </c>
      <c r="P85" s="946">
        <v>1.15E-2</v>
      </c>
      <c r="Q85" s="946">
        <v>1.15E-2</v>
      </c>
      <c r="R85" s="946">
        <v>1.15E-2</v>
      </c>
      <c r="S85" s="948">
        <v>1.0500000000000001E-2</v>
      </c>
      <c r="T85" s="946">
        <v>1.0999999999999999E-2</v>
      </c>
      <c r="U85" s="946">
        <v>1.0999999999999999E-2</v>
      </c>
      <c r="V85" s="946">
        <v>1.0999999999999999E-2</v>
      </c>
      <c r="W85" s="946">
        <v>1.0999999999999999E-2</v>
      </c>
      <c r="X85" s="946">
        <v>1.0999999999999999E-2</v>
      </c>
      <c r="Y85" s="946">
        <v>1.0999999999999999E-2</v>
      </c>
      <c r="Z85" s="946">
        <v>1.0999999999999999E-2</v>
      </c>
      <c r="AA85" s="946">
        <v>1.0999999999999999E-2</v>
      </c>
      <c r="AB85" s="946">
        <v>1.0999999999999999E-2</v>
      </c>
      <c r="AC85" s="946">
        <v>1.0999999999999999E-2</v>
      </c>
      <c r="AD85" s="948">
        <v>1.0999999999999999E-2</v>
      </c>
      <c r="AE85" s="948">
        <v>1.15E-2</v>
      </c>
      <c r="AF85" s="948">
        <v>1.2E-2</v>
      </c>
      <c r="AG85" s="948">
        <v>1.2999999999999999E-2</v>
      </c>
      <c r="AH85" s="1002">
        <v>1.35E-2</v>
      </c>
      <c r="AI85" s="1002">
        <v>1.4E-2</v>
      </c>
      <c r="AJ85" s="946">
        <v>1.4E-2</v>
      </c>
      <c r="AK85" s="948">
        <v>1.4E-2</v>
      </c>
      <c r="AL85" s="946">
        <v>1.4500000000000001E-2</v>
      </c>
      <c r="AM85" s="948">
        <v>1.4500000000000001E-2</v>
      </c>
      <c r="AN85" s="948" t="s">
        <v>478</v>
      </c>
      <c r="AO85" s="948" t="s">
        <v>477</v>
      </c>
      <c r="AP85" s="995" t="s">
        <v>476</v>
      </c>
      <c r="AQ85" s="995" t="s">
        <v>475</v>
      </c>
      <c r="AR85" s="995" t="s">
        <v>474</v>
      </c>
      <c r="AS85" s="1034" t="s">
        <v>473</v>
      </c>
      <c r="AT85" s="937" t="s">
        <v>473</v>
      </c>
      <c r="AU85" s="934" t="s">
        <v>473</v>
      </c>
      <c r="AV85" s="937" t="s">
        <v>472</v>
      </c>
      <c r="AW85" s="937" t="s">
        <v>472</v>
      </c>
      <c r="AX85" s="934" t="s">
        <v>472</v>
      </c>
      <c r="AY85" s="937">
        <v>2.1999999999999999E-2</v>
      </c>
      <c r="AZ85" s="937">
        <v>2.1999999999999999E-2</v>
      </c>
      <c r="BA85" s="937">
        <v>2.1999999999999999E-2</v>
      </c>
      <c r="BB85" s="937">
        <v>2.1999999999999999E-2</v>
      </c>
      <c r="BC85" s="937">
        <v>2.1999999999999999E-2</v>
      </c>
      <c r="BD85" s="937">
        <v>2.1999999999999999E-2</v>
      </c>
      <c r="BE85" s="937">
        <v>2.3E-2</v>
      </c>
      <c r="BF85" s="937">
        <v>2.3E-2</v>
      </c>
      <c r="BG85" s="934">
        <v>2.4E-2</v>
      </c>
      <c r="BH85" s="937">
        <v>2.5000000000000001E-2</v>
      </c>
      <c r="BI85" s="934">
        <v>2.5000000000000001E-2</v>
      </c>
      <c r="BJ85" s="934">
        <v>2.58E-2</v>
      </c>
      <c r="BK85" s="937">
        <v>2.58E-2</v>
      </c>
      <c r="BL85" s="937">
        <v>2.4E-2</v>
      </c>
      <c r="BM85" s="937">
        <v>2.4E-2</v>
      </c>
      <c r="BN85" s="934">
        <v>2.4E-2</v>
      </c>
      <c r="BO85" s="937">
        <v>2.5499999999999998E-2</v>
      </c>
      <c r="BP85" s="937">
        <v>2.5499999999999998E-2</v>
      </c>
      <c r="BQ85" s="937">
        <v>2.5499999999999998E-2</v>
      </c>
      <c r="BR85" s="937">
        <v>2.5499999999999998E-2</v>
      </c>
      <c r="BS85" s="937">
        <v>2.5499999999999998E-2</v>
      </c>
      <c r="BT85" s="937">
        <v>2.5499999999999998E-2</v>
      </c>
      <c r="BU85" s="937">
        <v>2.5499999999999998E-2</v>
      </c>
      <c r="BV85" s="937">
        <v>2.5499999999999998E-2</v>
      </c>
      <c r="BW85" s="934" t="s">
        <v>471</v>
      </c>
      <c r="BX85" s="934" t="s">
        <v>471</v>
      </c>
      <c r="BY85" s="934" t="s">
        <v>471</v>
      </c>
      <c r="BZ85" s="934" t="s">
        <v>471</v>
      </c>
      <c r="CA85" s="934" t="s">
        <v>471</v>
      </c>
      <c r="CB85" s="934" t="s">
        <v>471</v>
      </c>
      <c r="CC85" s="934" t="s">
        <v>471</v>
      </c>
      <c r="CD85" s="934" t="s">
        <v>471</v>
      </c>
      <c r="CE85" s="934" t="s">
        <v>471</v>
      </c>
      <c r="CF85" s="934" t="s">
        <v>470</v>
      </c>
      <c r="CG85" s="934" t="s">
        <v>470</v>
      </c>
      <c r="CH85" s="934" t="s">
        <v>470</v>
      </c>
      <c r="CI85" s="934" t="s">
        <v>470</v>
      </c>
      <c r="CJ85" s="934" t="s">
        <v>470</v>
      </c>
      <c r="CK85" s="934" t="s">
        <v>470</v>
      </c>
      <c r="CL85" s="934" t="s">
        <v>470</v>
      </c>
      <c r="CM85" s="934" t="s">
        <v>470</v>
      </c>
      <c r="CN85" s="934" t="s">
        <v>470</v>
      </c>
      <c r="CO85" s="934" t="s">
        <v>470</v>
      </c>
      <c r="CP85" s="934" t="s">
        <v>470</v>
      </c>
      <c r="CQ85" s="934" t="s">
        <v>470</v>
      </c>
      <c r="CR85" s="934" t="s">
        <v>469</v>
      </c>
      <c r="CS85" s="934" t="s">
        <v>469</v>
      </c>
      <c r="CT85" s="934" t="s">
        <v>469</v>
      </c>
      <c r="CU85" s="934" t="s">
        <v>469</v>
      </c>
      <c r="CV85" s="934" t="s">
        <v>469</v>
      </c>
      <c r="CW85" s="934" t="s">
        <v>469</v>
      </c>
      <c r="CX85" s="934" t="s">
        <v>469</v>
      </c>
      <c r="CY85" s="934" t="s">
        <v>469</v>
      </c>
      <c r="CZ85" s="934" t="s">
        <v>469</v>
      </c>
      <c r="DA85" s="934" t="s">
        <v>469</v>
      </c>
      <c r="DB85" s="934" t="s">
        <v>469</v>
      </c>
      <c r="DC85" s="934" t="s">
        <v>469</v>
      </c>
      <c r="DD85" s="934" t="s">
        <v>469</v>
      </c>
      <c r="DE85" s="934" t="s">
        <v>468</v>
      </c>
      <c r="DF85" s="934" t="s">
        <v>468</v>
      </c>
      <c r="DG85" s="934" t="s">
        <v>468</v>
      </c>
      <c r="DH85" s="940">
        <v>3.3000000000000002E-2</v>
      </c>
      <c r="DI85" s="940">
        <v>3.3000000000000002E-2</v>
      </c>
      <c r="DJ85" s="940">
        <v>3.3000000000000002E-2</v>
      </c>
      <c r="DK85" s="940">
        <v>3.3000000000000002E-2</v>
      </c>
      <c r="DL85" s="940">
        <v>3.3000000000000002E-2</v>
      </c>
      <c r="DM85" s="940">
        <v>3.3000000000000002E-2</v>
      </c>
      <c r="DN85" s="931">
        <v>3.4000000000000002E-2</v>
      </c>
      <c r="DO85" s="931">
        <v>3.4000000000000002E-2</v>
      </c>
      <c r="DP85" s="931">
        <v>3.4000000000000002E-2</v>
      </c>
      <c r="DQ85" s="931">
        <v>3.4000000000000002E-2</v>
      </c>
      <c r="DR85" s="931">
        <v>3.4000000000000002E-2</v>
      </c>
      <c r="DS85" s="931">
        <v>3.4000000000000002E-2</v>
      </c>
      <c r="DT85" s="931">
        <v>3.4000000000000002E-2</v>
      </c>
      <c r="DU85" s="931">
        <v>3.2000000000000001E-2</v>
      </c>
      <c r="DV85" s="931">
        <v>3.2000000000000001E-2</v>
      </c>
      <c r="DW85" s="931">
        <v>3.2000000000000001E-2</v>
      </c>
      <c r="DX85" s="931">
        <v>3.2000000000000001E-2</v>
      </c>
      <c r="DY85" s="931">
        <v>3.2000000000000001E-2</v>
      </c>
      <c r="DZ85" s="931">
        <v>3.2000000000000001E-2</v>
      </c>
      <c r="EA85" s="931">
        <v>3.4000000000000002E-2</v>
      </c>
      <c r="EB85" s="931">
        <v>3.4000000000000002E-2</v>
      </c>
      <c r="EC85" s="931">
        <v>3.4000000000000002E-2</v>
      </c>
      <c r="ED85" s="931">
        <v>3.4000000000000002E-2</v>
      </c>
      <c r="EE85" s="931">
        <v>3.4000000000000002E-2</v>
      </c>
      <c r="EF85" s="931">
        <v>3.4000000000000002E-2</v>
      </c>
      <c r="EG85" s="931">
        <v>3.4000000000000002E-2</v>
      </c>
      <c r="EH85" s="931">
        <v>3.4000000000000002E-2</v>
      </c>
      <c r="EI85" s="931">
        <v>3.4000000000000002E-2</v>
      </c>
      <c r="EJ85" s="931">
        <v>3.4000000000000002E-2</v>
      </c>
      <c r="EK85" s="931">
        <v>3.4000000000000002E-2</v>
      </c>
      <c r="EL85" s="931">
        <v>3.4000000000000002E-2</v>
      </c>
      <c r="EM85" s="931">
        <v>3.4000000000000002E-2</v>
      </c>
      <c r="EN85" s="931">
        <v>3.4000000000000002E-2</v>
      </c>
      <c r="EO85" s="931">
        <v>3.4000000000000002E-2</v>
      </c>
      <c r="EP85" s="931">
        <v>3.4000000000000002E-2</v>
      </c>
      <c r="EQ85" s="931">
        <v>3.4000000000000002E-2</v>
      </c>
      <c r="ER85" s="931">
        <v>3.4000000000000002E-2</v>
      </c>
      <c r="ES85" s="931">
        <v>3.4000000000000002E-2</v>
      </c>
      <c r="ET85" s="931">
        <v>3.4000000000000002E-2</v>
      </c>
      <c r="EU85" s="931">
        <v>3.4000000000000002E-2</v>
      </c>
      <c r="EV85" s="327"/>
      <c r="EW85" s="327"/>
      <c r="EX85" s="327"/>
      <c r="EY85" s="327"/>
      <c r="EZ85" s="231" t="s">
        <v>259</v>
      </c>
      <c r="FA85" s="327"/>
      <c r="FB85" s="328"/>
      <c r="FC85" s="329"/>
      <c r="FD85" s="328"/>
      <c r="FE85" s="328"/>
      <c r="FF85" s="329"/>
      <c r="FG85" s="329"/>
      <c r="FH85" s="328"/>
      <c r="FI85" s="329"/>
      <c r="FJ85" s="328"/>
      <c r="FK85" s="328"/>
      <c r="FL85" s="328"/>
      <c r="FM85" s="328"/>
      <c r="FN85" s="327"/>
      <c r="FO85" s="327"/>
      <c r="FP85" s="327"/>
      <c r="FQ85" s="327"/>
      <c r="FR85" s="327"/>
      <c r="FS85" s="327"/>
      <c r="FT85" s="327"/>
      <c r="FU85" s="327"/>
      <c r="FV85" s="327"/>
      <c r="FW85" s="327"/>
      <c r="FX85" s="327"/>
      <c r="FY85" s="327"/>
      <c r="FZ85" s="327"/>
      <c r="GA85" s="327"/>
      <c r="GB85" s="327"/>
      <c r="GC85" s="327"/>
      <c r="GD85" s="327"/>
      <c r="GE85" s="327"/>
      <c r="GF85" s="327"/>
      <c r="GG85" s="327"/>
      <c r="GH85" s="327"/>
      <c r="GI85" s="327"/>
      <c r="GJ85" s="327"/>
      <c r="GK85" s="327"/>
      <c r="GL85" s="327"/>
      <c r="GM85" s="327"/>
      <c r="GN85" s="327"/>
      <c r="GO85" s="327"/>
      <c r="GP85" s="327"/>
      <c r="GQ85" s="327"/>
      <c r="GR85" s="327"/>
      <c r="GS85" s="327"/>
      <c r="GT85" s="327"/>
      <c r="GU85" s="327"/>
      <c r="GV85" s="327"/>
      <c r="GW85" s="327"/>
      <c r="GX85" s="327"/>
      <c r="GY85" s="327"/>
      <c r="GZ85" s="327"/>
      <c r="HA85" s="327"/>
      <c r="HB85" s="327"/>
      <c r="HC85" s="327"/>
      <c r="HD85" s="327"/>
      <c r="HE85" s="327"/>
      <c r="HF85" s="941">
        <f>C85-D85</f>
        <v>0</v>
      </c>
      <c r="HG85" s="218" t="s">
        <v>824</v>
      </c>
    </row>
    <row r="86" spans="1:216" ht="16.5" customHeight="1">
      <c r="A86" s="944"/>
      <c r="B86" s="830" t="s">
        <v>832</v>
      </c>
      <c r="C86" s="923"/>
      <c r="D86" s="923"/>
      <c r="E86" s="928"/>
      <c r="F86" s="928"/>
      <c r="G86" s="947"/>
      <c r="H86" s="949"/>
      <c r="I86" s="947"/>
      <c r="J86" s="949"/>
      <c r="K86" s="947"/>
      <c r="L86" s="949"/>
      <c r="M86" s="947"/>
      <c r="N86" s="947"/>
      <c r="O86" s="947"/>
      <c r="P86" s="947"/>
      <c r="Q86" s="947"/>
      <c r="R86" s="947"/>
      <c r="S86" s="949"/>
      <c r="T86" s="947"/>
      <c r="U86" s="947"/>
      <c r="V86" s="947"/>
      <c r="W86" s="947"/>
      <c r="X86" s="947"/>
      <c r="Y86" s="947"/>
      <c r="Z86" s="947"/>
      <c r="AA86" s="947"/>
      <c r="AB86" s="947"/>
      <c r="AC86" s="947"/>
      <c r="AD86" s="949"/>
      <c r="AE86" s="949"/>
      <c r="AF86" s="949"/>
      <c r="AG86" s="949"/>
      <c r="AH86" s="1003"/>
      <c r="AI86" s="1003"/>
      <c r="AJ86" s="947"/>
      <c r="AK86" s="949"/>
      <c r="AL86" s="947"/>
      <c r="AM86" s="949"/>
      <c r="AN86" s="949"/>
      <c r="AO86" s="949"/>
      <c r="AP86" s="996"/>
      <c r="AQ86" s="996"/>
      <c r="AR86" s="996"/>
      <c r="AS86" s="1035"/>
      <c r="AT86" s="938"/>
      <c r="AU86" s="935"/>
      <c r="AV86" s="938"/>
      <c r="AW86" s="938"/>
      <c r="AX86" s="935"/>
      <c r="AY86" s="938"/>
      <c r="AZ86" s="938"/>
      <c r="BA86" s="938"/>
      <c r="BB86" s="938"/>
      <c r="BC86" s="938"/>
      <c r="BD86" s="938"/>
      <c r="BE86" s="938"/>
      <c r="BF86" s="938"/>
      <c r="BG86" s="935"/>
      <c r="BH86" s="938"/>
      <c r="BI86" s="935"/>
      <c r="BJ86" s="935"/>
      <c r="BK86" s="938"/>
      <c r="BL86" s="938"/>
      <c r="BM86" s="938"/>
      <c r="BN86" s="935"/>
      <c r="BO86" s="938"/>
      <c r="BP86" s="938"/>
      <c r="BQ86" s="938"/>
      <c r="BR86" s="938"/>
      <c r="BS86" s="938"/>
      <c r="BT86" s="938"/>
      <c r="BU86" s="938"/>
      <c r="BV86" s="938"/>
      <c r="BW86" s="935"/>
      <c r="BX86" s="935"/>
      <c r="BY86" s="935"/>
      <c r="BZ86" s="935"/>
      <c r="CA86" s="935"/>
      <c r="CB86" s="935"/>
      <c r="CC86" s="935"/>
      <c r="CD86" s="935"/>
      <c r="CE86" s="935"/>
      <c r="CF86" s="935"/>
      <c r="CG86" s="935"/>
      <c r="CH86" s="935"/>
      <c r="CI86" s="935"/>
      <c r="CJ86" s="935"/>
      <c r="CK86" s="935"/>
      <c r="CL86" s="935"/>
      <c r="CM86" s="935"/>
      <c r="CN86" s="935"/>
      <c r="CO86" s="935"/>
      <c r="CP86" s="935"/>
      <c r="CQ86" s="935"/>
      <c r="CR86" s="935"/>
      <c r="CS86" s="935"/>
      <c r="CT86" s="935"/>
      <c r="CU86" s="935"/>
      <c r="CV86" s="935"/>
      <c r="CW86" s="935"/>
      <c r="CX86" s="935"/>
      <c r="CY86" s="935"/>
      <c r="CZ86" s="935"/>
      <c r="DA86" s="935"/>
      <c r="DB86" s="935"/>
      <c r="DC86" s="935"/>
      <c r="DD86" s="935"/>
      <c r="DE86" s="935"/>
      <c r="DF86" s="935"/>
      <c r="DG86" s="935"/>
      <c r="DH86" s="935"/>
      <c r="DI86" s="935"/>
      <c r="DJ86" s="935"/>
      <c r="DK86" s="935"/>
      <c r="DL86" s="935"/>
      <c r="DM86" s="935"/>
      <c r="DN86" s="932"/>
      <c r="DO86" s="932"/>
      <c r="DP86" s="932"/>
      <c r="DQ86" s="932"/>
      <c r="DR86" s="932"/>
      <c r="DS86" s="932"/>
      <c r="DT86" s="932"/>
      <c r="DU86" s="932"/>
      <c r="DV86" s="932"/>
      <c r="DW86" s="932"/>
      <c r="DX86" s="932"/>
      <c r="DY86" s="932"/>
      <c r="DZ86" s="932"/>
      <c r="EA86" s="932"/>
      <c r="EB86" s="932"/>
      <c r="EC86" s="932"/>
      <c r="ED86" s="932"/>
      <c r="EE86" s="932"/>
      <c r="EF86" s="932"/>
      <c r="EG86" s="932"/>
      <c r="EH86" s="932"/>
      <c r="EI86" s="932"/>
      <c r="EJ86" s="932"/>
      <c r="EK86" s="932"/>
      <c r="EL86" s="932"/>
      <c r="EM86" s="932"/>
      <c r="EN86" s="932"/>
      <c r="EO86" s="932"/>
      <c r="EP86" s="932"/>
      <c r="EQ86" s="932"/>
      <c r="ER86" s="932"/>
      <c r="ES86" s="932"/>
      <c r="ET86" s="932"/>
      <c r="EU86" s="932"/>
      <c r="EV86" s="327"/>
      <c r="EW86" s="327"/>
      <c r="EX86" s="327"/>
      <c r="EY86" s="327"/>
      <c r="EZ86" s="231" t="s">
        <v>259</v>
      </c>
      <c r="FA86" s="327"/>
      <c r="FB86" s="328"/>
      <c r="FC86" s="329"/>
      <c r="FD86" s="328"/>
      <c r="FE86" s="328"/>
      <c r="FF86" s="329"/>
      <c r="FG86" s="329"/>
      <c r="FH86" s="328"/>
      <c r="FI86" s="329"/>
      <c r="FJ86" s="328"/>
      <c r="FK86" s="328"/>
      <c r="FL86" s="328"/>
      <c r="FM86" s="328"/>
      <c r="FN86" s="327"/>
      <c r="FO86" s="327"/>
      <c r="FP86" s="327"/>
      <c r="FQ86" s="327"/>
      <c r="FR86" s="327"/>
      <c r="FS86" s="327"/>
      <c r="FT86" s="327"/>
      <c r="FU86" s="327"/>
      <c r="FV86" s="327"/>
      <c r="FW86" s="327"/>
      <c r="FX86" s="327"/>
      <c r="FY86" s="327"/>
      <c r="FZ86" s="327"/>
      <c r="GA86" s="327"/>
      <c r="GB86" s="327"/>
      <c r="GC86" s="327"/>
      <c r="GD86" s="327"/>
      <c r="GE86" s="327"/>
      <c r="GF86" s="327"/>
      <c r="GG86" s="327"/>
      <c r="GH86" s="327"/>
      <c r="GI86" s="327"/>
      <c r="GJ86" s="327"/>
      <c r="GK86" s="327"/>
      <c r="GL86" s="327"/>
      <c r="GM86" s="327"/>
      <c r="GN86" s="327"/>
      <c r="GO86" s="327"/>
      <c r="GP86" s="327"/>
      <c r="GQ86" s="327"/>
      <c r="GR86" s="327"/>
      <c r="GS86" s="327"/>
      <c r="GT86" s="327"/>
      <c r="GU86" s="327"/>
      <c r="GV86" s="327"/>
      <c r="GW86" s="327"/>
      <c r="GX86" s="327"/>
      <c r="GY86" s="327"/>
      <c r="GZ86" s="327"/>
      <c r="HA86" s="327"/>
      <c r="HB86" s="327"/>
      <c r="HC86" s="327"/>
      <c r="HD86" s="327"/>
      <c r="HE86" s="327"/>
      <c r="HF86" s="1048"/>
      <c r="HG86" s="218" t="s">
        <v>825</v>
      </c>
    </row>
    <row r="87" spans="1:216" ht="16.5" customHeight="1">
      <c r="A87" s="945"/>
      <c r="B87" s="830" t="s">
        <v>833</v>
      </c>
      <c r="C87" s="924"/>
      <c r="D87" s="924"/>
      <c r="E87" s="929"/>
      <c r="F87" s="929"/>
      <c r="G87" s="921"/>
      <c r="H87" s="950"/>
      <c r="I87" s="921"/>
      <c r="J87" s="950"/>
      <c r="K87" s="921"/>
      <c r="L87" s="950"/>
      <c r="M87" s="921"/>
      <c r="N87" s="921"/>
      <c r="O87" s="921"/>
      <c r="P87" s="921"/>
      <c r="Q87" s="921"/>
      <c r="R87" s="921"/>
      <c r="S87" s="950"/>
      <c r="T87" s="921"/>
      <c r="U87" s="921"/>
      <c r="V87" s="921"/>
      <c r="W87" s="921"/>
      <c r="X87" s="921"/>
      <c r="Y87" s="921"/>
      <c r="Z87" s="921"/>
      <c r="AA87" s="921"/>
      <c r="AB87" s="921"/>
      <c r="AC87" s="921"/>
      <c r="AD87" s="950"/>
      <c r="AE87" s="950"/>
      <c r="AF87" s="950"/>
      <c r="AG87" s="950"/>
      <c r="AH87" s="970"/>
      <c r="AI87" s="970"/>
      <c r="AJ87" s="921"/>
      <c r="AK87" s="950"/>
      <c r="AL87" s="921"/>
      <c r="AM87" s="950"/>
      <c r="AN87" s="950"/>
      <c r="AO87" s="950"/>
      <c r="AP87" s="997"/>
      <c r="AQ87" s="997"/>
      <c r="AR87" s="997"/>
      <c r="AS87" s="1015"/>
      <c r="AT87" s="939"/>
      <c r="AU87" s="936"/>
      <c r="AV87" s="939"/>
      <c r="AW87" s="939"/>
      <c r="AX87" s="936"/>
      <c r="AY87" s="939"/>
      <c r="AZ87" s="939"/>
      <c r="BA87" s="939"/>
      <c r="BB87" s="939"/>
      <c r="BC87" s="939"/>
      <c r="BD87" s="939"/>
      <c r="BE87" s="939"/>
      <c r="BF87" s="939"/>
      <c r="BG87" s="936"/>
      <c r="BH87" s="939"/>
      <c r="BI87" s="936"/>
      <c r="BJ87" s="936"/>
      <c r="BK87" s="939"/>
      <c r="BL87" s="939"/>
      <c r="BM87" s="939"/>
      <c r="BN87" s="936"/>
      <c r="BO87" s="939"/>
      <c r="BP87" s="939"/>
      <c r="BQ87" s="939"/>
      <c r="BR87" s="939"/>
      <c r="BS87" s="939"/>
      <c r="BT87" s="939"/>
      <c r="BU87" s="939"/>
      <c r="BV87" s="939"/>
      <c r="BW87" s="936"/>
      <c r="BX87" s="936"/>
      <c r="BY87" s="936"/>
      <c r="BZ87" s="936"/>
      <c r="CA87" s="936"/>
      <c r="CB87" s="936"/>
      <c r="CC87" s="936"/>
      <c r="CD87" s="936"/>
      <c r="CE87" s="936"/>
      <c r="CF87" s="936"/>
      <c r="CG87" s="936"/>
      <c r="CH87" s="936"/>
      <c r="CI87" s="936"/>
      <c r="CJ87" s="936"/>
      <c r="CK87" s="936"/>
      <c r="CL87" s="936"/>
      <c r="CM87" s="936"/>
      <c r="CN87" s="936"/>
      <c r="CO87" s="936"/>
      <c r="CP87" s="936"/>
      <c r="CQ87" s="936"/>
      <c r="CR87" s="936"/>
      <c r="CS87" s="936"/>
      <c r="CT87" s="936"/>
      <c r="CU87" s="936"/>
      <c r="CV87" s="936"/>
      <c r="CW87" s="936"/>
      <c r="CX87" s="936"/>
      <c r="CY87" s="936"/>
      <c r="CZ87" s="936"/>
      <c r="DA87" s="936"/>
      <c r="DB87" s="936"/>
      <c r="DC87" s="936"/>
      <c r="DD87" s="936"/>
      <c r="DE87" s="936"/>
      <c r="DF87" s="936"/>
      <c r="DG87" s="936"/>
      <c r="DH87" s="936"/>
      <c r="DI87" s="936"/>
      <c r="DJ87" s="936"/>
      <c r="DK87" s="936"/>
      <c r="DL87" s="936"/>
      <c r="DM87" s="936"/>
      <c r="DN87" s="933"/>
      <c r="DO87" s="933"/>
      <c r="DP87" s="933"/>
      <c r="DQ87" s="933"/>
      <c r="DR87" s="933"/>
      <c r="DS87" s="933"/>
      <c r="DT87" s="933"/>
      <c r="DU87" s="933"/>
      <c r="DV87" s="933"/>
      <c r="DW87" s="933"/>
      <c r="DX87" s="933"/>
      <c r="DY87" s="933"/>
      <c r="DZ87" s="933"/>
      <c r="EA87" s="933"/>
      <c r="EB87" s="933"/>
      <c r="EC87" s="933"/>
      <c r="ED87" s="933"/>
      <c r="EE87" s="933"/>
      <c r="EF87" s="933"/>
      <c r="EG87" s="933"/>
      <c r="EH87" s="933"/>
      <c r="EI87" s="933"/>
      <c r="EJ87" s="933"/>
      <c r="EK87" s="933"/>
      <c r="EL87" s="933"/>
      <c r="EM87" s="933"/>
      <c r="EN87" s="933"/>
      <c r="EO87" s="933"/>
      <c r="EP87" s="933"/>
      <c r="EQ87" s="933"/>
      <c r="ER87" s="933"/>
      <c r="ES87" s="933"/>
      <c r="ET87" s="933"/>
      <c r="EU87" s="933"/>
      <c r="EV87" s="327"/>
      <c r="EW87" s="327"/>
      <c r="EX87" s="327"/>
      <c r="EY87" s="327"/>
      <c r="EZ87" s="231" t="s">
        <v>259</v>
      </c>
      <c r="FA87" s="327"/>
      <c r="FB87" s="328"/>
      <c r="FC87" s="329"/>
      <c r="FD87" s="328"/>
      <c r="FE87" s="328"/>
      <c r="FF87" s="329"/>
      <c r="FG87" s="329"/>
      <c r="FH87" s="328"/>
      <c r="FI87" s="329"/>
      <c r="FJ87" s="328"/>
      <c r="FK87" s="328"/>
      <c r="FL87" s="328"/>
      <c r="FM87" s="328"/>
      <c r="FN87" s="327"/>
      <c r="FO87" s="327"/>
      <c r="FP87" s="327"/>
      <c r="FQ87" s="327"/>
      <c r="FR87" s="327"/>
      <c r="FS87" s="327"/>
      <c r="FT87" s="327"/>
      <c r="FU87" s="327"/>
      <c r="FV87" s="327"/>
      <c r="FW87" s="327"/>
      <c r="FX87" s="327"/>
      <c r="FY87" s="327"/>
      <c r="FZ87" s="327"/>
      <c r="GA87" s="327"/>
      <c r="GB87" s="327"/>
      <c r="GC87" s="327"/>
      <c r="GD87" s="327"/>
      <c r="GE87" s="327"/>
      <c r="GF87" s="327"/>
      <c r="GG87" s="327"/>
      <c r="GH87" s="327"/>
      <c r="GI87" s="327"/>
      <c r="GJ87" s="327"/>
      <c r="GK87" s="327"/>
      <c r="GL87" s="327"/>
      <c r="GM87" s="327"/>
      <c r="GN87" s="327"/>
      <c r="GO87" s="327"/>
      <c r="GP87" s="327"/>
      <c r="GQ87" s="327"/>
      <c r="GR87" s="327"/>
      <c r="GS87" s="327"/>
      <c r="GT87" s="327"/>
      <c r="GU87" s="327"/>
      <c r="GV87" s="327"/>
      <c r="GW87" s="327"/>
      <c r="GX87" s="327"/>
      <c r="GY87" s="327"/>
      <c r="GZ87" s="327"/>
      <c r="HA87" s="327"/>
      <c r="HB87" s="327"/>
      <c r="HC87" s="327"/>
      <c r="HD87" s="327"/>
      <c r="HE87" s="327"/>
      <c r="HF87" s="942"/>
    </row>
    <row r="88" spans="1:216">
      <c r="A88" s="959" t="s">
        <v>39</v>
      </c>
      <c r="B88" s="308" t="s">
        <v>579</v>
      </c>
      <c r="C88" s="913" t="s">
        <v>124</v>
      </c>
      <c r="D88" s="913" t="s">
        <v>124</v>
      </c>
      <c r="E88" s="913" t="s">
        <v>124</v>
      </c>
      <c r="F88" s="913">
        <v>1.15E-2</v>
      </c>
      <c r="G88" s="913">
        <v>1.15E-2</v>
      </c>
      <c r="H88" s="913">
        <v>1.15E-2</v>
      </c>
      <c r="I88" s="913">
        <v>1.15E-2</v>
      </c>
      <c r="J88" s="913">
        <v>1.15E-2</v>
      </c>
      <c r="K88" s="913">
        <v>1.15E-2</v>
      </c>
      <c r="L88" s="913">
        <v>1.15E-2</v>
      </c>
      <c r="M88" s="913">
        <v>1.15E-2</v>
      </c>
      <c r="N88" s="913">
        <v>1.15E-2</v>
      </c>
      <c r="O88" s="913">
        <v>1.15E-2</v>
      </c>
      <c r="P88" s="913">
        <v>1.15E-2</v>
      </c>
      <c r="Q88" s="913">
        <v>1.15E-2</v>
      </c>
      <c r="R88" s="913">
        <v>1.15E-2</v>
      </c>
      <c r="S88" s="913">
        <v>1.15E-2</v>
      </c>
      <c r="T88" s="913">
        <v>1.15E-2</v>
      </c>
      <c r="U88" s="913">
        <v>1.15E-2</v>
      </c>
      <c r="V88" s="913">
        <v>1.15E-2</v>
      </c>
      <c r="W88" s="913">
        <v>1.15E-2</v>
      </c>
      <c r="X88" s="913">
        <v>1.15E-2</v>
      </c>
      <c r="Y88" s="913">
        <v>1.15E-2</v>
      </c>
      <c r="Z88" s="913">
        <v>1.15E-2</v>
      </c>
      <c r="AA88" s="913">
        <v>1.15E-2</v>
      </c>
      <c r="AB88" s="913">
        <v>1.15E-2</v>
      </c>
      <c r="AC88" s="913">
        <v>1.15E-2</v>
      </c>
      <c r="AD88" s="913">
        <v>1.15E-2</v>
      </c>
      <c r="AE88" s="993">
        <v>1.15E-2</v>
      </c>
      <c r="AF88" s="998">
        <v>1.35E-2</v>
      </c>
      <c r="AG88" s="998">
        <v>1.35E-2</v>
      </c>
      <c r="AH88" s="993">
        <v>1.35E-2</v>
      </c>
      <c r="AI88" s="998">
        <v>1.4999999999999999E-2</v>
      </c>
      <c r="AJ88" s="913">
        <v>1.4999999999999999E-2</v>
      </c>
      <c r="AK88" s="998">
        <v>1.4999999999999999E-2</v>
      </c>
      <c r="AL88" s="913">
        <v>1.4999999999999999E-2</v>
      </c>
      <c r="AM88" s="993">
        <v>1.4999999999999999E-2</v>
      </c>
      <c r="AN88" s="993">
        <v>1.7000000000000001E-2</v>
      </c>
      <c r="AO88" s="998">
        <v>1.7000000000000001E-2</v>
      </c>
      <c r="AP88" s="987">
        <v>1.7500000000000002E-2</v>
      </c>
      <c r="AQ88" s="1016">
        <v>1.7500000000000002E-2</v>
      </c>
      <c r="AR88" s="1016" t="s">
        <v>397</v>
      </c>
      <c r="AS88" s="987">
        <f t="shared" ref="AS88:BD88" si="27">AT88</f>
        <v>0</v>
      </c>
      <c r="AT88" s="987">
        <f t="shared" si="27"/>
        <v>0</v>
      </c>
      <c r="AU88" s="987">
        <f t="shared" si="27"/>
        <v>0</v>
      </c>
      <c r="AV88" s="987">
        <f t="shared" si="27"/>
        <v>0</v>
      </c>
      <c r="AW88" s="987">
        <f t="shared" si="27"/>
        <v>0</v>
      </c>
      <c r="AX88" s="987">
        <f t="shared" si="27"/>
        <v>0</v>
      </c>
      <c r="AY88" s="1016">
        <f t="shared" si="27"/>
        <v>0</v>
      </c>
      <c r="AZ88" s="987">
        <f t="shared" si="27"/>
        <v>0</v>
      </c>
      <c r="BA88" s="987">
        <f t="shared" si="27"/>
        <v>0</v>
      </c>
      <c r="BB88" s="987">
        <f t="shared" si="27"/>
        <v>0</v>
      </c>
      <c r="BC88" s="987">
        <f t="shared" si="27"/>
        <v>0</v>
      </c>
      <c r="BD88" s="987">
        <f t="shared" si="27"/>
        <v>0</v>
      </c>
      <c r="BE88" s="261"/>
      <c r="BF88" s="261"/>
      <c r="BG88" s="261"/>
      <c r="BH88" s="261"/>
      <c r="BI88" s="261"/>
      <c r="BJ88" s="261"/>
      <c r="BK88" s="261"/>
      <c r="BL88" s="261"/>
      <c r="BM88" s="261"/>
      <c r="BN88" s="295"/>
      <c r="BO88" s="261"/>
      <c r="BP88" s="261"/>
      <c r="BQ88" s="261"/>
      <c r="BR88" s="261"/>
      <c r="BS88" s="261"/>
      <c r="BT88" s="261"/>
      <c r="BU88" s="261"/>
      <c r="BV88" s="261"/>
      <c r="BW88" s="295"/>
      <c r="BX88" s="295"/>
      <c r="BY88" s="295"/>
      <c r="BZ88" s="295"/>
      <c r="CA88" s="295"/>
      <c r="CB88" s="295"/>
      <c r="CC88" s="295"/>
      <c r="CD88" s="295"/>
      <c r="CE88" s="295"/>
      <c r="CF88" s="295"/>
      <c r="CG88" s="295"/>
      <c r="CH88" s="295"/>
      <c r="CI88" s="295"/>
      <c r="CJ88" s="295"/>
      <c r="CK88" s="295"/>
      <c r="CL88" s="295"/>
      <c r="CM88" s="295"/>
      <c r="CN88" s="295"/>
      <c r="CO88" s="295"/>
      <c r="CP88" s="295"/>
      <c r="CQ88" s="295"/>
      <c r="CR88" s="295"/>
      <c r="CS88" s="295"/>
      <c r="CT88" s="295"/>
      <c r="CU88" s="295"/>
      <c r="CV88" s="295"/>
      <c r="CW88" s="295"/>
      <c r="CX88" s="295"/>
      <c r="CY88" s="295"/>
      <c r="CZ88" s="295"/>
      <c r="DA88" s="295"/>
      <c r="DB88" s="295"/>
      <c r="DC88" s="295"/>
      <c r="DD88" s="295"/>
      <c r="DE88" s="295"/>
      <c r="DF88" s="295"/>
      <c r="DG88" s="295"/>
      <c r="DH88" s="295"/>
      <c r="DI88" s="295"/>
      <c r="DJ88" s="295"/>
      <c r="DK88" s="295"/>
      <c r="DL88" s="295"/>
      <c r="DM88" s="295"/>
      <c r="DN88" s="295"/>
      <c r="DO88" s="295"/>
      <c r="DP88" s="295"/>
      <c r="DQ88" s="295"/>
      <c r="DR88" s="295"/>
      <c r="DS88" s="295"/>
      <c r="DT88" s="295"/>
      <c r="DU88" s="295"/>
      <c r="DV88" s="295"/>
      <c r="DW88" s="295"/>
      <c r="DX88" s="295"/>
      <c r="DY88" s="295"/>
      <c r="DZ88" s="295"/>
      <c r="EA88" s="295"/>
      <c r="EB88" s="295"/>
      <c r="EC88" s="295"/>
      <c r="ED88" s="295"/>
      <c r="EE88" s="295"/>
      <c r="EF88" s="295"/>
      <c r="EG88" s="295"/>
      <c r="EH88" s="295"/>
      <c r="EI88" s="295"/>
      <c r="EJ88" s="295"/>
      <c r="EK88" s="295"/>
      <c r="EL88" s="295"/>
      <c r="EM88" s="295"/>
      <c r="EN88" s="295"/>
      <c r="EO88" s="295"/>
      <c r="EP88" s="295"/>
      <c r="EQ88" s="295"/>
      <c r="ER88" s="295"/>
      <c r="ES88" s="295"/>
      <c r="ET88" s="295"/>
      <c r="EU88" s="295"/>
      <c r="EV88" s="295"/>
      <c r="EW88" s="295"/>
      <c r="EX88" s="295"/>
      <c r="EY88" s="295"/>
      <c r="EZ88" s="1050" t="s">
        <v>342</v>
      </c>
      <c r="FA88" s="289"/>
      <c r="FB88" s="294"/>
      <c r="FC88" s="291"/>
      <c r="FD88" s="290"/>
      <c r="FE88" s="293"/>
      <c r="FF88" s="292"/>
      <c r="FG88" s="291"/>
      <c r="FH88" s="290"/>
      <c r="FI88" s="290"/>
      <c r="FJ88" s="290"/>
      <c r="FK88" s="290"/>
      <c r="FL88" s="290"/>
      <c r="FM88" s="290"/>
      <c r="FN88" s="289"/>
      <c r="FO88" s="289"/>
      <c r="FP88" s="289"/>
      <c r="FQ88" s="289"/>
      <c r="FR88" s="289"/>
      <c r="FS88" s="289"/>
      <c r="FT88" s="289"/>
      <c r="FU88" s="289"/>
      <c r="FV88" s="289"/>
      <c r="FW88" s="289"/>
      <c r="FX88" s="289"/>
      <c r="FY88" s="288"/>
      <c r="FZ88" s="288"/>
      <c r="GA88" s="288"/>
      <c r="GB88" s="288"/>
      <c r="GC88" s="288"/>
      <c r="GD88" s="288"/>
      <c r="GE88" s="288"/>
      <c r="GF88" s="288"/>
      <c r="GG88" s="288"/>
      <c r="GH88" s="288"/>
      <c r="GI88" s="288"/>
      <c r="GJ88" s="288"/>
      <c r="GK88" s="288"/>
      <c r="GL88" s="288"/>
      <c r="GM88" s="288"/>
      <c r="GN88" s="288"/>
      <c r="GO88" s="288"/>
      <c r="GP88" s="288"/>
      <c r="GQ88" s="288"/>
      <c r="GR88" s="288"/>
      <c r="GS88" s="288"/>
      <c r="GT88" s="288"/>
      <c r="GU88" s="288"/>
      <c r="GV88" s="288"/>
      <c r="GW88" s="288"/>
      <c r="GX88" s="288"/>
      <c r="GY88" s="288"/>
      <c r="GZ88" s="288"/>
      <c r="HA88" s="288"/>
      <c r="HB88" s="288"/>
      <c r="HC88" s="288"/>
      <c r="HD88" s="288"/>
      <c r="HE88" s="288"/>
      <c r="HF88" s="1061" t="e">
        <f>C88-D88</f>
        <v>#VALUE!</v>
      </c>
    </row>
    <row r="89" spans="1:216">
      <c r="A89" s="961"/>
      <c r="B89" s="308" t="s">
        <v>578</v>
      </c>
      <c r="C89" s="914"/>
      <c r="D89" s="914"/>
      <c r="E89" s="914"/>
      <c r="F89" s="914"/>
      <c r="G89" s="914"/>
      <c r="H89" s="914"/>
      <c r="I89" s="914"/>
      <c r="J89" s="914"/>
      <c r="K89" s="914"/>
      <c r="L89" s="914"/>
      <c r="M89" s="914"/>
      <c r="N89" s="914"/>
      <c r="O89" s="914"/>
      <c r="P89" s="914"/>
      <c r="Q89" s="914"/>
      <c r="R89" s="914"/>
      <c r="S89" s="914"/>
      <c r="T89" s="914"/>
      <c r="U89" s="914"/>
      <c r="V89" s="914"/>
      <c r="W89" s="914"/>
      <c r="X89" s="914"/>
      <c r="Y89" s="914"/>
      <c r="Z89" s="914"/>
      <c r="AA89" s="914"/>
      <c r="AB89" s="914"/>
      <c r="AC89" s="914"/>
      <c r="AD89" s="914"/>
      <c r="AE89" s="994"/>
      <c r="AF89" s="986"/>
      <c r="AG89" s="986"/>
      <c r="AH89" s="994"/>
      <c r="AI89" s="986"/>
      <c r="AJ89" s="914"/>
      <c r="AK89" s="986"/>
      <c r="AL89" s="914"/>
      <c r="AM89" s="994"/>
      <c r="AN89" s="994"/>
      <c r="AO89" s="986"/>
      <c r="AP89" s="988"/>
      <c r="AQ89" s="1028"/>
      <c r="AR89" s="1028"/>
      <c r="AS89" s="988"/>
      <c r="AT89" s="988"/>
      <c r="AU89" s="988"/>
      <c r="AV89" s="988"/>
      <c r="AW89" s="988"/>
      <c r="AX89" s="988"/>
      <c r="AY89" s="1028"/>
      <c r="AZ89" s="988"/>
      <c r="BA89" s="988"/>
      <c r="BB89" s="988"/>
      <c r="BC89" s="988"/>
      <c r="BD89" s="988"/>
      <c r="BE89" s="261"/>
      <c r="BF89" s="261"/>
      <c r="BG89" s="261"/>
      <c r="BH89" s="261"/>
      <c r="BI89" s="261"/>
      <c r="BJ89" s="261"/>
      <c r="BK89" s="261"/>
      <c r="BL89" s="261"/>
      <c r="BM89" s="261"/>
      <c r="BN89" s="295"/>
      <c r="BO89" s="261"/>
      <c r="BP89" s="261"/>
      <c r="BQ89" s="261"/>
      <c r="BR89" s="261"/>
      <c r="BS89" s="261"/>
      <c r="BT89" s="261"/>
      <c r="BU89" s="261"/>
      <c r="BV89" s="261"/>
      <c r="BW89" s="295"/>
      <c r="BX89" s="295"/>
      <c r="BY89" s="295"/>
      <c r="BZ89" s="295"/>
      <c r="CA89" s="295"/>
      <c r="CB89" s="295"/>
      <c r="CC89" s="295"/>
      <c r="CD89" s="295"/>
      <c r="CE89" s="295"/>
      <c r="CF89" s="295"/>
      <c r="CG89" s="295"/>
      <c r="CH89" s="295"/>
      <c r="CI89" s="295"/>
      <c r="CJ89" s="295"/>
      <c r="CK89" s="295"/>
      <c r="CL89" s="295"/>
      <c r="CM89" s="295"/>
      <c r="CN89" s="295"/>
      <c r="CO89" s="295"/>
      <c r="CP89" s="295"/>
      <c r="CQ89" s="295"/>
      <c r="CR89" s="295"/>
      <c r="CS89" s="295"/>
      <c r="CT89" s="295"/>
      <c r="CU89" s="295"/>
      <c r="CV89" s="295"/>
      <c r="CW89" s="295"/>
      <c r="CX89" s="295"/>
      <c r="CY89" s="295"/>
      <c r="CZ89" s="295"/>
      <c r="DA89" s="295"/>
      <c r="DB89" s="295"/>
      <c r="DC89" s="295"/>
      <c r="DD89" s="295"/>
      <c r="DE89" s="295"/>
      <c r="DF89" s="295"/>
      <c r="DG89" s="295"/>
      <c r="DH89" s="295"/>
      <c r="DI89" s="295"/>
      <c r="DJ89" s="295"/>
      <c r="DK89" s="295"/>
      <c r="DL89" s="295"/>
      <c r="DM89" s="295"/>
      <c r="DN89" s="295"/>
      <c r="DO89" s="295"/>
      <c r="DP89" s="295"/>
      <c r="DQ89" s="295"/>
      <c r="DR89" s="295"/>
      <c r="DS89" s="295"/>
      <c r="DT89" s="295"/>
      <c r="DU89" s="295"/>
      <c r="DV89" s="295"/>
      <c r="DW89" s="295"/>
      <c r="DX89" s="295"/>
      <c r="DY89" s="295"/>
      <c r="DZ89" s="295"/>
      <c r="EA89" s="295"/>
      <c r="EB89" s="295"/>
      <c r="EC89" s="295"/>
      <c r="ED89" s="295"/>
      <c r="EE89" s="295"/>
      <c r="EF89" s="295"/>
      <c r="EG89" s="295"/>
      <c r="EH89" s="295"/>
      <c r="EI89" s="295"/>
      <c r="EJ89" s="295"/>
      <c r="EK89" s="295"/>
      <c r="EL89" s="295"/>
      <c r="EM89" s="295"/>
      <c r="EN89" s="295"/>
      <c r="EO89" s="295"/>
      <c r="EP89" s="295"/>
      <c r="EQ89" s="295"/>
      <c r="ER89" s="295"/>
      <c r="ES89" s="295"/>
      <c r="ET89" s="295"/>
      <c r="EU89" s="295"/>
      <c r="EV89" s="295"/>
      <c r="EW89" s="295"/>
      <c r="EX89" s="295"/>
      <c r="EY89" s="295"/>
      <c r="EZ89" s="1051"/>
      <c r="FA89" s="289"/>
      <c r="FB89" s="294"/>
      <c r="FC89" s="291"/>
      <c r="FD89" s="290"/>
      <c r="FE89" s="293"/>
      <c r="FF89" s="292"/>
      <c r="FG89" s="291"/>
      <c r="FH89" s="290"/>
      <c r="FI89" s="290"/>
      <c r="FJ89" s="290"/>
      <c r="FK89" s="290"/>
      <c r="FL89" s="290"/>
      <c r="FM89" s="290"/>
      <c r="FN89" s="289"/>
      <c r="FO89" s="289"/>
      <c r="FP89" s="289"/>
      <c r="FQ89" s="289"/>
      <c r="FR89" s="289"/>
      <c r="FS89" s="289"/>
      <c r="FT89" s="289"/>
      <c r="FU89" s="289"/>
      <c r="FV89" s="289"/>
      <c r="FW89" s="289"/>
      <c r="FX89" s="289"/>
      <c r="FY89" s="288"/>
      <c r="FZ89" s="288"/>
      <c r="GA89" s="288"/>
      <c r="GB89" s="288"/>
      <c r="GC89" s="288"/>
      <c r="GD89" s="288"/>
      <c r="GE89" s="288"/>
      <c r="GF89" s="288"/>
      <c r="GG89" s="288"/>
      <c r="GH89" s="288"/>
      <c r="GI89" s="288"/>
      <c r="GJ89" s="288"/>
      <c r="GK89" s="288"/>
      <c r="GL89" s="288"/>
      <c r="GM89" s="288"/>
      <c r="GN89" s="288"/>
      <c r="GO89" s="288"/>
      <c r="GP89" s="288"/>
      <c r="GQ89" s="288"/>
      <c r="GR89" s="288"/>
      <c r="GS89" s="288"/>
      <c r="GT89" s="288"/>
      <c r="GU89" s="288"/>
      <c r="GV89" s="288"/>
      <c r="GW89" s="288"/>
      <c r="GX89" s="288"/>
      <c r="GY89" s="288"/>
      <c r="GZ89" s="288"/>
      <c r="HA89" s="288"/>
      <c r="HB89" s="288"/>
      <c r="HC89" s="288"/>
      <c r="HD89" s="288"/>
      <c r="HE89" s="288"/>
      <c r="HF89" s="1062"/>
    </row>
    <row r="90" spans="1:216" ht="20.399999999999999">
      <c r="A90" s="758" t="s">
        <v>396</v>
      </c>
      <c r="B90" s="742"/>
      <c r="C90" s="742"/>
      <c r="D90" s="742"/>
      <c r="E90" s="742"/>
      <c r="F90" s="742"/>
      <c r="G90" s="742"/>
      <c r="H90" s="742"/>
      <c r="I90" s="742"/>
      <c r="J90" s="742"/>
      <c r="K90" s="742"/>
      <c r="L90" s="742"/>
      <c r="M90" s="742"/>
      <c r="N90" s="742"/>
      <c r="O90" s="742"/>
      <c r="P90" s="742"/>
      <c r="Q90" s="742"/>
      <c r="R90" s="742"/>
      <c r="S90" s="742"/>
      <c r="T90" s="742"/>
      <c r="U90" s="742"/>
      <c r="V90" s="742"/>
      <c r="W90" s="742"/>
      <c r="X90" s="742"/>
      <c r="Y90" s="742"/>
      <c r="Z90" s="742"/>
      <c r="AA90" s="742"/>
      <c r="AB90" s="742"/>
      <c r="AC90" s="742"/>
      <c r="AD90" s="742"/>
      <c r="AE90" s="742"/>
      <c r="AF90" s="742"/>
      <c r="AG90" s="742"/>
      <c r="AH90" s="742"/>
      <c r="AI90" s="742"/>
      <c r="AJ90" s="742"/>
      <c r="AK90" s="742"/>
      <c r="AL90" s="742"/>
      <c r="AM90" s="742"/>
      <c r="AN90" s="742"/>
      <c r="AO90" s="742"/>
      <c r="AP90" s="742"/>
      <c r="AQ90" s="742"/>
      <c r="AR90" s="742"/>
      <c r="AS90" s="742"/>
      <c r="AT90" s="742"/>
      <c r="AU90" s="742"/>
      <c r="AV90" s="742"/>
      <c r="AW90" s="742"/>
      <c r="AX90" s="742"/>
      <c r="AY90" s="742"/>
      <c r="AZ90" s="742"/>
      <c r="BA90" s="742"/>
      <c r="BB90" s="742"/>
      <c r="BC90" s="742"/>
      <c r="BD90" s="742"/>
      <c r="BE90" s="742"/>
      <c r="BF90" s="742"/>
      <c r="BG90" s="742"/>
      <c r="BH90" s="742"/>
      <c r="BI90" s="742"/>
      <c r="BJ90" s="742"/>
      <c r="BK90" s="742"/>
      <c r="BL90" s="742"/>
      <c r="BM90" s="742"/>
      <c r="BN90" s="742"/>
      <c r="BO90" s="742"/>
      <c r="BP90" s="742"/>
      <c r="BQ90" s="742"/>
      <c r="BR90" s="742"/>
      <c r="BS90" s="742"/>
      <c r="BT90" s="742"/>
      <c r="BU90" s="742"/>
      <c r="BV90" s="742"/>
      <c r="BW90" s="742"/>
      <c r="BX90" s="742"/>
      <c r="BY90" s="742"/>
      <c r="BZ90" s="742"/>
      <c r="CA90" s="742"/>
      <c r="CB90" s="742"/>
      <c r="CC90" s="742"/>
      <c r="CD90" s="742"/>
      <c r="CE90" s="742"/>
      <c r="CF90" s="742"/>
      <c r="CG90" s="742"/>
      <c r="CH90" s="742"/>
      <c r="CI90" s="742"/>
      <c r="CJ90" s="742"/>
      <c r="CK90" s="742"/>
      <c r="CL90" s="742"/>
      <c r="CM90" s="742"/>
      <c r="CN90" s="742"/>
      <c r="CO90" s="742"/>
      <c r="CP90" s="742"/>
      <c r="CQ90" s="742"/>
      <c r="CR90" s="742"/>
      <c r="CS90" s="742"/>
      <c r="CT90" s="742"/>
      <c r="CU90" s="742"/>
      <c r="CV90" s="742"/>
      <c r="CW90" s="742"/>
      <c r="CX90" s="742"/>
      <c r="CY90" s="742"/>
      <c r="CZ90" s="742"/>
      <c r="DA90" s="742"/>
      <c r="DB90" s="742"/>
      <c r="DC90" s="742"/>
      <c r="DD90" s="742"/>
      <c r="DE90" s="742"/>
      <c r="DF90" s="742"/>
      <c r="DG90" s="742"/>
      <c r="DH90" s="742"/>
      <c r="DI90" s="742"/>
      <c r="DJ90" s="742"/>
      <c r="DK90" s="742"/>
      <c r="DL90" s="742"/>
      <c r="DM90" s="742"/>
      <c r="DN90" s="742"/>
      <c r="DO90" s="742"/>
      <c r="DP90" s="742"/>
      <c r="DQ90" s="742"/>
      <c r="DR90" s="742"/>
      <c r="DS90" s="742"/>
      <c r="DT90" s="742"/>
      <c r="DU90" s="742"/>
      <c r="DV90" s="742"/>
      <c r="DW90" s="742"/>
      <c r="DX90" s="742"/>
      <c r="DY90" s="742"/>
      <c r="DZ90" s="742"/>
      <c r="EA90" s="742"/>
      <c r="EB90" s="742"/>
      <c r="EC90" s="742"/>
      <c r="ED90" s="742"/>
      <c r="EE90" s="742"/>
      <c r="EF90" s="742"/>
      <c r="EG90" s="742"/>
      <c r="EH90" s="742"/>
      <c r="EI90" s="742"/>
      <c r="EJ90" s="742"/>
      <c r="EK90" s="742"/>
      <c r="EL90" s="742"/>
      <c r="EM90" s="742"/>
      <c r="EN90" s="742"/>
      <c r="EO90" s="742"/>
      <c r="EP90" s="742"/>
      <c r="EQ90" s="742"/>
      <c r="ER90" s="742"/>
      <c r="ES90" s="742"/>
      <c r="ET90" s="742"/>
      <c r="EU90" s="742"/>
      <c r="EV90" s="742"/>
      <c r="EW90" s="742"/>
      <c r="EX90" s="742"/>
      <c r="EY90" s="742"/>
      <c r="EZ90" s="742"/>
      <c r="FA90" s="742"/>
      <c r="FB90" s="742"/>
      <c r="FC90" s="742"/>
      <c r="FD90" s="742"/>
      <c r="FE90" s="742"/>
      <c r="FF90" s="742"/>
      <c r="FG90" s="742"/>
      <c r="FH90" s="742"/>
      <c r="FI90" s="742"/>
      <c r="FJ90" s="742"/>
      <c r="FK90" s="742"/>
      <c r="FL90" s="742"/>
      <c r="FM90" s="742"/>
      <c r="FN90" s="742"/>
      <c r="FO90" s="742"/>
      <c r="FP90" s="742"/>
      <c r="FQ90" s="742"/>
      <c r="FR90" s="742"/>
      <c r="FS90" s="742"/>
      <c r="FT90" s="742"/>
      <c r="FU90" s="742"/>
      <c r="FV90" s="742"/>
      <c r="FW90" s="742"/>
      <c r="FX90" s="742"/>
      <c r="FY90" s="742"/>
      <c r="FZ90" s="742"/>
      <c r="GA90" s="742"/>
      <c r="GB90" s="742"/>
      <c r="GC90" s="742"/>
      <c r="GD90" s="742"/>
      <c r="GE90" s="742"/>
      <c r="GF90" s="742"/>
      <c r="GG90" s="742"/>
      <c r="GH90" s="742"/>
      <c r="GI90" s="742"/>
      <c r="GJ90" s="742"/>
      <c r="GK90" s="742"/>
      <c r="GL90" s="742"/>
      <c r="GM90" s="742"/>
      <c r="GN90" s="742"/>
      <c r="GO90" s="742"/>
      <c r="GP90" s="742"/>
      <c r="GQ90" s="742"/>
      <c r="GR90" s="742"/>
      <c r="GS90" s="742"/>
      <c r="GT90" s="742"/>
      <c r="GU90" s="742"/>
      <c r="GV90" s="742"/>
      <c r="GW90" s="742"/>
      <c r="GX90" s="742"/>
      <c r="GY90" s="742"/>
      <c r="GZ90" s="742"/>
      <c r="HA90" s="742"/>
      <c r="HB90" s="742"/>
      <c r="HC90" s="742"/>
      <c r="HD90" s="742"/>
      <c r="HE90" s="742"/>
      <c r="HF90" s="743"/>
    </row>
    <row r="91" spans="1:216" ht="15.6">
      <c r="A91" s="690" t="s">
        <v>328</v>
      </c>
      <c r="B91" s="652"/>
      <c r="C91" s="653">
        <f t="shared" ref="C91:AF91" si="28">C3</f>
        <v>46099</v>
      </c>
      <c r="D91" s="653">
        <f t="shared" ref="D91" si="29">D3</f>
        <v>46092</v>
      </c>
      <c r="E91" s="653">
        <f t="shared" si="28"/>
        <v>46085</v>
      </c>
      <c r="F91" s="653">
        <f t="shared" si="28"/>
        <v>46078</v>
      </c>
      <c r="G91" s="653">
        <f t="shared" si="28"/>
        <v>46071</v>
      </c>
      <c r="H91" s="653">
        <f t="shared" si="28"/>
        <v>46064</v>
      </c>
      <c r="I91" s="653">
        <f t="shared" si="28"/>
        <v>46057</v>
      </c>
      <c r="J91" s="653">
        <f t="shared" si="28"/>
        <v>46050</v>
      </c>
      <c r="K91" s="653">
        <f t="shared" si="28"/>
        <v>46043</v>
      </c>
      <c r="L91" s="653">
        <f t="shared" si="28"/>
        <v>46036</v>
      </c>
      <c r="M91" s="653">
        <f t="shared" si="28"/>
        <v>46029</v>
      </c>
      <c r="N91" s="653">
        <f t="shared" si="28"/>
        <v>46022</v>
      </c>
      <c r="O91" s="653">
        <f t="shared" si="28"/>
        <v>46015</v>
      </c>
      <c r="P91" s="653">
        <f t="shared" si="28"/>
        <v>46008</v>
      </c>
      <c r="Q91" s="653">
        <f t="shared" si="28"/>
        <v>46001</v>
      </c>
      <c r="R91" s="653">
        <f t="shared" si="28"/>
        <v>45994</v>
      </c>
      <c r="S91" s="653">
        <f t="shared" si="28"/>
        <v>46092</v>
      </c>
      <c r="T91" s="591">
        <f t="shared" si="28"/>
        <v>45980</v>
      </c>
      <c r="U91" s="591">
        <f t="shared" si="28"/>
        <v>45973</v>
      </c>
      <c r="V91" s="591">
        <f t="shared" si="28"/>
        <v>45966</v>
      </c>
      <c r="W91" s="247">
        <f t="shared" si="28"/>
        <v>45959</v>
      </c>
      <c r="X91" s="247">
        <f t="shared" si="28"/>
        <v>45952</v>
      </c>
      <c r="Y91" s="247">
        <f t="shared" si="28"/>
        <v>45945</v>
      </c>
      <c r="Z91" s="247">
        <f t="shared" si="28"/>
        <v>45938</v>
      </c>
      <c r="AA91" s="247">
        <f t="shared" si="28"/>
        <v>45931</v>
      </c>
      <c r="AB91" s="247">
        <f t="shared" si="28"/>
        <v>45924</v>
      </c>
      <c r="AC91" s="247">
        <f t="shared" si="28"/>
        <v>45917</v>
      </c>
      <c r="AD91" s="247">
        <f t="shared" si="28"/>
        <v>45910</v>
      </c>
      <c r="AE91" s="247">
        <f t="shared" si="28"/>
        <v>46092</v>
      </c>
      <c r="AF91" s="252">
        <f t="shared" si="28"/>
        <v>45896</v>
      </c>
      <c r="AG91" s="252">
        <v>45889</v>
      </c>
      <c r="AH91" s="252">
        <v>45882</v>
      </c>
      <c r="AI91" s="252">
        <v>45875</v>
      </c>
      <c r="AJ91" s="247">
        <v>45868</v>
      </c>
      <c r="AK91" s="252">
        <v>45861</v>
      </c>
      <c r="AL91" s="247">
        <v>45854</v>
      </c>
      <c r="AM91" s="252">
        <v>45847</v>
      </c>
      <c r="AN91" s="252">
        <v>45840</v>
      </c>
      <c r="AO91" s="252">
        <f>AO3</f>
        <v>45833</v>
      </c>
      <c r="AP91" s="247">
        <v>45826</v>
      </c>
      <c r="AQ91" s="247">
        <f t="shared" ref="AQ91:BV91" si="30">AQ3</f>
        <v>45819</v>
      </c>
      <c r="AR91" s="247">
        <f t="shared" si="30"/>
        <v>45812</v>
      </c>
      <c r="AS91" s="247">
        <f t="shared" si="30"/>
        <v>45805</v>
      </c>
      <c r="AT91" s="247">
        <f t="shared" si="30"/>
        <v>45798</v>
      </c>
      <c r="AU91" s="247">
        <f t="shared" si="30"/>
        <v>45792</v>
      </c>
      <c r="AV91" s="247">
        <f t="shared" si="30"/>
        <v>45785</v>
      </c>
      <c r="AW91" s="247">
        <f t="shared" si="30"/>
        <v>45777</v>
      </c>
      <c r="AX91" s="247">
        <f t="shared" si="30"/>
        <v>45771</v>
      </c>
      <c r="AY91" s="247">
        <f t="shared" si="30"/>
        <v>45763</v>
      </c>
      <c r="AZ91" s="247">
        <f t="shared" si="30"/>
        <v>45757</v>
      </c>
      <c r="BA91" s="247">
        <f t="shared" si="30"/>
        <v>45750</v>
      </c>
      <c r="BB91" s="247">
        <f t="shared" si="30"/>
        <v>45742</v>
      </c>
      <c r="BC91" s="247" t="e">
        <f t="shared" si="30"/>
        <v>#REF!</v>
      </c>
      <c r="BD91" s="247">
        <f t="shared" si="30"/>
        <v>45729</v>
      </c>
      <c r="BE91" s="247">
        <f t="shared" si="30"/>
        <v>45722</v>
      </c>
      <c r="BF91" s="247">
        <f t="shared" si="30"/>
        <v>45715</v>
      </c>
      <c r="BG91" s="247">
        <f t="shared" si="30"/>
        <v>45708</v>
      </c>
      <c r="BH91" s="247">
        <f t="shared" si="30"/>
        <v>45701</v>
      </c>
      <c r="BI91" s="247">
        <f t="shared" si="30"/>
        <v>45694</v>
      </c>
      <c r="BJ91" s="247">
        <f t="shared" si="30"/>
        <v>45688</v>
      </c>
      <c r="BK91" s="247">
        <f t="shared" si="30"/>
        <v>45315</v>
      </c>
      <c r="BL91" s="247">
        <f t="shared" si="30"/>
        <v>45673</v>
      </c>
      <c r="BM91" s="247">
        <f t="shared" si="30"/>
        <v>45666</v>
      </c>
      <c r="BN91" s="247">
        <f t="shared" si="30"/>
        <v>45659</v>
      </c>
      <c r="BO91" s="247">
        <f t="shared" si="30"/>
        <v>45652</v>
      </c>
      <c r="BP91" s="247">
        <f t="shared" si="30"/>
        <v>45645</v>
      </c>
      <c r="BQ91" s="247">
        <f t="shared" si="30"/>
        <v>45638</v>
      </c>
      <c r="BR91" s="247">
        <f t="shared" si="30"/>
        <v>45631</v>
      </c>
      <c r="BS91" s="247">
        <f t="shared" si="30"/>
        <v>45625</v>
      </c>
      <c r="BT91" s="247">
        <f t="shared" si="30"/>
        <v>45617</v>
      </c>
      <c r="BU91" s="247">
        <f t="shared" si="30"/>
        <v>45610</v>
      </c>
      <c r="BV91" s="247">
        <f t="shared" si="30"/>
        <v>45603</v>
      </c>
      <c r="BW91" s="247">
        <f t="shared" ref="BW91:DB91" si="31">BW3</f>
        <v>45595</v>
      </c>
      <c r="BX91" s="247">
        <f t="shared" si="31"/>
        <v>45591</v>
      </c>
      <c r="BY91" s="247">
        <f t="shared" si="31"/>
        <v>45582</v>
      </c>
      <c r="BZ91" s="247">
        <f t="shared" si="31"/>
        <v>45575</v>
      </c>
      <c r="CA91" s="247">
        <f t="shared" si="31"/>
        <v>45568</v>
      </c>
      <c r="CB91" s="247">
        <f t="shared" si="31"/>
        <v>45561</v>
      </c>
      <c r="CC91" s="247">
        <f t="shared" si="31"/>
        <v>45554</v>
      </c>
      <c r="CD91" s="247">
        <f t="shared" si="31"/>
        <v>45547</v>
      </c>
      <c r="CE91" s="247">
        <f t="shared" si="31"/>
        <v>45540</v>
      </c>
      <c r="CF91" s="247">
        <f t="shared" si="31"/>
        <v>45533</v>
      </c>
      <c r="CG91" s="247">
        <f t="shared" si="31"/>
        <v>45526</v>
      </c>
      <c r="CH91" s="247">
        <f t="shared" si="31"/>
        <v>45519</v>
      </c>
      <c r="CI91" s="247">
        <f t="shared" si="31"/>
        <v>45511</v>
      </c>
      <c r="CJ91" s="247">
        <f t="shared" si="31"/>
        <v>45505</v>
      </c>
      <c r="CK91" s="247">
        <f t="shared" si="31"/>
        <v>45498</v>
      </c>
      <c r="CL91" s="247">
        <f t="shared" si="31"/>
        <v>45492</v>
      </c>
      <c r="CM91" s="247" t="str">
        <f t="shared" si="31"/>
        <v>11/7/224</v>
      </c>
      <c r="CN91" s="247">
        <f t="shared" si="31"/>
        <v>45477</v>
      </c>
      <c r="CO91" s="247">
        <f t="shared" si="31"/>
        <v>45464</v>
      </c>
      <c r="CP91" s="247">
        <f t="shared" si="31"/>
        <v>45456</v>
      </c>
      <c r="CQ91" s="247">
        <f t="shared" si="31"/>
        <v>45449</v>
      </c>
      <c r="CR91" s="247">
        <f t="shared" si="31"/>
        <v>45442</v>
      </c>
      <c r="CS91" s="247">
        <f t="shared" si="31"/>
        <v>45435</v>
      </c>
      <c r="CT91" s="247">
        <f t="shared" si="31"/>
        <v>45428</v>
      </c>
      <c r="CU91" s="247">
        <f t="shared" si="31"/>
        <v>45421</v>
      </c>
      <c r="CV91" s="247">
        <f t="shared" si="31"/>
        <v>45414</v>
      </c>
      <c r="CW91" s="247">
        <f t="shared" si="31"/>
        <v>45407</v>
      </c>
      <c r="CX91" s="247">
        <f t="shared" si="31"/>
        <v>45400</v>
      </c>
      <c r="CY91" s="247">
        <f t="shared" si="31"/>
        <v>45393</v>
      </c>
      <c r="CZ91" s="247">
        <f t="shared" si="31"/>
        <v>45386</v>
      </c>
      <c r="DA91" s="247">
        <f t="shared" si="31"/>
        <v>45378</v>
      </c>
      <c r="DB91" s="247">
        <f t="shared" si="31"/>
        <v>45372</v>
      </c>
      <c r="DC91" s="247">
        <f t="shared" ref="DC91:EH91" si="32">DC3</f>
        <v>45365</v>
      </c>
      <c r="DD91" s="247">
        <f t="shared" si="32"/>
        <v>45358</v>
      </c>
      <c r="DE91" s="247">
        <f t="shared" si="32"/>
        <v>45351</v>
      </c>
      <c r="DF91" s="247">
        <f t="shared" si="32"/>
        <v>45343</v>
      </c>
      <c r="DG91" s="247">
        <f t="shared" si="32"/>
        <v>45336</v>
      </c>
      <c r="DH91" s="247">
        <f t="shared" si="32"/>
        <v>45329</v>
      </c>
      <c r="DI91" s="247">
        <f t="shared" si="32"/>
        <v>45323</v>
      </c>
      <c r="DJ91" s="247">
        <f t="shared" si="32"/>
        <v>45316</v>
      </c>
      <c r="DK91" s="247">
        <f t="shared" si="32"/>
        <v>45309</v>
      </c>
      <c r="DL91" s="247">
        <f t="shared" si="32"/>
        <v>45302</v>
      </c>
      <c r="DM91" s="247">
        <f t="shared" si="32"/>
        <v>45295</v>
      </c>
      <c r="DN91" s="247">
        <f t="shared" si="32"/>
        <v>45288</v>
      </c>
      <c r="DO91" s="247">
        <f t="shared" si="32"/>
        <v>45281</v>
      </c>
      <c r="DP91" s="247" t="str">
        <f t="shared" si="32"/>
        <v>14/21/2023</v>
      </c>
      <c r="DQ91" s="247">
        <f t="shared" si="32"/>
        <v>45267</v>
      </c>
      <c r="DR91" s="247">
        <f t="shared" si="32"/>
        <v>45260</v>
      </c>
      <c r="DS91" s="247">
        <f t="shared" si="32"/>
        <v>45253</v>
      </c>
      <c r="DT91" s="247">
        <f t="shared" si="32"/>
        <v>45246</v>
      </c>
      <c r="DU91" s="247">
        <f t="shared" si="32"/>
        <v>45239</v>
      </c>
      <c r="DV91" s="247">
        <f t="shared" si="32"/>
        <v>45232</v>
      </c>
      <c r="DW91" s="247">
        <f t="shared" si="32"/>
        <v>45225</v>
      </c>
      <c r="DX91" s="247">
        <f t="shared" si="32"/>
        <v>45218</v>
      </c>
      <c r="DY91" s="247">
        <f t="shared" si="32"/>
        <v>45211</v>
      </c>
      <c r="DZ91" s="247">
        <f t="shared" si="32"/>
        <v>45204</v>
      </c>
      <c r="EA91" s="247">
        <f t="shared" si="32"/>
        <v>45197</v>
      </c>
      <c r="EB91" s="247">
        <f t="shared" si="32"/>
        <v>45190</v>
      </c>
      <c r="EC91" s="247">
        <f t="shared" si="32"/>
        <v>45183</v>
      </c>
      <c r="ED91" s="247">
        <f t="shared" si="32"/>
        <v>45176</v>
      </c>
      <c r="EE91" s="247">
        <f t="shared" si="32"/>
        <v>45168</v>
      </c>
      <c r="EF91" s="247">
        <f t="shared" si="32"/>
        <v>45162</v>
      </c>
      <c r="EG91" s="247">
        <f t="shared" si="32"/>
        <v>45155</v>
      </c>
      <c r="EH91" s="247">
        <f t="shared" si="32"/>
        <v>45148</v>
      </c>
      <c r="EI91" s="247">
        <v>45141</v>
      </c>
      <c r="EJ91" s="247">
        <v>45134</v>
      </c>
      <c r="EK91" s="247">
        <v>45127</v>
      </c>
      <c r="EL91" s="247">
        <v>45120</v>
      </c>
      <c r="EM91" s="247">
        <v>45113</v>
      </c>
      <c r="EN91" s="247">
        <v>45105</v>
      </c>
      <c r="EO91" s="247">
        <v>45099</v>
      </c>
      <c r="EP91" s="247">
        <v>45092</v>
      </c>
      <c r="EQ91" s="247">
        <v>45085</v>
      </c>
      <c r="ER91" s="247">
        <v>45076</v>
      </c>
      <c r="ES91" s="247">
        <v>45070</v>
      </c>
      <c r="ET91" s="247">
        <v>45063</v>
      </c>
      <c r="EU91" s="247">
        <v>45056</v>
      </c>
      <c r="EV91" s="247">
        <v>45049</v>
      </c>
      <c r="EW91" s="247">
        <v>45042</v>
      </c>
      <c r="EX91" s="247">
        <v>45035</v>
      </c>
      <c r="EY91" s="247">
        <v>45028</v>
      </c>
      <c r="EZ91" s="244"/>
      <c r="FA91" s="247">
        <v>44803</v>
      </c>
      <c r="FB91" s="251"/>
      <c r="FC91" s="244"/>
      <c r="FD91" s="248">
        <v>44706</v>
      </c>
      <c r="FE91" s="251"/>
      <c r="FF91" s="250"/>
      <c r="FG91" s="244"/>
      <c r="FH91" s="243" t="s">
        <v>118</v>
      </c>
      <c r="FI91" s="249">
        <v>44685</v>
      </c>
      <c r="FJ91" s="248">
        <v>44699</v>
      </c>
      <c r="FK91" s="248">
        <v>44690</v>
      </c>
      <c r="FL91" s="248">
        <v>44713</v>
      </c>
      <c r="FM91" s="248">
        <v>44720</v>
      </c>
      <c r="FN91" s="247">
        <v>44727</v>
      </c>
      <c r="FO91" s="247">
        <v>44733</v>
      </c>
      <c r="FP91" s="247">
        <v>44741</v>
      </c>
      <c r="FQ91" s="247">
        <v>44755</v>
      </c>
      <c r="FR91" s="247">
        <v>44748</v>
      </c>
      <c r="FS91" s="247">
        <v>44769</v>
      </c>
      <c r="FT91" s="247">
        <v>44762</v>
      </c>
      <c r="FU91" s="247">
        <v>44783</v>
      </c>
      <c r="FV91" s="247">
        <v>44776</v>
      </c>
      <c r="FW91" s="247">
        <v>44797</v>
      </c>
      <c r="FX91" s="247">
        <v>44790</v>
      </c>
      <c r="FY91" s="247">
        <v>44805</v>
      </c>
      <c r="FZ91" s="247">
        <v>45000</v>
      </c>
      <c r="GA91" s="247">
        <v>44993</v>
      </c>
      <c r="GB91" s="247">
        <v>44986</v>
      </c>
      <c r="GC91" s="247">
        <v>44979</v>
      </c>
      <c r="GD91" s="247">
        <v>44972</v>
      </c>
      <c r="GE91" s="247">
        <v>44965</v>
      </c>
      <c r="GF91" s="247">
        <v>44958</v>
      </c>
      <c r="GG91" s="247">
        <v>44951</v>
      </c>
      <c r="GH91" s="247">
        <v>44944</v>
      </c>
      <c r="GI91" s="247">
        <v>44937</v>
      </c>
      <c r="GJ91" s="247">
        <v>44930</v>
      </c>
      <c r="GK91" s="247">
        <v>44923</v>
      </c>
      <c r="GL91" s="247">
        <v>44916</v>
      </c>
      <c r="GM91" s="247">
        <v>44910</v>
      </c>
      <c r="GN91" s="247">
        <v>44902</v>
      </c>
      <c r="GO91" s="247">
        <v>44896</v>
      </c>
      <c r="GP91" s="247">
        <v>44888</v>
      </c>
      <c r="GQ91" s="247">
        <v>44881</v>
      </c>
      <c r="GR91" s="247">
        <v>44874</v>
      </c>
      <c r="GS91" s="247">
        <v>44868</v>
      </c>
      <c r="GT91" s="247">
        <v>44860</v>
      </c>
      <c r="GU91" s="247">
        <v>44853</v>
      </c>
      <c r="GV91" s="247">
        <v>44846</v>
      </c>
      <c r="GW91" s="247">
        <v>44839</v>
      </c>
      <c r="GX91" s="247">
        <v>44831</v>
      </c>
      <c r="GY91" s="247">
        <v>44825</v>
      </c>
      <c r="GZ91" s="247">
        <v>44818</v>
      </c>
      <c r="HA91" s="247">
        <v>44811</v>
      </c>
      <c r="HB91" s="247">
        <v>45002</v>
      </c>
      <c r="HC91" s="247">
        <v>45020</v>
      </c>
      <c r="HD91" s="247">
        <v>45014</v>
      </c>
      <c r="HE91" s="247">
        <v>45008</v>
      </c>
      <c r="HF91" s="244"/>
    </row>
    <row r="92" spans="1:216" ht="15.6">
      <c r="A92" s="690"/>
      <c r="B92" s="650" t="s">
        <v>327</v>
      </c>
      <c r="C92" s="246" t="s">
        <v>325</v>
      </c>
      <c r="D92" s="246" t="s">
        <v>325</v>
      </c>
      <c r="E92" s="246" t="s">
        <v>325</v>
      </c>
      <c r="F92" s="246" t="s">
        <v>325</v>
      </c>
      <c r="G92" s="246" t="s">
        <v>325</v>
      </c>
      <c r="H92" s="246" t="s">
        <v>325</v>
      </c>
      <c r="I92" s="246" t="s">
        <v>325</v>
      </c>
      <c r="J92" s="246" t="s">
        <v>325</v>
      </c>
      <c r="K92" s="246" t="s">
        <v>325</v>
      </c>
      <c r="L92" s="246" t="s">
        <v>325</v>
      </c>
      <c r="M92" s="246" t="s">
        <v>325</v>
      </c>
      <c r="N92" s="246" t="s">
        <v>325</v>
      </c>
      <c r="O92" s="246" t="s">
        <v>325</v>
      </c>
      <c r="P92" s="246" t="s">
        <v>325</v>
      </c>
      <c r="Q92" s="246" t="s">
        <v>325</v>
      </c>
      <c r="R92" s="246" t="s">
        <v>325</v>
      </c>
      <c r="S92" s="246" t="s">
        <v>325</v>
      </c>
      <c r="T92" s="246" t="s">
        <v>325</v>
      </c>
      <c r="U92" s="246" t="s">
        <v>325</v>
      </c>
      <c r="V92" s="246" t="s">
        <v>325</v>
      </c>
      <c r="W92" s="246" t="s">
        <v>325</v>
      </c>
      <c r="X92" s="246" t="s">
        <v>325</v>
      </c>
      <c r="Y92" s="246" t="s">
        <v>325</v>
      </c>
      <c r="Z92" s="246" t="s">
        <v>325</v>
      </c>
      <c r="AA92" s="246" t="s">
        <v>325</v>
      </c>
      <c r="AB92" s="246" t="s">
        <v>325</v>
      </c>
      <c r="AC92" s="246" t="s">
        <v>325</v>
      </c>
      <c r="AD92" s="246" t="s">
        <v>325</v>
      </c>
      <c r="AE92" s="246" t="s">
        <v>325</v>
      </c>
      <c r="AF92" s="245" t="s">
        <v>325</v>
      </c>
      <c r="AG92" s="245" t="s">
        <v>325</v>
      </c>
      <c r="AH92" s="245" t="s">
        <v>325</v>
      </c>
      <c r="AI92" s="245" t="s">
        <v>325</v>
      </c>
      <c r="AJ92" s="246" t="s">
        <v>325</v>
      </c>
      <c r="AK92" s="245" t="s">
        <v>325</v>
      </c>
      <c r="AL92" s="246" t="s">
        <v>325</v>
      </c>
      <c r="AM92" s="245" t="s">
        <v>325</v>
      </c>
      <c r="AN92" s="245" t="s">
        <v>325</v>
      </c>
      <c r="AO92" s="245" t="s">
        <v>325</v>
      </c>
      <c r="AP92" s="242" t="s">
        <v>325</v>
      </c>
      <c r="AQ92" s="242" t="s">
        <v>325</v>
      </c>
      <c r="AR92" s="242" t="s">
        <v>325</v>
      </c>
      <c r="AS92" s="242" t="s">
        <v>325</v>
      </c>
      <c r="AT92" s="242" t="s">
        <v>325</v>
      </c>
      <c r="AU92" s="242" t="s">
        <v>325</v>
      </c>
      <c r="AV92" s="242" t="s">
        <v>325</v>
      </c>
      <c r="AW92" s="242" t="s">
        <v>325</v>
      </c>
      <c r="AX92" s="242" t="s">
        <v>325</v>
      </c>
      <c r="AY92" s="242" t="s">
        <v>325</v>
      </c>
      <c r="AZ92" s="242" t="s">
        <v>325</v>
      </c>
      <c r="BA92" s="242" t="s">
        <v>325</v>
      </c>
      <c r="BB92" s="242" t="s">
        <v>325</v>
      </c>
      <c r="BC92" s="242" t="s">
        <v>325</v>
      </c>
      <c r="BD92" s="242" t="s">
        <v>325</v>
      </c>
      <c r="BE92" s="242" t="s">
        <v>325</v>
      </c>
      <c r="BF92" s="242" t="s">
        <v>325</v>
      </c>
      <c r="BG92" s="242" t="s">
        <v>325</v>
      </c>
      <c r="BH92" s="242" t="s">
        <v>325</v>
      </c>
      <c r="BI92" s="242" t="s">
        <v>325</v>
      </c>
      <c r="BJ92" s="242" t="s">
        <v>325</v>
      </c>
      <c r="BK92" s="242" t="s">
        <v>325</v>
      </c>
      <c r="BL92" s="242" t="s">
        <v>325</v>
      </c>
      <c r="BM92" s="242" t="s">
        <v>325</v>
      </c>
      <c r="BN92" s="242" t="s">
        <v>325</v>
      </c>
      <c r="BO92" s="242" t="s">
        <v>325</v>
      </c>
      <c r="BP92" s="242" t="s">
        <v>325</v>
      </c>
      <c r="BQ92" s="242" t="s">
        <v>325</v>
      </c>
      <c r="BR92" s="242" t="s">
        <v>325</v>
      </c>
      <c r="BS92" s="242" t="s">
        <v>325</v>
      </c>
      <c r="BT92" s="242" t="s">
        <v>325</v>
      </c>
      <c r="BU92" s="242" t="s">
        <v>325</v>
      </c>
      <c r="BV92" s="242" t="s">
        <v>325</v>
      </c>
      <c r="BW92" s="242" t="s">
        <v>325</v>
      </c>
      <c r="BX92" s="242" t="s">
        <v>325</v>
      </c>
      <c r="BY92" s="242" t="s">
        <v>325</v>
      </c>
      <c r="BZ92" s="242" t="s">
        <v>325</v>
      </c>
      <c r="CA92" s="242" t="s">
        <v>325</v>
      </c>
      <c r="CB92" s="242" t="s">
        <v>325</v>
      </c>
      <c r="CC92" s="242" t="s">
        <v>325</v>
      </c>
      <c r="CD92" s="242" t="s">
        <v>325</v>
      </c>
      <c r="CE92" s="242" t="s">
        <v>325</v>
      </c>
      <c r="CF92" s="242" t="s">
        <v>325</v>
      </c>
      <c r="CG92" s="242" t="s">
        <v>325</v>
      </c>
      <c r="CH92" s="242" t="s">
        <v>325</v>
      </c>
      <c r="CI92" s="242" t="s">
        <v>325</v>
      </c>
      <c r="CJ92" s="242" t="s">
        <v>325</v>
      </c>
      <c r="CK92" s="242" t="s">
        <v>325</v>
      </c>
      <c r="CL92" s="242" t="s">
        <v>325</v>
      </c>
      <c r="CM92" s="242" t="s">
        <v>325</v>
      </c>
      <c r="CN92" s="242" t="s">
        <v>325</v>
      </c>
      <c r="CO92" s="242" t="s">
        <v>325</v>
      </c>
      <c r="CP92" s="242" t="s">
        <v>325</v>
      </c>
      <c r="CQ92" s="242" t="s">
        <v>325</v>
      </c>
      <c r="CR92" s="242" t="s">
        <v>325</v>
      </c>
      <c r="CS92" s="242" t="s">
        <v>325</v>
      </c>
      <c r="CT92" s="242" t="s">
        <v>325</v>
      </c>
      <c r="CU92" s="242" t="s">
        <v>325</v>
      </c>
      <c r="CV92" s="242" t="s">
        <v>325</v>
      </c>
      <c r="CW92" s="242" t="s">
        <v>325</v>
      </c>
      <c r="CX92" s="242" t="s">
        <v>325</v>
      </c>
      <c r="CY92" s="242" t="s">
        <v>325</v>
      </c>
      <c r="CZ92" s="242" t="s">
        <v>325</v>
      </c>
      <c r="DA92" s="242" t="s">
        <v>325</v>
      </c>
      <c r="DB92" s="242" t="s">
        <v>325</v>
      </c>
      <c r="DC92" s="242" t="s">
        <v>325</v>
      </c>
      <c r="DD92" s="242" t="s">
        <v>325</v>
      </c>
      <c r="DE92" s="242" t="s">
        <v>325</v>
      </c>
      <c r="DF92" s="242" t="s">
        <v>325</v>
      </c>
      <c r="DG92" s="242" t="s">
        <v>325</v>
      </c>
      <c r="DH92" s="242" t="s">
        <v>325</v>
      </c>
      <c r="DI92" s="242" t="s">
        <v>325</v>
      </c>
      <c r="DJ92" s="242" t="s">
        <v>325</v>
      </c>
      <c r="DK92" s="242" t="s">
        <v>325</v>
      </c>
      <c r="DL92" s="242" t="s">
        <v>325</v>
      </c>
      <c r="DM92" s="242" t="s">
        <v>325</v>
      </c>
      <c r="DN92" s="242" t="s">
        <v>325</v>
      </c>
      <c r="DO92" s="242" t="s">
        <v>325</v>
      </c>
      <c r="DP92" s="242" t="s">
        <v>325</v>
      </c>
      <c r="DQ92" s="242" t="s">
        <v>325</v>
      </c>
      <c r="DR92" s="242" t="s">
        <v>325</v>
      </c>
      <c r="DS92" s="242" t="s">
        <v>325</v>
      </c>
      <c r="DT92" s="242" t="s">
        <v>325</v>
      </c>
      <c r="DU92" s="242" t="s">
        <v>325</v>
      </c>
      <c r="DV92" s="242" t="s">
        <v>325</v>
      </c>
      <c r="DW92" s="242" t="s">
        <v>325</v>
      </c>
      <c r="DX92" s="242" t="s">
        <v>325</v>
      </c>
      <c r="DY92" s="242" t="s">
        <v>325</v>
      </c>
      <c r="DZ92" s="242" t="s">
        <v>325</v>
      </c>
      <c r="EA92" s="242" t="s">
        <v>325</v>
      </c>
      <c r="EB92" s="242" t="s">
        <v>325</v>
      </c>
      <c r="EC92" s="242" t="s">
        <v>325</v>
      </c>
      <c r="ED92" s="242" t="s">
        <v>325</v>
      </c>
      <c r="EE92" s="242" t="s">
        <v>325</v>
      </c>
      <c r="EF92" s="242" t="s">
        <v>325</v>
      </c>
      <c r="EG92" s="242" t="s">
        <v>325</v>
      </c>
      <c r="EH92" s="242" t="s">
        <v>325</v>
      </c>
      <c r="EI92" s="242" t="s">
        <v>325</v>
      </c>
      <c r="EJ92" s="242" t="s">
        <v>325</v>
      </c>
      <c r="EK92" s="242" t="s">
        <v>325</v>
      </c>
      <c r="EL92" s="242" t="s">
        <v>325</v>
      </c>
      <c r="EM92" s="242" t="s">
        <v>325</v>
      </c>
      <c r="EN92" s="242" t="s">
        <v>325</v>
      </c>
      <c r="EO92" s="242" t="s">
        <v>325</v>
      </c>
      <c r="EP92" s="242" t="s">
        <v>325</v>
      </c>
      <c r="EQ92" s="242" t="s">
        <v>325</v>
      </c>
      <c r="ER92" s="242" t="s">
        <v>325</v>
      </c>
      <c r="ES92" s="242" t="s">
        <v>325</v>
      </c>
      <c r="ET92" s="242" t="s">
        <v>325</v>
      </c>
      <c r="EU92" s="242" t="s">
        <v>325</v>
      </c>
      <c r="EV92" s="242" t="s">
        <v>325</v>
      </c>
      <c r="EW92" s="242" t="s">
        <v>325</v>
      </c>
      <c r="EX92" s="242" t="s">
        <v>325</v>
      </c>
      <c r="EY92" s="242" t="s">
        <v>325</v>
      </c>
      <c r="EZ92" s="244" t="s">
        <v>120</v>
      </c>
      <c r="FA92" s="242" t="s">
        <v>325</v>
      </c>
      <c r="FB92" s="243" t="s">
        <v>327</v>
      </c>
      <c r="FC92" s="244" t="s">
        <v>120</v>
      </c>
      <c r="FD92" s="243" t="s">
        <v>325</v>
      </c>
      <c r="FE92" s="243" t="s">
        <v>327</v>
      </c>
      <c r="FF92" s="244" t="s">
        <v>120</v>
      </c>
      <c r="FG92" s="244" t="s">
        <v>326</v>
      </c>
      <c r="FH92" s="243" t="s">
        <v>325</v>
      </c>
      <c r="FI92" s="244" t="s">
        <v>325</v>
      </c>
      <c r="FJ92" s="243" t="s">
        <v>325</v>
      </c>
      <c r="FK92" s="243" t="s">
        <v>325</v>
      </c>
      <c r="FL92" s="243" t="s">
        <v>325</v>
      </c>
      <c r="FM92" s="243" t="s">
        <v>325</v>
      </c>
      <c r="FN92" s="242" t="s">
        <v>325</v>
      </c>
      <c r="FO92" s="242" t="s">
        <v>325</v>
      </c>
      <c r="FP92" s="242" t="s">
        <v>325</v>
      </c>
      <c r="FQ92" s="242" t="s">
        <v>325</v>
      </c>
      <c r="FR92" s="242" t="s">
        <v>325</v>
      </c>
      <c r="FS92" s="242" t="s">
        <v>325</v>
      </c>
      <c r="FT92" s="242" t="s">
        <v>325</v>
      </c>
      <c r="FU92" s="242" t="s">
        <v>325</v>
      </c>
      <c r="FV92" s="242" t="s">
        <v>325</v>
      </c>
      <c r="FW92" s="242" t="s">
        <v>325</v>
      </c>
      <c r="FX92" s="242" t="s">
        <v>325</v>
      </c>
      <c r="FY92" s="242" t="s">
        <v>325</v>
      </c>
      <c r="FZ92" s="242" t="s">
        <v>325</v>
      </c>
      <c r="GA92" s="242" t="s">
        <v>325</v>
      </c>
      <c r="GB92" s="242" t="s">
        <v>325</v>
      </c>
      <c r="GC92" s="242" t="s">
        <v>325</v>
      </c>
      <c r="GD92" s="242" t="s">
        <v>325</v>
      </c>
      <c r="GE92" s="242" t="s">
        <v>325</v>
      </c>
      <c r="GF92" s="242" t="s">
        <v>325</v>
      </c>
      <c r="GG92" s="242" t="s">
        <v>325</v>
      </c>
      <c r="GH92" s="242" t="s">
        <v>325</v>
      </c>
      <c r="GI92" s="242" t="s">
        <v>325</v>
      </c>
      <c r="GJ92" s="242" t="s">
        <v>325</v>
      </c>
      <c r="GK92" s="242" t="s">
        <v>325</v>
      </c>
      <c r="GL92" s="242" t="s">
        <v>325</v>
      </c>
      <c r="GM92" s="242" t="s">
        <v>325</v>
      </c>
      <c r="GN92" s="242" t="s">
        <v>325</v>
      </c>
      <c r="GO92" s="242" t="s">
        <v>325</v>
      </c>
      <c r="GP92" s="242" t="s">
        <v>325</v>
      </c>
      <c r="GQ92" s="242" t="s">
        <v>325</v>
      </c>
      <c r="GR92" s="242" t="s">
        <v>325</v>
      </c>
      <c r="GS92" s="242" t="s">
        <v>325</v>
      </c>
      <c r="GT92" s="242" t="s">
        <v>325</v>
      </c>
      <c r="GU92" s="242" t="s">
        <v>325</v>
      </c>
      <c r="GV92" s="242" t="s">
        <v>325</v>
      </c>
      <c r="GW92" s="242" t="s">
        <v>325</v>
      </c>
      <c r="GX92" s="242" t="s">
        <v>325</v>
      </c>
      <c r="GY92" s="242" t="s">
        <v>325</v>
      </c>
      <c r="GZ92" s="242" t="s">
        <v>325</v>
      </c>
      <c r="HA92" s="242" t="s">
        <v>325</v>
      </c>
      <c r="HB92" s="242" t="s">
        <v>325</v>
      </c>
      <c r="HC92" s="242" t="s">
        <v>325</v>
      </c>
      <c r="HD92" s="242" t="s">
        <v>325</v>
      </c>
      <c r="HE92" s="242" t="s">
        <v>325</v>
      </c>
      <c r="HF92" s="244" t="s">
        <v>324</v>
      </c>
    </row>
    <row r="93" spans="1:216" ht="39" customHeight="1">
      <c r="A93" s="244" t="s">
        <v>29</v>
      </c>
      <c r="B93" s="765" t="s">
        <v>797</v>
      </c>
      <c r="C93" s="234">
        <v>1.2999999999999999E-2</v>
      </c>
      <c r="D93" s="234">
        <v>1.2999999999999999E-2</v>
      </c>
      <c r="E93" s="234">
        <v>1.2999999999999999E-2</v>
      </c>
      <c r="F93" s="234">
        <v>1.2999999999999999E-2</v>
      </c>
      <c r="G93" s="234">
        <v>1.2999999999999999E-2</v>
      </c>
      <c r="H93" s="746">
        <v>1.2999999999999999E-2</v>
      </c>
      <c r="I93" s="746"/>
      <c r="J93" s="234">
        <v>1.2999999999999999E-2</v>
      </c>
      <c r="K93" s="746">
        <v>1.2999999999999999E-2</v>
      </c>
      <c r="L93" s="234"/>
      <c r="M93" s="234" t="s">
        <v>124</v>
      </c>
      <c r="N93" s="234" t="s">
        <v>124</v>
      </c>
      <c r="O93" s="234">
        <v>1.2999999999999999E-2</v>
      </c>
      <c r="P93" s="234">
        <v>1.2999999999999999E-2</v>
      </c>
      <c r="Q93" s="718">
        <v>1.2999999999999999E-2</v>
      </c>
      <c r="R93" s="714"/>
      <c r="S93" s="714"/>
      <c r="T93" s="715"/>
      <c r="U93" s="715"/>
      <c r="V93" s="715"/>
      <c r="W93" s="284">
        <v>3.6499999999999998E-2</v>
      </c>
      <c r="X93" s="284">
        <v>3.6499999999999998E-2</v>
      </c>
      <c r="Y93" s="284">
        <v>3.6499999999999998E-2</v>
      </c>
      <c r="Z93" s="284">
        <v>3.6499999999999998E-2</v>
      </c>
      <c r="AA93" s="284">
        <v>3.6499999999999998E-2</v>
      </c>
      <c r="AB93" s="284">
        <v>3.6499999999999998E-2</v>
      </c>
      <c r="AC93" s="284">
        <v>3.6499999999999998E-2</v>
      </c>
      <c r="AD93" s="284">
        <v>3.6499999999999998E-2</v>
      </c>
      <c r="AE93" s="284">
        <v>3.6499999999999998E-2</v>
      </c>
      <c r="AF93" s="716">
        <v>3.6499999999999998E-2</v>
      </c>
      <c r="AG93" s="716">
        <v>3.6499999999999998E-2</v>
      </c>
      <c r="AH93" s="716">
        <v>3.6499999999999998E-2</v>
      </c>
      <c r="AI93" s="716">
        <v>3.6499999999999998E-2</v>
      </c>
      <c r="AJ93" s="284">
        <v>3.6499999999999998E-2</v>
      </c>
      <c r="AK93" s="716">
        <v>3.6499999999999998E-2</v>
      </c>
      <c r="AL93" s="284">
        <v>3.6499999999999998E-2</v>
      </c>
      <c r="AM93" s="716">
        <v>3.6499999999999998E-2</v>
      </c>
      <c r="AN93" s="716">
        <v>3.6499999999999998E-2</v>
      </c>
      <c r="AO93" s="716">
        <v>3.6499999999999998E-2</v>
      </c>
      <c r="AP93" s="284">
        <v>3.6499999999999998E-2</v>
      </c>
      <c r="AQ93" s="284">
        <v>3.6499999999999998E-2</v>
      </c>
      <c r="AR93" s="284">
        <v>3.6499999999999998E-2</v>
      </c>
      <c r="AS93" s="284">
        <v>3.6499999999999998E-2</v>
      </c>
      <c r="AT93" s="284">
        <v>3.6499999999999998E-2</v>
      </c>
      <c r="AU93" s="284">
        <v>3.6499999999999998E-2</v>
      </c>
      <c r="AV93" s="284">
        <v>3.6499999999999998E-2</v>
      </c>
      <c r="AW93" s="284">
        <v>3.6499999999999998E-2</v>
      </c>
      <c r="AX93" s="284">
        <v>3.6499999999999998E-2</v>
      </c>
      <c r="AY93" s="284">
        <v>3.6499999999999998E-2</v>
      </c>
      <c r="AZ93" s="284">
        <v>3.6499999999999998E-2</v>
      </c>
      <c r="BA93" s="284">
        <v>3.6499999999999998E-2</v>
      </c>
      <c r="BB93" s="284">
        <v>3.6499999999999998E-2</v>
      </c>
      <c r="BC93" s="284">
        <v>3.6499999999999998E-2</v>
      </c>
      <c r="BD93" s="284">
        <v>3.6499999999999998E-2</v>
      </c>
      <c r="BE93" s="284">
        <v>3.6499999999999998E-2</v>
      </c>
      <c r="BF93" s="284">
        <v>3.6499999999999998E-2</v>
      </c>
      <c r="BG93" s="284">
        <v>3.6499999999999998E-2</v>
      </c>
      <c r="BH93" s="284">
        <v>3.6499999999999998E-2</v>
      </c>
      <c r="BI93" s="284">
        <v>3.6499999999999998E-2</v>
      </c>
      <c r="BJ93" s="284">
        <v>3.6499999999999998E-2</v>
      </c>
      <c r="BK93" s="284">
        <v>3.6499999999999998E-2</v>
      </c>
      <c r="BL93" s="284">
        <v>3.6499999999999998E-2</v>
      </c>
      <c r="BM93" s="284">
        <v>3.6499999999999998E-2</v>
      </c>
      <c r="BN93" s="284">
        <v>3.6499999999999998E-2</v>
      </c>
      <c r="BO93" s="284">
        <v>3.6499999999999998E-2</v>
      </c>
      <c r="BP93" s="284">
        <v>3.6499999999999998E-2</v>
      </c>
      <c r="BQ93" s="284">
        <v>3.6499999999999998E-2</v>
      </c>
      <c r="BR93" s="284">
        <v>3.6499999999999998E-2</v>
      </c>
      <c r="BS93" s="284">
        <v>3.6499999999999998E-2</v>
      </c>
      <c r="BT93" s="284">
        <v>3.6499999999999998E-2</v>
      </c>
      <c r="BU93" s="284">
        <v>3.6499999999999998E-2</v>
      </c>
      <c r="BV93" s="284">
        <v>3.6499999999999998E-2</v>
      </c>
      <c r="BW93" s="284">
        <v>3.6499999999999998E-2</v>
      </c>
      <c r="BX93" s="284">
        <v>3.6499999999999998E-2</v>
      </c>
      <c r="BY93" s="284">
        <v>3.6499999999999998E-2</v>
      </c>
      <c r="BZ93" s="284">
        <v>3.6499999999999998E-2</v>
      </c>
      <c r="CA93" s="284">
        <v>3.6499999999999998E-2</v>
      </c>
      <c r="CB93" s="284">
        <v>3.6499999999999998E-2</v>
      </c>
      <c r="CC93" s="284">
        <v>3.6499999999999998E-2</v>
      </c>
      <c r="CD93" s="284">
        <v>3.6499999999999998E-2</v>
      </c>
      <c r="CE93" s="284">
        <v>3.6499999999999998E-2</v>
      </c>
      <c r="CF93" s="284">
        <v>3.6499999999999998E-2</v>
      </c>
      <c r="CG93" s="284">
        <v>3.6499999999999998E-2</v>
      </c>
      <c r="CH93" s="284">
        <v>3.6499999999999998E-2</v>
      </c>
      <c r="CI93" s="284">
        <v>3.6499999999999998E-2</v>
      </c>
      <c r="CJ93" s="284">
        <v>3.6499999999999998E-2</v>
      </c>
      <c r="CK93" s="284">
        <v>3.6499999999999998E-2</v>
      </c>
      <c r="CL93" s="284">
        <v>3.6499999999999998E-2</v>
      </c>
      <c r="CM93" s="284">
        <v>3.6499999999999998E-2</v>
      </c>
      <c r="CN93" s="284">
        <v>3.6499999999999998E-2</v>
      </c>
      <c r="CO93" s="284">
        <v>3.6499999999999998E-2</v>
      </c>
      <c r="CP93" s="284">
        <v>3.6499999999999998E-2</v>
      </c>
      <c r="CQ93" s="284">
        <v>3.6499999999999998E-2</v>
      </c>
      <c r="CR93" s="284">
        <v>3.6499999999999998E-2</v>
      </c>
      <c r="CS93" s="284">
        <v>3.6499999999999998E-2</v>
      </c>
      <c r="CT93" s="284">
        <v>3.6499999999999998E-2</v>
      </c>
      <c r="CU93" s="284">
        <v>3.6499999999999998E-2</v>
      </c>
      <c r="CV93" s="284">
        <v>3.6499999999999998E-2</v>
      </c>
      <c r="CW93" s="284">
        <v>3.6499999999999998E-2</v>
      </c>
      <c r="CX93" s="284">
        <v>3.6499999999999998E-2</v>
      </c>
      <c r="CY93" s="284">
        <v>3.6499999999999998E-2</v>
      </c>
      <c r="CZ93" s="284">
        <v>3.6499999999999998E-2</v>
      </c>
      <c r="DA93" s="284">
        <v>3.6499999999999998E-2</v>
      </c>
      <c r="DB93" s="284">
        <v>3.6499999999999998E-2</v>
      </c>
      <c r="DC93" s="284">
        <v>3.6499999999999998E-2</v>
      </c>
      <c r="DD93" s="284">
        <v>3.6499999999999998E-2</v>
      </c>
      <c r="DE93" s="284">
        <v>3.6499999999999998E-2</v>
      </c>
      <c r="DF93" s="284">
        <v>3.6499999999999998E-2</v>
      </c>
      <c r="DG93" s="284">
        <v>3.6499999999999998E-2</v>
      </c>
      <c r="DH93" s="284">
        <v>3.6499999999999998E-2</v>
      </c>
      <c r="DI93" s="284">
        <v>3.6499999999999998E-2</v>
      </c>
      <c r="DJ93" s="284">
        <v>3.6499999999999998E-2</v>
      </c>
      <c r="DK93" s="284">
        <v>3.6499999999999998E-2</v>
      </c>
      <c r="DL93" s="284">
        <v>3.6499999999999998E-2</v>
      </c>
      <c r="DM93" s="284">
        <v>3.6499999999999998E-2</v>
      </c>
      <c r="DN93" s="284">
        <v>3.6499999999999998E-2</v>
      </c>
      <c r="DO93" s="284">
        <v>3.6499999999999998E-2</v>
      </c>
      <c r="DP93" s="284">
        <v>3.6499999999999998E-2</v>
      </c>
      <c r="DQ93" s="284">
        <v>3.6499999999999998E-2</v>
      </c>
      <c r="DR93" s="284">
        <v>3.6499999999999998E-2</v>
      </c>
      <c r="DS93" s="284">
        <v>3.6499999999999998E-2</v>
      </c>
      <c r="DT93" s="284">
        <v>3.6499999999999998E-2</v>
      </c>
      <c r="DU93" s="284">
        <v>3.6499999999999998E-2</v>
      </c>
      <c r="DV93" s="284">
        <v>3.6499999999999998E-2</v>
      </c>
      <c r="DW93" s="284">
        <v>3.6499999999999998E-2</v>
      </c>
      <c r="DX93" s="284">
        <v>3.6499999999999998E-2</v>
      </c>
      <c r="DY93" s="284">
        <v>3.5999999999999997E-2</v>
      </c>
      <c r="DZ93" s="284">
        <v>3.5999999999999997E-2</v>
      </c>
      <c r="EA93" s="284">
        <v>3.5799999999999998E-2</v>
      </c>
      <c r="EB93" s="284">
        <v>3.5799999999999998E-2</v>
      </c>
      <c r="EC93" s="284">
        <v>3.5799999999999998E-2</v>
      </c>
      <c r="ED93" s="284">
        <v>3.5799999999999998E-2</v>
      </c>
      <c r="EE93" s="284" t="s">
        <v>124</v>
      </c>
      <c r="EF93" s="284" t="s">
        <v>124</v>
      </c>
      <c r="EG93" s="284" t="s">
        <v>124</v>
      </c>
      <c r="EH93" s="284" t="s">
        <v>124</v>
      </c>
      <c r="EI93" s="284" t="s">
        <v>124</v>
      </c>
      <c r="EJ93" s="284" t="s">
        <v>124</v>
      </c>
      <c r="EK93" s="284" t="s">
        <v>124</v>
      </c>
      <c r="EL93" s="284" t="s">
        <v>124</v>
      </c>
      <c r="EM93" s="284" t="s">
        <v>124</v>
      </c>
      <c r="EN93" s="284" t="s">
        <v>124</v>
      </c>
      <c r="EO93" s="284" t="s">
        <v>124</v>
      </c>
      <c r="EP93" s="284" t="s">
        <v>124</v>
      </c>
      <c r="EQ93" s="284" t="s">
        <v>124</v>
      </c>
      <c r="ER93" s="284" t="s">
        <v>124</v>
      </c>
      <c r="ES93" s="284" t="s">
        <v>124</v>
      </c>
      <c r="ET93" s="284" t="s">
        <v>124</v>
      </c>
      <c r="EU93" s="284" t="s">
        <v>124</v>
      </c>
      <c r="EV93" s="284" t="s">
        <v>124</v>
      </c>
      <c r="EW93" s="284">
        <v>3.95E-2</v>
      </c>
      <c r="EX93" s="284">
        <v>3.95E-2</v>
      </c>
      <c r="EY93" s="284">
        <v>3.95E-2</v>
      </c>
      <c r="EZ93" s="307" t="s">
        <v>275</v>
      </c>
      <c r="FA93" s="284"/>
      <c r="FB93" s="285"/>
      <c r="FC93" s="286"/>
      <c r="FD93" s="285"/>
      <c r="FE93" s="285"/>
      <c r="FF93" s="286"/>
      <c r="FG93" s="286"/>
      <c r="FH93" s="285"/>
      <c r="FI93" s="286"/>
      <c r="FJ93" s="285"/>
      <c r="FK93" s="285"/>
      <c r="FL93" s="285"/>
      <c r="FM93" s="285"/>
      <c r="FN93" s="284"/>
      <c r="FO93" s="284"/>
      <c r="FP93" s="284"/>
      <c r="FQ93" s="284"/>
      <c r="FR93" s="284"/>
      <c r="FS93" s="284"/>
      <c r="FT93" s="284"/>
      <c r="FU93" s="284"/>
      <c r="FV93" s="284"/>
      <c r="FW93" s="284"/>
      <c r="FX93" s="284"/>
      <c r="FY93" s="284"/>
      <c r="FZ93" s="285">
        <v>4.1000000000000002E-2</v>
      </c>
      <c r="GA93" s="285">
        <v>4.1000000000000002E-2</v>
      </c>
      <c r="GB93" s="285">
        <v>4.1000000000000002E-2</v>
      </c>
      <c r="GC93" s="285">
        <v>4.1000000000000002E-2</v>
      </c>
      <c r="GD93" s="285">
        <v>4.1000000000000002E-2</v>
      </c>
      <c r="GE93" s="285">
        <v>4.1000000000000002E-2</v>
      </c>
      <c r="GF93" s="285">
        <v>4.1000000000000002E-2</v>
      </c>
      <c r="GG93" s="285">
        <v>4.1000000000000002E-2</v>
      </c>
      <c r="GH93" s="285">
        <v>3.9E-2</v>
      </c>
      <c r="GI93" s="285">
        <v>4.1000000000000002E-2</v>
      </c>
      <c r="GJ93" s="285">
        <v>4.1000000000000002E-2</v>
      </c>
      <c r="GK93" s="285">
        <v>4.1000000000000002E-2</v>
      </c>
      <c r="GL93" s="285">
        <v>4.1000000000000002E-2</v>
      </c>
      <c r="GM93" s="285">
        <v>4.1000000000000002E-2</v>
      </c>
      <c r="GN93" s="285">
        <v>4.1000000000000002E-2</v>
      </c>
      <c r="GO93" s="285">
        <v>4.1000000000000002E-2</v>
      </c>
      <c r="GP93" s="285">
        <v>4.1000000000000002E-2</v>
      </c>
      <c r="GQ93" s="285">
        <v>3.7999999999999999E-2</v>
      </c>
      <c r="GR93" s="285">
        <v>3.7999999999999999E-2</v>
      </c>
      <c r="GS93" s="285">
        <v>3.7999999999999999E-2</v>
      </c>
      <c r="GT93" s="285">
        <v>3.7999999999999999E-2</v>
      </c>
      <c r="GU93" s="285">
        <v>2.75E-2</v>
      </c>
      <c r="GV93" s="284"/>
      <c r="GW93" s="284"/>
      <c r="GX93" s="284"/>
      <c r="GY93" s="284"/>
      <c r="GZ93" s="284"/>
      <c r="HA93" s="284"/>
      <c r="HB93" s="285">
        <v>4.1000000000000002E-2</v>
      </c>
      <c r="HC93" s="284">
        <v>3.95E-2</v>
      </c>
      <c r="HD93" s="285">
        <v>4.1000000000000002E-2</v>
      </c>
      <c r="HE93" s="285">
        <v>4.1000000000000002E-2</v>
      </c>
      <c r="HF93" s="717">
        <f>C93-D93</f>
        <v>0</v>
      </c>
      <c r="HG93" s="218" t="s">
        <v>763</v>
      </c>
    </row>
    <row r="94" spans="1:216" ht="15" customHeight="1">
      <c r="A94" s="1060" t="s">
        <v>42</v>
      </c>
      <c r="B94" s="280" t="s">
        <v>794</v>
      </c>
      <c r="C94" s="920">
        <v>1.2500000000000001E-2</v>
      </c>
      <c r="D94" s="920">
        <v>1.2500000000000001E-2</v>
      </c>
      <c r="E94" s="920">
        <v>1.2500000000000001E-2</v>
      </c>
      <c r="F94" s="920">
        <v>1.2500000000000001E-2</v>
      </c>
      <c r="G94" s="920">
        <v>1.2500000000000001E-2</v>
      </c>
      <c r="H94" s="963">
        <v>1.2500000000000001E-2</v>
      </c>
      <c r="I94" s="920">
        <v>1.4E-2</v>
      </c>
      <c r="J94" s="920">
        <v>1.4E-2</v>
      </c>
      <c r="K94" s="963">
        <v>1.4E-2</v>
      </c>
      <c r="L94" s="920">
        <v>1.2E-2</v>
      </c>
      <c r="M94" s="920">
        <v>1.2E-2</v>
      </c>
      <c r="N94" s="920">
        <v>1.2E-2</v>
      </c>
      <c r="O94" s="963">
        <v>1.2E-2</v>
      </c>
      <c r="P94" s="920">
        <v>1.0500000000000001E-2</v>
      </c>
      <c r="Q94" s="920">
        <v>1.0500000000000001E-2</v>
      </c>
      <c r="R94" s="920">
        <v>1.0500000000000001E-2</v>
      </c>
      <c r="S94" s="920">
        <v>1.0500000000000001E-2</v>
      </c>
      <c r="T94" s="920">
        <v>1.0500000000000001E-2</v>
      </c>
      <c r="U94" s="920">
        <v>1.0500000000000001E-2</v>
      </c>
      <c r="V94" s="963">
        <v>1.0500000000000001E-2</v>
      </c>
      <c r="W94" s="909">
        <v>1.15E-2</v>
      </c>
      <c r="X94" s="909">
        <v>1.15E-2</v>
      </c>
      <c r="Y94" s="967">
        <v>1.15E-2</v>
      </c>
      <c r="Z94" s="909">
        <v>1.0999999999999999E-2</v>
      </c>
      <c r="AA94" s="967">
        <v>1.0999999999999999E-2</v>
      </c>
      <c r="AB94" s="909">
        <v>0.01</v>
      </c>
      <c r="AC94" s="909">
        <v>0.01</v>
      </c>
      <c r="AD94" s="909">
        <v>0.01</v>
      </c>
      <c r="AE94" s="909">
        <v>0.01</v>
      </c>
      <c r="AF94" s="978">
        <v>0.01</v>
      </c>
      <c r="AG94" s="978">
        <v>0.01</v>
      </c>
      <c r="AH94" s="978">
        <v>0.01</v>
      </c>
      <c r="AI94" s="967">
        <v>1.0999999999999999E-2</v>
      </c>
      <c r="AJ94" s="967">
        <v>1.2999999999999999E-2</v>
      </c>
      <c r="AK94" s="978">
        <v>1.4E-2</v>
      </c>
      <c r="AL94" s="967">
        <v>1.4E-2</v>
      </c>
      <c r="AM94" s="978">
        <v>1.6E-2</v>
      </c>
      <c r="AN94" s="967">
        <v>1.6E-2</v>
      </c>
      <c r="AO94" s="978">
        <v>2.1000000000000001E-2</v>
      </c>
      <c r="AP94" s="1012">
        <v>2.1000000000000001E-2</v>
      </c>
      <c r="AQ94" s="1012">
        <v>2.1000000000000001E-2</v>
      </c>
      <c r="AR94" s="1012">
        <v>2.1000000000000001E-2</v>
      </c>
      <c r="AS94" s="1012">
        <v>2.1000000000000001E-2</v>
      </c>
      <c r="AT94" s="1031">
        <v>2.1000000000000001E-2</v>
      </c>
      <c r="AU94" s="1031">
        <v>2.1000000000000001E-2</v>
      </c>
      <c r="AV94" s="940">
        <v>2.1000000000000001E-2</v>
      </c>
      <c r="AW94" s="1031">
        <v>2.1999999999999999E-2</v>
      </c>
      <c r="AX94" s="1031">
        <v>2.1999999999999999E-2</v>
      </c>
      <c r="AY94" s="1031">
        <v>2.1999999999999999E-2</v>
      </c>
      <c r="AZ94" s="1031">
        <v>2.1999999999999999E-2</v>
      </c>
      <c r="BA94" s="1031">
        <v>2.1999999999999999E-2</v>
      </c>
      <c r="BB94" s="1031">
        <v>2.4500000000000001E-2</v>
      </c>
      <c r="BC94" s="1031">
        <v>2.4500000000000001E-2</v>
      </c>
      <c r="BD94" s="1031">
        <v>2.4500000000000001E-2</v>
      </c>
      <c r="BE94" s="1031">
        <v>2.7E-2</v>
      </c>
      <c r="BF94" s="1031">
        <v>2.7E-2</v>
      </c>
      <c r="BG94" s="940">
        <v>2.8000000000000001E-2</v>
      </c>
      <c r="BH94" s="1031">
        <v>2.6800000000000001E-2</v>
      </c>
      <c r="BI94" s="1031">
        <v>2.6800000000000001E-2</v>
      </c>
      <c r="BJ94" s="1031">
        <v>2.6800000000000001E-2</v>
      </c>
      <c r="BK94" s="1031">
        <v>2.6800000000000001E-2</v>
      </c>
      <c r="BL94" s="940">
        <v>2.6800000000000001E-2</v>
      </c>
      <c r="BM94" s="1031">
        <v>0.03</v>
      </c>
      <c r="BN94" s="1031">
        <v>0.03</v>
      </c>
      <c r="BO94" s="1031">
        <v>0.03</v>
      </c>
      <c r="BP94" s="1031">
        <v>0.03</v>
      </c>
      <c r="BQ94" s="1031">
        <v>0.03</v>
      </c>
      <c r="BR94" s="940">
        <v>0.03</v>
      </c>
      <c r="BS94" s="951">
        <v>2.6499999999999999E-2</v>
      </c>
      <c r="BT94" s="951">
        <v>2.6499999999999999E-2</v>
      </c>
      <c r="BU94" s="951">
        <v>2.5999999999999999E-2</v>
      </c>
      <c r="BV94" s="951">
        <v>2.5999999999999999E-2</v>
      </c>
      <c r="BW94" s="951">
        <v>2.5999999999999999E-2</v>
      </c>
      <c r="BX94" s="951">
        <v>2.5999999999999999E-2</v>
      </c>
      <c r="BY94" s="951">
        <v>2.5999999999999999E-2</v>
      </c>
      <c r="BZ94" s="951">
        <v>2.5499999999999998E-2</v>
      </c>
      <c r="CA94" s="951">
        <v>2.5499999999999998E-2</v>
      </c>
      <c r="CB94" s="951">
        <v>2.5499999999999998E-2</v>
      </c>
      <c r="CC94" s="951">
        <v>2.7E-2</v>
      </c>
      <c r="CD94" s="951">
        <v>2.7E-2</v>
      </c>
      <c r="CE94" s="951">
        <v>2.8500000000000001E-2</v>
      </c>
      <c r="CF94" s="951">
        <v>2.8500000000000001E-2</v>
      </c>
      <c r="CG94" s="951">
        <v>3.1E-2</v>
      </c>
      <c r="CH94" s="951">
        <v>3.1E-2</v>
      </c>
      <c r="CI94" s="951">
        <v>3.3000000000000002E-2</v>
      </c>
      <c r="CJ94" s="951">
        <v>3.3000000000000002E-2</v>
      </c>
      <c r="CK94" s="951">
        <v>3.3000000000000002E-2</v>
      </c>
      <c r="CL94" s="951">
        <v>3.3000000000000002E-2</v>
      </c>
      <c r="CM94" s="951">
        <v>3.3000000000000002E-2</v>
      </c>
      <c r="CN94" s="951">
        <v>3.3000000000000002E-2</v>
      </c>
      <c r="CO94" s="951">
        <v>3.3000000000000002E-2</v>
      </c>
      <c r="CP94" s="951">
        <v>3.3000000000000002E-2</v>
      </c>
      <c r="CQ94" s="951">
        <v>3.3000000000000002E-2</v>
      </c>
      <c r="CR94" s="951">
        <v>3.3000000000000002E-2</v>
      </c>
      <c r="CS94" s="951">
        <v>3.3000000000000002E-2</v>
      </c>
      <c r="CT94" s="951">
        <v>3.3000000000000002E-2</v>
      </c>
      <c r="CU94" s="951">
        <v>3.3000000000000002E-2</v>
      </c>
      <c r="CV94" s="951">
        <v>3.0499999999999999E-2</v>
      </c>
      <c r="CW94" s="951">
        <v>3.0499999999999999E-2</v>
      </c>
      <c r="CX94" s="951">
        <v>3.0499999999999999E-2</v>
      </c>
      <c r="CY94" s="951">
        <v>3.0499999999999999E-2</v>
      </c>
      <c r="CZ94" s="951">
        <v>3.0499999999999999E-2</v>
      </c>
      <c r="DA94" s="951">
        <v>3.0499999999999999E-2</v>
      </c>
      <c r="DB94" s="951">
        <v>3.0499999999999999E-2</v>
      </c>
      <c r="DC94" s="951">
        <v>3.0499999999999999E-2</v>
      </c>
      <c r="DD94" s="951">
        <v>3.0499999999999999E-2</v>
      </c>
      <c r="DE94" s="951">
        <v>3.2000000000000001E-2</v>
      </c>
      <c r="DF94" s="951">
        <v>3.2000000000000001E-2</v>
      </c>
      <c r="DG94" s="951">
        <v>3.2000000000000001E-2</v>
      </c>
      <c r="DH94" s="951">
        <v>3.2000000000000001E-2</v>
      </c>
      <c r="DI94" s="951">
        <v>3.2000000000000001E-2</v>
      </c>
      <c r="DJ94" s="951">
        <v>3.2000000000000001E-2</v>
      </c>
      <c r="DK94" s="951">
        <v>3.2000000000000001E-2</v>
      </c>
      <c r="DL94" s="951">
        <v>3.3500000000000002E-2</v>
      </c>
      <c r="DM94" s="951">
        <v>3.3500000000000002E-2</v>
      </c>
      <c r="DN94" s="951">
        <v>3.3500000000000002E-2</v>
      </c>
      <c r="DO94" s="951">
        <v>3.3500000000000002E-2</v>
      </c>
      <c r="DP94" s="951">
        <v>3.6799999999999999E-2</v>
      </c>
      <c r="DQ94" s="951">
        <v>3.6799999999999999E-2</v>
      </c>
      <c r="DR94" s="951">
        <v>3.6799999999999999E-2</v>
      </c>
      <c r="DS94" s="951">
        <v>3.6799999999999999E-2</v>
      </c>
      <c r="DT94" s="951">
        <v>3.6799999999999999E-2</v>
      </c>
      <c r="DU94" s="951">
        <v>3.6799999999999999E-2</v>
      </c>
      <c r="DV94" s="951">
        <v>3.6799999999999999E-2</v>
      </c>
      <c r="DW94" s="951">
        <v>3.6799999999999999E-2</v>
      </c>
      <c r="DX94" s="951">
        <v>3.6799999999999999E-2</v>
      </c>
      <c r="DY94" s="951">
        <v>3.6799999999999999E-2</v>
      </c>
      <c r="DZ94" s="951">
        <v>3.6799999999999999E-2</v>
      </c>
      <c r="EA94" s="951">
        <v>3.6799999999999999E-2</v>
      </c>
      <c r="EB94" s="951">
        <v>3.6799999999999999E-2</v>
      </c>
      <c r="EC94" s="951">
        <v>3.4500000000000003E-2</v>
      </c>
      <c r="ED94" s="951">
        <v>3.4500000000000003E-2</v>
      </c>
      <c r="EE94" s="951">
        <v>3.4500000000000003E-2</v>
      </c>
      <c r="EF94" s="951">
        <v>3.4500000000000003E-2</v>
      </c>
      <c r="EG94" s="951">
        <v>3.4500000000000003E-2</v>
      </c>
      <c r="EH94" s="951">
        <v>3.4500000000000003E-2</v>
      </c>
      <c r="EI94" s="951">
        <v>3.4500000000000003E-2</v>
      </c>
      <c r="EJ94" s="951">
        <v>3.4500000000000003E-2</v>
      </c>
      <c r="EK94" s="951">
        <v>3.4500000000000003E-2</v>
      </c>
      <c r="EL94" s="951">
        <v>3.4500000000000003E-2</v>
      </c>
      <c r="EM94" s="951">
        <v>3.5499999999999997E-2</v>
      </c>
      <c r="EN94" s="951">
        <v>3.5499999999999997E-2</v>
      </c>
      <c r="EO94" s="951">
        <v>3.5499999999999997E-2</v>
      </c>
      <c r="EP94" s="951">
        <v>3.5499999999999997E-2</v>
      </c>
      <c r="EQ94" s="951">
        <v>3.5499999999999997E-2</v>
      </c>
      <c r="ER94" s="951">
        <v>3.5499999999999997E-2</v>
      </c>
      <c r="ES94" s="951">
        <v>3.5499999999999997E-2</v>
      </c>
      <c r="ET94" s="951">
        <v>3.5499999999999997E-2</v>
      </c>
      <c r="EU94" s="951">
        <v>3.5499999999999997E-2</v>
      </c>
      <c r="EV94" s="951">
        <v>3.5499999999999997E-2</v>
      </c>
      <c r="EW94" s="951">
        <v>0.04</v>
      </c>
      <c r="EX94" s="951">
        <v>0.04</v>
      </c>
      <c r="EY94" s="951">
        <v>3.9E-2</v>
      </c>
      <c r="EZ94" s="1042" t="s">
        <v>281</v>
      </c>
      <c r="FA94" s="1040">
        <v>2.3E-2</v>
      </c>
      <c r="FB94" s="254" t="s">
        <v>395</v>
      </c>
      <c r="FC94" s="1042" t="s">
        <v>281</v>
      </c>
      <c r="FD94" s="1040">
        <v>1.35E-2</v>
      </c>
      <c r="FE94" s="238">
        <v>0</v>
      </c>
      <c r="FF94" s="237" t="s">
        <v>394</v>
      </c>
      <c r="FG94" s="231" t="s">
        <v>374</v>
      </c>
      <c r="FH94" s="1041">
        <v>1.2E-2</v>
      </c>
      <c r="FI94" s="1041">
        <v>1.2E-2</v>
      </c>
      <c r="FJ94" s="1056">
        <v>1.35E-2</v>
      </c>
      <c r="FK94" s="1041">
        <v>1.2E-2</v>
      </c>
      <c r="FL94" s="1040">
        <v>1.35E-2</v>
      </c>
      <c r="FM94" s="1040">
        <v>1.55E-2</v>
      </c>
      <c r="FN94" s="1040">
        <v>1.55E-2</v>
      </c>
      <c r="FO94" s="1040">
        <v>1.55E-2</v>
      </c>
      <c r="FP94" s="1040">
        <v>1.55E-2</v>
      </c>
      <c r="FQ94" s="1040">
        <v>1.9E-2</v>
      </c>
      <c r="FR94" s="1040">
        <v>1.9E-2</v>
      </c>
      <c r="FS94" s="1040">
        <v>1.9E-2</v>
      </c>
      <c r="FT94" s="1040">
        <v>1.9E-2</v>
      </c>
      <c r="FU94" s="1040">
        <v>1.9E-2</v>
      </c>
      <c r="FV94" s="1040">
        <v>1.9E-2</v>
      </c>
      <c r="FW94" s="1040">
        <v>2.3E-2</v>
      </c>
      <c r="FX94" s="1040">
        <v>2.3E-2</v>
      </c>
      <c r="FY94" s="951">
        <v>2.5000000000000001E-2</v>
      </c>
      <c r="FZ94" s="951">
        <v>3.9E-2</v>
      </c>
      <c r="GA94" s="951">
        <v>3.9E-2</v>
      </c>
      <c r="GB94" s="951">
        <v>3.9E-2</v>
      </c>
      <c r="GC94" s="951">
        <v>3.9E-2</v>
      </c>
      <c r="GD94" s="951">
        <v>4.1000000000000002E-2</v>
      </c>
      <c r="GE94" s="951">
        <v>4.1000000000000002E-2</v>
      </c>
      <c r="GF94" s="951">
        <v>4.1000000000000002E-2</v>
      </c>
      <c r="GG94" s="951"/>
      <c r="GH94" s="951"/>
      <c r="GI94" s="951"/>
      <c r="GJ94" s="951">
        <v>3.9E-2</v>
      </c>
      <c r="GK94" s="951">
        <v>3.9E-2</v>
      </c>
      <c r="GL94" s="951">
        <v>3.9E-2</v>
      </c>
      <c r="GM94" s="951">
        <v>3.9E-2</v>
      </c>
      <c r="GN94" s="951">
        <v>3.9E-2</v>
      </c>
      <c r="GO94" s="951">
        <v>3.9E-2</v>
      </c>
      <c r="GP94" s="951">
        <v>3.9E-2</v>
      </c>
      <c r="GQ94" s="951">
        <v>3.9E-2</v>
      </c>
      <c r="GR94" s="951">
        <v>3.4000000000000002E-2</v>
      </c>
      <c r="GS94" s="951">
        <v>3.4000000000000002E-2</v>
      </c>
      <c r="GT94" s="951">
        <v>3.4000000000000002E-2</v>
      </c>
      <c r="GU94" s="951">
        <v>3.4000000000000002E-2</v>
      </c>
      <c r="GV94" s="951">
        <v>3.4000000000000002E-2</v>
      </c>
      <c r="GW94" s="951">
        <v>2.9000000000000001E-2</v>
      </c>
      <c r="GX94" s="951">
        <v>2.5000000000000001E-2</v>
      </c>
      <c r="GY94" s="951">
        <v>2.5000000000000001E-2</v>
      </c>
      <c r="GZ94" s="951">
        <v>2.5000000000000001E-2</v>
      </c>
      <c r="HA94" s="951">
        <v>2.5000000000000001E-2</v>
      </c>
      <c r="HB94" s="951">
        <v>3.9E-2</v>
      </c>
      <c r="HC94" s="951">
        <v>3.9E-2</v>
      </c>
      <c r="HD94" s="951">
        <v>3.9E-2</v>
      </c>
      <c r="HE94" s="951">
        <v>3.9E-2</v>
      </c>
      <c r="HF94" s="941">
        <f>C94-D94</f>
        <v>0</v>
      </c>
    </row>
    <row r="95" spans="1:216" ht="15" customHeight="1">
      <c r="A95" s="1060"/>
      <c r="B95" s="280" t="s">
        <v>795</v>
      </c>
      <c r="C95" s="921"/>
      <c r="D95" s="921"/>
      <c r="E95" s="921"/>
      <c r="F95" s="921"/>
      <c r="G95" s="921"/>
      <c r="H95" s="950"/>
      <c r="I95" s="921"/>
      <c r="J95" s="921"/>
      <c r="K95" s="950"/>
      <c r="L95" s="921"/>
      <c r="M95" s="921"/>
      <c r="N95" s="921"/>
      <c r="O95" s="950"/>
      <c r="P95" s="921"/>
      <c r="Q95" s="921"/>
      <c r="R95" s="921"/>
      <c r="S95" s="921"/>
      <c r="T95" s="921"/>
      <c r="U95" s="921"/>
      <c r="V95" s="950"/>
      <c r="W95" s="910"/>
      <c r="X95" s="910"/>
      <c r="Y95" s="968"/>
      <c r="Z95" s="910"/>
      <c r="AA95" s="968"/>
      <c r="AB95" s="910"/>
      <c r="AC95" s="910"/>
      <c r="AD95" s="910"/>
      <c r="AE95" s="910"/>
      <c r="AF95" s="979"/>
      <c r="AG95" s="979"/>
      <c r="AH95" s="979"/>
      <c r="AI95" s="968"/>
      <c r="AJ95" s="968"/>
      <c r="AK95" s="979"/>
      <c r="AL95" s="968"/>
      <c r="AM95" s="979"/>
      <c r="AN95" s="968"/>
      <c r="AO95" s="979"/>
      <c r="AP95" s="1026"/>
      <c r="AQ95" s="1026"/>
      <c r="AR95" s="1026"/>
      <c r="AS95" s="1026"/>
      <c r="AT95" s="939"/>
      <c r="AU95" s="939"/>
      <c r="AV95" s="936"/>
      <c r="AW95" s="939"/>
      <c r="AX95" s="939"/>
      <c r="AY95" s="939"/>
      <c r="AZ95" s="939"/>
      <c r="BA95" s="939"/>
      <c r="BB95" s="939"/>
      <c r="BC95" s="939"/>
      <c r="BD95" s="939"/>
      <c r="BE95" s="939"/>
      <c r="BF95" s="939"/>
      <c r="BG95" s="936"/>
      <c r="BH95" s="939"/>
      <c r="BI95" s="939"/>
      <c r="BJ95" s="939"/>
      <c r="BK95" s="939"/>
      <c r="BL95" s="936"/>
      <c r="BM95" s="939"/>
      <c r="BN95" s="939"/>
      <c r="BO95" s="939"/>
      <c r="BP95" s="939"/>
      <c r="BQ95" s="939"/>
      <c r="BR95" s="936"/>
      <c r="BS95" s="951"/>
      <c r="BT95" s="951"/>
      <c r="BU95" s="951"/>
      <c r="BV95" s="951"/>
      <c r="BW95" s="951"/>
      <c r="BX95" s="951"/>
      <c r="BY95" s="951"/>
      <c r="BZ95" s="951"/>
      <c r="CA95" s="951"/>
      <c r="CB95" s="951"/>
      <c r="CC95" s="951"/>
      <c r="CD95" s="951"/>
      <c r="CE95" s="951"/>
      <c r="CF95" s="951"/>
      <c r="CG95" s="951"/>
      <c r="CH95" s="951"/>
      <c r="CI95" s="951"/>
      <c r="CJ95" s="951"/>
      <c r="CK95" s="951"/>
      <c r="CL95" s="951"/>
      <c r="CM95" s="951"/>
      <c r="CN95" s="951"/>
      <c r="CO95" s="951"/>
      <c r="CP95" s="951"/>
      <c r="CQ95" s="951"/>
      <c r="CR95" s="951"/>
      <c r="CS95" s="951"/>
      <c r="CT95" s="951"/>
      <c r="CU95" s="951"/>
      <c r="CV95" s="951"/>
      <c r="CW95" s="951"/>
      <c r="CX95" s="951"/>
      <c r="CY95" s="951"/>
      <c r="CZ95" s="951"/>
      <c r="DA95" s="951"/>
      <c r="DB95" s="951"/>
      <c r="DC95" s="951"/>
      <c r="DD95" s="951"/>
      <c r="DE95" s="951"/>
      <c r="DF95" s="951"/>
      <c r="DG95" s="951"/>
      <c r="DH95" s="951"/>
      <c r="DI95" s="951"/>
      <c r="DJ95" s="951"/>
      <c r="DK95" s="951"/>
      <c r="DL95" s="951"/>
      <c r="DM95" s="951"/>
      <c r="DN95" s="951"/>
      <c r="DO95" s="951"/>
      <c r="DP95" s="951"/>
      <c r="DQ95" s="951"/>
      <c r="DR95" s="951"/>
      <c r="DS95" s="951"/>
      <c r="DT95" s="951"/>
      <c r="DU95" s="951"/>
      <c r="DV95" s="951"/>
      <c r="DW95" s="951"/>
      <c r="DX95" s="951"/>
      <c r="DY95" s="951"/>
      <c r="DZ95" s="951"/>
      <c r="EA95" s="951"/>
      <c r="EB95" s="951"/>
      <c r="EC95" s="951"/>
      <c r="ED95" s="951"/>
      <c r="EE95" s="951"/>
      <c r="EF95" s="951"/>
      <c r="EG95" s="951"/>
      <c r="EH95" s="951"/>
      <c r="EI95" s="951"/>
      <c r="EJ95" s="951"/>
      <c r="EK95" s="951"/>
      <c r="EL95" s="951"/>
      <c r="EM95" s="951"/>
      <c r="EN95" s="951"/>
      <c r="EO95" s="951"/>
      <c r="EP95" s="951"/>
      <c r="EQ95" s="951"/>
      <c r="ER95" s="951"/>
      <c r="ES95" s="951"/>
      <c r="ET95" s="951"/>
      <c r="EU95" s="951"/>
      <c r="EV95" s="951"/>
      <c r="EW95" s="951"/>
      <c r="EX95" s="951"/>
      <c r="EY95" s="951"/>
      <c r="EZ95" s="1042"/>
      <c r="FA95" s="1040"/>
      <c r="FB95" s="254" t="s">
        <v>393</v>
      </c>
      <c r="FC95" s="1042"/>
      <c r="FD95" s="1040"/>
      <c r="FE95" s="238" t="s">
        <v>392</v>
      </c>
      <c r="FF95" s="237" t="s">
        <v>391</v>
      </c>
      <c r="FG95" s="231" t="s">
        <v>321</v>
      </c>
      <c r="FH95" s="1041"/>
      <c r="FI95" s="1041"/>
      <c r="FJ95" s="1056"/>
      <c r="FK95" s="1041"/>
      <c r="FL95" s="1040"/>
      <c r="FM95" s="1040"/>
      <c r="FN95" s="1040"/>
      <c r="FO95" s="1040"/>
      <c r="FP95" s="1040"/>
      <c r="FQ95" s="1040"/>
      <c r="FR95" s="1040"/>
      <c r="FS95" s="1040"/>
      <c r="FT95" s="1040"/>
      <c r="FU95" s="1040"/>
      <c r="FV95" s="1040"/>
      <c r="FW95" s="1040"/>
      <c r="FX95" s="1040"/>
      <c r="FY95" s="1039"/>
      <c r="FZ95" s="951"/>
      <c r="GA95" s="951"/>
      <c r="GB95" s="951"/>
      <c r="GC95" s="951"/>
      <c r="GD95" s="951"/>
      <c r="GE95" s="951"/>
      <c r="GF95" s="951"/>
      <c r="GG95" s="951"/>
      <c r="GH95" s="951"/>
      <c r="GI95" s="951"/>
      <c r="GJ95" s="951"/>
      <c r="GK95" s="951"/>
      <c r="GL95" s="951"/>
      <c r="GM95" s="951"/>
      <c r="GN95" s="951"/>
      <c r="GO95" s="951"/>
      <c r="GP95" s="951"/>
      <c r="GQ95" s="951"/>
      <c r="GR95" s="951"/>
      <c r="GS95" s="951"/>
      <c r="GT95" s="951"/>
      <c r="GU95" s="951"/>
      <c r="GV95" s="951"/>
      <c r="GW95" s="951"/>
      <c r="GX95" s="1039"/>
      <c r="GY95" s="1039"/>
      <c r="GZ95" s="1039"/>
      <c r="HA95" s="1039"/>
      <c r="HB95" s="951"/>
      <c r="HC95" s="951"/>
      <c r="HD95" s="951"/>
      <c r="HE95" s="951"/>
      <c r="HF95" s="942"/>
      <c r="HG95" s="218" t="s">
        <v>390</v>
      </c>
      <c r="HH95" s="747" t="s">
        <v>766</v>
      </c>
    </row>
    <row r="96" spans="1:216">
      <c r="A96" s="1060" t="s">
        <v>20</v>
      </c>
      <c r="B96" s="280" t="s">
        <v>773</v>
      </c>
      <c r="C96" s="920">
        <v>1.2999999999999999E-2</v>
      </c>
      <c r="D96" s="920">
        <v>1.2999999999999999E-2</v>
      </c>
      <c r="E96" s="920">
        <v>1.2999999999999999E-2</v>
      </c>
      <c r="F96" s="920">
        <v>1.2999999999999999E-2</v>
      </c>
      <c r="G96" s="920">
        <v>1.2999999999999999E-2</v>
      </c>
      <c r="H96" s="963">
        <v>1.2999999999999999E-2</v>
      </c>
      <c r="I96" s="963">
        <v>1.2E-2</v>
      </c>
      <c r="J96" s="920">
        <v>1.0999999999999999E-2</v>
      </c>
      <c r="K96" s="920">
        <v>1.0999999999999999E-2</v>
      </c>
      <c r="L96" s="920">
        <v>1.0999999999999999E-2</v>
      </c>
      <c r="M96" s="920">
        <v>1.0999999999999999E-2</v>
      </c>
      <c r="N96" s="920">
        <v>1.0999999999999999E-2</v>
      </c>
      <c r="O96" s="920">
        <v>1.0999999999999999E-2</v>
      </c>
      <c r="P96" s="920">
        <v>1.0999999999999999E-2</v>
      </c>
      <c r="Q96" s="920">
        <v>1.0999999999999999E-2</v>
      </c>
      <c r="R96" s="920">
        <v>1.0999999999999999E-2</v>
      </c>
      <c r="S96" s="920">
        <v>1.0999999999999999E-2</v>
      </c>
      <c r="T96" s="969">
        <v>1.0999999999999999E-2</v>
      </c>
      <c r="U96" s="969">
        <v>1.0999999999999999E-2</v>
      </c>
      <c r="V96" s="969">
        <v>1.0999999999999999E-2</v>
      </c>
      <c r="W96" s="909">
        <v>1.0999999999999999E-2</v>
      </c>
      <c r="X96" s="909">
        <v>1.0999999999999999E-2</v>
      </c>
      <c r="Y96" s="909">
        <v>1.0999999999999999E-2</v>
      </c>
      <c r="Z96" s="909">
        <v>1.0999999999999999E-2</v>
      </c>
      <c r="AA96" s="909">
        <v>1.0999999999999999E-2</v>
      </c>
      <c r="AB96" s="909">
        <v>1.0999999999999999E-2</v>
      </c>
      <c r="AC96" s="909">
        <v>1.0999999999999999E-2</v>
      </c>
      <c r="AD96" s="967">
        <v>1.0999999999999999E-2</v>
      </c>
      <c r="AE96" s="967">
        <v>1.15E-2</v>
      </c>
      <c r="AF96" s="967">
        <v>1.2E-2</v>
      </c>
      <c r="AG96" s="978">
        <v>1.35E-2</v>
      </c>
      <c r="AH96" s="978">
        <v>1.35E-2</v>
      </c>
      <c r="AI96" s="967">
        <v>1.35E-2</v>
      </c>
      <c r="AJ96" s="909">
        <v>1.4E-2</v>
      </c>
      <c r="AK96" s="978">
        <v>1.4E-2</v>
      </c>
      <c r="AL96" s="967">
        <v>1.4E-2</v>
      </c>
      <c r="AM96" s="967">
        <v>1.4500000000000001E-2</v>
      </c>
      <c r="AN96" s="967">
        <v>1.55E-2</v>
      </c>
      <c r="AO96" s="967">
        <v>1.7000000000000001E-2</v>
      </c>
      <c r="AP96" s="984">
        <v>1.7999999999999999E-2</v>
      </c>
      <c r="AQ96" s="1012">
        <v>1.9E-2</v>
      </c>
      <c r="AR96" s="984">
        <v>1.9E-2</v>
      </c>
      <c r="AS96" s="1012">
        <v>1.95E-2</v>
      </c>
      <c r="AT96" s="955">
        <v>1.9E-2</v>
      </c>
      <c r="AU96" s="1036">
        <v>1.9E-2</v>
      </c>
      <c r="AV96" s="955">
        <v>1.95E-2</v>
      </c>
      <c r="AW96" s="955">
        <v>1.95E-2</v>
      </c>
      <c r="AX96" s="955">
        <v>2.0500000000000001E-2</v>
      </c>
      <c r="AY96" s="955">
        <v>2.0500000000000001E-2</v>
      </c>
      <c r="AZ96" s="955">
        <v>2.0500000000000001E-2</v>
      </c>
      <c r="BA96" s="955">
        <v>2.0500000000000001E-2</v>
      </c>
      <c r="BB96" s="955">
        <v>2.1499999999999998E-2</v>
      </c>
      <c r="BC96" s="955">
        <v>2.1499999999999998E-2</v>
      </c>
      <c r="BD96" s="955">
        <v>2.1499999999999998E-2</v>
      </c>
      <c r="BE96" s="1036">
        <v>2.3E-2</v>
      </c>
      <c r="BF96" s="955">
        <v>2.4500000000000001E-2</v>
      </c>
      <c r="BG96" s="955">
        <v>2.4500000000000001E-2</v>
      </c>
      <c r="BH96" s="955">
        <v>2.4500000000000001E-2</v>
      </c>
      <c r="BI96" s="1036">
        <v>2.4500000000000001E-2</v>
      </c>
      <c r="BJ96" s="955">
        <v>2.5999999999999999E-2</v>
      </c>
      <c r="BK96" s="955">
        <v>2.5999999999999999E-2</v>
      </c>
      <c r="BL96" s="955">
        <v>2.5999999999999999E-2</v>
      </c>
      <c r="BM96" s="955">
        <v>2.5999999999999999E-2</v>
      </c>
      <c r="BN96" s="955">
        <v>2.5999999999999999E-2</v>
      </c>
      <c r="BO96" s="955">
        <v>2.5999999999999999E-2</v>
      </c>
      <c r="BP96" s="955">
        <v>2.5999999999999999E-2</v>
      </c>
      <c r="BQ96" s="955">
        <v>2.5999999999999999E-2</v>
      </c>
      <c r="BR96" s="955">
        <v>2.5999999999999999E-2</v>
      </c>
      <c r="BS96" s="955">
        <v>2.5999999999999999E-2</v>
      </c>
      <c r="BT96" s="955">
        <v>2.5999999999999999E-2</v>
      </c>
      <c r="BU96" s="955">
        <v>2.5999999999999999E-2</v>
      </c>
      <c r="BV96" s="955">
        <v>2.5999999999999999E-2</v>
      </c>
      <c r="BW96" s="955">
        <v>2.5999999999999999E-2</v>
      </c>
      <c r="BX96" s="955">
        <v>2.5999999999999999E-2</v>
      </c>
      <c r="BY96" s="955">
        <v>2.5999999999999999E-2</v>
      </c>
      <c r="BZ96" s="955">
        <v>2.5999999999999999E-2</v>
      </c>
      <c r="CA96" s="955">
        <v>2.5999999999999999E-2</v>
      </c>
      <c r="CB96" s="955">
        <v>2.5999999999999999E-2</v>
      </c>
      <c r="CC96" s="955">
        <v>2.7E-2</v>
      </c>
      <c r="CD96" s="955">
        <v>2.7E-2</v>
      </c>
      <c r="CE96" s="955">
        <v>2.7E-2</v>
      </c>
      <c r="CF96" s="951">
        <v>2.8000000000000001E-2</v>
      </c>
      <c r="CG96" s="951">
        <v>2.8000000000000001E-2</v>
      </c>
      <c r="CH96" s="951">
        <v>0.03</v>
      </c>
      <c r="CI96" s="951">
        <v>0.03</v>
      </c>
      <c r="CJ96" s="951">
        <v>0.03</v>
      </c>
      <c r="CK96" s="951">
        <v>0.03</v>
      </c>
      <c r="CL96" s="951">
        <v>0.03</v>
      </c>
      <c r="CM96" s="951">
        <v>0.03</v>
      </c>
      <c r="CN96" s="951">
        <v>0.03</v>
      </c>
      <c r="CO96" s="951">
        <v>0.03</v>
      </c>
      <c r="CP96" s="951">
        <v>0.03</v>
      </c>
      <c r="CQ96" s="951">
        <v>0.03</v>
      </c>
      <c r="CR96" s="951">
        <v>0.03</v>
      </c>
      <c r="CS96" s="951">
        <v>0.03</v>
      </c>
      <c r="CT96" s="951">
        <v>0.03</v>
      </c>
      <c r="CU96" s="951">
        <v>0.03</v>
      </c>
      <c r="CV96" s="951">
        <v>0.03</v>
      </c>
      <c r="CW96" s="951">
        <v>0.03</v>
      </c>
      <c r="CX96" s="951">
        <v>0.03</v>
      </c>
      <c r="CY96" s="951">
        <v>0.03</v>
      </c>
      <c r="CZ96" s="951">
        <v>0.03</v>
      </c>
      <c r="DA96" s="951">
        <v>3.1E-2</v>
      </c>
      <c r="DB96" s="951">
        <v>3.1E-2</v>
      </c>
      <c r="DC96" s="951">
        <v>3.1E-2</v>
      </c>
      <c r="DD96" s="951">
        <v>3.1E-2</v>
      </c>
      <c r="DE96" s="951">
        <v>3.2000000000000001E-2</v>
      </c>
      <c r="DF96" s="951">
        <v>3.2000000000000001E-2</v>
      </c>
      <c r="DG96" s="951">
        <v>3.2000000000000001E-2</v>
      </c>
      <c r="DH96" s="951">
        <v>3.2000000000000001E-2</v>
      </c>
      <c r="DI96" s="951">
        <v>3.2000000000000001E-2</v>
      </c>
      <c r="DJ96" s="951">
        <v>3.2000000000000001E-2</v>
      </c>
      <c r="DK96" s="951">
        <v>3.2000000000000001E-2</v>
      </c>
      <c r="DL96" s="951">
        <v>3.2000000000000001E-2</v>
      </c>
      <c r="DM96" s="951">
        <v>3.2000000000000001E-2</v>
      </c>
      <c r="DN96" s="951">
        <v>3.2000000000000001E-2</v>
      </c>
      <c r="DO96" s="951">
        <v>3.2000000000000001E-2</v>
      </c>
      <c r="DP96" s="951">
        <v>3.2000000000000001E-2</v>
      </c>
      <c r="DQ96" s="951">
        <v>3.2000000000000001E-2</v>
      </c>
      <c r="DR96" s="951">
        <v>3.2000000000000001E-2</v>
      </c>
      <c r="DS96" s="951">
        <v>3.2000000000000001E-2</v>
      </c>
      <c r="DT96" s="951">
        <v>3.2000000000000001E-2</v>
      </c>
      <c r="DU96" s="951">
        <v>3.2000000000000001E-2</v>
      </c>
      <c r="DV96" s="951">
        <v>3.2000000000000001E-2</v>
      </c>
      <c r="DW96" s="951">
        <v>3.2000000000000001E-2</v>
      </c>
      <c r="DX96" s="951">
        <v>3.2000000000000001E-2</v>
      </c>
      <c r="DY96" s="951">
        <v>3.2000000000000001E-2</v>
      </c>
      <c r="DZ96" s="951">
        <v>3.2000000000000001E-2</v>
      </c>
      <c r="EA96" s="951">
        <v>3.2000000000000001E-2</v>
      </c>
      <c r="EB96" s="951">
        <v>3.2000000000000001E-2</v>
      </c>
      <c r="EC96" s="951">
        <v>3.2000000000000001E-2</v>
      </c>
      <c r="ED96" s="951">
        <v>3.2000000000000001E-2</v>
      </c>
      <c r="EE96" s="951">
        <v>3.2000000000000001E-2</v>
      </c>
      <c r="EF96" s="951">
        <v>3.2000000000000001E-2</v>
      </c>
      <c r="EG96" s="951">
        <v>3.2000000000000001E-2</v>
      </c>
      <c r="EH96" s="951">
        <v>3.2000000000000001E-2</v>
      </c>
      <c r="EI96" s="951">
        <v>3.2000000000000001E-2</v>
      </c>
      <c r="EJ96" s="951">
        <v>3.2000000000000001E-2</v>
      </c>
      <c r="EK96" s="951">
        <v>3.2000000000000001E-2</v>
      </c>
      <c r="EL96" s="951">
        <v>3.2000000000000001E-2</v>
      </c>
      <c r="EM96" s="951">
        <v>3.2000000000000001E-2</v>
      </c>
      <c r="EN96" s="951">
        <v>3.2000000000000001E-2</v>
      </c>
      <c r="EO96" s="951">
        <v>3.2000000000000001E-2</v>
      </c>
      <c r="EP96" s="951">
        <v>3.2000000000000001E-2</v>
      </c>
      <c r="EQ96" s="951">
        <v>3.2000000000000001E-2</v>
      </c>
      <c r="ER96" s="951">
        <v>3.4000000000000002E-2</v>
      </c>
      <c r="ES96" s="951">
        <v>3.4000000000000002E-2</v>
      </c>
      <c r="ET96" s="951">
        <v>3.4000000000000002E-2</v>
      </c>
      <c r="EU96" s="951">
        <v>3.4000000000000002E-2</v>
      </c>
      <c r="EV96" s="951">
        <v>3.4000000000000002E-2</v>
      </c>
      <c r="EW96" s="951">
        <v>3.5000000000000003E-2</v>
      </c>
      <c r="EX96" s="951">
        <v>3.5000000000000003E-2</v>
      </c>
      <c r="EY96" s="951">
        <v>3.5000000000000003E-2</v>
      </c>
      <c r="EZ96" s="1042" t="s">
        <v>306</v>
      </c>
      <c r="FA96" s="1040">
        <v>2.1999999999999999E-2</v>
      </c>
      <c r="FB96" s="238" t="s">
        <v>389</v>
      </c>
      <c r="FC96" s="1042" t="s">
        <v>306</v>
      </c>
      <c r="FD96" s="1040"/>
      <c r="FE96" s="238" t="s">
        <v>388</v>
      </c>
      <c r="FF96" s="237" t="s">
        <v>387</v>
      </c>
      <c r="FG96" s="1042" t="s">
        <v>321</v>
      </c>
      <c r="FH96" s="1041"/>
      <c r="FI96" s="1041"/>
      <c r="FJ96" s="1056"/>
      <c r="FK96" s="1041"/>
      <c r="FL96" s="1040"/>
      <c r="FM96" s="1040"/>
      <c r="FN96" s="1040"/>
      <c r="FO96" s="1040"/>
      <c r="FP96" s="1040"/>
      <c r="FQ96" s="1040"/>
      <c r="FR96" s="1040"/>
      <c r="FS96" s="1040">
        <v>1.9E-2</v>
      </c>
      <c r="FT96" s="1040"/>
      <c r="FU96" s="1040">
        <v>2.1999999999999999E-2</v>
      </c>
      <c r="FV96" s="1040">
        <v>2.1999999999999999E-2</v>
      </c>
      <c r="FW96" s="1040">
        <v>2.1999999999999999E-2</v>
      </c>
      <c r="FX96" s="1040">
        <v>2.1999999999999999E-2</v>
      </c>
      <c r="FY96" s="951">
        <v>2.3E-2</v>
      </c>
      <c r="FZ96" s="951">
        <v>3.5000000000000003E-2</v>
      </c>
      <c r="GA96" s="951">
        <v>3.5000000000000003E-2</v>
      </c>
      <c r="GB96" s="951">
        <v>3.5000000000000003E-2</v>
      </c>
      <c r="GC96" s="951">
        <v>3.5000000000000003E-2</v>
      </c>
      <c r="GD96" s="951">
        <v>3.5000000000000003E-2</v>
      </c>
      <c r="GE96" s="951">
        <v>3.5000000000000003E-2</v>
      </c>
      <c r="GF96" s="951">
        <v>3.5000000000000003E-2</v>
      </c>
      <c r="GG96" s="951">
        <v>4.2000000000000003E-2</v>
      </c>
      <c r="GH96" s="951">
        <v>4.2000000000000003E-2</v>
      </c>
      <c r="GI96" s="951">
        <v>4.2000000000000003E-2</v>
      </c>
      <c r="GJ96" s="951">
        <v>4.2000000000000003E-2</v>
      </c>
      <c r="GK96" s="951">
        <v>4.2000000000000003E-2</v>
      </c>
      <c r="GL96" s="951">
        <v>4.2000000000000003E-2</v>
      </c>
      <c r="GM96" s="951">
        <v>4.2000000000000003E-2</v>
      </c>
      <c r="GN96" s="951">
        <v>4.2000000000000003E-2</v>
      </c>
      <c r="GO96" s="951">
        <v>4.2000000000000003E-2</v>
      </c>
      <c r="GP96" s="951">
        <v>3.9E-2</v>
      </c>
      <c r="GQ96" s="951">
        <v>3.7999999999999999E-2</v>
      </c>
      <c r="GR96" s="951">
        <v>3.7999999999999999E-2</v>
      </c>
      <c r="GS96" s="951">
        <v>3.7999999999999999E-2</v>
      </c>
      <c r="GT96" s="951">
        <v>0.03</v>
      </c>
      <c r="GU96" s="951">
        <v>0.03</v>
      </c>
      <c r="GV96" s="951">
        <v>0.03</v>
      </c>
      <c r="GW96" s="951">
        <v>2.8000000000000001E-2</v>
      </c>
      <c r="GX96" s="951">
        <v>2.5000000000000001E-2</v>
      </c>
      <c r="GY96" s="951">
        <v>2.5000000000000001E-2</v>
      </c>
      <c r="GZ96" s="951">
        <v>2.5000000000000001E-2</v>
      </c>
      <c r="HA96" s="951">
        <v>2.3E-2</v>
      </c>
      <c r="HB96" s="951">
        <v>3.5000000000000003E-2</v>
      </c>
      <c r="HC96" s="951">
        <v>3.5000000000000003E-2</v>
      </c>
      <c r="HD96" s="951">
        <v>3.5000000000000003E-2</v>
      </c>
      <c r="HE96" s="951">
        <v>3.5000000000000003E-2</v>
      </c>
      <c r="HF96" s="941">
        <f>C96-D96</f>
        <v>0</v>
      </c>
      <c r="HG96" s="218" t="s">
        <v>594</v>
      </c>
    </row>
    <row r="97" spans="1:216" ht="15" customHeight="1">
      <c r="A97" s="1060"/>
      <c r="B97" s="280" t="s">
        <v>672</v>
      </c>
      <c r="C97" s="921"/>
      <c r="D97" s="921"/>
      <c r="E97" s="921"/>
      <c r="F97" s="921"/>
      <c r="G97" s="921"/>
      <c r="H97" s="950"/>
      <c r="I97" s="950"/>
      <c r="J97" s="921"/>
      <c r="K97" s="921"/>
      <c r="L97" s="921"/>
      <c r="M97" s="921"/>
      <c r="N97" s="921"/>
      <c r="O97" s="921"/>
      <c r="P97" s="921"/>
      <c r="Q97" s="921"/>
      <c r="R97" s="921"/>
      <c r="S97" s="921"/>
      <c r="T97" s="970"/>
      <c r="U97" s="970"/>
      <c r="V97" s="970"/>
      <c r="W97" s="910"/>
      <c r="X97" s="910"/>
      <c r="Y97" s="910"/>
      <c r="Z97" s="910"/>
      <c r="AA97" s="910"/>
      <c r="AB97" s="910"/>
      <c r="AC97" s="910"/>
      <c r="AD97" s="968"/>
      <c r="AE97" s="968"/>
      <c r="AF97" s="968"/>
      <c r="AG97" s="979"/>
      <c r="AH97" s="979"/>
      <c r="AI97" s="968"/>
      <c r="AJ97" s="910"/>
      <c r="AK97" s="979"/>
      <c r="AL97" s="968"/>
      <c r="AM97" s="968"/>
      <c r="AN97" s="968"/>
      <c r="AO97" s="968"/>
      <c r="AP97" s="985"/>
      <c r="AQ97" s="1026"/>
      <c r="AR97" s="985"/>
      <c r="AS97" s="1026"/>
      <c r="AT97" s="1030"/>
      <c r="AU97" s="1037"/>
      <c r="AV97" s="1030"/>
      <c r="AW97" s="1030"/>
      <c r="AX97" s="1030"/>
      <c r="AY97" s="1030"/>
      <c r="AZ97" s="1030"/>
      <c r="BA97" s="1030"/>
      <c r="BB97" s="1030"/>
      <c r="BC97" s="1030"/>
      <c r="BD97" s="1030"/>
      <c r="BE97" s="1037"/>
      <c r="BF97" s="1030"/>
      <c r="BG97" s="1030"/>
      <c r="BH97" s="1030"/>
      <c r="BI97" s="1037"/>
      <c r="BJ97" s="1030"/>
      <c r="BK97" s="1030"/>
      <c r="BL97" s="1030"/>
      <c r="BM97" s="1030"/>
      <c r="BN97" s="1030"/>
      <c r="BO97" s="1030"/>
      <c r="BP97" s="1030"/>
      <c r="BQ97" s="1030"/>
      <c r="BR97" s="1030"/>
      <c r="BS97" s="1030"/>
      <c r="BT97" s="1030"/>
      <c r="BU97" s="1030"/>
      <c r="BV97" s="1030"/>
      <c r="BW97" s="1030"/>
      <c r="BX97" s="1030"/>
      <c r="BY97" s="1030"/>
      <c r="BZ97" s="1030"/>
      <c r="CA97" s="1030"/>
      <c r="CB97" s="1030"/>
      <c r="CC97" s="1030"/>
      <c r="CD97" s="1030"/>
      <c r="CE97" s="1030"/>
      <c r="CF97" s="1039"/>
      <c r="CG97" s="1039"/>
      <c r="CH97" s="1039"/>
      <c r="CI97" s="951"/>
      <c r="CJ97" s="1039"/>
      <c r="CK97" s="1039"/>
      <c r="CL97" s="1039"/>
      <c r="CM97" s="1039"/>
      <c r="CN97" s="1039"/>
      <c r="CO97" s="1039"/>
      <c r="CP97" s="1039"/>
      <c r="CQ97" s="1039"/>
      <c r="CR97" s="1039"/>
      <c r="CS97" s="1039"/>
      <c r="CT97" s="1039"/>
      <c r="CU97" s="1039"/>
      <c r="CV97" s="1039"/>
      <c r="CW97" s="1039"/>
      <c r="CX97" s="1039"/>
      <c r="CY97" s="1039"/>
      <c r="CZ97" s="1039"/>
      <c r="DA97" s="1039"/>
      <c r="DB97" s="1039"/>
      <c r="DC97" s="1039"/>
      <c r="DD97" s="1039"/>
      <c r="DE97" s="1039"/>
      <c r="DF97" s="1039"/>
      <c r="DG97" s="1039"/>
      <c r="DH97" s="1039"/>
      <c r="DI97" s="1039"/>
      <c r="DJ97" s="1039"/>
      <c r="DK97" s="1039"/>
      <c r="DL97" s="1039"/>
      <c r="DM97" s="1039"/>
      <c r="DN97" s="1039"/>
      <c r="DO97" s="1039"/>
      <c r="DP97" s="1039"/>
      <c r="DQ97" s="1039"/>
      <c r="DR97" s="1039"/>
      <c r="DS97" s="1039"/>
      <c r="DT97" s="1039"/>
      <c r="DU97" s="1039"/>
      <c r="DV97" s="1039"/>
      <c r="DW97" s="1039"/>
      <c r="DX97" s="1039"/>
      <c r="DY97" s="1039"/>
      <c r="DZ97" s="1039"/>
      <c r="EA97" s="1039"/>
      <c r="EB97" s="1039"/>
      <c r="EC97" s="1039"/>
      <c r="ED97" s="1039"/>
      <c r="EE97" s="1039"/>
      <c r="EF97" s="1039"/>
      <c r="EG97" s="1039"/>
      <c r="EH97" s="1039"/>
      <c r="EI97" s="1039"/>
      <c r="EJ97" s="1039"/>
      <c r="EK97" s="1039"/>
      <c r="EL97" s="1039"/>
      <c r="EM97" s="1039"/>
      <c r="EN97" s="1039"/>
      <c r="EO97" s="1039"/>
      <c r="EP97" s="1039"/>
      <c r="EQ97" s="1039"/>
      <c r="ER97" s="1039"/>
      <c r="ES97" s="1039"/>
      <c r="ET97" s="1039"/>
      <c r="EU97" s="1039"/>
      <c r="EV97" s="1039"/>
      <c r="EW97" s="1039"/>
      <c r="EX97" s="1039"/>
      <c r="EY97" s="1039"/>
      <c r="EZ97" s="1042"/>
      <c r="FA97" s="1040"/>
      <c r="FB97" s="238" t="s">
        <v>386</v>
      </c>
      <c r="FC97" s="1042"/>
      <c r="FD97" s="1040"/>
      <c r="FE97" s="238" t="s">
        <v>385</v>
      </c>
      <c r="FF97" s="237"/>
      <c r="FG97" s="1042"/>
      <c r="FH97" s="1041"/>
      <c r="FI97" s="1041"/>
      <c r="FJ97" s="1056"/>
      <c r="FK97" s="1041"/>
      <c r="FL97" s="1040"/>
      <c r="FM97" s="1040"/>
      <c r="FN97" s="1040"/>
      <c r="FO97" s="1040"/>
      <c r="FP97" s="1040"/>
      <c r="FQ97" s="1040"/>
      <c r="FR97" s="1040"/>
      <c r="FS97" s="1040"/>
      <c r="FT97" s="1040"/>
      <c r="FU97" s="1040"/>
      <c r="FV97" s="1040"/>
      <c r="FW97" s="1040"/>
      <c r="FX97" s="1040"/>
      <c r="FY97" s="1039"/>
      <c r="FZ97" s="1039"/>
      <c r="GA97" s="1039"/>
      <c r="GB97" s="1039"/>
      <c r="GC97" s="1039"/>
      <c r="GD97" s="1039"/>
      <c r="GE97" s="1039"/>
      <c r="GF97" s="1039"/>
      <c r="GG97" s="1039"/>
      <c r="GH97" s="1039"/>
      <c r="GI97" s="1039"/>
      <c r="GJ97" s="1039"/>
      <c r="GK97" s="1039"/>
      <c r="GL97" s="1039"/>
      <c r="GM97" s="1039"/>
      <c r="GN97" s="1039"/>
      <c r="GO97" s="1039"/>
      <c r="GP97" s="1039"/>
      <c r="GQ97" s="1039"/>
      <c r="GR97" s="1039"/>
      <c r="GS97" s="1039"/>
      <c r="GT97" s="1039"/>
      <c r="GU97" s="1039"/>
      <c r="GV97" s="1039"/>
      <c r="GW97" s="1039"/>
      <c r="GX97" s="1039"/>
      <c r="GY97" s="1039"/>
      <c r="GZ97" s="1039"/>
      <c r="HA97" s="1039"/>
      <c r="HB97" s="1039"/>
      <c r="HC97" s="1039"/>
      <c r="HD97" s="1039"/>
      <c r="HE97" s="1039"/>
      <c r="HF97" s="942"/>
    </row>
    <row r="98" spans="1:216" ht="15" customHeight="1">
      <c r="A98" s="1060" t="s">
        <v>37</v>
      </c>
      <c r="B98" s="909" t="s">
        <v>782</v>
      </c>
      <c r="C98" s="909">
        <v>1.32E-2</v>
      </c>
      <c r="D98" s="909">
        <v>1.32E-2</v>
      </c>
      <c r="E98" s="909">
        <v>1.32E-2</v>
      </c>
      <c r="F98" s="909">
        <v>1.32E-2</v>
      </c>
      <c r="G98" s="909">
        <v>1.32E-2</v>
      </c>
      <c r="H98" s="909">
        <v>1.32E-2</v>
      </c>
      <c r="I98" s="909">
        <v>1.32E-2</v>
      </c>
      <c r="J98" s="909">
        <v>1.32E-2</v>
      </c>
      <c r="K98" s="967">
        <v>1.32E-2</v>
      </c>
      <c r="L98" s="909">
        <v>1.15E-2</v>
      </c>
      <c r="M98" s="909">
        <v>1.15E-2</v>
      </c>
      <c r="N98" s="909">
        <v>1.15E-2</v>
      </c>
      <c r="O98" s="909">
        <v>1.15E-2</v>
      </c>
      <c r="P98" s="909">
        <v>1.15E-2</v>
      </c>
      <c r="Q98" s="909">
        <v>1.15E-2</v>
      </c>
      <c r="R98" s="909">
        <v>1.15E-2</v>
      </c>
      <c r="S98" s="909">
        <v>1.15E-2</v>
      </c>
      <c r="T98" s="978">
        <v>1.15E-2</v>
      </c>
      <c r="U98" s="978">
        <v>1.15E-2</v>
      </c>
      <c r="V98" s="978">
        <v>1.15E-2</v>
      </c>
      <c r="W98" s="991">
        <v>1.15E-2</v>
      </c>
      <c r="X98" s="907">
        <v>1.0999999999999999E-2</v>
      </c>
      <c r="Y98" s="907">
        <v>1.0999999999999999E-2</v>
      </c>
      <c r="Z98" s="907">
        <v>1.0999999999999999E-2</v>
      </c>
      <c r="AA98" s="907">
        <v>1.0999999999999999E-2</v>
      </c>
      <c r="AB98" s="991">
        <v>1.0999999999999999E-2</v>
      </c>
      <c r="AC98" s="907">
        <v>1.15E-2</v>
      </c>
      <c r="AD98" s="991">
        <v>1.15E-2</v>
      </c>
      <c r="AE98" s="991">
        <v>1.2999999999999999E-2</v>
      </c>
      <c r="AF98" s="990">
        <v>1.35E-2</v>
      </c>
      <c r="AG98" s="990">
        <v>1.35E-2</v>
      </c>
      <c r="AH98" s="991">
        <v>1.4500000000000001E-2</v>
      </c>
      <c r="AI98" s="991">
        <v>1.52E-2</v>
      </c>
      <c r="AJ98" s="907">
        <v>1.61E-2</v>
      </c>
      <c r="AK98" s="990">
        <v>1.61E-2</v>
      </c>
      <c r="AL98" s="991">
        <v>1.61E-2</v>
      </c>
      <c r="AM98" s="990">
        <v>1.89E-2</v>
      </c>
      <c r="AN98" s="990">
        <v>1.89E-2</v>
      </c>
      <c r="AO98" s="990">
        <v>1.89E-2</v>
      </c>
      <c r="AP98" s="1009">
        <v>1.89E-2</v>
      </c>
      <c r="AQ98" s="1009">
        <v>1.89E-2</v>
      </c>
      <c r="AR98" s="1019">
        <v>2.0500000000000001E-2</v>
      </c>
      <c r="AS98" s="1009" t="s">
        <v>384</v>
      </c>
      <c r="AT98" s="1009" t="s">
        <v>384</v>
      </c>
      <c r="AU98" s="1009" t="s">
        <v>384</v>
      </c>
      <c r="AV98" s="1009" t="s">
        <v>384</v>
      </c>
      <c r="AW98" s="1009" t="s">
        <v>384</v>
      </c>
      <c r="AX98" s="1009" t="s">
        <v>383</v>
      </c>
      <c r="AY98" s="1009" t="s">
        <v>383</v>
      </c>
      <c r="AZ98" s="1009" t="s">
        <v>383</v>
      </c>
      <c r="BA98" s="1009" t="s">
        <v>383</v>
      </c>
      <c r="BB98" s="1009" t="s">
        <v>383</v>
      </c>
      <c r="BC98" s="1009" t="s">
        <v>383</v>
      </c>
      <c r="BD98" s="1009" t="s">
        <v>383</v>
      </c>
      <c r="BE98" s="1009" t="s">
        <v>383</v>
      </c>
      <c r="BF98" s="1009" t="s">
        <v>383</v>
      </c>
      <c r="BG98" s="1009" t="s">
        <v>383</v>
      </c>
      <c r="BH98" s="1009" t="s">
        <v>383</v>
      </c>
      <c r="BI98" s="1009" t="s">
        <v>383</v>
      </c>
      <c r="BJ98" s="1019" t="s">
        <v>383</v>
      </c>
      <c r="BK98" s="1009" t="s">
        <v>382</v>
      </c>
      <c r="BL98" s="1009" t="s">
        <v>382</v>
      </c>
      <c r="BM98" s="1009" t="s">
        <v>382</v>
      </c>
      <c r="BN98" s="1009" t="s">
        <v>382</v>
      </c>
      <c r="BO98" s="1009" t="s">
        <v>382</v>
      </c>
      <c r="BP98" s="1009" t="s">
        <v>382</v>
      </c>
      <c r="BQ98" s="1009" t="s">
        <v>382</v>
      </c>
      <c r="BR98" s="1019" t="s">
        <v>382</v>
      </c>
      <c r="BS98" s="1009" t="s">
        <v>381</v>
      </c>
      <c r="BT98" s="1009" t="s">
        <v>381</v>
      </c>
      <c r="BU98" s="1009" t="s">
        <v>381</v>
      </c>
      <c r="BV98" s="1009" t="s">
        <v>381</v>
      </c>
      <c r="BW98" s="1009" t="s">
        <v>381</v>
      </c>
      <c r="BX98" s="1009" t="s">
        <v>381</v>
      </c>
      <c r="BY98" s="1009" t="s">
        <v>381</v>
      </c>
      <c r="BZ98" s="1009" t="s">
        <v>381</v>
      </c>
      <c r="CA98" s="1009" t="s">
        <v>381</v>
      </c>
      <c r="CB98" s="1009" t="s">
        <v>381</v>
      </c>
      <c r="CC98" s="1009" t="s">
        <v>338</v>
      </c>
      <c r="CD98" s="1009" t="s">
        <v>338</v>
      </c>
      <c r="CE98" s="1009" t="s">
        <v>338</v>
      </c>
      <c r="CF98" s="1009" t="s">
        <v>338</v>
      </c>
      <c r="CG98" s="1009" t="s">
        <v>338</v>
      </c>
      <c r="CH98" s="1009" t="s">
        <v>338</v>
      </c>
      <c r="CI98" s="1009" t="s">
        <v>338</v>
      </c>
      <c r="CJ98" s="1009" t="s">
        <v>338</v>
      </c>
      <c r="CK98" s="1009" t="s">
        <v>338</v>
      </c>
      <c r="CL98" s="1009" t="s">
        <v>338</v>
      </c>
      <c r="CM98" s="1009" t="s">
        <v>338</v>
      </c>
      <c r="CN98" s="1009" t="s">
        <v>338</v>
      </c>
      <c r="CO98" s="1009" t="s">
        <v>338</v>
      </c>
      <c r="CP98" s="1009" t="s">
        <v>338</v>
      </c>
      <c r="CQ98" s="1009" t="s">
        <v>338</v>
      </c>
      <c r="CR98" s="1009" t="s">
        <v>338</v>
      </c>
      <c r="CS98" s="1009" t="s">
        <v>338</v>
      </c>
      <c r="CT98" s="1009" t="s">
        <v>338</v>
      </c>
      <c r="CU98" s="1009" t="s">
        <v>338</v>
      </c>
      <c r="CV98" s="1009" t="s">
        <v>338</v>
      </c>
      <c r="CW98" s="1009" t="s">
        <v>338</v>
      </c>
      <c r="CX98" s="1009" t="s">
        <v>338</v>
      </c>
      <c r="CY98" s="1009" t="s">
        <v>338</v>
      </c>
      <c r="CZ98" s="1009" t="s">
        <v>338</v>
      </c>
      <c r="DA98" s="1009" t="s">
        <v>338</v>
      </c>
      <c r="DB98" s="1009" t="s">
        <v>338</v>
      </c>
      <c r="DC98" s="1009" t="s">
        <v>338</v>
      </c>
      <c r="DD98" s="1009" t="s">
        <v>338</v>
      </c>
      <c r="DE98" s="1009" t="s">
        <v>338</v>
      </c>
      <c r="DF98" s="1009" t="s">
        <v>338</v>
      </c>
      <c r="DG98" s="1009" t="s">
        <v>337</v>
      </c>
      <c r="DH98" s="1009" t="s">
        <v>337</v>
      </c>
      <c r="DI98" s="1009" t="s">
        <v>337</v>
      </c>
      <c r="DJ98" s="1009" t="s">
        <v>337</v>
      </c>
      <c r="DK98" s="1009" t="s">
        <v>337</v>
      </c>
      <c r="DL98" s="1009" t="s">
        <v>337</v>
      </c>
      <c r="DM98" s="1009" t="s">
        <v>337</v>
      </c>
      <c r="DN98" s="1009" t="s">
        <v>337</v>
      </c>
      <c r="DO98" s="1009" t="s">
        <v>337</v>
      </c>
      <c r="DP98" s="1009" t="s">
        <v>337</v>
      </c>
      <c r="DQ98" s="1009" t="s">
        <v>337</v>
      </c>
      <c r="DR98" s="1009" t="s">
        <v>337</v>
      </c>
      <c r="DS98" s="1009" t="s">
        <v>336</v>
      </c>
      <c r="DT98" s="1009" t="s">
        <v>336</v>
      </c>
      <c r="DU98" s="1009" t="s">
        <v>336</v>
      </c>
      <c r="DV98" s="1009" t="s">
        <v>336</v>
      </c>
      <c r="DW98" s="1009" t="s">
        <v>335</v>
      </c>
      <c r="DX98" s="1009" t="s">
        <v>335</v>
      </c>
      <c r="DY98" s="1009" t="s">
        <v>335</v>
      </c>
      <c r="DZ98" s="261">
        <v>2.9000000000000001E-2</v>
      </c>
      <c r="EA98" s="261">
        <v>2.9000000000000001E-2</v>
      </c>
      <c r="EB98" s="261">
        <v>2.9000000000000001E-2</v>
      </c>
      <c r="EC98" s="261">
        <v>0.03</v>
      </c>
      <c r="ED98" s="261">
        <v>0.03</v>
      </c>
      <c r="EE98" s="261">
        <v>0.03</v>
      </c>
      <c r="EF98" s="261">
        <v>0.03</v>
      </c>
      <c r="EG98" s="261">
        <v>0.03</v>
      </c>
      <c r="EH98" s="261">
        <v>0.03</v>
      </c>
      <c r="EI98" s="261">
        <v>0.03</v>
      </c>
      <c r="EJ98" s="261">
        <v>0.03</v>
      </c>
      <c r="EK98" s="261">
        <v>0.03</v>
      </c>
      <c r="EL98" s="261">
        <v>0.03</v>
      </c>
      <c r="EM98" s="261">
        <v>0.03</v>
      </c>
      <c r="EN98" s="261">
        <v>3.2000000000000001E-2</v>
      </c>
      <c r="EO98" s="261">
        <v>3.2000000000000001E-2</v>
      </c>
      <c r="EP98" s="261">
        <v>3.2000000000000001E-2</v>
      </c>
      <c r="EQ98" s="261">
        <v>3.2000000000000001E-2</v>
      </c>
      <c r="ER98" s="261">
        <v>3.2000000000000001E-2</v>
      </c>
      <c r="ES98" s="261">
        <v>3.5499999999999997E-2</v>
      </c>
      <c r="ET98" s="261">
        <v>3.5499999999999997E-2</v>
      </c>
      <c r="EU98" s="261">
        <v>3.5499999999999997E-2</v>
      </c>
      <c r="EV98" s="261">
        <v>3.5499999999999997E-2</v>
      </c>
      <c r="EW98" s="261">
        <v>3.5499999999999997E-2</v>
      </c>
      <c r="EX98" s="261">
        <v>3.5499999999999997E-2</v>
      </c>
      <c r="EY98" s="261">
        <v>3.5499999999999997E-2</v>
      </c>
      <c r="EZ98" s="231" t="s">
        <v>281</v>
      </c>
      <c r="FA98" s="235">
        <v>2.1999999999999999E-2</v>
      </c>
      <c r="FB98" s="254">
        <v>2.1999999999999999E-2</v>
      </c>
      <c r="FC98" s="231" t="s">
        <v>281</v>
      </c>
      <c r="FD98" s="235">
        <v>1.2999999999999999E-2</v>
      </c>
      <c r="FE98" s="238">
        <v>3.5000000000000001E-3</v>
      </c>
      <c r="FF98" s="237" t="s">
        <v>380</v>
      </c>
      <c r="FG98" s="231" t="s">
        <v>374</v>
      </c>
      <c r="FH98" s="236">
        <v>8.9999999999999993E-3</v>
      </c>
      <c r="FI98" s="236">
        <v>8.9999999999999993E-3</v>
      </c>
      <c r="FJ98" s="236">
        <v>1.2999999999999999E-2</v>
      </c>
      <c r="FK98" s="236">
        <v>8.9999999999999993E-3</v>
      </c>
      <c r="FL98" s="235">
        <v>1.2999999999999999E-2</v>
      </c>
      <c r="FM98" s="235">
        <v>1.2999999999999999E-2</v>
      </c>
      <c r="FN98" s="235">
        <v>1.2999999999999999E-2</v>
      </c>
      <c r="FO98" s="235">
        <v>1.2999999999999999E-2</v>
      </c>
      <c r="FP98" s="235">
        <v>1.2999999999999999E-2</v>
      </c>
      <c r="FQ98" s="235">
        <v>1.2999999999999999E-2</v>
      </c>
      <c r="FR98" s="235">
        <v>1.2999999999999999E-2</v>
      </c>
      <c r="FS98" s="235">
        <v>1.7999999999999999E-2</v>
      </c>
      <c r="FT98" s="235">
        <v>1.7999999999999999E-2</v>
      </c>
      <c r="FU98" s="235">
        <v>2.1999999999999999E-2</v>
      </c>
      <c r="FV98" s="235">
        <v>1.7999999999999999E-2</v>
      </c>
      <c r="FW98" s="235">
        <v>2.1999999999999999E-2</v>
      </c>
      <c r="FX98" s="235">
        <v>2.1999999999999999E-2</v>
      </c>
      <c r="FY98" s="261">
        <v>2.1999999999999999E-2</v>
      </c>
      <c r="FZ98" s="261">
        <v>3.9E-2</v>
      </c>
      <c r="GA98" s="261">
        <v>3.9E-2</v>
      </c>
      <c r="GB98" s="261">
        <v>3.9E-2</v>
      </c>
      <c r="GC98" s="261">
        <v>3.9E-2</v>
      </c>
      <c r="GD98" s="261">
        <v>3.9E-2</v>
      </c>
      <c r="GE98" s="261">
        <v>3.9E-2</v>
      </c>
      <c r="GF98" s="261">
        <v>3.9E-2</v>
      </c>
      <c r="GG98" s="261">
        <v>3.9E-2</v>
      </c>
      <c r="GH98" s="261">
        <v>3.9E-2</v>
      </c>
      <c r="GI98" s="261">
        <v>3.9E-2</v>
      </c>
      <c r="GJ98" s="261">
        <v>3.9E-2</v>
      </c>
      <c r="GK98" s="261">
        <v>3.9E-2</v>
      </c>
      <c r="GL98" s="261">
        <v>3.9E-2</v>
      </c>
      <c r="GM98" s="261">
        <v>3.9E-2</v>
      </c>
      <c r="GN98" s="261">
        <v>3.9E-2</v>
      </c>
      <c r="GO98" s="261">
        <v>3.9E-2</v>
      </c>
      <c r="GP98" s="261">
        <v>0.03</v>
      </c>
      <c r="GQ98" s="261">
        <v>0.03</v>
      </c>
      <c r="GR98" s="261">
        <v>0.03</v>
      </c>
      <c r="GS98" s="261">
        <v>0.03</v>
      </c>
      <c r="GT98" s="261">
        <v>0.03</v>
      </c>
      <c r="GU98" s="261">
        <v>0.03</v>
      </c>
      <c r="GV98" s="261">
        <v>0.03</v>
      </c>
      <c r="GW98" s="261">
        <v>0.03</v>
      </c>
      <c r="GX98" s="261">
        <v>2.1999999999999999E-2</v>
      </c>
      <c r="GY98" s="261">
        <v>2.1999999999999999E-2</v>
      </c>
      <c r="GZ98" s="261">
        <v>2.1999999999999999E-2</v>
      </c>
      <c r="HA98" s="261">
        <v>2.1999999999999999E-2</v>
      </c>
      <c r="HB98" s="261">
        <v>3.9E-2</v>
      </c>
      <c r="HC98" s="261">
        <v>3.5499999999999997E-2</v>
      </c>
      <c r="HD98" s="261">
        <v>3.9E-2</v>
      </c>
      <c r="HE98" s="261">
        <v>3.9E-2</v>
      </c>
      <c r="HF98" s="941">
        <f>C98-D98</f>
        <v>0</v>
      </c>
    </row>
    <row r="99" spans="1:216" ht="30" customHeight="1">
      <c r="A99" s="1060"/>
      <c r="B99" s="914"/>
      <c r="C99" s="910"/>
      <c r="D99" s="910"/>
      <c r="E99" s="910"/>
      <c r="F99" s="910"/>
      <c r="G99" s="910"/>
      <c r="H99" s="910"/>
      <c r="I99" s="910"/>
      <c r="J99" s="910"/>
      <c r="K99" s="968"/>
      <c r="L99" s="910"/>
      <c r="M99" s="910"/>
      <c r="N99" s="910"/>
      <c r="O99" s="910"/>
      <c r="P99" s="910"/>
      <c r="Q99" s="910"/>
      <c r="R99" s="910"/>
      <c r="S99" s="910"/>
      <c r="T99" s="979"/>
      <c r="U99" s="979"/>
      <c r="V99" s="979"/>
      <c r="W99" s="991"/>
      <c r="X99" s="907"/>
      <c r="Y99" s="907"/>
      <c r="Z99" s="907"/>
      <c r="AA99" s="907"/>
      <c r="AB99" s="991"/>
      <c r="AC99" s="907"/>
      <c r="AD99" s="991"/>
      <c r="AE99" s="991"/>
      <c r="AF99" s="990"/>
      <c r="AG99" s="990"/>
      <c r="AH99" s="991"/>
      <c r="AI99" s="991"/>
      <c r="AJ99" s="907"/>
      <c r="AK99" s="990"/>
      <c r="AL99" s="991"/>
      <c r="AM99" s="990"/>
      <c r="AN99" s="990"/>
      <c r="AO99" s="990"/>
      <c r="AP99" s="1009"/>
      <c r="AQ99" s="1009"/>
      <c r="AR99" s="1019"/>
      <c r="AS99" s="1009"/>
      <c r="AT99" s="1009"/>
      <c r="AU99" s="1009"/>
      <c r="AV99" s="1009"/>
      <c r="AW99" s="1009"/>
      <c r="AX99" s="1009"/>
      <c r="AY99" s="1009"/>
      <c r="AZ99" s="1009"/>
      <c r="BA99" s="1009"/>
      <c r="BB99" s="1009"/>
      <c r="BC99" s="1009"/>
      <c r="BD99" s="1009"/>
      <c r="BE99" s="1009"/>
      <c r="BF99" s="1009"/>
      <c r="BG99" s="1009"/>
      <c r="BH99" s="1009"/>
      <c r="BI99" s="1009"/>
      <c r="BJ99" s="1019"/>
      <c r="BK99" s="1009"/>
      <c r="BL99" s="1009"/>
      <c r="BM99" s="1009"/>
      <c r="BN99" s="1009"/>
      <c r="BO99" s="1009"/>
      <c r="BP99" s="1009"/>
      <c r="BQ99" s="1009"/>
      <c r="BR99" s="1019"/>
      <c r="BS99" s="1009"/>
      <c r="BT99" s="1009"/>
      <c r="BU99" s="1009"/>
      <c r="BV99" s="1009"/>
      <c r="BW99" s="1009"/>
      <c r="BX99" s="1009"/>
      <c r="BY99" s="1009"/>
      <c r="BZ99" s="1009"/>
      <c r="CA99" s="1009"/>
      <c r="CB99" s="1009"/>
      <c r="CC99" s="1009"/>
      <c r="CD99" s="1009"/>
      <c r="CE99" s="1009"/>
      <c r="CF99" s="1009"/>
      <c r="CG99" s="1009"/>
      <c r="CH99" s="1009"/>
      <c r="CI99" s="1009"/>
      <c r="CJ99" s="1009"/>
      <c r="CK99" s="1009"/>
      <c r="CL99" s="1009"/>
      <c r="CM99" s="1009"/>
      <c r="CN99" s="1009"/>
      <c r="CO99" s="1009"/>
      <c r="CP99" s="1009"/>
      <c r="CQ99" s="1009"/>
      <c r="CR99" s="1009"/>
      <c r="CS99" s="1009"/>
      <c r="CT99" s="1009"/>
      <c r="CU99" s="1009"/>
      <c r="CV99" s="1009"/>
      <c r="CW99" s="1009"/>
      <c r="CX99" s="1009"/>
      <c r="CY99" s="1009"/>
      <c r="CZ99" s="1009"/>
      <c r="DA99" s="1009"/>
      <c r="DB99" s="1009"/>
      <c r="DC99" s="1009"/>
      <c r="DD99" s="1009"/>
      <c r="DE99" s="1009"/>
      <c r="DF99" s="1009"/>
      <c r="DG99" s="1009"/>
      <c r="DH99" s="1009"/>
      <c r="DI99" s="1009"/>
      <c r="DJ99" s="1009"/>
      <c r="DK99" s="1009"/>
      <c r="DL99" s="1009"/>
      <c r="DM99" s="1009"/>
      <c r="DN99" s="1009"/>
      <c r="DO99" s="1009"/>
      <c r="DP99" s="1009"/>
      <c r="DQ99" s="1009"/>
      <c r="DR99" s="1009"/>
      <c r="DS99" s="1009"/>
      <c r="DT99" s="1009"/>
      <c r="DU99" s="1009"/>
      <c r="DV99" s="1009"/>
      <c r="DW99" s="1009"/>
      <c r="DX99" s="1009"/>
      <c r="DY99" s="1009"/>
      <c r="DZ99" s="261"/>
      <c r="EA99" s="261"/>
      <c r="EB99" s="261"/>
      <c r="EC99" s="261"/>
      <c r="ED99" s="261"/>
      <c r="EE99" s="261"/>
      <c r="EF99" s="261"/>
      <c r="EG99" s="261"/>
      <c r="EH99" s="261"/>
      <c r="EI99" s="261"/>
      <c r="EJ99" s="261"/>
      <c r="EK99" s="261"/>
      <c r="EL99" s="261"/>
      <c r="EM99" s="261"/>
      <c r="EN99" s="261"/>
      <c r="EO99" s="261"/>
      <c r="EP99" s="261"/>
      <c r="EQ99" s="261"/>
      <c r="ER99" s="261"/>
      <c r="ES99" s="261"/>
      <c r="ET99" s="261"/>
      <c r="EU99" s="261"/>
      <c r="EV99" s="261"/>
      <c r="EW99" s="261"/>
      <c r="EX99" s="261"/>
      <c r="EY99" s="261"/>
      <c r="EZ99" s="231" t="s">
        <v>281</v>
      </c>
      <c r="FA99" s="235"/>
      <c r="FB99" s="254"/>
      <c r="FC99" s="231"/>
      <c r="FD99" s="235"/>
      <c r="FE99" s="238"/>
      <c r="FF99" s="237"/>
      <c r="FG99" s="231"/>
      <c r="FH99" s="236"/>
      <c r="FI99" s="236"/>
      <c r="FJ99" s="236"/>
      <c r="FK99" s="236"/>
      <c r="FL99" s="235"/>
      <c r="FM99" s="235"/>
      <c r="FN99" s="235"/>
      <c r="FO99" s="235"/>
      <c r="FP99" s="235"/>
      <c r="FQ99" s="235"/>
      <c r="FR99" s="235"/>
      <c r="FS99" s="235"/>
      <c r="FT99" s="235"/>
      <c r="FU99" s="235"/>
      <c r="FV99" s="235"/>
      <c r="FW99" s="235"/>
      <c r="FX99" s="235"/>
      <c r="FY99" s="261"/>
      <c r="FZ99" s="261"/>
      <c r="GA99" s="261"/>
      <c r="GB99" s="261"/>
      <c r="GC99" s="261"/>
      <c r="GD99" s="261"/>
      <c r="GE99" s="261"/>
      <c r="GF99" s="261"/>
      <c r="GG99" s="261"/>
      <c r="GH99" s="261"/>
      <c r="GI99" s="261"/>
      <c r="GJ99" s="261"/>
      <c r="GK99" s="261"/>
      <c r="GL99" s="261"/>
      <c r="GM99" s="261"/>
      <c r="GN99" s="261"/>
      <c r="GO99" s="261"/>
      <c r="GP99" s="261"/>
      <c r="GQ99" s="261"/>
      <c r="GR99" s="261"/>
      <c r="GS99" s="261"/>
      <c r="GT99" s="261"/>
      <c r="GU99" s="261"/>
      <c r="GV99" s="261"/>
      <c r="GW99" s="261"/>
      <c r="GX99" s="261"/>
      <c r="GY99" s="261"/>
      <c r="GZ99" s="261"/>
      <c r="HA99" s="261"/>
      <c r="HB99" s="261"/>
      <c r="HC99" s="261"/>
      <c r="HD99" s="261"/>
      <c r="HE99" s="261"/>
      <c r="HF99" s="942"/>
      <c r="HG99" s="555" t="s">
        <v>764</v>
      </c>
    </row>
    <row r="100" spans="1:216">
      <c r="A100" s="1060" t="s">
        <v>379</v>
      </c>
      <c r="B100" s="308" t="s">
        <v>378</v>
      </c>
      <c r="C100" s="920">
        <v>8.0000000000000002E-3</v>
      </c>
      <c r="D100" s="920">
        <v>8.0000000000000002E-3</v>
      </c>
      <c r="E100" s="920">
        <v>8.0000000000000002E-3</v>
      </c>
      <c r="F100" s="920">
        <v>8.0000000000000002E-3</v>
      </c>
      <c r="G100" s="920">
        <v>8.0000000000000002E-3</v>
      </c>
      <c r="H100" s="920">
        <v>8.0000000000000002E-3</v>
      </c>
      <c r="I100" s="920">
        <v>8.0000000000000002E-3</v>
      </c>
      <c r="J100" s="920">
        <v>8.0000000000000002E-3</v>
      </c>
      <c r="K100" s="920">
        <v>8.0000000000000002E-3</v>
      </c>
      <c r="L100" s="920">
        <v>8.0000000000000002E-3</v>
      </c>
      <c r="M100" s="920">
        <v>8.0000000000000002E-3</v>
      </c>
      <c r="N100" s="920">
        <v>8.0000000000000002E-3</v>
      </c>
      <c r="O100" s="920">
        <v>8.0000000000000002E-3</v>
      </c>
      <c r="P100" s="920">
        <v>8.0000000000000002E-3</v>
      </c>
      <c r="Q100" s="920">
        <v>8.0000000000000002E-3</v>
      </c>
      <c r="R100" s="920">
        <v>8.0000000000000002E-3</v>
      </c>
      <c r="S100" s="920">
        <v>8.0000000000000002E-3</v>
      </c>
      <c r="T100" s="920">
        <v>8.0000000000000002E-3</v>
      </c>
      <c r="U100" s="920">
        <v>8.0000000000000002E-3</v>
      </c>
      <c r="V100" s="963">
        <v>8.0000000000000002E-3</v>
      </c>
      <c r="W100" s="909" t="s">
        <v>124</v>
      </c>
      <c r="X100" s="909" t="s">
        <v>124</v>
      </c>
      <c r="Y100" s="909" t="s">
        <v>124</v>
      </c>
      <c r="Z100" s="909" t="s">
        <v>124</v>
      </c>
      <c r="AA100" s="909" t="s">
        <v>124</v>
      </c>
      <c r="AB100" s="909" t="s">
        <v>124</v>
      </c>
      <c r="AC100" s="909" t="s">
        <v>124</v>
      </c>
      <c r="AD100" s="909" t="s">
        <v>124</v>
      </c>
      <c r="AE100" s="909">
        <v>1.4999999999999999E-2</v>
      </c>
      <c r="AF100" s="978">
        <v>1.4999999999999999E-2</v>
      </c>
      <c r="AG100" s="978">
        <v>1.4999999999999999E-2</v>
      </c>
      <c r="AH100" s="978">
        <v>1.4999999999999999E-2</v>
      </c>
      <c r="AI100" s="978">
        <v>1.4999999999999999E-2</v>
      </c>
      <c r="AJ100" s="967">
        <v>1.4999999999999999E-2</v>
      </c>
      <c r="AK100" s="978" t="s">
        <v>124</v>
      </c>
      <c r="AL100" s="909" t="s">
        <v>124</v>
      </c>
      <c r="AM100" s="978" t="s">
        <v>124</v>
      </c>
      <c r="AN100" s="978" t="s">
        <v>124</v>
      </c>
      <c r="AO100" s="978" t="s">
        <v>124</v>
      </c>
      <c r="AP100" s="1007" t="s">
        <v>124</v>
      </c>
      <c r="AQ100" s="1007" t="s">
        <v>124</v>
      </c>
      <c r="AR100" s="1009">
        <v>2.2499999999999999E-2</v>
      </c>
      <c r="AS100" s="1009">
        <v>2.2499999999999999E-2</v>
      </c>
      <c r="AT100" s="1009">
        <v>2.2499999999999999E-2</v>
      </c>
      <c r="AU100" s="1009">
        <v>2.2499999999999999E-2</v>
      </c>
      <c r="AV100" s="1019">
        <v>2.2499999999999999E-2</v>
      </c>
      <c r="AW100" s="1009">
        <v>2.4E-2</v>
      </c>
      <c r="AX100" s="1009">
        <v>2.4E-2</v>
      </c>
      <c r="AY100" s="1009">
        <v>2.4E-2</v>
      </c>
      <c r="AZ100" s="1009">
        <v>2.4E-2</v>
      </c>
      <c r="BA100" s="1009">
        <v>2.4E-2</v>
      </c>
      <c r="BB100" s="1009">
        <v>2.4E-2</v>
      </c>
      <c r="BC100" s="1019">
        <v>2.4E-2</v>
      </c>
      <c r="BD100" s="1009">
        <v>2.75E-2</v>
      </c>
      <c r="BE100" s="1009">
        <v>2.75E-2</v>
      </c>
      <c r="BF100" s="1009">
        <v>2.75E-2</v>
      </c>
      <c r="BG100" s="1019">
        <v>2.75E-2</v>
      </c>
      <c r="BH100" s="1009">
        <v>2.5000000000000001E-2</v>
      </c>
      <c r="BI100" s="1009">
        <v>2.5000000000000001E-2</v>
      </c>
      <c r="BJ100" s="1009">
        <v>2.5000000000000001E-2</v>
      </c>
      <c r="BK100" s="1009">
        <v>2.5000000000000001E-2</v>
      </c>
      <c r="BL100" s="1009">
        <v>2.5000000000000001E-2</v>
      </c>
      <c r="BM100" s="1009" t="s">
        <v>377</v>
      </c>
      <c r="BN100" s="1009" t="s">
        <v>124</v>
      </c>
      <c r="BO100" s="1009" t="s">
        <v>124</v>
      </c>
      <c r="BP100" s="1009" t="s">
        <v>124</v>
      </c>
      <c r="BQ100" s="1009" t="s">
        <v>124</v>
      </c>
      <c r="BR100" s="1009" t="s">
        <v>124</v>
      </c>
      <c r="BS100" s="1009" t="s">
        <v>124</v>
      </c>
      <c r="BT100" s="1009" t="s">
        <v>124</v>
      </c>
      <c r="BU100" s="1019" t="s">
        <v>124</v>
      </c>
      <c r="BV100" s="1009">
        <v>2.5000000000000001E-2</v>
      </c>
      <c r="BW100" s="1009">
        <v>2.5000000000000001E-2</v>
      </c>
      <c r="BX100" s="1009">
        <v>2.5000000000000001E-2</v>
      </c>
      <c r="BY100" s="1009">
        <v>2.5000000000000001E-2</v>
      </c>
      <c r="BZ100" s="1009">
        <v>2.5000000000000001E-2</v>
      </c>
      <c r="CA100" s="1009">
        <v>2.7E-2</v>
      </c>
      <c r="CB100" s="1009">
        <v>2.7E-2</v>
      </c>
      <c r="CC100" s="1009">
        <v>2.7E-2</v>
      </c>
      <c r="CD100" s="1009">
        <v>2.7E-2</v>
      </c>
      <c r="CE100" s="1009">
        <v>2.7E-2</v>
      </c>
      <c r="CF100" s="1009">
        <v>2.7E-2</v>
      </c>
      <c r="CG100" s="1009">
        <v>2.7E-2</v>
      </c>
      <c r="CH100" s="1009">
        <v>3.2000000000000001E-2</v>
      </c>
      <c r="CI100" s="1011">
        <v>3.2000000000000001E-2</v>
      </c>
      <c r="CJ100" s="1009">
        <v>3.2000000000000001E-2</v>
      </c>
      <c r="CK100" s="1009">
        <v>3.2000000000000001E-2</v>
      </c>
      <c r="CL100" s="1009">
        <v>3.2000000000000001E-2</v>
      </c>
      <c r="CM100" s="1009">
        <v>3.2000000000000001E-2</v>
      </c>
      <c r="CN100" s="1009">
        <v>3.2000000000000001E-2</v>
      </c>
      <c r="CO100" s="1009">
        <v>3.0499999999999999E-2</v>
      </c>
      <c r="CP100" s="1009">
        <v>3.0499999999999999E-2</v>
      </c>
      <c r="CQ100" s="1009">
        <v>3.0499999999999999E-2</v>
      </c>
      <c r="CR100" s="1009">
        <v>3.0499999999999999E-2</v>
      </c>
      <c r="CS100" s="1009">
        <v>3.0499999999999999E-2</v>
      </c>
      <c r="CT100" s="1009">
        <v>3.0499999999999999E-2</v>
      </c>
      <c r="CU100" s="1009">
        <v>3.0499999999999999E-2</v>
      </c>
      <c r="CV100" s="1009">
        <v>3.0499999999999999E-2</v>
      </c>
      <c r="CW100" s="1009">
        <v>3.2000000000000001E-2</v>
      </c>
      <c r="CX100" s="1009">
        <v>3.2000000000000001E-2</v>
      </c>
      <c r="CY100" s="1009">
        <v>3.2000000000000001E-2</v>
      </c>
      <c r="CZ100" s="1009">
        <v>3.2000000000000001E-2</v>
      </c>
      <c r="DA100" s="1009">
        <v>3.2000000000000001E-2</v>
      </c>
      <c r="DB100" s="1009">
        <v>3.2000000000000001E-2</v>
      </c>
      <c r="DC100" s="1009">
        <v>3.2000000000000001E-2</v>
      </c>
      <c r="DD100" s="1009">
        <v>3.2000000000000001E-2</v>
      </c>
      <c r="DE100" s="1009">
        <v>3.2000000000000001E-2</v>
      </c>
      <c r="DF100" s="1009">
        <v>3.2000000000000001E-2</v>
      </c>
      <c r="DG100" s="1009">
        <v>3.2000000000000001E-2</v>
      </c>
      <c r="DH100" s="1009">
        <v>3.3000000000000002E-2</v>
      </c>
      <c r="DI100" s="1009">
        <v>3.3000000000000002E-2</v>
      </c>
      <c r="DJ100" s="1009">
        <v>3.5499999999999997E-2</v>
      </c>
      <c r="DK100" s="1009">
        <v>3.5499999999999997E-2</v>
      </c>
      <c r="DL100" s="1009">
        <v>3.5499999999999997E-2</v>
      </c>
      <c r="DM100" s="1009">
        <v>3.5499999999999997E-2</v>
      </c>
      <c r="DN100" s="1009">
        <v>3.5499999999999997E-2</v>
      </c>
      <c r="DO100" s="1009">
        <v>3.5499999999999997E-2</v>
      </c>
      <c r="DP100" s="1009">
        <v>3.5499999999999997E-2</v>
      </c>
      <c r="DQ100" s="1009">
        <v>3.5499999999999997E-2</v>
      </c>
      <c r="DR100" s="1009">
        <v>3.5499999999999997E-2</v>
      </c>
      <c r="DS100" s="1009">
        <v>3.5499999999999997E-2</v>
      </c>
      <c r="DT100" s="1009">
        <v>3.5499999999999997E-2</v>
      </c>
      <c r="DU100" s="1009">
        <v>3.5499999999999997E-2</v>
      </c>
      <c r="DV100" s="1009">
        <v>3.5499999999999997E-2</v>
      </c>
      <c r="DW100" s="1009">
        <v>3.5499999999999997E-2</v>
      </c>
      <c r="DX100" s="1009">
        <v>3.5499999999999997E-2</v>
      </c>
      <c r="DY100" s="1009">
        <v>3.5499999999999997E-2</v>
      </c>
      <c r="DZ100" s="1009">
        <v>3.5499999999999997E-2</v>
      </c>
      <c r="EA100" s="1009">
        <v>3.5499999999999997E-2</v>
      </c>
      <c r="EB100" s="1009">
        <v>3.5499999999999997E-2</v>
      </c>
      <c r="EC100" s="1009">
        <v>3.5499999999999997E-2</v>
      </c>
      <c r="ED100" s="1009">
        <v>3.5499999999999997E-2</v>
      </c>
      <c r="EE100" s="1009">
        <v>3.5499999999999997E-2</v>
      </c>
      <c r="EF100" s="1009">
        <v>3.5499999999999997E-2</v>
      </c>
      <c r="EG100" s="1009">
        <v>3.2000000000000001E-2</v>
      </c>
      <c r="EH100" s="1009">
        <v>3.2000000000000001E-2</v>
      </c>
      <c r="EI100" s="1009">
        <v>3.2000000000000001E-2</v>
      </c>
      <c r="EJ100" s="1009">
        <v>3.2000000000000001E-2</v>
      </c>
      <c r="EK100" s="1009">
        <v>3.2000000000000001E-2</v>
      </c>
      <c r="EL100" s="1009">
        <v>3.2000000000000001E-2</v>
      </c>
      <c r="EM100" s="1009">
        <v>3.2000000000000001E-2</v>
      </c>
      <c r="EN100" s="1009">
        <v>3.2000000000000001E-2</v>
      </c>
      <c r="EO100" s="1009">
        <v>3.5000000000000003E-2</v>
      </c>
      <c r="EP100" s="1009">
        <v>3.5000000000000003E-2</v>
      </c>
      <c r="EQ100" s="1009">
        <v>3.5000000000000003E-2</v>
      </c>
      <c r="ER100" s="1009">
        <v>3.5000000000000003E-2</v>
      </c>
      <c r="ES100" s="1009">
        <v>3.5000000000000003E-2</v>
      </c>
      <c r="ET100" s="1009">
        <v>3.7499999999999999E-2</v>
      </c>
      <c r="EU100" s="1009">
        <v>3.7499999999999999E-2</v>
      </c>
      <c r="EV100" s="1009">
        <v>3.7499999999999999E-2</v>
      </c>
      <c r="EW100" s="1009">
        <v>3.7499999999999999E-2</v>
      </c>
      <c r="EX100" s="1009">
        <v>3.7499999999999999E-2</v>
      </c>
      <c r="EY100" s="1009">
        <v>3.7499999999999999E-2</v>
      </c>
      <c r="EZ100" s="1050" t="s">
        <v>376</v>
      </c>
      <c r="FA100" s="235">
        <v>2.2499999999999999E-2</v>
      </c>
      <c r="FB100" s="238">
        <v>2.2499999999999999E-2</v>
      </c>
      <c r="FC100" s="231" t="s">
        <v>259</v>
      </c>
      <c r="FD100" s="235">
        <v>1.2500000000000001E-2</v>
      </c>
      <c r="FE100" s="238">
        <v>8.9999999999999993E-3</v>
      </c>
      <c r="FF100" s="237" t="s">
        <v>375</v>
      </c>
      <c r="FG100" s="231" t="s">
        <v>374</v>
      </c>
      <c r="FH100" s="236">
        <v>1.2500000000000001E-2</v>
      </c>
      <c r="FI100" s="236">
        <v>1.2500000000000001E-2</v>
      </c>
      <c r="FJ100" s="236">
        <v>1.2500000000000001E-2</v>
      </c>
      <c r="FK100" s="236">
        <v>1.2500000000000001E-2</v>
      </c>
      <c r="FL100" s="235">
        <v>1.2500000000000001E-2</v>
      </c>
      <c r="FM100" s="235">
        <v>1.2500000000000001E-2</v>
      </c>
      <c r="FN100" s="235">
        <v>1.2500000000000001E-2</v>
      </c>
      <c r="FO100" s="235">
        <v>1.2500000000000001E-2</v>
      </c>
      <c r="FP100" s="235">
        <v>1.6E-2</v>
      </c>
      <c r="FQ100" s="235">
        <v>1.6E-2</v>
      </c>
      <c r="FR100" s="235">
        <v>1.6E-2</v>
      </c>
      <c r="FS100" s="235">
        <v>0.02</v>
      </c>
      <c r="FT100" s="235">
        <v>1.6E-2</v>
      </c>
      <c r="FU100" s="235">
        <v>2.2499999999999999E-2</v>
      </c>
      <c r="FV100" s="235">
        <v>0.02</v>
      </c>
      <c r="FW100" s="235">
        <v>2.2499999999999999E-2</v>
      </c>
      <c r="FX100" s="235">
        <v>2.2499999999999999E-2</v>
      </c>
      <c r="FY100" s="261">
        <v>2.2499999999999999E-2</v>
      </c>
      <c r="FZ100" s="1009">
        <v>0.04</v>
      </c>
      <c r="GA100" s="1009">
        <v>0.04</v>
      </c>
      <c r="GB100" s="1009">
        <v>0.04</v>
      </c>
      <c r="GC100" s="1009">
        <v>0.04</v>
      </c>
      <c r="GD100" s="1009">
        <v>0.04</v>
      </c>
      <c r="GE100" s="1009">
        <v>0.04</v>
      </c>
      <c r="GF100" s="1009">
        <v>0.04</v>
      </c>
      <c r="GG100" s="1009">
        <v>0.04</v>
      </c>
      <c r="GH100" s="1009">
        <v>0.04</v>
      </c>
      <c r="GI100" s="1009">
        <v>0.04</v>
      </c>
      <c r="GJ100" s="1009">
        <v>0.04</v>
      </c>
      <c r="GK100" s="1009">
        <v>0.04</v>
      </c>
      <c r="GL100" s="1009">
        <v>3.7499999999999999E-2</v>
      </c>
      <c r="GM100" s="1009">
        <v>3.7499999999999999E-2</v>
      </c>
      <c r="GN100" s="1009">
        <v>3.7499999999999999E-2</v>
      </c>
      <c r="GO100" s="1009">
        <v>3.7499999999999999E-2</v>
      </c>
      <c r="GP100" s="1009">
        <v>3.7499999999999999E-2</v>
      </c>
      <c r="GQ100" s="1009">
        <v>3.7499999999999999E-2</v>
      </c>
      <c r="GR100" s="1009">
        <v>3.3300000000000003E-2</v>
      </c>
      <c r="GS100" s="1009" t="s">
        <v>373</v>
      </c>
      <c r="GT100" s="1009" t="s">
        <v>373</v>
      </c>
      <c r="GU100" s="1009" t="s">
        <v>373</v>
      </c>
      <c r="GV100" s="1009" t="s">
        <v>373</v>
      </c>
      <c r="GW100" s="1011">
        <v>2.6499999999999999E-2</v>
      </c>
      <c r="GX100" s="261">
        <v>2.6499999999999999E-2</v>
      </c>
      <c r="GY100" s="261">
        <v>2.6499999999999999E-2</v>
      </c>
      <c r="GZ100" s="261">
        <v>2.6499999999999999E-2</v>
      </c>
      <c r="HA100" s="261">
        <v>2.6499999999999999E-2</v>
      </c>
      <c r="HB100" s="1009">
        <v>0.04</v>
      </c>
      <c r="HC100" s="1009">
        <v>3.7499999999999999E-2</v>
      </c>
      <c r="HD100" s="1009">
        <v>3.7499999999999999E-2</v>
      </c>
      <c r="HE100" s="1009">
        <v>0.04</v>
      </c>
      <c r="HF100" s="941">
        <f>C100-D100</f>
        <v>0</v>
      </c>
    </row>
    <row r="101" spans="1:216">
      <c r="A101" s="1060"/>
      <c r="B101" s="280" t="s">
        <v>600</v>
      </c>
      <c r="C101" s="921"/>
      <c r="D101" s="921"/>
      <c r="E101" s="921"/>
      <c r="F101" s="921"/>
      <c r="G101" s="921"/>
      <c r="H101" s="921"/>
      <c r="I101" s="921"/>
      <c r="J101" s="921"/>
      <c r="K101" s="921"/>
      <c r="L101" s="921"/>
      <c r="M101" s="921"/>
      <c r="N101" s="921"/>
      <c r="O101" s="921"/>
      <c r="P101" s="921"/>
      <c r="Q101" s="921"/>
      <c r="R101" s="921"/>
      <c r="S101" s="921"/>
      <c r="T101" s="921"/>
      <c r="U101" s="921"/>
      <c r="V101" s="950"/>
      <c r="W101" s="914"/>
      <c r="X101" s="914"/>
      <c r="Y101" s="914"/>
      <c r="Z101" s="914"/>
      <c r="AA101" s="914"/>
      <c r="AB101" s="914"/>
      <c r="AC101" s="914"/>
      <c r="AD101" s="914"/>
      <c r="AE101" s="914"/>
      <c r="AF101" s="986"/>
      <c r="AG101" s="986"/>
      <c r="AH101" s="986"/>
      <c r="AI101" s="986"/>
      <c r="AJ101" s="994"/>
      <c r="AK101" s="979"/>
      <c r="AL101" s="910"/>
      <c r="AM101" s="979"/>
      <c r="AN101" s="979"/>
      <c r="AO101" s="979"/>
      <c r="AP101" s="1027"/>
      <c r="AQ101" s="1027"/>
      <c r="AR101" s="1011"/>
      <c r="AS101" s="1011"/>
      <c r="AT101" s="1011"/>
      <c r="AU101" s="1011"/>
      <c r="AV101" s="1020"/>
      <c r="AW101" s="1011"/>
      <c r="AX101" s="1011"/>
      <c r="AY101" s="1011"/>
      <c r="AZ101" s="1011"/>
      <c r="BA101" s="1011"/>
      <c r="BB101" s="1011"/>
      <c r="BC101" s="1020"/>
      <c r="BD101" s="1011"/>
      <c r="BE101" s="1011"/>
      <c r="BF101" s="1011"/>
      <c r="BG101" s="1020"/>
      <c r="BH101" s="1011"/>
      <c r="BI101" s="1011"/>
      <c r="BJ101" s="1011"/>
      <c r="BK101" s="1011"/>
      <c r="BL101" s="1011"/>
      <c r="BM101" s="1011"/>
      <c r="BN101" s="1011"/>
      <c r="BO101" s="1011"/>
      <c r="BP101" s="1011"/>
      <c r="BQ101" s="1011"/>
      <c r="BR101" s="1011"/>
      <c r="BS101" s="1011"/>
      <c r="BT101" s="1011"/>
      <c r="BU101" s="1020"/>
      <c r="BV101" s="1011"/>
      <c r="BW101" s="1011"/>
      <c r="BX101" s="1011"/>
      <c r="BY101" s="1011"/>
      <c r="BZ101" s="1011"/>
      <c r="CA101" s="1011"/>
      <c r="CB101" s="1011"/>
      <c r="CC101" s="1011"/>
      <c r="CD101" s="1011"/>
      <c r="CE101" s="1011"/>
      <c r="CF101" s="1011"/>
      <c r="CG101" s="1011"/>
      <c r="CH101" s="1011"/>
      <c r="CI101" s="1011"/>
      <c r="CJ101" s="1011"/>
      <c r="CK101" s="1011"/>
      <c r="CL101" s="1011"/>
      <c r="CM101" s="1011"/>
      <c r="CN101" s="1011"/>
      <c r="CO101" s="1011"/>
      <c r="CP101" s="1011"/>
      <c r="CQ101" s="1011"/>
      <c r="CR101" s="1011"/>
      <c r="CS101" s="1011"/>
      <c r="CT101" s="1011"/>
      <c r="CU101" s="1011"/>
      <c r="CV101" s="1011"/>
      <c r="CW101" s="1011"/>
      <c r="CX101" s="1011"/>
      <c r="CY101" s="1011"/>
      <c r="CZ101" s="1011"/>
      <c r="DA101" s="1011"/>
      <c r="DB101" s="1011"/>
      <c r="DC101" s="1011"/>
      <c r="DD101" s="1011"/>
      <c r="DE101" s="1011"/>
      <c r="DF101" s="1011"/>
      <c r="DG101" s="1011"/>
      <c r="DH101" s="1011"/>
      <c r="DI101" s="1011"/>
      <c r="DJ101" s="1011"/>
      <c r="DK101" s="1011"/>
      <c r="DL101" s="1011"/>
      <c r="DM101" s="1011"/>
      <c r="DN101" s="1011"/>
      <c r="DO101" s="1011"/>
      <c r="DP101" s="1011"/>
      <c r="DQ101" s="1011"/>
      <c r="DR101" s="1011"/>
      <c r="DS101" s="1011"/>
      <c r="DT101" s="1011"/>
      <c r="DU101" s="1011"/>
      <c r="DV101" s="1011"/>
      <c r="DW101" s="1011"/>
      <c r="DX101" s="1011"/>
      <c r="DY101" s="1011"/>
      <c r="DZ101" s="1011"/>
      <c r="EA101" s="1011"/>
      <c r="EB101" s="1011"/>
      <c r="EC101" s="1011"/>
      <c r="ED101" s="1011"/>
      <c r="EE101" s="1011"/>
      <c r="EF101" s="1011"/>
      <c r="EG101" s="1011"/>
      <c r="EH101" s="1011"/>
      <c r="EI101" s="1011"/>
      <c r="EJ101" s="1011"/>
      <c r="EK101" s="1011"/>
      <c r="EL101" s="1011"/>
      <c r="EM101" s="1011"/>
      <c r="EN101" s="1011"/>
      <c r="EO101" s="1011"/>
      <c r="EP101" s="1011"/>
      <c r="EQ101" s="1011"/>
      <c r="ER101" s="1011"/>
      <c r="ES101" s="1011"/>
      <c r="ET101" s="1011"/>
      <c r="EU101" s="1011"/>
      <c r="EV101" s="1011"/>
      <c r="EW101" s="1011"/>
      <c r="EX101" s="1011"/>
      <c r="EY101" s="1011"/>
      <c r="EZ101" s="1051"/>
      <c r="FA101" s="235"/>
      <c r="FB101" s="238"/>
      <c r="FC101" s="231"/>
      <c r="FD101" s="235"/>
      <c r="FE101" s="238"/>
      <c r="FF101" s="237"/>
      <c r="FG101" s="231"/>
      <c r="FH101" s="236"/>
      <c r="FI101" s="236"/>
      <c r="FJ101" s="236"/>
      <c r="FK101" s="236"/>
      <c r="FL101" s="235"/>
      <c r="FM101" s="235"/>
      <c r="FN101" s="235"/>
      <c r="FO101" s="235"/>
      <c r="FP101" s="235"/>
      <c r="FQ101" s="235"/>
      <c r="FR101" s="235"/>
      <c r="FS101" s="235"/>
      <c r="FT101" s="235"/>
      <c r="FU101" s="235"/>
      <c r="FV101" s="235"/>
      <c r="FW101" s="235"/>
      <c r="FX101" s="235"/>
      <c r="FY101" s="261"/>
      <c r="FZ101" s="1011"/>
      <c r="GA101" s="1011"/>
      <c r="GB101" s="1011"/>
      <c r="GC101" s="1011"/>
      <c r="GD101" s="1011"/>
      <c r="GE101" s="1011"/>
      <c r="GF101" s="1011"/>
      <c r="GG101" s="1011"/>
      <c r="GH101" s="1011"/>
      <c r="GI101" s="1011"/>
      <c r="GJ101" s="1011"/>
      <c r="GK101" s="1011"/>
      <c r="GL101" s="1011"/>
      <c r="GM101" s="1011"/>
      <c r="GN101" s="1011"/>
      <c r="GO101" s="1011"/>
      <c r="GP101" s="1011"/>
      <c r="GQ101" s="1011"/>
      <c r="GR101" s="1011"/>
      <c r="GS101" s="1011"/>
      <c r="GT101" s="1011"/>
      <c r="GU101" s="1011"/>
      <c r="GV101" s="1011"/>
      <c r="GW101" s="1011"/>
      <c r="GX101" s="261"/>
      <c r="GY101" s="261"/>
      <c r="GZ101" s="261"/>
      <c r="HA101" s="261"/>
      <c r="HB101" s="1011"/>
      <c r="HC101" s="1011"/>
      <c r="HD101" s="1011"/>
      <c r="HE101" s="1011"/>
      <c r="HF101" s="942"/>
    </row>
    <row r="102" spans="1:216">
      <c r="A102" s="1060" t="s">
        <v>372</v>
      </c>
      <c r="B102" s="830" t="s">
        <v>834</v>
      </c>
      <c r="C102" s="920">
        <v>1.4E-2</v>
      </c>
      <c r="D102" s="920">
        <v>1.4E-2</v>
      </c>
      <c r="E102" s="920">
        <v>1.4E-2</v>
      </c>
      <c r="F102" s="920">
        <v>1.4E-2</v>
      </c>
      <c r="G102" s="920">
        <v>1.4E-2</v>
      </c>
      <c r="H102" s="920">
        <v>1.4E-2</v>
      </c>
      <c r="I102" s="963">
        <v>1.4E-2</v>
      </c>
      <c r="J102" s="963">
        <v>1.35E-2</v>
      </c>
      <c r="K102" s="963">
        <v>1.2999999999999999E-2</v>
      </c>
      <c r="L102" s="963">
        <v>1.2500000000000001E-2</v>
      </c>
      <c r="M102" s="920">
        <v>1.2E-2</v>
      </c>
      <c r="N102" s="920">
        <v>1.2E-2</v>
      </c>
      <c r="O102" s="920">
        <v>1.2E-2</v>
      </c>
      <c r="P102" s="920">
        <v>1.2E-2</v>
      </c>
      <c r="Q102" s="920">
        <v>1.2E-2</v>
      </c>
      <c r="R102" s="920">
        <v>1.2E-2</v>
      </c>
      <c r="S102" s="920">
        <v>1.2E-2</v>
      </c>
      <c r="T102" s="920">
        <v>1.2E-2</v>
      </c>
      <c r="U102" s="920">
        <v>1.2E-2</v>
      </c>
      <c r="V102" s="969">
        <v>1.2E-2</v>
      </c>
      <c r="W102" s="909">
        <v>1.2E-2</v>
      </c>
      <c r="X102" s="909">
        <v>1.2E-2</v>
      </c>
      <c r="Y102" s="909">
        <v>1.2E-2</v>
      </c>
      <c r="Z102" s="909">
        <v>1.2E-2</v>
      </c>
      <c r="AA102" s="909">
        <v>1.2E-2</v>
      </c>
      <c r="AB102" s="909">
        <v>1.2E-2</v>
      </c>
      <c r="AC102" s="909">
        <v>1.2E-2</v>
      </c>
      <c r="AD102" s="967">
        <v>1.35E-2</v>
      </c>
      <c r="AE102" s="967">
        <v>1.4500000000000001E-2</v>
      </c>
      <c r="AF102" s="967">
        <v>1.4999999999999999E-2</v>
      </c>
      <c r="AG102" s="978">
        <v>1.55E-2</v>
      </c>
      <c r="AH102" s="967">
        <v>1.55E-2</v>
      </c>
      <c r="AI102" s="978">
        <v>1.4999999999999999E-2</v>
      </c>
      <c r="AJ102" s="967">
        <v>1.4999999999999999E-2</v>
      </c>
      <c r="AK102" s="967">
        <v>1.55E-2</v>
      </c>
      <c r="AL102" s="967">
        <v>1.6500000000000001E-2</v>
      </c>
      <c r="AM102" s="978">
        <v>1.7000000000000001E-2</v>
      </c>
      <c r="AN102" s="967">
        <v>1.7500000000000002E-2</v>
      </c>
      <c r="AO102" s="967">
        <v>1.7999999999999999E-2</v>
      </c>
      <c r="AP102" s="984">
        <v>1.8499999999999999E-2</v>
      </c>
      <c r="AQ102" s="984">
        <v>1.9E-2</v>
      </c>
      <c r="AR102" s="984">
        <v>0.02</v>
      </c>
      <c r="AS102" s="984">
        <v>2.1499999999999998E-2</v>
      </c>
      <c r="AT102" s="984">
        <v>2.1499999999999998E-2</v>
      </c>
      <c r="AU102" s="1025">
        <v>2.1999999999999999E-2</v>
      </c>
      <c r="AV102" s="1025">
        <v>2.2499999999999999E-2</v>
      </c>
      <c r="AW102" s="1025">
        <v>2.35E-2</v>
      </c>
      <c r="AX102" s="1021">
        <v>2.4E-2</v>
      </c>
      <c r="AY102" s="1023">
        <v>2.4500000000000001E-2</v>
      </c>
      <c r="AZ102" s="1021">
        <v>2.4E-2</v>
      </c>
      <c r="BA102" s="1021">
        <v>2.4E-2</v>
      </c>
      <c r="BB102" s="1021">
        <v>2.4500000000000001E-2</v>
      </c>
      <c r="BC102" s="1021">
        <v>2.4500000000000001E-2</v>
      </c>
      <c r="BD102" s="1021">
        <v>2.5499999999999998E-2</v>
      </c>
      <c r="BE102" s="1023">
        <v>2.6499999999999999E-2</v>
      </c>
      <c r="BF102" s="1011">
        <v>2.7E-2</v>
      </c>
      <c r="BG102" s="1011">
        <v>2.7E-2</v>
      </c>
      <c r="BH102" s="1011">
        <v>2.7E-2</v>
      </c>
      <c r="BI102" s="1011">
        <v>2.7E-2</v>
      </c>
      <c r="BJ102" s="1020">
        <v>2.7E-2</v>
      </c>
      <c r="BK102" s="1011">
        <v>2.5999999999999999E-2</v>
      </c>
      <c r="BL102" s="1011">
        <v>2.5999999999999999E-2</v>
      </c>
      <c r="BM102" s="1011">
        <v>2.5999999999999999E-2</v>
      </c>
      <c r="BN102" s="1011">
        <v>2.5999999999999999E-2</v>
      </c>
      <c r="BO102" s="1011">
        <v>2.5999999999999999E-2</v>
      </c>
      <c r="BP102" s="1011">
        <v>2.5999999999999999E-2</v>
      </c>
      <c r="BQ102" s="1011">
        <v>2.5999999999999999E-2</v>
      </c>
      <c r="BR102" s="1011">
        <v>2.5999999999999999E-2</v>
      </c>
      <c r="BS102" s="1011">
        <v>2.5999999999999999E-2</v>
      </c>
      <c r="BT102" s="1011">
        <v>2.5999999999999999E-2</v>
      </c>
      <c r="BU102" s="1011">
        <v>2.5000000000000001E-2</v>
      </c>
      <c r="BV102" s="1011">
        <v>2.5000000000000001E-2</v>
      </c>
      <c r="BW102" s="1011">
        <v>2.5999999999999999E-2</v>
      </c>
      <c r="BX102" s="1011">
        <v>2.5999999999999999E-2</v>
      </c>
      <c r="BY102" s="1011">
        <v>2.7E-2</v>
      </c>
      <c r="BZ102" s="1011">
        <v>2.5999999999999999E-2</v>
      </c>
      <c r="CA102" s="1011">
        <v>2.5999999999999999E-2</v>
      </c>
      <c r="CB102" s="1011">
        <v>2.75E-2</v>
      </c>
      <c r="CC102" s="1011">
        <v>2.75E-2</v>
      </c>
      <c r="CD102" s="1011">
        <v>2.75E-2</v>
      </c>
      <c r="CE102" s="1011">
        <v>2.8000000000000001E-2</v>
      </c>
      <c r="CF102" s="1011">
        <v>2.8000000000000001E-2</v>
      </c>
      <c r="CG102" s="1011">
        <v>2.8000000000000001E-2</v>
      </c>
      <c r="CH102" s="1011">
        <v>2.8000000000000001E-2</v>
      </c>
      <c r="CI102" s="1011">
        <v>2.9499999999999998E-2</v>
      </c>
      <c r="CJ102" s="1011">
        <v>0.03</v>
      </c>
      <c r="CK102" s="1011">
        <v>0.03</v>
      </c>
      <c r="CL102" s="1011">
        <v>3.0499999999999999E-2</v>
      </c>
      <c r="CM102" s="1011">
        <v>3.0499999999999999E-2</v>
      </c>
      <c r="CN102" s="1011">
        <v>3.0499999999999999E-2</v>
      </c>
      <c r="CO102" s="1011">
        <v>3.0499999999999999E-2</v>
      </c>
      <c r="CP102" s="1011">
        <v>3.0499999999999999E-2</v>
      </c>
      <c r="CQ102" s="1011">
        <v>3.0499999999999999E-2</v>
      </c>
      <c r="CR102" s="1011">
        <v>3.0499999999999999E-2</v>
      </c>
      <c r="CS102" s="1011">
        <v>3.0499999999999999E-2</v>
      </c>
      <c r="CT102" s="1011">
        <v>3.0499999999999999E-2</v>
      </c>
      <c r="CU102" s="1011">
        <v>3.0499999999999999E-2</v>
      </c>
      <c r="CV102" s="1011">
        <v>3.1E-2</v>
      </c>
      <c r="CW102" s="1011">
        <v>3.1E-2</v>
      </c>
      <c r="CX102" s="1011">
        <v>3.1E-2</v>
      </c>
      <c r="CY102" s="1011">
        <v>3.1E-2</v>
      </c>
      <c r="CZ102" s="1011">
        <v>3.1E-2</v>
      </c>
      <c r="DA102" s="1011">
        <v>3.1E-2</v>
      </c>
      <c r="DB102" s="1011">
        <v>3.1E-2</v>
      </c>
      <c r="DC102" s="1011">
        <v>3.1E-2</v>
      </c>
      <c r="DD102" s="1011">
        <v>3.1E-2</v>
      </c>
      <c r="DE102" s="1011">
        <v>3.1E-2</v>
      </c>
      <c r="DF102" s="1011">
        <v>3.1E-2</v>
      </c>
      <c r="DG102" s="1011">
        <v>3.1E-2</v>
      </c>
      <c r="DH102" s="1011">
        <v>3.15E-2</v>
      </c>
      <c r="DI102" s="1011">
        <v>3.15E-2</v>
      </c>
      <c r="DJ102" s="1011">
        <v>3.2000000000000001E-2</v>
      </c>
      <c r="DK102" s="1011">
        <v>3.3000000000000002E-2</v>
      </c>
      <c r="DL102" s="1011">
        <v>3.3000000000000002E-2</v>
      </c>
      <c r="DM102" s="1011">
        <v>3.3000000000000002E-2</v>
      </c>
      <c r="DN102" s="1011">
        <v>3.3000000000000002E-2</v>
      </c>
      <c r="DO102" s="1011">
        <v>3.3000000000000002E-2</v>
      </c>
      <c r="DP102" s="1011">
        <v>3.3000000000000002E-2</v>
      </c>
      <c r="DQ102" s="1011">
        <v>3.3000000000000002E-2</v>
      </c>
      <c r="DR102" s="1011">
        <v>3.3000000000000002E-2</v>
      </c>
      <c r="DS102" s="261"/>
      <c r="DT102" s="261"/>
      <c r="DU102" s="261"/>
      <c r="DV102" s="261"/>
      <c r="DW102" s="261"/>
      <c r="DX102" s="261"/>
      <c r="DY102" s="261"/>
      <c r="DZ102" s="261"/>
      <c r="EA102" s="261"/>
      <c r="EB102" s="261"/>
      <c r="EC102" s="261"/>
      <c r="ED102" s="261"/>
      <c r="EE102" s="261"/>
      <c r="EF102" s="261"/>
      <c r="EG102" s="261"/>
      <c r="EH102" s="261"/>
      <c r="EI102" s="261"/>
      <c r="EJ102" s="261"/>
      <c r="EK102" s="261"/>
      <c r="EL102" s="261"/>
      <c r="EM102" s="261"/>
      <c r="EN102" s="261"/>
      <c r="EO102" s="261"/>
      <c r="EP102" s="261"/>
      <c r="EQ102" s="261"/>
      <c r="ER102" s="261"/>
      <c r="ES102" s="261"/>
      <c r="ET102" s="261"/>
      <c r="EU102" s="261"/>
      <c r="EV102" s="261"/>
      <c r="EW102" s="261"/>
      <c r="EX102" s="261"/>
      <c r="EY102" s="261"/>
      <c r="EZ102" s="239" t="s">
        <v>323</v>
      </c>
      <c r="FA102" s="235"/>
      <c r="FB102" s="238"/>
      <c r="FC102" s="231"/>
      <c r="FD102" s="235"/>
      <c r="FE102" s="238"/>
      <c r="FF102" s="237"/>
      <c r="FG102" s="231"/>
      <c r="FH102" s="236"/>
      <c r="FI102" s="236"/>
      <c r="FJ102" s="236"/>
      <c r="FK102" s="236"/>
      <c r="FL102" s="235"/>
      <c r="FM102" s="235"/>
      <c r="FN102" s="235"/>
      <c r="FO102" s="235"/>
      <c r="FP102" s="235"/>
      <c r="FQ102" s="235"/>
      <c r="FR102" s="235"/>
      <c r="FS102" s="235"/>
      <c r="FT102" s="235"/>
      <c r="FU102" s="235"/>
      <c r="FV102" s="235"/>
      <c r="FW102" s="235"/>
      <c r="FX102" s="235"/>
      <c r="FY102" s="261"/>
      <c r="FZ102" s="261"/>
      <c r="GA102" s="261"/>
      <c r="GB102" s="261"/>
      <c r="GC102" s="261"/>
      <c r="GD102" s="261"/>
      <c r="GE102" s="261"/>
      <c r="GF102" s="261"/>
      <c r="GG102" s="261"/>
      <c r="GH102" s="261"/>
      <c r="GI102" s="261"/>
      <c r="GJ102" s="261"/>
      <c r="GK102" s="261"/>
      <c r="GL102" s="261"/>
      <c r="GM102" s="261"/>
      <c r="GN102" s="261"/>
      <c r="GO102" s="261"/>
      <c r="GP102" s="261"/>
      <c r="GQ102" s="261"/>
      <c r="GR102" s="261"/>
      <c r="GS102" s="261"/>
      <c r="GT102" s="261"/>
      <c r="GU102" s="261"/>
      <c r="GV102" s="261"/>
      <c r="GW102" s="261"/>
      <c r="GX102" s="261"/>
      <c r="GY102" s="261"/>
      <c r="GZ102" s="261"/>
      <c r="HA102" s="261"/>
      <c r="HB102" s="261"/>
      <c r="HC102" s="261"/>
      <c r="HD102" s="261"/>
      <c r="HE102" s="261"/>
      <c r="HF102" s="941">
        <f>C102-D102</f>
        <v>0</v>
      </c>
    </row>
    <row r="103" spans="1:216">
      <c r="A103" s="1060"/>
      <c r="B103" s="280" t="s">
        <v>769</v>
      </c>
      <c r="C103" s="921"/>
      <c r="D103" s="921"/>
      <c r="E103" s="921"/>
      <c r="F103" s="921"/>
      <c r="G103" s="921"/>
      <c r="H103" s="921"/>
      <c r="I103" s="950"/>
      <c r="J103" s="950"/>
      <c r="K103" s="950"/>
      <c r="L103" s="950"/>
      <c r="M103" s="921"/>
      <c r="N103" s="921"/>
      <c r="O103" s="921"/>
      <c r="P103" s="921"/>
      <c r="Q103" s="921"/>
      <c r="R103" s="921"/>
      <c r="S103" s="921"/>
      <c r="T103" s="921"/>
      <c r="U103" s="921"/>
      <c r="V103" s="970"/>
      <c r="W103" s="910"/>
      <c r="X103" s="910"/>
      <c r="Y103" s="910"/>
      <c r="Z103" s="910"/>
      <c r="AA103" s="910"/>
      <c r="AB103" s="910"/>
      <c r="AC103" s="910"/>
      <c r="AD103" s="968"/>
      <c r="AE103" s="968"/>
      <c r="AF103" s="968"/>
      <c r="AG103" s="979"/>
      <c r="AH103" s="968"/>
      <c r="AI103" s="979"/>
      <c r="AJ103" s="968"/>
      <c r="AK103" s="968"/>
      <c r="AL103" s="968"/>
      <c r="AM103" s="979"/>
      <c r="AN103" s="968"/>
      <c r="AO103" s="968"/>
      <c r="AP103" s="985"/>
      <c r="AQ103" s="985"/>
      <c r="AR103" s="985"/>
      <c r="AS103" s="985"/>
      <c r="AT103" s="985"/>
      <c r="AU103" s="1025"/>
      <c r="AV103" s="1025"/>
      <c r="AW103" s="1025"/>
      <c r="AX103" s="1022"/>
      <c r="AY103" s="1024"/>
      <c r="AZ103" s="1022"/>
      <c r="BA103" s="1022"/>
      <c r="BB103" s="1022"/>
      <c r="BC103" s="1022"/>
      <c r="BD103" s="1022"/>
      <c r="BE103" s="1024"/>
      <c r="BF103" s="1011"/>
      <c r="BG103" s="1011"/>
      <c r="BH103" s="1011"/>
      <c r="BI103" s="1011"/>
      <c r="BJ103" s="1020"/>
      <c r="BK103" s="1011"/>
      <c r="BL103" s="1011"/>
      <c r="BM103" s="1011"/>
      <c r="BN103" s="1011"/>
      <c r="BO103" s="1011"/>
      <c r="BP103" s="1011"/>
      <c r="BQ103" s="1011"/>
      <c r="BR103" s="1011"/>
      <c r="BS103" s="1011"/>
      <c r="BT103" s="1011"/>
      <c r="BU103" s="1011"/>
      <c r="BV103" s="1011"/>
      <c r="BW103" s="1011"/>
      <c r="BX103" s="1011"/>
      <c r="BY103" s="1011"/>
      <c r="BZ103" s="1011"/>
      <c r="CA103" s="1011"/>
      <c r="CB103" s="1011"/>
      <c r="CC103" s="1011"/>
      <c r="CD103" s="1011"/>
      <c r="CE103" s="1011"/>
      <c r="CF103" s="1011"/>
      <c r="CG103" s="1011"/>
      <c r="CH103" s="1011"/>
      <c r="CI103" s="1011"/>
      <c r="CJ103" s="1011"/>
      <c r="CK103" s="1011"/>
      <c r="CL103" s="1011"/>
      <c r="CM103" s="1011"/>
      <c r="CN103" s="1011"/>
      <c r="CO103" s="1011"/>
      <c r="CP103" s="1011"/>
      <c r="CQ103" s="1011"/>
      <c r="CR103" s="1011"/>
      <c r="CS103" s="1011"/>
      <c r="CT103" s="1011"/>
      <c r="CU103" s="1011"/>
      <c r="CV103" s="1011"/>
      <c r="CW103" s="1011"/>
      <c r="CX103" s="1011"/>
      <c r="CY103" s="1011"/>
      <c r="CZ103" s="1011"/>
      <c r="DA103" s="1011"/>
      <c r="DB103" s="1011"/>
      <c r="DC103" s="1011"/>
      <c r="DD103" s="1011"/>
      <c r="DE103" s="1011"/>
      <c r="DF103" s="1011"/>
      <c r="DG103" s="1011"/>
      <c r="DH103" s="1011"/>
      <c r="DI103" s="1011"/>
      <c r="DJ103" s="1011"/>
      <c r="DK103" s="1011"/>
      <c r="DL103" s="1011"/>
      <c r="DM103" s="1011"/>
      <c r="DN103" s="1011"/>
      <c r="DO103" s="1011"/>
      <c r="DP103" s="1011"/>
      <c r="DQ103" s="1011"/>
      <c r="DR103" s="1011"/>
      <c r="DS103" s="261"/>
      <c r="DT103" s="261"/>
      <c r="DU103" s="261"/>
      <c r="DV103" s="261"/>
      <c r="DW103" s="261"/>
      <c r="DX103" s="261"/>
      <c r="DY103" s="261"/>
      <c r="DZ103" s="261"/>
      <c r="EA103" s="261"/>
      <c r="EB103" s="261"/>
      <c r="EC103" s="261"/>
      <c r="ED103" s="261"/>
      <c r="EE103" s="261"/>
      <c r="EF103" s="261"/>
      <c r="EG103" s="261"/>
      <c r="EH103" s="261"/>
      <c r="EI103" s="261"/>
      <c r="EJ103" s="261"/>
      <c r="EK103" s="261"/>
      <c r="EL103" s="261"/>
      <c r="EM103" s="261"/>
      <c r="EN103" s="261"/>
      <c r="EO103" s="261"/>
      <c r="EP103" s="261"/>
      <c r="EQ103" s="261"/>
      <c r="ER103" s="261"/>
      <c r="ES103" s="261"/>
      <c r="ET103" s="261"/>
      <c r="EU103" s="261"/>
      <c r="EV103" s="261"/>
      <c r="EW103" s="261"/>
      <c r="EX103" s="261"/>
      <c r="EY103" s="261"/>
      <c r="EZ103" s="239" t="s">
        <v>306</v>
      </c>
      <c r="FA103" s="235"/>
      <c r="FB103" s="238"/>
      <c r="FC103" s="231"/>
      <c r="FD103" s="235"/>
      <c r="FE103" s="238"/>
      <c r="FF103" s="237"/>
      <c r="FG103" s="231"/>
      <c r="FH103" s="236"/>
      <c r="FI103" s="236"/>
      <c r="FJ103" s="236"/>
      <c r="FK103" s="236"/>
      <c r="FL103" s="235"/>
      <c r="FM103" s="235"/>
      <c r="FN103" s="235"/>
      <c r="FO103" s="235"/>
      <c r="FP103" s="235"/>
      <c r="FQ103" s="235"/>
      <c r="FR103" s="235"/>
      <c r="FS103" s="235"/>
      <c r="FT103" s="235"/>
      <c r="FU103" s="235"/>
      <c r="FV103" s="235"/>
      <c r="FW103" s="235"/>
      <c r="FX103" s="235"/>
      <c r="FY103" s="261"/>
      <c r="FZ103" s="261"/>
      <c r="GA103" s="261"/>
      <c r="GB103" s="261"/>
      <c r="GC103" s="261"/>
      <c r="GD103" s="261"/>
      <c r="GE103" s="261"/>
      <c r="GF103" s="261"/>
      <c r="GG103" s="261"/>
      <c r="GH103" s="261"/>
      <c r="GI103" s="261"/>
      <c r="GJ103" s="261"/>
      <c r="GK103" s="261"/>
      <c r="GL103" s="261"/>
      <c r="GM103" s="261"/>
      <c r="GN103" s="261"/>
      <c r="GO103" s="261"/>
      <c r="GP103" s="261"/>
      <c r="GQ103" s="261"/>
      <c r="GR103" s="261"/>
      <c r="GS103" s="261"/>
      <c r="GT103" s="261"/>
      <c r="GU103" s="261"/>
      <c r="GV103" s="261"/>
      <c r="GW103" s="261"/>
      <c r="GX103" s="261"/>
      <c r="GY103" s="261"/>
      <c r="GZ103" s="261"/>
      <c r="HA103" s="261"/>
      <c r="HB103" s="261"/>
      <c r="HC103" s="261"/>
      <c r="HD103" s="261"/>
      <c r="HE103" s="261"/>
      <c r="HF103" s="942"/>
    </row>
    <row r="104" spans="1:216">
      <c r="A104" s="959" t="s">
        <v>35</v>
      </c>
      <c r="B104" s="280" t="s">
        <v>756</v>
      </c>
      <c r="C104" s="909">
        <v>1.0500000000000001E-2</v>
      </c>
      <c r="D104" s="909">
        <v>1.0500000000000001E-2</v>
      </c>
      <c r="E104" s="909">
        <v>1.0500000000000001E-2</v>
      </c>
      <c r="F104" s="909">
        <v>1.0500000000000001E-2</v>
      </c>
      <c r="G104" s="909">
        <v>1.0500000000000001E-2</v>
      </c>
      <c r="H104" s="909">
        <v>1.0500000000000001E-2</v>
      </c>
      <c r="I104" s="909">
        <v>1.0500000000000001E-2</v>
      </c>
      <c r="J104" s="909">
        <v>1.0500000000000001E-2</v>
      </c>
      <c r="K104" s="909">
        <v>1.0500000000000001E-2</v>
      </c>
      <c r="L104" s="967">
        <v>1.0500000000000001E-2</v>
      </c>
      <c r="M104" s="909">
        <v>1.15E-2</v>
      </c>
      <c r="N104" s="909">
        <v>1.15E-2</v>
      </c>
      <c r="O104" s="909">
        <v>1.15E-2</v>
      </c>
      <c r="P104" s="909">
        <v>1.15E-2</v>
      </c>
      <c r="Q104" s="909">
        <v>1.15E-2</v>
      </c>
      <c r="R104" s="909">
        <v>1.15E-2</v>
      </c>
      <c r="S104" s="909">
        <v>1.15E-2</v>
      </c>
      <c r="T104" s="909">
        <v>1.15E-2</v>
      </c>
      <c r="U104" s="909">
        <v>1.15E-2</v>
      </c>
      <c r="V104" s="909">
        <v>1.15E-2</v>
      </c>
      <c r="W104" s="909">
        <v>1.15E-2</v>
      </c>
      <c r="X104" s="909">
        <v>1.15E-2</v>
      </c>
      <c r="Y104" s="909">
        <v>1.15E-2</v>
      </c>
      <c r="Z104" s="909">
        <v>1.15E-2</v>
      </c>
      <c r="AA104" s="909">
        <v>1.15E-2</v>
      </c>
      <c r="AB104" s="909">
        <v>1.15E-2</v>
      </c>
      <c r="AC104" s="967">
        <v>1.15E-2</v>
      </c>
      <c r="AD104" s="909">
        <v>1.2500000000000001E-2</v>
      </c>
      <c r="AE104" s="967">
        <v>1.2500000000000001E-2</v>
      </c>
      <c r="AF104" s="978">
        <v>1.4E-2</v>
      </c>
      <c r="AG104" s="967">
        <v>1.4E-2</v>
      </c>
      <c r="AH104" s="967">
        <v>1.4500000000000001E-2</v>
      </c>
      <c r="AI104" s="978">
        <v>1.55E-2</v>
      </c>
      <c r="AJ104" s="967">
        <v>1.55E-2</v>
      </c>
      <c r="AK104" s="978">
        <v>1.6500000000000001E-2</v>
      </c>
      <c r="AL104" s="967">
        <v>1.6500000000000001E-2</v>
      </c>
      <c r="AM104" s="978">
        <v>1.7999999999999999E-2</v>
      </c>
      <c r="AN104" s="978">
        <v>1.7999999999999999E-2</v>
      </c>
      <c r="AO104" s="978">
        <v>1.7999999999999999E-2</v>
      </c>
      <c r="AP104" s="984">
        <v>1.7999999999999999E-2</v>
      </c>
      <c r="AQ104" s="984">
        <v>1.95E-2</v>
      </c>
      <c r="AR104" s="1012">
        <v>2.1000000000000001E-2</v>
      </c>
      <c r="AS104" s="1012">
        <v>2.1000000000000001E-2</v>
      </c>
      <c r="AT104" s="984">
        <v>2.1000000000000001E-2</v>
      </c>
      <c r="AU104" s="1012" t="s">
        <v>371</v>
      </c>
      <c r="AV104" s="1012" t="s">
        <v>371</v>
      </c>
      <c r="AW104" s="1012" t="s">
        <v>371</v>
      </c>
      <c r="AX104" s="1012" t="s">
        <v>371</v>
      </c>
      <c r="AY104" s="984" t="s">
        <v>371</v>
      </c>
      <c r="AZ104" s="955" t="s">
        <v>370</v>
      </c>
      <c r="BA104" s="955" t="s">
        <v>370</v>
      </c>
      <c r="BB104" s="955" t="str">
        <f t="shared" ref="BB104:CB104" si="33">BC104</f>
        <v>2.65%（电子银行）</v>
      </c>
      <c r="BC104" s="1036" t="str">
        <f t="shared" si="33"/>
        <v>2.65%（电子银行）</v>
      </c>
      <c r="BD104" s="955" t="str">
        <f t="shared" si="33"/>
        <v>2.65%（电子银行）</v>
      </c>
      <c r="BE104" s="955" t="str">
        <f t="shared" si="33"/>
        <v>2.65%（电子银行）</v>
      </c>
      <c r="BF104" s="955" t="str">
        <f t="shared" si="33"/>
        <v>2.65%（电子银行）</v>
      </c>
      <c r="BG104" s="955" t="str">
        <f t="shared" si="33"/>
        <v>2.65%（电子银行）</v>
      </c>
      <c r="BH104" s="955" t="str">
        <f t="shared" si="33"/>
        <v>2.65%（电子银行）</v>
      </c>
      <c r="BI104" s="955" t="str">
        <f t="shared" si="33"/>
        <v>2.65%（电子银行）</v>
      </c>
      <c r="BJ104" s="955" t="str">
        <f t="shared" si="33"/>
        <v>2.65%（电子银行）</v>
      </c>
      <c r="BK104" s="955" t="str">
        <f t="shared" si="33"/>
        <v>2.65%（电子银行）</v>
      </c>
      <c r="BL104" s="955" t="str">
        <f t="shared" si="33"/>
        <v>2.65%（电子银行）</v>
      </c>
      <c r="BM104" s="955" t="str">
        <f t="shared" si="33"/>
        <v>2.65%（电子银行）</v>
      </c>
      <c r="BN104" s="955" t="str">
        <f t="shared" si="33"/>
        <v>2.65%（电子银行）</v>
      </c>
      <c r="BO104" s="955" t="str">
        <f t="shared" si="33"/>
        <v>2.65%（电子银行）</v>
      </c>
      <c r="BP104" s="955" t="str">
        <f t="shared" si="33"/>
        <v>2.65%（电子银行）</v>
      </c>
      <c r="BQ104" s="955" t="str">
        <f t="shared" si="33"/>
        <v>2.65%（电子银行）</v>
      </c>
      <c r="BR104" s="955" t="str">
        <f t="shared" si="33"/>
        <v>2.65%（电子银行）</v>
      </c>
      <c r="BS104" s="955" t="str">
        <f t="shared" si="33"/>
        <v>2.65%（电子银行）</v>
      </c>
      <c r="BT104" s="955" t="str">
        <f t="shared" si="33"/>
        <v>2.65%（电子银行）</v>
      </c>
      <c r="BU104" s="955" t="str">
        <f t="shared" si="33"/>
        <v>2.65%（电子银行）</v>
      </c>
      <c r="BV104" s="955" t="str">
        <f t="shared" si="33"/>
        <v>2.65%（电子银行）</v>
      </c>
      <c r="BW104" s="955" t="str">
        <f t="shared" si="33"/>
        <v>2.65%（电子银行）</v>
      </c>
      <c r="BX104" s="955" t="str">
        <f t="shared" si="33"/>
        <v>2.65%（电子银行）</v>
      </c>
      <c r="BY104" s="955" t="str">
        <f t="shared" si="33"/>
        <v>2.65%（电子银行）</v>
      </c>
      <c r="BZ104" s="955" t="str">
        <f t="shared" si="33"/>
        <v>2.65%（电子银行）</v>
      </c>
      <c r="CA104" s="955" t="str">
        <f t="shared" si="33"/>
        <v>2.65%（电子银行）</v>
      </c>
      <c r="CB104" s="955" t="str">
        <f t="shared" si="33"/>
        <v>2.65%（电子银行）</v>
      </c>
      <c r="CC104" s="955" t="s">
        <v>369</v>
      </c>
      <c r="CD104" s="955">
        <v>2.8000000000000001E-2</v>
      </c>
      <c r="CE104" s="951">
        <v>2.8000000000000001E-2</v>
      </c>
      <c r="CF104" s="951">
        <v>2.9499999999999998E-2</v>
      </c>
      <c r="CG104" s="951">
        <v>2.9499999999999998E-2</v>
      </c>
      <c r="CH104" s="951">
        <v>2.9499999999999998E-2</v>
      </c>
      <c r="CI104" s="951">
        <v>0.03</v>
      </c>
      <c r="CJ104" s="951">
        <v>0.03</v>
      </c>
      <c r="CK104" s="951">
        <v>0.03</v>
      </c>
      <c r="CL104" s="951">
        <v>3.0499999999999999E-2</v>
      </c>
      <c r="CM104" s="951">
        <v>3.0499999999999999E-2</v>
      </c>
      <c r="CN104" s="951">
        <v>3.0499999999999999E-2</v>
      </c>
      <c r="CO104" s="951">
        <v>3.0499999999999999E-2</v>
      </c>
      <c r="CP104" s="951">
        <v>3.0499999999999999E-2</v>
      </c>
      <c r="CQ104" s="951">
        <v>3.0499999999999999E-2</v>
      </c>
      <c r="CR104" s="951">
        <v>3.0499999999999999E-2</v>
      </c>
      <c r="CS104" s="951">
        <v>3.0499999999999999E-2</v>
      </c>
      <c r="CT104" s="951">
        <v>3.0499999999999999E-2</v>
      </c>
      <c r="CU104" s="951">
        <v>3.0499999999999999E-2</v>
      </c>
      <c r="CV104" s="951">
        <v>3.0499999999999999E-2</v>
      </c>
      <c r="CW104" s="951">
        <v>3.1E-2</v>
      </c>
      <c r="CX104" s="951">
        <v>3.1E-2</v>
      </c>
      <c r="CY104" s="951">
        <v>3.1E-2</v>
      </c>
      <c r="CZ104" s="951">
        <v>3.1E-2</v>
      </c>
      <c r="DA104" s="951">
        <v>3.1E-2</v>
      </c>
      <c r="DB104" s="951">
        <v>3.1E-2</v>
      </c>
      <c r="DC104" s="951">
        <v>3.1E-2</v>
      </c>
      <c r="DD104" s="951">
        <v>3.1E-2</v>
      </c>
      <c r="DE104" s="951">
        <v>3.1E-2</v>
      </c>
      <c r="DF104" s="951">
        <v>3.1E-2</v>
      </c>
      <c r="DG104" s="951">
        <v>3.1E-2</v>
      </c>
      <c r="DH104" s="951">
        <v>3.1E-2</v>
      </c>
      <c r="DI104" s="951">
        <v>3.1E-2</v>
      </c>
      <c r="DJ104" s="951">
        <v>3.1E-2</v>
      </c>
      <c r="DK104" s="951">
        <v>3.1E-2</v>
      </c>
      <c r="DL104" s="951">
        <v>3.1E-2</v>
      </c>
      <c r="DM104" s="951">
        <v>3.1E-2</v>
      </c>
      <c r="DN104" s="951">
        <v>3.1E-2</v>
      </c>
      <c r="DO104" s="951">
        <v>3.1E-2</v>
      </c>
      <c r="DP104" s="951">
        <v>3.1E-2</v>
      </c>
      <c r="DQ104" s="951">
        <v>3.1E-2</v>
      </c>
      <c r="DR104" s="951">
        <v>3.1E-2</v>
      </c>
      <c r="DS104" s="951">
        <v>3.1E-2</v>
      </c>
      <c r="DT104" s="951">
        <v>3.2000000000000001E-2</v>
      </c>
      <c r="DU104" s="951">
        <v>3.2000000000000001E-2</v>
      </c>
      <c r="DV104" s="951">
        <v>3.2000000000000001E-2</v>
      </c>
      <c r="DW104" s="951">
        <v>3.2000000000000001E-2</v>
      </c>
      <c r="DX104" s="951">
        <v>3.2000000000000001E-2</v>
      </c>
      <c r="DY104" s="951">
        <v>3.2000000000000001E-2</v>
      </c>
      <c r="DZ104" s="951">
        <v>3.2000000000000001E-2</v>
      </c>
      <c r="EA104" s="951">
        <v>3.2000000000000001E-2</v>
      </c>
      <c r="EB104" s="951">
        <v>3.2000000000000001E-2</v>
      </c>
      <c r="EC104" s="951">
        <v>3.2000000000000001E-2</v>
      </c>
      <c r="ED104" s="951">
        <v>3.2000000000000001E-2</v>
      </c>
      <c r="EE104" s="951">
        <v>3.2000000000000001E-2</v>
      </c>
      <c r="EF104" s="951">
        <v>3.2000000000000001E-2</v>
      </c>
      <c r="EG104" s="951">
        <v>3.2000000000000001E-2</v>
      </c>
      <c r="EH104" s="951">
        <v>3.2000000000000001E-2</v>
      </c>
      <c r="EI104" s="951">
        <v>3.2000000000000001E-2</v>
      </c>
      <c r="EJ104" s="951">
        <v>3.2000000000000001E-2</v>
      </c>
      <c r="EK104" s="951">
        <v>3.2500000000000001E-2</v>
      </c>
      <c r="EL104" s="951">
        <v>3.2500000000000001E-2</v>
      </c>
      <c r="EM104" s="951">
        <v>3.3000000000000002E-2</v>
      </c>
      <c r="EN104" s="951">
        <v>3.3000000000000002E-2</v>
      </c>
      <c r="EO104" s="951">
        <v>3.3000000000000002E-2</v>
      </c>
      <c r="EP104" s="951">
        <v>3.3000000000000002E-2</v>
      </c>
      <c r="EQ104" s="951">
        <v>3.4000000000000002E-2</v>
      </c>
      <c r="ER104" s="951">
        <v>3.4000000000000002E-2</v>
      </c>
      <c r="ES104" s="951">
        <v>3.4000000000000002E-2</v>
      </c>
      <c r="ET104" s="951">
        <v>3.4500000000000003E-2</v>
      </c>
      <c r="EU104" s="951">
        <v>3.5000000000000003E-2</v>
      </c>
      <c r="EV104" s="951">
        <v>3.5000000000000003E-2</v>
      </c>
      <c r="EW104" s="951">
        <v>3.5999999999999997E-2</v>
      </c>
      <c r="EX104" s="951">
        <v>3.7499999999999999E-2</v>
      </c>
      <c r="EY104" s="951">
        <v>3.7499999999999999E-2</v>
      </c>
      <c r="EZ104" s="231" t="s">
        <v>281</v>
      </c>
      <c r="FA104" s="1040">
        <v>1.7500000000000002E-2</v>
      </c>
      <c r="FB104" s="238" t="s">
        <v>368</v>
      </c>
      <c r="FC104" s="1042" t="s">
        <v>323</v>
      </c>
      <c r="FD104" s="1040">
        <v>1.4999999999999999E-2</v>
      </c>
      <c r="FE104" s="238" t="s">
        <v>367</v>
      </c>
      <c r="FF104" s="1052" t="s">
        <v>323</v>
      </c>
      <c r="FG104" s="1042" t="s">
        <v>321</v>
      </c>
      <c r="FH104" s="1041">
        <v>1.2E-2</v>
      </c>
      <c r="FI104" s="1041">
        <v>1.2E-2</v>
      </c>
      <c r="FJ104" s="1041">
        <v>1.2E-2</v>
      </c>
      <c r="FK104" s="1041">
        <v>1.2E-2</v>
      </c>
      <c r="FL104" s="1040">
        <v>1.4999999999999999E-2</v>
      </c>
      <c r="FM104" s="1040">
        <v>1.7500000000000002E-2</v>
      </c>
      <c r="FN104" s="1040">
        <v>1.7500000000000002E-2</v>
      </c>
      <c r="FO104" s="1040">
        <v>1.7500000000000002E-2</v>
      </c>
      <c r="FP104" s="1040">
        <v>1.7500000000000002E-2</v>
      </c>
      <c r="FQ104" s="1040">
        <v>1.7500000000000002E-2</v>
      </c>
      <c r="FR104" s="1040">
        <v>1.7500000000000002E-2</v>
      </c>
      <c r="FS104" s="1040">
        <v>1.7500000000000002E-2</v>
      </c>
      <c r="FT104" s="1040">
        <v>1.7500000000000002E-2</v>
      </c>
      <c r="FU104" s="1040">
        <v>1.7500000000000002E-2</v>
      </c>
      <c r="FV104" s="1040">
        <v>1.7500000000000002E-2</v>
      </c>
      <c r="FW104" s="1040">
        <v>1.7500000000000002E-2</v>
      </c>
      <c r="FX104" s="1040">
        <v>1.7500000000000002E-2</v>
      </c>
      <c r="FY104" s="951">
        <v>2.35E-2</v>
      </c>
      <c r="FZ104" s="951">
        <v>3.7499999999999999E-2</v>
      </c>
      <c r="GA104" s="951">
        <v>3.7499999999999999E-2</v>
      </c>
      <c r="GB104" s="951">
        <v>3.7499999999999999E-2</v>
      </c>
      <c r="GC104" s="951">
        <v>3.7499999999999999E-2</v>
      </c>
      <c r="GD104" s="951">
        <v>3.7499999999999999E-2</v>
      </c>
      <c r="GE104" s="951">
        <v>3.7499999999999999E-2</v>
      </c>
      <c r="GF104" s="951">
        <v>3.7499999999999999E-2</v>
      </c>
      <c r="GG104" s="951">
        <v>3.7499999999999999E-2</v>
      </c>
      <c r="GH104" s="951">
        <v>3.7499999999999999E-2</v>
      </c>
      <c r="GI104" s="951">
        <v>3.7499999999999999E-2</v>
      </c>
      <c r="GJ104" s="951">
        <v>3.7499999999999999E-2</v>
      </c>
      <c r="GK104" s="951">
        <v>3.7499999999999999E-2</v>
      </c>
      <c r="GL104" s="951">
        <v>3.7499999999999999E-2</v>
      </c>
      <c r="GM104" s="951">
        <v>3.7499999999999999E-2</v>
      </c>
      <c r="GN104" s="951">
        <v>3.7499999999999999E-2</v>
      </c>
      <c r="GO104" s="951">
        <v>3.7499999999999999E-2</v>
      </c>
      <c r="GP104" s="951">
        <v>3.7499999999999999E-2</v>
      </c>
      <c r="GQ104" s="951">
        <v>3.7499999999999999E-2</v>
      </c>
      <c r="GR104" s="951">
        <v>3.7499999999999999E-2</v>
      </c>
      <c r="GS104" s="951">
        <v>3.2500000000000001E-2</v>
      </c>
      <c r="GT104" s="951">
        <v>3.2500000000000001E-2</v>
      </c>
      <c r="GU104" s="951">
        <v>3.2500000000000001E-2</v>
      </c>
      <c r="GV104" s="951">
        <v>2.8000000000000001E-2</v>
      </c>
      <c r="GW104" s="951">
        <v>2.8000000000000001E-2</v>
      </c>
      <c r="GX104" s="951">
        <v>2.8000000000000001E-2</v>
      </c>
      <c r="GY104" s="951">
        <v>2.35E-2</v>
      </c>
      <c r="GZ104" s="951">
        <v>2.35E-2</v>
      </c>
      <c r="HA104" s="951">
        <v>2.35E-2</v>
      </c>
      <c r="HB104" s="951">
        <v>3.7499999999999999E-2</v>
      </c>
      <c r="HC104" s="951">
        <v>3.7499999999999999E-2</v>
      </c>
      <c r="HD104" s="951">
        <v>3.7499999999999999E-2</v>
      </c>
      <c r="HE104" s="951">
        <v>3.7499999999999999E-2</v>
      </c>
      <c r="HF104" s="941">
        <f>C104-D104</f>
        <v>0</v>
      </c>
      <c r="HG104" s="218" t="s">
        <v>755</v>
      </c>
    </row>
    <row r="105" spans="1:216">
      <c r="A105" s="961"/>
      <c r="B105" s="280" t="s">
        <v>757</v>
      </c>
      <c r="C105" s="922"/>
      <c r="D105" s="922"/>
      <c r="E105" s="922"/>
      <c r="F105" s="922"/>
      <c r="G105" s="922"/>
      <c r="H105" s="922"/>
      <c r="I105" s="922"/>
      <c r="J105" s="922"/>
      <c r="K105" s="922"/>
      <c r="L105" s="971"/>
      <c r="M105" s="922"/>
      <c r="N105" s="922"/>
      <c r="O105" s="922"/>
      <c r="P105" s="922"/>
      <c r="Q105" s="922"/>
      <c r="R105" s="922"/>
      <c r="S105" s="922"/>
      <c r="T105" s="922"/>
      <c r="U105" s="922"/>
      <c r="V105" s="922"/>
      <c r="W105" s="922"/>
      <c r="X105" s="922"/>
      <c r="Y105" s="922"/>
      <c r="Z105" s="922"/>
      <c r="AA105" s="922"/>
      <c r="AB105" s="922"/>
      <c r="AC105" s="971"/>
      <c r="AD105" s="922"/>
      <c r="AE105" s="971"/>
      <c r="AF105" s="983"/>
      <c r="AG105" s="971"/>
      <c r="AH105" s="971"/>
      <c r="AI105" s="983"/>
      <c r="AJ105" s="971"/>
      <c r="AK105" s="983"/>
      <c r="AL105" s="971"/>
      <c r="AM105" s="983"/>
      <c r="AN105" s="983"/>
      <c r="AO105" s="983"/>
      <c r="AP105" s="989"/>
      <c r="AQ105" s="989"/>
      <c r="AR105" s="1029"/>
      <c r="AS105" s="1029"/>
      <c r="AT105" s="989"/>
      <c r="AU105" s="1029"/>
      <c r="AV105" s="1029"/>
      <c r="AW105" s="1029"/>
      <c r="AX105" s="1029"/>
      <c r="AY105" s="989"/>
      <c r="AZ105" s="1013"/>
      <c r="BA105" s="1013"/>
      <c r="BB105" s="1013"/>
      <c r="BC105" s="1063"/>
      <c r="BD105" s="1013"/>
      <c r="BE105" s="1013"/>
      <c r="BF105" s="1013"/>
      <c r="BG105" s="1013"/>
      <c r="BH105" s="1013"/>
      <c r="BI105" s="1013"/>
      <c r="BJ105" s="1013"/>
      <c r="BK105" s="1013"/>
      <c r="BL105" s="1013"/>
      <c r="BM105" s="1013"/>
      <c r="BN105" s="1013"/>
      <c r="BO105" s="1013"/>
      <c r="BP105" s="1013"/>
      <c r="BQ105" s="1013"/>
      <c r="BR105" s="1013"/>
      <c r="BS105" s="1013"/>
      <c r="BT105" s="1013"/>
      <c r="BU105" s="1013"/>
      <c r="BV105" s="1013"/>
      <c r="BW105" s="1013"/>
      <c r="BX105" s="1013"/>
      <c r="BY105" s="1013"/>
      <c r="BZ105" s="1013"/>
      <c r="CA105" s="1013"/>
      <c r="CB105" s="1013"/>
      <c r="CC105" s="1013"/>
      <c r="CD105" s="1013"/>
      <c r="CE105" s="951"/>
      <c r="CF105" s="951"/>
      <c r="CG105" s="951"/>
      <c r="CH105" s="951"/>
      <c r="CI105" s="951"/>
      <c r="CJ105" s="951"/>
      <c r="CK105" s="951"/>
      <c r="CL105" s="951"/>
      <c r="CM105" s="951"/>
      <c r="CN105" s="951"/>
      <c r="CO105" s="951"/>
      <c r="CP105" s="951"/>
      <c r="CQ105" s="951"/>
      <c r="CR105" s="951"/>
      <c r="CS105" s="951"/>
      <c r="CT105" s="951"/>
      <c r="CU105" s="951"/>
      <c r="CV105" s="951"/>
      <c r="CW105" s="951"/>
      <c r="CX105" s="951"/>
      <c r="CY105" s="951"/>
      <c r="CZ105" s="951"/>
      <c r="DA105" s="951"/>
      <c r="DB105" s="951"/>
      <c r="DC105" s="951"/>
      <c r="DD105" s="951"/>
      <c r="DE105" s="951"/>
      <c r="DF105" s="951"/>
      <c r="DG105" s="951"/>
      <c r="DH105" s="951"/>
      <c r="DI105" s="951"/>
      <c r="DJ105" s="951"/>
      <c r="DK105" s="951"/>
      <c r="DL105" s="951"/>
      <c r="DM105" s="951"/>
      <c r="DN105" s="951"/>
      <c r="DO105" s="951"/>
      <c r="DP105" s="951"/>
      <c r="DQ105" s="951"/>
      <c r="DR105" s="951"/>
      <c r="DS105" s="951"/>
      <c r="DT105" s="951"/>
      <c r="DU105" s="951"/>
      <c r="DV105" s="951"/>
      <c r="DW105" s="951"/>
      <c r="DX105" s="951"/>
      <c r="DY105" s="951"/>
      <c r="DZ105" s="951"/>
      <c r="EA105" s="951"/>
      <c r="EB105" s="951"/>
      <c r="EC105" s="951"/>
      <c r="ED105" s="951"/>
      <c r="EE105" s="951"/>
      <c r="EF105" s="951"/>
      <c r="EG105" s="951"/>
      <c r="EH105" s="951"/>
      <c r="EI105" s="951"/>
      <c r="EJ105" s="951"/>
      <c r="EK105" s="951"/>
      <c r="EL105" s="951"/>
      <c r="EM105" s="951"/>
      <c r="EN105" s="951"/>
      <c r="EO105" s="951"/>
      <c r="EP105" s="951"/>
      <c r="EQ105" s="951"/>
      <c r="ER105" s="951"/>
      <c r="ES105" s="951"/>
      <c r="ET105" s="951"/>
      <c r="EU105" s="951"/>
      <c r="EV105" s="951"/>
      <c r="EW105" s="951"/>
      <c r="EX105" s="951"/>
      <c r="EY105" s="951"/>
      <c r="EZ105" s="231"/>
      <c r="FA105" s="1040"/>
      <c r="FB105" s="238"/>
      <c r="FC105" s="1042"/>
      <c r="FD105" s="1040"/>
      <c r="FE105" s="238"/>
      <c r="FF105" s="1052"/>
      <c r="FG105" s="1042"/>
      <c r="FH105" s="1041"/>
      <c r="FI105" s="1041"/>
      <c r="FJ105" s="1041"/>
      <c r="FK105" s="1041"/>
      <c r="FL105" s="1040"/>
      <c r="FM105" s="1040"/>
      <c r="FN105" s="1040"/>
      <c r="FO105" s="1040"/>
      <c r="FP105" s="1040"/>
      <c r="FQ105" s="1040"/>
      <c r="FR105" s="1040"/>
      <c r="FS105" s="1040"/>
      <c r="FT105" s="1040"/>
      <c r="FU105" s="1040"/>
      <c r="FV105" s="1040"/>
      <c r="FW105" s="1040"/>
      <c r="FX105" s="1040"/>
      <c r="FY105" s="951"/>
      <c r="FZ105" s="951"/>
      <c r="GA105" s="951"/>
      <c r="GB105" s="951"/>
      <c r="GC105" s="951"/>
      <c r="GD105" s="951"/>
      <c r="GE105" s="951"/>
      <c r="GF105" s="951"/>
      <c r="GG105" s="951"/>
      <c r="GH105" s="951"/>
      <c r="GI105" s="951"/>
      <c r="GJ105" s="951"/>
      <c r="GK105" s="951"/>
      <c r="GL105" s="951"/>
      <c r="GM105" s="951"/>
      <c r="GN105" s="951"/>
      <c r="GO105" s="951"/>
      <c r="GP105" s="951"/>
      <c r="GQ105" s="951"/>
      <c r="GR105" s="951"/>
      <c r="GS105" s="951"/>
      <c r="GT105" s="951"/>
      <c r="GU105" s="951"/>
      <c r="GV105" s="951"/>
      <c r="GW105" s="951"/>
      <c r="GX105" s="951"/>
      <c r="GY105" s="951"/>
      <c r="GZ105" s="951"/>
      <c r="HA105" s="951"/>
      <c r="HB105" s="951"/>
      <c r="HC105" s="951"/>
      <c r="HD105" s="951"/>
      <c r="HE105" s="951"/>
      <c r="HF105" s="1048"/>
      <c r="HG105" s="218" t="s">
        <v>582</v>
      </c>
    </row>
    <row r="106" spans="1:216">
      <c r="A106" s="959" t="s">
        <v>48</v>
      </c>
      <c r="B106" s="840" t="s">
        <v>819</v>
      </c>
      <c r="C106" s="915">
        <v>1.2500000000000001E-2</v>
      </c>
      <c r="D106" s="915">
        <v>1.2500000000000001E-2</v>
      </c>
      <c r="E106" s="915">
        <v>1.2500000000000001E-2</v>
      </c>
      <c r="F106" s="909">
        <v>1.2E-2</v>
      </c>
      <c r="G106" s="909">
        <v>1.2E-2</v>
      </c>
      <c r="H106" s="909">
        <v>1.2E-2</v>
      </c>
      <c r="I106" s="909">
        <v>1.2E-2</v>
      </c>
      <c r="J106" s="909">
        <v>1.2E-2</v>
      </c>
      <c r="K106" s="909">
        <v>1.2E-2</v>
      </c>
      <c r="L106" s="909">
        <v>1.2E-2</v>
      </c>
      <c r="M106" s="909">
        <v>1.2E-2</v>
      </c>
      <c r="N106" s="909">
        <v>1.2E-2</v>
      </c>
      <c r="O106" s="967">
        <v>1.2E-2</v>
      </c>
      <c r="P106" s="909">
        <v>1.15E-2</v>
      </c>
      <c r="Q106" s="909">
        <v>1.15E-2</v>
      </c>
      <c r="R106" s="909">
        <v>1.15E-2</v>
      </c>
      <c r="S106" s="909">
        <v>1.15E-2</v>
      </c>
      <c r="T106" s="909">
        <v>1.15E-2</v>
      </c>
      <c r="U106" s="909">
        <v>1.15E-2</v>
      </c>
      <c r="V106" s="909">
        <v>1.15E-2</v>
      </c>
      <c r="W106" s="909">
        <v>1.15E-2</v>
      </c>
      <c r="X106" s="909">
        <v>1.15E-2</v>
      </c>
      <c r="Y106" s="909">
        <v>1.15E-2</v>
      </c>
      <c r="Z106" s="909">
        <v>1.15E-2</v>
      </c>
      <c r="AA106" s="909">
        <v>1.15E-2</v>
      </c>
      <c r="AB106" s="909">
        <v>1.15E-2</v>
      </c>
      <c r="AC106" s="967">
        <v>1.15E-2</v>
      </c>
      <c r="AD106" s="909">
        <v>1.2E-2</v>
      </c>
      <c r="AE106" s="967">
        <v>1.2E-2</v>
      </c>
      <c r="AF106" s="967">
        <v>1.2999999999999999E-2</v>
      </c>
      <c r="AG106" s="967">
        <v>1.35E-2</v>
      </c>
      <c r="AH106" s="978">
        <v>1.4E-2</v>
      </c>
      <c r="AI106" s="967">
        <v>1.4E-2</v>
      </c>
      <c r="AJ106" s="909">
        <v>1.4500000000000001E-2</v>
      </c>
      <c r="AK106" s="978">
        <v>1.4500000000000001E-2</v>
      </c>
      <c r="AL106" s="967">
        <v>1.4500000000000001E-2</v>
      </c>
      <c r="AM106" s="967">
        <v>1.6500000000000001E-2</v>
      </c>
      <c r="AN106" s="967">
        <v>1.6E-2</v>
      </c>
      <c r="AO106" s="967">
        <v>1.7000000000000001E-2</v>
      </c>
      <c r="AP106" s="984">
        <v>1.7999999999999999E-2</v>
      </c>
      <c r="AQ106" s="1012">
        <v>1.95E-2</v>
      </c>
      <c r="AR106" s="1012">
        <v>1.95E-2</v>
      </c>
      <c r="AS106" s="1012">
        <v>1.95E-2</v>
      </c>
      <c r="AT106" s="987">
        <v>1.95E-2</v>
      </c>
      <c r="AU106" s="987">
        <v>1.95E-2</v>
      </c>
      <c r="AV106" s="987">
        <v>1.95E-2</v>
      </c>
      <c r="AW106" s="987">
        <v>1.95E-2</v>
      </c>
      <c r="AX106" s="1016">
        <v>2.1000000000000001E-2</v>
      </c>
      <c r="AY106" s="987">
        <v>2.1999999999999999E-2</v>
      </c>
      <c r="AZ106" s="1016">
        <v>2.1999999999999999E-2</v>
      </c>
      <c r="BA106" s="987">
        <v>2.35E-2</v>
      </c>
      <c r="BB106" s="1016">
        <v>2.35E-2</v>
      </c>
      <c r="BC106" s="987">
        <v>2.4500000000000001E-2</v>
      </c>
      <c r="BD106" s="987">
        <v>2.4500000000000001E-2</v>
      </c>
      <c r="BE106" s="987">
        <v>2.5499999999999998E-2</v>
      </c>
      <c r="BF106" s="987">
        <v>2.5499999999999998E-2</v>
      </c>
      <c r="BG106" s="1016">
        <v>2.5499999999999998E-2</v>
      </c>
      <c r="BH106" s="987">
        <v>2.5999999999999999E-2</v>
      </c>
      <c r="BI106" s="987">
        <v>2.5999999999999999E-2</v>
      </c>
      <c r="BJ106" s="987">
        <v>2.5999999999999999E-2</v>
      </c>
      <c r="BK106" s="987">
        <v>2.5999999999999999E-2</v>
      </c>
      <c r="BL106" s="987">
        <v>2.5999999999999999E-2</v>
      </c>
      <c r="BM106" s="1016" t="s">
        <v>366</v>
      </c>
      <c r="BN106" s="987">
        <v>2.7E-2</v>
      </c>
      <c r="BO106" s="987">
        <v>2.7E-2</v>
      </c>
      <c r="BP106" s="987">
        <v>2.7E-2</v>
      </c>
      <c r="BQ106" s="1016">
        <v>2.7E-2</v>
      </c>
      <c r="BR106" s="987">
        <v>2.5999999999999999E-2</v>
      </c>
      <c r="BS106" s="987">
        <v>2.5999999999999999E-2</v>
      </c>
      <c r="BT106" s="987">
        <v>2.5999999999999999E-2</v>
      </c>
      <c r="BU106" s="987">
        <v>2.5999999999999999E-2</v>
      </c>
      <c r="BV106" s="987">
        <v>2.5999999999999999E-2</v>
      </c>
      <c r="BW106" s="987">
        <v>2.5999999999999999E-2</v>
      </c>
      <c r="BX106" s="987">
        <v>2.5999999999999999E-2</v>
      </c>
      <c r="BY106" s="987">
        <v>2.5999999999999999E-2</v>
      </c>
      <c r="BZ106" s="987">
        <v>2.5999999999999999E-2</v>
      </c>
      <c r="CA106" s="987">
        <v>2.5999999999999999E-2</v>
      </c>
      <c r="CB106" s="987">
        <v>2.5999999999999999E-2</v>
      </c>
      <c r="CC106" s="987">
        <v>2.8500000000000001E-2</v>
      </c>
      <c r="CD106" s="987">
        <v>2.8500000000000001E-2</v>
      </c>
      <c r="CE106" s="987">
        <v>2.8500000000000001E-2</v>
      </c>
      <c r="CF106" s="987">
        <v>2.9499999999999998E-2</v>
      </c>
      <c r="CG106" s="987">
        <v>2.9499999999999998E-2</v>
      </c>
      <c r="CH106" s="987">
        <v>0.03</v>
      </c>
      <c r="CI106" s="1011">
        <v>0.03</v>
      </c>
      <c r="CJ106" s="1011">
        <v>0.03</v>
      </c>
      <c r="CK106" s="1011">
        <v>0.03</v>
      </c>
      <c r="CL106" s="1011">
        <v>0.03</v>
      </c>
      <c r="CM106" s="1011">
        <v>0.03</v>
      </c>
      <c r="CN106" s="1011">
        <v>0.03</v>
      </c>
      <c r="CO106" s="1011">
        <v>3.1E-2</v>
      </c>
      <c r="CP106" s="1011">
        <v>3.1E-2</v>
      </c>
      <c r="CQ106" s="1011">
        <v>3.1E-2</v>
      </c>
      <c r="CR106" s="1011">
        <v>3.1E-2</v>
      </c>
      <c r="CS106" s="1011">
        <v>3.1E-2</v>
      </c>
      <c r="CT106" s="1011">
        <v>3.1E-2</v>
      </c>
      <c r="CU106" s="1011">
        <v>3.1E-2</v>
      </c>
      <c r="CV106" s="1011">
        <v>3.1E-2</v>
      </c>
      <c r="CW106" s="1011">
        <v>3.1E-2</v>
      </c>
      <c r="CX106" s="1011">
        <v>3.1E-2</v>
      </c>
      <c r="CY106" s="1011">
        <v>3.0499999999999999E-2</v>
      </c>
      <c r="CZ106" s="1011">
        <v>3.0499999999999999E-2</v>
      </c>
      <c r="DA106" s="1011">
        <v>3.1E-2</v>
      </c>
      <c r="DB106" s="1011">
        <v>3.1E-2</v>
      </c>
      <c r="DC106" s="1011">
        <v>3.1E-2</v>
      </c>
      <c r="DD106" s="1011">
        <v>3.1E-2</v>
      </c>
      <c r="DE106" s="1011">
        <v>3.0499999999999999E-2</v>
      </c>
      <c r="DF106" s="1011">
        <v>0.03</v>
      </c>
      <c r="DG106" s="1011">
        <v>3.0800000000000001E-2</v>
      </c>
      <c r="DH106" s="1011">
        <v>3.0800000000000001E-2</v>
      </c>
      <c r="DI106" s="1011">
        <v>3.0499999999999999E-2</v>
      </c>
      <c r="DJ106" s="1011">
        <v>3.15E-2</v>
      </c>
      <c r="DK106" s="1011">
        <v>3.15E-2</v>
      </c>
      <c r="DL106" s="1011">
        <v>3.3000000000000002E-2</v>
      </c>
      <c r="DM106" s="1011">
        <v>3.3500000000000002E-2</v>
      </c>
      <c r="DN106" s="1011">
        <v>3.3500000000000002E-2</v>
      </c>
      <c r="DO106" s="1011">
        <v>3.3500000000000002E-2</v>
      </c>
      <c r="DP106" s="1011">
        <v>3.3500000000000002E-2</v>
      </c>
      <c r="DQ106" s="1011">
        <v>3.3500000000000002E-2</v>
      </c>
      <c r="DR106" s="1011">
        <v>3.3500000000000002E-2</v>
      </c>
      <c r="DS106" s="1011">
        <v>3.3500000000000002E-2</v>
      </c>
      <c r="DT106" s="1011">
        <v>3.3500000000000002E-2</v>
      </c>
      <c r="DU106" s="1011">
        <v>3.3500000000000002E-2</v>
      </c>
      <c r="DV106" s="1011">
        <v>3.2500000000000001E-2</v>
      </c>
      <c r="DW106" s="1011">
        <v>3.1E-2</v>
      </c>
      <c r="DX106" s="1011">
        <v>3.1E-2</v>
      </c>
      <c r="DY106" s="1011">
        <v>3.1E-2</v>
      </c>
      <c r="DZ106" s="1011">
        <v>3.1E-2</v>
      </c>
      <c r="EA106" s="1011">
        <v>3.2000000000000001E-2</v>
      </c>
      <c r="EB106" s="1011">
        <v>3.2000000000000001E-2</v>
      </c>
      <c r="EC106" s="1011">
        <v>3.2000000000000001E-2</v>
      </c>
      <c r="ED106" s="1011">
        <v>3.2000000000000001E-2</v>
      </c>
      <c r="EE106" s="1011">
        <v>3.2000000000000001E-2</v>
      </c>
      <c r="EF106" s="1011">
        <v>3.2000000000000001E-2</v>
      </c>
      <c r="EG106" s="1011">
        <v>3.2000000000000001E-2</v>
      </c>
      <c r="EH106" s="1011">
        <v>3.2000000000000001E-2</v>
      </c>
      <c r="EI106" s="1011">
        <v>0.03</v>
      </c>
      <c r="EJ106" s="1011">
        <v>0.03</v>
      </c>
      <c r="EK106" s="1011">
        <v>0.03</v>
      </c>
      <c r="EL106" s="1011">
        <v>3.15E-2</v>
      </c>
      <c r="EM106" s="1011">
        <v>3.15E-2</v>
      </c>
      <c r="EN106" s="1011">
        <v>3.15E-2</v>
      </c>
      <c r="EO106" s="1011">
        <v>3.15E-2</v>
      </c>
      <c r="EP106" s="1011">
        <v>3.15E-2</v>
      </c>
      <c r="EQ106" s="1011">
        <v>3.15E-2</v>
      </c>
      <c r="ER106" s="1011">
        <v>3.2000000000000001E-2</v>
      </c>
      <c r="ES106" s="1011">
        <v>3.2000000000000001E-2</v>
      </c>
      <c r="ET106" s="1011">
        <v>3.2000000000000001E-2</v>
      </c>
      <c r="EU106" s="1011">
        <v>3.4500000000000003E-2</v>
      </c>
      <c r="EV106" s="1011">
        <v>3.4500000000000003E-2</v>
      </c>
      <c r="EW106" s="1011">
        <v>3.5499999999999997E-2</v>
      </c>
      <c r="EX106" s="1011">
        <v>3.5499999999999997E-2</v>
      </c>
      <c r="EY106" s="1011">
        <v>3.5499999999999997E-2</v>
      </c>
      <c r="EZ106" s="231" t="s">
        <v>306</v>
      </c>
      <c r="FA106" s="235"/>
      <c r="FB106" s="238"/>
      <c r="FC106" s="231"/>
      <c r="FD106" s="235"/>
      <c r="FE106" s="238"/>
      <c r="FF106" s="282"/>
      <c r="FG106" s="231"/>
      <c r="FH106" s="236"/>
      <c r="FI106" s="236"/>
      <c r="FJ106" s="236"/>
      <c r="FK106" s="236"/>
      <c r="FL106" s="235"/>
      <c r="FM106" s="235"/>
      <c r="FN106" s="235"/>
      <c r="FO106" s="235"/>
      <c r="FP106" s="235"/>
      <c r="FQ106" s="235"/>
      <c r="FR106" s="235"/>
      <c r="FS106" s="235"/>
      <c r="FT106" s="235"/>
      <c r="FU106" s="235"/>
      <c r="FV106" s="235"/>
      <c r="FW106" s="235"/>
      <c r="FX106" s="235"/>
      <c r="FY106" s="1011">
        <v>2.35E-2</v>
      </c>
      <c r="FZ106" s="1011">
        <v>3.7999999999999999E-2</v>
      </c>
      <c r="GA106" s="1011">
        <v>3.7999999999999999E-2</v>
      </c>
      <c r="GB106" s="1011">
        <v>3.7999999999999999E-2</v>
      </c>
      <c r="GC106" s="1011">
        <v>3.7999999999999999E-2</v>
      </c>
      <c r="GD106" s="1011">
        <v>3.7999999999999999E-2</v>
      </c>
      <c r="GE106" s="1011">
        <v>3.95E-2</v>
      </c>
      <c r="GF106" s="1011">
        <v>3.95E-2</v>
      </c>
      <c r="GG106" s="1011">
        <v>4.1799999999999997E-2</v>
      </c>
      <c r="GH106" s="1011">
        <v>4.1799999999999997E-2</v>
      </c>
      <c r="GI106" s="1011">
        <v>4.1799999999999997E-2</v>
      </c>
      <c r="GJ106" s="1011">
        <v>4.1000000000000002E-2</v>
      </c>
      <c r="GK106" s="1011">
        <v>4.1000000000000002E-2</v>
      </c>
      <c r="GL106" s="1011">
        <v>0.04</v>
      </c>
      <c r="GM106" s="1011">
        <v>0.04</v>
      </c>
      <c r="GN106" s="1011">
        <v>3.9E-2</v>
      </c>
      <c r="GO106" s="1011">
        <v>3.9E-2</v>
      </c>
      <c r="GP106" s="1011">
        <v>3.9E-2</v>
      </c>
      <c r="GQ106" s="1011">
        <v>3.9E-2</v>
      </c>
      <c r="GR106" s="1011">
        <v>3.7999999999999999E-2</v>
      </c>
      <c r="GS106" s="1011">
        <v>3.2000000000000001E-2</v>
      </c>
      <c r="GT106" s="1011">
        <v>3.2000000000000001E-2</v>
      </c>
      <c r="GU106" s="1011">
        <v>2.8000000000000001E-2</v>
      </c>
      <c r="GV106" s="1011">
        <v>2.8000000000000001E-2</v>
      </c>
      <c r="GW106" s="1011">
        <v>2.75E-2</v>
      </c>
      <c r="GX106" s="1011">
        <v>2.75E-2</v>
      </c>
      <c r="GY106" s="1011">
        <v>2.75E-2</v>
      </c>
      <c r="GZ106" s="1011">
        <v>2.75E-2</v>
      </c>
      <c r="HA106" s="1011">
        <v>2.75E-2</v>
      </c>
      <c r="HB106" s="1011">
        <v>3.7999999999999999E-2</v>
      </c>
      <c r="HC106" s="1011">
        <v>3.5499999999999997E-2</v>
      </c>
      <c r="HD106" s="1011">
        <v>3.7999999999999999E-2</v>
      </c>
      <c r="HE106" s="1011">
        <v>3.7999999999999999E-2</v>
      </c>
      <c r="HF106" s="941">
        <f>C106-D106</f>
        <v>0</v>
      </c>
    </row>
    <row r="107" spans="1:216" ht="15.75" customHeight="1">
      <c r="A107" s="960"/>
      <c r="B107" s="272" t="s">
        <v>602</v>
      </c>
      <c r="C107" s="916"/>
      <c r="D107" s="916"/>
      <c r="E107" s="916"/>
      <c r="F107" s="910"/>
      <c r="G107" s="910"/>
      <c r="H107" s="910"/>
      <c r="I107" s="910"/>
      <c r="J107" s="910"/>
      <c r="K107" s="910"/>
      <c r="L107" s="910"/>
      <c r="M107" s="910"/>
      <c r="N107" s="910"/>
      <c r="O107" s="968"/>
      <c r="P107" s="910"/>
      <c r="Q107" s="910"/>
      <c r="R107" s="910"/>
      <c r="S107" s="910"/>
      <c r="T107" s="910"/>
      <c r="U107" s="910"/>
      <c r="V107" s="910"/>
      <c r="W107" s="910"/>
      <c r="X107" s="910"/>
      <c r="Y107" s="910"/>
      <c r="Z107" s="910"/>
      <c r="AA107" s="910"/>
      <c r="AB107" s="910"/>
      <c r="AC107" s="968"/>
      <c r="AD107" s="910"/>
      <c r="AE107" s="968"/>
      <c r="AF107" s="968"/>
      <c r="AG107" s="968"/>
      <c r="AH107" s="979"/>
      <c r="AI107" s="968"/>
      <c r="AJ107" s="910"/>
      <c r="AK107" s="979"/>
      <c r="AL107" s="968"/>
      <c r="AM107" s="968"/>
      <c r="AN107" s="968"/>
      <c r="AO107" s="968"/>
      <c r="AP107" s="985"/>
      <c r="AQ107" s="1026"/>
      <c r="AR107" s="1026"/>
      <c r="AS107" s="1026"/>
      <c r="AT107" s="1018"/>
      <c r="AU107" s="1018"/>
      <c r="AV107" s="1018"/>
      <c r="AW107" s="1018"/>
      <c r="AX107" s="1017"/>
      <c r="AY107" s="1018"/>
      <c r="AZ107" s="1017"/>
      <c r="BA107" s="1018"/>
      <c r="BB107" s="1017"/>
      <c r="BC107" s="1018"/>
      <c r="BD107" s="1018"/>
      <c r="BE107" s="1018"/>
      <c r="BF107" s="1018"/>
      <c r="BG107" s="1017"/>
      <c r="BH107" s="1018"/>
      <c r="BI107" s="1018"/>
      <c r="BJ107" s="1018"/>
      <c r="BK107" s="1018"/>
      <c r="BL107" s="1018"/>
      <c r="BM107" s="1017"/>
      <c r="BN107" s="1018"/>
      <c r="BO107" s="1018"/>
      <c r="BP107" s="1018"/>
      <c r="BQ107" s="1017"/>
      <c r="BR107" s="1018"/>
      <c r="BS107" s="1018"/>
      <c r="BT107" s="1018"/>
      <c r="BU107" s="1018"/>
      <c r="BV107" s="1018"/>
      <c r="BW107" s="1018"/>
      <c r="BX107" s="1018"/>
      <c r="BY107" s="1018"/>
      <c r="BZ107" s="1018"/>
      <c r="CA107" s="1018"/>
      <c r="CB107" s="1018"/>
      <c r="CC107" s="1018"/>
      <c r="CD107" s="1018"/>
      <c r="CE107" s="1018"/>
      <c r="CF107" s="1018"/>
      <c r="CG107" s="1018"/>
      <c r="CH107" s="1018"/>
      <c r="CI107" s="1011"/>
      <c r="CJ107" s="1011"/>
      <c r="CK107" s="1011"/>
      <c r="CL107" s="1011"/>
      <c r="CM107" s="1011"/>
      <c r="CN107" s="1011"/>
      <c r="CO107" s="1011"/>
      <c r="CP107" s="1011"/>
      <c r="CQ107" s="1011"/>
      <c r="CR107" s="1011"/>
      <c r="CS107" s="1011"/>
      <c r="CT107" s="1011"/>
      <c r="CU107" s="1011"/>
      <c r="CV107" s="1011"/>
      <c r="CW107" s="1011"/>
      <c r="CX107" s="1011"/>
      <c r="CY107" s="1011"/>
      <c r="CZ107" s="1011"/>
      <c r="DA107" s="1011"/>
      <c r="DB107" s="1011"/>
      <c r="DC107" s="1011"/>
      <c r="DD107" s="1011"/>
      <c r="DE107" s="1011"/>
      <c r="DF107" s="1011"/>
      <c r="DG107" s="1011"/>
      <c r="DH107" s="1011"/>
      <c r="DI107" s="1011"/>
      <c r="DJ107" s="1011"/>
      <c r="DK107" s="1011"/>
      <c r="DL107" s="1011"/>
      <c r="DM107" s="1011"/>
      <c r="DN107" s="1011"/>
      <c r="DO107" s="1011"/>
      <c r="DP107" s="1011"/>
      <c r="DQ107" s="1011"/>
      <c r="DR107" s="1011"/>
      <c r="DS107" s="1011"/>
      <c r="DT107" s="1011"/>
      <c r="DU107" s="1011"/>
      <c r="DV107" s="1011"/>
      <c r="DW107" s="1011"/>
      <c r="DX107" s="1011"/>
      <c r="DY107" s="1011"/>
      <c r="DZ107" s="1011"/>
      <c r="EA107" s="1011"/>
      <c r="EB107" s="1011"/>
      <c r="EC107" s="1011"/>
      <c r="ED107" s="1011"/>
      <c r="EE107" s="1011"/>
      <c r="EF107" s="1011"/>
      <c r="EG107" s="1011"/>
      <c r="EH107" s="1011"/>
      <c r="EI107" s="1011"/>
      <c r="EJ107" s="1011"/>
      <c r="EK107" s="1011"/>
      <c r="EL107" s="1011"/>
      <c r="EM107" s="1011"/>
      <c r="EN107" s="1011"/>
      <c r="EO107" s="1011"/>
      <c r="EP107" s="1011"/>
      <c r="EQ107" s="1011"/>
      <c r="ER107" s="1011"/>
      <c r="ES107" s="1011"/>
      <c r="ET107" s="1011"/>
      <c r="EU107" s="1011"/>
      <c r="EV107" s="1011"/>
      <c r="EW107" s="1011"/>
      <c r="EX107" s="1011"/>
      <c r="EY107" s="1011"/>
      <c r="EZ107" s="231" t="s">
        <v>271</v>
      </c>
      <c r="FA107" s="235">
        <v>2.35E-2</v>
      </c>
      <c r="FB107" s="238">
        <v>2.1000000000000001E-2</v>
      </c>
      <c r="FC107" s="231" t="s">
        <v>365</v>
      </c>
      <c r="FD107" s="235"/>
      <c r="FE107" s="238"/>
      <c r="FF107" s="282"/>
      <c r="FG107" s="231"/>
      <c r="FH107" s="236"/>
      <c r="FI107" s="236"/>
      <c r="FJ107" s="236"/>
      <c r="FK107" s="236"/>
      <c r="FL107" s="235"/>
      <c r="FM107" s="235"/>
      <c r="FN107" s="235"/>
      <c r="FO107" s="235"/>
      <c r="FP107" s="235"/>
      <c r="FQ107" s="235"/>
      <c r="FR107" s="235"/>
      <c r="FS107" s="235"/>
      <c r="FT107" s="235"/>
      <c r="FU107" s="235"/>
      <c r="FV107" s="235"/>
      <c r="FW107" s="235">
        <v>2.1000000000000001E-2</v>
      </c>
      <c r="FX107" s="235"/>
      <c r="FY107" s="1011"/>
      <c r="FZ107" s="1011"/>
      <c r="GA107" s="1011"/>
      <c r="GB107" s="1011"/>
      <c r="GC107" s="1011"/>
      <c r="GD107" s="1011"/>
      <c r="GE107" s="1011"/>
      <c r="GF107" s="1011"/>
      <c r="GG107" s="1011"/>
      <c r="GH107" s="1011"/>
      <c r="GI107" s="1011"/>
      <c r="GJ107" s="1011"/>
      <c r="GK107" s="1011"/>
      <c r="GL107" s="1011"/>
      <c r="GM107" s="1011"/>
      <c r="GN107" s="1011"/>
      <c r="GO107" s="1011"/>
      <c r="GP107" s="1011"/>
      <c r="GQ107" s="1011"/>
      <c r="GR107" s="1011"/>
      <c r="GS107" s="1011"/>
      <c r="GT107" s="1011"/>
      <c r="GU107" s="1011"/>
      <c r="GV107" s="1011"/>
      <c r="GW107" s="1011"/>
      <c r="GX107" s="1011"/>
      <c r="GY107" s="1011"/>
      <c r="GZ107" s="1011"/>
      <c r="HA107" s="1011"/>
      <c r="HB107" s="1011"/>
      <c r="HC107" s="1011"/>
      <c r="HD107" s="1011"/>
      <c r="HE107" s="1011"/>
      <c r="HF107" s="942"/>
      <c r="HG107" s="281"/>
    </row>
    <row r="108" spans="1:216" ht="15.75" customHeight="1">
      <c r="A108" s="961"/>
      <c r="B108" s="308" t="s">
        <v>793</v>
      </c>
      <c r="C108" s="799" t="s">
        <v>124</v>
      </c>
      <c r="D108" s="799" t="s">
        <v>124</v>
      </c>
      <c r="E108" s="799" t="s">
        <v>124</v>
      </c>
      <c r="F108" s="799">
        <v>1.2880000000000001E-2</v>
      </c>
      <c r="G108" s="799">
        <v>1.2880000000000001E-2</v>
      </c>
      <c r="H108" s="796">
        <v>1.2880000000000001E-2</v>
      </c>
      <c r="I108" s="573"/>
      <c r="J108" s="573"/>
      <c r="K108" s="573"/>
      <c r="L108" s="573"/>
      <c r="M108" s="573"/>
      <c r="N108" s="573"/>
      <c r="O108" s="574"/>
      <c r="P108" s="573"/>
      <c r="Q108" s="573"/>
      <c r="R108" s="573"/>
      <c r="S108" s="573"/>
      <c r="T108" s="573"/>
      <c r="U108" s="573"/>
      <c r="V108" s="573"/>
      <c r="W108" s="573"/>
      <c r="X108" s="573"/>
      <c r="Y108" s="573"/>
      <c r="Z108" s="573"/>
      <c r="AA108" s="573"/>
      <c r="AB108" s="573"/>
      <c r="AC108" s="574"/>
      <c r="AD108" s="573"/>
      <c r="AE108" s="574"/>
      <c r="AF108" s="574"/>
      <c r="AG108" s="574"/>
      <c r="AH108" s="575"/>
      <c r="AI108" s="574"/>
      <c r="AJ108" s="573"/>
      <c r="AK108" s="575"/>
      <c r="AL108" s="574"/>
      <c r="AM108" s="574"/>
      <c r="AN108" s="574"/>
      <c r="AO108" s="574"/>
      <c r="AP108" s="576"/>
      <c r="AQ108" s="577"/>
      <c r="AR108" s="577"/>
      <c r="AS108" s="577"/>
      <c r="AT108" s="332"/>
      <c r="AU108" s="332"/>
      <c r="AV108" s="332"/>
      <c r="AW108" s="332"/>
      <c r="AX108" s="578"/>
      <c r="AY108" s="332"/>
      <c r="AZ108" s="578"/>
      <c r="BA108" s="332"/>
      <c r="BB108" s="578"/>
      <c r="BC108" s="332"/>
      <c r="BD108" s="332"/>
      <c r="BE108" s="332"/>
      <c r="BF108" s="332"/>
      <c r="BG108" s="578"/>
      <c r="BH108" s="332"/>
      <c r="BI108" s="332"/>
      <c r="BJ108" s="332"/>
      <c r="BK108" s="332"/>
      <c r="BL108" s="332"/>
      <c r="BM108" s="578"/>
      <c r="BN108" s="332"/>
      <c r="BO108" s="332"/>
      <c r="BP108" s="332"/>
      <c r="BQ108" s="578"/>
      <c r="BR108" s="332"/>
      <c r="BS108" s="332"/>
      <c r="BT108" s="332"/>
      <c r="BU108" s="332"/>
      <c r="BV108" s="332"/>
      <c r="BW108" s="332"/>
      <c r="BX108" s="332"/>
      <c r="BY108" s="332"/>
      <c r="BZ108" s="332"/>
      <c r="CA108" s="332"/>
      <c r="CB108" s="332"/>
      <c r="CC108" s="332"/>
      <c r="CD108" s="332"/>
      <c r="CE108" s="332"/>
      <c r="CF108" s="332"/>
      <c r="CG108" s="332"/>
      <c r="CH108" s="332"/>
      <c r="CI108" s="261"/>
      <c r="CJ108" s="261"/>
      <c r="CK108" s="261"/>
      <c r="CL108" s="261"/>
      <c r="CM108" s="261"/>
      <c r="CN108" s="261"/>
      <c r="CO108" s="261"/>
      <c r="CP108" s="261"/>
      <c r="CQ108" s="261"/>
      <c r="CR108" s="261"/>
      <c r="CS108" s="261"/>
      <c r="CT108" s="261"/>
      <c r="CU108" s="261"/>
      <c r="CV108" s="261"/>
      <c r="CW108" s="261"/>
      <c r="CX108" s="261"/>
      <c r="CY108" s="261"/>
      <c r="CZ108" s="261"/>
      <c r="DA108" s="261"/>
      <c r="DB108" s="261"/>
      <c r="DC108" s="261"/>
      <c r="DD108" s="261"/>
      <c r="DE108" s="261"/>
      <c r="DF108" s="261"/>
      <c r="DG108" s="261"/>
      <c r="DH108" s="261"/>
      <c r="DI108" s="261"/>
      <c r="DJ108" s="261"/>
      <c r="DK108" s="261"/>
      <c r="DL108" s="261"/>
      <c r="DM108" s="261"/>
      <c r="DN108" s="261"/>
      <c r="DO108" s="261"/>
      <c r="DP108" s="261"/>
      <c r="DQ108" s="261"/>
      <c r="DR108" s="261"/>
      <c r="DS108" s="261"/>
      <c r="DT108" s="261"/>
      <c r="DU108" s="261"/>
      <c r="DV108" s="261"/>
      <c r="DW108" s="261"/>
      <c r="DX108" s="261"/>
      <c r="DY108" s="261"/>
      <c r="DZ108" s="261"/>
      <c r="EA108" s="261"/>
      <c r="EB108" s="261"/>
      <c r="EC108" s="261"/>
      <c r="ED108" s="261"/>
      <c r="EE108" s="261"/>
      <c r="EF108" s="261"/>
      <c r="EG108" s="261"/>
      <c r="EH108" s="261"/>
      <c r="EI108" s="261"/>
      <c r="EJ108" s="261"/>
      <c r="EK108" s="261"/>
      <c r="EL108" s="261"/>
      <c r="EM108" s="261"/>
      <c r="EN108" s="261"/>
      <c r="EO108" s="261"/>
      <c r="EP108" s="261"/>
      <c r="EQ108" s="261"/>
      <c r="ER108" s="261"/>
      <c r="ES108" s="261"/>
      <c r="ET108" s="261"/>
      <c r="EU108" s="261"/>
      <c r="EV108" s="261"/>
      <c r="EW108" s="261"/>
      <c r="EX108" s="261"/>
      <c r="EY108" s="261"/>
      <c r="EZ108" s="231"/>
      <c r="FA108" s="235"/>
      <c r="FB108" s="238"/>
      <c r="FC108" s="231"/>
      <c r="FD108" s="235"/>
      <c r="FE108" s="238"/>
      <c r="FF108" s="282"/>
      <c r="FG108" s="231"/>
      <c r="FH108" s="236"/>
      <c r="FI108" s="236"/>
      <c r="FJ108" s="236"/>
      <c r="FK108" s="236"/>
      <c r="FL108" s="235"/>
      <c r="FM108" s="235"/>
      <c r="FN108" s="235"/>
      <c r="FO108" s="235"/>
      <c r="FP108" s="235"/>
      <c r="FQ108" s="235"/>
      <c r="FR108" s="235"/>
      <c r="FS108" s="235"/>
      <c r="FT108" s="235"/>
      <c r="FU108" s="235"/>
      <c r="FV108" s="235"/>
      <c r="FW108" s="235"/>
      <c r="FX108" s="235"/>
      <c r="FY108" s="261"/>
      <c r="FZ108" s="261"/>
      <c r="GA108" s="261"/>
      <c r="GB108" s="261"/>
      <c r="GC108" s="261"/>
      <c r="GD108" s="261"/>
      <c r="GE108" s="261"/>
      <c r="GF108" s="261"/>
      <c r="GG108" s="261"/>
      <c r="GH108" s="261"/>
      <c r="GI108" s="261"/>
      <c r="GJ108" s="261"/>
      <c r="GK108" s="261"/>
      <c r="GL108" s="261"/>
      <c r="GM108" s="261"/>
      <c r="GN108" s="261"/>
      <c r="GO108" s="261"/>
      <c r="GP108" s="261"/>
      <c r="GQ108" s="261"/>
      <c r="GR108" s="261"/>
      <c r="GS108" s="261"/>
      <c r="GT108" s="261"/>
      <c r="GU108" s="261"/>
      <c r="GV108" s="261"/>
      <c r="GW108" s="261"/>
      <c r="GX108" s="261"/>
      <c r="GY108" s="261"/>
      <c r="GZ108" s="261"/>
      <c r="HA108" s="261"/>
      <c r="HB108" s="261"/>
      <c r="HC108" s="261"/>
      <c r="HD108" s="261"/>
      <c r="HE108" s="261"/>
      <c r="HF108" s="717" t="e">
        <f>C108-D108</f>
        <v>#VALUE!</v>
      </c>
      <c r="HG108" s="281" t="s">
        <v>792</v>
      </c>
      <c r="HH108" s="834" t="s">
        <v>820</v>
      </c>
    </row>
    <row r="109" spans="1:216" ht="24" customHeight="1">
      <c r="A109" s="670" t="s">
        <v>12</v>
      </c>
      <c r="B109" s="280" t="s">
        <v>774</v>
      </c>
      <c r="C109" s="280">
        <v>1.2999999999999999E-2</v>
      </c>
      <c r="D109" s="280">
        <v>1.2999999999999999E-2</v>
      </c>
      <c r="E109" s="280">
        <v>1.2999999999999999E-2</v>
      </c>
      <c r="F109" s="280">
        <v>1.2999999999999999E-2</v>
      </c>
      <c r="G109" s="280">
        <v>1.2999999999999999E-2</v>
      </c>
      <c r="H109" s="269">
        <v>1.2999999999999999E-2</v>
      </c>
      <c r="I109" s="280">
        <v>1.23E-2</v>
      </c>
      <c r="J109" s="280">
        <v>1.23E-2</v>
      </c>
      <c r="K109" s="280">
        <v>1.23E-2</v>
      </c>
      <c r="L109" s="280">
        <v>1.23E-2</v>
      </c>
      <c r="M109" s="280">
        <v>1.23E-2</v>
      </c>
      <c r="N109" s="280">
        <v>1.23E-2</v>
      </c>
      <c r="O109" s="269">
        <v>1.23E-2</v>
      </c>
      <c r="P109" s="280">
        <v>1.18E-2</v>
      </c>
      <c r="Q109" s="280">
        <v>1.18E-2</v>
      </c>
      <c r="R109" s="280">
        <v>1.18E-2</v>
      </c>
      <c r="S109" s="280">
        <v>1.18E-2</v>
      </c>
      <c r="T109" s="240">
        <v>1.18E-2</v>
      </c>
      <c r="U109" s="240">
        <v>1.18E-2</v>
      </c>
      <c r="V109" s="240">
        <v>1.18E-2</v>
      </c>
      <c r="W109" s="280">
        <v>1.18E-2</v>
      </c>
      <c r="X109" s="280">
        <v>1.18E-2</v>
      </c>
      <c r="Y109" s="269">
        <v>1.18E-2</v>
      </c>
      <c r="Z109" s="280">
        <v>1.2500000000000001E-2</v>
      </c>
      <c r="AA109" s="280">
        <v>1.2500000000000001E-2</v>
      </c>
      <c r="AB109" s="269">
        <v>1.2500000000000001E-2</v>
      </c>
      <c r="AC109" s="280">
        <v>1.4E-2</v>
      </c>
      <c r="AD109" s="269">
        <v>1.4E-2</v>
      </c>
      <c r="AE109" s="280">
        <v>1.4999999999999999E-2</v>
      </c>
      <c r="AF109" s="269">
        <v>1.4999999999999999E-2</v>
      </c>
      <c r="AG109" s="240">
        <v>1.55E-2</v>
      </c>
      <c r="AH109" s="269">
        <v>1.55E-2</v>
      </c>
      <c r="AI109" s="240">
        <v>1.6500000000000001E-2</v>
      </c>
      <c r="AJ109" s="280">
        <v>1.6500000000000001E-2</v>
      </c>
      <c r="AK109" s="269">
        <v>1.6500000000000001E-2</v>
      </c>
      <c r="AL109" s="280">
        <v>1.7999999999999999E-2</v>
      </c>
      <c r="AM109" s="269">
        <v>1.7999999999999999E-2</v>
      </c>
      <c r="AN109" s="269">
        <v>1.95E-2</v>
      </c>
      <c r="AO109" s="240">
        <v>2.0500000000000001E-2</v>
      </c>
      <c r="AP109" s="235">
        <v>2.0500000000000001E-2</v>
      </c>
      <c r="AQ109" s="235">
        <v>2.0500000000000001E-2</v>
      </c>
      <c r="AR109" s="279">
        <v>2.0500000000000001E-2</v>
      </c>
      <c r="AS109" s="279">
        <v>2.1999999999999999E-2</v>
      </c>
      <c r="AT109" s="235">
        <v>2.4E-2</v>
      </c>
      <c r="AU109" s="235">
        <v>2.4E-2</v>
      </c>
      <c r="AV109" s="235">
        <v>2.4E-2</v>
      </c>
      <c r="AW109" s="235">
        <v>2.4E-2</v>
      </c>
      <c r="AX109" s="235">
        <v>2.4E-2</v>
      </c>
      <c r="AY109" s="235">
        <v>2.4E-2</v>
      </c>
      <c r="AZ109" s="279">
        <v>2.4E-2</v>
      </c>
      <c r="BA109" s="235">
        <v>2.5000000000000001E-2</v>
      </c>
      <c r="BB109" s="235">
        <v>2.5000000000000001E-2</v>
      </c>
      <c r="BC109" s="235">
        <v>2.5000000000000001E-2</v>
      </c>
      <c r="BD109" s="235">
        <v>2.5000000000000001E-2</v>
      </c>
      <c r="BE109" s="235">
        <v>2.6499999999999999E-2</v>
      </c>
      <c r="BF109" s="235">
        <v>2.6499999999999999E-2</v>
      </c>
      <c r="BG109" s="279">
        <v>2.6499999999999999E-2</v>
      </c>
      <c r="BH109" s="235">
        <v>2.7E-2</v>
      </c>
      <c r="BI109" s="235">
        <v>2.7E-2</v>
      </c>
      <c r="BJ109" s="235">
        <v>2.7E-2</v>
      </c>
      <c r="BK109" s="235">
        <v>2.7E-2</v>
      </c>
      <c r="BL109" s="279">
        <v>2.7E-2</v>
      </c>
      <c r="BM109" s="235">
        <v>2.75E-2</v>
      </c>
      <c r="BN109" s="235">
        <v>2.75E-2</v>
      </c>
      <c r="BO109" s="235">
        <v>2.75E-2</v>
      </c>
      <c r="BP109" s="235">
        <v>2.75E-2</v>
      </c>
      <c r="BQ109" s="235">
        <v>2.75E-2</v>
      </c>
      <c r="BR109" s="235">
        <v>2.75E-2</v>
      </c>
      <c r="BS109" s="235">
        <v>2.75E-2</v>
      </c>
      <c r="BT109" s="235">
        <v>2.75E-2</v>
      </c>
      <c r="BU109" s="235">
        <v>2.75E-2</v>
      </c>
      <c r="BV109" s="235">
        <v>2.75E-2</v>
      </c>
      <c r="BW109" s="235">
        <v>2.75E-2</v>
      </c>
      <c r="BX109" s="235">
        <v>2.75E-2</v>
      </c>
      <c r="BY109" s="235">
        <v>2.75E-2</v>
      </c>
      <c r="BZ109" s="235">
        <v>2.8500000000000001E-2</v>
      </c>
      <c r="CA109" s="235">
        <v>2.8500000000000001E-2</v>
      </c>
      <c r="CB109" s="235">
        <v>2.75E-2</v>
      </c>
      <c r="CC109" s="235">
        <v>2.75E-2</v>
      </c>
      <c r="CD109" s="235">
        <v>0.03</v>
      </c>
      <c r="CE109" s="235">
        <v>0.03</v>
      </c>
      <c r="CF109" s="235" t="s">
        <v>124</v>
      </c>
      <c r="CG109" s="235">
        <v>3.2500000000000001E-2</v>
      </c>
      <c r="CH109" s="235">
        <v>3.2500000000000001E-2</v>
      </c>
      <c r="CI109" s="277">
        <v>3.2500000000000001E-2</v>
      </c>
      <c r="CJ109" s="235">
        <v>3.2500000000000001E-2</v>
      </c>
      <c r="CK109" s="235">
        <v>3.2000000000000001E-2</v>
      </c>
      <c r="CL109" s="235">
        <v>3.2000000000000001E-2</v>
      </c>
      <c r="CM109" s="235">
        <v>3.2000000000000001E-2</v>
      </c>
      <c r="CN109" s="235">
        <v>3.2000000000000001E-2</v>
      </c>
      <c r="CO109" s="235">
        <v>3.2000000000000001E-2</v>
      </c>
      <c r="CP109" s="235">
        <v>3.2000000000000001E-2</v>
      </c>
      <c r="CQ109" s="235">
        <v>3.2000000000000001E-2</v>
      </c>
      <c r="CR109" s="235">
        <v>3.2000000000000001E-2</v>
      </c>
      <c r="CS109" s="235">
        <v>3.2000000000000001E-2</v>
      </c>
      <c r="CT109" s="235">
        <v>3.2000000000000001E-2</v>
      </c>
      <c r="CU109" s="235">
        <v>3.2000000000000001E-2</v>
      </c>
      <c r="CV109" s="235">
        <v>3.2000000000000001E-2</v>
      </c>
      <c r="CW109" s="235">
        <v>3.2000000000000001E-2</v>
      </c>
      <c r="CX109" s="235">
        <v>3.2000000000000001E-2</v>
      </c>
      <c r="CY109" s="235">
        <v>3.2000000000000001E-2</v>
      </c>
      <c r="CZ109" s="235">
        <v>3.2000000000000001E-2</v>
      </c>
      <c r="DA109" s="235">
        <v>3.2000000000000001E-2</v>
      </c>
      <c r="DB109" s="235">
        <v>3.2000000000000001E-2</v>
      </c>
      <c r="DC109" s="235">
        <v>3.2000000000000001E-2</v>
      </c>
      <c r="DD109" s="235">
        <v>3.2000000000000001E-2</v>
      </c>
      <c r="DE109" s="235">
        <v>3.2000000000000001E-2</v>
      </c>
      <c r="DF109" s="235" t="s">
        <v>124</v>
      </c>
      <c r="DG109" s="235" t="s">
        <v>124</v>
      </c>
      <c r="DH109" s="235" t="s">
        <v>124</v>
      </c>
      <c r="DI109" s="235" t="s">
        <v>124</v>
      </c>
      <c r="DJ109" s="235" t="s">
        <v>124</v>
      </c>
      <c r="DK109" s="235" t="s">
        <v>124</v>
      </c>
      <c r="DL109" s="235" t="s">
        <v>124</v>
      </c>
      <c r="DM109" s="235" t="s">
        <v>124</v>
      </c>
      <c r="DN109" s="235" t="s">
        <v>124</v>
      </c>
      <c r="DO109" s="235" t="s">
        <v>124</v>
      </c>
      <c r="DP109" s="235" t="s">
        <v>124</v>
      </c>
      <c r="DQ109" s="235" t="s">
        <v>124</v>
      </c>
      <c r="DR109" s="235" t="s">
        <v>124</v>
      </c>
      <c r="DS109" s="235" t="s">
        <v>124</v>
      </c>
      <c r="DT109" s="235" t="s">
        <v>124</v>
      </c>
      <c r="DU109" s="235" t="s">
        <v>124</v>
      </c>
      <c r="DV109" s="235" t="s">
        <v>124</v>
      </c>
      <c r="DW109" s="235" t="s">
        <v>124</v>
      </c>
      <c r="DX109" s="235" t="s">
        <v>124</v>
      </c>
      <c r="DY109" s="224">
        <v>3.4500000000000003E-2</v>
      </c>
      <c r="DZ109" s="224">
        <v>3.4500000000000003E-2</v>
      </c>
      <c r="EA109" s="224">
        <v>3.4500000000000003E-2</v>
      </c>
      <c r="EB109" s="224">
        <v>3.4500000000000003E-2</v>
      </c>
      <c r="EC109" s="224">
        <v>3.4500000000000003E-2</v>
      </c>
      <c r="ED109" s="224">
        <v>3.4500000000000003E-2</v>
      </c>
      <c r="EE109" s="224">
        <v>3.4500000000000003E-2</v>
      </c>
      <c r="EF109" s="224">
        <v>3.4500000000000003E-2</v>
      </c>
      <c r="EG109" s="224">
        <v>3.4500000000000003E-2</v>
      </c>
      <c r="EH109" s="224">
        <v>3.4500000000000003E-2</v>
      </c>
      <c r="EI109" s="224">
        <v>3.4500000000000003E-2</v>
      </c>
      <c r="EJ109" s="224">
        <v>3.4500000000000003E-2</v>
      </c>
      <c r="EK109" s="224">
        <v>3.4500000000000003E-2</v>
      </c>
      <c r="EL109" s="224">
        <v>3.4500000000000003E-2</v>
      </c>
      <c r="EM109" s="224">
        <v>3.4500000000000003E-2</v>
      </c>
      <c r="EN109" s="224">
        <v>3.4500000000000003E-2</v>
      </c>
      <c r="EO109" s="224">
        <v>3.4500000000000003E-2</v>
      </c>
      <c r="EP109" s="224">
        <v>3.4500000000000003E-2</v>
      </c>
      <c r="EQ109" s="224">
        <v>3.5000000000000003E-2</v>
      </c>
      <c r="ER109" s="224">
        <v>3.5000000000000003E-2</v>
      </c>
      <c r="ES109" s="224">
        <v>3.7999999999999999E-2</v>
      </c>
      <c r="ET109" s="224">
        <v>3.7999999999999999E-2</v>
      </c>
      <c r="EU109" s="224">
        <v>3.7999999999999999E-2</v>
      </c>
      <c r="EV109" s="224">
        <v>3.7999999999999999E-2</v>
      </c>
      <c r="EW109" s="224">
        <v>3.7999999999999999E-2</v>
      </c>
      <c r="EX109" s="224">
        <v>3.7999999999999999E-2</v>
      </c>
      <c r="EY109" s="224">
        <v>3.7999999999999999E-2</v>
      </c>
      <c r="EZ109" s="231" t="s">
        <v>364</v>
      </c>
      <c r="FA109" s="235">
        <v>1.7999999999999999E-2</v>
      </c>
      <c r="FB109" s="254">
        <v>1.7999999999999999E-2</v>
      </c>
      <c r="FC109" s="231" t="s">
        <v>275</v>
      </c>
      <c r="FD109" s="235">
        <v>5.0000000000000001E-3</v>
      </c>
      <c r="FE109" s="254">
        <v>5.0000000000000001E-3</v>
      </c>
      <c r="FF109" s="237" t="s">
        <v>363</v>
      </c>
      <c r="FG109" s="231"/>
      <c r="FH109" s="253">
        <v>5.0000000000000001E-3</v>
      </c>
      <c r="FI109" s="253">
        <v>5.0000000000000001E-3</v>
      </c>
      <c r="FJ109" s="253">
        <v>5.0000000000000001E-3</v>
      </c>
      <c r="FK109" s="253">
        <v>5.0000000000000001E-3</v>
      </c>
      <c r="FL109" s="235">
        <v>5.0000000000000001E-3</v>
      </c>
      <c r="FM109" s="235">
        <v>5.0000000000000001E-3</v>
      </c>
      <c r="FN109" s="235">
        <v>1.7999999999999999E-2</v>
      </c>
      <c r="FO109" s="235">
        <v>1.7999999999999999E-2</v>
      </c>
      <c r="FP109" s="235">
        <v>1.7999999999999999E-2</v>
      </c>
      <c r="FQ109" s="235">
        <v>1.7999999999999999E-2</v>
      </c>
      <c r="FR109" s="235">
        <v>1.7999999999999999E-2</v>
      </c>
      <c r="FS109" s="235">
        <v>1.7999999999999999E-2</v>
      </c>
      <c r="FT109" s="235">
        <v>1.7999999999999999E-2</v>
      </c>
      <c r="FU109" s="235">
        <v>1.7999999999999999E-2</v>
      </c>
      <c r="FV109" s="235">
        <v>1.7999999999999999E-2</v>
      </c>
      <c r="FW109" s="235">
        <v>1.7999999999999999E-2</v>
      </c>
      <c r="FX109" s="235">
        <v>1.7999999999999999E-2</v>
      </c>
      <c r="FY109" s="278" t="s">
        <v>124</v>
      </c>
      <c r="FZ109" s="224">
        <v>3.7999999999999999E-2</v>
      </c>
      <c r="GA109" s="224">
        <v>3.7999999999999999E-2</v>
      </c>
      <c r="GB109" s="224">
        <v>3.7999999999999999E-2</v>
      </c>
      <c r="GC109" s="224">
        <v>3.7999999999999999E-2</v>
      </c>
      <c r="GD109" s="224">
        <v>3.7999999999999999E-2</v>
      </c>
      <c r="GE109" s="224">
        <v>3.7999999999999999E-2</v>
      </c>
      <c r="GF109" s="224">
        <v>3.7999999999999999E-2</v>
      </c>
      <c r="GG109" s="224">
        <v>3.7999999999999999E-2</v>
      </c>
      <c r="GH109" s="224">
        <v>3.7999999999999999E-2</v>
      </c>
      <c r="GI109" s="224">
        <v>3.7999999999999999E-2</v>
      </c>
      <c r="GJ109" s="224">
        <v>4.4999999999999998E-2</v>
      </c>
      <c r="GK109" s="224">
        <v>4.4999999999999998E-2</v>
      </c>
      <c r="GL109" s="224">
        <v>4.4999999999999998E-2</v>
      </c>
      <c r="GM109" s="224">
        <v>4.4999999999999998E-2</v>
      </c>
      <c r="GN109" s="224">
        <v>3.5000000000000003E-2</v>
      </c>
      <c r="GO109" s="224">
        <v>3.5000000000000003E-2</v>
      </c>
      <c r="GP109" s="224">
        <v>3.5000000000000003E-2</v>
      </c>
      <c r="GQ109" s="224">
        <v>3.5000000000000003E-2</v>
      </c>
      <c r="GR109" s="224">
        <v>3.1E-2</v>
      </c>
      <c r="GS109" s="224">
        <v>3.1E-2</v>
      </c>
      <c r="GT109" s="224">
        <v>3.1E-2</v>
      </c>
      <c r="GU109" s="224">
        <v>3.1E-2</v>
      </c>
      <c r="GV109" s="224">
        <v>2.8799999999999999E-2</v>
      </c>
      <c r="GW109" s="224">
        <v>2.8799999999999999E-2</v>
      </c>
      <c r="GX109" s="224">
        <v>2.8799999999999999E-2</v>
      </c>
      <c r="GY109" s="224">
        <v>2.8799999999999999E-2</v>
      </c>
      <c r="GZ109" s="224">
        <v>2.8799999999999999E-2</v>
      </c>
      <c r="HA109" s="224">
        <v>2.8799999999999999E-2</v>
      </c>
      <c r="HB109" s="224">
        <v>3.7999999999999999E-2</v>
      </c>
      <c r="HC109" s="224">
        <v>3.7999999999999999E-2</v>
      </c>
      <c r="HD109" s="224">
        <v>3.7999999999999999E-2</v>
      </c>
      <c r="HE109" s="224">
        <v>3.7999999999999999E-2</v>
      </c>
      <c r="HF109" s="178">
        <f>C109-D109</f>
        <v>0</v>
      </c>
      <c r="HG109" s="218" t="s">
        <v>595</v>
      </c>
    </row>
    <row r="110" spans="1:216" ht="15" customHeight="1">
      <c r="A110" s="1060" t="s">
        <v>31</v>
      </c>
      <c r="B110" s="917" t="s">
        <v>830</v>
      </c>
      <c r="C110" s="903">
        <v>1.2E-2</v>
      </c>
      <c r="D110" s="903">
        <v>1.2E-2</v>
      </c>
      <c r="E110" s="905">
        <v>1.2500000000000001E-2</v>
      </c>
      <c r="F110" s="907">
        <v>1.2500000000000001E-2</v>
      </c>
      <c r="G110" s="907">
        <v>1.2500000000000001E-2</v>
      </c>
      <c r="H110" s="907">
        <v>1.2500000000000001E-2</v>
      </c>
      <c r="I110" s="907">
        <v>1.2500000000000001E-2</v>
      </c>
      <c r="J110" s="907">
        <v>1.2500000000000001E-2</v>
      </c>
      <c r="K110" s="907">
        <v>1.2500000000000001E-2</v>
      </c>
      <c r="L110" s="907">
        <v>1.2500000000000001E-2</v>
      </c>
      <c r="M110" s="907">
        <v>1.2500000000000001E-2</v>
      </c>
      <c r="N110" s="907">
        <v>1.2500000000000001E-2</v>
      </c>
      <c r="O110" s="907">
        <v>1.2500000000000001E-2</v>
      </c>
      <c r="P110" s="907">
        <v>1.2500000000000001E-2</v>
      </c>
      <c r="Q110" s="991">
        <v>1.2500000000000001E-2</v>
      </c>
      <c r="R110" s="907">
        <v>1.2E-2</v>
      </c>
      <c r="S110" s="907">
        <v>1.2E-2</v>
      </c>
      <c r="T110" s="907">
        <v>1.2E-2</v>
      </c>
      <c r="U110" s="991">
        <v>1.2E-2</v>
      </c>
      <c r="V110" s="907">
        <v>1.0999999999999999E-2</v>
      </c>
      <c r="W110" s="907">
        <v>1.0999999999999999E-2</v>
      </c>
      <c r="X110" s="907">
        <v>1.0999999999999999E-2</v>
      </c>
      <c r="Y110" s="907">
        <v>1.0999999999999999E-2</v>
      </c>
      <c r="Z110" s="991">
        <v>1.0999999999999999E-2</v>
      </c>
      <c r="AA110" s="907">
        <v>1.2E-2</v>
      </c>
      <c r="AB110" s="907">
        <v>1.2E-2</v>
      </c>
      <c r="AC110" s="907">
        <v>1.2E-2</v>
      </c>
      <c r="AD110" s="907">
        <v>1.2E-2</v>
      </c>
      <c r="AE110" s="991">
        <v>1.2E-2</v>
      </c>
      <c r="AF110" s="990" t="s">
        <v>568</v>
      </c>
      <c r="AG110" s="991" t="s">
        <v>568</v>
      </c>
      <c r="AH110" s="990" t="s">
        <v>362</v>
      </c>
      <c r="AI110" s="990" t="s">
        <v>362</v>
      </c>
      <c r="AJ110" s="907" t="s">
        <v>362</v>
      </c>
      <c r="AK110" s="991" t="s">
        <v>362</v>
      </c>
      <c r="AL110" s="907" t="s">
        <v>361</v>
      </c>
      <c r="AM110" s="991" t="s">
        <v>361</v>
      </c>
      <c r="AN110" s="990" t="s">
        <v>360</v>
      </c>
      <c r="AO110" s="990" t="s">
        <v>360</v>
      </c>
      <c r="AP110" s="1009" t="s">
        <v>359</v>
      </c>
      <c r="AQ110" s="1009" t="s">
        <v>359</v>
      </c>
      <c r="AR110" s="1019" t="s">
        <v>359</v>
      </c>
      <c r="AS110" s="1019" t="s">
        <v>358</v>
      </c>
      <c r="AT110" s="1009" t="s">
        <v>357</v>
      </c>
      <c r="AU110" s="1019" t="s">
        <v>357</v>
      </c>
      <c r="AV110" s="1009">
        <v>2.1000000000000001E-2</v>
      </c>
      <c r="AW110" s="1009">
        <v>2.1000000000000001E-2</v>
      </c>
      <c r="AX110" s="1019">
        <v>2.1000000000000001E-2</v>
      </c>
      <c r="AY110" s="1009" t="s">
        <v>124</v>
      </c>
      <c r="AZ110" s="1009" t="s">
        <v>124</v>
      </c>
      <c r="BA110" s="1009" t="s">
        <v>124</v>
      </c>
      <c r="BB110" s="1019" t="s">
        <v>124</v>
      </c>
      <c r="BC110" s="1009">
        <v>2.5000000000000001E-2</v>
      </c>
      <c r="BD110" s="1009">
        <v>2.5000000000000001E-2</v>
      </c>
      <c r="BE110" s="1009">
        <v>2.5499999999999998E-2</v>
      </c>
      <c r="BF110" s="1009">
        <v>2.5499999999999998E-2</v>
      </c>
      <c r="BG110" s="1019">
        <v>2.5499999999999998E-2</v>
      </c>
      <c r="BH110" s="1009" t="s">
        <v>124</v>
      </c>
      <c r="BI110" s="1009" t="s">
        <v>124</v>
      </c>
      <c r="BJ110" s="1009" t="s">
        <v>124</v>
      </c>
      <c r="BK110" s="1009" t="s">
        <v>124</v>
      </c>
      <c r="BL110" s="1009" t="s">
        <v>124</v>
      </c>
      <c r="BM110" s="1009" t="s">
        <v>124</v>
      </c>
      <c r="BN110" s="1009" t="s">
        <v>124</v>
      </c>
      <c r="BO110" s="1009" t="s">
        <v>124</v>
      </c>
      <c r="BP110" s="1009" t="s">
        <v>124</v>
      </c>
      <c r="BQ110" s="1009" t="s">
        <v>124</v>
      </c>
      <c r="BR110" s="1009" t="s">
        <v>124</v>
      </c>
      <c r="BS110" s="1009" t="s">
        <v>124</v>
      </c>
      <c r="BT110" s="1009" t="s">
        <v>124</v>
      </c>
      <c r="BU110" s="1009" t="s">
        <v>124</v>
      </c>
      <c r="BV110" s="1009" t="s">
        <v>124</v>
      </c>
      <c r="BW110" s="1009" t="s">
        <v>124</v>
      </c>
      <c r="BX110" s="1009" t="s">
        <v>124</v>
      </c>
      <c r="BY110" s="1009" t="s">
        <v>124</v>
      </c>
      <c r="BZ110" s="1009" t="s">
        <v>124</v>
      </c>
      <c r="CA110" s="1009" t="s">
        <v>124</v>
      </c>
      <c r="CB110" s="1009" t="s">
        <v>124</v>
      </c>
      <c r="CC110" s="1009" t="s">
        <v>124</v>
      </c>
      <c r="CD110" s="1009" t="s">
        <v>124</v>
      </c>
      <c r="CE110" s="1009" t="s">
        <v>124</v>
      </c>
      <c r="CF110" s="1009" t="s">
        <v>124</v>
      </c>
      <c r="CG110" s="1009" t="s">
        <v>124</v>
      </c>
      <c r="CH110" s="1009" t="s">
        <v>124</v>
      </c>
      <c r="CI110" s="1007" t="s">
        <v>124</v>
      </c>
      <c r="CJ110" s="1009">
        <v>2.8000000000000001E-2</v>
      </c>
      <c r="CK110" s="1009">
        <v>2.8000000000000001E-2</v>
      </c>
      <c r="CL110" s="1009">
        <v>2.8000000000000001E-2</v>
      </c>
      <c r="CM110" s="1009">
        <v>2.8000000000000001E-2</v>
      </c>
      <c r="CN110" s="1009">
        <v>2.8000000000000001E-2</v>
      </c>
      <c r="CO110" s="1009">
        <v>2.8000000000000001E-2</v>
      </c>
      <c r="CP110" s="1009">
        <v>2.8000000000000001E-2</v>
      </c>
      <c r="CQ110" s="1009">
        <v>2.8000000000000001E-2</v>
      </c>
      <c r="CR110" s="1009">
        <v>2.8000000000000001E-2</v>
      </c>
      <c r="CS110" s="1009">
        <v>2.8000000000000001E-2</v>
      </c>
      <c r="CT110" s="1009">
        <v>2.8000000000000001E-2</v>
      </c>
      <c r="CU110" s="1009">
        <v>2.8000000000000001E-2</v>
      </c>
      <c r="CV110" s="1009">
        <v>2.8000000000000001E-2</v>
      </c>
      <c r="CW110" s="1009">
        <v>2.9000000000000001E-2</v>
      </c>
      <c r="CX110" s="1009" t="s">
        <v>356</v>
      </c>
      <c r="CY110" s="1009" t="s">
        <v>356</v>
      </c>
      <c r="CZ110" s="1009" t="s">
        <v>356</v>
      </c>
      <c r="DA110" s="1011">
        <v>0.03</v>
      </c>
      <c r="DB110" s="1011" t="s">
        <v>355</v>
      </c>
      <c r="DC110" s="1011" t="s">
        <v>355</v>
      </c>
      <c r="DD110" s="1011" t="s">
        <v>355</v>
      </c>
      <c r="DE110" s="1011" t="s">
        <v>354</v>
      </c>
      <c r="DF110" s="1011" t="s">
        <v>354</v>
      </c>
      <c r="DG110" s="1011" t="s">
        <v>354</v>
      </c>
      <c r="DH110" s="1011" t="s">
        <v>354</v>
      </c>
      <c r="DI110" s="1011">
        <v>3.1E-2</v>
      </c>
      <c r="DJ110" s="1011">
        <v>3.1E-2</v>
      </c>
      <c r="DK110" s="1011">
        <v>3.1E-2</v>
      </c>
      <c r="DL110" s="1011">
        <v>3.1E-2</v>
      </c>
      <c r="DM110" s="1011">
        <v>3.3000000000000002E-2</v>
      </c>
      <c r="DN110" s="1011">
        <v>3.3000000000000002E-2</v>
      </c>
      <c r="DO110" s="1011">
        <v>3.3000000000000002E-2</v>
      </c>
      <c r="DP110" s="1011">
        <v>3.3000000000000002E-2</v>
      </c>
      <c r="DQ110" s="1011">
        <v>3.3000000000000002E-2</v>
      </c>
      <c r="DR110" s="1011">
        <v>3.3500000000000002E-2</v>
      </c>
      <c r="DS110" s="1011">
        <v>3.3500000000000002E-2</v>
      </c>
      <c r="DT110" s="1011">
        <v>3.3500000000000002E-2</v>
      </c>
      <c r="DU110" s="1011">
        <v>3.3500000000000002E-2</v>
      </c>
      <c r="DV110" s="1011">
        <v>3.2000000000000001E-2</v>
      </c>
      <c r="DW110" s="1011">
        <v>3.2000000000000001E-2</v>
      </c>
      <c r="DX110" s="1011">
        <v>3.2000000000000001E-2</v>
      </c>
      <c r="DY110" s="1011" t="s">
        <v>124</v>
      </c>
      <c r="DZ110" s="1011" t="s">
        <v>353</v>
      </c>
      <c r="EA110" s="1011" t="s">
        <v>353</v>
      </c>
      <c r="EB110" s="1011" t="s">
        <v>353</v>
      </c>
      <c r="EC110" s="1011">
        <v>3.1E-2</v>
      </c>
      <c r="ED110" s="1011">
        <v>3.0499999999999999E-2</v>
      </c>
      <c r="EE110" s="1011" t="s">
        <v>124</v>
      </c>
      <c r="EF110" s="1011" t="s">
        <v>124</v>
      </c>
      <c r="EG110" s="1011" t="s">
        <v>124</v>
      </c>
      <c r="EH110" s="1011" t="s">
        <v>124</v>
      </c>
      <c r="EI110" s="1011">
        <v>3.0499999999999999E-2</v>
      </c>
      <c r="EJ110" s="1011">
        <v>3.0499999999999999E-2</v>
      </c>
      <c r="EK110" s="1011">
        <v>3.0499999999999999E-2</v>
      </c>
      <c r="EL110" s="1011">
        <v>3.0499999999999999E-2</v>
      </c>
      <c r="EM110" s="1011">
        <v>3.2800000000000003E-2</v>
      </c>
      <c r="EN110" s="1011">
        <v>3.2800000000000003E-2</v>
      </c>
      <c r="EO110" s="1011">
        <v>3.2800000000000003E-2</v>
      </c>
      <c r="EP110" s="1011">
        <v>3.2800000000000003E-2</v>
      </c>
      <c r="EQ110" s="1011">
        <v>3.2800000000000003E-2</v>
      </c>
      <c r="ER110" s="1011">
        <v>3.15E-2</v>
      </c>
      <c r="ES110" s="1011">
        <v>3.15E-2</v>
      </c>
      <c r="ET110" s="1011">
        <v>3.3000000000000002E-2</v>
      </c>
      <c r="EU110" s="1011">
        <v>3.3000000000000002E-2</v>
      </c>
      <c r="EV110" s="1011">
        <v>3.5000000000000003E-2</v>
      </c>
      <c r="EW110" s="1011">
        <v>3.5000000000000003E-2</v>
      </c>
      <c r="EX110" s="1011">
        <v>3.5000000000000003E-2</v>
      </c>
      <c r="EY110" s="231" t="s">
        <v>270</v>
      </c>
      <c r="EZ110" s="262" t="s">
        <v>352</v>
      </c>
      <c r="FA110" s="235"/>
      <c r="FB110" s="254"/>
      <c r="FC110" s="231"/>
      <c r="FD110" s="236"/>
      <c r="FE110" s="238"/>
      <c r="FF110" s="237"/>
      <c r="FG110" s="231"/>
      <c r="FH110" s="236"/>
      <c r="FI110" s="236"/>
      <c r="FJ110" s="236"/>
      <c r="FK110" s="236"/>
      <c r="FL110" s="236"/>
      <c r="FM110" s="236"/>
      <c r="FN110" s="235"/>
      <c r="FO110" s="235"/>
      <c r="FP110" s="235"/>
      <c r="FQ110" s="235"/>
      <c r="FR110" s="235"/>
      <c r="FS110" s="235"/>
      <c r="FT110" s="235"/>
      <c r="FU110" s="235"/>
      <c r="FV110" s="235"/>
      <c r="FW110" s="235"/>
      <c r="FX110" s="235"/>
      <c r="FY110" s="261"/>
      <c r="FZ110" s="261"/>
      <c r="GA110" s="261"/>
      <c r="GB110" s="261"/>
      <c r="GC110" s="261"/>
      <c r="GD110" s="261"/>
      <c r="GE110" s="261"/>
      <c r="GF110" s="261"/>
      <c r="GG110" s="261"/>
      <c r="GH110" s="261"/>
      <c r="GI110" s="261"/>
      <c r="GJ110" s="261"/>
      <c r="GK110" s="261"/>
      <c r="GL110" s="261"/>
      <c r="GM110" s="261"/>
      <c r="GN110" s="261"/>
      <c r="GO110" s="261"/>
      <c r="GP110" s="261"/>
      <c r="GQ110" s="261"/>
      <c r="GR110" s="261"/>
      <c r="GS110" s="261"/>
      <c r="GT110" s="261"/>
      <c r="GU110" s="261"/>
      <c r="GV110" s="261"/>
      <c r="GW110" s="261"/>
      <c r="GX110" s="261"/>
      <c r="GY110" s="261"/>
      <c r="GZ110" s="261"/>
      <c r="HA110" s="261"/>
      <c r="HB110" s="261"/>
      <c r="HC110" s="261"/>
      <c r="HD110" s="261"/>
      <c r="HE110" s="261"/>
      <c r="HF110" s="941">
        <f>C110-D110</f>
        <v>0</v>
      </c>
      <c r="HG110" s="218" t="s">
        <v>781</v>
      </c>
    </row>
    <row r="111" spans="1:216" ht="15.6">
      <c r="A111" s="1060"/>
      <c r="B111" s="927"/>
      <c r="C111" s="904"/>
      <c r="D111" s="904"/>
      <c r="E111" s="906"/>
      <c r="F111" s="908"/>
      <c r="G111" s="908"/>
      <c r="H111" s="908"/>
      <c r="I111" s="908"/>
      <c r="J111" s="908"/>
      <c r="K111" s="908"/>
      <c r="L111" s="908"/>
      <c r="M111" s="908"/>
      <c r="N111" s="908"/>
      <c r="O111" s="908"/>
      <c r="P111" s="908"/>
      <c r="Q111" s="992"/>
      <c r="R111" s="908"/>
      <c r="S111" s="908"/>
      <c r="T111" s="908"/>
      <c r="U111" s="992"/>
      <c r="V111" s="908"/>
      <c r="W111" s="908"/>
      <c r="X111" s="908"/>
      <c r="Y111" s="908"/>
      <c r="Z111" s="992"/>
      <c r="AA111" s="908"/>
      <c r="AB111" s="908"/>
      <c r="AC111" s="908"/>
      <c r="AD111" s="908"/>
      <c r="AE111" s="992"/>
      <c r="AF111" s="953"/>
      <c r="AG111" s="992"/>
      <c r="AH111" s="953"/>
      <c r="AI111" s="953"/>
      <c r="AJ111" s="908"/>
      <c r="AK111" s="992"/>
      <c r="AL111" s="908"/>
      <c r="AM111" s="992"/>
      <c r="AN111" s="953"/>
      <c r="AO111" s="953"/>
      <c r="AP111" s="1011"/>
      <c r="AQ111" s="1011"/>
      <c r="AR111" s="1020"/>
      <c r="AS111" s="1020"/>
      <c r="AT111" s="1011"/>
      <c r="AU111" s="1020"/>
      <c r="AV111" s="1011"/>
      <c r="AW111" s="1011"/>
      <c r="AX111" s="1020"/>
      <c r="AY111" s="1011"/>
      <c r="AZ111" s="1011"/>
      <c r="BA111" s="1011"/>
      <c r="BB111" s="1020"/>
      <c r="BC111" s="1011"/>
      <c r="BD111" s="1011"/>
      <c r="BE111" s="1011"/>
      <c r="BF111" s="1011"/>
      <c r="BG111" s="1020"/>
      <c r="BH111" s="1011"/>
      <c r="BI111" s="1011"/>
      <c r="BJ111" s="1011"/>
      <c r="BK111" s="1011"/>
      <c r="BL111" s="1011"/>
      <c r="BM111" s="1011"/>
      <c r="BN111" s="1011"/>
      <c r="BO111" s="1011"/>
      <c r="BP111" s="1011"/>
      <c r="BQ111" s="1011"/>
      <c r="BR111" s="1011"/>
      <c r="BS111" s="1011"/>
      <c r="BT111" s="1011"/>
      <c r="BU111" s="1011"/>
      <c r="BV111" s="1011"/>
      <c r="BW111" s="1011"/>
      <c r="BX111" s="1011"/>
      <c r="BY111" s="1011"/>
      <c r="BZ111" s="1011"/>
      <c r="CA111" s="1011"/>
      <c r="CB111" s="1011"/>
      <c r="CC111" s="1011"/>
      <c r="CD111" s="1011"/>
      <c r="CE111" s="1011"/>
      <c r="CF111" s="1011"/>
      <c r="CG111" s="1011"/>
      <c r="CH111" s="1011"/>
      <c r="CI111" s="1027"/>
      <c r="CJ111" s="1011"/>
      <c r="CK111" s="1011"/>
      <c r="CL111" s="1011"/>
      <c r="CM111" s="1011"/>
      <c r="CN111" s="1011"/>
      <c r="CO111" s="1011"/>
      <c r="CP111" s="1011"/>
      <c r="CQ111" s="1011"/>
      <c r="CR111" s="1011"/>
      <c r="CS111" s="1011"/>
      <c r="CT111" s="1011"/>
      <c r="CU111" s="1011"/>
      <c r="CV111" s="1011"/>
      <c r="CW111" s="1011"/>
      <c r="CX111" s="1011"/>
      <c r="CY111" s="1011"/>
      <c r="CZ111" s="1011"/>
      <c r="DA111" s="1011"/>
      <c r="DB111" s="1011"/>
      <c r="DC111" s="1011"/>
      <c r="DD111" s="1011"/>
      <c r="DE111" s="1011"/>
      <c r="DF111" s="1011"/>
      <c r="DG111" s="1011"/>
      <c r="DH111" s="1011"/>
      <c r="DI111" s="1011"/>
      <c r="DJ111" s="1011"/>
      <c r="DK111" s="1011"/>
      <c r="DL111" s="1011"/>
      <c r="DM111" s="1011"/>
      <c r="DN111" s="1011"/>
      <c r="DO111" s="1011"/>
      <c r="DP111" s="1011"/>
      <c r="DQ111" s="1011"/>
      <c r="DR111" s="1011"/>
      <c r="DS111" s="1011"/>
      <c r="DT111" s="1011"/>
      <c r="DU111" s="1011"/>
      <c r="DV111" s="1011"/>
      <c r="DW111" s="1011"/>
      <c r="DX111" s="1011"/>
      <c r="DY111" s="1011"/>
      <c r="DZ111" s="1011"/>
      <c r="EA111" s="1011"/>
      <c r="EB111" s="1011"/>
      <c r="EC111" s="1011"/>
      <c r="ED111" s="1011"/>
      <c r="EE111" s="1011"/>
      <c r="EF111" s="1011"/>
      <c r="EG111" s="1011"/>
      <c r="EH111" s="1011"/>
      <c r="EI111" s="1011"/>
      <c r="EJ111" s="1011"/>
      <c r="EK111" s="1011"/>
      <c r="EL111" s="1011"/>
      <c r="EM111" s="1011"/>
      <c r="EN111" s="1011"/>
      <c r="EO111" s="1011"/>
      <c r="EP111" s="1011"/>
      <c r="EQ111" s="1011"/>
      <c r="ER111" s="1011"/>
      <c r="ES111" s="1011"/>
      <c r="ET111" s="1011"/>
      <c r="EU111" s="1011"/>
      <c r="EV111" s="1011"/>
      <c r="EW111" s="1011"/>
      <c r="EX111" s="1011"/>
      <c r="EY111" s="231" t="s">
        <v>74</v>
      </c>
      <c r="EZ111" s="262" t="s">
        <v>351</v>
      </c>
      <c r="FA111" s="235"/>
      <c r="FB111" s="254"/>
      <c r="FC111" s="231"/>
      <c r="FD111" s="236"/>
      <c r="FE111" s="238"/>
      <c r="FF111" s="237"/>
      <c r="FG111" s="231"/>
      <c r="FH111" s="236"/>
      <c r="FI111" s="236"/>
      <c r="FJ111" s="236"/>
      <c r="FK111" s="236"/>
      <c r="FL111" s="236"/>
      <c r="FM111" s="236"/>
      <c r="FN111" s="235"/>
      <c r="FO111" s="235"/>
      <c r="FP111" s="235"/>
      <c r="FQ111" s="235"/>
      <c r="FR111" s="235"/>
      <c r="FS111" s="235"/>
      <c r="FT111" s="235"/>
      <c r="FU111" s="235"/>
      <c r="FV111" s="235"/>
      <c r="FW111" s="235"/>
      <c r="FX111" s="235"/>
      <c r="FY111" s="261"/>
      <c r="FZ111" s="261"/>
      <c r="GA111" s="261"/>
      <c r="GB111" s="261"/>
      <c r="GC111" s="261"/>
      <c r="GD111" s="261"/>
      <c r="GE111" s="261"/>
      <c r="GF111" s="261"/>
      <c r="GG111" s="261"/>
      <c r="GH111" s="261"/>
      <c r="GI111" s="261"/>
      <c r="GJ111" s="261"/>
      <c r="GK111" s="261"/>
      <c r="GL111" s="261"/>
      <c r="GM111" s="261"/>
      <c r="GN111" s="261"/>
      <c r="GO111" s="261"/>
      <c r="GP111" s="261"/>
      <c r="GQ111" s="261"/>
      <c r="GR111" s="261"/>
      <c r="GS111" s="261"/>
      <c r="GT111" s="261"/>
      <c r="GU111" s="261"/>
      <c r="GV111" s="261"/>
      <c r="GW111" s="261"/>
      <c r="GX111" s="261"/>
      <c r="GY111" s="261"/>
      <c r="GZ111" s="261"/>
      <c r="HA111" s="261"/>
      <c r="HB111" s="261"/>
      <c r="HC111" s="261"/>
      <c r="HD111" s="261"/>
      <c r="HE111" s="261"/>
      <c r="HF111" s="942"/>
    </row>
    <row r="112" spans="1:216">
      <c r="A112" s="756" t="s">
        <v>50</v>
      </c>
      <c r="B112" s="280" t="s">
        <v>124</v>
      </c>
      <c r="C112" s="178" t="s">
        <v>124</v>
      </c>
      <c r="D112" s="178" t="s">
        <v>124</v>
      </c>
      <c r="E112" s="178" t="s">
        <v>124</v>
      </c>
      <c r="F112" s="178" t="s">
        <v>124</v>
      </c>
      <c r="G112" s="178" t="s">
        <v>124</v>
      </c>
      <c r="H112" s="178" t="s">
        <v>124</v>
      </c>
      <c r="I112" s="178" t="s">
        <v>124</v>
      </c>
      <c r="J112" s="178" t="s">
        <v>124</v>
      </c>
      <c r="K112" s="178" t="s">
        <v>124</v>
      </c>
      <c r="L112" s="178" t="s">
        <v>124</v>
      </c>
      <c r="M112" s="178" t="s">
        <v>124</v>
      </c>
      <c r="N112" s="280"/>
      <c r="O112" s="280"/>
      <c r="P112" s="280"/>
      <c r="Q112" s="280"/>
      <c r="R112" s="280"/>
      <c r="S112" s="280"/>
      <c r="T112" s="240"/>
      <c r="U112" s="240"/>
      <c r="V112" s="240" t="s">
        <v>572</v>
      </c>
      <c r="W112" s="272" t="s">
        <v>124</v>
      </c>
      <c r="X112" s="272" t="s">
        <v>124</v>
      </c>
      <c r="Y112" s="272" t="s">
        <v>124</v>
      </c>
      <c r="Z112" s="272" t="s">
        <v>124</v>
      </c>
      <c r="AA112" s="272" t="s">
        <v>124</v>
      </c>
      <c r="AB112" s="272" t="s">
        <v>124</v>
      </c>
      <c r="AC112" s="272" t="s">
        <v>124</v>
      </c>
      <c r="AD112" s="272" t="s">
        <v>124</v>
      </c>
      <c r="AE112" s="272" t="s">
        <v>124</v>
      </c>
      <c r="AF112" s="271" t="s">
        <v>124</v>
      </c>
      <c r="AG112" s="271" t="s">
        <v>124</v>
      </c>
      <c r="AH112" s="271" t="s">
        <v>124</v>
      </c>
      <c r="AI112" s="271" t="s">
        <v>124</v>
      </c>
      <c r="AJ112" s="272" t="s">
        <v>124</v>
      </c>
      <c r="AK112" s="271" t="s">
        <v>124</v>
      </c>
      <c r="AL112" s="272" t="s">
        <v>124</v>
      </c>
      <c r="AM112" s="271" t="s">
        <v>124</v>
      </c>
      <c r="AN112" s="271" t="s">
        <v>124</v>
      </c>
      <c r="AO112" s="271" t="s">
        <v>124</v>
      </c>
      <c r="AP112" s="224" t="s">
        <v>124</v>
      </c>
      <c r="AQ112" s="224" t="s">
        <v>124</v>
      </c>
      <c r="AR112" s="224" t="s">
        <v>124</v>
      </c>
      <c r="AS112" s="224" t="s">
        <v>124</v>
      </c>
      <c r="AT112" s="224" t="s">
        <v>124</v>
      </c>
      <c r="AU112" s="224" t="s">
        <v>124</v>
      </c>
      <c r="AV112" s="224" t="s">
        <v>124</v>
      </c>
      <c r="AW112" s="224" t="s">
        <v>124</v>
      </c>
      <c r="AX112" s="224" t="s">
        <v>124</v>
      </c>
      <c r="AY112" s="224" t="s">
        <v>124</v>
      </c>
      <c r="AZ112" s="224" t="s">
        <v>124</v>
      </c>
      <c r="BA112" s="224" t="s">
        <v>124</v>
      </c>
      <c r="BB112" s="224" t="s">
        <v>124</v>
      </c>
      <c r="BC112" s="224" t="s">
        <v>124</v>
      </c>
      <c r="BD112" s="224" t="s">
        <v>124</v>
      </c>
      <c r="BE112" s="224" t="s">
        <v>124</v>
      </c>
      <c r="BF112" s="224" t="s">
        <v>124</v>
      </c>
      <c r="BG112" s="224" t="s">
        <v>124</v>
      </c>
      <c r="BH112" s="224" t="s">
        <v>124</v>
      </c>
      <c r="BI112" s="224" t="s">
        <v>124</v>
      </c>
      <c r="BJ112" s="224" t="s">
        <v>124</v>
      </c>
      <c r="BK112" s="224" t="s">
        <v>124</v>
      </c>
      <c r="BL112" s="224" t="s">
        <v>124</v>
      </c>
      <c r="BM112" s="224" t="s">
        <v>124</v>
      </c>
      <c r="BN112" s="224" t="s">
        <v>124</v>
      </c>
      <c r="BO112" s="224" t="s">
        <v>124</v>
      </c>
      <c r="BP112" s="224" t="s">
        <v>124</v>
      </c>
      <c r="BQ112" s="224" t="s">
        <v>124</v>
      </c>
      <c r="BR112" s="224" t="s">
        <v>124</v>
      </c>
      <c r="BS112" s="224" t="s">
        <v>124</v>
      </c>
      <c r="BT112" s="224" t="s">
        <v>124</v>
      </c>
      <c r="BU112" s="224" t="s">
        <v>124</v>
      </c>
      <c r="BV112" s="224" t="s">
        <v>124</v>
      </c>
      <c r="BW112" s="224" t="s">
        <v>124</v>
      </c>
      <c r="BX112" s="224" t="s">
        <v>124</v>
      </c>
      <c r="BY112" s="224" t="s">
        <v>124</v>
      </c>
      <c r="BZ112" s="224" t="s">
        <v>124</v>
      </c>
      <c r="CA112" s="224" t="s">
        <v>124</v>
      </c>
      <c r="CB112" s="224" t="s">
        <v>124</v>
      </c>
      <c r="CC112" s="224" t="s">
        <v>124</v>
      </c>
      <c r="CD112" s="224" t="s">
        <v>124</v>
      </c>
      <c r="CE112" s="224" t="s">
        <v>124</v>
      </c>
      <c r="CF112" s="224" t="s">
        <v>124</v>
      </c>
      <c r="CG112" s="224" t="s">
        <v>124</v>
      </c>
      <c r="CH112" s="224" t="s">
        <v>124</v>
      </c>
      <c r="CI112" s="277" t="s">
        <v>124</v>
      </c>
      <c r="CJ112" s="224" t="s">
        <v>124</v>
      </c>
      <c r="CK112" s="224" t="s">
        <v>124</v>
      </c>
      <c r="CL112" s="224" t="s">
        <v>124</v>
      </c>
      <c r="CM112" s="224" t="s">
        <v>124</v>
      </c>
      <c r="CN112" s="224" t="s">
        <v>124</v>
      </c>
      <c r="CO112" s="224" t="s">
        <v>124</v>
      </c>
      <c r="CP112" s="224" t="s">
        <v>124</v>
      </c>
      <c r="CQ112" s="224" t="s">
        <v>124</v>
      </c>
      <c r="CR112" s="224" t="s">
        <v>124</v>
      </c>
      <c r="CS112" s="224" t="s">
        <v>124</v>
      </c>
      <c r="CT112" s="224" t="s">
        <v>124</v>
      </c>
      <c r="CU112" s="224" t="s">
        <v>124</v>
      </c>
      <c r="CV112" s="224" t="s">
        <v>124</v>
      </c>
      <c r="CW112" s="224" t="s">
        <v>124</v>
      </c>
      <c r="CX112" s="224" t="s">
        <v>124</v>
      </c>
      <c r="CY112" s="224" t="s">
        <v>124</v>
      </c>
      <c r="CZ112" s="224" t="s">
        <v>124</v>
      </c>
      <c r="DA112" s="224" t="s">
        <v>124</v>
      </c>
      <c r="DB112" s="224" t="s">
        <v>124</v>
      </c>
      <c r="DC112" s="224" t="s">
        <v>124</v>
      </c>
      <c r="DD112" s="224">
        <v>2.9000000000000001E-2</v>
      </c>
      <c r="DE112" s="224">
        <v>2.9000000000000001E-2</v>
      </c>
      <c r="DF112" s="224">
        <v>2.9000000000000001E-2</v>
      </c>
      <c r="DG112" s="224">
        <v>3.1E-2</v>
      </c>
      <c r="DH112" s="224">
        <v>3.1E-2</v>
      </c>
      <c r="DI112" s="224">
        <v>3.1E-2</v>
      </c>
      <c r="DJ112" s="224">
        <v>3.1E-2</v>
      </c>
      <c r="DK112" s="224">
        <v>3.1E-2</v>
      </c>
      <c r="DL112" s="224">
        <v>3.1E-2</v>
      </c>
      <c r="DM112" s="224">
        <v>3.1E-2</v>
      </c>
      <c r="DN112" s="224">
        <v>3.1E-2</v>
      </c>
      <c r="DO112" s="224">
        <v>3.1E-2</v>
      </c>
      <c r="DP112" s="224">
        <v>3.1E-2</v>
      </c>
      <c r="DQ112" s="224">
        <v>3.1E-2</v>
      </c>
      <c r="DR112" s="224">
        <v>3.1E-2</v>
      </c>
      <c r="DS112" s="224">
        <v>3.1E-2</v>
      </c>
      <c r="DT112" s="224">
        <v>3.1E-2</v>
      </c>
      <c r="DU112" s="224">
        <v>3.1E-2</v>
      </c>
      <c r="DV112" s="224">
        <v>3.1E-2</v>
      </c>
      <c r="DW112" s="224">
        <v>3.1E-2</v>
      </c>
      <c r="DX112" s="224">
        <v>3.1E-2</v>
      </c>
      <c r="DY112" s="224">
        <v>3.1E-2</v>
      </c>
      <c r="DZ112" s="224" t="s">
        <v>124</v>
      </c>
      <c r="EA112" s="224">
        <v>2.7E-2</v>
      </c>
      <c r="EB112" s="224">
        <v>2.7E-2</v>
      </c>
      <c r="EC112" s="224">
        <v>2.7E-2</v>
      </c>
      <c r="ED112" s="224">
        <v>2.7E-2</v>
      </c>
      <c r="EE112" s="224">
        <v>2.7E-2</v>
      </c>
      <c r="EF112" s="224">
        <v>2.7E-2</v>
      </c>
      <c r="EG112" s="224">
        <v>2.7E-2</v>
      </c>
      <c r="EH112" s="224">
        <v>2.7E-2</v>
      </c>
      <c r="EI112" s="224">
        <v>2.7E-2</v>
      </c>
      <c r="EJ112" s="224">
        <v>2.7E-2</v>
      </c>
      <c r="EK112" s="224">
        <v>2.7E-2</v>
      </c>
      <c r="EL112" s="224">
        <v>2.7E-2</v>
      </c>
      <c r="EM112" s="224">
        <v>2.7E-2</v>
      </c>
      <c r="EN112" s="224">
        <v>2.7E-2</v>
      </c>
      <c r="EO112" s="224">
        <v>2.7E-2</v>
      </c>
      <c r="EP112" s="224">
        <v>2.9000000000000001E-2</v>
      </c>
      <c r="EQ112" s="224">
        <v>2.9000000000000001E-2</v>
      </c>
      <c r="ER112" s="224">
        <v>3.1E-2</v>
      </c>
      <c r="ES112" s="224">
        <v>3.1E-2</v>
      </c>
      <c r="ET112" s="224">
        <v>3.2000000000000001E-2</v>
      </c>
      <c r="EU112" s="224">
        <v>3.4500000000000003E-2</v>
      </c>
      <c r="EV112" s="224">
        <v>3.4500000000000003E-2</v>
      </c>
      <c r="EW112" s="224">
        <v>3.5499999999999997E-2</v>
      </c>
      <c r="EX112" s="224">
        <v>3.5499999999999997E-2</v>
      </c>
      <c r="EY112" s="224">
        <v>3.5499999999999997E-2</v>
      </c>
      <c r="EZ112" s="231" t="s">
        <v>306</v>
      </c>
      <c r="FA112" s="235"/>
      <c r="FB112" s="254"/>
      <c r="FC112" s="231"/>
      <c r="FD112" s="236"/>
      <c r="FE112" s="238"/>
      <c r="FF112" s="237"/>
      <c r="FG112" s="231"/>
      <c r="FH112" s="236"/>
      <c r="FI112" s="236"/>
      <c r="FJ112" s="236"/>
      <c r="FK112" s="236"/>
      <c r="FL112" s="236"/>
      <c r="FM112" s="236"/>
      <c r="FN112" s="235"/>
      <c r="FO112" s="235"/>
      <c r="FP112" s="235"/>
      <c r="FQ112" s="235"/>
      <c r="FR112" s="235"/>
      <c r="FS112" s="235"/>
      <c r="FT112" s="235"/>
      <c r="FU112" s="235"/>
      <c r="FV112" s="235"/>
      <c r="FW112" s="235"/>
      <c r="FX112" s="235"/>
      <c r="FY112" s="267"/>
      <c r="FZ112" s="224">
        <v>3.95E-2</v>
      </c>
      <c r="GA112" s="224">
        <v>3.95E-2</v>
      </c>
      <c r="GB112" s="224">
        <v>3.95E-2</v>
      </c>
      <c r="GC112" s="224">
        <v>3.95E-2</v>
      </c>
      <c r="GD112" s="224">
        <v>3.95E-2</v>
      </c>
      <c r="GE112" s="224">
        <v>3.95E-2</v>
      </c>
      <c r="GF112" s="224">
        <v>3.95E-2</v>
      </c>
      <c r="GG112" s="224">
        <v>3.95E-2</v>
      </c>
      <c r="GH112" s="224">
        <v>3.95E-2</v>
      </c>
      <c r="GI112" s="224">
        <v>3.95E-2</v>
      </c>
      <c r="GJ112" s="224">
        <v>3.95E-2</v>
      </c>
      <c r="GK112" s="224">
        <v>3.95E-2</v>
      </c>
      <c r="GL112" s="224">
        <v>3.95E-2</v>
      </c>
      <c r="GM112" s="224">
        <v>3.95E-2</v>
      </c>
      <c r="GN112" s="224">
        <v>3.95E-2</v>
      </c>
      <c r="GO112" s="224">
        <v>3.95E-2</v>
      </c>
      <c r="GP112" s="224">
        <v>3.95E-2</v>
      </c>
      <c r="GQ112" s="224">
        <v>3.95E-2</v>
      </c>
      <c r="GR112" s="267"/>
      <c r="GS112" s="267"/>
      <c r="GT112" s="267"/>
      <c r="GU112" s="267"/>
      <c r="GV112" s="267"/>
      <c r="GW112" s="267"/>
      <c r="GX112" s="267"/>
      <c r="GY112" s="267"/>
      <c r="GZ112" s="267"/>
      <c r="HA112" s="267"/>
      <c r="HB112" s="224">
        <v>3.95E-2</v>
      </c>
      <c r="HC112" s="224">
        <v>3.5499999999999997E-2</v>
      </c>
      <c r="HD112" s="224">
        <v>3.5499999999999997E-2</v>
      </c>
      <c r="HE112" s="224">
        <v>3.5499999999999997E-2</v>
      </c>
      <c r="HF112" s="178" t="e">
        <f>C112-D112</f>
        <v>#VALUE!</v>
      </c>
    </row>
    <row r="113" spans="1:215" ht="41.4">
      <c r="A113" s="757" t="s">
        <v>33</v>
      </c>
      <c r="B113" s="839" t="s">
        <v>812</v>
      </c>
      <c r="C113" s="276">
        <v>8.5000000000000006E-3</v>
      </c>
      <c r="D113" s="276">
        <v>8.5000000000000006E-3</v>
      </c>
      <c r="E113" s="276">
        <v>8.5000000000000006E-3</v>
      </c>
      <c r="F113" s="276">
        <v>8.5000000000000006E-3</v>
      </c>
      <c r="G113" s="276">
        <v>8.5000000000000006E-3</v>
      </c>
      <c r="H113" s="276">
        <v>8.5000000000000006E-3</v>
      </c>
      <c r="I113" s="275">
        <v>8.5000000000000006E-3</v>
      </c>
      <c r="J113" s="276">
        <v>8.0000000000000002E-3</v>
      </c>
      <c r="K113" s="276">
        <v>8.0000000000000002E-3</v>
      </c>
      <c r="L113" s="276">
        <v>8.0000000000000002E-3</v>
      </c>
      <c r="M113" s="276">
        <v>8.0000000000000002E-3</v>
      </c>
      <c r="N113" s="276">
        <v>8.0000000000000002E-3</v>
      </c>
      <c r="O113" s="276">
        <v>8.0000000000000002E-3</v>
      </c>
      <c r="P113" s="276">
        <v>8.0000000000000002E-3</v>
      </c>
      <c r="Q113" s="276">
        <v>8.0000000000000002E-3</v>
      </c>
      <c r="R113" s="276">
        <v>8.0000000000000002E-3</v>
      </c>
      <c r="S113" s="276">
        <v>6.4999999999999997E-3</v>
      </c>
      <c r="T113" s="276">
        <v>6.4999999999999997E-3</v>
      </c>
      <c r="U113" s="276">
        <v>6.4999999999999997E-3</v>
      </c>
      <c r="V113" s="276">
        <v>6.4999999999999997E-3</v>
      </c>
      <c r="W113" s="276">
        <v>6.4999999999999997E-3</v>
      </c>
      <c r="X113" s="276">
        <v>6.4999999999999997E-3</v>
      </c>
      <c r="Y113" s="276">
        <v>6.4999999999999997E-3</v>
      </c>
      <c r="Z113" s="276">
        <v>6.4999999999999997E-3</v>
      </c>
      <c r="AA113" s="275">
        <v>6.4999999999999997E-3</v>
      </c>
      <c r="AB113" s="276">
        <v>6.0000000000000001E-3</v>
      </c>
      <c r="AC113" s="276">
        <v>6.0000000000000001E-3</v>
      </c>
      <c r="AD113" s="275">
        <v>6.0000000000000001E-3</v>
      </c>
      <c r="AE113" s="275">
        <v>7.0000000000000001E-3</v>
      </c>
      <c r="AF113" s="233">
        <v>8.0000000000000002E-3</v>
      </c>
      <c r="AG113" s="275">
        <v>8.0000000000000002E-3</v>
      </c>
      <c r="AH113" s="233">
        <v>9.4999999999999998E-3</v>
      </c>
      <c r="AI113" s="233">
        <v>9.4999999999999998E-3</v>
      </c>
      <c r="AJ113" s="275">
        <v>9.4999999999999998E-3</v>
      </c>
      <c r="AK113" s="233">
        <v>8.0000000000000002E-3</v>
      </c>
      <c r="AL113" s="276">
        <v>8.0000000000000002E-3</v>
      </c>
      <c r="AM113" s="275">
        <v>8.0000000000000002E-3</v>
      </c>
      <c r="AN113" s="275">
        <v>8.9999999999999993E-3</v>
      </c>
      <c r="AO113" s="233">
        <v>1.0500000000000001E-2</v>
      </c>
      <c r="AP113" s="274">
        <v>1.0500000000000001E-2</v>
      </c>
      <c r="AQ113" s="273">
        <v>1.2500000000000001E-2</v>
      </c>
      <c r="AR113" s="274">
        <v>1.2500000000000001E-2</v>
      </c>
      <c r="AS113" s="274">
        <v>1.35E-2</v>
      </c>
      <c r="AT113" s="274">
        <v>1.4E-2</v>
      </c>
      <c r="AU113" s="274">
        <v>1.35E-2</v>
      </c>
      <c r="AV113" s="273">
        <v>1.4999999999999999E-2</v>
      </c>
      <c r="AW113" s="273">
        <v>1.4999999999999999E-2</v>
      </c>
      <c r="AX113" s="274">
        <v>1.4999999999999999E-2</v>
      </c>
      <c r="AY113" s="273">
        <v>1.7999999999999999E-2</v>
      </c>
      <c r="AZ113" s="273">
        <v>1.7999999999999999E-2</v>
      </c>
      <c r="BA113" s="273">
        <v>1.7999999999999999E-2</v>
      </c>
      <c r="BB113" s="273">
        <v>2.1999999999999999E-2</v>
      </c>
      <c r="BC113" s="273">
        <v>2.1999999999999999E-2</v>
      </c>
      <c r="BD113" s="273">
        <v>2.1999999999999999E-2</v>
      </c>
      <c r="BE113" s="274">
        <v>2.4E-2</v>
      </c>
      <c r="BF113" s="273">
        <v>2.5000000000000001E-2</v>
      </c>
      <c r="BG113" s="273">
        <v>2.5000000000000001E-2</v>
      </c>
      <c r="BH113" s="273">
        <v>2.5000000000000001E-2</v>
      </c>
      <c r="BI113" s="274">
        <v>2.5000000000000001E-2</v>
      </c>
      <c r="BJ113" s="273">
        <v>2.6800000000000001E-2</v>
      </c>
      <c r="BK113" s="273">
        <v>2.6800000000000001E-2</v>
      </c>
      <c r="BL113" s="273">
        <v>2.6800000000000001E-2</v>
      </c>
      <c r="BM113" s="274" t="s">
        <v>350</v>
      </c>
      <c r="BN113" s="273">
        <v>2.4500000000000001E-2</v>
      </c>
      <c r="BO113" s="273">
        <v>2.4500000000000001E-2</v>
      </c>
      <c r="BP113" s="273">
        <v>2.4500000000000001E-2</v>
      </c>
      <c r="BQ113" s="273">
        <v>2.4500000000000001E-2</v>
      </c>
      <c r="BR113" s="273">
        <v>2.4500000000000001E-2</v>
      </c>
      <c r="BS113" s="273">
        <v>2.4500000000000001E-2</v>
      </c>
      <c r="BT113" s="273">
        <v>2.4500000000000001E-2</v>
      </c>
      <c r="BU113" s="273">
        <v>2.4500000000000001E-2</v>
      </c>
      <c r="BV113" s="273">
        <v>2.4500000000000001E-2</v>
      </c>
      <c r="BW113" s="273">
        <v>2.35E-2</v>
      </c>
      <c r="BX113" s="273">
        <v>2.35E-2</v>
      </c>
      <c r="BY113" s="273">
        <v>2.5000000000000001E-2</v>
      </c>
      <c r="BZ113" s="273">
        <v>2.5000000000000001E-2</v>
      </c>
      <c r="CA113" s="273">
        <v>2.5000000000000001E-2</v>
      </c>
      <c r="CB113" s="273">
        <v>2.5000000000000001E-2</v>
      </c>
      <c r="CC113" s="273">
        <v>2.5000000000000001E-2</v>
      </c>
      <c r="CD113" s="273">
        <v>2.5999999999999999E-2</v>
      </c>
      <c r="CE113" s="261">
        <v>2.5999999999999999E-2</v>
      </c>
      <c r="CF113" s="261">
        <v>0.03</v>
      </c>
      <c r="CG113" s="261">
        <v>0.03</v>
      </c>
      <c r="CH113" s="261">
        <v>0.03</v>
      </c>
      <c r="CI113" s="261">
        <v>0.03</v>
      </c>
      <c r="CJ113" s="261">
        <v>3.1E-2</v>
      </c>
      <c r="CK113" s="261">
        <v>3.1E-2</v>
      </c>
      <c r="CL113" s="261">
        <v>3.1E-2</v>
      </c>
      <c r="CM113" s="261">
        <v>3.1E-2</v>
      </c>
      <c r="CN113" s="261">
        <v>3.1E-2</v>
      </c>
      <c r="CO113" s="261">
        <v>3.1E-2</v>
      </c>
      <c r="CP113" s="261" t="s">
        <v>349</v>
      </c>
      <c r="CQ113" s="261" t="s">
        <v>349</v>
      </c>
      <c r="CR113" s="261">
        <v>2.9499999999999998E-2</v>
      </c>
      <c r="CS113" s="261">
        <v>2.9499999999999998E-2</v>
      </c>
      <c r="CT113" s="261">
        <v>2.9499999999999998E-2</v>
      </c>
      <c r="CU113" s="261">
        <v>2.9499999999999998E-2</v>
      </c>
      <c r="CV113" s="261">
        <v>2.9499999999999998E-2</v>
      </c>
      <c r="CW113" s="261">
        <v>3.1E-2</v>
      </c>
      <c r="CX113" s="261">
        <v>3.1E-2</v>
      </c>
      <c r="CY113" s="261">
        <v>3.1E-2</v>
      </c>
      <c r="CZ113" s="261">
        <v>3.1E-2</v>
      </c>
      <c r="DA113" s="261">
        <v>3.1E-2</v>
      </c>
      <c r="DB113" s="261">
        <v>3.1E-2</v>
      </c>
      <c r="DC113" s="261">
        <v>3.1E-2</v>
      </c>
      <c r="DD113" s="261">
        <v>3.1E-2</v>
      </c>
      <c r="DE113" s="261">
        <v>3.1E-2</v>
      </c>
      <c r="DF113" s="261">
        <v>3.1E-2</v>
      </c>
      <c r="DG113" s="261">
        <v>3.1E-2</v>
      </c>
      <c r="DH113" s="261">
        <v>3.1E-2</v>
      </c>
      <c r="DI113" s="261">
        <v>3.2000000000000001E-2</v>
      </c>
      <c r="DJ113" s="261">
        <v>3.2000000000000001E-2</v>
      </c>
      <c r="DK113" s="261">
        <v>3.2000000000000001E-2</v>
      </c>
      <c r="DL113" s="261">
        <v>3.2000000000000001E-2</v>
      </c>
      <c r="DM113" s="261">
        <v>3.2000000000000001E-2</v>
      </c>
      <c r="DN113" s="261" t="s">
        <v>124</v>
      </c>
      <c r="DO113" s="261">
        <v>3.5000000000000003E-2</v>
      </c>
      <c r="DP113" s="261">
        <v>3.5000000000000003E-2</v>
      </c>
      <c r="DQ113" s="261">
        <v>3.5000000000000003E-2</v>
      </c>
      <c r="DR113" s="261">
        <v>3.5000000000000003E-2</v>
      </c>
      <c r="DS113" s="261">
        <v>3.5000000000000003E-2</v>
      </c>
      <c r="DT113" s="261">
        <v>3.4500000000000003E-2</v>
      </c>
      <c r="DU113" s="261">
        <v>3.4500000000000003E-2</v>
      </c>
      <c r="DV113" s="261">
        <v>3.4500000000000003E-2</v>
      </c>
      <c r="DW113" s="261">
        <v>3.4500000000000003E-2</v>
      </c>
      <c r="DX113" s="261">
        <v>3.4500000000000003E-2</v>
      </c>
      <c r="DY113" s="261">
        <v>3.4500000000000003E-2</v>
      </c>
      <c r="DZ113" s="261">
        <v>3.4500000000000003E-2</v>
      </c>
      <c r="EA113" s="261" t="s">
        <v>124</v>
      </c>
      <c r="EB113" s="261" t="s">
        <v>124</v>
      </c>
      <c r="EC113" s="261" t="s">
        <v>124</v>
      </c>
      <c r="ED113" s="261" t="s">
        <v>124</v>
      </c>
      <c r="EE113" s="261">
        <v>3.4500000000000003E-2</v>
      </c>
      <c r="EF113" s="261">
        <v>3.4500000000000003E-2</v>
      </c>
      <c r="EG113" s="261">
        <v>3.4500000000000003E-2</v>
      </c>
      <c r="EH113" s="261">
        <v>3.4500000000000003E-2</v>
      </c>
      <c r="EI113" s="261">
        <v>3.4500000000000003E-2</v>
      </c>
      <c r="EJ113" s="261">
        <v>3.4500000000000003E-2</v>
      </c>
      <c r="EK113" s="261">
        <v>3.4500000000000003E-2</v>
      </c>
      <c r="EL113" s="261">
        <v>3.2000000000000001E-2</v>
      </c>
      <c r="EM113" s="261">
        <v>3.2000000000000001E-2</v>
      </c>
      <c r="EN113" s="261">
        <v>3.4000000000000002E-2</v>
      </c>
      <c r="EO113" s="261">
        <v>3.4000000000000002E-2</v>
      </c>
      <c r="EP113" s="261">
        <v>3.4000000000000002E-2</v>
      </c>
      <c r="EQ113" s="261">
        <v>3.4000000000000002E-2</v>
      </c>
      <c r="ER113" s="261">
        <v>3.4500000000000003E-2</v>
      </c>
      <c r="ES113" s="261">
        <v>3.4500000000000003E-2</v>
      </c>
      <c r="ET113" s="261">
        <v>3.4500000000000003E-2</v>
      </c>
      <c r="EU113" s="261">
        <v>3.5499999999999997E-2</v>
      </c>
      <c r="EV113" s="261">
        <v>3.5499999999999997E-2</v>
      </c>
      <c r="EW113" s="261">
        <v>3.5499999999999997E-2</v>
      </c>
      <c r="EX113" s="261">
        <v>3.5999999999999997E-2</v>
      </c>
      <c r="EY113" s="261">
        <v>3.5999999999999997E-2</v>
      </c>
      <c r="EZ113" s="231" t="s">
        <v>275</v>
      </c>
      <c r="FA113" s="235">
        <v>2.3E-2</v>
      </c>
      <c r="FB113" s="238">
        <v>2.3E-2</v>
      </c>
      <c r="FC113" s="231" t="s">
        <v>342</v>
      </c>
      <c r="FD113" s="235">
        <v>1.5E-3</v>
      </c>
      <c r="FE113" s="238">
        <v>1.5E-3</v>
      </c>
      <c r="FF113" s="237" t="s">
        <v>322</v>
      </c>
      <c r="FG113" s="231"/>
      <c r="FH113" s="236">
        <v>1.5E-3</v>
      </c>
      <c r="FI113" s="236">
        <v>1.5E-3</v>
      </c>
      <c r="FJ113" s="236">
        <v>1.5E-3</v>
      </c>
      <c r="FK113" s="236">
        <v>1.5E-3</v>
      </c>
      <c r="FL113" s="235">
        <v>1.5E-3</v>
      </c>
      <c r="FM113" s="235">
        <v>1.15E-2</v>
      </c>
      <c r="FN113" s="235">
        <v>1.15E-2</v>
      </c>
      <c r="FO113" s="235">
        <v>1.15E-2</v>
      </c>
      <c r="FP113" s="235">
        <v>1.15E-2</v>
      </c>
      <c r="FQ113" s="235">
        <v>1.2999999999999999E-2</v>
      </c>
      <c r="FR113" s="235">
        <v>1.2999999999999999E-2</v>
      </c>
      <c r="FS113" s="235">
        <v>1.2999999999999999E-2</v>
      </c>
      <c r="FT113" s="235">
        <v>1.2999999999999999E-2</v>
      </c>
      <c r="FU113" s="235">
        <v>2.1000000000000001E-2</v>
      </c>
      <c r="FV113" s="235">
        <v>1.2999999999999999E-2</v>
      </c>
      <c r="FW113" s="235">
        <v>2.3E-2</v>
      </c>
      <c r="FX113" s="235">
        <v>2.3E-2</v>
      </c>
      <c r="FY113" s="261">
        <v>2.5000000000000001E-2</v>
      </c>
      <c r="FZ113" s="261">
        <v>3.7999999999999999E-2</v>
      </c>
      <c r="GA113" s="261">
        <v>3.2000000000000001E-2</v>
      </c>
      <c r="GB113" s="261">
        <v>3.2000000000000001E-2</v>
      </c>
      <c r="GC113" s="261">
        <v>3.2000000000000001E-2</v>
      </c>
      <c r="GD113" s="261">
        <v>3.2000000000000001E-2</v>
      </c>
      <c r="GE113" s="261">
        <v>3.2000000000000001E-2</v>
      </c>
      <c r="GF113" s="261">
        <v>3.2000000000000001E-2</v>
      </c>
      <c r="GG113" s="261">
        <v>3.2000000000000001E-2</v>
      </c>
      <c r="GH113" s="261">
        <v>3.2000000000000001E-2</v>
      </c>
      <c r="GI113" s="261">
        <v>3.2000000000000001E-2</v>
      </c>
      <c r="GJ113" s="261">
        <v>3.2000000000000001E-2</v>
      </c>
      <c r="GK113" s="261">
        <v>3.2000000000000001E-2</v>
      </c>
      <c r="GL113" s="261">
        <v>3.2000000000000001E-2</v>
      </c>
      <c r="GM113" s="261">
        <v>3.2000000000000001E-2</v>
      </c>
      <c r="GN113" s="261">
        <v>3.2000000000000001E-2</v>
      </c>
      <c r="GO113" s="261">
        <v>3.2000000000000001E-2</v>
      </c>
      <c r="GP113" s="261">
        <v>3.2000000000000001E-2</v>
      </c>
      <c r="GQ113" s="261">
        <v>3.2000000000000001E-2</v>
      </c>
      <c r="GR113" s="261">
        <v>3.2000000000000001E-2</v>
      </c>
      <c r="GS113" s="261">
        <v>3.2000000000000001E-2</v>
      </c>
      <c r="GT113" s="261">
        <v>3.2000000000000001E-2</v>
      </c>
      <c r="GU113" s="261">
        <v>3.2000000000000001E-2</v>
      </c>
      <c r="GV113" s="261">
        <v>3.2000000000000001E-2</v>
      </c>
      <c r="GW113" s="261">
        <v>2.8000000000000001E-2</v>
      </c>
      <c r="GX113" s="261">
        <v>2.5999999999999999E-2</v>
      </c>
      <c r="GY113" s="261">
        <v>2.5999999999999999E-2</v>
      </c>
      <c r="GZ113" s="261">
        <v>2.5000000000000001E-2</v>
      </c>
      <c r="HA113" s="261">
        <v>2.5000000000000001E-2</v>
      </c>
      <c r="HB113" s="261">
        <v>3.7999999999999999E-2</v>
      </c>
      <c r="HC113" s="261">
        <v>3.1E-2</v>
      </c>
      <c r="HD113" s="261">
        <v>3.1E-2</v>
      </c>
      <c r="HE113" s="261">
        <v>3.7999999999999999E-2</v>
      </c>
      <c r="HF113" s="178">
        <f>C113-D113</f>
        <v>0</v>
      </c>
    </row>
    <row r="114" spans="1:215" ht="55.2">
      <c r="A114" s="756" t="s">
        <v>23</v>
      </c>
      <c r="B114" s="765" t="s">
        <v>776</v>
      </c>
      <c r="C114" s="276">
        <v>1.2E-2</v>
      </c>
      <c r="D114" s="276">
        <v>1.2E-2</v>
      </c>
      <c r="E114" s="276">
        <v>1.2E-2</v>
      </c>
      <c r="F114" s="276">
        <v>1.2E-2</v>
      </c>
      <c r="G114" s="276">
        <v>1.2E-2</v>
      </c>
      <c r="H114" s="275">
        <v>1.2E-2</v>
      </c>
      <c r="I114" s="272" t="s">
        <v>572</v>
      </c>
      <c r="J114" s="272" t="s">
        <v>572</v>
      </c>
      <c r="K114" s="272" t="s">
        <v>572</v>
      </c>
      <c r="L114" s="272" t="s">
        <v>572</v>
      </c>
      <c r="M114" s="272" t="s">
        <v>572</v>
      </c>
      <c r="N114" s="272" t="s">
        <v>572</v>
      </c>
      <c r="O114" s="272" t="s">
        <v>572</v>
      </c>
      <c r="P114" s="272" t="s">
        <v>572</v>
      </c>
      <c r="Q114" s="272" t="s">
        <v>572</v>
      </c>
      <c r="R114" s="272" t="s">
        <v>572</v>
      </c>
      <c r="S114" s="272" t="s">
        <v>572</v>
      </c>
      <c r="T114" s="271" t="s">
        <v>572</v>
      </c>
      <c r="U114" s="271" t="s">
        <v>652</v>
      </c>
      <c r="V114" s="271" t="s">
        <v>124</v>
      </c>
      <c r="W114" s="272" t="s">
        <v>124</v>
      </c>
      <c r="X114" s="272" t="s">
        <v>124</v>
      </c>
      <c r="Y114" s="272" t="s">
        <v>124</v>
      </c>
      <c r="Z114" s="272" t="s">
        <v>124</v>
      </c>
      <c r="AA114" s="272" t="s">
        <v>124</v>
      </c>
      <c r="AB114" s="272" t="s">
        <v>124</v>
      </c>
      <c r="AC114" s="272" t="s">
        <v>124</v>
      </c>
      <c r="AD114" s="272" t="s">
        <v>124</v>
      </c>
      <c r="AE114" s="272" t="s">
        <v>124</v>
      </c>
      <c r="AF114" s="271" t="s">
        <v>124</v>
      </c>
      <c r="AG114" s="271" t="s">
        <v>124</v>
      </c>
      <c r="AH114" s="271" t="s">
        <v>124</v>
      </c>
      <c r="AI114" s="271" t="s">
        <v>124</v>
      </c>
      <c r="AJ114" s="272" t="s">
        <v>124</v>
      </c>
      <c r="AK114" s="271" t="s">
        <v>124</v>
      </c>
      <c r="AL114" s="272" t="s">
        <v>124</v>
      </c>
      <c r="AM114" s="271" t="s">
        <v>124</v>
      </c>
      <c r="AN114" s="271" t="s">
        <v>124</v>
      </c>
      <c r="AO114" s="271" t="s">
        <v>124</v>
      </c>
      <c r="AP114" s="261" t="s">
        <v>124</v>
      </c>
      <c r="AQ114" s="261" t="s">
        <v>124</v>
      </c>
      <c r="AR114" s="261" t="s">
        <v>124</v>
      </c>
      <c r="AS114" s="261" t="s">
        <v>124</v>
      </c>
      <c r="AT114" s="261" t="s">
        <v>124</v>
      </c>
      <c r="AU114" s="261" t="s">
        <v>124</v>
      </c>
      <c r="AV114" s="261" t="s">
        <v>124</v>
      </c>
      <c r="AW114" s="261" t="s">
        <v>124</v>
      </c>
      <c r="AX114" s="261" t="s">
        <v>124</v>
      </c>
      <c r="AY114" s="261" t="s">
        <v>124</v>
      </c>
      <c r="AZ114" s="261" t="s">
        <v>124</v>
      </c>
      <c r="BA114" s="261" t="s">
        <v>124</v>
      </c>
      <c r="BB114" s="261" t="s">
        <v>124</v>
      </c>
      <c r="BC114" s="261" t="s">
        <v>124</v>
      </c>
      <c r="BD114" s="261" t="s">
        <v>124</v>
      </c>
      <c r="BE114" s="261" t="s">
        <v>124</v>
      </c>
      <c r="BF114" s="261" t="s">
        <v>124</v>
      </c>
      <c r="BG114" s="261" t="s">
        <v>124</v>
      </c>
      <c r="BH114" s="261" t="s">
        <v>124</v>
      </c>
      <c r="BI114" s="261" t="s">
        <v>124</v>
      </c>
      <c r="BJ114" s="261" t="s">
        <v>124</v>
      </c>
      <c r="BK114" s="261" t="s">
        <v>124</v>
      </c>
      <c r="BL114" s="261" t="s">
        <v>124</v>
      </c>
      <c r="BM114" s="261" t="s">
        <v>124</v>
      </c>
      <c r="BN114" s="261" t="s">
        <v>124</v>
      </c>
      <c r="BO114" s="261" t="s">
        <v>124</v>
      </c>
      <c r="BP114" s="261" t="s">
        <v>124</v>
      </c>
      <c r="BQ114" s="261" t="s">
        <v>124</v>
      </c>
      <c r="BR114" s="261" t="s">
        <v>124</v>
      </c>
      <c r="BS114" s="261" t="s">
        <v>124</v>
      </c>
      <c r="BT114" s="261" t="s">
        <v>124</v>
      </c>
      <c r="BU114" s="261" t="s">
        <v>124</v>
      </c>
      <c r="BV114" s="261" t="s">
        <v>124</v>
      </c>
      <c r="BW114" s="261" t="s">
        <v>124</v>
      </c>
      <c r="BX114" s="261" t="s">
        <v>124</v>
      </c>
      <c r="BY114" s="261" t="s">
        <v>124</v>
      </c>
      <c r="BZ114" s="261" t="s">
        <v>124</v>
      </c>
      <c r="CA114" s="261" t="s">
        <v>124</v>
      </c>
      <c r="CB114" s="261" t="s">
        <v>124</v>
      </c>
      <c r="CC114" s="261" t="s">
        <v>124</v>
      </c>
      <c r="CD114" s="261" t="s">
        <v>124</v>
      </c>
      <c r="CE114" s="261"/>
      <c r="CF114" s="261"/>
      <c r="CG114" s="261"/>
      <c r="CH114" s="261"/>
      <c r="CI114" s="270"/>
      <c r="CJ114" s="261"/>
      <c r="CK114" s="261"/>
      <c r="CL114" s="261"/>
      <c r="CM114" s="261"/>
      <c r="CN114" s="261"/>
      <c r="CO114" s="261"/>
      <c r="CP114" s="261"/>
      <c r="CQ114" s="261"/>
      <c r="CR114" s="261"/>
      <c r="CS114" s="261"/>
      <c r="CT114" s="261"/>
      <c r="CU114" s="261"/>
      <c r="CV114" s="261"/>
      <c r="CW114" s="261"/>
      <c r="CX114" s="261"/>
      <c r="CY114" s="261"/>
      <c r="CZ114" s="261"/>
      <c r="DA114" s="261"/>
      <c r="DB114" s="261"/>
      <c r="DC114" s="261"/>
      <c r="DD114" s="261"/>
      <c r="DE114" s="261"/>
      <c r="DF114" s="261"/>
      <c r="DG114" s="261"/>
      <c r="DH114" s="261"/>
      <c r="DI114" s="261"/>
      <c r="DJ114" s="261"/>
      <c r="DK114" s="261"/>
      <c r="DL114" s="261"/>
      <c r="DM114" s="261"/>
      <c r="DN114" s="261"/>
      <c r="DO114" s="261"/>
      <c r="DP114" s="261"/>
      <c r="DQ114" s="261"/>
      <c r="DR114" s="261"/>
      <c r="DS114" s="261"/>
      <c r="DT114" s="261"/>
      <c r="DU114" s="261"/>
      <c r="DV114" s="261"/>
      <c r="DW114" s="261"/>
      <c r="DX114" s="261"/>
      <c r="DY114" s="261"/>
      <c r="DZ114" s="261"/>
      <c r="EA114" s="261"/>
      <c r="EB114" s="261"/>
      <c r="EC114" s="261"/>
      <c r="ED114" s="261"/>
      <c r="EE114" s="261"/>
      <c r="EF114" s="261"/>
      <c r="EG114" s="261"/>
      <c r="EH114" s="261"/>
      <c r="EI114" s="261"/>
      <c r="EJ114" s="261"/>
      <c r="EK114" s="261"/>
      <c r="EL114" s="261"/>
      <c r="EM114" s="261"/>
      <c r="EN114" s="261"/>
      <c r="EO114" s="261">
        <v>3.4000000000000002E-2</v>
      </c>
      <c r="EP114" s="261">
        <v>3.4000000000000002E-2</v>
      </c>
      <c r="EQ114" s="261">
        <v>3.4000000000000002E-2</v>
      </c>
      <c r="ER114" s="261">
        <v>3.4000000000000002E-2</v>
      </c>
      <c r="ES114" s="261">
        <v>3.4000000000000002E-2</v>
      </c>
      <c r="ET114" s="261">
        <v>3.4000000000000002E-2</v>
      </c>
      <c r="EU114" s="261">
        <v>3.4000000000000002E-2</v>
      </c>
      <c r="EV114" s="261">
        <v>3.4000000000000002E-2</v>
      </c>
      <c r="EW114" s="261">
        <v>3.4000000000000002E-2</v>
      </c>
      <c r="EX114" s="261">
        <v>3.4000000000000002E-2</v>
      </c>
      <c r="EY114" s="261">
        <v>3.4000000000000002E-2</v>
      </c>
      <c r="EZ114" s="231" t="s">
        <v>348</v>
      </c>
      <c r="FA114" s="235">
        <v>2.5999999999999999E-2</v>
      </c>
      <c r="FB114" s="254" t="s">
        <v>347</v>
      </c>
      <c r="FC114" s="231" t="s">
        <v>74</v>
      </c>
      <c r="FD114" s="236"/>
      <c r="FE114" s="238"/>
      <c r="FF114" s="237"/>
      <c r="FG114" s="231"/>
      <c r="FH114" s="236"/>
      <c r="FI114" s="231"/>
      <c r="FJ114" s="236"/>
      <c r="FK114" s="236"/>
      <c r="FL114" s="231"/>
      <c r="FM114" s="231"/>
      <c r="FN114" s="267"/>
      <c r="FO114" s="267"/>
      <c r="FP114" s="267"/>
      <c r="FQ114" s="267"/>
      <c r="FR114" s="267"/>
      <c r="FS114" s="235"/>
      <c r="FT114" s="267"/>
      <c r="FU114" s="235">
        <v>2.5999999999999999E-2</v>
      </c>
      <c r="FV114" s="235" t="s">
        <v>124</v>
      </c>
      <c r="FW114" s="235">
        <v>2.5999999999999999E-2</v>
      </c>
      <c r="FX114" s="235">
        <v>2.5999999999999999E-2</v>
      </c>
      <c r="FY114" s="261">
        <v>2.5999999999999999E-2</v>
      </c>
      <c r="FZ114" s="261">
        <v>3.4000000000000002E-2</v>
      </c>
      <c r="GA114" s="261">
        <v>3.4000000000000002E-2</v>
      </c>
      <c r="GB114" s="261">
        <v>3.4000000000000002E-2</v>
      </c>
      <c r="GC114" s="261">
        <v>3.4000000000000002E-2</v>
      </c>
      <c r="GD114" s="261">
        <v>3.4000000000000002E-2</v>
      </c>
      <c r="GE114" s="261">
        <v>3.4000000000000002E-2</v>
      </c>
      <c r="GF114" s="261">
        <v>3.4000000000000002E-2</v>
      </c>
      <c r="GG114" s="261">
        <v>3.4000000000000002E-2</v>
      </c>
      <c r="GH114" s="261">
        <v>3.4000000000000002E-2</v>
      </c>
      <c r="GI114" s="261">
        <v>3.4000000000000002E-2</v>
      </c>
      <c r="GJ114" s="261">
        <v>3.4000000000000002E-2</v>
      </c>
      <c r="GK114" s="261">
        <v>3.4000000000000002E-2</v>
      </c>
      <c r="GL114" s="261">
        <v>3.4000000000000002E-2</v>
      </c>
      <c r="GM114" s="261">
        <v>3.4000000000000002E-2</v>
      </c>
      <c r="GN114" s="261">
        <v>3.4000000000000002E-2</v>
      </c>
      <c r="GO114" s="261">
        <v>3.4000000000000002E-2</v>
      </c>
      <c r="GP114" s="261">
        <v>3.4000000000000002E-2</v>
      </c>
      <c r="GQ114" s="261">
        <v>3.4000000000000002E-2</v>
      </c>
      <c r="GR114" s="261">
        <v>3.2000000000000001E-2</v>
      </c>
      <c r="GS114" s="261">
        <v>3.2000000000000001E-2</v>
      </c>
      <c r="GT114" s="261">
        <v>3.2000000000000001E-2</v>
      </c>
      <c r="GU114" s="261">
        <v>3.2000000000000001E-2</v>
      </c>
      <c r="GV114" s="261">
        <v>3.2000000000000001E-2</v>
      </c>
      <c r="GW114" s="261">
        <v>3.2000000000000001E-2</v>
      </c>
      <c r="GX114" s="261">
        <v>2.9000000000000001E-2</v>
      </c>
      <c r="GY114" s="261">
        <v>2.5999999999999999E-2</v>
      </c>
      <c r="GZ114" s="261">
        <v>2.5999999999999999E-2</v>
      </c>
      <c r="HA114" s="261">
        <v>2.5999999999999999E-2</v>
      </c>
      <c r="HB114" s="261">
        <v>3.4000000000000002E-2</v>
      </c>
      <c r="HC114" s="261">
        <v>3.4000000000000002E-2</v>
      </c>
      <c r="HD114" s="261">
        <v>3.4000000000000002E-2</v>
      </c>
      <c r="HE114" s="261">
        <v>3.4000000000000002E-2</v>
      </c>
      <c r="HF114" s="178" t="s">
        <v>124</v>
      </c>
      <c r="HG114" s="787" t="s">
        <v>775</v>
      </c>
    </row>
    <row r="115" spans="1:215">
      <c r="A115" s="1060" t="s">
        <v>39</v>
      </c>
      <c r="B115" s="840" t="s">
        <v>814</v>
      </c>
      <c r="C115" s="905">
        <v>1.0999999999999999E-2</v>
      </c>
      <c r="D115" s="905">
        <v>1.0999999999999999E-2</v>
      </c>
      <c r="E115" s="905">
        <v>1.0999999999999999E-2</v>
      </c>
      <c r="F115" s="907">
        <v>1.2E-2</v>
      </c>
      <c r="G115" s="907">
        <v>1.2E-2</v>
      </c>
      <c r="H115" s="907">
        <v>1.2E-2</v>
      </c>
      <c r="I115" s="907">
        <v>1.2E-2</v>
      </c>
      <c r="J115" s="907">
        <v>1.2E-2</v>
      </c>
      <c r="K115" s="907">
        <v>1.2E-2</v>
      </c>
      <c r="L115" s="991">
        <v>1.2E-2</v>
      </c>
      <c r="M115" s="907">
        <v>1.15E-2</v>
      </c>
      <c r="N115" s="907">
        <v>1.15E-2</v>
      </c>
      <c r="O115" s="907">
        <v>1.15E-2</v>
      </c>
      <c r="P115" s="907">
        <v>1.15E-2</v>
      </c>
      <c r="Q115" s="907">
        <v>1.15E-2</v>
      </c>
      <c r="R115" s="907">
        <v>1.15E-2</v>
      </c>
      <c r="S115" s="907">
        <v>1.15E-2</v>
      </c>
      <c r="T115" s="907">
        <v>1.15E-2</v>
      </c>
      <c r="U115" s="907">
        <v>1.15E-2</v>
      </c>
      <c r="V115" s="907">
        <v>1.15E-2</v>
      </c>
      <c r="W115" s="907">
        <v>1.15E-2</v>
      </c>
      <c r="X115" s="907">
        <v>1.15E-2</v>
      </c>
      <c r="Y115" s="907">
        <v>1.15E-2</v>
      </c>
      <c r="Z115" s="907">
        <v>1.15E-2</v>
      </c>
      <c r="AA115" s="907">
        <v>1.15E-2</v>
      </c>
      <c r="AB115" s="907">
        <v>1.15E-2</v>
      </c>
      <c r="AC115" s="907">
        <v>1.15E-2</v>
      </c>
      <c r="AD115" s="907">
        <v>1.15E-2</v>
      </c>
      <c r="AE115" s="991">
        <v>1.15E-2</v>
      </c>
      <c r="AF115" s="990">
        <v>1.35E-2</v>
      </c>
      <c r="AG115" s="990">
        <v>1.35E-2</v>
      </c>
      <c r="AH115" s="991">
        <v>1.35E-2</v>
      </c>
      <c r="AI115" s="990">
        <v>1.4500000000000001E-2</v>
      </c>
      <c r="AJ115" s="907">
        <v>1.4500000000000001E-2</v>
      </c>
      <c r="AK115" s="990">
        <v>1.4500000000000001E-2</v>
      </c>
      <c r="AL115" s="907">
        <v>1.4500000000000001E-2</v>
      </c>
      <c r="AM115" s="991">
        <v>1.4500000000000001E-2</v>
      </c>
      <c r="AN115" s="991">
        <v>1.6500000000000001E-2</v>
      </c>
      <c r="AO115" s="990">
        <v>1.6500000000000001E-2</v>
      </c>
      <c r="AP115" s="1009">
        <v>1.7000000000000001E-2</v>
      </c>
      <c r="AQ115" s="1019">
        <v>1.7000000000000001E-2</v>
      </c>
      <c r="AR115" s="1019" t="s">
        <v>346</v>
      </c>
      <c r="AS115" s="1009">
        <f t="shared" ref="AS115:BD115" si="34">AT116</f>
        <v>0</v>
      </c>
      <c r="AT115" s="1009">
        <f t="shared" si="34"/>
        <v>0</v>
      </c>
      <c r="AU115" s="1009">
        <f t="shared" si="34"/>
        <v>0</v>
      </c>
      <c r="AV115" s="1009">
        <f t="shared" si="34"/>
        <v>0</v>
      </c>
      <c r="AW115" s="1009">
        <f t="shared" si="34"/>
        <v>0</v>
      </c>
      <c r="AX115" s="1009">
        <f t="shared" si="34"/>
        <v>0</v>
      </c>
      <c r="AY115" s="1019">
        <f t="shared" si="34"/>
        <v>0</v>
      </c>
      <c r="AZ115" s="1009">
        <f t="shared" si="34"/>
        <v>0</v>
      </c>
      <c r="BA115" s="1009">
        <f t="shared" si="34"/>
        <v>0</v>
      </c>
      <c r="BB115" s="1009">
        <f t="shared" si="34"/>
        <v>0</v>
      </c>
      <c r="BC115" s="1009">
        <f t="shared" si="34"/>
        <v>0</v>
      </c>
      <c r="BD115" s="1009">
        <f t="shared" si="34"/>
        <v>0</v>
      </c>
      <c r="BE115" s="1009" t="s">
        <v>345</v>
      </c>
      <c r="BF115" s="1009" t="s">
        <v>345</v>
      </c>
      <c r="BG115" s="1009" t="s">
        <v>344</v>
      </c>
      <c r="BH115" s="1009" t="s">
        <v>344</v>
      </c>
      <c r="BI115" s="1009">
        <v>2.3E-2</v>
      </c>
      <c r="BJ115" s="1009">
        <v>2.3E-2</v>
      </c>
      <c r="BK115" s="1009">
        <v>2.3E-2</v>
      </c>
      <c r="BL115" s="1009">
        <v>2.3E-2</v>
      </c>
      <c r="BM115" s="1009">
        <v>2.3E-2</v>
      </c>
      <c r="BN115" s="1009">
        <v>2.3E-2</v>
      </c>
      <c r="BO115" s="1009">
        <v>2.3E-2</v>
      </c>
      <c r="BP115" s="1009">
        <v>2.3E-2</v>
      </c>
      <c r="BQ115" s="1009">
        <v>2.3E-2</v>
      </c>
      <c r="BR115" s="1019">
        <v>2.3E-2</v>
      </c>
      <c r="BS115" s="1009">
        <v>2.5000000000000001E-2</v>
      </c>
      <c r="BT115" s="1009">
        <v>2.5000000000000001E-2</v>
      </c>
      <c r="BU115" s="1009">
        <v>2.5000000000000001E-2</v>
      </c>
      <c r="BV115" s="1009">
        <v>2.5000000000000001E-2</v>
      </c>
      <c r="BW115" s="1009">
        <v>2.5000000000000001E-2</v>
      </c>
      <c r="BX115" s="1009">
        <v>2.5000000000000001E-2</v>
      </c>
      <c r="BY115" s="1009">
        <v>2.5000000000000001E-2</v>
      </c>
      <c r="BZ115" s="1009">
        <v>2.4E-2</v>
      </c>
      <c r="CA115" s="1009">
        <v>2.4E-2</v>
      </c>
      <c r="CB115" s="1009" t="s">
        <v>124</v>
      </c>
      <c r="CC115" s="1009" t="s">
        <v>124</v>
      </c>
      <c r="CD115" s="1009" t="s">
        <v>124</v>
      </c>
      <c r="CE115" s="1009" t="s">
        <v>124</v>
      </c>
      <c r="CF115" s="1009" t="s">
        <v>124</v>
      </c>
      <c r="CG115" s="1009" t="s">
        <v>124</v>
      </c>
      <c r="CH115" s="1009" t="s">
        <v>124</v>
      </c>
      <c r="CI115" s="1011" t="s">
        <v>124</v>
      </c>
      <c r="CJ115" s="1009">
        <v>2.8000000000000001E-2</v>
      </c>
      <c r="CK115" s="1009" t="s">
        <v>343</v>
      </c>
      <c r="CL115" s="1009" t="s">
        <v>343</v>
      </c>
      <c r="CM115" s="1009" t="s">
        <v>343</v>
      </c>
      <c r="CN115" s="1009" t="s">
        <v>343</v>
      </c>
      <c r="CO115" s="1011">
        <v>2.8000000000000001E-2</v>
      </c>
      <c r="CP115" s="1011">
        <v>2.5999999999999999E-2</v>
      </c>
      <c r="CQ115" s="1011">
        <v>2.5999999999999999E-2</v>
      </c>
      <c r="CR115" s="1011">
        <v>2.5999999999999999E-2</v>
      </c>
      <c r="CS115" s="1011">
        <v>2.8000000000000001E-2</v>
      </c>
      <c r="CT115" s="261"/>
      <c r="CU115" s="261"/>
      <c r="CV115" s="261"/>
      <c r="CW115" s="261"/>
      <c r="CX115" s="261"/>
      <c r="CY115" s="261"/>
      <c r="CZ115" s="261"/>
      <c r="DA115" s="261"/>
      <c r="DB115" s="261"/>
      <c r="DC115" s="261"/>
      <c r="DD115" s="261"/>
      <c r="DE115" s="261"/>
      <c r="DF115" s="261"/>
      <c r="DG115" s="261"/>
      <c r="DH115" s="261"/>
      <c r="DI115" s="261"/>
      <c r="DJ115" s="261"/>
      <c r="DK115" s="261"/>
      <c r="DL115" s="261"/>
      <c r="DM115" s="261"/>
      <c r="DN115" s="261"/>
      <c r="DO115" s="261"/>
      <c r="DP115" s="261"/>
      <c r="DQ115" s="261"/>
      <c r="DR115" s="261"/>
      <c r="DS115" s="261"/>
      <c r="DT115" s="261"/>
      <c r="DU115" s="261"/>
      <c r="DV115" s="261"/>
      <c r="DW115" s="261"/>
      <c r="DX115" s="261"/>
      <c r="DY115" s="261"/>
      <c r="DZ115" s="261"/>
      <c r="EA115" s="261"/>
      <c r="EB115" s="261"/>
      <c r="EC115" s="261"/>
      <c r="ED115" s="261"/>
      <c r="EE115" s="261"/>
      <c r="EF115" s="261"/>
      <c r="EG115" s="261"/>
      <c r="EH115" s="261"/>
      <c r="EI115" s="261"/>
      <c r="EJ115" s="261"/>
      <c r="EK115" s="261"/>
      <c r="EL115" s="261"/>
      <c r="EM115" s="261"/>
      <c r="EN115" s="261"/>
      <c r="EO115" s="261"/>
      <c r="EP115" s="261"/>
      <c r="EQ115" s="261"/>
      <c r="ER115" s="261"/>
      <c r="ES115" s="261"/>
      <c r="ET115" s="261"/>
      <c r="EU115" s="261"/>
      <c r="EV115" s="261"/>
      <c r="EW115" s="261"/>
      <c r="EX115" s="261"/>
      <c r="EY115" s="261"/>
      <c r="EZ115" s="1042" t="s">
        <v>342</v>
      </c>
      <c r="FA115" s="235"/>
      <c r="FB115" s="254"/>
      <c r="FC115" s="231"/>
      <c r="FD115" s="236"/>
      <c r="FE115" s="238"/>
      <c r="FF115" s="237"/>
      <c r="FG115" s="231"/>
      <c r="FH115" s="236"/>
      <c r="FI115" s="231"/>
      <c r="FJ115" s="236"/>
      <c r="FK115" s="236"/>
      <c r="FL115" s="231"/>
      <c r="FM115" s="231"/>
      <c r="FN115" s="267"/>
      <c r="FO115" s="267"/>
      <c r="FP115" s="267"/>
      <c r="FQ115" s="267"/>
      <c r="FR115" s="267"/>
      <c r="FS115" s="235"/>
      <c r="FT115" s="267"/>
      <c r="FU115" s="235"/>
      <c r="FV115" s="235"/>
      <c r="FW115" s="235"/>
      <c r="FX115" s="235"/>
      <c r="FY115" s="261"/>
      <c r="FZ115" s="261"/>
      <c r="GA115" s="261"/>
      <c r="GB115" s="261"/>
      <c r="GC115" s="261"/>
      <c r="GD115" s="261"/>
      <c r="GE115" s="261"/>
      <c r="GF115" s="261"/>
      <c r="GG115" s="261"/>
      <c r="GH115" s="261"/>
      <c r="GI115" s="261"/>
      <c r="GJ115" s="261"/>
      <c r="GK115" s="261"/>
      <c r="GL115" s="261"/>
      <c r="GM115" s="261"/>
      <c r="GN115" s="261"/>
      <c r="GO115" s="261"/>
      <c r="GP115" s="261"/>
      <c r="GQ115" s="261"/>
      <c r="GR115" s="261"/>
      <c r="GS115" s="261"/>
      <c r="GT115" s="261"/>
      <c r="GU115" s="261"/>
      <c r="GV115" s="261"/>
      <c r="GW115" s="261"/>
      <c r="GX115" s="261"/>
      <c r="GY115" s="261"/>
      <c r="GZ115" s="261"/>
      <c r="HA115" s="261"/>
      <c r="HB115" s="261"/>
      <c r="HC115" s="261"/>
      <c r="HD115" s="261"/>
      <c r="HE115" s="261"/>
      <c r="HF115" s="973">
        <f>C115-D115</f>
        <v>0</v>
      </c>
    </row>
    <row r="116" spans="1:215">
      <c r="A116" s="1060"/>
      <c r="B116" s="840" t="s">
        <v>813</v>
      </c>
      <c r="C116" s="906"/>
      <c r="D116" s="906"/>
      <c r="E116" s="906"/>
      <c r="F116" s="908"/>
      <c r="G116" s="908"/>
      <c r="H116" s="908"/>
      <c r="I116" s="908"/>
      <c r="J116" s="908"/>
      <c r="K116" s="908"/>
      <c r="L116" s="992"/>
      <c r="M116" s="908"/>
      <c r="N116" s="908"/>
      <c r="O116" s="908"/>
      <c r="P116" s="908"/>
      <c r="Q116" s="908"/>
      <c r="R116" s="908"/>
      <c r="S116" s="908"/>
      <c r="T116" s="908"/>
      <c r="U116" s="908"/>
      <c r="V116" s="908"/>
      <c r="W116" s="908"/>
      <c r="X116" s="908"/>
      <c r="Y116" s="908"/>
      <c r="Z116" s="908"/>
      <c r="AA116" s="908"/>
      <c r="AB116" s="908"/>
      <c r="AC116" s="908"/>
      <c r="AD116" s="908"/>
      <c r="AE116" s="992"/>
      <c r="AF116" s="953"/>
      <c r="AG116" s="953"/>
      <c r="AH116" s="992"/>
      <c r="AI116" s="953"/>
      <c r="AJ116" s="908"/>
      <c r="AK116" s="953"/>
      <c r="AL116" s="908"/>
      <c r="AM116" s="992"/>
      <c r="AN116" s="992"/>
      <c r="AO116" s="953"/>
      <c r="AP116" s="1011"/>
      <c r="AQ116" s="1020"/>
      <c r="AR116" s="1020"/>
      <c r="AS116" s="1011"/>
      <c r="AT116" s="1011"/>
      <c r="AU116" s="1011"/>
      <c r="AV116" s="1011"/>
      <c r="AW116" s="1011"/>
      <c r="AX116" s="1011"/>
      <c r="AY116" s="1020"/>
      <c r="AZ116" s="1011"/>
      <c r="BA116" s="1011"/>
      <c r="BB116" s="1011"/>
      <c r="BC116" s="1011"/>
      <c r="BD116" s="1011"/>
      <c r="BE116" s="1011"/>
      <c r="BF116" s="1011"/>
      <c r="BG116" s="1011"/>
      <c r="BH116" s="1011"/>
      <c r="BI116" s="1011"/>
      <c r="BJ116" s="1011"/>
      <c r="BK116" s="1011"/>
      <c r="BL116" s="1011"/>
      <c r="BM116" s="1011"/>
      <c r="BN116" s="1011"/>
      <c r="BO116" s="1011"/>
      <c r="BP116" s="1011"/>
      <c r="BQ116" s="1011"/>
      <c r="BR116" s="1020"/>
      <c r="BS116" s="1011"/>
      <c r="BT116" s="1011"/>
      <c r="BU116" s="1011"/>
      <c r="BV116" s="1011"/>
      <c r="BW116" s="1011"/>
      <c r="BX116" s="1011"/>
      <c r="BY116" s="1011"/>
      <c r="BZ116" s="1011"/>
      <c r="CA116" s="1011"/>
      <c r="CB116" s="1011"/>
      <c r="CC116" s="1011"/>
      <c r="CD116" s="1011"/>
      <c r="CE116" s="1011"/>
      <c r="CF116" s="1011"/>
      <c r="CG116" s="1011"/>
      <c r="CH116" s="1011"/>
      <c r="CI116" s="1011"/>
      <c r="CJ116" s="1011"/>
      <c r="CK116" s="1011"/>
      <c r="CL116" s="1011"/>
      <c r="CM116" s="1011"/>
      <c r="CN116" s="1011"/>
      <c r="CO116" s="1011"/>
      <c r="CP116" s="1011"/>
      <c r="CQ116" s="1011"/>
      <c r="CR116" s="1011"/>
      <c r="CS116" s="1011"/>
      <c r="CT116" s="261">
        <v>2.8000000000000001E-2</v>
      </c>
      <c r="CU116" s="261">
        <v>2.8000000000000001E-2</v>
      </c>
      <c r="CV116" s="261">
        <v>2.8000000000000001E-2</v>
      </c>
      <c r="CW116" s="261">
        <v>2.8000000000000001E-2</v>
      </c>
      <c r="CX116" s="261">
        <v>2.8000000000000001E-2</v>
      </c>
      <c r="CY116" s="261">
        <v>2.8000000000000001E-2</v>
      </c>
      <c r="CZ116" s="261">
        <v>2.8000000000000001E-2</v>
      </c>
      <c r="DA116" s="261">
        <v>2.8000000000000001E-2</v>
      </c>
      <c r="DB116" s="261">
        <v>2.8000000000000001E-2</v>
      </c>
      <c r="DC116" s="261">
        <v>2.8000000000000001E-2</v>
      </c>
      <c r="DD116" s="261" t="s">
        <v>124</v>
      </c>
      <c r="DE116" s="261"/>
      <c r="DF116" s="261"/>
      <c r="DG116" s="261"/>
      <c r="DH116" s="261"/>
      <c r="DI116" s="261"/>
      <c r="DJ116" s="261"/>
      <c r="DK116" s="261"/>
      <c r="DL116" s="261"/>
      <c r="DM116" s="261"/>
      <c r="DN116" s="261"/>
      <c r="DO116" s="261"/>
      <c r="DP116" s="261"/>
      <c r="DQ116" s="261"/>
      <c r="DR116" s="261"/>
      <c r="DS116" s="261"/>
      <c r="DT116" s="261"/>
      <c r="DU116" s="261"/>
      <c r="DV116" s="261"/>
      <c r="DW116" s="261"/>
      <c r="DX116" s="261"/>
      <c r="DY116" s="261"/>
      <c r="DZ116" s="261"/>
      <c r="EA116" s="261"/>
      <c r="EB116" s="261"/>
      <c r="EC116" s="261"/>
      <c r="ED116" s="261"/>
      <c r="EE116" s="261"/>
      <c r="EF116" s="261"/>
      <c r="EG116" s="261"/>
      <c r="EH116" s="261"/>
      <c r="EI116" s="261"/>
      <c r="EJ116" s="261"/>
      <c r="EK116" s="261"/>
      <c r="EL116" s="261"/>
      <c r="EM116" s="261"/>
      <c r="EN116" s="261"/>
      <c r="EO116" s="261"/>
      <c r="EP116" s="261"/>
      <c r="EQ116" s="261"/>
      <c r="ER116" s="261"/>
      <c r="ES116" s="261"/>
      <c r="ET116" s="261"/>
      <c r="EU116" s="261"/>
      <c r="EV116" s="261"/>
      <c r="EW116" s="261"/>
      <c r="EX116" s="261"/>
      <c r="EY116" s="261"/>
      <c r="EZ116" s="1042"/>
      <c r="FA116" s="235"/>
      <c r="FB116" s="254"/>
      <c r="FC116" s="231"/>
      <c r="FD116" s="236"/>
      <c r="FE116" s="238"/>
      <c r="FF116" s="237"/>
      <c r="FG116" s="231"/>
      <c r="FH116" s="236"/>
      <c r="FI116" s="231"/>
      <c r="FJ116" s="236"/>
      <c r="FK116" s="236"/>
      <c r="FL116" s="231"/>
      <c r="FM116" s="231"/>
      <c r="FN116" s="267"/>
      <c r="FO116" s="267"/>
      <c r="FP116" s="267"/>
      <c r="FQ116" s="267"/>
      <c r="FR116" s="267"/>
      <c r="FS116" s="235"/>
      <c r="FT116" s="267"/>
      <c r="FU116" s="235"/>
      <c r="FV116" s="235"/>
      <c r="FW116" s="235"/>
      <c r="FX116" s="235"/>
      <c r="FY116" s="261"/>
      <c r="FZ116" s="261"/>
      <c r="GA116" s="261"/>
      <c r="GB116" s="261"/>
      <c r="GC116" s="261"/>
      <c r="GD116" s="261"/>
      <c r="GE116" s="261"/>
      <c r="GF116" s="261"/>
      <c r="GG116" s="261"/>
      <c r="GH116" s="261"/>
      <c r="GI116" s="261"/>
      <c r="GJ116" s="261"/>
      <c r="GK116" s="261"/>
      <c r="GL116" s="261"/>
      <c r="GM116" s="261"/>
      <c r="GN116" s="261"/>
      <c r="GO116" s="261"/>
      <c r="GP116" s="261"/>
      <c r="GQ116" s="261"/>
      <c r="GR116" s="261"/>
      <c r="GS116" s="261"/>
      <c r="GT116" s="261"/>
      <c r="GU116" s="261"/>
      <c r="GV116" s="261"/>
      <c r="GW116" s="261"/>
      <c r="GX116" s="261"/>
      <c r="GY116" s="261"/>
      <c r="GZ116" s="261"/>
      <c r="HA116" s="261"/>
      <c r="HB116" s="261"/>
      <c r="HC116" s="261"/>
      <c r="HD116" s="261"/>
      <c r="HE116" s="261"/>
      <c r="HF116" s="973"/>
    </row>
    <row r="117" spans="1:215" s="263" customFormat="1">
      <c r="A117" s="1060"/>
      <c r="B117" s="655" t="s">
        <v>341</v>
      </c>
      <c r="C117" s="906"/>
      <c r="D117" s="906"/>
      <c r="E117" s="906"/>
      <c r="F117" s="908"/>
      <c r="G117" s="908"/>
      <c r="H117" s="908"/>
      <c r="I117" s="908"/>
      <c r="J117" s="908"/>
      <c r="K117" s="908"/>
      <c r="L117" s="992"/>
      <c r="M117" s="908"/>
      <c r="N117" s="908"/>
      <c r="O117" s="908"/>
      <c r="P117" s="908"/>
      <c r="Q117" s="908"/>
      <c r="R117" s="908"/>
      <c r="S117" s="908"/>
      <c r="T117" s="908"/>
      <c r="U117" s="908"/>
      <c r="V117" s="908"/>
      <c r="W117" s="908"/>
      <c r="X117" s="908"/>
      <c r="Y117" s="908"/>
      <c r="Z117" s="908"/>
      <c r="AA117" s="908"/>
      <c r="AB117" s="908"/>
      <c r="AC117" s="908"/>
      <c r="AD117" s="908"/>
      <c r="AE117" s="992"/>
      <c r="AF117" s="953"/>
      <c r="AG117" s="953"/>
      <c r="AH117" s="992"/>
      <c r="AI117" s="953"/>
      <c r="AJ117" s="908"/>
      <c r="AK117" s="953"/>
      <c r="AL117" s="908"/>
      <c r="AM117" s="992"/>
      <c r="AN117" s="992"/>
      <c r="AO117" s="953"/>
      <c r="AP117" s="1011"/>
      <c r="AQ117" s="1020"/>
      <c r="AR117" s="1020"/>
      <c r="AS117" s="1011"/>
      <c r="AT117" s="1011"/>
      <c r="AU117" s="1011"/>
      <c r="AV117" s="1011"/>
      <c r="AW117" s="1011"/>
      <c r="AX117" s="1011"/>
      <c r="AY117" s="1020"/>
      <c r="AZ117" s="1011"/>
      <c r="BA117" s="1011"/>
      <c r="BB117" s="1011"/>
      <c r="BC117" s="1011"/>
      <c r="BD117" s="1011"/>
      <c r="BE117" s="1011"/>
      <c r="BF117" s="1011"/>
      <c r="BG117" s="1011"/>
      <c r="BH117" s="1011"/>
      <c r="BI117" s="1011"/>
      <c r="BJ117" s="1011"/>
      <c r="BK117" s="1011"/>
      <c r="BL117" s="1011"/>
      <c r="BM117" s="1011"/>
      <c r="BN117" s="1011"/>
      <c r="BO117" s="1011"/>
      <c r="BP117" s="1011"/>
      <c r="BQ117" s="1011"/>
      <c r="BR117" s="1020"/>
      <c r="BS117" s="1011"/>
      <c r="BT117" s="1011"/>
      <c r="BU117" s="1011"/>
      <c r="BV117" s="1011"/>
      <c r="BW117" s="1011"/>
      <c r="BX117" s="1011"/>
      <c r="BY117" s="1011"/>
      <c r="BZ117" s="1011"/>
      <c r="CA117" s="1011"/>
      <c r="CB117" s="1011"/>
      <c r="CC117" s="1011"/>
      <c r="CD117" s="1011"/>
      <c r="CE117" s="1011"/>
      <c r="CF117" s="1011"/>
      <c r="CG117" s="1011"/>
      <c r="CH117" s="1011"/>
      <c r="CI117" s="1011"/>
      <c r="CJ117" s="1011"/>
      <c r="CK117" s="1011"/>
      <c r="CL117" s="1011"/>
      <c r="CM117" s="1011"/>
      <c r="CN117" s="1011"/>
      <c r="CO117" s="1011"/>
      <c r="CP117" s="265"/>
      <c r="CQ117" s="265"/>
      <c r="CR117" s="265"/>
      <c r="CS117" s="265"/>
      <c r="CT117" s="265"/>
      <c r="CU117" s="265"/>
      <c r="CV117" s="265"/>
      <c r="CW117" s="265"/>
      <c r="CX117" s="265"/>
      <c r="CY117" s="265"/>
      <c r="CZ117" s="265"/>
      <c r="DA117" s="265"/>
      <c r="DB117" s="265"/>
      <c r="DC117" s="265"/>
      <c r="DD117" s="265"/>
      <c r="DE117" s="265"/>
      <c r="DF117" s="265"/>
      <c r="DG117" s="265"/>
      <c r="DH117" s="265"/>
      <c r="DI117" s="265"/>
      <c r="DJ117" s="265"/>
      <c r="DK117" s="265"/>
      <c r="DL117" s="265"/>
      <c r="DM117" s="265"/>
      <c r="DN117" s="265"/>
      <c r="DO117" s="265"/>
      <c r="DP117" s="265"/>
      <c r="DQ117" s="265"/>
      <c r="DR117" s="265"/>
      <c r="DS117" s="265"/>
      <c r="DT117" s="265"/>
      <c r="DU117" s="265"/>
      <c r="DV117" s="265"/>
      <c r="DW117" s="265"/>
      <c r="DX117" s="265"/>
      <c r="DY117" s="265"/>
      <c r="DZ117" s="265"/>
      <c r="EA117" s="265"/>
      <c r="EB117" s="265"/>
      <c r="EC117" s="265"/>
      <c r="ED117" s="265"/>
      <c r="EE117" s="265"/>
      <c r="EF117" s="265"/>
      <c r="EG117" s="265"/>
      <c r="EH117" s="265"/>
      <c r="EI117" s="265"/>
      <c r="EJ117" s="265"/>
      <c r="EK117" s="265"/>
      <c r="EL117" s="265"/>
      <c r="EM117" s="265"/>
      <c r="EN117" s="265"/>
      <c r="EO117" s="265"/>
      <c r="EP117" s="265"/>
      <c r="EQ117" s="265"/>
      <c r="ER117" s="265"/>
      <c r="ES117" s="265"/>
      <c r="ET117" s="265"/>
      <c r="EU117" s="265"/>
      <c r="EV117" s="265"/>
      <c r="EW117" s="265"/>
      <c r="EX117" s="265"/>
      <c r="EY117" s="265"/>
      <c r="EZ117" s="1042"/>
      <c r="FA117" s="226"/>
      <c r="FB117" s="230"/>
      <c r="FC117" s="228"/>
      <c r="FD117" s="227"/>
      <c r="FE117" s="230"/>
      <c r="FF117" s="229"/>
      <c r="FG117" s="228"/>
      <c r="FH117" s="227"/>
      <c r="FI117" s="228"/>
      <c r="FJ117" s="227"/>
      <c r="FK117" s="227"/>
      <c r="FL117" s="228"/>
      <c r="FM117" s="228"/>
      <c r="FN117" s="266"/>
      <c r="FO117" s="266"/>
      <c r="FP117" s="266"/>
      <c r="FQ117" s="266"/>
      <c r="FR117" s="266"/>
      <c r="FS117" s="226"/>
      <c r="FT117" s="266"/>
      <c r="FU117" s="226"/>
      <c r="FV117" s="226"/>
      <c r="FW117" s="226"/>
      <c r="FX117" s="226"/>
      <c r="FY117" s="265"/>
      <c r="FZ117" s="265"/>
      <c r="GA117" s="265"/>
      <c r="GB117" s="265"/>
      <c r="GC117" s="265"/>
      <c r="GD117" s="265"/>
      <c r="GE117" s="265"/>
      <c r="GF117" s="265"/>
      <c r="GG117" s="265"/>
      <c r="GH117" s="265"/>
      <c r="GI117" s="265"/>
      <c r="GJ117" s="265"/>
      <c r="GK117" s="265"/>
      <c r="GL117" s="265"/>
      <c r="GM117" s="265"/>
      <c r="GN117" s="265"/>
      <c r="GO117" s="265"/>
      <c r="GP117" s="265"/>
      <c r="GQ117" s="265"/>
      <c r="GR117" s="265"/>
      <c r="GS117" s="265"/>
      <c r="GT117" s="265"/>
      <c r="GU117" s="265"/>
      <c r="GV117" s="265"/>
      <c r="GW117" s="265"/>
      <c r="GX117" s="265"/>
      <c r="GY117" s="265"/>
      <c r="GZ117" s="265"/>
      <c r="HA117" s="265"/>
      <c r="HB117" s="265"/>
      <c r="HC117" s="265"/>
      <c r="HD117" s="265"/>
      <c r="HE117" s="265"/>
      <c r="HF117" s="973"/>
      <c r="HG117" s="264"/>
    </row>
    <row r="118" spans="1:215" ht="20.399999999999999">
      <c r="A118" s="758" t="s">
        <v>340</v>
      </c>
      <c r="B118" s="742"/>
      <c r="C118" s="742"/>
      <c r="D118" s="742"/>
      <c r="E118" s="742"/>
      <c r="F118" s="742"/>
      <c r="G118" s="742"/>
      <c r="H118" s="742"/>
      <c r="I118" s="742"/>
      <c r="J118" s="742"/>
      <c r="K118" s="742"/>
      <c r="L118" s="742"/>
      <c r="M118" s="742"/>
      <c r="N118" s="742"/>
      <c r="O118" s="742"/>
      <c r="P118" s="742"/>
      <c r="Q118" s="742"/>
      <c r="R118" s="742"/>
      <c r="S118" s="742"/>
      <c r="T118" s="742"/>
      <c r="U118" s="742"/>
      <c r="V118" s="742"/>
      <c r="W118" s="742"/>
      <c r="X118" s="742"/>
      <c r="Y118" s="742"/>
      <c r="Z118" s="742"/>
      <c r="AA118" s="742"/>
      <c r="AB118" s="742"/>
      <c r="AC118" s="742"/>
      <c r="AD118" s="742"/>
      <c r="AE118" s="742"/>
      <c r="AF118" s="742"/>
      <c r="AG118" s="742"/>
      <c r="AH118" s="742"/>
      <c r="AI118" s="742"/>
      <c r="AJ118" s="742"/>
      <c r="AK118" s="742"/>
      <c r="AL118" s="742"/>
      <c r="AM118" s="742"/>
      <c r="AN118" s="742"/>
      <c r="AO118" s="742"/>
      <c r="AP118" s="742"/>
      <c r="AQ118" s="742"/>
      <c r="AR118" s="742"/>
      <c r="AS118" s="742"/>
      <c r="AT118" s="742"/>
      <c r="AU118" s="742"/>
      <c r="AV118" s="742"/>
      <c r="AW118" s="742"/>
      <c r="AX118" s="742"/>
      <c r="AY118" s="742"/>
      <c r="AZ118" s="742"/>
      <c r="BA118" s="742"/>
      <c r="BB118" s="742"/>
      <c r="BC118" s="742"/>
      <c r="BD118" s="742"/>
      <c r="BE118" s="742"/>
      <c r="BF118" s="742"/>
      <c r="BG118" s="742"/>
      <c r="BH118" s="742"/>
      <c r="BI118" s="742"/>
      <c r="BJ118" s="742"/>
      <c r="BK118" s="742"/>
      <c r="BL118" s="742"/>
      <c r="BM118" s="742"/>
      <c r="BN118" s="742"/>
      <c r="BO118" s="742"/>
      <c r="BP118" s="742"/>
      <c r="BQ118" s="742"/>
      <c r="BR118" s="742"/>
      <c r="BS118" s="742"/>
      <c r="BT118" s="742"/>
      <c r="BU118" s="742"/>
      <c r="BV118" s="742"/>
      <c r="BW118" s="742"/>
      <c r="BX118" s="742"/>
      <c r="BY118" s="742"/>
      <c r="BZ118" s="742"/>
      <c r="CA118" s="742"/>
      <c r="CB118" s="742"/>
      <c r="CC118" s="742"/>
      <c r="CD118" s="742"/>
      <c r="CE118" s="742"/>
      <c r="CF118" s="742"/>
      <c r="CG118" s="742"/>
      <c r="CH118" s="742"/>
      <c r="CI118" s="742"/>
      <c r="CJ118" s="742"/>
      <c r="CK118" s="742"/>
      <c r="CL118" s="742"/>
      <c r="CM118" s="742"/>
      <c r="CN118" s="742"/>
      <c r="CO118" s="742"/>
      <c r="CP118" s="742"/>
      <c r="CQ118" s="742"/>
      <c r="CR118" s="742"/>
      <c r="CS118" s="742"/>
      <c r="CT118" s="742"/>
      <c r="CU118" s="742"/>
      <c r="CV118" s="742"/>
      <c r="CW118" s="742"/>
      <c r="CX118" s="742"/>
      <c r="CY118" s="742"/>
      <c r="CZ118" s="742"/>
      <c r="DA118" s="742"/>
      <c r="DB118" s="742"/>
      <c r="DC118" s="742"/>
      <c r="DD118" s="742"/>
      <c r="DE118" s="742"/>
      <c r="DF118" s="742"/>
      <c r="DG118" s="742"/>
      <c r="DH118" s="742"/>
      <c r="DI118" s="742"/>
      <c r="DJ118" s="742"/>
      <c r="DK118" s="742"/>
      <c r="DL118" s="742"/>
      <c r="DM118" s="742"/>
      <c r="DN118" s="742"/>
      <c r="DO118" s="742"/>
      <c r="DP118" s="742"/>
      <c r="DQ118" s="742"/>
      <c r="DR118" s="742"/>
      <c r="DS118" s="742"/>
      <c r="DT118" s="742"/>
      <c r="DU118" s="742"/>
      <c r="DV118" s="742"/>
      <c r="DW118" s="742"/>
      <c r="DX118" s="742"/>
      <c r="DY118" s="742"/>
      <c r="DZ118" s="742"/>
      <c r="EA118" s="742"/>
      <c r="EB118" s="742"/>
      <c r="EC118" s="742"/>
      <c r="ED118" s="742"/>
      <c r="EE118" s="742"/>
      <c r="EF118" s="742"/>
      <c r="EG118" s="742"/>
      <c r="EH118" s="742"/>
      <c r="EI118" s="742"/>
      <c r="EJ118" s="742"/>
      <c r="EK118" s="742"/>
      <c r="EL118" s="742"/>
      <c r="EM118" s="742"/>
      <c r="EN118" s="742"/>
      <c r="EO118" s="742"/>
      <c r="EP118" s="742"/>
      <c r="EQ118" s="742"/>
      <c r="ER118" s="742"/>
      <c r="ES118" s="742"/>
      <c r="ET118" s="742"/>
      <c r="EU118" s="742"/>
      <c r="EV118" s="742"/>
      <c r="EW118" s="742"/>
      <c r="EX118" s="742"/>
      <c r="EY118" s="742"/>
      <c r="EZ118" s="742"/>
      <c r="FA118" s="742"/>
      <c r="FB118" s="742"/>
      <c r="FC118" s="742"/>
      <c r="FD118" s="742"/>
      <c r="FE118" s="742"/>
      <c r="FF118" s="742"/>
      <c r="FG118" s="742"/>
      <c r="FH118" s="742"/>
      <c r="FI118" s="742"/>
      <c r="FJ118" s="742"/>
      <c r="FK118" s="742"/>
      <c r="FL118" s="742"/>
      <c r="FM118" s="742"/>
      <c r="FN118" s="742"/>
      <c r="FO118" s="742"/>
      <c r="FP118" s="742"/>
      <c r="FQ118" s="742"/>
      <c r="FR118" s="742"/>
      <c r="FS118" s="742"/>
      <c r="FT118" s="742"/>
      <c r="FU118" s="742"/>
      <c r="FV118" s="742"/>
      <c r="FW118" s="742"/>
      <c r="FX118" s="742"/>
      <c r="FY118" s="742"/>
      <c r="FZ118" s="742"/>
      <c r="GA118" s="742"/>
      <c r="GB118" s="742"/>
      <c r="GC118" s="742"/>
      <c r="GD118" s="742"/>
      <c r="GE118" s="742"/>
      <c r="GF118" s="742"/>
      <c r="GG118" s="742"/>
      <c r="GH118" s="742"/>
      <c r="GI118" s="742"/>
      <c r="GJ118" s="742"/>
      <c r="GK118" s="742"/>
      <c r="GL118" s="742"/>
      <c r="GM118" s="742"/>
      <c r="GN118" s="742"/>
      <c r="GO118" s="742"/>
      <c r="GP118" s="742"/>
      <c r="GQ118" s="742"/>
      <c r="GR118" s="742"/>
      <c r="GS118" s="742"/>
      <c r="GT118" s="742"/>
      <c r="GU118" s="742"/>
      <c r="GV118" s="742"/>
      <c r="GW118" s="742"/>
      <c r="GX118" s="742"/>
      <c r="GY118" s="742"/>
      <c r="GZ118" s="742"/>
      <c r="HA118" s="742"/>
      <c r="HB118" s="742"/>
      <c r="HC118" s="742"/>
      <c r="HD118" s="742"/>
      <c r="HE118" s="742"/>
      <c r="HF118" s="743"/>
    </row>
    <row r="119" spans="1:215" ht="15.6">
      <c r="A119" s="690" t="s">
        <v>328</v>
      </c>
      <c r="B119" s="652"/>
      <c r="C119" s="653">
        <f t="shared" ref="C119:D119" si="35">C3</f>
        <v>46099</v>
      </c>
      <c r="D119" s="653">
        <f t="shared" si="35"/>
        <v>46092</v>
      </c>
      <c r="E119" s="653">
        <f t="shared" ref="E119" si="36">E3</f>
        <v>46085</v>
      </c>
      <c r="F119" s="653">
        <f t="shared" ref="F119:P119" si="37">F3</f>
        <v>46078</v>
      </c>
      <c r="G119" s="653">
        <f t="shared" ref="G119" si="38">G3</f>
        <v>46071</v>
      </c>
      <c r="H119" s="653">
        <f t="shared" ref="H119" si="39">H3</f>
        <v>46064</v>
      </c>
      <c r="I119" s="653">
        <f>I3</f>
        <v>46057</v>
      </c>
      <c r="J119" s="653">
        <f t="shared" si="37"/>
        <v>46050</v>
      </c>
      <c r="K119" s="653">
        <f t="shared" si="37"/>
        <v>46043</v>
      </c>
      <c r="L119" s="653">
        <f t="shared" si="37"/>
        <v>46036</v>
      </c>
      <c r="M119" s="653">
        <f t="shared" si="37"/>
        <v>46029</v>
      </c>
      <c r="N119" s="653">
        <f t="shared" si="37"/>
        <v>46022</v>
      </c>
      <c r="O119" s="653">
        <f t="shared" si="37"/>
        <v>46015</v>
      </c>
      <c r="P119" s="653">
        <f t="shared" si="37"/>
        <v>46008</v>
      </c>
      <c r="Q119" s="653">
        <f t="shared" ref="Q119:V119" si="40">Q3</f>
        <v>46001</v>
      </c>
      <c r="R119" s="653">
        <f t="shared" si="40"/>
        <v>45994</v>
      </c>
      <c r="S119" s="653">
        <f t="shared" si="40"/>
        <v>46092</v>
      </c>
      <c r="T119" s="591">
        <f t="shared" si="40"/>
        <v>45980</v>
      </c>
      <c r="U119" s="591">
        <f t="shared" si="40"/>
        <v>45973</v>
      </c>
      <c r="V119" s="591">
        <f t="shared" si="40"/>
        <v>45966</v>
      </c>
      <c r="W119" s="247">
        <f t="shared" ref="W119:AF119" si="41">W3</f>
        <v>45959</v>
      </c>
      <c r="X119" s="247">
        <f>X3</f>
        <v>45952</v>
      </c>
      <c r="Y119" s="247">
        <f>Y3</f>
        <v>45945</v>
      </c>
      <c r="Z119" s="247">
        <f>Z3</f>
        <v>45938</v>
      </c>
      <c r="AA119" s="247">
        <f>AA3</f>
        <v>45931</v>
      </c>
      <c r="AB119" s="247">
        <f t="shared" si="41"/>
        <v>45924</v>
      </c>
      <c r="AC119" s="247">
        <f t="shared" si="41"/>
        <v>45917</v>
      </c>
      <c r="AD119" s="247">
        <f t="shared" si="41"/>
        <v>45910</v>
      </c>
      <c r="AE119" s="247">
        <f t="shared" si="41"/>
        <v>46092</v>
      </c>
      <c r="AF119" s="252">
        <f t="shared" si="41"/>
        <v>45896</v>
      </c>
      <c r="AG119" s="252">
        <v>45889</v>
      </c>
      <c r="AH119" s="252">
        <v>45882</v>
      </c>
      <c r="AI119" s="252">
        <v>45875</v>
      </c>
      <c r="AJ119" s="247">
        <v>45868</v>
      </c>
      <c r="AK119" s="252">
        <v>45861</v>
      </c>
      <c r="AL119" s="247">
        <v>45854</v>
      </c>
      <c r="AM119" s="252">
        <v>45847</v>
      </c>
      <c r="AN119" s="252">
        <v>45840</v>
      </c>
      <c r="AO119" s="252">
        <f>AO3</f>
        <v>45833</v>
      </c>
      <c r="AP119" s="247">
        <v>45826</v>
      </c>
      <c r="AQ119" s="247">
        <f t="shared" ref="AQ119:BV119" si="42">AQ3</f>
        <v>45819</v>
      </c>
      <c r="AR119" s="247">
        <f t="shared" si="42"/>
        <v>45812</v>
      </c>
      <c r="AS119" s="247">
        <f t="shared" si="42"/>
        <v>45805</v>
      </c>
      <c r="AT119" s="247">
        <f t="shared" si="42"/>
        <v>45798</v>
      </c>
      <c r="AU119" s="247">
        <f t="shared" si="42"/>
        <v>45792</v>
      </c>
      <c r="AV119" s="247">
        <f t="shared" si="42"/>
        <v>45785</v>
      </c>
      <c r="AW119" s="247">
        <f t="shared" si="42"/>
        <v>45777</v>
      </c>
      <c r="AX119" s="247">
        <f t="shared" si="42"/>
        <v>45771</v>
      </c>
      <c r="AY119" s="247">
        <f t="shared" si="42"/>
        <v>45763</v>
      </c>
      <c r="AZ119" s="247">
        <f t="shared" si="42"/>
        <v>45757</v>
      </c>
      <c r="BA119" s="247">
        <f t="shared" si="42"/>
        <v>45750</v>
      </c>
      <c r="BB119" s="247">
        <f t="shared" si="42"/>
        <v>45742</v>
      </c>
      <c r="BC119" s="247" t="e">
        <f t="shared" si="42"/>
        <v>#REF!</v>
      </c>
      <c r="BD119" s="247">
        <f t="shared" si="42"/>
        <v>45729</v>
      </c>
      <c r="BE119" s="247">
        <f t="shared" si="42"/>
        <v>45722</v>
      </c>
      <c r="BF119" s="247">
        <f t="shared" si="42"/>
        <v>45715</v>
      </c>
      <c r="BG119" s="247">
        <f t="shared" si="42"/>
        <v>45708</v>
      </c>
      <c r="BH119" s="247">
        <f t="shared" si="42"/>
        <v>45701</v>
      </c>
      <c r="BI119" s="247">
        <f t="shared" si="42"/>
        <v>45694</v>
      </c>
      <c r="BJ119" s="247">
        <f t="shared" si="42"/>
        <v>45688</v>
      </c>
      <c r="BK119" s="247">
        <f t="shared" si="42"/>
        <v>45315</v>
      </c>
      <c r="BL119" s="247">
        <f t="shared" si="42"/>
        <v>45673</v>
      </c>
      <c r="BM119" s="247">
        <f t="shared" si="42"/>
        <v>45666</v>
      </c>
      <c r="BN119" s="247">
        <f t="shared" si="42"/>
        <v>45659</v>
      </c>
      <c r="BO119" s="247">
        <f t="shared" si="42"/>
        <v>45652</v>
      </c>
      <c r="BP119" s="247">
        <f t="shared" si="42"/>
        <v>45645</v>
      </c>
      <c r="BQ119" s="247">
        <f t="shared" si="42"/>
        <v>45638</v>
      </c>
      <c r="BR119" s="247">
        <f t="shared" si="42"/>
        <v>45631</v>
      </c>
      <c r="BS119" s="247">
        <f t="shared" si="42"/>
        <v>45625</v>
      </c>
      <c r="BT119" s="247">
        <f t="shared" si="42"/>
        <v>45617</v>
      </c>
      <c r="BU119" s="247">
        <f t="shared" si="42"/>
        <v>45610</v>
      </c>
      <c r="BV119" s="247">
        <f t="shared" si="42"/>
        <v>45603</v>
      </c>
      <c r="BW119" s="247">
        <f t="shared" ref="BW119:DB119" si="43">BW3</f>
        <v>45595</v>
      </c>
      <c r="BX119" s="247">
        <f t="shared" si="43"/>
        <v>45591</v>
      </c>
      <c r="BY119" s="247">
        <f t="shared" si="43"/>
        <v>45582</v>
      </c>
      <c r="BZ119" s="247">
        <f t="shared" si="43"/>
        <v>45575</v>
      </c>
      <c r="CA119" s="247">
        <f t="shared" si="43"/>
        <v>45568</v>
      </c>
      <c r="CB119" s="247">
        <f t="shared" si="43"/>
        <v>45561</v>
      </c>
      <c r="CC119" s="247">
        <f t="shared" si="43"/>
        <v>45554</v>
      </c>
      <c r="CD119" s="247">
        <f t="shared" si="43"/>
        <v>45547</v>
      </c>
      <c r="CE119" s="247">
        <f t="shared" si="43"/>
        <v>45540</v>
      </c>
      <c r="CF119" s="247">
        <f t="shared" si="43"/>
        <v>45533</v>
      </c>
      <c r="CG119" s="247">
        <f t="shared" si="43"/>
        <v>45526</v>
      </c>
      <c r="CH119" s="247">
        <f t="shared" si="43"/>
        <v>45519</v>
      </c>
      <c r="CI119" s="247">
        <f t="shared" si="43"/>
        <v>45511</v>
      </c>
      <c r="CJ119" s="247">
        <f t="shared" si="43"/>
        <v>45505</v>
      </c>
      <c r="CK119" s="247">
        <f t="shared" si="43"/>
        <v>45498</v>
      </c>
      <c r="CL119" s="247">
        <f t="shared" si="43"/>
        <v>45492</v>
      </c>
      <c r="CM119" s="247" t="str">
        <f t="shared" si="43"/>
        <v>11/7/224</v>
      </c>
      <c r="CN119" s="247">
        <f t="shared" si="43"/>
        <v>45477</v>
      </c>
      <c r="CO119" s="247">
        <f t="shared" si="43"/>
        <v>45464</v>
      </c>
      <c r="CP119" s="247">
        <f t="shared" si="43"/>
        <v>45456</v>
      </c>
      <c r="CQ119" s="247">
        <f t="shared" si="43"/>
        <v>45449</v>
      </c>
      <c r="CR119" s="247">
        <f t="shared" si="43"/>
        <v>45442</v>
      </c>
      <c r="CS119" s="247">
        <f t="shared" si="43"/>
        <v>45435</v>
      </c>
      <c r="CT119" s="247">
        <f t="shared" si="43"/>
        <v>45428</v>
      </c>
      <c r="CU119" s="247">
        <f t="shared" si="43"/>
        <v>45421</v>
      </c>
      <c r="CV119" s="247">
        <f t="shared" si="43"/>
        <v>45414</v>
      </c>
      <c r="CW119" s="247">
        <f t="shared" si="43"/>
        <v>45407</v>
      </c>
      <c r="CX119" s="247">
        <f t="shared" si="43"/>
        <v>45400</v>
      </c>
      <c r="CY119" s="247">
        <f t="shared" si="43"/>
        <v>45393</v>
      </c>
      <c r="CZ119" s="247">
        <f t="shared" si="43"/>
        <v>45386</v>
      </c>
      <c r="DA119" s="247">
        <f t="shared" si="43"/>
        <v>45378</v>
      </c>
      <c r="DB119" s="247">
        <f t="shared" si="43"/>
        <v>45372</v>
      </c>
      <c r="DC119" s="247">
        <f t="shared" ref="DC119:EH119" si="44">DC3</f>
        <v>45365</v>
      </c>
      <c r="DD119" s="247">
        <f t="shared" si="44"/>
        <v>45358</v>
      </c>
      <c r="DE119" s="247">
        <f t="shared" si="44"/>
        <v>45351</v>
      </c>
      <c r="DF119" s="247">
        <f t="shared" si="44"/>
        <v>45343</v>
      </c>
      <c r="DG119" s="247">
        <f t="shared" si="44"/>
        <v>45336</v>
      </c>
      <c r="DH119" s="247">
        <f t="shared" si="44"/>
        <v>45329</v>
      </c>
      <c r="DI119" s="247">
        <f t="shared" si="44"/>
        <v>45323</v>
      </c>
      <c r="DJ119" s="247">
        <f t="shared" si="44"/>
        <v>45316</v>
      </c>
      <c r="DK119" s="247">
        <f t="shared" si="44"/>
        <v>45309</v>
      </c>
      <c r="DL119" s="247">
        <f t="shared" si="44"/>
        <v>45302</v>
      </c>
      <c r="DM119" s="247">
        <f t="shared" si="44"/>
        <v>45295</v>
      </c>
      <c r="DN119" s="247">
        <f t="shared" si="44"/>
        <v>45288</v>
      </c>
      <c r="DO119" s="247">
        <f t="shared" si="44"/>
        <v>45281</v>
      </c>
      <c r="DP119" s="247" t="str">
        <f t="shared" si="44"/>
        <v>14/21/2023</v>
      </c>
      <c r="DQ119" s="247">
        <f t="shared" si="44"/>
        <v>45267</v>
      </c>
      <c r="DR119" s="247">
        <f t="shared" si="44"/>
        <v>45260</v>
      </c>
      <c r="DS119" s="247">
        <f t="shared" si="44"/>
        <v>45253</v>
      </c>
      <c r="DT119" s="247">
        <f t="shared" si="44"/>
        <v>45246</v>
      </c>
      <c r="DU119" s="247">
        <f t="shared" si="44"/>
        <v>45239</v>
      </c>
      <c r="DV119" s="247">
        <f t="shared" si="44"/>
        <v>45232</v>
      </c>
      <c r="DW119" s="247">
        <f t="shared" si="44"/>
        <v>45225</v>
      </c>
      <c r="DX119" s="247">
        <f t="shared" si="44"/>
        <v>45218</v>
      </c>
      <c r="DY119" s="247">
        <f t="shared" si="44"/>
        <v>45211</v>
      </c>
      <c r="DZ119" s="247">
        <f t="shared" si="44"/>
        <v>45204</v>
      </c>
      <c r="EA119" s="247">
        <f t="shared" si="44"/>
        <v>45197</v>
      </c>
      <c r="EB119" s="247">
        <f t="shared" si="44"/>
        <v>45190</v>
      </c>
      <c r="EC119" s="247">
        <f t="shared" si="44"/>
        <v>45183</v>
      </c>
      <c r="ED119" s="247">
        <f t="shared" si="44"/>
        <v>45176</v>
      </c>
      <c r="EE119" s="247">
        <f t="shared" si="44"/>
        <v>45168</v>
      </c>
      <c r="EF119" s="247">
        <f t="shared" si="44"/>
        <v>45162</v>
      </c>
      <c r="EG119" s="247">
        <f t="shared" si="44"/>
        <v>45155</v>
      </c>
      <c r="EH119" s="247">
        <f t="shared" si="44"/>
        <v>45148</v>
      </c>
      <c r="EI119" s="247">
        <v>45141</v>
      </c>
      <c r="EJ119" s="247">
        <v>45134</v>
      </c>
      <c r="EK119" s="247">
        <v>45127</v>
      </c>
      <c r="EL119" s="247">
        <v>45120</v>
      </c>
      <c r="EM119" s="247">
        <v>45113</v>
      </c>
      <c r="EN119" s="247">
        <v>45105</v>
      </c>
      <c r="EO119" s="247">
        <v>45099</v>
      </c>
      <c r="EP119" s="247">
        <v>45092</v>
      </c>
      <c r="EQ119" s="247">
        <v>45085</v>
      </c>
      <c r="ER119" s="247">
        <v>45076</v>
      </c>
      <c r="ES119" s="247">
        <v>45070</v>
      </c>
      <c r="ET119" s="247">
        <v>45063</v>
      </c>
      <c r="EU119" s="247">
        <v>45056</v>
      </c>
      <c r="EV119" s="247">
        <v>45049</v>
      </c>
      <c r="EW119" s="247">
        <v>45042</v>
      </c>
      <c r="EX119" s="247">
        <v>45035</v>
      </c>
      <c r="EY119" s="247">
        <v>45028</v>
      </c>
      <c r="EZ119" s="244"/>
      <c r="FA119" s="247">
        <v>44803</v>
      </c>
      <c r="FB119" s="251"/>
      <c r="FC119" s="244"/>
      <c r="FD119" s="248">
        <v>44706</v>
      </c>
      <c r="FE119" s="251"/>
      <c r="FF119" s="250"/>
      <c r="FG119" s="244"/>
      <c r="FH119" s="243" t="s">
        <v>118</v>
      </c>
      <c r="FI119" s="249">
        <v>44685</v>
      </c>
      <c r="FJ119" s="248">
        <v>44699</v>
      </c>
      <c r="FK119" s="248">
        <v>44690</v>
      </c>
      <c r="FL119" s="248">
        <v>44713</v>
      </c>
      <c r="FM119" s="248">
        <v>44720</v>
      </c>
      <c r="FN119" s="247">
        <v>44727</v>
      </c>
      <c r="FO119" s="247">
        <v>44733</v>
      </c>
      <c r="FP119" s="247">
        <v>44741</v>
      </c>
      <c r="FQ119" s="247">
        <v>44755</v>
      </c>
      <c r="FR119" s="247">
        <v>44748</v>
      </c>
      <c r="FS119" s="247">
        <v>44769</v>
      </c>
      <c r="FT119" s="247">
        <v>44762</v>
      </c>
      <c r="FU119" s="247">
        <v>44783</v>
      </c>
      <c r="FV119" s="247">
        <v>44776</v>
      </c>
      <c r="FW119" s="247">
        <v>44797</v>
      </c>
      <c r="FX119" s="247">
        <v>44790</v>
      </c>
      <c r="FY119" s="247">
        <v>44805</v>
      </c>
      <c r="FZ119" s="247">
        <v>45000</v>
      </c>
      <c r="GA119" s="247">
        <v>44993</v>
      </c>
      <c r="GB119" s="247">
        <v>44986</v>
      </c>
      <c r="GC119" s="247">
        <v>44979</v>
      </c>
      <c r="GD119" s="247">
        <v>44972</v>
      </c>
      <c r="GE119" s="247">
        <v>44965</v>
      </c>
      <c r="GF119" s="247">
        <v>44958</v>
      </c>
      <c r="GG119" s="247">
        <v>44951</v>
      </c>
      <c r="GH119" s="247">
        <v>44944</v>
      </c>
      <c r="GI119" s="247">
        <v>44937</v>
      </c>
      <c r="GJ119" s="247">
        <v>44930</v>
      </c>
      <c r="GK119" s="247">
        <v>44923</v>
      </c>
      <c r="GL119" s="247">
        <v>44916</v>
      </c>
      <c r="GM119" s="247">
        <v>44910</v>
      </c>
      <c r="GN119" s="247">
        <v>44902</v>
      </c>
      <c r="GO119" s="247">
        <v>44896</v>
      </c>
      <c r="GP119" s="247">
        <v>44888</v>
      </c>
      <c r="GQ119" s="247">
        <v>44881</v>
      </c>
      <c r="GR119" s="247">
        <v>44874</v>
      </c>
      <c r="GS119" s="247">
        <v>44868</v>
      </c>
      <c r="GT119" s="247">
        <v>44860</v>
      </c>
      <c r="GU119" s="247">
        <v>44853</v>
      </c>
      <c r="GV119" s="247">
        <v>44846</v>
      </c>
      <c r="GW119" s="247">
        <v>44839</v>
      </c>
      <c r="GX119" s="247">
        <v>44831</v>
      </c>
      <c r="GY119" s="247">
        <v>44825</v>
      </c>
      <c r="GZ119" s="247">
        <v>44818</v>
      </c>
      <c r="HA119" s="247">
        <v>44811</v>
      </c>
      <c r="HB119" s="247">
        <v>45002</v>
      </c>
      <c r="HC119" s="247">
        <v>45020</v>
      </c>
      <c r="HD119" s="247">
        <v>45014</v>
      </c>
      <c r="HE119" s="247">
        <v>45008</v>
      </c>
      <c r="HF119" s="244"/>
    </row>
    <row r="120" spans="1:215" ht="15.75" customHeight="1">
      <c r="A120" s="690"/>
      <c r="B120" s="650" t="s">
        <v>327</v>
      </c>
      <c r="C120" s="246" t="s">
        <v>325</v>
      </c>
      <c r="D120" s="246" t="s">
        <v>325</v>
      </c>
      <c r="E120" s="246" t="s">
        <v>325</v>
      </c>
      <c r="F120" s="246" t="s">
        <v>325</v>
      </c>
      <c r="G120" s="246" t="s">
        <v>325</v>
      </c>
      <c r="H120" s="246" t="s">
        <v>325</v>
      </c>
      <c r="I120" s="246" t="s">
        <v>325</v>
      </c>
      <c r="J120" s="246" t="s">
        <v>325</v>
      </c>
      <c r="K120" s="246" t="s">
        <v>325</v>
      </c>
      <c r="L120" s="246" t="s">
        <v>325</v>
      </c>
      <c r="M120" s="246" t="s">
        <v>325</v>
      </c>
      <c r="N120" s="246" t="s">
        <v>325</v>
      </c>
      <c r="O120" s="246" t="s">
        <v>325</v>
      </c>
      <c r="P120" s="246" t="s">
        <v>325</v>
      </c>
      <c r="Q120" s="246" t="s">
        <v>325</v>
      </c>
      <c r="R120" s="246" t="s">
        <v>325</v>
      </c>
      <c r="S120" s="246" t="s">
        <v>325</v>
      </c>
      <c r="T120" s="246" t="s">
        <v>325</v>
      </c>
      <c r="U120" s="246" t="s">
        <v>325</v>
      </c>
      <c r="V120" s="246" t="s">
        <v>325</v>
      </c>
      <c r="W120" s="246" t="s">
        <v>325</v>
      </c>
      <c r="X120" s="246" t="s">
        <v>325</v>
      </c>
      <c r="Y120" s="246" t="s">
        <v>325</v>
      </c>
      <c r="Z120" s="246" t="s">
        <v>325</v>
      </c>
      <c r="AA120" s="246" t="s">
        <v>325</v>
      </c>
      <c r="AB120" s="246" t="s">
        <v>325</v>
      </c>
      <c r="AC120" s="246" t="s">
        <v>325</v>
      </c>
      <c r="AD120" s="246" t="s">
        <v>325</v>
      </c>
      <c r="AE120" s="246" t="s">
        <v>325</v>
      </c>
      <c r="AF120" s="245" t="s">
        <v>325</v>
      </c>
      <c r="AG120" s="245" t="s">
        <v>325</v>
      </c>
      <c r="AH120" s="245" t="s">
        <v>325</v>
      </c>
      <c r="AI120" s="245" t="s">
        <v>325</v>
      </c>
      <c r="AJ120" s="246" t="s">
        <v>325</v>
      </c>
      <c r="AK120" s="245" t="s">
        <v>325</v>
      </c>
      <c r="AL120" s="246" t="s">
        <v>325</v>
      </c>
      <c r="AM120" s="245" t="s">
        <v>325</v>
      </c>
      <c r="AN120" s="245" t="s">
        <v>325</v>
      </c>
      <c r="AO120" s="245" t="s">
        <v>325</v>
      </c>
      <c r="AP120" s="242" t="s">
        <v>325</v>
      </c>
      <c r="AQ120" s="242" t="s">
        <v>325</v>
      </c>
      <c r="AR120" s="242" t="s">
        <v>325</v>
      </c>
      <c r="AS120" s="242" t="s">
        <v>325</v>
      </c>
      <c r="AT120" s="242" t="s">
        <v>325</v>
      </c>
      <c r="AU120" s="242" t="s">
        <v>325</v>
      </c>
      <c r="AV120" s="242" t="s">
        <v>325</v>
      </c>
      <c r="AW120" s="242" t="s">
        <v>325</v>
      </c>
      <c r="AX120" s="242" t="s">
        <v>325</v>
      </c>
      <c r="AY120" s="242" t="s">
        <v>325</v>
      </c>
      <c r="AZ120" s="242" t="s">
        <v>325</v>
      </c>
      <c r="BA120" s="242" t="s">
        <v>325</v>
      </c>
      <c r="BB120" s="242" t="s">
        <v>325</v>
      </c>
      <c r="BC120" s="242" t="s">
        <v>325</v>
      </c>
      <c r="BD120" s="242" t="s">
        <v>325</v>
      </c>
      <c r="BE120" s="242" t="s">
        <v>325</v>
      </c>
      <c r="BF120" s="242" t="s">
        <v>325</v>
      </c>
      <c r="BG120" s="242" t="s">
        <v>325</v>
      </c>
      <c r="BH120" s="242" t="s">
        <v>325</v>
      </c>
      <c r="BI120" s="242" t="s">
        <v>325</v>
      </c>
      <c r="BJ120" s="242" t="s">
        <v>325</v>
      </c>
      <c r="BK120" s="242" t="s">
        <v>325</v>
      </c>
      <c r="BL120" s="242" t="s">
        <v>325</v>
      </c>
      <c r="BM120" s="242" t="s">
        <v>325</v>
      </c>
      <c r="BN120" s="242" t="s">
        <v>325</v>
      </c>
      <c r="BO120" s="242" t="s">
        <v>325</v>
      </c>
      <c r="BP120" s="242" t="s">
        <v>325</v>
      </c>
      <c r="BQ120" s="242" t="s">
        <v>325</v>
      </c>
      <c r="BR120" s="242" t="s">
        <v>325</v>
      </c>
      <c r="BS120" s="242" t="s">
        <v>325</v>
      </c>
      <c r="BT120" s="242" t="s">
        <v>325</v>
      </c>
      <c r="BU120" s="242" t="s">
        <v>325</v>
      </c>
      <c r="BV120" s="242" t="s">
        <v>325</v>
      </c>
      <c r="BW120" s="242" t="s">
        <v>325</v>
      </c>
      <c r="BX120" s="242" t="s">
        <v>325</v>
      </c>
      <c r="BY120" s="242" t="s">
        <v>325</v>
      </c>
      <c r="BZ120" s="242" t="s">
        <v>325</v>
      </c>
      <c r="CA120" s="242" t="s">
        <v>325</v>
      </c>
      <c r="CB120" s="242" t="s">
        <v>325</v>
      </c>
      <c r="CC120" s="242" t="s">
        <v>325</v>
      </c>
      <c r="CD120" s="242" t="s">
        <v>325</v>
      </c>
      <c r="CE120" s="242" t="s">
        <v>325</v>
      </c>
      <c r="CF120" s="242" t="s">
        <v>325</v>
      </c>
      <c r="CG120" s="242" t="s">
        <v>325</v>
      </c>
      <c r="CH120" s="242" t="s">
        <v>325</v>
      </c>
      <c r="CI120" s="242" t="s">
        <v>325</v>
      </c>
      <c r="CJ120" s="242" t="s">
        <v>325</v>
      </c>
      <c r="CK120" s="242" t="s">
        <v>325</v>
      </c>
      <c r="CL120" s="242" t="s">
        <v>325</v>
      </c>
      <c r="CM120" s="242" t="s">
        <v>325</v>
      </c>
      <c r="CN120" s="242" t="s">
        <v>325</v>
      </c>
      <c r="CO120" s="242" t="s">
        <v>325</v>
      </c>
      <c r="CP120" s="242" t="s">
        <v>325</v>
      </c>
      <c r="CQ120" s="242" t="s">
        <v>325</v>
      </c>
      <c r="CR120" s="242" t="s">
        <v>325</v>
      </c>
      <c r="CS120" s="242" t="s">
        <v>325</v>
      </c>
      <c r="CT120" s="242" t="s">
        <v>325</v>
      </c>
      <c r="CU120" s="242" t="s">
        <v>325</v>
      </c>
      <c r="CV120" s="242" t="s">
        <v>325</v>
      </c>
      <c r="CW120" s="242" t="s">
        <v>325</v>
      </c>
      <c r="CX120" s="242" t="s">
        <v>325</v>
      </c>
      <c r="CY120" s="242" t="s">
        <v>325</v>
      </c>
      <c r="CZ120" s="242" t="s">
        <v>325</v>
      </c>
      <c r="DA120" s="242" t="s">
        <v>325</v>
      </c>
      <c r="DB120" s="242" t="s">
        <v>325</v>
      </c>
      <c r="DC120" s="242" t="s">
        <v>325</v>
      </c>
      <c r="DD120" s="242" t="s">
        <v>325</v>
      </c>
      <c r="DE120" s="242" t="s">
        <v>325</v>
      </c>
      <c r="DF120" s="242" t="s">
        <v>325</v>
      </c>
      <c r="DG120" s="242" t="s">
        <v>325</v>
      </c>
      <c r="DH120" s="242" t="s">
        <v>325</v>
      </c>
      <c r="DI120" s="242" t="s">
        <v>325</v>
      </c>
      <c r="DJ120" s="242" t="s">
        <v>325</v>
      </c>
      <c r="DK120" s="242" t="s">
        <v>325</v>
      </c>
      <c r="DL120" s="242" t="s">
        <v>325</v>
      </c>
      <c r="DM120" s="242" t="s">
        <v>325</v>
      </c>
      <c r="DN120" s="242" t="s">
        <v>325</v>
      </c>
      <c r="DO120" s="242" t="s">
        <v>325</v>
      </c>
      <c r="DP120" s="242" t="s">
        <v>325</v>
      </c>
      <c r="DQ120" s="242" t="s">
        <v>325</v>
      </c>
      <c r="DR120" s="242" t="s">
        <v>325</v>
      </c>
      <c r="DS120" s="242" t="s">
        <v>325</v>
      </c>
      <c r="DT120" s="242" t="s">
        <v>325</v>
      </c>
      <c r="DU120" s="242" t="s">
        <v>325</v>
      </c>
      <c r="DV120" s="242" t="s">
        <v>325</v>
      </c>
      <c r="DW120" s="242" t="s">
        <v>325</v>
      </c>
      <c r="DX120" s="242" t="s">
        <v>325</v>
      </c>
      <c r="DY120" s="242" t="s">
        <v>325</v>
      </c>
      <c r="DZ120" s="242" t="s">
        <v>325</v>
      </c>
      <c r="EA120" s="242" t="s">
        <v>325</v>
      </c>
      <c r="EB120" s="242" t="s">
        <v>325</v>
      </c>
      <c r="EC120" s="242" t="s">
        <v>325</v>
      </c>
      <c r="ED120" s="242" t="s">
        <v>325</v>
      </c>
      <c r="EE120" s="242" t="s">
        <v>325</v>
      </c>
      <c r="EF120" s="242" t="s">
        <v>325</v>
      </c>
      <c r="EG120" s="242" t="s">
        <v>325</v>
      </c>
      <c r="EH120" s="242" t="s">
        <v>325</v>
      </c>
      <c r="EI120" s="242" t="s">
        <v>325</v>
      </c>
      <c r="EJ120" s="242" t="s">
        <v>325</v>
      </c>
      <c r="EK120" s="242" t="s">
        <v>325</v>
      </c>
      <c r="EL120" s="242" t="s">
        <v>325</v>
      </c>
      <c r="EM120" s="242" t="s">
        <v>325</v>
      </c>
      <c r="EN120" s="242" t="s">
        <v>325</v>
      </c>
      <c r="EO120" s="242" t="s">
        <v>325</v>
      </c>
      <c r="EP120" s="242" t="s">
        <v>325</v>
      </c>
      <c r="EQ120" s="242" t="s">
        <v>325</v>
      </c>
      <c r="ER120" s="242" t="s">
        <v>325</v>
      </c>
      <c r="ES120" s="242" t="s">
        <v>325</v>
      </c>
      <c r="ET120" s="242" t="s">
        <v>325</v>
      </c>
      <c r="EU120" s="242" t="s">
        <v>325</v>
      </c>
      <c r="EV120" s="242" t="s">
        <v>325</v>
      </c>
      <c r="EW120" s="242" t="s">
        <v>325</v>
      </c>
      <c r="EX120" s="242" t="s">
        <v>325</v>
      </c>
      <c r="EY120" s="242" t="s">
        <v>325</v>
      </c>
      <c r="EZ120" s="244" t="s">
        <v>120</v>
      </c>
      <c r="FA120" s="242" t="s">
        <v>325</v>
      </c>
      <c r="FB120" s="243" t="s">
        <v>327</v>
      </c>
      <c r="FC120" s="244" t="s">
        <v>120</v>
      </c>
      <c r="FD120" s="243" t="s">
        <v>325</v>
      </c>
      <c r="FE120" s="243" t="s">
        <v>327</v>
      </c>
      <c r="FF120" s="244" t="s">
        <v>120</v>
      </c>
      <c r="FG120" s="244" t="s">
        <v>326</v>
      </c>
      <c r="FH120" s="243" t="s">
        <v>325</v>
      </c>
      <c r="FI120" s="244" t="s">
        <v>325</v>
      </c>
      <c r="FJ120" s="243" t="s">
        <v>325</v>
      </c>
      <c r="FK120" s="243" t="s">
        <v>325</v>
      </c>
      <c r="FL120" s="243" t="s">
        <v>325</v>
      </c>
      <c r="FM120" s="243" t="s">
        <v>325</v>
      </c>
      <c r="FN120" s="242" t="s">
        <v>325</v>
      </c>
      <c r="FO120" s="242" t="s">
        <v>325</v>
      </c>
      <c r="FP120" s="242" t="s">
        <v>325</v>
      </c>
      <c r="FQ120" s="242" t="s">
        <v>325</v>
      </c>
      <c r="FR120" s="242" t="s">
        <v>325</v>
      </c>
      <c r="FS120" s="242" t="s">
        <v>325</v>
      </c>
      <c r="FT120" s="242" t="s">
        <v>325</v>
      </c>
      <c r="FU120" s="242" t="s">
        <v>325</v>
      </c>
      <c r="FV120" s="242" t="s">
        <v>325</v>
      </c>
      <c r="FW120" s="242" t="s">
        <v>325</v>
      </c>
      <c r="FX120" s="242" t="s">
        <v>325</v>
      </c>
      <c r="FY120" s="242" t="s">
        <v>325</v>
      </c>
      <c r="FZ120" s="242" t="s">
        <v>325</v>
      </c>
      <c r="GA120" s="242" t="s">
        <v>325</v>
      </c>
      <c r="GB120" s="242" t="s">
        <v>325</v>
      </c>
      <c r="GC120" s="242" t="s">
        <v>325</v>
      </c>
      <c r="GD120" s="242" t="s">
        <v>325</v>
      </c>
      <c r="GE120" s="242" t="s">
        <v>325</v>
      </c>
      <c r="GF120" s="242" t="s">
        <v>325</v>
      </c>
      <c r="GG120" s="242" t="s">
        <v>325</v>
      </c>
      <c r="GH120" s="242" t="s">
        <v>325</v>
      </c>
      <c r="GI120" s="242" t="s">
        <v>325</v>
      </c>
      <c r="GJ120" s="242" t="s">
        <v>325</v>
      </c>
      <c r="GK120" s="242" t="s">
        <v>325</v>
      </c>
      <c r="GL120" s="242" t="s">
        <v>325</v>
      </c>
      <c r="GM120" s="242" t="s">
        <v>325</v>
      </c>
      <c r="GN120" s="242" t="s">
        <v>325</v>
      </c>
      <c r="GO120" s="242" t="s">
        <v>325</v>
      </c>
      <c r="GP120" s="242" t="s">
        <v>325</v>
      </c>
      <c r="GQ120" s="242" t="s">
        <v>325</v>
      </c>
      <c r="GR120" s="242" t="s">
        <v>325</v>
      </c>
      <c r="GS120" s="242" t="s">
        <v>325</v>
      </c>
      <c r="GT120" s="242" t="s">
        <v>325</v>
      </c>
      <c r="GU120" s="242" t="s">
        <v>325</v>
      </c>
      <c r="GV120" s="242" t="s">
        <v>325</v>
      </c>
      <c r="GW120" s="242" t="s">
        <v>325</v>
      </c>
      <c r="GX120" s="242" t="s">
        <v>325</v>
      </c>
      <c r="GY120" s="242" t="s">
        <v>325</v>
      </c>
      <c r="GZ120" s="242" t="s">
        <v>325</v>
      </c>
      <c r="HA120" s="242" t="s">
        <v>325</v>
      </c>
      <c r="HB120" s="242" t="s">
        <v>325</v>
      </c>
      <c r="HC120" s="242" t="s">
        <v>325</v>
      </c>
      <c r="HD120" s="242" t="s">
        <v>325</v>
      </c>
      <c r="HE120" s="242" t="s">
        <v>325</v>
      </c>
      <c r="HF120" s="244" t="s">
        <v>324</v>
      </c>
    </row>
    <row r="121" spans="1:215" ht="15" customHeight="1">
      <c r="A121" s="1060" t="s">
        <v>31</v>
      </c>
      <c r="B121" s="655" t="s">
        <v>577</v>
      </c>
      <c r="C121" s="907"/>
      <c r="D121" s="907"/>
      <c r="E121" s="907"/>
      <c r="F121" s="907"/>
      <c r="G121" s="907"/>
      <c r="H121" s="907"/>
      <c r="I121" s="907"/>
      <c r="J121" s="907"/>
      <c r="K121" s="907"/>
      <c r="L121" s="907"/>
      <c r="M121" s="907"/>
      <c r="N121" s="907"/>
      <c r="O121" s="907"/>
      <c r="P121" s="907"/>
      <c r="Q121" s="991"/>
      <c r="R121" s="907">
        <v>9.4999999999999998E-3</v>
      </c>
      <c r="S121" s="907">
        <v>9.4999999999999998E-3</v>
      </c>
      <c r="T121" s="907">
        <v>9.4999999999999998E-3</v>
      </c>
      <c r="U121" s="907">
        <v>9.4999999999999998E-3</v>
      </c>
      <c r="V121" s="907">
        <v>9.4999999999999998E-3</v>
      </c>
      <c r="W121" s="907">
        <v>9.4999999999999998E-3</v>
      </c>
      <c r="X121" s="907">
        <v>9.4999999999999998E-3</v>
      </c>
      <c r="Y121" s="907">
        <v>9.4999999999999998E-3</v>
      </c>
      <c r="Z121" s="907">
        <v>9.4999999999999998E-3</v>
      </c>
      <c r="AA121" s="907">
        <v>9.4999999999999998E-3</v>
      </c>
      <c r="AB121" s="907">
        <v>9.4999999999999998E-3</v>
      </c>
      <c r="AC121" s="907">
        <v>9.4999999999999998E-3</v>
      </c>
      <c r="AD121" s="907">
        <v>9.4999999999999998E-3</v>
      </c>
      <c r="AE121" s="991">
        <v>9.4999999999999998E-3</v>
      </c>
      <c r="AF121" s="990">
        <v>1.4E-2</v>
      </c>
      <c r="AG121" s="991">
        <v>1.4E-2</v>
      </c>
      <c r="AH121" s="990">
        <v>1.7500000000000002E-2</v>
      </c>
      <c r="AI121" s="990">
        <v>1.7500000000000002E-2</v>
      </c>
      <c r="AJ121" s="907">
        <v>1.7500000000000002E-2</v>
      </c>
      <c r="AK121" s="990">
        <v>1.7500000000000002E-2</v>
      </c>
      <c r="AL121" s="907">
        <v>1.7500000000000002E-2</v>
      </c>
      <c r="AM121" s="991">
        <v>1.7500000000000002E-2</v>
      </c>
      <c r="AN121" s="990" t="s">
        <v>124</v>
      </c>
      <c r="AO121" s="990"/>
      <c r="AP121" s="1009"/>
      <c r="AQ121" s="1009"/>
      <c r="AR121" s="1019"/>
      <c r="AS121" s="1019"/>
      <c r="AT121" s="1009"/>
      <c r="AU121" s="1019"/>
      <c r="AV121" s="1009"/>
      <c r="AW121" s="1009"/>
      <c r="AX121" s="1019"/>
      <c r="AY121" s="1009"/>
      <c r="AZ121" s="1009"/>
      <c r="BA121" s="1009"/>
      <c r="BB121" s="1019"/>
      <c r="BC121" s="1009"/>
      <c r="BD121" s="1009"/>
      <c r="BE121" s="1009"/>
      <c r="BF121" s="1009"/>
      <c r="BG121" s="1019"/>
      <c r="BH121" s="1009"/>
      <c r="BI121" s="1009"/>
      <c r="BJ121" s="1009"/>
      <c r="BK121" s="1009"/>
      <c r="BL121" s="1009"/>
      <c r="BM121" s="1009"/>
      <c r="BN121" s="1009"/>
      <c r="BO121" s="1009"/>
      <c r="BP121" s="1009"/>
      <c r="BQ121" s="1009"/>
      <c r="BR121" s="1009"/>
      <c r="BS121" s="1009"/>
      <c r="BT121" s="1009"/>
      <c r="BU121" s="1009"/>
      <c r="BV121" s="1009"/>
      <c r="BW121" s="1009"/>
      <c r="BX121" s="1009"/>
      <c r="BY121" s="1009"/>
      <c r="BZ121" s="1009"/>
      <c r="CA121" s="1009"/>
      <c r="CB121" s="1009"/>
      <c r="CC121" s="1009"/>
      <c r="CD121" s="1009"/>
      <c r="CE121" s="1009"/>
      <c r="CF121" s="1009"/>
      <c r="CG121" s="1009"/>
      <c r="CH121" s="1009"/>
      <c r="CI121" s="1007"/>
      <c r="CJ121" s="1009"/>
      <c r="CK121" s="1009"/>
      <c r="CL121" s="1009"/>
      <c r="CM121" s="1009"/>
      <c r="CN121" s="1009"/>
      <c r="CO121" s="1009"/>
      <c r="CP121" s="1009"/>
      <c r="CQ121" s="1009"/>
      <c r="CR121" s="1009"/>
      <c r="CS121" s="1009"/>
      <c r="CT121" s="1009"/>
      <c r="CU121" s="1009"/>
      <c r="CV121" s="1009"/>
      <c r="CW121" s="1009"/>
      <c r="CX121" s="1009"/>
      <c r="CY121" s="1009"/>
      <c r="CZ121" s="1009"/>
      <c r="DA121" s="1011"/>
      <c r="DB121" s="1011"/>
      <c r="DC121" s="1011"/>
      <c r="DD121" s="1011"/>
      <c r="DE121" s="1011"/>
      <c r="DF121" s="1011"/>
      <c r="DG121" s="1011"/>
      <c r="DH121" s="1011"/>
      <c r="DI121" s="1011"/>
      <c r="DJ121" s="1011"/>
      <c r="DK121" s="1011"/>
      <c r="DL121" s="1011"/>
      <c r="DM121" s="1011"/>
      <c r="DN121" s="1011"/>
      <c r="DO121" s="1011"/>
      <c r="DP121" s="1011"/>
      <c r="DQ121" s="1011"/>
      <c r="DR121" s="1011"/>
      <c r="DS121" s="1011"/>
      <c r="DT121" s="1011"/>
      <c r="DU121" s="1011"/>
      <c r="DV121" s="1011"/>
      <c r="DW121" s="1011"/>
      <c r="DX121" s="1011"/>
      <c r="DY121" s="1011"/>
      <c r="DZ121" s="1011"/>
      <c r="EA121" s="1011"/>
      <c r="EB121" s="1011"/>
      <c r="EC121" s="1011"/>
      <c r="ED121" s="1011"/>
      <c r="EE121" s="1011"/>
      <c r="EF121" s="1011"/>
      <c r="EG121" s="1011"/>
      <c r="EH121" s="1011"/>
      <c r="EI121" s="1011"/>
      <c r="EJ121" s="1011"/>
      <c r="EK121" s="1011"/>
      <c r="EL121" s="1011"/>
      <c r="EM121" s="1011"/>
      <c r="EN121" s="1011"/>
      <c r="EO121" s="1011"/>
      <c r="EP121" s="1011"/>
      <c r="EQ121" s="1011"/>
      <c r="ER121" s="1011"/>
      <c r="ES121" s="1011"/>
      <c r="ET121" s="1011"/>
      <c r="EU121" s="1011"/>
      <c r="EV121" s="1011"/>
      <c r="EW121" s="1011"/>
      <c r="EX121" s="1011"/>
      <c r="EY121" s="231"/>
      <c r="EZ121" s="262"/>
      <c r="FA121" s="235"/>
      <c r="FB121" s="254"/>
      <c r="FC121" s="231"/>
      <c r="FD121" s="236"/>
      <c r="FE121" s="238"/>
      <c r="FF121" s="237"/>
      <c r="FG121" s="231"/>
      <c r="FH121" s="236"/>
      <c r="FI121" s="236"/>
      <c r="FJ121" s="236"/>
      <c r="FK121" s="236"/>
      <c r="FL121" s="236"/>
      <c r="FM121" s="236"/>
      <c r="FN121" s="235"/>
      <c r="FO121" s="235"/>
      <c r="FP121" s="235"/>
      <c r="FQ121" s="235"/>
      <c r="FR121" s="235"/>
      <c r="FS121" s="235"/>
      <c r="FT121" s="235"/>
      <c r="FU121" s="235"/>
      <c r="FV121" s="235"/>
      <c r="FW121" s="235"/>
      <c r="FX121" s="235"/>
      <c r="FY121" s="261"/>
      <c r="FZ121" s="261"/>
      <c r="GA121" s="261"/>
      <c r="GB121" s="261"/>
      <c r="GC121" s="261"/>
      <c r="GD121" s="261"/>
      <c r="GE121" s="261"/>
      <c r="GF121" s="261"/>
      <c r="GG121" s="261"/>
      <c r="GH121" s="261"/>
      <c r="GI121" s="261"/>
      <c r="GJ121" s="261"/>
      <c r="GK121" s="261"/>
      <c r="GL121" s="261"/>
      <c r="GM121" s="261"/>
      <c r="GN121" s="261"/>
      <c r="GO121" s="261"/>
      <c r="GP121" s="261"/>
      <c r="GQ121" s="261"/>
      <c r="GR121" s="261"/>
      <c r="GS121" s="261"/>
      <c r="GT121" s="261"/>
      <c r="GU121" s="261"/>
      <c r="GV121" s="261"/>
      <c r="GW121" s="261"/>
      <c r="GX121" s="261"/>
      <c r="GY121" s="261"/>
      <c r="GZ121" s="261"/>
      <c r="HA121" s="261"/>
      <c r="HB121" s="261"/>
      <c r="HC121" s="261"/>
      <c r="HD121" s="261"/>
      <c r="HE121" s="261"/>
      <c r="HF121" s="941">
        <f>C121-D121</f>
        <v>0</v>
      </c>
    </row>
    <row r="122" spans="1:215" ht="15.6">
      <c r="A122" s="1060"/>
      <c r="B122" s="655" t="s">
        <v>576</v>
      </c>
      <c r="C122" s="908"/>
      <c r="D122" s="908"/>
      <c r="E122" s="908"/>
      <c r="F122" s="908"/>
      <c r="G122" s="908"/>
      <c r="H122" s="908"/>
      <c r="I122" s="908"/>
      <c r="J122" s="908"/>
      <c r="K122" s="908"/>
      <c r="L122" s="908"/>
      <c r="M122" s="908"/>
      <c r="N122" s="908"/>
      <c r="O122" s="908"/>
      <c r="P122" s="908"/>
      <c r="Q122" s="992"/>
      <c r="R122" s="908"/>
      <c r="S122" s="908"/>
      <c r="T122" s="908"/>
      <c r="U122" s="908"/>
      <c r="V122" s="908"/>
      <c r="W122" s="908"/>
      <c r="X122" s="908"/>
      <c r="Y122" s="908"/>
      <c r="Z122" s="908"/>
      <c r="AA122" s="908"/>
      <c r="AB122" s="908"/>
      <c r="AC122" s="908"/>
      <c r="AD122" s="908"/>
      <c r="AE122" s="992"/>
      <c r="AF122" s="953"/>
      <c r="AG122" s="992"/>
      <c r="AH122" s="953"/>
      <c r="AI122" s="953"/>
      <c r="AJ122" s="908"/>
      <c r="AK122" s="953"/>
      <c r="AL122" s="908"/>
      <c r="AM122" s="992"/>
      <c r="AN122" s="953"/>
      <c r="AO122" s="953"/>
      <c r="AP122" s="1011"/>
      <c r="AQ122" s="1011"/>
      <c r="AR122" s="1020"/>
      <c r="AS122" s="1020"/>
      <c r="AT122" s="1011"/>
      <c r="AU122" s="1020"/>
      <c r="AV122" s="1011"/>
      <c r="AW122" s="1011"/>
      <c r="AX122" s="1020"/>
      <c r="AY122" s="1011"/>
      <c r="AZ122" s="1011"/>
      <c r="BA122" s="1011"/>
      <c r="BB122" s="1020"/>
      <c r="BC122" s="1011"/>
      <c r="BD122" s="1011"/>
      <c r="BE122" s="1011"/>
      <c r="BF122" s="1011"/>
      <c r="BG122" s="1020"/>
      <c r="BH122" s="1011"/>
      <c r="BI122" s="1011"/>
      <c r="BJ122" s="1011"/>
      <c r="BK122" s="1011"/>
      <c r="BL122" s="1011"/>
      <c r="BM122" s="1011"/>
      <c r="BN122" s="1011"/>
      <c r="BO122" s="1011"/>
      <c r="BP122" s="1011"/>
      <c r="BQ122" s="1011"/>
      <c r="BR122" s="1011"/>
      <c r="BS122" s="1011"/>
      <c r="BT122" s="1011"/>
      <c r="BU122" s="1011"/>
      <c r="BV122" s="1011"/>
      <c r="BW122" s="1011"/>
      <c r="BX122" s="1011"/>
      <c r="BY122" s="1011"/>
      <c r="BZ122" s="1011"/>
      <c r="CA122" s="1011"/>
      <c r="CB122" s="1011"/>
      <c r="CC122" s="1011"/>
      <c r="CD122" s="1011"/>
      <c r="CE122" s="1011"/>
      <c r="CF122" s="1011"/>
      <c r="CG122" s="1011"/>
      <c r="CH122" s="1011"/>
      <c r="CI122" s="1027"/>
      <c r="CJ122" s="1011"/>
      <c r="CK122" s="1011"/>
      <c r="CL122" s="1011"/>
      <c r="CM122" s="1011"/>
      <c r="CN122" s="1011"/>
      <c r="CO122" s="1011"/>
      <c r="CP122" s="1011"/>
      <c r="CQ122" s="1011"/>
      <c r="CR122" s="1011"/>
      <c r="CS122" s="1011"/>
      <c r="CT122" s="1011"/>
      <c r="CU122" s="1011"/>
      <c r="CV122" s="1011"/>
      <c r="CW122" s="1011"/>
      <c r="CX122" s="1011"/>
      <c r="CY122" s="1011"/>
      <c r="CZ122" s="1011"/>
      <c r="DA122" s="1011"/>
      <c r="DB122" s="1011"/>
      <c r="DC122" s="1011"/>
      <c r="DD122" s="1011"/>
      <c r="DE122" s="1011"/>
      <c r="DF122" s="1011"/>
      <c r="DG122" s="1011"/>
      <c r="DH122" s="1011"/>
      <c r="DI122" s="1011"/>
      <c r="DJ122" s="1011"/>
      <c r="DK122" s="1011"/>
      <c r="DL122" s="1011"/>
      <c r="DM122" s="1011"/>
      <c r="DN122" s="1011"/>
      <c r="DO122" s="1011"/>
      <c r="DP122" s="1011"/>
      <c r="DQ122" s="1011"/>
      <c r="DR122" s="1011"/>
      <c r="DS122" s="1011"/>
      <c r="DT122" s="1011"/>
      <c r="DU122" s="1011"/>
      <c r="DV122" s="1011"/>
      <c r="DW122" s="1011"/>
      <c r="DX122" s="1011"/>
      <c r="DY122" s="1011"/>
      <c r="DZ122" s="1011"/>
      <c r="EA122" s="1011"/>
      <c r="EB122" s="1011"/>
      <c r="EC122" s="1011"/>
      <c r="ED122" s="1011"/>
      <c r="EE122" s="1011"/>
      <c r="EF122" s="1011"/>
      <c r="EG122" s="1011"/>
      <c r="EH122" s="1011"/>
      <c r="EI122" s="1011"/>
      <c r="EJ122" s="1011"/>
      <c r="EK122" s="1011"/>
      <c r="EL122" s="1011"/>
      <c r="EM122" s="1011"/>
      <c r="EN122" s="1011"/>
      <c r="EO122" s="1011"/>
      <c r="EP122" s="1011"/>
      <c r="EQ122" s="1011"/>
      <c r="ER122" s="1011"/>
      <c r="ES122" s="1011"/>
      <c r="ET122" s="1011"/>
      <c r="EU122" s="1011"/>
      <c r="EV122" s="1011"/>
      <c r="EW122" s="1011"/>
      <c r="EX122" s="1011"/>
      <c r="EY122" s="231"/>
      <c r="EZ122" s="262"/>
      <c r="FA122" s="235"/>
      <c r="FB122" s="254"/>
      <c r="FC122" s="231"/>
      <c r="FD122" s="236"/>
      <c r="FE122" s="238"/>
      <c r="FF122" s="237"/>
      <c r="FG122" s="231"/>
      <c r="FH122" s="236"/>
      <c r="FI122" s="236"/>
      <c r="FJ122" s="236"/>
      <c r="FK122" s="236"/>
      <c r="FL122" s="236"/>
      <c r="FM122" s="236"/>
      <c r="FN122" s="235"/>
      <c r="FO122" s="235"/>
      <c r="FP122" s="235"/>
      <c r="FQ122" s="235"/>
      <c r="FR122" s="235"/>
      <c r="FS122" s="235"/>
      <c r="FT122" s="235"/>
      <c r="FU122" s="235"/>
      <c r="FV122" s="235"/>
      <c r="FW122" s="235"/>
      <c r="FX122" s="235"/>
      <c r="FY122" s="261"/>
      <c r="FZ122" s="261"/>
      <c r="GA122" s="261"/>
      <c r="GB122" s="261"/>
      <c r="GC122" s="261"/>
      <c r="GD122" s="261"/>
      <c r="GE122" s="261"/>
      <c r="GF122" s="261"/>
      <c r="GG122" s="261"/>
      <c r="GH122" s="261"/>
      <c r="GI122" s="261"/>
      <c r="GJ122" s="261"/>
      <c r="GK122" s="261"/>
      <c r="GL122" s="261"/>
      <c r="GM122" s="261"/>
      <c r="GN122" s="261"/>
      <c r="GO122" s="261"/>
      <c r="GP122" s="261"/>
      <c r="GQ122" s="261"/>
      <c r="GR122" s="261"/>
      <c r="GS122" s="261"/>
      <c r="GT122" s="261"/>
      <c r="GU122" s="261"/>
      <c r="GV122" s="261"/>
      <c r="GW122" s="261"/>
      <c r="GX122" s="261"/>
      <c r="GY122" s="261"/>
      <c r="GZ122" s="261"/>
      <c r="HA122" s="261"/>
      <c r="HB122" s="261"/>
      <c r="HC122" s="261"/>
      <c r="HD122" s="261"/>
      <c r="HE122" s="261"/>
      <c r="HF122" s="942"/>
    </row>
    <row r="123" spans="1:215" ht="15" customHeight="1">
      <c r="A123" s="1067" t="s">
        <v>37</v>
      </c>
      <c r="B123" s="909" t="s">
        <v>124</v>
      </c>
      <c r="C123" s="909" t="s">
        <v>572</v>
      </c>
      <c r="D123" s="909" t="s">
        <v>572</v>
      </c>
      <c r="E123" s="909" t="s">
        <v>572</v>
      </c>
      <c r="F123" s="909" t="s">
        <v>572</v>
      </c>
      <c r="G123" s="909" t="s">
        <v>572</v>
      </c>
      <c r="H123" s="909" t="s">
        <v>572</v>
      </c>
      <c r="I123" s="909" t="s">
        <v>572</v>
      </c>
      <c r="J123" s="909" t="s">
        <v>572</v>
      </c>
      <c r="K123" s="909" t="s">
        <v>572</v>
      </c>
      <c r="L123" s="909" t="s">
        <v>572</v>
      </c>
      <c r="M123" s="909" t="s">
        <v>572</v>
      </c>
      <c r="N123" s="909" t="s">
        <v>572</v>
      </c>
      <c r="O123" s="909" t="s">
        <v>572</v>
      </c>
      <c r="P123" s="909" t="s">
        <v>572</v>
      </c>
      <c r="Q123" s="909" t="s">
        <v>572</v>
      </c>
      <c r="R123" s="909" t="s">
        <v>572</v>
      </c>
      <c r="S123" s="909" t="s">
        <v>572</v>
      </c>
      <c r="T123" s="978" t="s">
        <v>572</v>
      </c>
      <c r="U123" s="978" t="s">
        <v>599</v>
      </c>
      <c r="V123" s="978" t="s">
        <v>572</v>
      </c>
      <c r="W123" s="909" t="s">
        <v>124</v>
      </c>
      <c r="X123" s="909" t="s">
        <v>124</v>
      </c>
      <c r="Y123" s="909" t="s">
        <v>124</v>
      </c>
      <c r="Z123" s="909" t="s">
        <v>124</v>
      </c>
      <c r="AA123" s="909" t="s">
        <v>124</v>
      </c>
      <c r="AB123" s="909" t="s">
        <v>124</v>
      </c>
      <c r="AC123" s="909" t="s">
        <v>124</v>
      </c>
      <c r="AD123" s="909" t="s">
        <v>124</v>
      </c>
      <c r="AE123" s="909" t="s">
        <v>124</v>
      </c>
      <c r="AF123" s="978" t="s">
        <v>124</v>
      </c>
      <c r="AG123" s="978" t="s">
        <v>124</v>
      </c>
      <c r="AH123" s="978" t="s">
        <v>124</v>
      </c>
      <c r="AI123" s="978" t="s">
        <v>124</v>
      </c>
      <c r="AJ123" s="909" t="s">
        <v>124</v>
      </c>
      <c r="AK123" s="978" t="s">
        <v>124</v>
      </c>
      <c r="AL123" s="909" t="s">
        <v>124</v>
      </c>
      <c r="AM123" s="978" t="s">
        <v>124</v>
      </c>
      <c r="AN123" s="990" t="s">
        <v>124</v>
      </c>
      <c r="AO123" s="990">
        <v>2.0500000000000001E-2</v>
      </c>
      <c r="AP123" s="1009">
        <v>2.0500000000000001E-2</v>
      </c>
      <c r="AQ123" s="1009">
        <v>2.0500000000000001E-2</v>
      </c>
      <c r="AR123" s="1019">
        <v>2.0500000000000001E-2</v>
      </c>
      <c r="AS123" s="1007" t="s">
        <v>339</v>
      </c>
      <c r="AT123" s="1007" t="s">
        <v>339</v>
      </c>
      <c r="AU123" s="1007" t="s">
        <v>339</v>
      </c>
      <c r="AV123" s="1007" t="s">
        <v>339</v>
      </c>
      <c r="AW123" s="1007" t="s">
        <v>339</v>
      </c>
      <c r="AX123" s="1007" t="s">
        <v>339</v>
      </c>
      <c r="AY123" s="1007" t="s">
        <v>339</v>
      </c>
      <c r="AZ123" s="1007" t="s">
        <v>339</v>
      </c>
      <c r="BA123" s="1007" t="s">
        <v>339</v>
      </c>
      <c r="BB123" s="1007" t="s">
        <v>339</v>
      </c>
      <c r="BC123" s="1007" t="s">
        <v>339</v>
      </c>
      <c r="BD123" s="1007" t="s">
        <v>339</v>
      </c>
      <c r="BE123" s="1007" t="s">
        <v>339</v>
      </c>
      <c r="BF123" s="1007" t="s">
        <v>339</v>
      </c>
      <c r="BG123" s="1007" t="s">
        <v>339</v>
      </c>
      <c r="BH123" s="1007" t="s">
        <v>339</v>
      </c>
      <c r="BI123" s="1007" t="s">
        <v>339</v>
      </c>
      <c r="BJ123" s="1007" t="s">
        <v>339</v>
      </c>
      <c r="BK123" s="1007" t="s">
        <v>339</v>
      </c>
      <c r="BL123" s="1007" t="s">
        <v>339</v>
      </c>
      <c r="BM123" s="1007" t="s">
        <v>339</v>
      </c>
      <c r="BN123" s="1007" t="s">
        <v>339</v>
      </c>
      <c r="BO123" s="1007" t="s">
        <v>339</v>
      </c>
      <c r="BP123" s="1007" t="s">
        <v>339</v>
      </c>
      <c r="BQ123" s="1007" t="s">
        <v>339</v>
      </c>
      <c r="BR123" s="1007" t="s">
        <v>339</v>
      </c>
      <c r="BS123" s="1007" t="s">
        <v>339</v>
      </c>
      <c r="BT123" s="1007" t="s">
        <v>339</v>
      </c>
      <c r="BU123" s="1007" t="s">
        <v>339</v>
      </c>
      <c r="BV123" s="1007" t="s">
        <v>339</v>
      </c>
      <c r="BW123" s="1007" t="s">
        <v>339</v>
      </c>
      <c r="BX123" s="1007" t="s">
        <v>339</v>
      </c>
      <c r="BY123" s="1007" t="s">
        <v>339</v>
      </c>
      <c r="BZ123" s="1007" t="s">
        <v>339</v>
      </c>
      <c r="CA123" s="1007" t="s">
        <v>339</v>
      </c>
      <c r="CB123" s="1007" t="s">
        <v>339</v>
      </c>
      <c r="CC123" s="1007" t="s">
        <v>339</v>
      </c>
      <c r="CD123" s="1007" t="s">
        <v>339</v>
      </c>
      <c r="CE123" s="1007" t="s">
        <v>339</v>
      </c>
      <c r="CF123" s="1007" t="s">
        <v>339</v>
      </c>
      <c r="CG123" s="1007" t="s">
        <v>339</v>
      </c>
      <c r="CH123" s="1007" t="s">
        <v>339</v>
      </c>
      <c r="CI123" s="1007" t="s">
        <v>339</v>
      </c>
      <c r="CJ123" s="1007" t="s">
        <v>338</v>
      </c>
      <c r="CK123" s="1007" t="s">
        <v>338</v>
      </c>
      <c r="CL123" s="1007" t="s">
        <v>338</v>
      </c>
      <c r="CM123" s="1007" t="s">
        <v>338</v>
      </c>
      <c r="CN123" s="1007" t="s">
        <v>338</v>
      </c>
      <c r="CO123" s="1007" t="s">
        <v>338</v>
      </c>
      <c r="CP123" s="1007" t="s">
        <v>338</v>
      </c>
      <c r="CQ123" s="1007" t="s">
        <v>338</v>
      </c>
      <c r="CR123" s="1007" t="s">
        <v>338</v>
      </c>
      <c r="CS123" s="1007" t="s">
        <v>338</v>
      </c>
      <c r="CT123" s="1007" t="s">
        <v>338</v>
      </c>
      <c r="CU123" s="1007" t="s">
        <v>338</v>
      </c>
      <c r="CV123" s="1007" t="s">
        <v>338</v>
      </c>
      <c r="CW123" s="1007" t="s">
        <v>338</v>
      </c>
      <c r="CX123" s="1007" t="s">
        <v>338</v>
      </c>
      <c r="CY123" s="1007" t="s">
        <v>338</v>
      </c>
      <c r="CZ123" s="1007" t="s">
        <v>338</v>
      </c>
      <c r="DA123" s="1007" t="s">
        <v>338</v>
      </c>
      <c r="DB123" s="1007" t="s">
        <v>338</v>
      </c>
      <c r="DC123" s="1007" t="s">
        <v>338</v>
      </c>
      <c r="DD123" s="1007" t="s">
        <v>338</v>
      </c>
      <c r="DE123" s="1007" t="s">
        <v>338</v>
      </c>
      <c r="DF123" s="1007" t="s">
        <v>338</v>
      </c>
      <c r="DG123" s="1007" t="s">
        <v>337</v>
      </c>
      <c r="DH123" s="1007" t="s">
        <v>337</v>
      </c>
      <c r="DI123" s="1007" t="s">
        <v>337</v>
      </c>
      <c r="DJ123" s="1007" t="s">
        <v>337</v>
      </c>
      <c r="DK123" s="1007" t="s">
        <v>337</v>
      </c>
      <c r="DL123" s="1007" t="s">
        <v>337</v>
      </c>
      <c r="DM123" s="1007" t="s">
        <v>337</v>
      </c>
      <c r="DN123" s="1007" t="s">
        <v>337</v>
      </c>
      <c r="DO123" s="1007" t="s">
        <v>337</v>
      </c>
      <c r="DP123" s="1007" t="s">
        <v>337</v>
      </c>
      <c r="DQ123" s="1007" t="s">
        <v>337</v>
      </c>
      <c r="DR123" s="1007" t="s">
        <v>337</v>
      </c>
      <c r="DS123" s="1007" t="s">
        <v>336</v>
      </c>
      <c r="DT123" s="1007" t="s">
        <v>336</v>
      </c>
      <c r="DU123" s="1007" t="s">
        <v>336</v>
      </c>
      <c r="DV123" s="1007" t="s">
        <v>336</v>
      </c>
      <c r="DW123" s="1007" t="s">
        <v>335</v>
      </c>
      <c r="DX123" s="1007" t="s">
        <v>335</v>
      </c>
      <c r="DY123" s="1007" t="s">
        <v>335</v>
      </c>
      <c r="DZ123" s="224">
        <v>2.9000000000000001E-2</v>
      </c>
      <c r="EA123" s="224">
        <v>2.9000000000000001E-2</v>
      </c>
      <c r="EB123" s="224">
        <v>2.9000000000000001E-2</v>
      </c>
      <c r="EC123" s="224">
        <v>0.03</v>
      </c>
      <c r="ED123" s="224">
        <v>0.03</v>
      </c>
      <c r="EE123" s="224">
        <v>0.03</v>
      </c>
      <c r="EF123" s="224">
        <v>0.03</v>
      </c>
      <c r="EG123" s="224">
        <v>0.03</v>
      </c>
      <c r="EH123" s="224">
        <v>0.03</v>
      </c>
      <c r="EI123" s="224">
        <v>0.03</v>
      </c>
      <c r="EJ123" s="224">
        <v>0.03</v>
      </c>
      <c r="EK123" s="224">
        <v>0.03</v>
      </c>
      <c r="EL123" s="224">
        <v>0.03</v>
      </c>
      <c r="EM123" s="224">
        <v>0.03</v>
      </c>
      <c r="EN123" s="224">
        <v>0.03</v>
      </c>
      <c r="EO123" s="224">
        <v>0.03</v>
      </c>
      <c r="EP123" s="224">
        <v>0.03</v>
      </c>
      <c r="EQ123" s="224">
        <v>0.03</v>
      </c>
      <c r="ER123" s="224">
        <v>0.03</v>
      </c>
      <c r="ES123" s="224">
        <v>3.4000000000000002E-2</v>
      </c>
      <c r="ET123" s="224">
        <v>3.4000000000000002E-2</v>
      </c>
      <c r="EU123" s="224">
        <v>3.4000000000000002E-2</v>
      </c>
      <c r="EV123" s="224">
        <v>3.4000000000000002E-2</v>
      </c>
      <c r="EW123" s="224">
        <v>3.4000000000000002E-2</v>
      </c>
      <c r="EX123" s="224">
        <v>3.4000000000000002E-2</v>
      </c>
      <c r="EY123" s="224">
        <v>3.4000000000000002E-2</v>
      </c>
      <c r="EZ123" s="231" t="s">
        <v>281</v>
      </c>
      <c r="FA123" s="235">
        <v>2.3E-2</v>
      </c>
      <c r="FB123" s="238" t="s">
        <v>334</v>
      </c>
      <c r="FC123" s="231" t="s">
        <v>306</v>
      </c>
      <c r="FD123" s="236">
        <v>3.5000000000000001E-3</v>
      </c>
      <c r="FE123" s="238">
        <v>3.0000000000000001E-3</v>
      </c>
      <c r="FF123" s="237" t="s">
        <v>333</v>
      </c>
      <c r="FG123" s="231"/>
      <c r="FH123" s="236">
        <v>3.5000000000000001E-3</v>
      </c>
      <c r="FI123" s="236">
        <v>3.5000000000000001E-3</v>
      </c>
      <c r="FJ123" s="236">
        <v>3.5000000000000001E-3</v>
      </c>
      <c r="FK123" s="236">
        <v>3.5000000000000001E-3</v>
      </c>
      <c r="FL123" s="236">
        <v>3.5000000000000001E-3</v>
      </c>
      <c r="FM123" s="236">
        <v>3.5000000000000001E-3</v>
      </c>
      <c r="FN123" s="235">
        <v>3.5000000000000001E-3</v>
      </c>
      <c r="FO123" s="235">
        <v>3.5000000000000001E-3</v>
      </c>
      <c r="FP123" s="235">
        <v>3.5000000000000001E-3</v>
      </c>
      <c r="FQ123" s="235">
        <v>3.5000000000000001E-3</v>
      </c>
      <c r="FR123" s="235">
        <v>3.5000000000000001E-3</v>
      </c>
      <c r="FS123" s="235">
        <v>2.3E-2</v>
      </c>
      <c r="FT123" s="235">
        <v>3.5000000000000001E-3</v>
      </c>
      <c r="FU123" s="235">
        <v>2.3E-2</v>
      </c>
      <c r="FV123" s="235">
        <v>2.3E-2</v>
      </c>
      <c r="FW123" s="235">
        <v>2.3E-2</v>
      </c>
      <c r="FX123" s="235">
        <v>2.3E-2</v>
      </c>
      <c r="FY123" s="224">
        <v>2.4E-2</v>
      </c>
      <c r="FZ123" s="224">
        <v>3.7999999999999999E-2</v>
      </c>
      <c r="GA123" s="224">
        <v>3.7999999999999999E-2</v>
      </c>
      <c r="GB123" s="224">
        <v>3.7999999999999999E-2</v>
      </c>
      <c r="GC123" s="224">
        <v>3.7999999999999999E-2</v>
      </c>
      <c r="GD123" s="224">
        <v>3.7999999999999999E-2</v>
      </c>
      <c r="GE123" s="224">
        <v>3.7999999999999999E-2</v>
      </c>
      <c r="GF123" s="224">
        <v>3.9E-2</v>
      </c>
      <c r="GG123" s="224">
        <v>3.9E-2</v>
      </c>
      <c r="GH123" s="224">
        <v>3.9E-2</v>
      </c>
      <c r="GI123" s="224">
        <v>3.9E-2</v>
      </c>
      <c r="GJ123" s="224">
        <v>3.9E-2</v>
      </c>
      <c r="GK123" s="224">
        <v>3.9E-2</v>
      </c>
      <c r="GL123" s="224">
        <v>3.9E-2</v>
      </c>
      <c r="GM123" s="224">
        <v>3.9E-2</v>
      </c>
      <c r="GN123" s="224">
        <v>3.9E-2</v>
      </c>
      <c r="GO123" s="224">
        <v>3.9E-2</v>
      </c>
      <c r="GP123" s="224">
        <v>3.0499999999999999E-2</v>
      </c>
      <c r="GQ123" s="224">
        <v>3.0499999999999999E-2</v>
      </c>
      <c r="GR123" s="224">
        <v>3.0499999999999999E-2</v>
      </c>
      <c r="GS123" s="224">
        <v>3.0499999999999999E-2</v>
      </c>
      <c r="GT123" s="224">
        <v>3.0499999999999999E-2</v>
      </c>
      <c r="GU123" s="224">
        <v>3.0499999999999999E-2</v>
      </c>
      <c r="GV123" s="224">
        <v>3.0499999999999999E-2</v>
      </c>
      <c r="GW123" s="224">
        <v>3.0499999999999999E-2</v>
      </c>
      <c r="GX123" s="224">
        <v>2.3E-2</v>
      </c>
      <c r="GY123" s="224">
        <v>2.7E-2</v>
      </c>
      <c r="GZ123" s="224">
        <v>2.7E-2</v>
      </c>
      <c r="HA123" s="224">
        <v>2.4E-2</v>
      </c>
      <c r="HB123" s="224">
        <v>3.7999999999999999E-2</v>
      </c>
      <c r="HC123" s="224">
        <v>3.4000000000000002E-2</v>
      </c>
      <c r="HD123" s="224">
        <v>3.7999999999999999E-2</v>
      </c>
      <c r="HE123" s="224">
        <v>3.7999999999999999E-2</v>
      </c>
      <c r="HF123" s="941" t="s">
        <v>124</v>
      </c>
    </row>
    <row r="124" spans="1:215">
      <c r="A124" s="1068"/>
      <c r="B124" s="914"/>
      <c r="C124" s="910"/>
      <c r="D124" s="910"/>
      <c r="E124" s="910"/>
      <c r="F124" s="910"/>
      <c r="G124" s="910"/>
      <c r="H124" s="910"/>
      <c r="I124" s="910"/>
      <c r="J124" s="910"/>
      <c r="K124" s="910"/>
      <c r="L124" s="910"/>
      <c r="M124" s="910"/>
      <c r="N124" s="910"/>
      <c r="O124" s="910"/>
      <c r="P124" s="910"/>
      <c r="Q124" s="910"/>
      <c r="R124" s="910"/>
      <c r="S124" s="910"/>
      <c r="T124" s="979"/>
      <c r="U124" s="979"/>
      <c r="V124" s="979"/>
      <c r="W124" s="910"/>
      <c r="X124" s="910"/>
      <c r="Y124" s="910"/>
      <c r="Z124" s="910"/>
      <c r="AA124" s="910"/>
      <c r="AB124" s="910"/>
      <c r="AC124" s="910"/>
      <c r="AD124" s="910"/>
      <c r="AE124" s="910"/>
      <c r="AF124" s="979"/>
      <c r="AG124" s="979"/>
      <c r="AH124" s="979"/>
      <c r="AI124" s="979"/>
      <c r="AJ124" s="910"/>
      <c r="AK124" s="979"/>
      <c r="AL124" s="910"/>
      <c r="AM124" s="979"/>
      <c r="AN124" s="953"/>
      <c r="AO124" s="990"/>
      <c r="AP124" s="1009"/>
      <c r="AQ124" s="1009"/>
      <c r="AR124" s="1019"/>
      <c r="AS124" s="988"/>
      <c r="AT124" s="988"/>
      <c r="AU124" s="988"/>
      <c r="AV124" s="988"/>
      <c r="AW124" s="988"/>
      <c r="AX124" s="988"/>
      <c r="AY124" s="988"/>
      <c r="AZ124" s="988"/>
      <c r="BA124" s="988"/>
      <c r="BB124" s="988"/>
      <c r="BC124" s="988"/>
      <c r="BD124" s="988"/>
      <c r="BE124" s="988"/>
      <c r="BF124" s="988"/>
      <c r="BG124" s="988"/>
      <c r="BH124" s="988"/>
      <c r="BI124" s="988"/>
      <c r="BJ124" s="988"/>
      <c r="BK124" s="988"/>
      <c r="BL124" s="988"/>
      <c r="BM124" s="988"/>
      <c r="BN124" s="988"/>
      <c r="BO124" s="988"/>
      <c r="BP124" s="988"/>
      <c r="BQ124" s="988"/>
      <c r="BR124" s="988"/>
      <c r="BS124" s="988"/>
      <c r="BT124" s="988"/>
      <c r="BU124" s="988"/>
      <c r="BV124" s="988"/>
      <c r="BW124" s="988"/>
      <c r="BX124" s="988"/>
      <c r="BY124" s="988"/>
      <c r="BZ124" s="988"/>
      <c r="CA124" s="988"/>
      <c r="CB124" s="988"/>
      <c r="CC124" s="988"/>
      <c r="CD124" s="988"/>
      <c r="CE124" s="988"/>
      <c r="CF124" s="988"/>
      <c r="CG124" s="988"/>
      <c r="CH124" s="988"/>
      <c r="CI124" s="1027"/>
      <c r="CJ124" s="988"/>
      <c r="CK124" s="988"/>
      <c r="CL124" s="988"/>
      <c r="CM124" s="988"/>
      <c r="CN124" s="988"/>
      <c r="CO124" s="988"/>
      <c r="CP124" s="988"/>
      <c r="CQ124" s="988"/>
      <c r="CR124" s="988"/>
      <c r="CS124" s="988"/>
      <c r="CT124" s="988"/>
      <c r="CU124" s="988"/>
      <c r="CV124" s="988"/>
      <c r="CW124" s="988"/>
      <c r="CX124" s="988"/>
      <c r="CY124" s="988"/>
      <c r="CZ124" s="988"/>
      <c r="DA124" s="988"/>
      <c r="DB124" s="988"/>
      <c r="DC124" s="988"/>
      <c r="DD124" s="988"/>
      <c r="DE124" s="988"/>
      <c r="DF124" s="988"/>
      <c r="DG124" s="988"/>
      <c r="DH124" s="988"/>
      <c r="DI124" s="988"/>
      <c r="DJ124" s="988"/>
      <c r="DK124" s="988"/>
      <c r="DL124" s="988"/>
      <c r="DM124" s="988"/>
      <c r="DN124" s="988"/>
      <c r="DO124" s="988"/>
      <c r="DP124" s="988"/>
      <c r="DQ124" s="988"/>
      <c r="DR124" s="988"/>
      <c r="DS124" s="988"/>
      <c r="DT124" s="988"/>
      <c r="DU124" s="988"/>
      <c r="DV124" s="988"/>
      <c r="DW124" s="988"/>
      <c r="DX124" s="988"/>
      <c r="DY124" s="988"/>
      <c r="DZ124" s="224">
        <v>3.6499999999999998E-2</v>
      </c>
      <c r="EA124" s="224">
        <v>3.6499999999999998E-2</v>
      </c>
      <c r="EB124" s="224">
        <v>3.6499999999999998E-2</v>
      </c>
      <c r="EC124" s="224">
        <v>3.7499999999999999E-2</v>
      </c>
      <c r="ED124" s="224">
        <v>3.7499999999999999E-2</v>
      </c>
      <c r="EE124" s="224">
        <v>3.7499999999999999E-2</v>
      </c>
      <c r="EF124" s="224">
        <v>3.7499999999999999E-2</v>
      </c>
      <c r="EG124" s="224">
        <v>3.7499999999999999E-2</v>
      </c>
      <c r="EH124" s="224">
        <v>3.7499999999999999E-2</v>
      </c>
      <c r="EI124" s="224">
        <v>3.7499999999999999E-2</v>
      </c>
      <c r="EJ124" s="224">
        <v>3.7499999999999999E-2</v>
      </c>
      <c r="EK124" s="224">
        <v>3.7499999999999999E-2</v>
      </c>
      <c r="EL124" s="224">
        <v>3.7499999999999999E-2</v>
      </c>
      <c r="EM124" s="224">
        <v>3.7499999999999999E-2</v>
      </c>
      <c r="EN124" s="224">
        <v>3.7499999999999999E-2</v>
      </c>
      <c r="EO124" s="224">
        <v>3.7499999999999999E-2</v>
      </c>
      <c r="EP124" s="224">
        <v>3.7499999999999999E-2</v>
      </c>
      <c r="EQ124" s="224">
        <v>3.7499999999999999E-2</v>
      </c>
      <c r="ER124" s="224">
        <v>3.7499999999999999E-2</v>
      </c>
      <c r="ES124" s="224">
        <v>3.7499999999999999E-2</v>
      </c>
      <c r="ET124" s="224">
        <v>3.7499999999999999E-2</v>
      </c>
      <c r="EU124" s="224">
        <v>3.7499999999999999E-2</v>
      </c>
      <c r="EV124" s="224">
        <v>3.7499999999999999E-2</v>
      </c>
      <c r="EW124" s="224">
        <v>3.7499999999999999E-2</v>
      </c>
      <c r="EX124" s="224">
        <v>3.7499999999999999E-2</v>
      </c>
      <c r="EY124" s="224">
        <v>3.7499999999999999E-2</v>
      </c>
      <c r="EZ124" s="231" t="s">
        <v>281</v>
      </c>
      <c r="FA124" s="235"/>
      <c r="FB124" s="238"/>
      <c r="FC124" s="231"/>
      <c r="FD124" s="236"/>
      <c r="FE124" s="238"/>
      <c r="FF124" s="237"/>
      <c r="FG124" s="231"/>
      <c r="FH124" s="236"/>
      <c r="FI124" s="236"/>
      <c r="FJ124" s="236"/>
      <c r="FK124" s="236"/>
      <c r="FL124" s="236"/>
      <c r="FM124" s="236"/>
      <c r="FN124" s="235"/>
      <c r="FO124" s="235"/>
      <c r="FP124" s="235"/>
      <c r="FQ124" s="235"/>
      <c r="FR124" s="235"/>
      <c r="FS124" s="235"/>
      <c r="FT124" s="235"/>
      <c r="FU124" s="235"/>
      <c r="FV124" s="235"/>
      <c r="FW124" s="235"/>
      <c r="FX124" s="235"/>
      <c r="FY124" s="224"/>
      <c r="FZ124" s="224"/>
      <c r="GA124" s="224"/>
      <c r="GB124" s="224"/>
      <c r="GC124" s="224"/>
      <c r="GD124" s="224"/>
      <c r="GE124" s="224"/>
      <c r="GF124" s="224"/>
      <c r="GG124" s="224"/>
      <c r="GH124" s="224"/>
      <c r="GI124" s="224"/>
      <c r="GJ124" s="224"/>
      <c r="GK124" s="224"/>
      <c r="GL124" s="224"/>
      <c r="GM124" s="224"/>
      <c r="GN124" s="224"/>
      <c r="GO124" s="224"/>
      <c r="GP124" s="224"/>
      <c r="GQ124" s="224"/>
      <c r="GR124" s="224"/>
      <c r="GS124" s="224"/>
      <c r="GT124" s="224"/>
      <c r="GU124" s="224"/>
      <c r="GV124" s="224"/>
      <c r="GW124" s="224"/>
      <c r="GX124" s="224"/>
      <c r="GY124" s="224"/>
      <c r="GZ124" s="224"/>
      <c r="HA124" s="224"/>
      <c r="HB124" s="224"/>
      <c r="HC124" s="224">
        <v>3.7499999999999999E-2</v>
      </c>
      <c r="HD124" s="224"/>
      <c r="HE124" s="224"/>
      <c r="HF124" s="942"/>
    </row>
    <row r="125" spans="1:215" ht="15" customHeight="1">
      <c r="A125" s="758" t="s">
        <v>332</v>
      </c>
      <c r="B125" s="742"/>
      <c r="C125" s="742"/>
      <c r="D125" s="742"/>
      <c r="E125" s="742"/>
      <c r="F125" s="742"/>
      <c r="G125" s="742"/>
      <c r="H125" s="742"/>
      <c r="I125" s="742"/>
      <c r="J125" s="742"/>
      <c r="K125" s="742"/>
      <c r="L125" s="742"/>
      <c r="M125" s="742"/>
      <c r="N125" s="742"/>
      <c r="O125" s="742"/>
      <c r="P125" s="742"/>
      <c r="Q125" s="742"/>
      <c r="R125" s="742"/>
      <c r="S125" s="742"/>
      <c r="T125" s="742"/>
      <c r="U125" s="742"/>
      <c r="V125" s="742"/>
      <c r="W125" s="742"/>
      <c r="X125" s="742"/>
      <c r="Y125" s="742"/>
      <c r="Z125" s="742"/>
      <c r="AA125" s="742"/>
      <c r="AB125" s="742"/>
      <c r="AC125" s="742"/>
      <c r="AD125" s="742"/>
      <c r="AE125" s="742"/>
      <c r="AF125" s="742"/>
      <c r="AG125" s="742"/>
      <c r="AH125" s="742"/>
      <c r="AI125" s="742"/>
      <c r="AJ125" s="742"/>
      <c r="AK125" s="742"/>
      <c r="AL125" s="742"/>
      <c r="AM125" s="742"/>
      <c r="AN125" s="742"/>
      <c r="AO125" s="742"/>
      <c r="AP125" s="742"/>
      <c r="AQ125" s="742"/>
      <c r="AR125" s="742"/>
      <c r="AS125" s="742"/>
      <c r="AT125" s="742"/>
      <c r="AU125" s="742"/>
      <c r="AV125" s="742"/>
      <c r="AW125" s="742"/>
      <c r="AX125" s="742"/>
      <c r="AY125" s="742"/>
      <c r="AZ125" s="742"/>
      <c r="BA125" s="742"/>
      <c r="BB125" s="742"/>
      <c r="BC125" s="742"/>
      <c r="BD125" s="742"/>
      <c r="BE125" s="742"/>
      <c r="BF125" s="742"/>
      <c r="BG125" s="742"/>
      <c r="BH125" s="742"/>
      <c r="BI125" s="742"/>
      <c r="BJ125" s="742"/>
      <c r="BK125" s="742"/>
      <c r="BL125" s="742"/>
      <c r="BM125" s="742"/>
      <c r="BN125" s="742"/>
      <c r="BO125" s="742"/>
      <c r="BP125" s="742"/>
      <c r="BQ125" s="742"/>
      <c r="BR125" s="742"/>
      <c r="BS125" s="742"/>
      <c r="BT125" s="742"/>
      <c r="BU125" s="742"/>
      <c r="BV125" s="742"/>
      <c r="BW125" s="742"/>
      <c r="BX125" s="742"/>
      <c r="BY125" s="742"/>
      <c r="BZ125" s="742"/>
      <c r="CA125" s="742"/>
      <c r="CB125" s="742"/>
      <c r="CC125" s="742"/>
      <c r="CD125" s="742"/>
      <c r="CE125" s="742"/>
      <c r="CF125" s="742"/>
      <c r="CG125" s="742"/>
      <c r="CH125" s="742"/>
      <c r="CI125" s="742"/>
      <c r="CJ125" s="742"/>
      <c r="CK125" s="742"/>
      <c r="CL125" s="742"/>
      <c r="CM125" s="742"/>
      <c r="CN125" s="742"/>
      <c r="CO125" s="742"/>
      <c r="CP125" s="742"/>
      <c r="CQ125" s="742"/>
      <c r="CR125" s="742"/>
      <c r="CS125" s="742"/>
      <c r="CT125" s="742"/>
      <c r="CU125" s="742"/>
      <c r="CV125" s="742"/>
      <c r="CW125" s="742"/>
      <c r="CX125" s="742"/>
      <c r="CY125" s="742"/>
      <c r="CZ125" s="742"/>
      <c r="DA125" s="742"/>
      <c r="DB125" s="742"/>
      <c r="DC125" s="742"/>
      <c r="DD125" s="742"/>
      <c r="DE125" s="742"/>
      <c r="DF125" s="742"/>
      <c r="DG125" s="742"/>
      <c r="DH125" s="742"/>
      <c r="DI125" s="742"/>
      <c r="DJ125" s="742"/>
      <c r="DK125" s="742"/>
      <c r="DL125" s="742"/>
      <c r="DM125" s="742"/>
      <c r="DN125" s="742"/>
      <c r="DO125" s="742"/>
      <c r="DP125" s="742"/>
      <c r="DQ125" s="742"/>
      <c r="DR125" s="742"/>
      <c r="DS125" s="742"/>
      <c r="DT125" s="742"/>
      <c r="DU125" s="742"/>
      <c r="DV125" s="742"/>
      <c r="DW125" s="742"/>
      <c r="DX125" s="742"/>
      <c r="DY125" s="742"/>
      <c r="DZ125" s="742"/>
      <c r="EA125" s="742"/>
      <c r="EB125" s="742"/>
      <c r="EC125" s="742"/>
      <c r="ED125" s="742"/>
      <c r="EE125" s="742"/>
      <c r="EF125" s="742"/>
      <c r="EG125" s="742"/>
      <c r="EH125" s="742"/>
      <c r="EI125" s="742"/>
      <c r="EJ125" s="742"/>
      <c r="EK125" s="742"/>
      <c r="EL125" s="742"/>
      <c r="EM125" s="742"/>
      <c r="EN125" s="742"/>
      <c r="EO125" s="742"/>
      <c r="EP125" s="742"/>
      <c r="EQ125" s="742"/>
      <c r="ER125" s="742"/>
      <c r="ES125" s="742"/>
      <c r="ET125" s="742"/>
      <c r="EU125" s="742"/>
      <c r="EV125" s="742"/>
      <c r="EW125" s="742"/>
      <c r="EX125" s="742"/>
      <c r="EY125" s="742"/>
      <c r="EZ125" s="742"/>
      <c r="FA125" s="742"/>
      <c r="FB125" s="742"/>
      <c r="FC125" s="742"/>
      <c r="FD125" s="742"/>
      <c r="FE125" s="742"/>
      <c r="FF125" s="742"/>
      <c r="FG125" s="742"/>
      <c r="FH125" s="742"/>
      <c r="FI125" s="742"/>
      <c r="FJ125" s="742"/>
      <c r="FK125" s="742"/>
      <c r="FL125" s="742"/>
      <c r="FM125" s="742"/>
      <c r="FN125" s="742"/>
      <c r="FO125" s="742"/>
      <c r="FP125" s="742"/>
      <c r="FQ125" s="742"/>
      <c r="FR125" s="742"/>
      <c r="FS125" s="742"/>
      <c r="FT125" s="742"/>
      <c r="FU125" s="742"/>
      <c r="FV125" s="742"/>
      <c r="FW125" s="742"/>
      <c r="FX125" s="742"/>
      <c r="FY125" s="742"/>
      <c r="FZ125" s="742"/>
      <c r="GA125" s="742"/>
      <c r="GB125" s="742"/>
      <c r="GC125" s="742"/>
      <c r="GD125" s="742"/>
      <c r="GE125" s="742"/>
      <c r="GF125" s="742"/>
      <c r="GG125" s="742"/>
      <c r="GH125" s="742"/>
      <c r="GI125" s="742"/>
      <c r="GJ125" s="742"/>
      <c r="GK125" s="742"/>
      <c r="GL125" s="742"/>
      <c r="GM125" s="742"/>
      <c r="GN125" s="742"/>
      <c r="GO125" s="742"/>
      <c r="GP125" s="742"/>
      <c r="GQ125" s="742"/>
      <c r="GR125" s="742"/>
      <c r="GS125" s="742"/>
      <c r="GT125" s="742"/>
      <c r="GU125" s="742"/>
      <c r="GV125" s="742"/>
      <c r="GW125" s="742"/>
      <c r="GX125" s="742"/>
      <c r="GY125" s="742"/>
      <c r="GZ125" s="742"/>
      <c r="HA125" s="742"/>
      <c r="HB125" s="742"/>
      <c r="HC125" s="742"/>
      <c r="HD125" s="742"/>
      <c r="HE125" s="742"/>
      <c r="HF125" s="743"/>
    </row>
    <row r="126" spans="1:215" ht="15.6">
      <c r="A126" s="690" t="s">
        <v>328</v>
      </c>
      <c r="B126" s="652"/>
      <c r="C126" s="653">
        <f t="shared" ref="C126:D126" si="45">C3</f>
        <v>46099</v>
      </c>
      <c r="D126" s="653">
        <f t="shared" si="45"/>
        <v>46092</v>
      </c>
      <c r="E126" s="653">
        <f t="shared" ref="E126" si="46">E3</f>
        <v>46085</v>
      </c>
      <c r="F126" s="653">
        <f t="shared" ref="F126:P126" si="47">F3</f>
        <v>46078</v>
      </c>
      <c r="G126" s="653">
        <f t="shared" ref="G126" si="48">G3</f>
        <v>46071</v>
      </c>
      <c r="H126" s="653">
        <f t="shared" ref="H126" si="49">H3</f>
        <v>46064</v>
      </c>
      <c r="I126" s="653">
        <f>I3</f>
        <v>46057</v>
      </c>
      <c r="J126" s="653">
        <f t="shared" si="47"/>
        <v>46050</v>
      </c>
      <c r="K126" s="653">
        <f t="shared" si="47"/>
        <v>46043</v>
      </c>
      <c r="L126" s="653">
        <f t="shared" si="47"/>
        <v>46036</v>
      </c>
      <c r="M126" s="653">
        <f t="shared" si="47"/>
        <v>46029</v>
      </c>
      <c r="N126" s="653">
        <f t="shared" si="47"/>
        <v>46022</v>
      </c>
      <c r="O126" s="653">
        <f t="shared" si="47"/>
        <v>46015</v>
      </c>
      <c r="P126" s="653">
        <f t="shared" si="47"/>
        <v>46008</v>
      </c>
      <c r="Q126" s="653">
        <f t="shared" ref="Q126:V126" si="50">Q3</f>
        <v>46001</v>
      </c>
      <c r="R126" s="653">
        <f t="shared" si="50"/>
        <v>45994</v>
      </c>
      <c r="S126" s="653">
        <f t="shared" si="50"/>
        <v>46092</v>
      </c>
      <c r="T126" s="591">
        <f t="shared" si="50"/>
        <v>45980</v>
      </c>
      <c r="U126" s="591">
        <f t="shared" si="50"/>
        <v>45973</v>
      </c>
      <c r="V126" s="591">
        <f t="shared" si="50"/>
        <v>45966</v>
      </c>
      <c r="W126" s="247">
        <f t="shared" ref="W126:AF126" si="51">W3</f>
        <v>45959</v>
      </c>
      <c r="X126" s="247">
        <f>X3</f>
        <v>45952</v>
      </c>
      <c r="Y126" s="247">
        <f>Y3</f>
        <v>45945</v>
      </c>
      <c r="Z126" s="247">
        <f>Z3</f>
        <v>45938</v>
      </c>
      <c r="AA126" s="247">
        <f>AA3</f>
        <v>45931</v>
      </c>
      <c r="AB126" s="247">
        <f t="shared" si="51"/>
        <v>45924</v>
      </c>
      <c r="AC126" s="247">
        <f t="shared" si="51"/>
        <v>45917</v>
      </c>
      <c r="AD126" s="247">
        <f t="shared" si="51"/>
        <v>45910</v>
      </c>
      <c r="AE126" s="247">
        <f t="shared" si="51"/>
        <v>46092</v>
      </c>
      <c r="AF126" s="252">
        <f t="shared" si="51"/>
        <v>45896</v>
      </c>
      <c r="AG126" s="252">
        <v>45889</v>
      </c>
      <c r="AH126" s="252">
        <v>45882</v>
      </c>
      <c r="AI126" s="252">
        <v>45875</v>
      </c>
      <c r="AJ126" s="247">
        <v>45868</v>
      </c>
      <c r="AK126" s="252">
        <v>45861</v>
      </c>
      <c r="AL126" s="247">
        <v>45854</v>
      </c>
      <c r="AM126" s="252">
        <v>45847</v>
      </c>
      <c r="AN126" s="252">
        <v>45840</v>
      </c>
      <c r="AO126" s="252">
        <f>AO3</f>
        <v>45833</v>
      </c>
      <c r="AP126" s="247">
        <v>45826</v>
      </c>
      <c r="AQ126" s="247">
        <f t="shared" ref="AQ126:BV126" si="52">AQ3</f>
        <v>45819</v>
      </c>
      <c r="AR126" s="247">
        <f t="shared" si="52"/>
        <v>45812</v>
      </c>
      <c r="AS126" s="247">
        <f t="shared" si="52"/>
        <v>45805</v>
      </c>
      <c r="AT126" s="247">
        <f t="shared" si="52"/>
        <v>45798</v>
      </c>
      <c r="AU126" s="247">
        <f t="shared" si="52"/>
        <v>45792</v>
      </c>
      <c r="AV126" s="247">
        <f t="shared" si="52"/>
        <v>45785</v>
      </c>
      <c r="AW126" s="247">
        <f t="shared" si="52"/>
        <v>45777</v>
      </c>
      <c r="AX126" s="247">
        <f t="shared" si="52"/>
        <v>45771</v>
      </c>
      <c r="AY126" s="247">
        <f t="shared" si="52"/>
        <v>45763</v>
      </c>
      <c r="AZ126" s="247">
        <f t="shared" si="52"/>
        <v>45757</v>
      </c>
      <c r="BA126" s="247">
        <f t="shared" si="52"/>
        <v>45750</v>
      </c>
      <c r="BB126" s="247">
        <f t="shared" si="52"/>
        <v>45742</v>
      </c>
      <c r="BC126" s="247" t="e">
        <f t="shared" si="52"/>
        <v>#REF!</v>
      </c>
      <c r="BD126" s="247">
        <f t="shared" si="52"/>
        <v>45729</v>
      </c>
      <c r="BE126" s="247">
        <f t="shared" si="52"/>
        <v>45722</v>
      </c>
      <c r="BF126" s="247">
        <f t="shared" si="52"/>
        <v>45715</v>
      </c>
      <c r="BG126" s="247">
        <f t="shared" si="52"/>
        <v>45708</v>
      </c>
      <c r="BH126" s="247">
        <f t="shared" si="52"/>
        <v>45701</v>
      </c>
      <c r="BI126" s="247">
        <f t="shared" si="52"/>
        <v>45694</v>
      </c>
      <c r="BJ126" s="247">
        <f t="shared" si="52"/>
        <v>45688</v>
      </c>
      <c r="BK126" s="247">
        <f t="shared" si="52"/>
        <v>45315</v>
      </c>
      <c r="BL126" s="247">
        <f t="shared" si="52"/>
        <v>45673</v>
      </c>
      <c r="BM126" s="247">
        <f t="shared" si="52"/>
        <v>45666</v>
      </c>
      <c r="BN126" s="247">
        <f t="shared" si="52"/>
        <v>45659</v>
      </c>
      <c r="BO126" s="247">
        <f t="shared" si="52"/>
        <v>45652</v>
      </c>
      <c r="BP126" s="247">
        <f t="shared" si="52"/>
        <v>45645</v>
      </c>
      <c r="BQ126" s="247">
        <f t="shared" si="52"/>
        <v>45638</v>
      </c>
      <c r="BR126" s="247">
        <f t="shared" si="52"/>
        <v>45631</v>
      </c>
      <c r="BS126" s="247">
        <f t="shared" si="52"/>
        <v>45625</v>
      </c>
      <c r="BT126" s="247">
        <f t="shared" si="52"/>
        <v>45617</v>
      </c>
      <c r="BU126" s="247">
        <f t="shared" si="52"/>
        <v>45610</v>
      </c>
      <c r="BV126" s="247">
        <f t="shared" si="52"/>
        <v>45603</v>
      </c>
      <c r="BW126" s="247">
        <f t="shared" ref="BW126:DB126" si="53">BW3</f>
        <v>45595</v>
      </c>
      <c r="BX126" s="247">
        <f t="shared" si="53"/>
        <v>45591</v>
      </c>
      <c r="BY126" s="247">
        <f t="shared" si="53"/>
        <v>45582</v>
      </c>
      <c r="BZ126" s="247">
        <f t="shared" si="53"/>
        <v>45575</v>
      </c>
      <c r="CA126" s="247">
        <f t="shared" si="53"/>
        <v>45568</v>
      </c>
      <c r="CB126" s="247">
        <f t="shared" si="53"/>
        <v>45561</v>
      </c>
      <c r="CC126" s="247">
        <f t="shared" si="53"/>
        <v>45554</v>
      </c>
      <c r="CD126" s="247">
        <f t="shared" si="53"/>
        <v>45547</v>
      </c>
      <c r="CE126" s="247">
        <f t="shared" si="53"/>
        <v>45540</v>
      </c>
      <c r="CF126" s="247">
        <f t="shared" si="53"/>
        <v>45533</v>
      </c>
      <c r="CG126" s="247">
        <f t="shared" si="53"/>
        <v>45526</v>
      </c>
      <c r="CH126" s="247">
        <f t="shared" si="53"/>
        <v>45519</v>
      </c>
      <c r="CI126" s="247">
        <f t="shared" si="53"/>
        <v>45511</v>
      </c>
      <c r="CJ126" s="247">
        <f t="shared" si="53"/>
        <v>45505</v>
      </c>
      <c r="CK126" s="247">
        <f t="shared" si="53"/>
        <v>45498</v>
      </c>
      <c r="CL126" s="247">
        <f t="shared" si="53"/>
        <v>45492</v>
      </c>
      <c r="CM126" s="247" t="str">
        <f t="shared" si="53"/>
        <v>11/7/224</v>
      </c>
      <c r="CN126" s="247">
        <f t="shared" si="53"/>
        <v>45477</v>
      </c>
      <c r="CO126" s="247">
        <f t="shared" si="53"/>
        <v>45464</v>
      </c>
      <c r="CP126" s="247">
        <f t="shared" si="53"/>
        <v>45456</v>
      </c>
      <c r="CQ126" s="247">
        <f t="shared" si="53"/>
        <v>45449</v>
      </c>
      <c r="CR126" s="247">
        <f t="shared" si="53"/>
        <v>45442</v>
      </c>
      <c r="CS126" s="247">
        <f t="shared" si="53"/>
        <v>45435</v>
      </c>
      <c r="CT126" s="247">
        <f t="shared" si="53"/>
        <v>45428</v>
      </c>
      <c r="CU126" s="247">
        <f t="shared" si="53"/>
        <v>45421</v>
      </c>
      <c r="CV126" s="247">
        <f t="shared" si="53"/>
        <v>45414</v>
      </c>
      <c r="CW126" s="247">
        <f t="shared" si="53"/>
        <v>45407</v>
      </c>
      <c r="CX126" s="247">
        <f t="shared" si="53"/>
        <v>45400</v>
      </c>
      <c r="CY126" s="247">
        <f t="shared" si="53"/>
        <v>45393</v>
      </c>
      <c r="CZ126" s="247">
        <f t="shared" si="53"/>
        <v>45386</v>
      </c>
      <c r="DA126" s="247">
        <f t="shared" si="53"/>
        <v>45378</v>
      </c>
      <c r="DB126" s="247">
        <f t="shared" si="53"/>
        <v>45372</v>
      </c>
      <c r="DC126" s="247">
        <f t="shared" ref="DC126:EH126" si="54">DC3</f>
        <v>45365</v>
      </c>
      <c r="DD126" s="247">
        <f t="shared" si="54"/>
        <v>45358</v>
      </c>
      <c r="DE126" s="247">
        <f t="shared" si="54"/>
        <v>45351</v>
      </c>
      <c r="DF126" s="247">
        <f t="shared" si="54"/>
        <v>45343</v>
      </c>
      <c r="DG126" s="247">
        <f t="shared" si="54"/>
        <v>45336</v>
      </c>
      <c r="DH126" s="247">
        <f t="shared" si="54"/>
        <v>45329</v>
      </c>
      <c r="DI126" s="247">
        <f t="shared" si="54"/>
        <v>45323</v>
      </c>
      <c r="DJ126" s="247">
        <f t="shared" si="54"/>
        <v>45316</v>
      </c>
      <c r="DK126" s="247">
        <f t="shared" si="54"/>
        <v>45309</v>
      </c>
      <c r="DL126" s="247">
        <f t="shared" si="54"/>
        <v>45302</v>
      </c>
      <c r="DM126" s="247">
        <f t="shared" si="54"/>
        <v>45295</v>
      </c>
      <c r="DN126" s="247">
        <f t="shared" si="54"/>
        <v>45288</v>
      </c>
      <c r="DO126" s="247">
        <f t="shared" si="54"/>
        <v>45281</v>
      </c>
      <c r="DP126" s="247" t="str">
        <f t="shared" si="54"/>
        <v>14/21/2023</v>
      </c>
      <c r="DQ126" s="247">
        <f t="shared" si="54"/>
        <v>45267</v>
      </c>
      <c r="DR126" s="247">
        <f t="shared" si="54"/>
        <v>45260</v>
      </c>
      <c r="DS126" s="247">
        <f t="shared" si="54"/>
        <v>45253</v>
      </c>
      <c r="DT126" s="247">
        <f t="shared" si="54"/>
        <v>45246</v>
      </c>
      <c r="DU126" s="247">
        <f t="shared" si="54"/>
        <v>45239</v>
      </c>
      <c r="DV126" s="247">
        <f t="shared" si="54"/>
        <v>45232</v>
      </c>
      <c r="DW126" s="247">
        <f t="shared" si="54"/>
        <v>45225</v>
      </c>
      <c r="DX126" s="247">
        <f t="shared" si="54"/>
        <v>45218</v>
      </c>
      <c r="DY126" s="247">
        <f t="shared" si="54"/>
        <v>45211</v>
      </c>
      <c r="DZ126" s="247">
        <f t="shared" si="54"/>
        <v>45204</v>
      </c>
      <c r="EA126" s="247">
        <f t="shared" si="54"/>
        <v>45197</v>
      </c>
      <c r="EB126" s="247">
        <f t="shared" si="54"/>
        <v>45190</v>
      </c>
      <c r="EC126" s="247">
        <f t="shared" si="54"/>
        <v>45183</v>
      </c>
      <c r="ED126" s="247">
        <f t="shared" si="54"/>
        <v>45176</v>
      </c>
      <c r="EE126" s="247">
        <f t="shared" si="54"/>
        <v>45168</v>
      </c>
      <c r="EF126" s="247">
        <f t="shared" si="54"/>
        <v>45162</v>
      </c>
      <c r="EG126" s="247">
        <f t="shared" si="54"/>
        <v>45155</v>
      </c>
      <c r="EH126" s="247">
        <f t="shared" si="54"/>
        <v>45148</v>
      </c>
      <c r="EI126" s="247">
        <v>45141</v>
      </c>
      <c r="EJ126" s="247">
        <v>45134</v>
      </c>
      <c r="EK126" s="247">
        <v>45127</v>
      </c>
      <c r="EL126" s="247">
        <v>45120</v>
      </c>
      <c r="EM126" s="247">
        <v>45113</v>
      </c>
      <c r="EN126" s="247">
        <v>45105</v>
      </c>
      <c r="EO126" s="247">
        <v>45099</v>
      </c>
      <c r="EP126" s="247">
        <v>45092</v>
      </c>
      <c r="EQ126" s="247">
        <v>45085</v>
      </c>
      <c r="ER126" s="247">
        <v>45076</v>
      </c>
      <c r="ES126" s="247">
        <v>45070</v>
      </c>
      <c r="ET126" s="247">
        <v>45063</v>
      </c>
      <c r="EU126" s="247">
        <v>45056</v>
      </c>
      <c r="EV126" s="247">
        <v>45049</v>
      </c>
      <c r="EW126" s="247">
        <v>45042</v>
      </c>
      <c r="EX126" s="247">
        <v>45035</v>
      </c>
      <c r="EY126" s="247">
        <v>45028</v>
      </c>
      <c r="EZ126" s="244"/>
      <c r="FA126" s="247">
        <v>44803</v>
      </c>
      <c r="FB126" s="251"/>
      <c r="FC126" s="244"/>
      <c r="FD126" s="248">
        <v>44706</v>
      </c>
      <c r="FE126" s="251"/>
      <c r="FF126" s="250"/>
      <c r="FG126" s="244"/>
      <c r="FH126" s="243" t="s">
        <v>118</v>
      </c>
      <c r="FI126" s="249">
        <v>44685</v>
      </c>
      <c r="FJ126" s="248">
        <v>44699</v>
      </c>
      <c r="FK126" s="248">
        <v>44690</v>
      </c>
      <c r="FL126" s="248">
        <v>44713</v>
      </c>
      <c r="FM126" s="248">
        <v>44720</v>
      </c>
      <c r="FN126" s="247">
        <v>44727</v>
      </c>
      <c r="FO126" s="247">
        <v>44733</v>
      </c>
      <c r="FP126" s="247">
        <v>44741</v>
      </c>
      <c r="FQ126" s="247">
        <v>44755</v>
      </c>
      <c r="FR126" s="247">
        <v>44748</v>
      </c>
      <c r="FS126" s="247">
        <v>44769</v>
      </c>
      <c r="FT126" s="247">
        <v>44762</v>
      </c>
      <c r="FU126" s="247">
        <v>44783</v>
      </c>
      <c r="FV126" s="247">
        <v>44776</v>
      </c>
      <c r="FW126" s="247">
        <v>44797</v>
      </c>
      <c r="FX126" s="247">
        <v>44790</v>
      </c>
      <c r="FY126" s="247">
        <v>44805</v>
      </c>
      <c r="FZ126" s="247">
        <v>45000</v>
      </c>
      <c r="GA126" s="247">
        <v>44993</v>
      </c>
      <c r="GB126" s="247">
        <v>44986</v>
      </c>
      <c r="GC126" s="247">
        <v>44979</v>
      </c>
      <c r="GD126" s="247">
        <v>44972</v>
      </c>
      <c r="GE126" s="247">
        <v>44965</v>
      </c>
      <c r="GF126" s="247">
        <v>44958</v>
      </c>
      <c r="GG126" s="247">
        <v>44951</v>
      </c>
      <c r="GH126" s="247">
        <v>44944</v>
      </c>
      <c r="GI126" s="247">
        <v>44937</v>
      </c>
      <c r="GJ126" s="247">
        <v>44930</v>
      </c>
      <c r="GK126" s="247">
        <v>44923</v>
      </c>
      <c r="GL126" s="247">
        <v>44916</v>
      </c>
      <c r="GM126" s="247">
        <v>44910</v>
      </c>
      <c r="GN126" s="247">
        <v>44902</v>
      </c>
      <c r="GO126" s="247">
        <v>44896</v>
      </c>
      <c r="GP126" s="247">
        <v>44888</v>
      </c>
      <c r="GQ126" s="247">
        <v>44881</v>
      </c>
      <c r="GR126" s="247">
        <v>44874</v>
      </c>
      <c r="GS126" s="247">
        <v>44868</v>
      </c>
      <c r="GT126" s="247">
        <v>44860</v>
      </c>
      <c r="GU126" s="247">
        <v>44853</v>
      </c>
      <c r="GV126" s="247">
        <v>44846</v>
      </c>
      <c r="GW126" s="247">
        <v>44839</v>
      </c>
      <c r="GX126" s="247">
        <v>44831</v>
      </c>
      <c r="GY126" s="247">
        <v>44825</v>
      </c>
      <c r="GZ126" s="247">
        <v>44818</v>
      </c>
      <c r="HA126" s="247">
        <v>44811</v>
      </c>
      <c r="HB126" s="247">
        <v>45002</v>
      </c>
      <c r="HC126" s="247">
        <v>45020</v>
      </c>
      <c r="HD126" s="247">
        <v>45014</v>
      </c>
      <c r="HE126" s="247">
        <v>45008</v>
      </c>
      <c r="HF126" s="244"/>
    </row>
    <row r="127" spans="1:215" ht="15.6">
      <c r="A127" s="690"/>
      <c r="B127" s="650" t="s">
        <v>327</v>
      </c>
      <c r="C127" s="246" t="s">
        <v>325</v>
      </c>
      <c r="D127" s="246" t="s">
        <v>325</v>
      </c>
      <c r="E127" s="246" t="s">
        <v>325</v>
      </c>
      <c r="F127" s="246" t="s">
        <v>325</v>
      </c>
      <c r="G127" s="246" t="s">
        <v>325</v>
      </c>
      <c r="H127" s="246" t="s">
        <v>325</v>
      </c>
      <c r="I127" s="246" t="s">
        <v>325</v>
      </c>
      <c r="J127" s="246" t="s">
        <v>325</v>
      </c>
      <c r="K127" s="246" t="s">
        <v>325</v>
      </c>
      <c r="L127" s="246" t="s">
        <v>325</v>
      </c>
      <c r="M127" s="246" t="s">
        <v>325</v>
      </c>
      <c r="N127" s="246" t="s">
        <v>325</v>
      </c>
      <c r="O127" s="246" t="s">
        <v>325</v>
      </c>
      <c r="P127" s="246" t="s">
        <v>325</v>
      </c>
      <c r="Q127" s="246" t="s">
        <v>325</v>
      </c>
      <c r="R127" s="246" t="s">
        <v>325</v>
      </c>
      <c r="S127" s="246" t="s">
        <v>325</v>
      </c>
      <c r="T127" s="246" t="s">
        <v>325</v>
      </c>
      <c r="U127" s="246" t="s">
        <v>325</v>
      </c>
      <c r="V127" s="246" t="s">
        <v>325</v>
      </c>
      <c r="W127" s="246" t="s">
        <v>325</v>
      </c>
      <c r="X127" s="246" t="s">
        <v>325</v>
      </c>
      <c r="Y127" s="246" t="s">
        <v>325</v>
      </c>
      <c r="Z127" s="246" t="s">
        <v>325</v>
      </c>
      <c r="AA127" s="246" t="s">
        <v>325</v>
      </c>
      <c r="AB127" s="246" t="s">
        <v>325</v>
      </c>
      <c r="AC127" s="246" t="s">
        <v>325</v>
      </c>
      <c r="AD127" s="246" t="s">
        <v>325</v>
      </c>
      <c r="AE127" s="246" t="s">
        <v>325</v>
      </c>
      <c r="AF127" s="245" t="s">
        <v>325</v>
      </c>
      <c r="AG127" s="245" t="s">
        <v>325</v>
      </c>
      <c r="AH127" s="245" t="s">
        <v>325</v>
      </c>
      <c r="AI127" s="245" t="s">
        <v>325</v>
      </c>
      <c r="AJ127" s="246" t="s">
        <v>325</v>
      </c>
      <c r="AK127" s="245" t="s">
        <v>325</v>
      </c>
      <c r="AL127" s="246" t="s">
        <v>325</v>
      </c>
      <c r="AM127" s="245" t="s">
        <v>325</v>
      </c>
      <c r="AN127" s="245" t="s">
        <v>325</v>
      </c>
      <c r="AO127" s="245" t="s">
        <v>325</v>
      </c>
      <c r="AP127" s="242" t="s">
        <v>325</v>
      </c>
      <c r="AQ127" s="242" t="s">
        <v>325</v>
      </c>
      <c r="AR127" s="242" t="s">
        <v>325</v>
      </c>
      <c r="AS127" s="242" t="s">
        <v>325</v>
      </c>
      <c r="AT127" s="242" t="s">
        <v>325</v>
      </c>
      <c r="AU127" s="242" t="s">
        <v>325</v>
      </c>
      <c r="AV127" s="242" t="s">
        <v>325</v>
      </c>
      <c r="AW127" s="242" t="s">
        <v>325</v>
      </c>
      <c r="AX127" s="242" t="s">
        <v>325</v>
      </c>
      <c r="AY127" s="242" t="s">
        <v>325</v>
      </c>
      <c r="AZ127" s="242" t="s">
        <v>325</v>
      </c>
      <c r="BA127" s="242" t="s">
        <v>325</v>
      </c>
      <c r="BB127" s="242" t="s">
        <v>325</v>
      </c>
      <c r="BC127" s="242" t="s">
        <v>325</v>
      </c>
      <c r="BD127" s="242" t="s">
        <v>325</v>
      </c>
      <c r="BE127" s="242" t="s">
        <v>325</v>
      </c>
      <c r="BF127" s="242" t="s">
        <v>325</v>
      </c>
      <c r="BG127" s="242" t="s">
        <v>325</v>
      </c>
      <c r="BH127" s="242" t="s">
        <v>325</v>
      </c>
      <c r="BI127" s="242" t="s">
        <v>325</v>
      </c>
      <c r="BJ127" s="242" t="s">
        <v>325</v>
      </c>
      <c r="BK127" s="242" t="s">
        <v>325</v>
      </c>
      <c r="BL127" s="242" t="s">
        <v>325</v>
      </c>
      <c r="BM127" s="242" t="s">
        <v>325</v>
      </c>
      <c r="BN127" s="242" t="s">
        <v>325</v>
      </c>
      <c r="BO127" s="242" t="s">
        <v>325</v>
      </c>
      <c r="BP127" s="242" t="s">
        <v>325</v>
      </c>
      <c r="BQ127" s="242" t="s">
        <v>325</v>
      </c>
      <c r="BR127" s="242" t="s">
        <v>325</v>
      </c>
      <c r="BS127" s="242" t="s">
        <v>325</v>
      </c>
      <c r="BT127" s="242" t="s">
        <v>325</v>
      </c>
      <c r="BU127" s="242" t="s">
        <v>325</v>
      </c>
      <c r="BV127" s="242" t="s">
        <v>325</v>
      </c>
      <c r="BW127" s="242" t="s">
        <v>325</v>
      </c>
      <c r="BX127" s="242" t="s">
        <v>325</v>
      </c>
      <c r="BY127" s="242" t="s">
        <v>325</v>
      </c>
      <c r="BZ127" s="242" t="s">
        <v>325</v>
      </c>
      <c r="CA127" s="242" t="s">
        <v>325</v>
      </c>
      <c r="CB127" s="242" t="s">
        <v>325</v>
      </c>
      <c r="CC127" s="242" t="s">
        <v>325</v>
      </c>
      <c r="CD127" s="242" t="s">
        <v>325</v>
      </c>
      <c r="CE127" s="242" t="s">
        <v>325</v>
      </c>
      <c r="CF127" s="242" t="s">
        <v>325</v>
      </c>
      <c r="CG127" s="242" t="s">
        <v>325</v>
      </c>
      <c r="CH127" s="242" t="s">
        <v>325</v>
      </c>
      <c r="CI127" s="242" t="s">
        <v>325</v>
      </c>
      <c r="CJ127" s="242" t="s">
        <v>325</v>
      </c>
      <c r="CK127" s="242" t="s">
        <v>325</v>
      </c>
      <c r="CL127" s="242" t="s">
        <v>325</v>
      </c>
      <c r="CM127" s="242" t="s">
        <v>325</v>
      </c>
      <c r="CN127" s="242" t="s">
        <v>325</v>
      </c>
      <c r="CO127" s="242" t="s">
        <v>325</v>
      </c>
      <c r="CP127" s="242" t="s">
        <v>325</v>
      </c>
      <c r="CQ127" s="242" t="s">
        <v>325</v>
      </c>
      <c r="CR127" s="242" t="s">
        <v>325</v>
      </c>
      <c r="CS127" s="242" t="s">
        <v>325</v>
      </c>
      <c r="CT127" s="242" t="s">
        <v>325</v>
      </c>
      <c r="CU127" s="242" t="s">
        <v>325</v>
      </c>
      <c r="CV127" s="242" t="s">
        <v>325</v>
      </c>
      <c r="CW127" s="242" t="s">
        <v>325</v>
      </c>
      <c r="CX127" s="242" t="s">
        <v>325</v>
      </c>
      <c r="CY127" s="242" t="s">
        <v>325</v>
      </c>
      <c r="CZ127" s="242" t="s">
        <v>325</v>
      </c>
      <c r="DA127" s="242" t="s">
        <v>325</v>
      </c>
      <c r="DB127" s="242" t="s">
        <v>325</v>
      </c>
      <c r="DC127" s="242" t="s">
        <v>325</v>
      </c>
      <c r="DD127" s="242" t="s">
        <v>325</v>
      </c>
      <c r="DE127" s="242" t="s">
        <v>325</v>
      </c>
      <c r="DF127" s="242" t="s">
        <v>325</v>
      </c>
      <c r="DG127" s="242" t="s">
        <v>325</v>
      </c>
      <c r="DH127" s="242" t="s">
        <v>325</v>
      </c>
      <c r="DI127" s="242" t="s">
        <v>325</v>
      </c>
      <c r="DJ127" s="242" t="s">
        <v>325</v>
      </c>
      <c r="DK127" s="242" t="s">
        <v>325</v>
      </c>
      <c r="DL127" s="242" t="s">
        <v>325</v>
      </c>
      <c r="DM127" s="242" t="s">
        <v>325</v>
      </c>
      <c r="DN127" s="242" t="s">
        <v>325</v>
      </c>
      <c r="DO127" s="242" t="s">
        <v>325</v>
      </c>
      <c r="DP127" s="242" t="s">
        <v>325</v>
      </c>
      <c r="DQ127" s="242" t="s">
        <v>325</v>
      </c>
      <c r="DR127" s="242" t="s">
        <v>325</v>
      </c>
      <c r="DS127" s="242" t="s">
        <v>325</v>
      </c>
      <c r="DT127" s="242" t="s">
        <v>325</v>
      </c>
      <c r="DU127" s="242" t="s">
        <v>325</v>
      </c>
      <c r="DV127" s="242" t="s">
        <v>325</v>
      </c>
      <c r="DW127" s="242" t="s">
        <v>325</v>
      </c>
      <c r="DX127" s="242" t="s">
        <v>325</v>
      </c>
      <c r="DY127" s="242" t="s">
        <v>325</v>
      </c>
      <c r="DZ127" s="242" t="s">
        <v>325</v>
      </c>
      <c r="EA127" s="242" t="s">
        <v>325</v>
      </c>
      <c r="EB127" s="242" t="s">
        <v>325</v>
      </c>
      <c r="EC127" s="242" t="s">
        <v>325</v>
      </c>
      <c r="ED127" s="242" t="s">
        <v>325</v>
      </c>
      <c r="EE127" s="242" t="s">
        <v>325</v>
      </c>
      <c r="EF127" s="242" t="s">
        <v>325</v>
      </c>
      <c r="EG127" s="242" t="s">
        <v>325</v>
      </c>
      <c r="EH127" s="242" t="s">
        <v>325</v>
      </c>
      <c r="EI127" s="242" t="s">
        <v>325</v>
      </c>
      <c r="EJ127" s="242" t="s">
        <v>325</v>
      </c>
      <c r="EK127" s="242" t="s">
        <v>325</v>
      </c>
      <c r="EL127" s="242" t="s">
        <v>325</v>
      </c>
      <c r="EM127" s="242" t="s">
        <v>325</v>
      </c>
      <c r="EN127" s="242" t="s">
        <v>325</v>
      </c>
      <c r="EO127" s="242" t="s">
        <v>325</v>
      </c>
      <c r="EP127" s="242" t="s">
        <v>325</v>
      </c>
      <c r="EQ127" s="242" t="s">
        <v>325</v>
      </c>
      <c r="ER127" s="242" t="s">
        <v>325</v>
      </c>
      <c r="ES127" s="242" t="s">
        <v>325</v>
      </c>
      <c r="ET127" s="242" t="s">
        <v>325</v>
      </c>
      <c r="EU127" s="242" t="s">
        <v>325</v>
      </c>
      <c r="EV127" s="242" t="s">
        <v>325</v>
      </c>
      <c r="EW127" s="242" t="s">
        <v>325</v>
      </c>
      <c r="EX127" s="242" t="s">
        <v>325</v>
      </c>
      <c r="EY127" s="242" t="s">
        <v>325</v>
      </c>
      <c r="EZ127" s="244"/>
      <c r="FA127" s="242" t="s">
        <v>325</v>
      </c>
      <c r="FB127" s="243" t="s">
        <v>327</v>
      </c>
      <c r="FC127" s="244" t="s">
        <v>120</v>
      </c>
      <c r="FD127" s="243" t="s">
        <v>325</v>
      </c>
      <c r="FE127" s="243" t="s">
        <v>327</v>
      </c>
      <c r="FF127" s="244" t="s">
        <v>120</v>
      </c>
      <c r="FG127" s="244" t="s">
        <v>326</v>
      </c>
      <c r="FH127" s="243" t="s">
        <v>325</v>
      </c>
      <c r="FI127" s="244" t="s">
        <v>325</v>
      </c>
      <c r="FJ127" s="243" t="s">
        <v>325</v>
      </c>
      <c r="FK127" s="243" t="s">
        <v>325</v>
      </c>
      <c r="FL127" s="243" t="s">
        <v>325</v>
      </c>
      <c r="FM127" s="243" t="s">
        <v>325</v>
      </c>
      <c r="FN127" s="242" t="s">
        <v>325</v>
      </c>
      <c r="FO127" s="242" t="s">
        <v>325</v>
      </c>
      <c r="FP127" s="242" t="s">
        <v>325</v>
      </c>
      <c r="FQ127" s="242" t="s">
        <v>325</v>
      </c>
      <c r="FR127" s="242" t="s">
        <v>325</v>
      </c>
      <c r="FS127" s="242" t="s">
        <v>325</v>
      </c>
      <c r="FT127" s="242" t="s">
        <v>325</v>
      </c>
      <c r="FU127" s="242" t="s">
        <v>325</v>
      </c>
      <c r="FV127" s="242" t="s">
        <v>325</v>
      </c>
      <c r="FW127" s="242" t="s">
        <v>325</v>
      </c>
      <c r="FX127" s="242" t="s">
        <v>325</v>
      </c>
      <c r="FY127" s="242" t="s">
        <v>325</v>
      </c>
      <c r="FZ127" s="242" t="s">
        <v>325</v>
      </c>
      <c r="GA127" s="242" t="s">
        <v>325</v>
      </c>
      <c r="GB127" s="242" t="s">
        <v>325</v>
      </c>
      <c r="GC127" s="242" t="s">
        <v>325</v>
      </c>
      <c r="GD127" s="242" t="s">
        <v>325</v>
      </c>
      <c r="GE127" s="242" t="s">
        <v>325</v>
      </c>
      <c r="GF127" s="242" t="s">
        <v>325</v>
      </c>
      <c r="GG127" s="242" t="s">
        <v>325</v>
      </c>
      <c r="GH127" s="242" t="s">
        <v>325</v>
      </c>
      <c r="GI127" s="242" t="s">
        <v>325</v>
      </c>
      <c r="GJ127" s="242" t="s">
        <v>325</v>
      </c>
      <c r="GK127" s="242" t="s">
        <v>325</v>
      </c>
      <c r="GL127" s="242" t="s">
        <v>325</v>
      </c>
      <c r="GM127" s="242" t="s">
        <v>325</v>
      </c>
      <c r="GN127" s="242" t="s">
        <v>325</v>
      </c>
      <c r="GO127" s="242" t="s">
        <v>325</v>
      </c>
      <c r="GP127" s="242" t="s">
        <v>325</v>
      </c>
      <c r="GQ127" s="242" t="s">
        <v>325</v>
      </c>
      <c r="GR127" s="242" t="s">
        <v>325</v>
      </c>
      <c r="GS127" s="242" t="s">
        <v>325</v>
      </c>
      <c r="GT127" s="242" t="s">
        <v>325</v>
      </c>
      <c r="GU127" s="242" t="s">
        <v>325</v>
      </c>
      <c r="GV127" s="242" t="s">
        <v>325</v>
      </c>
      <c r="GW127" s="242" t="s">
        <v>325</v>
      </c>
      <c r="GX127" s="242" t="s">
        <v>325</v>
      </c>
      <c r="GY127" s="242" t="s">
        <v>325</v>
      </c>
      <c r="GZ127" s="242" t="s">
        <v>325</v>
      </c>
      <c r="HA127" s="242" t="s">
        <v>325</v>
      </c>
      <c r="HB127" s="242" t="s">
        <v>325</v>
      </c>
      <c r="HC127" s="242" t="s">
        <v>325</v>
      </c>
      <c r="HD127" s="242" t="s">
        <v>325</v>
      </c>
      <c r="HE127" s="242" t="s">
        <v>325</v>
      </c>
      <c r="HF127" s="244" t="s">
        <v>324</v>
      </c>
    </row>
    <row r="128" spans="1:215" ht="15.6">
      <c r="A128" s="959" t="s">
        <v>16</v>
      </c>
      <c r="B128" s="656" t="s">
        <v>124</v>
      </c>
      <c r="C128" s="911" t="s">
        <v>124</v>
      </c>
      <c r="D128" s="911" t="s">
        <v>124</v>
      </c>
      <c r="E128" s="911" t="s">
        <v>124</v>
      </c>
      <c r="F128" s="911" t="s">
        <v>124</v>
      </c>
      <c r="G128" s="911" t="s">
        <v>124</v>
      </c>
      <c r="H128" s="911" t="s">
        <v>124</v>
      </c>
      <c r="I128" s="911" t="s">
        <v>124</v>
      </c>
      <c r="J128" s="911" t="s">
        <v>124</v>
      </c>
      <c r="K128" s="911" t="s">
        <v>124</v>
      </c>
      <c r="L128" s="911" t="s">
        <v>124</v>
      </c>
      <c r="M128" s="911" t="s">
        <v>124</v>
      </c>
      <c r="N128" s="911" t="s">
        <v>124</v>
      </c>
      <c r="O128" s="911" t="s">
        <v>124</v>
      </c>
      <c r="P128" s="911" t="s">
        <v>124</v>
      </c>
      <c r="Q128" s="911" t="s">
        <v>124</v>
      </c>
      <c r="R128" s="911" t="s">
        <v>124</v>
      </c>
      <c r="S128" s="911" t="s">
        <v>124</v>
      </c>
      <c r="T128" s="957" t="s">
        <v>124</v>
      </c>
      <c r="U128" s="957" t="s">
        <v>124</v>
      </c>
      <c r="V128" s="957" t="s">
        <v>124</v>
      </c>
      <c r="W128" s="909" t="s">
        <v>124</v>
      </c>
      <c r="X128" s="909" t="s">
        <v>124</v>
      </c>
      <c r="Y128" s="909" t="s">
        <v>124</v>
      </c>
      <c r="Z128" s="909" t="s">
        <v>124</v>
      </c>
      <c r="AA128" s="909" t="s">
        <v>124</v>
      </c>
      <c r="AB128" s="909" t="s">
        <v>124</v>
      </c>
      <c r="AC128" s="909" t="s">
        <v>124</v>
      </c>
      <c r="AD128" s="909" t="s">
        <v>124</v>
      </c>
      <c r="AE128" s="909" t="s">
        <v>124</v>
      </c>
      <c r="AF128" s="978" t="s">
        <v>124</v>
      </c>
      <c r="AG128" s="978" t="s">
        <v>124</v>
      </c>
      <c r="AH128" s="978" t="s">
        <v>124</v>
      </c>
      <c r="AI128" s="978" t="s">
        <v>124</v>
      </c>
      <c r="AJ128" s="909" t="s">
        <v>124</v>
      </c>
      <c r="AK128" s="978" t="s">
        <v>124</v>
      </c>
      <c r="AL128" s="909" t="s">
        <v>124</v>
      </c>
      <c r="AM128" s="978" t="s">
        <v>124</v>
      </c>
      <c r="AN128" s="978" t="s">
        <v>124</v>
      </c>
      <c r="AO128" s="978" t="s">
        <v>124</v>
      </c>
      <c r="AP128" s="1012" t="s">
        <v>124</v>
      </c>
      <c r="AQ128" s="1012" t="s">
        <v>124</v>
      </c>
      <c r="AR128" s="1012" t="s">
        <v>124</v>
      </c>
      <c r="AS128" s="984">
        <v>0.02</v>
      </c>
      <c r="AT128" s="984">
        <v>2.75E-2</v>
      </c>
      <c r="AU128" s="1014">
        <v>2.1000000000000001E-2</v>
      </c>
      <c r="AV128" s="1014">
        <v>2.1000000000000001E-2</v>
      </c>
      <c r="AW128" s="1014">
        <v>2.1999999999999999E-2</v>
      </c>
      <c r="AX128" s="1014">
        <v>2.1999999999999999E-2</v>
      </c>
      <c r="AY128" s="1014">
        <v>2.1999999999999999E-2</v>
      </c>
      <c r="AZ128" s="1014">
        <v>2.1999999999999999E-2</v>
      </c>
      <c r="BA128" s="1014">
        <v>2.1999999999999999E-2</v>
      </c>
      <c r="BB128" s="1014">
        <v>2.1999999999999999E-2</v>
      </c>
      <c r="BC128" s="1014">
        <v>2.1999999999999999E-2</v>
      </c>
      <c r="BD128" s="1014">
        <v>2.1999999999999999E-2</v>
      </c>
      <c r="BE128" s="1014">
        <v>2.1999999999999999E-2</v>
      </c>
      <c r="BF128" s="1014">
        <v>2.1999999999999999E-2</v>
      </c>
      <c r="BG128" s="1014">
        <v>2.1999999999999999E-2</v>
      </c>
      <c r="BH128" s="1014">
        <v>2.1999999999999999E-2</v>
      </c>
      <c r="BI128" s="1014">
        <v>2.1999999999999999E-2</v>
      </c>
      <c r="BJ128" s="1014">
        <v>2.1999999999999999E-2</v>
      </c>
      <c r="BK128" s="1014">
        <v>2.1999999999999999E-2</v>
      </c>
      <c r="BL128" s="1014">
        <v>2.1999999999999999E-2</v>
      </c>
      <c r="BM128" s="1014">
        <v>2.1999999999999999E-2</v>
      </c>
      <c r="BN128" s="1014">
        <v>2.1999999999999999E-2</v>
      </c>
      <c r="BO128" s="1014">
        <v>2.1999999999999999E-2</v>
      </c>
      <c r="BP128" s="1014">
        <v>2.1999999999999999E-2</v>
      </c>
      <c r="BQ128" s="1014">
        <v>2.1999999999999999E-2</v>
      </c>
      <c r="BR128" s="1014">
        <v>2.1999999999999999E-2</v>
      </c>
      <c r="BS128" s="1014">
        <v>2.1999999999999999E-2</v>
      </c>
      <c r="BT128" s="1014">
        <v>2.1999999999999999E-2</v>
      </c>
      <c r="BU128" s="1014">
        <v>2.1999999999999999E-2</v>
      </c>
      <c r="BV128" s="1014">
        <v>2.1999999999999999E-2</v>
      </c>
      <c r="BW128" s="1014">
        <v>2.3E-2</v>
      </c>
      <c r="BX128" s="1014">
        <v>2.3E-2</v>
      </c>
      <c r="BY128" s="1014">
        <v>2.3E-2</v>
      </c>
      <c r="BZ128" s="1014">
        <v>2.3E-2</v>
      </c>
      <c r="CA128" s="1014">
        <v>2.3E-2</v>
      </c>
      <c r="CB128" s="1014">
        <v>2.4E-2</v>
      </c>
      <c r="CC128" s="1014">
        <v>2.4E-2</v>
      </c>
      <c r="CD128" s="1014">
        <v>2.4E-2</v>
      </c>
      <c r="CE128" s="1014">
        <v>2.4E-2</v>
      </c>
      <c r="CF128" s="1014">
        <v>2.5999999999999999E-2</v>
      </c>
      <c r="CG128" s="1014">
        <v>2.5999999999999999E-2</v>
      </c>
      <c r="CH128" s="1014">
        <v>2.5999999999999999E-2</v>
      </c>
      <c r="CI128" s="1014">
        <v>2.5999999999999999E-2</v>
      </c>
      <c r="CJ128" s="1014">
        <v>2.5999999999999999E-2</v>
      </c>
      <c r="CK128" s="1014">
        <v>2.5999999999999999E-2</v>
      </c>
      <c r="CL128" s="1014">
        <v>2.7E-2</v>
      </c>
      <c r="CM128" s="1014">
        <v>2.7E-2</v>
      </c>
      <c r="CN128" s="1014">
        <v>2.7E-2</v>
      </c>
      <c r="CO128" s="1014">
        <v>2.7E-2</v>
      </c>
      <c r="CP128" s="1014">
        <v>2.7E-2</v>
      </c>
      <c r="CQ128" s="1014">
        <v>2.75E-2</v>
      </c>
      <c r="CR128" s="1014">
        <v>2.6499999999999999E-2</v>
      </c>
      <c r="CS128" s="1014">
        <v>2.6499999999999999E-2</v>
      </c>
      <c r="CT128" s="1014">
        <v>2.6499999999999999E-2</v>
      </c>
      <c r="CU128" s="1014">
        <v>2.6499999999999999E-2</v>
      </c>
      <c r="CV128" s="1014">
        <v>2.9000000000000001E-2</v>
      </c>
      <c r="CW128" s="1014">
        <v>2.9000000000000001E-2</v>
      </c>
      <c r="CX128" s="1014">
        <v>2.9000000000000001E-2</v>
      </c>
      <c r="CY128" s="1014">
        <v>2.9000000000000001E-2</v>
      </c>
      <c r="CZ128" s="1014">
        <v>2.9000000000000001E-2</v>
      </c>
      <c r="DA128" s="1014">
        <v>2.9000000000000001E-2</v>
      </c>
      <c r="DB128" s="1014">
        <v>2.9499999999999998E-2</v>
      </c>
      <c r="DC128" s="1014">
        <v>2.9499999999999998E-2</v>
      </c>
      <c r="DD128" s="1014">
        <v>2.9499999999999998E-2</v>
      </c>
      <c r="DE128" s="1014">
        <v>2.9499999999999998E-2</v>
      </c>
      <c r="DF128" s="1014">
        <v>2.8000000000000001E-2</v>
      </c>
      <c r="DG128" s="1014">
        <v>2.9499999999999998E-2</v>
      </c>
      <c r="DH128" s="1014">
        <v>2.9499999999999998E-2</v>
      </c>
      <c r="DI128" s="1014">
        <v>2.9499999999999998E-2</v>
      </c>
      <c r="DJ128" s="1014">
        <v>2.9499999999999998E-2</v>
      </c>
      <c r="DK128" s="1014">
        <v>2.9499999999999998E-2</v>
      </c>
      <c r="DL128" s="1014">
        <v>2.9499999999999998E-2</v>
      </c>
      <c r="DM128" s="1014">
        <v>2.9499999999999998E-2</v>
      </c>
      <c r="DN128" s="1014">
        <v>2.9499999999999998E-2</v>
      </c>
      <c r="DO128" s="1014">
        <v>2.9499999999999998E-2</v>
      </c>
      <c r="DP128" s="1014">
        <v>2.9499999999999998E-2</v>
      </c>
      <c r="DQ128" s="1014">
        <v>2.9499999999999998E-2</v>
      </c>
      <c r="DR128" s="1014">
        <v>2.9499999999999998E-2</v>
      </c>
      <c r="DS128" s="1014">
        <v>2.9499999999999998E-2</v>
      </c>
      <c r="DT128" s="1014">
        <v>2.9499999999999998E-2</v>
      </c>
      <c r="DU128" s="1014">
        <v>2.9499999999999998E-2</v>
      </c>
      <c r="DV128" s="1014">
        <v>2.9499999999999998E-2</v>
      </c>
      <c r="DW128" s="1014">
        <v>2.9499999999999998E-2</v>
      </c>
      <c r="DX128" s="1014">
        <v>2.9499999999999998E-2</v>
      </c>
      <c r="DY128" s="1014">
        <v>0.03</v>
      </c>
      <c r="DZ128" s="1014">
        <v>0.03</v>
      </c>
      <c r="EA128" s="1014">
        <v>0.03</v>
      </c>
      <c r="EB128" s="1014">
        <v>0.03</v>
      </c>
      <c r="EC128" s="1014">
        <v>0.03</v>
      </c>
      <c r="ED128" s="1014">
        <v>0.03</v>
      </c>
      <c r="EE128" s="1014">
        <v>0.03</v>
      </c>
      <c r="EF128" s="1014">
        <v>0.03</v>
      </c>
      <c r="EG128" s="1014">
        <v>0.03</v>
      </c>
      <c r="EH128" s="1014">
        <v>0.03</v>
      </c>
      <c r="EI128" s="1014">
        <v>0.03</v>
      </c>
      <c r="EJ128" s="1014">
        <v>0.03</v>
      </c>
      <c r="EK128" s="1014">
        <v>0.03</v>
      </c>
      <c r="EL128" s="1014">
        <v>0.03</v>
      </c>
      <c r="EM128" s="1014">
        <v>0.03</v>
      </c>
      <c r="EN128" s="1014">
        <v>0.03</v>
      </c>
      <c r="EO128" s="1014">
        <v>0.03</v>
      </c>
      <c r="EP128" s="1014">
        <v>3.0499999999999999E-2</v>
      </c>
      <c r="EQ128" s="1014">
        <v>3.15E-2</v>
      </c>
      <c r="ER128" s="1014">
        <v>3.15E-2</v>
      </c>
      <c r="ES128" s="1014">
        <v>3.15E-2</v>
      </c>
      <c r="ET128" s="1014">
        <v>3.2000000000000001E-2</v>
      </c>
      <c r="EU128" s="1014">
        <v>3.2500000000000001E-2</v>
      </c>
      <c r="EV128" s="1014">
        <v>3.3000000000000002E-2</v>
      </c>
      <c r="EW128" s="1014">
        <v>3.3000000000000002E-2</v>
      </c>
      <c r="EX128" s="1014">
        <v>3.3500000000000002E-2</v>
      </c>
      <c r="EY128" s="1014">
        <v>3.4000000000000002E-2</v>
      </c>
      <c r="EZ128" s="239" t="s">
        <v>323</v>
      </c>
      <c r="FA128" s="241"/>
      <c r="FB128" s="243"/>
      <c r="FC128" s="244"/>
      <c r="FD128" s="243"/>
      <c r="FE128" s="243"/>
      <c r="FF128" s="244"/>
      <c r="FG128" s="244"/>
      <c r="FH128" s="243"/>
      <c r="FI128" s="244"/>
      <c r="FJ128" s="243"/>
      <c r="FK128" s="243"/>
      <c r="FL128" s="243"/>
      <c r="FM128" s="243"/>
      <c r="FN128" s="242"/>
      <c r="FO128" s="242"/>
      <c r="FP128" s="242"/>
      <c r="FQ128" s="242"/>
      <c r="FR128" s="242"/>
      <c r="FS128" s="241"/>
      <c r="FT128" s="242"/>
      <c r="FU128" s="241"/>
      <c r="FV128" s="241"/>
      <c r="FW128" s="241"/>
      <c r="FX128" s="241"/>
      <c r="FY128" s="1014">
        <v>2.7E-2</v>
      </c>
      <c r="FZ128" s="1014">
        <v>3.6499999999999998E-2</v>
      </c>
      <c r="GA128" s="1014">
        <v>3.6499999999999998E-2</v>
      </c>
      <c r="GB128" s="1014">
        <v>3.6499999999999998E-2</v>
      </c>
      <c r="GC128" s="1014">
        <v>3.6499999999999998E-2</v>
      </c>
      <c r="GD128" s="1014">
        <v>3.6999999999999998E-2</v>
      </c>
      <c r="GE128" s="1014">
        <v>3.6999999999999998E-2</v>
      </c>
      <c r="GF128" s="1014">
        <v>3.7999999999999999E-2</v>
      </c>
      <c r="GG128" s="1014">
        <v>3.9E-2</v>
      </c>
      <c r="GH128" s="1014">
        <v>3.95E-2</v>
      </c>
      <c r="GI128" s="1014">
        <v>3.95E-2</v>
      </c>
      <c r="GJ128" s="1014">
        <v>0.04</v>
      </c>
      <c r="GK128" s="1014">
        <v>0.04</v>
      </c>
      <c r="GL128" s="1014">
        <v>0.04</v>
      </c>
      <c r="GM128" s="1014">
        <v>0.04</v>
      </c>
      <c r="GN128" s="1014">
        <v>0.04</v>
      </c>
      <c r="GO128" s="1014">
        <v>3.85E-2</v>
      </c>
      <c r="GP128" s="1014">
        <v>3.85E-2</v>
      </c>
      <c r="GQ128" s="1014">
        <v>3.7999999999999999E-2</v>
      </c>
      <c r="GR128" s="1014">
        <v>3.4500000000000003E-2</v>
      </c>
      <c r="GS128" s="1014">
        <v>3.4500000000000003E-2</v>
      </c>
      <c r="GT128" s="1014">
        <v>3.4000000000000002E-2</v>
      </c>
      <c r="GU128" s="1014">
        <v>3.4000000000000002E-2</v>
      </c>
      <c r="GV128" s="1014">
        <v>3.1E-2</v>
      </c>
      <c r="GW128" s="1014">
        <v>2.9499999999999998E-2</v>
      </c>
      <c r="GX128" s="1014">
        <v>2.8500000000000001E-2</v>
      </c>
      <c r="GY128" s="1014">
        <v>2.8000000000000001E-2</v>
      </c>
      <c r="GZ128" s="1014">
        <v>2.8000000000000001E-2</v>
      </c>
      <c r="HA128" s="1014">
        <v>2.7E-2</v>
      </c>
      <c r="HB128" s="1014">
        <v>3.6499999999999998E-2</v>
      </c>
      <c r="HC128" s="1014">
        <v>3.4000000000000002E-2</v>
      </c>
      <c r="HD128" s="1014">
        <v>3.4500000000000003E-2</v>
      </c>
      <c r="HE128" s="1014">
        <v>3.5499999999999997E-2</v>
      </c>
      <c r="HF128" s="941" t="s">
        <v>124</v>
      </c>
    </row>
    <row r="129" spans="1:214" ht="15" customHeight="1">
      <c r="A129" s="961"/>
      <c r="B129" s="280" t="s">
        <v>124</v>
      </c>
      <c r="C129" s="912"/>
      <c r="D129" s="912"/>
      <c r="E129" s="912"/>
      <c r="F129" s="912"/>
      <c r="G129" s="912"/>
      <c r="H129" s="912"/>
      <c r="I129" s="912"/>
      <c r="J129" s="912"/>
      <c r="K129" s="912"/>
      <c r="L129" s="912"/>
      <c r="M129" s="912"/>
      <c r="N129" s="912"/>
      <c r="O129" s="912"/>
      <c r="P129" s="912"/>
      <c r="Q129" s="912"/>
      <c r="R129" s="912"/>
      <c r="S129" s="912"/>
      <c r="T129" s="958"/>
      <c r="U129" s="958"/>
      <c r="V129" s="958"/>
      <c r="W129" s="910"/>
      <c r="X129" s="910"/>
      <c r="Y129" s="910"/>
      <c r="Z129" s="910"/>
      <c r="AA129" s="910"/>
      <c r="AB129" s="910"/>
      <c r="AC129" s="910"/>
      <c r="AD129" s="910"/>
      <c r="AE129" s="910"/>
      <c r="AF129" s="979"/>
      <c r="AG129" s="979"/>
      <c r="AH129" s="979"/>
      <c r="AI129" s="979"/>
      <c r="AJ129" s="910"/>
      <c r="AK129" s="979"/>
      <c r="AL129" s="910"/>
      <c r="AM129" s="979"/>
      <c r="AN129" s="979"/>
      <c r="AO129" s="979"/>
      <c r="AP129" s="1026"/>
      <c r="AQ129" s="1026"/>
      <c r="AR129" s="1026"/>
      <c r="AS129" s="985"/>
      <c r="AT129" s="985"/>
      <c r="AU129" s="1015"/>
      <c r="AV129" s="1015"/>
      <c r="AW129" s="1015"/>
      <c r="AX129" s="1015"/>
      <c r="AY129" s="1015"/>
      <c r="AZ129" s="1015"/>
      <c r="BA129" s="1015"/>
      <c r="BB129" s="1015"/>
      <c r="BC129" s="1015"/>
      <c r="BD129" s="1015"/>
      <c r="BE129" s="1015"/>
      <c r="BF129" s="1015"/>
      <c r="BG129" s="1015"/>
      <c r="BH129" s="1015"/>
      <c r="BI129" s="1015"/>
      <c r="BJ129" s="1015"/>
      <c r="BK129" s="1015"/>
      <c r="BL129" s="1015"/>
      <c r="BM129" s="1015"/>
      <c r="BN129" s="1015"/>
      <c r="BO129" s="1015"/>
      <c r="BP129" s="1015"/>
      <c r="BQ129" s="1015"/>
      <c r="BR129" s="1015"/>
      <c r="BS129" s="1015"/>
      <c r="BT129" s="1015"/>
      <c r="BU129" s="1015"/>
      <c r="BV129" s="1015"/>
      <c r="BW129" s="1015"/>
      <c r="BX129" s="1015"/>
      <c r="BY129" s="1015"/>
      <c r="BZ129" s="1015"/>
      <c r="CA129" s="1015"/>
      <c r="CB129" s="1015"/>
      <c r="CC129" s="1015"/>
      <c r="CD129" s="1015"/>
      <c r="CE129" s="1015"/>
      <c r="CF129" s="1015"/>
      <c r="CG129" s="1015"/>
      <c r="CH129" s="1015"/>
      <c r="CI129" s="1015"/>
      <c r="CJ129" s="1015"/>
      <c r="CK129" s="1015"/>
      <c r="CL129" s="1015"/>
      <c r="CM129" s="1015"/>
      <c r="CN129" s="1015"/>
      <c r="CO129" s="1015"/>
      <c r="CP129" s="1015"/>
      <c r="CQ129" s="1015"/>
      <c r="CR129" s="1015"/>
      <c r="CS129" s="1015"/>
      <c r="CT129" s="1015"/>
      <c r="CU129" s="1015"/>
      <c r="CV129" s="1015"/>
      <c r="CW129" s="1015"/>
      <c r="CX129" s="1015"/>
      <c r="CY129" s="1015"/>
      <c r="CZ129" s="1015"/>
      <c r="DA129" s="1015"/>
      <c r="DB129" s="1015"/>
      <c r="DC129" s="1015"/>
      <c r="DD129" s="1015"/>
      <c r="DE129" s="1015"/>
      <c r="DF129" s="1015"/>
      <c r="DG129" s="1015"/>
      <c r="DH129" s="1015"/>
      <c r="DI129" s="1015"/>
      <c r="DJ129" s="1015"/>
      <c r="DK129" s="1015"/>
      <c r="DL129" s="1015"/>
      <c r="DM129" s="1015"/>
      <c r="DN129" s="1015"/>
      <c r="DO129" s="1015"/>
      <c r="DP129" s="1015"/>
      <c r="DQ129" s="1015"/>
      <c r="DR129" s="1015"/>
      <c r="DS129" s="1015"/>
      <c r="DT129" s="1015"/>
      <c r="DU129" s="1015"/>
      <c r="DV129" s="1015"/>
      <c r="DW129" s="1015"/>
      <c r="DX129" s="1015"/>
      <c r="DY129" s="1015"/>
      <c r="DZ129" s="1015"/>
      <c r="EA129" s="1015"/>
      <c r="EB129" s="1015"/>
      <c r="EC129" s="1015"/>
      <c r="ED129" s="1015"/>
      <c r="EE129" s="1015"/>
      <c r="EF129" s="1015"/>
      <c r="EG129" s="1015"/>
      <c r="EH129" s="1015"/>
      <c r="EI129" s="1015"/>
      <c r="EJ129" s="1015"/>
      <c r="EK129" s="1015"/>
      <c r="EL129" s="1015"/>
      <c r="EM129" s="1015"/>
      <c r="EN129" s="1015"/>
      <c r="EO129" s="1015"/>
      <c r="EP129" s="1015"/>
      <c r="EQ129" s="1015"/>
      <c r="ER129" s="1015"/>
      <c r="ES129" s="1015"/>
      <c r="ET129" s="1015"/>
      <c r="EU129" s="1015"/>
      <c r="EV129" s="1015"/>
      <c r="EW129" s="1015"/>
      <c r="EX129" s="1015"/>
      <c r="EY129" s="1015"/>
      <c r="EZ129" s="239" t="s">
        <v>306</v>
      </c>
      <c r="FA129" s="234">
        <v>2.5000000000000001E-2</v>
      </c>
      <c r="FB129" s="238">
        <v>2.5000000000000001E-2</v>
      </c>
      <c r="FC129" s="231" t="s">
        <v>261</v>
      </c>
      <c r="FD129" s="236">
        <v>8.9999999999999993E-3</v>
      </c>
      <c r="FE129" s="238">
        <v>8.9999999999999993E-3</v>
      </c>
      <c r="FF129" s="237" t="s">
        <v>322</v>
      </c>
      <c r="FG129" s="231" t="s">
        <v>321</v>
      </c>
      <c r="FH129" s="236">
        <v>5.4999999999999997E-3</v>
      </c>
      <c r="FI129" s="236">
        <v>5.4999999999999997E-3</v>
      </c>
      <c r="FJ129" s="236">
        <v>8.9999999999999993E-3</v>
      </c>
      <c r="FK129" s="236">
        <v>5.4999999999999997E-3</v>
      </c>
      <c r="FL129" s="236">
        <v>8.9999999999999993E-3</v>
      </c>
      <c r="FM129" s="236">
        <v>8.9999999999999993E-3</v>
      </c>
      <c r="FN129" s="235">
        <v>8.9999999999999993E-3</v>
      </c>
      <c r="FO129" s="235">
        <v>8.9999999999999993E-3</v>
      </c>
      <c r="FP129" s="235">
        <v>1.2E-2</v>
      </c>
      <c r="FQ129" s="235">
        <v>1.2999999999999999E-2</v>
      </c>
      <c r="FR129" s="235">
        <v>1.2999999999999999E-2</v>
      </c>
      <c r="FS129" s="234">
        <v>2.1999999999999999E-2</v>
      </c>
      <c r="FT129" s="235">
        <v>1.2999999999999999E-2</v>
      </c>
      <c r="FU129" s="234">
        <v>2.2499999999999999E-2</v>
      </c>
      <c r="FV129" s="234">
        <v>2.2499999999999999E-2</v>
      </c>
      <c r="FW129" s="234">
        <v>2.4E-2</v>
      </c>
      <c r="FX129" s="234">
        <v>2.4E-2</v>
      </c>
      <c r="FY129" s="1015"/>
      <c r="FZ129" s="1015"/>
      <c r="GA129" s="1015"/>
      <c r="GB129" s="1015"/>
      <c r="GC129" s="1015"/>
      <c r="GD129" s="1015"/>
      <c r="GE129" s="1015"/>
      <c r="GF129" s="1015"/>
      <c r="GG129" s="1015"/>
      <c r="GH129" s="1015"/>
      <c r="GI129" s="1015"/>
      <c r="GJ129" s="1015"/>
      <c r="GK129" s="1015"/>
      <c r="GL129" s="1015"/>
      <c r="GM129" s="1015"/>
      <c r="GN129" s="1015"/>
      <c r="GO129" s="1015"/>
      <c r="GP129" s="1015"/>
      <c r="GQ129" s="1015"/>
      <c r="GR129" s="1015"/>
      <c r="GS129" s="1015"/>
      <c r="GT129" s="1015"/>
      <c r="GU129" s="1015"/>
      <c r="GV129" s="1015"/>
      <c r="GW129" s="1015"/>
      <c r="GX129" s="1015"/>
      <c r="GY129" s="1015"/>
      <c r="GZ129" s="1015"/>
      <c r="HA129" s="1015"/>
      <c r="HB129" s="1015"/>
      <c r="HC129" s="1015"/>
      <c r="HD129" s="1015"/>
      <c r="HE129" s="1015"/>
      <c r="HF129" s="942"/>
    </row>
    <row r="130" spans="1:214">
      <c r="A130" s="959" t="s">
        <v>37</v>
      </c>
      <c r="B130" s="837">
        <v>2.3E-2</v>
      </c>
      <c r="C130" s="913" t="s">
        <v>124</v>
      </c>
      <c r="D130" s="913" t="s">
        <v>124</v>
      </c>
      <c r="E130" s="913" t="s">
        <v>124</v>
      </c>
      <c r="F130" s="913" t="s">
        <v>124</v>
      </c>
      <c r="G130" s="913" t="s">
        <v>124</v>
      </c>
      <c r="H130" s="913" t="s">
        <v>124</v>
      </c>
      <c r="I130" s="913" t="s">
        <v>124</v>
      </c>
      <c r="J130" s="913" t="s">
        <v>124</v>
      </c>
      <c r="K130" s="913" t="s">
        <v>124</v>
      </c>
      <c r="L130" s="913" t="s">
        <v>124</v>
      </c>
      <c r="M130" s="913" t="s">
        <v>124</v>
      </c>
      <c r="N130" s="913" t="s">
        <v>124</v>
      </c>
      <c r="O130" s="913" t="s">
        <v>124</v>
      </c>
      <c r="P130" s="913" t="s">
        <v>124</v>
      </c>
      <c r="Q130" s="913" t="s">
        <v>124</v>
      </c>
      <c r="R130" s="913" t="s">
        <v>124</v>
      </c>
      <c r="S130" s="913" t="s">
        <v>124</v>
      </c>
      <c r="T130" s="998" t="s">
        <v>124</v>
      </c>
      <c r="U130" s="998" t="s">
        <v>124</v>
      </c>
      <c r="V130" s="998" t="s">
        <v>124</v>
      </c>
      <c r="W130" s="909" t="s">
        <v>124</v>
      </c>
      <c r="X130" s="909" t="s">
        <v>124</v>
      </c>
      <c r="Y130" s="909" t="s">
        <v>124</v>
      </c>
      <c r="Z130" s="909" t="s">
        <v>124</v>
      </c>
      <c r="AA130" s="909" t="s">
        <v>124</v>
      </c>
      <c r="AB130" s="909" t="s">
        <v>124</v>
      </c>
      <c r="AC130" s="909" t="s">
        <v>124</v>
      </c>
      <c r="AD130" s="909" t="s">
        <v>124</v>
      </c>
      <c r="AE130" s="909" t="s">
        <v>124</v>
      </c>
      <c r="AF130" s="978" t="s">
        <v>124</v>
      </c>
      <c r="AG130" s="978" t="s">
        <v>124</v>
      </c>
      <c r="AH130" s="978" t="s">
        <v>124</v>
      </c>
      <c r="AI130" s="978" t="s">
        <v>124</v>
      </c>
      <c r="AJ130" s="909" t="s">
        <v>124</v>
      </c>
      <c r="AK130" s="978" t="s">
        <v>124</v>
      </c>
      <c r="AL130" s="909" t="s">
        <v>124</v>
      </c>
      <c r="AM130" s="978" t="s">
        <v>124</v>
      </c>
      <c r="AN130" s="978" t="s">
        <v>124</v>
      </c>
      <c r="AO130" s="978" t="s">
        <v>124</v>
      </c>
      <c r="AP130" s="1012" t="s">
        <v>124</v>
      </c>
      <c r="AQ130" s="1012" t="s">
        <v>124</v>
      </c>
      <c r="AR130" s="1012" t="s">
        <v>124</v>
      </c>
      <c r="AS130" s="1012" t="s">
        <v>124</v>
      </c>
      <c r="AT130" s="1012" t="s">
        <v>124</v>
      </c>
      <c r="AU130" s="1012" t="s">
        <v>124</v>
      </c>
      <c r="AV130" s="1012" t="s">
        <v>124</v>
      </c>
      <c r="AW130" s="1012" t="s">
        <v>124</v>
      </c>
      <c r="AX130" s="1012" t="s">
        <v>124</v>
      </c>
      <c r="AY130" s="1012" t="s">
        <v>124</v>
      </c>
      <c r="AZ130" s="1012" t="s">
        <v>124</v>
      </c>
      <c r="BA130" s="1012" t="s">
        <v>124</v>
      </c>
      <c r="BB130" s="1012" t="s">
        <v>124</v>
      </c>
      <c r="BC130" s="1012" t="s">
        <v>124</v>
      </c>
      <c r="BD130" s="1012" t="s">
        <v>124</v>
      </c>
      <c r="BE130" s="1012" t="s">
        <v>124</v>
      </c>
      <c r="BF130" s="1012" t="s">
        <v>124</v>
      </c>
      <c r="BG130" s="1012" t="s">
        <v>124</v>
      </c>
      <c r="BH130" s="1012" t="s">
        <v>124</v>
      </c>
      <c r="BI130" s="1012" t="s">
        <v>124</v>
      </c>
      <c r="BJ130" s="1012" t="s">
        <v>124</v>
      </c>
      <c r="BK130" s="1012" t="s">
        <v>124</v>
      </c>
      <c r="BL130" s="1012" t="s">
        <v>124</v>
      </c>
      <c r="BM130" s="1012" t="s">
        <v>124</v>
      </c>
      <c r="BN130" s="1012" t="s">
        <v>124</v>
      </c>
      <c r="BO130" s="1012" t="s">
        <v>124</v>
      </c>
      <c r="BP130" s="1012" t="s">
        <v>124</v>
      </c>
      <c r="BQ130" s="1012" t="s">
        <v>124</v>
      </c>
      <c r="BR130" s="1012" t="s">
        <v>124</v>
      </c>
      <c r="BS130" s="1012" t="s">
        <v>124</v>
      </c>
      <c r="BT130" s="1012" t="s">
        <v>124</v>
      </c>
      <c r="BU130" s="1012" t="s">
        <v>124</v>
      </c>
      <c r="BV130" s="1012" t="s">
        <v>124</v>
      </c>
      <c r="BW130" s="1012" t="s">
        <v>124</v>
      </c>
      <c r="BX130" s="1012" t="s">
        <v>124</v>
      </c>
      <c r="BY130" s="1012" t="s">
        <v>124</v>
      </c>
      <c r="BZ130" s="1012" t="s">
        <v>124</v>
      </c>
      <c r="CA130" s="1012" t="s">
        <v>124</v>
      </c>
      <c r="CB130" s="1012" t="s">
        <v>124</v>
      </c>
      <c r="CC130" s="1012" t="s">
        <v>320</v>
      </c>
      <c r="CD130" s="1012" t="s">
        <v>320</v>
      </c>
      <c r="CE130" s="1012" t="s">
        <v>320</v>
      </c>
      <c r="CF130" s="1012" t="s">
        <v>320</v>
      </c>
      <c r="CG130" s="1012" t="s">
        <v>320</v>
      </c>
      <c r="CH130" s="1012" t="s">
        <v>320</v>
      </c>
      <c r="CI130" s="1012" t="s">
        <v>320</v>
      </c>
      <c r="CJ130" s="1012" t="s">
        <v>320</v>
      </c>
      <c r="CK130" s="1012" t="s">
        <v>320</v>
      </c>
      <c r="CL130" s="1012" t="s">
        <v>320</v>
      </c>
      <c r="CM130" s="1012" t="s">
        <v>320</v>
      </c>
      <c r="CN130" s="1012" t="s">
        <v>320</v>
      </c>
      <c r="CO130" s="1012" t="s">
        <v>320</v>
      </c>
      <c r="CP130" s="1012" t="s">
        <v>320</v>
      </c>
      <c r="CQ130" s="1012" t="s">
        <v>320</v>
      </c>
      <c r="CR130" s="1012" t="s">
        <v>320</v>
      </c>
      <c r="CS130" s="1012" t="s">
        <v>320</v>
      </c>
      <c r="CT130" s="1012" t="s">
        <v>320</v>
      </c>
      <c r="CU130" s="1012" t="s">
        <v>320</v>
      </c>
      <c r="CV130" s="1012" t="s">
        <v>320</v>
      </c>
      <c r="CW130" s="1012" t="s">
        <v>320</v>
      </c>
      <c r="CX130" s="1012" t="s">
        <v>320</v>
      </c>
      <c r="CY130" s="1012" t="s">
        <v>320</v>
      </c>
      <c r="CZ130" s="1012" t="s">
        <v>320</v>
      </c>
      <c r="DA130" s="1012" t="s">
        <v>320</v>
      </c>
      <c r="DB130" s="1012" t="s">
        <v>320</v>
      </c>
      <c r="DC130" s="1012" t="s">
        <v>320</v>
      </c>
      <c r="DD130" s="1012" t="s">
        <v>320</v>
      </c>
      <c r="DE130" s="1012" t="s">
        <v>320</v>
      </c>
      <c r="DF130" s="1012" t="s">
        <v>320</v>
      </c>
      <c r="DG130" s="1012" t="s">
        <v>319</v>
      </c>
      <c r="DH130" s="1012" t="s">
        <v>319</v>
      </c>
      <c r="DI130" s="1012" t="s">
        <v>319</v>
      </c>
      <c r="DJ130" s="1012" t="s">
        <v>319</v>
      </c>
      <c r="DK130" s="1012" t="s">
        <v>319</v>
      </c>
      <c r="DL130" s="1012" t="s">
        <v>319</v>
      </c>
      <c r="DM130" s="1012" t="s">
        <v>319</v>
      </c>
      <c r="DN130" s="1012" t="s">
        <v>319</v>
      </c>
      <c r="DO130" s="1012" t="s">
        <v>319</v>
      </c>
      <c r="DP130" s="1012" t="s">
        <v>319</v>
      </c>
      <c r="DQ130" s="1012" t="s">
        <v>319</v>
      </c>
      <c r="DR130" s="1012" t="s">
        <v>319</v>
      </c>
      <c r="DS130" s="1012" t="s">
        <v>318</v>
      </c>
      <c r="DT130" s="1012" t="s">
        <v>318</v>
      </c>
      <c r="DU130" s="1012" t="s">
        <v>318</v>
      </c>
      <c r="DV130" s="1012" t="s">
        <v>318</v>
      </c>
      <c r="DW130" s="1012" t="s">
        <v>317</v>
      </c>
      <c r="DX130" s="1012" t="s">
        <v>317</v>
      </c>
      <c r="DY130" s="1012" t="s">
        <v>317</v>
      </c>
      <c r="DZ130" s="224">
        <v>2.5999999999999999E-2</v>
      </c>
      <c r="EA130" s="224">
        <v>2.5999999999999999E-2</v>
      </c>
      <c r="EB130" s="224">
        <v>2.5999999999999999E-2</v>
      </c>
      <c r="EC130" s="224">
        <v>2.9000000000000001E-2</v>
      </c>
      <c r="ED130" s="224">
        <v>2.9000000000000001E-2</v>
      </c>
      <c r="EE130" s="224">
        <v>2.9000000000000001E-2</v>
      </c>
      <c r="EF130" s="224">
        <v>2.9000000000000001E-2</v>
      </c>
      <c r="EG130" s="224">
        <v>2.9000000000000001E-2</v>
      </c>
      <c r="EH130" s="224">
        <v>2.9000000000000001E-2</v>
      </c>
      <c r="EI130" s="224">
        <v>2.9000000000000001E-2</v>
      </c>
      <c r="EJ130" s="224">
        <v>2.9000000000000001E-2</v>
      </c>
      <c r="EK130" s="224">
        <v>2.9000000000000001E-2</v>
      </c>
      <c r="EL130" s="224">
        <v>2.9000000000000001E-2</v>
      </c>
      <c r="EM130" s="224">
        <v>2.9000000000000001E-2</v>
      </c>
      <c r="EN130" s="224">
        <v>2.9000000000000001E-2</v>
      </c>
      <c r="EO130" s="224">
        <v>2.9000000000000001E-2</v>
      </c>
      <c r="EP130" s="224">
        <v>2.9000000000000001E-2</v>
      </c>
      <c r="EQ130" s="224">
        <v>2.9000000000000001E-2</v>
      </c>
      <c r="ER130" s="224">
        <v>2.9000000000000001E-2</v>
      </c>
      <c r="ES130" s="224">
        <v>3.2500000000000001E-2</v>
      </c>
      <c r="ET130" s="224">
        <v>3.2500000000000001E-2</v>
      </c>
      <c r="EU130" s="224">
        <v>3.2500000000000001E-2</v>
      </c>
      <c r="EV130" s="224">
        <v>3.2500000000000001E-2</v>
      </c>
      <c r="EW130" s="224">
        <v>3.2500000000000001E-2</v>
      </c>
      <c r="EX130" s="224">
        <v>3.2500000000000001E-2</v>
      </c>
      <c r="EY130" s="955">
        <v>3.5999999999999997E-2</v>
      </c>
      <c r="EZ130" s="231" t="s">
        <v>281</v>
      </c>
      <c r="FA130" s="234">
        <v>4.0000000000000001E-3</v>
      </c>
      <c r="FB130" s="254" t="s">
        <v>124</v>
      </c>
      <c r="FC130" s="231" t="s">
        <v>281</v>
      </c>
      <c r="FD130" s="253">
        <v>2.5000000000000001E-3</v>
      </c>
      <c r="FE130" s="254">
        <v>2.5000000000000001E-3</v>
      </c>
      <c r="FF130" s="237" t="s">
        <v>316</v>
      </c>
      <c r="FG130" s="231"/>
      <c r="FH130" s="253">
        <v>2.5000000000000001E-3</v>
      </c>
      <c r="FI130" s="253">
        <v>2.5000000000000001E-3</v>
      </c>
      <c r="FJ130" s="253">
        <v>2.5000000000000001E-3</v>
      </c>
      <c r="FK130" s="253">
        <v>2.5000000000000001E-3</v>
      </c>
      <c r="FL130" s="253">
        <v>2.5000000000000001E-3</v>
      </c>
      <c r="FM130" s="253">
        <v>2.5000000000000001E-3</v>
      </c>
      <c r="FN130" s="235">
        <v>2.5000000000000001E-3</v>
      </c>
      <c r="FO130" s="235">
        <v>2.5000000000000001E-3</v>
      </c>
      <c r="FP130" s="235">
        <v>2.5000000000000001E-3</v>
      </c>
      <c r="FQ130" s="235">
        <v>2.5000000000000001E-3</v>
      </c>
      <c r="FR130" s="235">
        <v>2.5000000000000001E-3</v>
      </c>
      <c r="FS130" s="234">
        <v>1.9E-2</v>
      </c>
      <c r="FT130" s="235">
        <v>2.5000000000000001E-3</v>
      </c>
      <c r="FU130" s="234">
        <v>4.0000000000000001E-3</v>
      </c>
      <c r="FV130" s="234">
        <v>1.9E-2</v>
      </c>
      <c r="FW130" s="234">
        <v>4.0000000000000001E-3</v>
      </c>
      <c r="FX130" s="234">
        <v>4.0000000000000001E-3</v>
      </c>
      <c r="FY130" s="256">
        <v>2.35E-2</v>
      </c>
      <c r="FZ130" s="256">
        <v>3.5999999999999997E-2</v>
      </c>
      <c r="GA130" s="256">
        <v>3.5999999999999997E-2</v>
      </c>
      <c r="GB130" s="256">
        <v>3.5999999999999997E-2</v>
      </c>
      <c r="GC130" s="256">
        <v>3.5999999999999997E-2</v>
      </c>
      <c r="GD130" s="256">
        <v>3.5999999999999997E-2</v>
      </c>
      <c r="GE130" s="256">
        <v>3.5999999999999997E-2</v>
      </c>
      <c r="GF130" s="256">
        <v>3.9E-2</v>
      </c>
      <c r="GG130" s="256">
        <v>3.9E-2</v>
      </c>
      <c r="GH130" s="256">
        <v>3.9E-2</v>
      </c>
      <c r="GI130" s="256">
        <v>3.9E-2</v>
      </c>
      <c r="GJ130" s="256">
        <v>3.9E-2</v>
      </c>
      <c r="GK130" s="256">
        <v>3.9E-2</v>
      </c>
      <c r="GL130" s="256">
        <v>3.9E-2</v>
      </c>
      <c r="GM130" s="256">
        <v>3.9E-2</v>
      </c>
      <c r="GN130" s="256">
        <v>3.9E-2</v>
      </c>
      <c r="GO130" s="256">
        <v>3.9E-2</v>
      </c>
      <c r="GP130" s="256">
        <v>3.1E-2</v>
      </c>
      <c r="GQ130" s="256">
        <v>3.1E-2</v>
      </c>
      <c r="GR130" s="256">
        <v>3.1E-2</v>
      </c>
      <c r="GS130" s="256">
        <v>3.1E-2</v>
      </c>
      <c r="GT130" s="256">
        <v>3.1E-2</v>
      </c>
      <c r="GU130" s="256">
        <v>3.1E-2</v>
      </c>
      <c r="GV130" s="256" t="s">
        <v>124</v>
      </c>
      <c r="GW130" s="256" t="s">
        <v>124</v>
      </c>
      <c r="GX130" s="256">
        <v>2.35E-2</v>
      </c>
      <c r="GY130" s="256">
        <v>2.35E-2</v>
      </c>
      <c r="GZ130" s="256">
        <v>2.35E-2</v>
      </c>
      <c r="HA130" s="256">
        <v>2.35E-2</v>
      </c>
      <c r="HB130" s="256">
        <v>3.5999999999999997E-2</v>
      </c>
      <c r="HC130" s="256">
        <v>3.2500000000000001E-2</v>
      </c>
      <c r="HD130" s="256">
        <v>3.5999999999999997E-2</v>
      </c>
      <c r="HE130" s="256">
        <v>3.5999999999999997E-2</v>
      </c>
      <c r="HF130" s="941" t="s">
        <v>124</v>
      </c>
    </row>
    <row r="131" spans="1:214" ht="27.6">
      <c r="A131" s="960"/>
      <c r="B131" s="838" t="s">
        <v>331</v>
      </c>
      <c r="C131" s="914"/>
      <c r="D131" s="914"/>
      <c r="E131" s="914"/>
      <c r="F131" s="914"/>
      <c r="G131" s="914"/>
      <c r="H131" s="914"/>
      <c r="I131" s="914"/>
      <c r="J131" s="914"/>
      <c r="K131" s="914"/>
      <c r="L131" s="914"/>
      <c r="M131" s="914"/>
      <c r="N131" s="914"/>
      <c r="O131" s="914"/>
      <c r="P131" s="914"/>
      <c r="Q131" s="914"/>
      <c r="R131" s="914"/>
      <c r="S131" s="914"/>
      <c r="T131" s="986"/>
      <c r="U131" s="986"/>
      <c r="V131" s="986"/>
      <c r="W131" s="919"/>
      <c r="X131" s="919"/>
      <c r="Y131" s="919"/>
      <c r="Z131" s="919"/>
      <c r="AA131" s="919"/>
      <c r="AB131" s="919"/>
      <c r="AC131" s="919"/>
      <c r="AD131" s="919"/>
      <c r="AE131" s="919"/>
      <c r="AF131" s="1010"/>
      <c r="AG131" s="1010"/>
      <c r="AH131" s="1010"/>
      <c r="AI131" s="1010"/>
      <c r="AJ131" s="919"/>
      <c r="AK131" s="1010"/>
      <c r="AL131" s="919"/>
      <c r="AM131" s="1010"/>
      <c r="AN131" s="1010"/>
      <c r="AO131" s="1010"/>
      <c r="AP131" s="1013"/>
      <c r="AQ131" s="1013"/>
      <c r="AR131" s="1013"/>
      <c r="AS131" s="1013"/>
      <c r="AT131" s="1013"/>
      <c r="AU131" s="1013"/>
      <c r="AV131" s="1013"/>
      <c r="AW131" s="1013"/>
      <c r="AX131" s="1013"/>
      <c r="AY131" s="1013"/>
      <c r="AZ131" s="1013"/>
      <c r="BA131" s="1013"/>
      <c r="BB131" s="1013"/>
      <c r="BC131" s="1013"/>
      <c r="BD131" s="1013"/>
      <c r="BE131" s="1013"/>
      <c r="BF131" s="1013"/>
      <c r="BG131" s="1013"/>
      <c r="BH131" s="1013"/>
      <c r="BI131" s="1013"/>
      <c r="BJ131" s="1013"/>
      <c r="BK131" s="1013"/>
      <c r="BL131" s="1013"/>
      <c r="BM131" s="1013"/>
      <c r="BN131" s="1013"/>
      <c r="BO131" s="1013"/>
      <c r="BP131" s="1013"/>
      <c r="BQ131" s="1013"/>
      <c r="BR131" s="1013"/>
      <c r="BS131" s="1013"/>
      <c r="BT131" s="1013"/>
      <c r="BU131" s="1013"/>
      <c r="BV131" s="1013"/>
      <c r="BW131" s="1013"/>
      <c r="BX131" s="1013"/>
      <c r="BY131" s="1013"/>
      <c r="BZ131" s="1013"/>
      <c r="CA131" s="1013"/>
      <c r="CB131" s="1013"/>
      <c r="CC131" s="1013"/>
      <c r="CD131" s="1013"/>
      <c r="CE131" s="1013"/>
      <c r="CF131" s="1013"/>
      <c r="CG131" s="1013"/>
      <c r="CH131" s="1013"/>
      <c r="CI131" s="1029"/>
      <c r="CJ131" s="1013"/>
      <c r="CK131" s="1013"/>
      <c r="CL131" s="1013"/>
      <c r="CM131" s="1013"/>
      <c r="CN131" s="1013"/>
      <c r="CO131" s="1013"/>
      <c r="CP131" s="1013"/>
      <c r="CQ131" s="1013"/>
      <c r="CR131" s="1013"/>
      <c r="CS131" s="1013"/>
      <c r="CT131" s="1013"/>
      <c r="CU131" s="1013"/>
      <c r="CV131" s="1013"/>
      <c r="CW131" s="1013"/>
      <c r="CX131" s="1013"/>
      <c r="CY131" s="1013"/>
      <c r="CZ131" s="1013"/>
      <c r="DA131" s="1013"/>
      <c r="DB131" s="1013"/>
      <c r="DC131" s="1013"/>
      <c r="DD131" s="1013"/>
      <c r="DE131" s="1013"/>
      <c r="DF131" s="1013"/>
      <c r="DG131" s="1013"/>
      <c r="DH131" s="1013"/>
      <c r="DI131" s="1013"/>
      <c r="DJ131" s="1013"/>
      <c r="DK131" s="1013"/>
      <c r="DL131" s="1013"/>
      <c r="DM131" s="1013"/>
      <c r="DN131" s="1013"/>
      <c r="DO131" s="1013"/>
      <c r="DP131" s="1013"/>
      <c r="DQ131" s="1013"/>
      <c r="DR131" s="1013"/>
      <c r="DS131" s="1013"/>
      <c r="DT131" s="1013"/>
      <c r="DU131" s="1013"/>
      <c r="DV131" s="1013"/>
      <c r="DW131" s="1013"/>
      <c r="DX131" s="1013"/>
      <c r="DY131" s="1013"/>
      <c r="DZ131" s="256">
        <v>3.1E-2</v>
      </c>
      <c r="EA131" s="256">
        <v>3.1E-2</v>
      </c>
      <c r="EB131" s="256">
        <v>3.1E-2</v>
      </c>
      <c r="EC131" s="256">
        <v>3.3000000000000002E-2</v>
      </c>
      <c r="ED131" s="256">
        <v>3.3000000000000002E-2</v>
      </c>
      <c r="EE131" s="256">
        <v>3.3000000000000002E-2</v>
      </c>
      <c r="EF131" s="256">
        <v>3.3000000000000002E-2</v>
      </c>
      <c r="EG131" s="256">
        <v>3.3000000000000002E-2</v>
      </c>
      <c r="EH131" s="256">
        <v>3.3000000000000002E-2</v>
      </c>
      <c r="EI131" s="256">
        <v>3.3000000000000002E-2</v>
      </c>
      <c r="EJ131" s="256">
        <v>3.3000000000000002E-2</v>
      </c>
      <c r="EK131" s="256">
        <v>3.3000000000000002E-2</v>
      </c>
      <c r="EL131" s="256">
        <v>3.3000000000000002E-2</v>
      </c>
      <c r="EM131" s="256">
        <v>3.3000000000000002E-2</v>
      </c>
      <c r="EN131" s="256">
        <v>3.3000000000000002E-2</v>
      </c>
      <c r="EO131" s="256">
        <v>3.3000000000000002E-2</v>
      </c>
      <c r="EP131" s="256">
        <v>3.3000000000000002E-2</v>
      </c>
      <c r="EQ131" s="256">
        <v>3.3000000000000002E-2</v>
      </c>
      <c r="ER131" s="256">
        <v>3.3000000000000002E-2</v>
      </c>
      <c r="ES131" s="256">
        <v>3.5999999999999997E-2</v>
      </c>
      <c r="ET131" s="256">
        <v>3.5999999999999997E-2</v>
      </c>
      <c r="EU131" s="256">
        <v>3.5999999999999997E-2</v>
      </c>
      <c r="EV131" s="256">
        <v>3.5999999999999997E-2</v>
      </c>
      <c r="EW131" s="256">
        <v>3.5999999999999997E-2</v>
      </c>
      <c r="EX131" s="256">
        <v>3.5999999999999997E-2</v>
      </c>
      <c r="EY131" s="1013"/>
      <c r="EZ131" s="258" t="s">
        <v>281</v>
      </c>
      <c r="FA131" s="234"/>
      <c r="FB131" s="260"/>
      <c r="FD131" s="257"/>
      <c r="FE131" s="260"/>
      <c r="FF131" s="259"/>
      <c r="FG131" s="258"/>
      <c r="FH131" s="257"/>
      <c r="FI131" s="257"/>
      <c r="FJ131" s="257"/>
      <c r="FK131" s="257"/>
      <c r="FL131" s="257"/>
      <c r="FM131" s="257"/>
      <c r="FN131" s="234"/>
      <c r="FO131" s="234"/>
      <c r="FP131" s="234"/>
      <c r="FQ131" s="234"/>
      <c r="FR131" s="234"/>
      <c r="FS131" s="234"/>
      <c r="FT131" s="234"/>
      <c r="FU131" s="234"/>
      <c r="FV131" s="234"/>
      <c r="FW131" s="234"/>
      <c r="FX131" s="234"/>
      <c r="FY131" s="256"/>
      <c r="FZ131" s="256"/>
      <c r="GA131" s="256"/>
      <c r="GB131" s="256"/>
      <c r="GC131" s="256"/>
      <c r="GD131" s="256"/>
      <c r="GE131" s="256"/>
      <c r="GF131" s="256"/>
      <c r="GG131" s="256"/>
      <c r="GH131" s="256"/>
      <c r="GI131" s="256"/>
      <c r="GJ131" s="256"/>
      <c r="GK131" s="256"/>
      <c r="GL131" s="256"/>
      <c r="GM131" s="256"/>
      <c r="GN131" s="256"/>
      <c r="GO131" s="256"/>
      <c r="GP131" s="256"/>
      <c r="GQ131" s="256"/>
      <c r="GR131" s="256"/>
      <c r="GS131" s="256"/>
      <c r="GT131" s="256"/>
      <c r="GU131" s="256"/>
      <c r="GV131" s="256"/>
      <c r="GW131" s="256"/>
      <c r="GX131" s="256"/>
      <c r="GY131" s="256"/>
      <c r="GZ131" s="256"/>
      <c r="HA131" s="256"/>
      <c r="HB131" s="256"/>
      <c r="HC131" s="256">
        <v>3.5999999999999997E-2</v>
      </c>
      <c r="HD131" s="256"/>
      <c r="HE131" s="256"/>
      <c r="HF131" s="1048"/>
    </row>
    <row r="132" spans="1:214">
      <c r="A132" s="1060" t="s">
        <v>42</v>
      </c>
      <c r="B132" s="656" t="s">
        <v>124</v>
      </c>
      <c r="C132" s="911" t="s">
        <v>124</v>
      </c>
      <c r="D132" s="911" t="s">
        <v>124</v>
      </c>
      <c r="E132" s="911" t="s">
        <v>124</v>
      </c>
      <c r="F132" s="911" t="s">
        <v>124</v>
      </c>
      <c r="G132" s="911" t="s">
        <v>124</v>
      </c>
      <c r="H132" s="911" t="s">
        <v>124</v>
      </c>
      <c r="I132" s="911" t="s">
        <v>124</v>
      </c>
      <c r="J132" s="911" t="s">
        <v>124</v>
      </c>
      <c r="K132" s="911" t="s">
        <v>124</v>
      </c>
      <c r="L132" s="911" t="s">
        <v>124</v>
      </c>
      <c r="M132" s="911" t="s">
        <v>124</v>
      </c>
      <c r="N132" s="911" t="s">
        <v>124</v>
      </c>
      <c r="O132" s="911" t="s">
        <v>124</v>
      </c>
      <c r="P132" s="911" t="s">
        <v>124</v>
      </c>
      <c r="Q132" s="911" t="s">
        <v>124</v>
      </c>
      <c r="R132" s="911" t="s">
        <v>124</v>
      </c>
      <c r="S132" s="911" t="s">
        <v>124</v>
      </c>
      <c r="T132" s="957" t="s">
        <v>124</v>
      </c>
      <c r="U132" s="957" t="s">
        <v>124</v>
      </c>
      <c r="V132" s="957" t="s">
        <v>124</v>
      </c>
      <c r="W132" s="908" t="s">
        <v>124</v>
      </c>
      <c r="X132" s="908" t="s">
        <v>124</v>
      </c>
      <c r="Y132" s="908" t="s">
        <v>124</v>
      </c>
      <c r="Z132" s="908" t="s">
        <v>124</v>
      </c>
      <c r="AA132" s="908" t="s">
        <v>124</v>
      </c>
      <c r="AB132" s="908" t="s">
        <v>124</v>
      </c>
      <c r="AC132" s="908" t="s">
        <v>124</v>
      </c>
      <c r="AD132" s="908" t="s">
        <v>124</v>
      </c>
      <c r="AE132" s="908" t="s">
        <v>124</v>
      </c>
      <c r="AF132" s="953" t="s">
        <v>124</v>
      </c>
      <c r="AG132" s="953" t="s">
        <v>124</v>
      </c>
      <c r="AH132" s="953" t="s">
        <v>124</v>
      </c>
      <c r="AI132" s="953" t="s">
        <v>124</v>
      </c>
      <c r="AJ132" s="908" t="s">
        <v>124</v>
      </c>
      <c r="AK132" s="953" t="s">
        <v>124</v>
      </c>
      <c r="AL132" s="908" t="s">
        <v>124</v>
      </c>
      <c r="AM132" s="953" t="s">
        <v>124</v>
      </c>
      <c r="AN132" s="953" t="s">
        <v>124</v>
      </c>
      <c r="AO132" s="953" t="s">
        <v>124</v>
      </c>
      <c r="AP132" s="951" t="s">
        <v>124</v>
      </c>
      <c r="AQ132" s="951" t="s">
        <v>124</v>
      </c>
      <c r="AR132" s="951" t="s">
        <v>124</v>
      </c>
      <c r="AS132" s="951" t="s">
        <v>124</v>
      </c>
      <c r="AT132" s="951" t="s">
        <v>124</v>
      </c>
      <c r="AU132" s="951" t="s">
        <v>124</v>
      </c>
      <c r="AV132" s="951" t="s">
        <v>124</v>
      </c>
      <c r="AW132" s="951" t="s">
        <v>124</v>
      </c>
      <c r="AX132" s="951" t="s">
        <v>124</v>
      </c>
      <c r="AY132" s="951" t="s">
        <v>124</v>
      </c>
      <c r="AZ132" s="951" t="s">
        <v>124</v>
      </c>
      <c r="BA132" s="951" t="s">
        <v>124</v>
      </c>
      <c r="BB132" s="951" t="s">
        <v>124</v>
      </c>
      <c r="BC132" s="951" t="s">
        <v>124</v>
      </c>
      <c r="BD132" s="951" t="s">
        <v>124</v>
      </c>
      <c r="BE132" s="951" t="s">
        <v>124</v>
      </c>
      <c r="BF132" s="951" t="s">
        <v>124</v>
      </c>
      <c r="BG132" s="951" t="s">
        <v>124</v>
      </c>
      <c r="BH132" s="951" t="s">
        <v>124</v>
      </c>
      <c r="BI132" s="951" t="s">
        <v>124</v>
      </c>
      <c r="BJ132" s="951" t="s">
        <v>124</v>
      </c>
      <c r="BK132" s="951" t="s">
        <v>124</v>
      </c>
      <c r="BL132" s="951" t="s">
        <v>124</v>
      </c>
      <c r="BM132" s="951">
        <v>0.03</v>
      </c>
      <c r="BN132" s="951">
        <v>0.03</v>
      </c>
      <c r="BO132" s="951">
        <v>0.03</v>
      </c>
      <c r="BP132" s="951">
        <v>0.03</v>
      </c>
      <c r="BQ132" s="954">
        <v>0.03</v>
      </c>
      <c r="BR132" s="955" t="s">
        <v>124</v>
      </c>
      <c r="BS132" s="224"/>
      <c r="BT132" s="224"/>
      <c r="BU132" s="224"/>
      <c r="BV132" s="224"/>
      <c r="BW132" s="224"/>
      <c r="BX132" s="224"/>
      <c r="BY132" s="224"/>
      <c r="BZ132" s="224"/>
      <c r="CA132" s="224"/>
      <c r="CB132" s="224"/>
      <c r="CC132" s="224"/>
      <c r="CD132" s="224"/>
      <c r="CE132" s="224"/>
      <c r="CF132" s="224"/>
      <c r="CG132" s="224"/>
      <c r="CH132" s="224"/>
      <c r="CI132" s="255"/>
      <c r="CJ132" s="224"/>
      <c r="CK132" s="224"/>
      <c r="CL132" s="224"/>
      <c r="CM132" s="224"/>
      <c r="CN132" s="224"/>
      <c r="CO132" s="224"/>
      <c r="CP132" s="224"/>
      <c r="CQ132" s="224"/>
      <c r="CR132" s="224"/>
      <c r="CS132" s="224"/>
      <c r="CT132" s="224"/>
      <c r="CU132" s="224"/>
      <c r="CV132" s="224"/>
      <c r="CW132" s="224"/>
      <c r="CX132" s="224"/>
      <c r="CY132" s="224"/>
      <c r="CZ132" s="224"/>
      <c r="DA132" s="224"/>
      <c r="DB132" s="224"/>
      <c r="DC132" s="224"/>
      <c r="DD132" s="224"/>
      <c r="DE132" s="224"/>
      <c r="DF132" s="224"/>
      <c r="DG132" s="224"/>
      <c r="DH132" s="224"/>
      <c r="DI132" s="224"/>
      <c r="DJ132" s="224"/>
      <c r="DK132" s="224"/>
      <c r="DL132" s="224"/>
      <c r="DM132" s="224"/>
      <c r="DN132" s="224"/>
      <c r="DO132" s="224"/>
      <c r="DP132" s="224"/>
      <c r="DQ132" s="224"/>
      <c r="DR132" s="224"/>
      <c r="DS132" s="224"/>
      <c r="DT132" s="224"/>
      <c r="DU132" s="224"/>
      <c r="DV132" s="224"/>
      <c r="DW132" s="224"/>
      <c r="DX132" s="224"/>
      <c r="DY132" s="224"/>
      <c r="DZ132" s="224"/>
      <c r="EA132" s="224"/>
      <c r="EB132" s="224"/>
      <c r="EC132" s="224"/>
      <c r="ED132" s="224"/>
      <c r="EE132" s="224"/>
      <c r="EF132" s="224"/>
      <c r="EG132" s="224"/>
      <c r="EH132" s="224"/>
      <c r="EI132" s="224"/>
      <c r="EJ132" s="224"/>
      <c r="EK132" s="224"/>
      <c r="EL132" s="224"/>
      <c r="EM132" s="224"/>
      <c r="EN132" s="224"/>
      <c r="EO132" s="224"/>
      <c r="EP132" s="224"/>
      <c r="EQ132" s="224"/>
      <c r="ER132" s="224"/>
      <c r="ES132" s="224"/>
      <c r="ET132" s="224"/>
      <c r="EU132" s="224"/>
      <c r="EV132" s="224"/>
      <c r="EW132" s="224"/>
      <c r="EX132" s="224"/>
      <c r="EY132" s="224"/>
      <c r="EZ132" s="952" t="s">
        <v>330</v>
      </c>
      <c r="FA132" s="235"/>
      <c r="FB132" s="254"/>
      <c r="FC132" s="231"/>
      <c r="FD132" s="253"/>
      <c r="FE132" s="254"/>
      <c r="FF132" s="237"/>
      <c r="FG132" s="231"/>
      <c r="FH132" s="253"/>
      <c r="FI132" s="253"/>
      <c r="FJ132" s="253"/>
      <c r="FK132" s="253"/>
      <c r="FL132" s="253"/>
      <c r="FM132" s="253"/>
      <c r="FN132" s="235"/>
      <c r="FO132" s="235"/>
      <c r="FP132" s="235"/>
      <c r="FQ132" s="235"/>
      <c r="FR132" s="235"/>
      <c r="FS132" s="235"/>
      <c r="FT132" s="235"/>
      <c r="FU132" s="235"/>
      <c r="FV132" s="235"/>
      <c r="FW132" s="235"/>
      <c r="FX132" s="235"/>
      <c r="FY132" s="224"/>
      <c r="FZ132" s="224"/>
      <c r="GA132" s="224"/>
      <c r="GB132" s="224"/>
      <c r="GC132" s="224"/>
      <c r="GD132" s="224"/>
      <c r="GE132" s="224"/>
      <c r="GF132" s="224"/>
      <c r="GG132" s="224"/>
      <c r="GH132" s="224"/>
      <c r="GI132" s="224"/>
      <c r="GJ132" s="224"/>
      <c r="GK132" s="224"/>
      <c r="GL132" s="224"/>
      <c r="GM132" s="224"/>
      <c r="GN132" s="224"/>
      <c r="GO132" s="224"/>
      <c r="GP132" s="224"/>
      <c r="GQ132" s="224"/>
      <c r="GR132" s="224"/>
      <c r="GS132" s="224"/>
      <c r="GT132" s="224"/>
      <c r="GU132" s="224"/>
      <c r="GV132" s="224"/>
      <c r="GW132" s="224"/>
      <c r="GX132" s="224"/>
      <c r="GY132" s="224"/>
      <c r="GZ132" s="224"/>
      <c r="HA132" s="224"/>
      <c r="HB132" s="224"/>
      <c r="HC132" s="224"/>
      <c r="HD132" s="224"/>
      <c r="HE132" s="224"/>
      <c r="HF132" s="941" t="s">
        <v>124</v>
      </c>
    </row>
    <row r="133" spans="1:214">
      <c r="A133" s="1060"/>
      <c r="B133" s="280" t="s">
        <v>124</v>
      </c>
      <c r="C133" s="912"/>
      <c r="D133" s="912"/>
      <c r="E133" s="912"/>
      <c r="F133" s="912"/>
      <c r="G133" s="912"/>
      <c r="H133" s="912"/>
      <c r="I133" s="912"/>
      <c r="J133" s="912"/>
      <c r="K133" s="912"/>
      <c r="L133" s="912"/>
      <c r="M133" s="912"/>
      <c r="N133" s="912"/>
      <c r="O133" s="912"/>
      <c r="P133" s="912"/>
      <c r="Q133" s="912"/>
      <c r="R133" s="912"/>
      <c r="S133" s="912"/>
      <c r="T133" s="958"/>
      <c r="U133" s="958"/>
      <c r="V133" s="958"/>
      <c r="W133" s="908"/>
      <c r="X133" s="908"/>
      <c r="Y133" s="908"/>
      <c r="Z133" s="908"/>
      <c r="AA133" s="908"/>
      <c r="AB133" s="908"/>
      <c r="AC133" s="908"/>
      <c r="AD133" s="908"/>
      <c r="AE133" s="908"/>
      <c r="AF133" s="953"/>
      <c r="AG133" s="953"/>
      <c r="AH133" s="953"/>
      <c r="AI133" s="953"/>
      <c r="AJ133" s="908"/>
      <c r="AK133" s="953"/>
      <c r="AL133" s="908"/>
      <c r="AM133" s="953"/>
      <c r="AN133" s="953"/>
      <c r="AO133" s="953"/>
      <c r="AP133" s="951"/>
      <c r="AQ133" s="951"/>
      <c r="AR133" s="951"/>
      <c r="AS133" s="951"/>
      <c r="AT133" s="951"/>
      <c r="AU133" s="951"/>
      <c r="AV133" s="951"/>
      <c r="AW133" s="951"/>
      <c r="AX133" s="951"/>
      <c r="AY133" s="951"/>
      <c r="AZ133" s="951"/>
      <c r="BA133" s="951"/>
      <c r="BB133" s="951"/>
      <c r="BC133" s="951"/>
      <c r="BD133" s="951"/>
      <c r="BE133" s="951"/>
      <c r="BF133" s="951"/>
      <c r="BG133" s="951"/>
      <c r="BH133" s="951"/>
      <c r="BI133" s="951"/>
      <c r="BJ133" s="951"/>
      <c r="BK133" s="951"/>
      <c r="BL133" s="951"/>
      <c r="BM133" s="951"/>
      <c r="BN133" s="951"/>
      <c r="BO133" s="951"/>
      <c r="BP133" s="951"/>
      <c r="BQ133" s="954"/>
      <c r="BR133" s="956"/>
      <c r="BS133" s="224"/>
      <c r="BT133" s="224"/>
      <c r="BU133" s="224"/>
      <c r="BV133" s="224"/>
      <c r="BW133" s="224"/>
      <c r="BX133" s="224"/>
      <c r="BY133" s="224"/>
      <c r="BZ133" s="224"/>
      <c r="CA133" s="224"/>
      <c r="CB133" s="224"/>
      <c r="CC133" s="224"/>
      <c r="CD133" s="224"/>
      <c r="CE133" s="224"/>
      <c r="CF133" s="224"/>
      <c r="CG133" s="224"/>
      <c r="CH133" s="224"/>
      <c r="CI133" s="255"/>
      <c r="CJ133" s="224"/>
      <c r="CK133" s="224"/>
      <c r="CL133" s="224"/>
      <c r="CM133" s="224"/>
      <c r="CN133" s="224"/>
      <c r="CO133" s="224"/>
      <c r="CP133" s="224"/>
      <c r="CQ133" s="224"/>
      <c r="CR133" s="224"/>
      <c r="CS133" s="224"/>
      <c r="CT133" s="224"/>
      <c r="CU133" s="224"/>
      <c r="CV133" s="224"/>
      <c r="CW133" s="224"/>
      <c r="CX133" s="224"/>
      <c r="CY133" s="224"/>
      <c r="CZ133" s="224"/>
      <c r="DA133" s="224"/>
      <c r="DB133" s="224"/>
      <c r="DC133" s="224"/>
      <c r="DD133" s="224"/>
      <c r="DE133" s="224"/>
      <c r="DF133" s="224"/>
      <c r="DG133" s="224"/>
      <c r="DH133" s="224"/>
      <c r="DI133" s="224"/>
      <c r="DJ133" s="224"/>
      <c r="DK133" s="224"/>
      <c r="DL133" s="224"/>
      <c r="DM133" s="224"/>
      <c r="DN133" s="224"/>
      <c r="DO133" s="224"/>
      <c r="DP133" s="224"/>
      <c r="DQ133" s="224"/>
      <c r="DR133" s="224"/>
      <c r="DS133" s="224"/>
      <c r="DT133" s="224"/>
      <c r="DU133" s="224"/>
      <c r="DV133" s="224"/>
      <c r="DW133" s="224"/>
      <c r="DX133" s="224"/>
      <c r="DY133" s="224"/>
      <c r="DZ133" s="224"/>
      <c r="EA133" s="224"/>
      <c r="EB133" s="224"/>
      <c r="EC133" s="224"/>
      <c r="ED133" s="224"/>
      <c r="EE133" s="224"/>
      <c r="EF133" s="224"/>
      <c r="EG133" s="224"/>
      <c r="EH133" s="224"/>
      <c r="EI133" s="224"/>
      <c r="EJ133" s="224"/>
      <c r="EK133" s="224"/>
      <c r="EL133" s="224"/>
      <c r="EM133" s="224"/>
      <c r="EN133" s="224"/>
      <c r="EO133" s="224"/>
      <c r="EP133" s="224"/>
      <c r="EQ133" s="224"/>
      <c r="ER133" s="224"/>
      <c r="ES133" s="224"/>
      <c r="ET133" s="224"/>
      <c r="EU133" s="224"/>
      <c r="EV133" s="224"/>
      <c r="EW133" s="224"/>
      <c r="EX133" s="224"/>
      <c r="EY133" s="224"/>
      <c r="EZ133" s="952"/>
      <c r="FA133" s="235"/>
      <c r="FB133" s="254"/>
      <c r="FC133" s="231"/>
      <c r="FD133" s="253"/>
      <c r="FE133" s="254"/>
      <c r="FF133" s="237"/>
      <c r="FG133" s="231"/>
      <c r="FH133" s="253"/>
      <c r="FI133" s="253"/>
      <c r="FJ133" s="253"/>
      <c r="FK133" s="253"/>
      <c r="FL133" s="253"/>
      <c r="FM133" s="253"/>
      <c r="FN133" s="235"/>
      <c r="FO133" s="235"/>
      <c r="FP133" s="235"/>
      <c r="FQ133" s="235"/>
      <c r="FR133" s="235"/>
      <c r="FS133" s="235"/>
      <c r="FT133" s="235"/>
      <c r="FU133" s="235"/>
      <c r="FV133" s="235"/>
      <c r="FW133" s="235"/>
      <c r="FX133" s="235"/>
      <c r="FY133" s="224"/>
      <c r="FZ133" s="224"/>
      <c r="GA133" s="224"/>
      <c r="GB133" s="224"/>
      <c r="GC133" s="224"/>
      <c r="GD133" s="224"/>
      <c r="GE133" s="224"/>
      <c r="GF133" s="224"/>
      <c r="GG133" s="224"/>
      <c r="GH133" s="224"/>
      <c r="GI133" s="224"/>
      <c r="GJ133" s="224"/>
      <c r="GK133" s="224"/>
      <c r="GL133" s="224"/>
      <c r="GM133" s="224"/>
      <c r="GN133" s="224"/>
      <c r="GO133" s="224"/>
      <c r="GP133" s="224"/>
      <c r="GQ133" s="224"/>
      <c r="GR133" s="224"/>
      <c r="GS133" s="224"/>
      <c r="GT133" s="224"/>
      <c r="GU133" s="224"/>
      <c r="GV133" s="224"/>
      <c r="GW133" s="224"/>
      <c r="GX133" s="224"/>
      <c r="GY133" s="224"/>
      <c r="GZ133" s="224"/>
      <c r="HA133" s="224"/>
      <c r="HB133" s="224"/>
      <c r="HC133" s="224"/>
      <c r="HD133" s="224"/>
      <c r="HE133" s="224"/>
      <c r="HF133" s="942"/>
    </row>
    <row r="134" spans="1:214">
      <c r="A134" s="962" t="s">
        <v>39</v>
      </c>
      <c r="B134" s="840" t="s">
        <v>815</v>
      </c>
      <c r="C134" s="905">
        <v>1.15E-2</v>
      </c>
      <c r="D134" s="905">
        <v>1.15E-2</v>
      </c>
      <c r="E134" s="905">
        <v>1.15E-2</v>
      </c>
      <c r="F134" s="911" t="s">
        <v>124</v>
      </c>
      <c r="G134" s="911" t="s">
        <v>124</v>
      </c>
      <c r="H134" s="911" t="s">
        <v>124</v>
      </c>
      <c r="I134" s="911" t="s">
        <v>124</v>
      </c>
      <c r="J134" s="911" t="s">
        <v>124</v>
      </c>
      <c r="K134" s="911" t="s">
        <v>124</v>
      </c>
      <c r="L134" s="911" t="s">
        <v>124</v>
      </c>
      <c r="M134" s="911" t="s">
        <v>124</v>
      </c>
      <c r="N134" s="911" t="s">
        <v>124</v>
      </c>
      <c r="O134" s="911" t="s">
        <v>124</v>
      </c>
      <c r="P134" s="911" t="s">
        <v>124</v>
      </c>
      <c r="Q134" s="911" t="s">
        <v>124</v>
      </c>
      <c r="R134" s="911" t="s">
        <v>124</v>
      </c>
      <c r="S134" s="911" t="s">
        <v>124</v>
      </c>
      <c r="T134" s="957" t="s">
        <v>124</v>
      </c>
      <c r="U134" s="957" t="s">
        <v>124</v>
      </c>
      <c r="V134" s="957" t="s">
        <v>124</v>
      </c>
      <c r="W134" s="908" t="s">
        <v>124</v>
      </c>
      <c r="X134" s="908" t="s">
        <v>124</v>
      </c>
      <c r="Y134" s="908" t="s">
        <v>124</v>
      </c>
      <c r="Z134" s="908" t="s">
        <v>124</v>
      </c>
      <c r="AA134" s="908" t="s">
        <v>124</v>
      </c>
      <c r="AB134" s="908" t="s">
        <v>124</v>
      </c>
      <c r="AC134" s="908" t="s">
        <v>124</v>
      </c>
      <c r="AD134" s="908" t="s">
        <v>124</v>
      </c>
      <c r="AE134" s="908" t="s">
        <v>124</v>
      </c>
      <c r="AF134" s="953" t="s">
        <v>124</v>
      </c>
      <c r="AG134" s="953" t="s">
        <v>124</v>
      </c>
      <c r="AH134" s="953" t="s">
        <v>124</v>
      </c>
      <c r="AI134" s="953" t="s">
        <v>124</v>
      </c>
      <c r="AJ134" s="908" t="s">
        <v>124</v>
      </c>
      <c r="AK134" s="953" t="s">
        <v>124</v>
      </c>
      <c r="AL134" s="908" t="s">
        <v>124</v>
      </c>
      <c r="AM134" s="953" t="s">
        <v>124</v>
      </c>
      <c r="AN134" s="953" t="s">
        <v>124</v>
      </c>
      <c r="AO134" s="953" t="s">
        <v>124</v>
      </c>
      <c r="AP134" s="951" t="s">
        <v>124</v>
      </c>
      <c r="AQ134" s="951" t="s">
        <v>124</v>
      </c>
      <c r="AR134" s="951" t="s">
        <v>124</v>
      </c>
      <c r="AS134" s="951" t="s">
        <v>124</v>
      </c>
      <c r="AT134" s="951" t="s">
        <v>124</v>
      </c>
      <c r="AU134" s="951" t="s">
        <v>124</v>
      </c>
      <c r="AV134" s="951" t="s">
        <v>124</v>
      </c>
      <c r="AW134" s="951" t="s">
        <v>124</v>
      </c>
      <c r="AX134" s="951" t="s">
        <v>124</v>
      </c>
      <c r="AY134" s="951" t="s">
        <v>124</v>
      </c>
      <c r="AZ134" s="951" t="s">
        <v>124</v>
      </c>
      <c r="BA134" s="951" t="s">
        <v>124</v>
      </c>
      <c r="BB134" s="951" t="s">
        <v>124</v>
      </c>
      <c r="BC134" s="951" t="s">
        <v>124</v>
      </c>
      <c r="BD134" s="951" t="s">
        <v>124</v>
      </c>
      <c r="BE134" s="951" t="s">
        <v>124</v>
      </c>
      <c r="BF134" s="951" t="s">
        <v>124</v>
      </c>
      <c r="BG134" s="951" t="s">
        <v>124</v>
      </c>
      <c r="BH134" s="951" t="s">
        <v>124</v>
      </c>
      <c r="BI134" s="951" t="s">
        <v>124</v>
      </c>
      <c r="BJ134" s="951" t="s">
        <v>124</v>
      </c>
      <c r="BK134" s="951" t="s">
        <v>124</v>
      </c>
      <c r="BL134" s="951" t="s">
        <v>124</v>
      </c>
      <c r="BM134" s="951">
        <v>0.03</v>
      </c>
      <c r="BN134" s="951">
        <v>0.03</v>
      </c>
      <c r="BO134" s="951">
        <v>0.03</v>
      </c>
      <c r="BP134" s="951">
        <v>0.03</v>
      </c>
      <c r="BQ134" s="954">
        <v>0.03</v>
      </c>
      <c r="BR134" s="955" t="s">
        <v>124</v>
      </c>
      <c r="BS134" s="224"/>
      <c r="BT134" s="224"/>
      <c r="BU134" s="224"/>
      <c r="BV134" s="224"/>
      <c r="BW134" s="224"/>
      <c r="BX134" s="224"/>
      <c r="BY134" s="224"/>
      <c r="BZ134" s="224"/>
      <c r="CA134" s="224"/>
      <c r="CB134" s="224"/>
      <c r="CC134" s="224"/>
      <c r="CD134" s="224"/>
      <c r="CE134" s="224"/>
      <c r="CF134" s="224"/>
      <c r="CG134" s="224"/>
      <c r="CH134" s="224"/>
      <c r="CI134" s="255"/>
      <c r="CJ134" s="224"/>
      <c r="CK134" s="224"/>
      <c r="CL134" s="224"/>
      <c r="CM134" s="224"/>
      <c r="CN134" s="224"/>
      <c r="CO134" s="224"/>
      <c r="CP134" s="224"/>
      <c r="CQ134" s="224"/>
      <c r="CR134" s="224"/>
      <c r="CS134" s="224"/>
      <c r="CT134" s="224"/>
      <c r="CU134" s="224"/>
      <c r="CV134" s="224"/>
      <c r="CW134" s="224"/>
      <c r="CX134" s="224"/>
      <c r="CY134" s="224"/>
      <c r="CZ134" s="224"/>
      <c r="DA134" s="224"/>
      <c r="DB134" s="224"/>
      <c r="DC134" s="224"/>
      <c r="DD134" s="224"/>
      <c r="DE134" s="224"/>
      <c r="DF134" s="224"/>
      <c r="DG134" s="224"/>
      <c r="DH134" s="224"/>
      <c r="DI134" s="224"/>
      <c r="DJ134" s="224"/>
      <c r="DK134" s="224"/>
      <c r="DL134" s="224"/>
      <c r="DM134" s="224"/>
      <c r="DN134" s="224"/>
      <c r="DO134" s="224"/>
      <c r="DP134" s="224"/>
      <c r="DQ134" s="224"/>
      <c r="DR134" s="224"/>
      <c r="DS134" s="224"/>
      <c r="DT134" s="224"/>
      <c r="DU134" s="224"/>
      <c r="DV134" s="224"/>
      <c r="DW134" s="224"/>
      <c r="DX134" s="224"/>
      <c r="DY134" s="224"/>
      <c r="DZ134" s="224"/>
      <c r="EA134" s="224"/>
      <c r="EB134" s="224"/>
      <c r="EC134" s="224"/>
      <c r="ED134" s="224"/>
      <c r="EE134" s="224"/>
      <c r="EF134" s="224"/>
      <c r="EG134" s="224"/>
      <c r="EH134" s="224"/>
      <c r="EI134" s="224"/>
      <c r="EJ134" s="224"/>
      <c r="EK134" s="224"/>
      <c r="EL134" s="224"/>
      <c r="EM134" s="224"/>
      <c r="EN134" s="224"/>
      <c r="EO134" s="224"/>
      <c r="EP134" s="224"/>
      <c r="EQ134" s="224"/>
      <c r="ER134" s="224"/>
      <c r="ES134" s="224"/>
      <c r="ET134" s="224"/>
      <c r="EU134" s="224"/>
      <c r="EV134" s="224"/>
      <c r="EW134" s="224"/>
      <c r="EX134" s="224"/>
      <c r="EY134" s="224"/>
      <c r="EZ134" s="952" t="s">
        <v>330</v>
      </c>
      <c r="FA134" s="235"/>
      <c r="FB134" s="254"/>
      <c r="FC134" s="231"/>
      <c r="FD134" s="253"/>
      <c r="FE134" s="254"/>
      <c r="FF134" s="237"/>
      <c r="FG134" s="231"/>
      <c r="FH134" s="253"/>
      <c r="FI134" s="253"/>
      <c r="FJ134" s="253"/>
      <c r="FK134" s="253"/>
      <c r="FL134" s="253"/>
      <c r="FM134" s="253"/>
      <c r="FN134" s="235"/>
      <c r="FO134" s="235"/>
      <c r="FP134" s="235"/>
      <c r="FQ134" s="235"/>
      <c r="FR134" s="235"/>
      <c r="FS134" s="235"/>
      <c r="FT134" s="235"/>
      <c r="FU134" s="235"/>
      <c r="FV134" s="235"/>
      <c r="FW134" s="235"/>
      <c r="FX134" s="235"/>
      <c r="FY134" s="224"/>
      <c r="FZ134" s="224"/>
      <c r="GA134" s="224"/>
      <c r="GB134" s="224"/>
      <c r="GC134" s="224"/>
      <c r="GD134" s="224"/>
      <c r="GE134" s="224"/>
      <c r="GF134" s="224"/>
      <c r="GG134" s="224"/>
      <c r="GH134" s="224"/>
      <c r="GI134" s="224"/>
      <c r="GJ134" s="224"/>
      <c r="GK134" s="224"/>
      <c r="GL134" s="224"/>
      <c r="GM134" s="224"/>
      <c r="GN134" s="224"/>
      <c r="GO134" s="224"/>
      <c r="GP134" s="224"/>
      <c r="GQ134" s="224"/>
      <c r="GR134" s="224"/>
      <c r="GS134" s="224"/>
      <c r="GT134" s="224"/>
      <c r="GU134" s="224"/>
      <c r="GV134" s="224"/>
      <c r="GW134" s="224"/>
      <c r="GX134" s="224"/>
      <c r="GY134" s="224"/>
      <c r="GZ134" s="224"/>
      <c r="HA134" s="224"/>
      <c r="HB134" s="224"/>
      <c r="HC134" s="224"/>
      <c r="HD134" s="224"/>
      <c r="HE134" s="224"/>
      <c r="HF134" s="941">
        <f>C134-D134</f>
        <v>0</v>
      </c>
    </row>
    <row r="135" spans="1:214">
      <c r="A135" s="962"/>
      <c r="B135" s="840" t="s">
        <v>816</v>
      </c>
      <c r="C135" s="906"/>
      <c r="D135" s="906"/>
      <c r="E135" s="906"/>
      <c r="F135" s="912"/>
      <c r="G135" s="912"/>
      <c r="H135" s="912"/>
      <c r="I135" s="912"/>
      <c r="J135" s="912"/>
      <c r="K135" s="912"/>
      <c r="L135" s="912"/>
      <c r="M135" s="912"/>
      <c r="N135" s="912"/>
      <c r="O135" s="912"/>
      <c r="P135" s="912"/>
      <c r="Q135" s="912"/>
      <c r="R135" s="912"/>
      <c r="S135" s="912"/>
      <c r="T135" s="958"/>
      <c r="U135" s="958"/>
      <c r="V135" s="958"/>
      <c r="W135" s="908"/>
      <c r="X135" s="908"/>
      <c r="Y135" s="908"/>
      <c r="Z135" s="908"/>
      <c r="AA135" s="908"/>
      <c r="AB135" s="908"/>
      <c r="AC135" s="908"/>
      <c r="AD135" s="908"/>
      <c r="AE135" s="908"/>
      <c r="AF135" s="953"/>
      <c r="AG135" s="953"/>
      <c r="AH135" s="953"/>
      <c r="AI135" s="953"/>
      <c r="AJ135" s="908"/>
      <c r="AK135" s="953"/>
      <c r="AL135" s="908"/>
      <c r="AM135" s="953"/>
      <c r="AN135" s="953"/>
      <c r="AO135" s="953"/>
      <c r="AP135" s="951"/>
      <c r="AQ135" s="951"/>
      <c r="AR135" s="951"/>
      <c r="AS135" s="951"/>
      <c r="AT135" s="951"/>
      <c r="AU135" s="951"/>
      <c r="AV135" s="951"/>
      <c r="AW135" s="951"/>
      <c r="AX135" s="951"/>
      <c r="AY135" s="951"/>
      <c r="AZ135" s="951"/>
      <c r="BA135" s="951"/>
      <c r="BB135" s="951"/>
      <c r="BC135" s="951"/>
      <c r="BD135" s="951"/>
      <c r="BE135" s="951"/>
      <c r="BF135" s="951"/>
      <c r="BG135" s="951"/>
      <c r="BH135" s="951"/>
      <c r="BI135" s="951"/>
      <c r="BJ135" s="951"/>
      <c r="BK135" s="951"/>
      <c r="BL135" s="951"/>
      <c r="BM135" s="951"/>
      <c r="BN135" s="951"/>
      <c r="BO135" s="951"/>
      <c r="BP135" s="951"/>
      <c r="BQ135" s="954"/>
      <c r="BR135" s="956"/>
      <c r="BS135" s="224"/>
      <c r="BT135" s="224"/>
      <c r="BU135" s="224"/>
      <c r="BV135" s="224"/>
      <c r="BW135" s="224"/>
      <c r="BX135" s="224"/>
      <c r="BY135" s="224"/>
      <c r="BZ135" s="224"/>
      <c r="CA135" s="224"/>
      <c r="CB135" s="224"/>
      <c r="CC135" s="224"/>
      <c r="CD135" s="224"/>
      <c r="CE135" s="224"/>
      <c r="CF135" s="224"/>
      <c r="CG135" s="224"/>
      <c r="CH135" s="224"/>
      <c r="CI135" s="255"/>
      <c r="CJ135" s="224"/>
      <c r="CK135" s="224"/>
      <c r="CL135" s="224"/>
      <c r="CM135" s="224"/>
      <c r="CN135" s="224"/>
      <c r="CO135" s="224"/>
      <c r="CP135" s="224"/>
      <c r="CQ135" s="224"/>
      <c r="CR135" s="224"/>
      <c r="CS135" s="224"/>
      <c r="CT135" s="224"/>
      <c r="CU135" s="224"/>
      <c r="CV135" s="224"/>
      <c r="CW135" s="224"/>
      <c r="CX135" s="224"/>
      <c r="CY135" s="224"/>
      <c r="CZ135" s="224"/>
      <c r="DA135" s="224"/>
      <c r="DB135" s="224"/>
      <c r="DC135" s="224"/>
      <c r="DD135" s="224"/>
      <c r="DE135" s="224"/>
      <c r="DF135" s="224"/>
      <c r="DG135" s="224"/>
      <c r="DH135" s="224"/>
      <c r="DI135" s="224"/>
      <c r="DJ135" s="224"/>
      <c r="DK135" s="224"/>
      <c r="DL135" s="224"/>
      <c r="DM135" s="224"/>
      <c r="DN135" s="224"/>
      <c r="DO135" s="224"/>
      <c r="DP135" s="224"/>
      <c r="DQ135" s="224"/>
      <c r="DR135" s="224"/>
      <c r="DS135" s="224"/>
      <c r="DT135" s="224"/>
      <c r="DU135" s="224"/>
      <c r="DV135" s="224"/>
      <c r="DW135" s="224"/>
      <c r="DX135" s="224"/>
      <c r="DY135" s="224"/>
      <c r="DZ135" s="224"/>
      <c r="EA135" s="224"/>
      <c r="EB135" s="224"/>
      <c r="EC135" s="224"/>
      <c r="ED135" s="224"/>
      <c r="EE135" s="224"/>
      <c r="EF135" s="224"/>
      <c r="EG135" s="224"/>
      <c r="EH135" s="224"/>
      <c r="EI135" s="224"/>
      <c r="EJ135" s="224"/>
      <c r="EK135" s="224"/>
      <c r="EL135" s="224"/>
      <c r="EM135" s="224"/>
      <c r="EN135" s="224"/>
      <c r="EO135" s="224"/>
      <c r="EP135" s="224"/>
      <c r="EQ135" s="224"/>
      <c r="ER135" s="224"/>
      <c r="ES135" s="224"/>
      <c r="ET135" s="224"/>
      <c r="EU135" s="224"/>
      <c r="EV135" s="224"/>
      <c r="EW135" s="224"/>
      <c r="EX135" s="224"/>
      <c r="EY135" s="224"/>
      <c r="EZ135" s="952"/>
      <c r="FA135" s="235"/>
      <c r="FB135" s="254"/>
      <c r="FC135" s="231"/>
      <c r="FD135" s="253"/>
      <c r="FE135" s="254"/>
      <c r="FF135" s="237"/>
      <c r="FG135" s="231"/>
      <c r="FH135" s="253"/>
      <c r="FI135" s="253"/>
      <c r="FJ135" s="253"/>
      <c r="FK135" s="253"/>
      <c r="FL135" s="253"/>
      <c r="FM135" s="253"/>
      <c r="FN135" s="235"/>
      <c r="FO135" s="235"/>
      <c r="FP135" s="235"/>
      <c r="FQ135" s="235"/>
      <c r="FR135" s="235"/>
      <c r="FS135" s="235"/>
      <c r="FT135" s="235"/>
      <c r="FU135" s="235"/>
      <c r="FV135" s="235"/>
      <c r="FW135" s="235"/>
      <c r="FX135" s="235"/>
      <c r="FY135" s="224"/>
      <c r="FZ135" s="224"/>
      <c r="GA135" s="224"/>
      <c r="GB135" s="224"/>
      <c r="GC135" s="224"/>
      <c r="GD135" s="224"/>
      <c r="GE135" s="224"/>
      <c r="GF135" s="224"/>
      <c r="GG135" s="224"/>
      <c r="GH135" s="224"/>
      <c r="GI135" s="224"/>
      <c r="GJ135" s="224"/>
      <c r="GK135" s="224"/>
      <c r="GL135" s="224"/>
      <c r="GM135" s="224"/>
      <c r="GN135" s="224"/>
      <c r="GO135" s="224"/>
      <c r="GP135" s="224"/>
      <c r="GQ135" s="224"/>
      <c r="GR135" s="224"/>
      <c r="GS135" s="224"/>
      <c r="GT135" s="224"/>
      <c r="GU135" s="224"/>
      <c r="GV135" s="224"/>
      <c r="GW135" s="224"/>
      <c r="GX135" s="224"/>
      <c r="GY135" s="224"/>
      <c r="GZ135" s="224"/>
      <c r="HA135" s="224"/>
      <c r="HB135" s="224"/>
      <c r="HC135" s="224"/>
      <c r="HD135" s="224"/>
      <c r="HE135" s="224"/>
      <c r="HF135" s="942"/>
    </row>
    <row r="137" spans="1:214" ht="20.399999999999999">
      <c r="A137" s="758" t="s">
        <v>329</v>
      </c>
      <c r="B137" s="742"/>
      <c r="C137" s="742"/>
      <c r="D137" s="742"/>
      <c r="E137" s="742"/>
      <c r="F137" s="742"/>
      <c r="G137" s="742"/>
      <c r="H137" s="742"/>
      <c r="I137" s="742"/>
      <c r="J137" s="742"/>
      <c r="K137" s="742"/>
      <c r="L137" s="742"/>
      <c r="M137" s="742"/>
      <c r="N137" s="742"/>
      <c r="O137" s="742"/>
      <c r="P137" s="742"/>
      <c r="Q137" s="742"/>
      <c r="R137" s="742"/>
      <c r="S137" s="742"/>
      <c r="T137" s="742"/>
      <c r="U137" s="742"/>
      <c r="V137" s="742"/>
      <c r="W137" s="742"/>
      <c r="X137" s="742"/>
      <c r="Y137" s="742"/>
      <c r="Z137" s="742"/>
      <c r="AA137" s="742"/>
      <c r="AB137" s="742"/>
      <c r="AC137" s="742"/>
      <c r="AD137" s="742"/>
      <c r="AE137" s="742"/>
      <c r="AF137" s="742"/>
      <c r="AG137" s="742"/>
      <c r="AH137" s="742"/>
      <c r="AI137" s="742"/>
      <c r="AJ137" s="742"/>
      <c r="AK137" s="742"/>
      <c r="AL137" s="742"/>
      <c r="AM137" s="742"/>
      <c r="AN137" s="742"/>
      <c r="AO137" s="742"/>
      <c r="AP137" s="742"/>
      <c r="AQ137" s="742"/>
      <c r="AR137" s="742"/>
      <c r="AS137" s="742"/>
      <c r="AT137" s="742"/>
      <c r="AU137" s="742"/>
      <c r="AV137" s="742"/>
      <c r="AW137" s="742"/>
      <c r="AX137" s="742"/>
      <c r="AY137" s="742"/>
      <c r="AZ137" s="742"/>
      <c r="BA137" s="742"/>
      <c r="BB137" s="742"/>
      <c r="BC137" s="742"/>
      <c r="BD137" s="742"/>
      <c r="BE137" s="742"/>
      <c r="BF137" s="742"/>
      <c r="BG137" s="742"/>
      <c r="BH137" s="742"/>
      <c r="BI137" s="742"/>
      <c r="BJ137" s="742"/>
      <c r="BK137" s="742"/>
      <c r="BL137" s="742"/>
      <c r="BM137" s="742"/>
      <c r="BN137" s="742"/>
      <c r="BO137" s="742"/>
      <c r="BP137" s="742"/>
      <c r="BQ137" s="742"/>
      <c r="BR137" s="742"/>
      <c r="BS137" s="742"/>
      <c r="BT137" s="742"/>
      <c r="BU137" s="742"/>
      <c r="BV137" s="742"/>
      <c r="BW137" s="742"/>
      <c r="BX137" s="742"/>
      <c r="BY137" s="742"/>
      <c r="BZ137" s="742"/>
      <c r="CA137" s="742"/>
      <c r="CB137" s="742"/>
      <c r="CC137" s="742"/>
      <c r="CD137" s="742"/>
      <c r="CE137" s="742"/>
      <c r="CF137" s="742"/>
      <c r="CG137" s="742"/>
      <c r="CH137" s="742"/>
      <c r="CI137" s="742"/>
      <c r="CJ137" s="742"/>
      <c r="CK137" s="742"/>
      <c r="CL137" s="742"/>
      <c r="CM137" s="742"/>
      <c r="CN137" s="742"/>
      <c r="CO137" s="742"/>
      <c r="CP137" s="742"/>
      <c r="CQ137" s="742"/>
      <c r="CR137" s="742"/>
      <c r="CS137" s="742"/>
      <c r="CT137" s="742"/>
      <c r="CU137" s="742"/>
      <c r="CV137" s="742"/>
      <c r="CW137" s="742"/>
      <c r="CX137" s="742"/>
      <c r="CY137" s="742"/>
      <c r="CZ137" s="742"/>
      <c r="DA137" s="742"/>
      <c r="DB137" s="742"/>
      <c r="DC137" s="742"/>
      <c r="DD137" s="742"/>
      <c r="DE137" s="742"/>
      <c r="DF137" s="742"/>
      <c r="DG137" s="742"/>
      <c r="DH137" s="742"/>
      <c r="DI137" s="742"/>
      <c r="DJ137" s="742"/>
      <c r="DK137" s="742"/>
      <c r="DL137" s="742"/>
      <c r="DM137" s="742"/>
      <c r="DN137" s="742"/>
      <c r="DO137" s="742"/>
      <c r="DP137" s="742"/>
      <c r="DQ137" s="742"/>
      <c r="DR137" s="742"/>
      <c r="DS137" s="742"/>
      <c r="DT137" s="742"/>
      <c r="DU137" s="742"/>
      <c r="DV137" s="742"/>
      <c r="DW137" s="742"/>
      <c r="DX137" s="742"/>
      <c r="DY137" s="742"/>
      <c r="DZ137" s="742"/>
      <c r="EA137" s="742"/>
      <c r="EB137" s="742"/>
      <c r="EC137" s="742"/>
      <c r="ED137" s="742"/>
      <c r="EE137" s="742"/>
      <c r="EF137" s="742"/>
      <c r="EG137" s="742"/>
      <c r="EH137" s="742"/>
      <c r="EI137" s="742"/>
      <c r="EJ137" s="742"/>
      <c r="EK137" s="742"/>
      <c r="EL137" s="742"/>
      <c r="EM137" s="742"/>
      <c r="EN137" s="742"/>
      <c r="EO137" s="742"/>
      <c r="EP137" s="742"/>
      <c r="EQ137" s="742"/>
      <c r="ER137" s="742"/>
      <c r="ES137" s="742"/>
      <c r="ET137" s="742"/>
      <c r="EU137" s="742"/>
      <c r="EV137" s="742"/>
      <c r="EW137" s="742"/>
      <c r="EX137" s="742"/>
      <c r="EY137" s="742"/>
      <c r="EZ137" s="742"/>
      <c r="FA137" s="742"/>
      <c r="FB137" s="742"/>
      <c r="FC137" s="742"/>
      <c r="FD137" s="742"/>
      <c r="FE137" s="742"/>
      <c r="FF137" s="742"/>
      <c r="FG137" s="742"/>
      <c r="FH137" s="742"/>
      <c r="FI137" s="742"/>
      <c r="FJ137" s="742"/>
      <c r="FK137" s="742"/>
      <c r="FL137" s="742"/>
      <c r="FM137" s="742"/>
      <c r="FN137" s="742"/>
      <c r="FO137" s="742"/>
      <c r="FP137" s="742"/>
      <c r="FQ137" s="742"/>
      <c r="FR137" s="742"/>
      <c r="FS137" s="742"/>
      <c r="FT137" s="742"/>
      <c r="FU137" s="742"/>
      <c r="FV137" s="742"/>
      <c r="FW137" s="742"/>
      <c r="FX137" s="742"/>
      <c r="FY137" s="742"/>
      <c r="FZ137" s="742"/>
      <c r="GA137" s="742"/>
      <c r="GB137" s="742"/>
      <c r="GC137" s="742"/>
      <c r="GD137" s="742"/>
      <c r="GE137" s="742"/>
      <c r="GF137" s="742"/>
      <c r="GG137" s="742"/>
      <c r="GH137" s="742"/>
      <c r="GI137" s="742"/>
      <c r="GJ137" s="742"/>
      <c r="GK137" s="742"/>
      <c r="GL137" s="742"/>
      <c r="GM137" s="742"/>
      <c r="GN137" s="742"/>
      <c r="GO137" s="742"/>
      <c r="GP137" s="742"/>
      <c r="GQ137" s="742"/>
      <c r="GR137" s="742"/>
      <c r="GS137" s="742"/>
      <c r="GT137" s="742"/>
      <c r="GU137" s="742"/>
      <c r="GV137" s="742"/>
      <c r="GW137" s="742"/>
      <c r="GX137" s="742"/>
      <c r="GY137" s="742"/>
      <c r="GZ137" s="742"/>
      <c r="HA137" s="742"/>
      <c r="HB137" s="742"/>
      <c r="HC137" s="742"/>
      <c r="HD137" s="742"/>
      <c r="HE137" s="742"/>
      <c r="HF137" s="743"/>
    </row>
    <row r="138" spans="1:214" ht="15.6">
      <c r="A138" s="690" t="s">
        <v>328</v>
      </c>
      <c r="B138" s="652"/>
      <c r="C138" s="653">
        <f t="shared" ref="C138:AF138" si="55">C3</f>
        <v>46099</v>
      </c>
      <c r="D138" s="653">
        <f t="shared" ref="D138" si="56">D3</f>
        <v>46092</v>
      </c>
      <c r="E138" s="653">
        <f t="shared" ref="E138" si="57">E3</f>
        <v>46085</v>
      </c>
      <c r="F138" s="653">
        <f t="shared" si="55"/>
        <v>46078</v>
      </c>
      <c r="G138" s="653">
        <f t="shared" si="55"/>
        <v>46071</v>
      </c>
      <c r="H138" s="653">
        <f t="shared" si="55"/>
        <v>46064</v>
      </c>
      <c r="I138" s="653">
        <f t="shared" si="55"/>
        <v>46057</v>
      </c>
      <c r="J138" s="653">
        <f t="shared" si="55"/>
        <v>46050</v>
      </c>
      <c r="K138" s="653">
        <f t="shared" si="55"/>
        <v>46043</v>
      </c>
      <c r="L138" s="653">
        <f t="shared" si="55"/>
        <v>46036</v>
      </c>
      <c r="M138" s="653">
        <f t="shared" si="55"/>
        <v>46029</v>
      </c>
      <c r="N138" s="653">
        <f t="shared" si="55"/>
        <v>46022</v>
      </c>
      <c r="O138" s="653">
        <f t="shared" si="55"/>
        <v>46015</v>
      </c>
      <c r="P138" s="653">
        <f t="shared" si="55"/>
        <v>46008</v>
      </c>
      <c r="Q138" s="653">
        <f t="shared" si="55"/>
        <v>46001</v>
      </c>
      <c r="R138" s="653">
        <f t="shared" si="55"/>
        <v>45994</v>
      </c>
      <c r="S138" s="653">
        <f t="shared" si="55"/>
        <v>46092</v>
      </c>
      <c r="T138" s="591">
        <f t="shared" si="55"/>
        <v>45980</v>
      </c>
      <c r="U138" s="591">
        <f t="shared" si="55"/>
        <v>45973</v>
      </c>
      <c r="V138" s="591">
        <f t="shared" si="55"/>
        <v>45966</v>
      </c>
      <c r="W138" s="247">
        <f t="shared" si="55"/>
        <v>45959</v>
      </c>
      <c r="X138" s="247">
        <f t="shared" si="55"/>
        <v>45952</v>
      </c>
      <c r="Y138" s="247">
        <f t="shared" si="55"/>
        <v>45945</v>
      </c>
      <c r="Z138" s="247">
        <f t="shared" si="55"/>
        <v>45938</v>
      </c>
      <c r="AA138" s="247">
        <f t="shared" si="55"/>
        <v>45931</v>
      </c>
      <c r="AB138" s="247">
        <f t="shared" si="55"/>
        <v>45924</v>
      </c>
      <c r="AC138" s="247">
        <f t="shared" si="55"/>
        <v>45917</v>
      </c>
      <c r="AD138" s="247">
        <f t="shared" si="55"/>
        <v>45910</v>
      </c>
      <c r="AE138" s="247">
        <f t="shared" si="55"/>
        <v>46092</v>
      </c>
      <c r="AF138" s="252">
        <f t="shared" si="55"/>
        <v>45896</v>
      </c>
      <c r="AG138" s="252">
        <v>45889</v>
      </c>
      <c r="AH138" s="252">
        <v>45882</v>
      </c>
      <c r="AI138" s="252">
        <v>45875</v>
      </c>
      <c r="AJ138" s="247">
        <v>45868</v>
      </c>
      <c r="AK138" s="252">
        <v>45861</v>
      </c>
      <c r="AL138" s="247">
        <v>45854</v>
      </c>
      <c r="AM138" s="252">
        <v>45847</v>
      </c>
      <c r="AN138" s="252">
        <v>45840</v>
      </c>
      <c r="AO138" s="252">
        <f>AO3</f>
        <v>45833</v>
      </c>
      <c r="AP138" s="247">
        <v>45826</v>
      </c>
      <c r="AQ138" s="247">
        <f t="shared" ref="AQ138:BV138" si="58">AQ3</f>
        <v>45819</v>
      </c>
      <c r="AR138" s="247">
        <f t="shared" si="58"/>
        <v>45812</v>
      </c>
      <c r="AS138" s="247">
        <f t="shared" si="58"/>
        <v>45805</v>
      </c>
      <c r="AT138" s="247">
        <f t="shared" si="58"/>
        <v>45798</v>
      </c>
      <c r="AU138" s="247">
        <f t="shared" si="58"/>
        <v>45792</v>
      </c>
      <c r="AV138" s="247">
        <f t="shared" si="58"/>
        <v>45785</v>
      </c>
      <c r="AW138" s="247">
        <f t="shared" si="58"/>
        <v>45777</v>
      </c>
      <c r="AX138" s="247">
        <f t="shared" si="58"/>
        <v>45771</v>
      </c>
      <c r="AY138" s="247">
        <f t="shared" si="58"/>
        <v>45763</v>
      </c>
      <c r="AZ138" s="247">
        <f t="shared" si="58"/>
        <v>45757</v>
      </c>
      <c r="BA138" s="247">
        <f t="shared" si="58"/>
        <v>45750</v>
      </c>
      <c r="BB138" s="247">
        <f t="shared" si="58"/>
        <v>45742</v>
      </c>
      <c r="BC138" s="247" t="e">
        <f t="shared" si="58"/>
        <v>#REF!</v>
      </c>
      <c r="BD138" s="247">
        <f t="shared" si="58"/>
        <v>45729</v>
      </c>
      <c r="BE138" s="247">
        <f t="shared" si="58"/>
        <v>45722</v>
      </c>
      <c r="BF138" s="247">
        <f t="shared" si="58"/>
        <v>45715</v>
      </c>
      <c r="BG138" s="247">
        <f t="shared" si="58"/>
        <v>45708</v>
      </c>
      <c r="BH138" s="247">
        <f t="shared" si="58"/>
        <v>45701</v>
      </c>
      <c r="BI138" s="247">
        <f t="shared" si="58"/>
        <v>45694</v>
      </c>
      <c r="BJ138" s="247">
        <f t="shared" si="58"/>
        <v>45688</v>
      </c>
      <c r="BK138" s="247">
        <f t="shared" si="58"/>
        <v>45315</v>
      </c>
      <c r="BL138" s="247">
        <f t="shared" si="58"/>
        <v>45673</v>
      </c>
      <c r="BM138" s="247">
        <f t="shared" si="58"/>
        <v>45666</v>
      </c>
      <c r="BN138" s="247">
        <f t="shared" si="58"/>
        <v>45659</v>
      </c>
      <c r="BO138" s="247">
        <f t="shared" si="58"/>
        <v>45652</v>
      </c>
      <c r="BP138" s="247">
        <f t="shared" si="58"/>
        <v>45645</v>
      </c>
      <c r="BQ138" s="247">
        <f t="shared" si="58"/>
        <v>45638</v>
      </c>
      <c r="BR138" s="247">
        <f t="shared" si="58"/>
        <v>45631</v>
      </c>
      <c r="BS138" s="247">
        <f t="shared" si="58"/>
        <v>45625</v>
      </c>
      <c r="BT138" s="247">
        <f t="shared" si="58"/>
        <v>45617</v>
      </c>
      <c r="BU138" s="247">
        <f t="shared" si="58"/>
        <v>45610</v>
      </c>
      <c r="BV138" s="247">
        <f t="shared" si="58"/>
        <v>45603</v>
      </c>
      <c r="BW138" s="247">
        <f t="shared" ref="BW138:DB138" si="59">BW3</f>
        <v>45595</v>
      </c>
      <c r="BX138" s="247">
        <f t="shared" si="59"/>
        <v>45591</v>
      </c>
      <c r="BY138" s="247">
        <f t="shared" si="59"/>
        <v>45582</v>
      </c>
      <c r="BZ138" s="247">
        <f t="shared" si="59"/>
        <v>45575</v>
      </c>
      <c r="CA138" s="247">
        <f t="shared" si="59"/>
        <v>45568</v>
      </c>
      <c r="CB138" s="247">
        <f t="shared" si="59"/>
        <v>45561</v>
      </c>
      <c r="CC138" s="247">
        <f t="shared" si="59"/>
        <v>45554</v>
      </c>
      <c r="CD138" s="247">
        <f t="shared" si="59"/>
        <v>45547</v>
      </c>
      <c r="CE138" s="247">
        <f t="shared" si="59"/>
        <v>45540</v>
      </c>
      <c r="CF138" s="247">
        <f t="shared" si="59"/>
        <v>45533</v>
      </c>
      <c r="CG138" s="247">
        <f t="shared" si="59"/>
        <v>45526</v>
      </c>
      <c r="CH138" s="247">
        <f t="shared" si="59"/>
        <v>45519</v>
      </c>
      <c r="CI138" s="247">
        <f t="shared" si="59"/>
        <v>45511</v>
      </c>
      <c r="CJ138" s="247">
        <f t="shared" si="59"/>
        <v>45505</v>
      </c>
      <c r="CK138" s="247">
        <f t="shared" si="59"/>
        <v>45498</v>
      </c>
      <c r="CL138" s="247">
        <f t="shared" si="59"/>
        <v>45492</v>
      </c>
      <c r="CM138" s="247" t="str">
        <f t="shared" si="59"/>
        <v>11/7/224</v>
      </c>
      <c r="CN138" s="247">
        <f t="shared" si="59"/>
        <v>45477</v>
      </c>
      <c r="CO138" s="247">
        <f t="shared" si="59"/>
        <v>45464</v>
      </c>
      <c r="CP138" s="247">
        <f t="shared" si="59"/>
        <v>45456</v>
      </c>
      <c r="CQ138" s="247">
        <f t="shared" si="59"/>
        <v>45449</v>
      </c>
      <c r="CR138" s="247">
        <f t="shared" si="59"/>
        <v>45442</v>
      </c>
      <c r="CS138" s="247">
        <f t="shared" si="59"/>
        <v>45435</v>
      </c>
      <c r="CT138" s="247">
        <f t="shared" si="59"/>
        <v>45428</v>
      </c>
      <c r="CU138" s="247">
        <f t="shared" si="59"/>
        <v>45421</v>
      </c>
      <c r="CV138" s="247">
        <f t="shared" si="59"/>
        <v>45414</v>
      </c>
      <c r="CW138" s="247">
        <f t="shared" si="59"/>
        <v>45407</v>
      </c>
      <c r="CX138" s="247">
        <f t="shared" si="59"/>
        <v>45400</v>
      </c>
      <c r="CY138" s="247">
        <f t="shared" si="59"/>
        <v>45393</v>
      </c>
      <c r="CZ138" s="247">
        <f t="shared" si="59"/>
        <v>45386</v>
      </c>
      <c r="DA138" s="247">
        <f t="shared" si="59"/>
        <v>45378</v>
      </c>
      <c r="DB138" s="247">
        <f t="shared" si="59"/>
        <v>45372</v>
      </c>
      <c r="DC138" s="247">
        <f t="shared" ref="DC138:EH138" si="60">DC3</f>
        <v>45365</v>
      </c>
      <c r="DD138" s="247">
        <f t="shared" si="60"/>
        <v>45358</v>
      </c>
      <c r="DE138" s="247">
        <f t="shared" si="60"/>
        <v>45351</v>
      </c>
      <c r="DF138" s="247">
        <f t="shared" si="60"/>
        <v>45343</v>
      </c>
      <c r="DG138" s="247">
        <f t="shared" si="60"/>
        <v>45336</v>
      </c>
      <c r="DH138" s="247">
        <f t="shared" si="60"/>
        <v>45329</v>
      </c>
      <c r="DI138" s="247">
        <f t="shared" si="60"/>
        <v>45323</v>
      </c>
      <c r="DJ138" s="247">
        <f t="shared" si="60"/>
        <v>45316</v>
      </c>
      <c r="DK138" s="247">
        <f t="shared" si="60"/>
        <v>45309</v>
      </c>
      <c r="DL138" s="247">
        <f t="shared" si="60"/>
        <v>45302</v>
      </c>
      <c r="DM138" s="247">
        <f t="shared" si="60"/>
        <v>45295</v>
      </c>
      <c r="DN138" s="247">
        <f t="shared" si="60"/>
        <v>45288</v>
      </c>
      <c r="DO138" s="247">
        <f t="shared" si="60"/>
        <v>45281</v>
      </c>
      <c r="DP138" s="247" t="str">
        <f t="shared" si="60"/>
        <v>14/21/2023</v>
      </c>
      <c r="DQ138" s="247">
        <f t="shared" si="60"/>
        <v>45267</v>
      </c>
      <c r="DR138" s="247">
        <f t="shared" si="60"/>
        <v>45260</v>
      </c>
      <c r="DS138" s="247">
        <f t="shared" si="60"/>
        <v>45253</v>
      </c>
      <c r="DT138" s="247">
        <f t="shared" si="60"/>
        <v>45246</v>
      </c>
      <c r="DU138" s="247">
        <f t="shared" si="60"/>
        <v>45239</v>
      </c>
      <c r="DV138" s="247">
        <f t="shared" si="60"/>
        <v>45232</v>
      </c>
      <c r="DW138" s="247">
        <f t="shared" si="60"/>
        <v>45225</v>
      </c>
      <c r="DX138" s="247">
        <f t="shared" si="60"/>
        <v>45218</v>
      </c>
      <c r="DY138" s="247">
        <f t="shared" si="60"/>
        <v>45211</v>
      </c>
      <c r="DZ138" s="247">
        <f t="shared" si="60"/>
        <v>45204</v>
      </c>
      <c r="EA138" s="247">
        <f t="shared" si="60"/>
        <v>45197</v>
      </c>
      <c r="EB138" s="247">
        <f t="shared" si="60"/>
        <v>45190</v>
      </c>
      <c r="EC138" s="247">
        <f t="shared" si="60"/>
        <v>45183</v>
      </c>
      <c r="ED138" s="247">
        <f t="shared" si="60"/>
        <v>45176</v>
      </c>
      <c r="EE138" s="247">
        <f t="shared" si="60"/>
        <v>45168</v>
      </c>
      <c r="EF138" s="247">
        <f t="shared" si="60"/>
        <v>45162</v>
      </c>
      <c r="EG138" s="247">
        <f t="shared" si="60"/>
        <v>45155</v>
      </c>
      <c r="EH138" s="247">
        <f t="shared" si="60"/>
        <v>45148</v>
      </c>
      <c r="EI138" s="247">
        <v>45141</v>
      </c>
      <c r="EJ138" s="247">
        <v>45134</v>
      </c>
      <c r="EK138" s="247">
        <v>45127</v>
      </c>
      <c r="EL138" s="247">
        <v>45120</v>
      </c>
      <c r="EM138" s="247">
        <v>45113</v>
      </c>
      <c r="EN138" s="247">
        <v>45105</v>
      </c>
      <c r="EO138" s="247">
        <v>45099</v>
      </c>
      <c r="EP138" s="247">
        <v>45092</v>
      </c>
      <c r="EQ138" s="247">
        <v>45085</v>
      </c>
      <c r="ER138" s="247">
        <v>45076</v>
      </c>
      <c r="ES138" s="247">
        <v>45070</v>
      </c>
      <c r="ET138" s="247">
        <v>45063</v>
      </c>
      <c r="EU138" s="247">
        <v>45056</v>
      </c>
      <c r="EV138" s="247">
        <v>45049</v>
      </c>
      <c r="EW138" s="247">
        <v>45042</v>
      </c>
      <c r="EX138" s="247">
        <v>45035</v>
      </c>
      <c r="EY138" s="247">
        <v>45028</v>
      </c>
      <c r="EZ138" s="244"/>
      <c r="FA138" s="247">
        <v>44803</v>
      </c>
      <c r="FB138" s="251"/>
      <c r="FC138" s="244"/>
      <c r="FD138" s="248">
        <v>44706</v>
      </c>
      <c r="FE138" s="251"/>
      <c r="FF138" s="250"/>
      <c r="FG138" s="244"/>
      <c r="FH138" s="243" t="s">
        <v>118</v>
      </c>
      <c r="FI138" s="249">
        <v>44685</v>
      </c>
      <c r="FJ138" s="248">
        <v>44699</v>
      </c>
      <c r="FK138" s="248">
        <v>44690</v>
      </c>
      <c r="FL138" s="248">
        <v>44713</v>
      </c>
      <c r="FM138" s="248">
        <v>44720</v>
      </c>
      <c r="FN138" s="247">
        <v>44727</v>
      </c>
      <c r="FO138" s="247">
        <v>44733</v>
      </c>
      <c r="FP138" s="247">
        <v>44741</v>
      </c>
      <c r="FQ138" s="247">
        <v>44755</v>
      </c>
      <c r="FR138" s="247">
        <v>44748</v>
      </c>
      <c r="FS138" s="247">
        <v>44769</v>
      </c>
      <c r="FT138" s="247">
        <v>44762</v>
      </c>
      <c r="FU138" s="247">
        <v>44783</v>
      </c>
      <c r="FV138" s="247">
        <v>44776</v>
      </c>
      <c r="FW138" s="247">
        <v>44797</v>
      </c>
      <c r="FX138" s="247">
        <v>44790</v>
      </c>
      <c r="FY138" s="247">
        <v>44805</v>
      </c>
      <c r="FZ138" s="247">
        <v>45000</v>
      </c>
      <c r="GA138" s="247">
        <v>44993</v>
      </c>
      <c r="GB138" s="247">
        <v>44986</v>
      </c>
      <c r="GC138" s="247">
        <v>44979</v>
      </c>
      <c r="GD138" s="247">
        <v>44972</v>
      </c>
      <c r="GE138" s="247">
        <v>44965</v>
      </c>
      <c r="GF138" s="247">
        <v>44958</v>
      </c>
      <c r="GG138" s="247">
        <v>44951</v>
      </c>
      <c r="GH138" s="247">
        <v>44944</v>
      </c>
      <c r="GI138" s="247">
        <v>44937</v>
      </c>
      <c r="GJ138" s="247">
        <v>44930</v>
      </c>
      <c r="GK138" s="247">
        <v>44923</v>
      </c>
      <c r="GL138" s="247">
        <v>44916</v>
      </c>
      <c r="GM138" s="247">
        <v>44910</v>
      </c>
      <c r="GN138" s="247">
        <v>44902</v>
      </c>
      <c r="GO138" s="247">
        <v>44896</v>
      </c>
      <c r="GP138" s="247">
        <v>44888</v>
      </c>
      <c r="GQ138" s="247">
        <v>44881</v>
      </c>
      <c r="GR138" s="247">
        <v>44874</v>
      </c>
      <c r="GS138" s="247">
        <v>44868</v>
      </c>
      <c r="GT138" s="247">
        <v>44860</v>
      </c>
      <c r="GU138" s="247">
        <v>44853</v>
      </c>
      <c r="GV138" s="247">
        <v>44846</v>
      </c>
      <c r="GW138" s="247">
        <v>44839</v>
      </c>
      <c r="GX138" s="247">
        <v>44831</v>
      </c>
      <c r="GY138" s="247">
        <v>44825</v>
      </c>
      <c r="GZ138" s="247">
        <v>44818</v>
      </c>
      <c r="HA138" s="247">
        <v>44811</v>
      </c>
      <c r="HB138" s="247">
        <v>45002</v>
      </c>
      <c r="HC138" s="247">
        <v>45020</v>
      </c>
      <c r="HD138" s="247">
        <v>45014</v>
      </c>
      <c r="HE138" s="247">
        <v>45008</v>
      </c>
      <c r="HF138" s="244"/>
    </row>
    <row r="139" spans="1:214" ht="15" customHeight="1">
      <c r="A139" s="690"/>
      <c r="B139" s="650" t="s">
        <v>327</v>
      </c>
      <c r="C139" s="246" t="s">
        <v>325</v>
      </c>
      <c r="D139" s="246" t="s">
        <v>325</v>
      </c>
      <c r="E139" s="246" t="s">
        <v>325</v>
      </c>
      <c r="F139" s="246" t="s">
        <v>325</v>
      </c>
      <c r="G139" s="246" t="s">
        <v>325</v>
      </c>
      <c r="H139" s="246" t="s">
        <v>325</v>
      </c>
      <c r="I139" s="246" t="s">
        <v>325</v>
      </c>
      <c r="J139" s="246" t="s">
        <v>325</v>
      </c>
      <c r="K139" s="246" t="s">
        <v>325</v>
      </c>
      <c r="L139" s="246" t="s">
        <v>325</v>
      </c>
      <c r="M139" s="246" t="s">
        <v>325</v>
      </c>
      <c r="N139" s="246" t="s">
        <v>325</v>
      </c>
      <c r="O139" s="246" t="s">
        <v>325</v>
      </c>
      <c r="P139" s="246" t="s">
        <v>325</v>
      </c>
      <c r="Q139" s="246" t="s">
        <v>325</v>
      </c>
      <c r="R139" s="246" t="s">
        <v>325</v>
      </c>
      <c r="S139" s="246" t="s">
        <v>325</v>
      </c>
      <c r="T139" s="246" t="s">
        <v>325</v>
      </c>
      <c r="U139" s="246" t="s">
        <v>325</v>
      </c>
      <c r="V139" s="246" t="s">
        <v>325</v>
      </c>
      <c r="W139" s="246" t="s">
        <v>325</v>
      </c>
      <c r="X139" s="246" t="s">
        <v>325</v>
      </c>
      <c r="Y139" s="246" t="s">
        <v>325</v>
      </c>
      <c r="Z139" s="246" t="s">
        <v>325</v>
      </c>
      <c r="AA139" s="246" t="s">
        <v>325</v>
      </c>
      <c r="AB139" s="246" t="s">
        <v>325</v>
      </c>
      <c r="AC139" s="246" t="s">
        <v>325</v>
      </c>
      <c r="AD139" s="246" t="s">
        <v>325</v>
      </c>
      <c r="AE139" s="246" t="s">
        <v>325</v>
      </c>
      <c r="AF139" s="245" t="s">
        <v>325</v>
      </c>
      <c r="AG139" s="245" t="s">
        <v>325</v>
      </c>
      <c r="AH139" s="245" t="s">
        <v>325</v>
      </c>
      <c r="AI139" s="245" t="s">
        <v>325</v>
      </c>
      <c r="AJ139" s="246" t="s">
        <v>325</v>
      </c>
      <c r="AK139" s="245" t="s">
        <v>325</v>
      </c>
      <c r="AL139" s="246" t="s">
        <v>325</v>
      </c>
      <c r="AM139" s="245" t="s">
        <v>325</v>
      </c>
      <c r="AN139" s="245" t="s">
        <v>325</v>
      </c>
      <c r="AO139" s="245" t="s">
        <v>325</v>
      </c>
      <c r="AP139" s="242" t="s">
        <v>325</v>
      </c>
      <c r="AQ139" s="242" t="s">
        <v>325</v>
      </c>
      <c r="AR139" s="242" t="s">
        <v>325</v>
      </c>
      <c r="AS139" s="242" t="s">
        <v>325</v>
      </c>
      <c r="AT139" s="242" t="s">
        <v>325</v>
      </c>
      <c r="AU139" s="242" t="s">
        <v>325</v>
      </c>
      <c r="AV139" s="242" t="s">
        <v>325</v>
      </c>
      <c r="AW139" s="242" t="s">
        <v>325</v>
      </c>
      <c r="AX139" s="242" t="s">
        <v>325</v>
      </c>
      <c r="AY139" s="242" t="s">
        <v>325</v>
      </c>
      <c r="AZ139" s="242" t="s">
        <v>325</v>
      </c>
      <c r="BA139" s="242" t="s">
        <v>325</v>
      </c>
      <c r="BB139" s="242" t="s">
        <v>325</v>
      </c>
      <c r="BC139" s="242" t="s">
        <v>325</v>
      </c>
      <c r="BD139" s="242" t="s">
        <v>325</v>
      </c>
      <c r="BE139" s="242" t="s">
        <v>325</v>
      </c>
      <c r="BF139" s="242" t="s">
        <v>325</v>
      </c>
      <c r="BG139" s="242" t="s">
        <v>325</v>
      </c>
      <c r="BH139" s="242" t="s">
        <v>325</v>
      </c>
      <c r="BI139" s="242" t="s">
        <v>325</v>
      </c>
      <c r="BJ139" s="242" t="s">
        <v>325</v>
      </c>
      <c r="BK139" s="242" t="s">
        <v>325</v>
      </c>
      <c r="BL139" s="242" t="s">
        <v>325</v>
      </c>
      <c r="BM139" s="242" t="s">
        <v>325</v>
      </c>
      <c r="BN139" s="242" t="s">
        <v>325</v>
      </c>
      <c r="BO139" s="242" t="s">
        <v>325</v>
      </c>
      <c r="BP139" s="242" t="s">
        <v>325</v>
      </c>
      <c r="BQ139" s="242" t="s">
        <v>325</v>
      </c>
      <c r="BR139" s="242" t="s">
        <v>325</v>
      </c>
      <c r="BS139" s="242" t="s">
        <v>325</v>
      </c>
      <c r="BT139" s="242" t="s">
        <v>325</v>
      </c>
      <c r="BU139" s="242" t="s">
        <v>325</v>
      </c>
      <c r="BV139" s="242" t="s">
        <v>325</v>
      </c>
      <c r="BW139" s="242" t="s">
        <v>325</v>
      </c>
      <c r="BX139" s="242" t="s">
        <v>325</v>
      </c>
      <c r="BY139" s="242" t="s">
        <v>325</v>
      </c>
      <c r="BZ139" s="242" t="s">
        <v>325</v>
      </c>
      <c r="CA139" s="242" t="s">
        <v>325</v>
      </c>
      <c r="CB139" s="242" t="s">
        <v>325</v>
      </c>
      <c r="CC139" s="242" t="s">
        <v>325</v>
      </c>
      <c r="CD139" s="242" t="s">
        <v>325</v>
      </c>
      <c r="CE139" s="242" t="s">
        <v>325</v>
      </c>
      <c r="CF139" s="242" t="s">
        <v>325</v>
      </c>
      <c r="CG139" s="242" t="s">
        <v>325</v>
      </c>
      <c r="CH139" s="242" t="s">
        <v>325</v>
      </c>
      <c r="CI139" s="242" t="s">
        <v>325</v>
      </c>
      <c r="CJ139" s="242" t="s">
        <v>325</v>
      </c>
      <c r="CK139" s="242" t="s">
        <v>325</v>
      </c>
      <c r="CL139" s="242" t="s">
        <v>325</v>
      </c>
      <c r="CM139" s="242" t="s">
        <v>325</v>
      </c>
      <c r="CN139" s="242" t="s">
        <v>325</v>
      </c>
      <c r="CO139" s="242" t="s">
        <v>325</v>
      </c>
      <c r="CP139" s="242" t="s">
        <v>325</v>
      </c>
      <c r="CQ139" s="242" t="s">
        <v>325</v>
      </c>
      <c r="CR139" s="242" t="s">
        <v>325</v>
      </c>
      <c r="CS139" s="242" t="s">
        <v>325</v>
      </c>
      <c r="CT139" s="242" t="s">
        <v>325</v>
      </c>
      <c r="CU139" s="242" t="s">
        <v>325</v>
      </c>
      <c r="CV139" s="242" t="s">
        <v>325</v>
      </c>
      <c r="CW139" s="242" t="s">
        <v>325</v>
      </c>
      <c r="CX139" s="242" t="s">
        <v>325</v>
      </c>
      <c r="CY139" s="242" t="s">
        <v>325</v>
      </c>
      <c r="CZ139" s="242" t="s">
        <v>325</v>
      </c>
      <c r="DA139" s="242" t="s">
        <v>325</v>
      </c>
      <c r="DB139" s="242" t="s">
        <v>325</v>
      </c>
      <c r="DC139" s="242" t="s">
        <v>325</v>
      </c>
      <c r="DD139" s="242" t="s">
        <v>325</v>
      </c>
      <c r="DE139" s="242" t="s">
        <v>325</v>
      </c>
      <c r="DF139" s="242" t="s">
        <v>325</v>
      </c>
      <c r="DG139" s="242" t="s">
        <v>325</v>
      </c>
      <c r="DH139" s="242" t="s">
        <v>325</v>
      </c>
      <c r="DI139" s="242" t="s">
        <v>325</v>
      </c>
      <c r="DJ139" s="242" t="s">
        <v>325</v>
      </c>
      <c r="DK139" s="242" t="s">
        <v>325</v>
      </c>
      <c r="DL139" s="242" t="s">
        <v>325</v>
      </c>
      <c r="DM139" s="242" t="s">
        <v>325</v>
      </c>
      <c r="DN139" s="242" t="s">
        <v>325</v>
      </c>
      <c r="DO139" s="242" t="s">
        <v>325</v>
      </c>
      <c r="DP139" s="242" t="s">
        <v>325</v>
      </c>
      <c r="DQ139" s="242" t="s">
        <v>325</v>
      </c>
      <c r="DR139" s="242" t="s">
        <v>325</v>
      </c>
      <c r="DS139" s="242" t="s">
        <v>325</v>
      </c>
      <c r="DT139" s="242" t="s">
        <v>325</v>
      </c>
      <c r="DU139" s="242" t="s">
        <v>325</v>
      </c>
      <c r="DV139" s="242" t="s">
        <v>325</v>
      </c>
      <c r="DW139" s="242" t="s">
        <v>325</v>
      </c>
      <c r="DX139" s="242" t="s">
        <v>325</v>
      </c>
      <c r="DY139" s="242" t="s">
        <v>325</v>
      </c>
      <c r="DZ139" s="242" t="s">
        <v>325</v>
      </c>
      <c r="EA139" s="242" t="s">
        <v>325</v>
      </c>
      <c r="EB139" s="242" t="s">
        <v>325</v>
      </c>
      <c r="EC139" s="242" t="s">
        <v>325</v>
      </c>
      <c r="ED139" s="242" t="s">
        <v>325</v>
      </c>
      <c r="EE139" s="242" t="s">
        <v>325</v>
      </c>
      <c r="EF139" s="242" t="s">
        <v>325</v>
      </c>
      <c r="EG139" s="242" t="s">
        <v>325</v>
      </c>
      <c r="EH139" s="242" t="s">
        <v>325</v>
      </c>
      <c r="EI139" s="242" t="s">
        <v>325</v>
      </c>
      <c r="EJ139" s="242" t="s">
        <v>325</v>
      </c>
      <c r="EK139" s="242" t="s">
        <v>325</v>
      </c>
      <c r="EL139" s="242" t="s">
        <v>325</v>
      </c>
      <c r="EM139" s="242" t="s">
        <v>325</v>
      </c>
      <c r="EN139" s="242" t="s">
        <v>325</v>
      </c>
      <c r="EO139" s="242" t="s">
        <v>325</v>
      </c>
      <c r="EP139" s="242" t="s">
        <v>325</v>
      </c>
      <c r="EQ139" s="242" t="s">
        <v>325</v>
      </c>
      <c r="ER139" s="242" t="s">
        <v>325</v>
      </c>
      <c r="ES139" s="242" t="s">
        <v>325</v>
      </c>
      <c r="ET139" s="242" t="s">
        <v>325</v>
      </c>
      <c r="EU139" s="242" t="s">
        <v>325</v>
      </c>
      <c r="EV139" s="242" t="s">
        <v>325</v>
      </c>
      <c r="EW139" s="242" t="s">
        <v>325</v>
      </c>
      <c r="EX139" s="242" t="s">
        <v>325</v>
      </c>
      <c r="EY139" s="242" t="s">
        <v>325</v>
      </c>
      <c r="EZ139" s="244" t="s">
        <v>120</v>
      </c>
      <c r="FA139" s="242" t="s">
        <v>325</v>
      </c>
      <c r="FB139" s="243" t="s">
        <v>327</v>
      </c>
      <c r="FC139" s="244" t="s">
        <v>120</v>
      </c>
      <c r="FD139" s="243" t="s">
        <v>325</v>
      </c>
      <c r="FE139" s="243" t="s">
        <v>327</v>
      </c>
      <c r="FF139" s="244" t="s">
        <v>120</v>
      </c>
      <c r="FG139" s="244" t="s">
        <v>326</v>
      </c>
      <c r="FH139" s="243" t="s">
        <v>325</v>
      </c>
      <c r="FI139" s="244" t="s">
        <v>325</v>
      </c>
      <c r="FJ139" s="243" t="s">
        <v>325</v>
      </c>
      <c r="FK139" s="243" t="s">
        <v>325</v>
      </c>
      <c r="FL139" s="243" t="s">
        <v>325</v>
      </c>
      <c r="FM139" s="243" t="s">
        <v>325</v>
      </c>
      <c r="FN139" s="242" t="s">
        <v>325</v>
      </c>
      <c r="FO139" s="242" t="s">
        <v>325</v>
      </c>
      <c r="FP139" s="242" t="s">
        <v>325</v>
      </c>
      <c r="FQ139" s="242" t="s">
        <v>325</v>
      </c>
      <c r="FR139" s="242" t="s">
        <v>325</v>
      </c>
      <c r="FS139" s="242" t="s">
        <v>325</v>
      </c>
      <c r="FT139" s="242" t="s">
        <v>325</v>
      </c>
      <c r="FU139" s="242" t="s">
        <v>325</v>
      </c>
      <c r="FV139" s="242" t="s">
        <v>325</v>
      </c>
      <c r="FW139" s="242" t="s">
        <v>325</v>
      </c>
      <c r="FX139" s="242" t="s">
        <v>325</v>
      </c>
      <c r="FY139" s="242" t="s">
        <v>325</v>
      </c>
      <c r="FZ139" s="242" t="s">
        <v>325</v>
      </c>
      <c r="GA139" s="242" t="s">
        <v>325</v>
      </c>
      <c r="GB139" s="242" t="s">
        <v>325</v>
      </c>
      <c r="GC139" s="242" t="s">
        <v>325</v>
      </c>
      <c r="GD139" s="242" t="s">
        <v>325</v>
      </c>
      <c r="GE139" s="242" t="s">
        <v>325</v>
      </c>
      <c r="GF139" s="242" t="s">
        <v>325</v>
      </c>
      <c r="GG139" s="242" t="s">
        <v>325</v>
      </c>
      <c r="GH139" s="242" t="s">
        <v>325</v>
      </c>
      <c r="GI139" s="242" t="s">
        <v>325</v>
      </c>
      <c r="GJ139" s="242" t="s">
        <v>325</v>
      </c>
      <c r="GK139" s="242" t="s">
        <v>325</v>
      </c>
      <c r="GL139" s="242" t="s">
        <v>325</v>
      </c>
      <c r="GM139" s="242" t="s">
        <v>325</v>
      </c>
      <c r="GN139" s="242" t="s">
        <v>325</v>
      </c>
      <c r="GO139" s="242" t="s">
        <v>325</v>
      </c>
      <c r="GP139" s="242" t="s">
        <v>325</v>
      </c>
      <c r="GQ139" s="242" t="s">
        <v>325</v>
      </c>
      <c r="GR139" s="242" t="s">
        <v>325</v>
      </c>
      <c r="GS139" s="242" t="s">
        <v>325</v>
      </c>
      <c r="GT139" s="242" t="s">
        <v>325</v>
      </c>
      <c r="GU139" s="242" t="s">
        <v>325</v>
      </c>
      <c r="GV139" s="242" t="s">
        <v>325</v>
      </c>
      <c r="GW139" s="242" t="s">
        <v>325</v>
      </c>
      <c r="GX139" s="242" t="s">
        <v>325</v>
      </c>
      <c r="GY139" s="242" t="s">
        <v>325</v>
      </c>
      <c r="GZ139" s="242" t="s">
        <v>325</v>
      </c>
      <c r="HA139" s="242" t="s">
        <v>325</v>
      </c>
      <c r="HB139" s="242" t="s">
        <v>325</v>
      </c>
      <c r="HC139" s="242" t="s">
        <v>325</v>
      </c>
      <c r="HD139" s="242" t="s">
        <v>325</v>
      </c>
      <c r="HE139" s="242" t="s">
        <v>325</v>
      </c>
      <c r="HF139" s="244" t="s">
        <v>324</v>
      </c>
    </row>
    <row r="140" spans="1:214" ht="15.6">
      <c r="A140" s="757" t="s">
        <v>16</v>
      </c>
      <c r="B140" s="656" t="s">
        <v>124</v>
      </c>
      <c r="C140" s="817" t="s">
        <v>572</v>
      </c>
      <c r="D140" s="817" t="s">
        <v>572</v>
      </c>
      <c r="E140" s="817" t="s">
        <v>572</v>
      </c>
      <c r="F140" s="817" t="s">
        <v>572</v>
      </c>
      <c r="G140" s="817" t="s">
        <v>572</v>
      </c>
      <c r="H140" s="817" t="s">
        <v>572</v>
      </c>
      <c r="I140" s="817" t="s">
        <v>572</v>
      </c>
      <c r="J140" s="817" t="s">
        <v>572</v>
      </c>
      <c r="K140" s="817" t="s">
        <v>572</v>
      </c>
      <c r="L140" s="817" t="s">
        <v>572</v>
      </c>
      <c r="M140" s="817" t="s">
        <v>572</v>
      </c>
      <c r="N140" s="817" t="s">
        <v>572</v>
      </c>
      <c r="O140" s="817" t="s">
        <v>572</v>
      </c>
      <c r="P140" s="817" t="s">
        <v>572</v>
      </c>
      <c r="Q140" s="817" t="s">
        <v>572</v>
      </c>
      <c r="R140" s="817" t="s">
        <v>572</v>
      </c>
      <c r="S140" s="817" t="s">
        <v>572</v>
      </c>
      <c r="T140" s="821" t="s">
        <v>572</v>
      </c>
      <c r="U140" s="821" t="s">
        <v>599</v>
      </c>
      <c r="V140" s="821" t="s">
        <v>572</v>
      </c>
      <c r="W140" s="820" t="s">
        <v>124</v>
      </c>
      <c r="X140" s="820" t="s">
        <v>124</v>
      </c>
      <c r="Y140" s="820" t="s">
        <v>124</v>
      </c>
      <c r="Z140" s="820" t="s">
        <v>124</v>
      </c>
      <c r="AA140" s="820" t="s">
        <v>124</v>
      </c>
      <c r="AB140" s="820" t="s">
        <v>124</v>
      </c>
      <c r="AC140" s="820" t="s">
        <v>124</v>
      </c>
      <c r="AD140" s="820" t="s">
        <v>124</v>
      </c>
      <c r="AE140" s="820" t="s">
        <v>124</v>
      </c>
      <c r="AF140" s="824" t="s">
        <v>124</v>
      </c>
      <c r="AG140" s="824" t="s">
        <v>124</v>
      </c>
      <c r="AH140" s="824" t="s">
        <v>124</v>
      </c>
      <c r="AI140" s="824" t="s">
        <v>124</v>
      </c>
      <c r="AJ140" s="820" t="s">
        <v>124</v>
      </c>
      <c r="AK140" s="824" t="s">
        <v>124</v>
      </c>
      <c r="AL140" s="820" t="s">
        <v>124</v>
      </c>
      <c r="AM140" s="824" t="s">
        <v>124</v>
      </c>
      <c r="AN140" s="824" t="s">
        <v>124</v>
      </c>
      <c r="AO140" s="824" t="s">
        <v>124</v>
      </c>
      <c r="AP140" s="826" t="s">
        <v>124</v>
      </c>
      <c r="AQ140" s="826" t="s">
        <v>124</v>
      </c>
      <c r="AR140" s="826" t="s">
        <v>124</v>
      </c>
      <c r="AS140" s="826">
        <v>1.9E-2</v>
      </c>
      <c r="AT140" s="825">
        <v>2.7E-2</v>
      </c>
      <c r="AU140" s="234">
        <v>1.95E-2</v>
      </c>
      <c r="AV140" s="234">
        <v>1.95E-2</v>
      </c>
      <c r="AW140" s="234">
        <v>0.02</v>
      </c>
      <c r="AX140" s="234">
        <v>0.02</v>
      </c>
      <c r="AY140" s="234">
        <v>0.02</v>
      </c>
      <c r="AZ140" s="234">
        <v>0.02</v>
      </c>
      <c r="BA140" s="234">
        <v>0.02</v>
      </c>
      <c r="BB140" s="234">
        <v>0.02</v>
      </c>
      <c r="BC140" s="234">
        <v>0.02</v>
      </c>
      <c r="BD140" s="234">
        <v>0.02</v>
      </c>
      <c r="BE140" s="234">
        <v>0.02</v>
      </c>
      <c r="BF140" s="234">
        <v>0.02</v>
      </c>
      <c r="BG140" s="234">
        <v>0.02</v>
      </c>
      <c r="BH140" s="234">
        <v>0.02</v>
      </c>
      <c r="BI140" s="234">
        <v>0.02</v>
      </c>
      <c r="BJ140" s="234">
        <v>0.02</v>
      </c>
      <c r="BK140" s="234">
        <v>0.02</v>
      </c>
      <c r="BL140" s="234">
        <v>0.02</v>
      </c>
      <c r="BM140" s="234">
        <v>0.02</v>
      </c>
      <c r="BN140" s="234">
        <v>0.02</v>
      </c>
      <c r="BO140" s="234">
        <v>0.02</v>
      </c>
      <c r="BP140" s="234">
        <v>0.02</v>
      </c>
      <c r="BQ140" s="234">
        <v>0.02</v>
      </c>
      <c r="BR140" s="234">
        <v>0.02</v>
      </c>
      <c r="BS140" s="234">
        <v>0.02</v>
      </c>
      <c r="BT140" s="234">
        <v>0.02</v>
      </c>
      <c r="BU140" s="234">
        <v>0.02</v>
      </c>
      <c r="BV140" s="234">
        <v>0.02</v>
      </c>
      <c r="BW140" s="234">
        <v>0.02</v>
      </c>
      <c r="BX140" s="234">
        <v>0.02</v>
      </c>
      <c r="BY140" s="234">
        <v>0.02</v>
      </c>
      <c r="BZ140" s="234">
        <v>0.02</v>
      </c>
      <c r="CA140" s="234">
        <v>0.02</v>
      </c>
      <c r="CB140" s="234">
        <v>0.02</v>
      </c>
      <c r="CC140" s="234">
        <v>2.1999999999999999E-2</v>
      </c>
      <c r="CD140" s="234">
        <v>2.1999999999999999E-2</v>
      </c>
      <c r="CE140" s="234">
        <v>2.3E-2</v>
      </c>
      <c r="CF140" s="234">
        <v>2.5000000000000001E-2</v>
      </c>
      <c r="CG140" s="234">
        <v>2.5000000000000001E-2</v>
      </c>
      <c r="CH140" s="234">
        <v>2.5000000000000001E-2</v>
      </c>
      <c r="CI140" s="234">
        <v>2.5000000000000001E-2</v>
      </c>
      <c r="CJ140" s="234">
        <v>2.5000000000000001E-2</v>
      </c>
      <c r="CK140" s="234">
        <v>2.5000000000000001E-2</v>
      </c>
      <c r="CL140" s="234">
        <v>2.5999999999999999E-2</v>
      </c>
      <c r="CM140" s="234">
        <v>2.5999999999999999E-2</v>
      </c>
      <c r="CN140" s="234">
        <v>2.5999999999999999E-2</v>
      </c>
      <c r="CO140" s="234">
        <v>2.5999999999999999E-2</v>
      </c>
      <c r="CP140" s="234">
        <v>2.5999999999999999E-2</v>
      </c>
      <c r="CQ140" s="234">
        <v>2.7E-2</v>
      </c>
      <c r="CR140" s="234">
        <v>2.7E-2</v>
      </c>
      <c r="CS140" s="234">
        <v>2.7E-2</v>
      </c>
      <c r="CT140" s="234">
        <v>2.7E-2</v>
      </c>
      <c r="CU140" s="234">
        <v>2.7E-2</v>
      </c>
      <c r="CV140" s="234">
        <v>2.7E-2</v>
      </c>
      <c r="CW140" s="234">
        <v>2.7E-2</v>
      </c>
      <c r="CX140" s="234">
        <v>2.7E-2</v>
      </c>
      <c r="CY140" s="234">
        <v>2.7E-2</v>
      </c>
      <c r="CZ140" s="234">
        <v>2.7E-2</v>
      </c>
      <c r="DA140" s="234">
        <v>2.7E-2</v>
      </c>
      <c r="DB140" s="234">
        <v>2.7E-2</v>
      </c>
      <c r="DC140" s="234">
        <v>2.7E-2</v>
      </c>
      <c r="DD140" s="234">
        <v>2.7E-2</v>
      </c>
      <c r="DE140" s="234">
        <v>2.7E-2</v>
      </c>
      <c r="DF140" s="234">
        <v>2.7E-2</v>
      </c>
      <c r="DG140" s="234">
        <v>2.7E-2</v>
      </c>
      <c r="DH140" s="234">
        <v>2.7E-2</v>
      </c>
      <c r="DI140" s="234">
        <v>2.7E-2</v>
      </c>
      <c r="DJ140" s="234">
        <v>2.7E-2</v>
      </c>
      <c r="DK140" s="234">
        <v>2.7E-2</v>
      </c>
      <c r="DL140" s="234">
        <v>2.7E-2</v>
      </c>
      <c r="DM140" s="234">
        <v>2.7E-2</v>
      </c>
      <c r="DN140" s="234">
        <v>2.75E-2</v>
      </c>
      <c r="DO140" s="234">
        <v>2.75E-2</v>
      </c>
      <c r="DP140" s="234">
        <v>2.75E-2</v>
      </c>
      <c r="DQ140" s="234">
        <v>2.75E-2</v>
      </c>
      <c r="DR140" s="234">
        <v>2.75E-2</v>
      </c>
      <c r="DS140" s="234">
        <v>2.75E-2</v>
      </c>
      <c r="DT140" s="234">
        <v>2.75E-2</v>
      </c>
      <c r="DU140" s="234">
        <v>2.75E-2</v>
      </c>
      <c r="DV140" s="234">
        <v>2.75E-2</v>
      </c>
      <c r="DW140" s="234">
        <v>2.75E-2</v>
      </c>
      <c r="DX140" s="234">
        <v>2.75E-2</v>
      </c>
      <c r="DY140" s="234">
        <v>2.8000000000000001E-2</v>
      </c>
      <c r="DZ140" s="234">
        <v>2.8000000000000001E-2</v>
      </c>
      <c r="EA140" s="234">
        <v>2.8000000000000001E-2</v>
      </c>
      <c r="EB140" s="234">
        <v>2.8000000000000001E-2</v>
      </c>
      <c r="EC140" s="234">
        <v>2.8000000000000001E-2</v>
      </c>
      <c r="ED140" s="234">
        <v>2.8000000000000001E-2</v>
      </c>
      <c r="EE140" s="234">
        <v>2.8000000000000001E-2</v>
      </c>
      <c r="EF140" s="234">
        <v>2.8000000000000001E-2</v>
      </c>
      <c r="EG140" s="234">
        <v>2.8000000000000001E-2</v>
      </c>
      <c r="EH140" s="234">
        <v>2.8000000000000001E-2</v>
      </c>
      <c r="EI140" s="234">
        <v>2.8000000000000001E-2</v>
      </c>
      <c r="EJ140" s="234">
        <v>2.8000000000000001E-2</v>
      </c>
      <c r="EK140" s="234">
        <v>2.8000000000000001E-2</v>
      </c>
      <c r="EL140" s="234">
        <v>2.8000000000000001E-2</v>
      </c>
      <c r="EM140" s="234">
        <v>2.8000000000000001E-2</v>
      </c>
      <c r="EN140" s="234">
        <v>2.8000000000000001E-2</v>
      </c>
      <c r="EO140" s="234">
        <v>2.8000000000000001E-2</v>
      </c>
      <c r="EP140" s="234">
        <v>2.9499999999999998E-2</v>
      </c>
      <c r="EQ140" s="234">
        <v>3.0499999999999999E-2</v>
      </c>
      <c r="ER140" s="234">
        <v>3.0499999999999999E-2</v>
      </c>
      <c r="ES140" s="234">
        <v>3.0499999999999999E-2</v>
      </c>
      <c r="ET140" s="234">
        <v>3.1E-2</v>
      </c>
      <c r="EU140" s="234">
        <v>3.1E-2</v>
      </c>
      <c r="EV140" s="234">
        <v>3.15E-2</v>
      </c>
      <c r="EW140" s="234">
        <v>3.15E-2</v>
      </c>
      <c r="EX140" s="234">
        <v>3.15E-2</v>
      </c>
      <c r="EY140" s="234">
        <v>3.2000000000000001E-2</v>
      </c>
      <c r="EZ140" s="239" t="s">
        <v>323</v>
      </c>
      <c r="FA140" s="241"/>
      <c r="FB140" s="243"/>
      <c r="FC140" s="244"/>
      <c r="FD140" s="243"/>
      <c r="FE140" s="243"/>
      <c r="FF140" s="244"/>
      <c r="FG140" s="244"/>
      <c r="FH140" s="243"/>
      <c r="FI140" s="244"/>
      <c r="FJ140" s="243"/>
      <c r="FK140" s="243"/>
      <c r="FL140" s="243"/>
      <c r="FM140" s="243"/>
      <c r="FN140" s="242"/>
      <c r="FO140" s="242"/>
      <c r="FP140" s="242"/>
      <c r="FQ140" s="242"/>
      <c r="FR140" s="242"/>
      <c r="FS140" s="241"/>
      <c r="FT140" s="242"/>
      <c r="FU140" s="241"/>
      <c r="FV140" s="241"/>
      <c r="FW140" s="241"/>
      <c r="FX140" s="241"/>
      <c r="FY140" s="234">
        <v>2.7E-2</v>
      </c>
      <c r="FZ140" s="234">
        <v>3.5000000000000003E-2</v>
      </c>
      <c r="GA140" s="234">
        <v>3.5000000000000003E-2</v>
      </c>
      <c r="GB140" s="234">
        <v>3.5000000000000003E-2</v>
      </c>
      <c r="GC140" s="234">
        <v>3.5000000000000003E-2</v>
      </c>
      <c r="GD140" s="234">
        <v>3.5999999999999997E-2</v>
      </c>
      <c r="GE140" s="234">
        <v>3.5999999999999997E-2</v>
      </c>
      <c r="GF140" s="234">
        <v>3.6999999999999998E-2</v>
      </c>
      <c r="GG140" s="234">
        <v>3.7999999999999999E-2</v>
      </c>
      <c r="GH140" s="234">
        <v>3.85E-2</v>
      </c>
      <c r="GI140" s="234">
        <v>3.9E-2</v>
      </c>
      <c r="GJ140" s="234">
        <v>0.04</v>
      </c>
      <c r="GK140" s="234">
        <v>0.04</v>
      </c>
      <c r="GL140" s="234">
        <v>0.04</v>
      </c>
      <c r="GM140" s="234">
        <v>0.04</v>
      </c>
      <c r="GN140" s="234">
        <v>0.04</v>
      </c>
      <c r="GO140" s="234">
        <v>3.85E-2</v>
      </c>
      <c r="GP140" s="234">
        <v>3.85E-2</v>
      </c>
      <c r="GQ140" s="234">
        <v>3.7999999999999999E-2</v>
      </c>
      <c r="GR140" s="234">
        <v>3.4500000000000003E-2</v>
      </c>
      <c r="GS140" s="234">
        <v>3.4500000000000003E-2</v>
      </c>
      <c r="GT140" s="234">
        <v>3.4000000000000002E-2</v>
      </c>
      <c r="GU140" s="234">
        <v>3.4000000000000002E-2</v>
      </c>
      <c r="GV140" s="234">
        <v>3.1E-2</v>
      </c>
      <c r="GW140" s="234">
        <v>2.9499999999999998E-2</v>
      </c>
      <c r="GX140" s="234">
        <v>2.8500000000000001E-2</v>
      </c>
      <c r="GY140" s="234">
        <v>2.8000000000000001E-2</v>
      </c>
      <c r="GZ140" s="234">
        <v>2.8000000000000001E-2</v>
      </c>
      <c r="HA140" s="234">
        <v>2.7E-2</v>
      </c>
      <c r="HB140" s="234">
        <v>3.5000000000000003E-2</v>
      </c>
      <c r="HC140" s="234">
        <v>3.2000000000000001E-2</v>
      </c>
      <c r="HD140" s="234">
        <v>3.2500000000000001E-2</v>
      </c>
      <c r="HE140" s="234">
        <v>3.4500000000000003E-2</v>
      </c>
      <c r="HF140" s="330" t="s">
        <v>124</v>
      </c>
    </row>
    <row r="141" spans="1:214">
      <c r="A141" s="755"/>
      <c r="B141" s="280" t="s">
        <v>124</v>
      </c>
      <c r="C141" s="818"/>
      <c r="D141" s="818"/>
      <c r="E141" s="818"/>
      <c r="F141" s="818"/>
      <c r="G141" s="818"/>
      <c r="H141" s="818"/>
      <c r="I141" s="818"/>
      <c r="J141" s="818"/>
      <c r="K141" s="818"/>
      <c r="L141" s="818"/>
      <c r="M141" s="818"/>
      <c r="N141" s="818"/>
      <c r="O141" s="818"/>
      <c r="P141" s="818"/>
      <c r="Q141" s="818"/>
      <c r="R141" s="818"/>
      <c r="S141" s="818"/>
      <c r="T141" s="822"/>
      <c r="U141" s="822"/>
      <c r="V141" s="822"/>
      <c r="W141" s="573"/>
      <c r="X141" s="573"/>
      <c r="Y141" s="573"/>
      <c r="Z141" s="573"/>
      <c r="AA141" s="573"/>
      <c r="AB141" s="573"/>
      <c r="AC141" s="573"/>
      <c r="AD141" s="573"/>
      <c r="AE141" s="573"/>
      <c r="AF141" s="575"/>
      <c r="AG141" s="575"/>
      <c r="AH141" s="575"/>
      <c r="AI141" s="575"/>
      <c r="AJ141" s="573"/>
      <c r="AK141" s="575"/>
      <c r="AL141" s="573"/>
      <c r="AM141" s="575"/>
      <c r="AN141" s="575"/>
      <c r="AO141" s="575"/>
      <c r="AP141" s="577"/>
      <c r="AQ141" s="577"/>
      <c r="AR141" s="577"/>
      <c r="AS141" s="577"/>
      <c r="AT141" s="576"/>
      <c r="AU141" s="827"/>
      <c r="AV141" s="827"/>
      <c r="AW141" s="827"/>
      <c r="AX141" s="827"/>
      <c r="AY141" s="827"/>
      <c r="AZ141" s="827"/>
      <c r="BA141" s="827"/>
      <c r="BB141" s="827"/>
      <c r="BC141" s="827"/>
      <c r="BD141" s="827"/>
      <c r="BE141" s="827"/>
      <c r="BF141" s="827"/>
      <c r="BG141" s="827"/>
      <c r="BH141" s="827"/>
      <c r="BI141" s="827"/>
      <c r="BJ141" s="827"/>
      <c r="BK141" s="827"/>
      <c r="BL141" s="827"/>
      <c r="BM141" s="827"/>
      <c r="BN141" s="827"/>
      <c r="BO141" s="827"/>
      <c r="BP141" s="827"/>
      <c r="BQ141" s="827"/>
      <c r="BR141" s="827"/>
      <c r="BS141" s="827"/>
      <c r="BT141" s="827"/>
      <c r="BU141" s="827"/>
      <c r="BV141" s="827"/>
      <c r="BW141" s="827"/>
      <c r="BX141" s="827"/>
      <c r="BY141" s="827"/>
      <c r="BZ141" s="827"/>
      <c r="CA141" s="827"/>
      <c r="CB141" s="827"/>
      <c r="CC141" s="827"/>
      <c r="CD141" s="827"/>
      <c r="CE141" s="827"/>
      <c r="CF141" s="827"/>
      <c r="CG141" s="827"/>
      <c r="CH141" s="827"/>
      <c r="CI141" s="827"/>
      <c r="CJ141" s="827"/>
      <c r="CK141" s="827"/>
      <c r="CL141" s="827"/>
      <c r="CM141" s="827"/>
      <c r="CN141" s="827"/>
      <c r="CO141" s="827"/>
      <c r="CP141" s="827"/>
      <c r="CQ141" s="827"/>
      <c r="CR141" s="827"/>
      <c r="CS141" s="827"/>
      <c r="CT141" s="827"/>
      <c r="CU141" s="827"/>
      <c r="CV141" s="827"/>
      <c r="CW141" s="827"/>
      <c r="CX141" s="827"/>
      <c r="CY141" s="827"/>
      <c r="CZ141" s="827"/>
      <c r="DA141" s="827"/>
      <c r="DB141" s="827"/>
      <c r="DC141" s="827"/>
      <c r="DD141" s="827"/>
      <c r="DE141" s="827"/>
      <c r="DF141" s="827"/>
      <c r="DG141" s="827"/>
      <c r="DH141" s="827"/>
      <c r="DI141" s="827"/>
      <c r="DJ141" s="827"/>
      <c r="DK141" s="827"/>
      <c r="DL141" s="827"/>
      <c r="DM141" s="827"/>
      <c r="DN141" s="827"/>
      <c r="DO141" s="827"/>
      <c r="DP141" s="827"/>
      <c r="DQ141" s="827"/>
      <c r="DR141" s="827"/>
      <c r="DS141" s="827"/>
      <c r="DT141" s="827"/>
      <c r="DU141" s="827"/>
      <c r="DV141" s="827"/>
      <c r="DW141" s="827"/>
      <c r="DX141" s="827"/>
      <c r="DY141" s="827"/>
      <c r="DZ141" s="827"/>
      <c r="EA141" s="827"/>
      <c r="EB141" s="827"/>
      <c r="EC141" s="827"/>
      <c r="ED141" s="827"/>
      <c r="EE141" s="827"/>
      <c r="EF141" s="827"/>
      <c r="EG141" s="827"/>
      <c r="EH141" s="827"/>
      <c r="EI141" s="827"/>
      <c r="EJ141" s="827"/>
      <c r="EK141" s="827"/>
      <c r="EL141" s="827"/>
      <c r="EM141" s="827"/>
      <c r="EN141" s="827"/>
      <c r="EO141" s="827"/>
      <c r="EP141" s="827"/>
      <c r="EQ141" s="827"/>
      <c r="ER141" s="827"/>
      <c r="ES141" s="827"/>
      <c r="ET141" s="827"/>
      <c r="EU141" s="827"/>
      <c r="EV141" s="827"/>
      <c r="EW141" s="827"/>
      <c r="EX141" s="827"/>
      <c r="EY141" s="827"/>
      <c r="EZ141" s="239" t="s">
        <v>306</v>
      </c>
      <c r="FA141" s="234">
        <v>2.5499999999999998E-2</v>
      </c>
      <c r="FB141" s="238">
        <v>2.5499999999999998E-2</v>
      </c>
      <c r="FC141" s="231" t="s">
        <v>261</v>
      </c>
      <c r="FD141" s="236">
        <v>8.9999999999999993E-3</v>
      </c>
      <c r="FE141" s="238">
        <v>8.9999999999999993E-3</v>
      </c>
      <c r="FF141" s="237" t="s">
        <v>322</v>
      </c>
      <c r="FG141" s="231" t="s">
        <v>321</v>
      </c>
      <c r="FH141" s="236">
        <v>5.4999999999999997E-3</v>
      </c>
      <c r="FI141" s="236">
        <v>5.4999999999999997E-3</v>
      </c>
      <c r="FJ141" s="236">
        <v>8.9999999999999993E-3</v>
      </c>
      <c r="FK141" s="236">
        <v>5.4999999999999997E-3</v>
      </c>
      <c r="FL141" s="236">
        <v>8.9999999999999993E-3</v>
      </c>
      <c r="FM141" s="236">
        <v>8.9999999999999993E-3</v>
      </c>
      <c r="FN141" s="235">
        <v>8.9999999999999993E-3</v>
      </c>
      <c r="FO141" s="235">
        <v>8.9999999999999993E-3</v>
      </c>
      <c r="FP141" s="235">
        <v>1.2E-2</v>
      </c>
      <c r="FQ141" s="235">
        <v>1.2999999999999999E-2</v>
      </c>
      <c r="FR141" s="235">
        <v>1.2999999999999999E-2</v>
      </c>
      <c r="FS141" s="234">
        <v>2.2499999999999999E-2</v>
      </c>
      <c r="FT141" s="235">
        <v>1.2999999999999999E-2</v>
      </c>
      <c r="FU141" s="234">
        <v>2.3E-2</v>
      </c>
      <c r="FV141" s="234">
        <v>2.3E-2</v>
      </c>
      <c r="FW141" s="234">
        <v>2.4500000000000001E-2</v>
      </c>
      <c r="FX141" s="234">
        <v>2.4500000000000001E-2</v>
      </c>
      <c r="FY141" s="827"/>
      <c r="FZ141" s="827"/>
      <c r="GA141" s="827"/>
      <c r="GB141" s="827"/>
      <c r="GC141" s="827"/>
      <c r="GD141" s="827"/>
      <c r="GE141" s="827"/>
      <c r="GF141" s="827"/>
      <c r="GG141" s="827"/>
      <c r="GH141" s="827"/>
      <c r="GI141" s="827"/>
      <c r="GJ141" s="827"/>
      <c r="GK141" s="827"/>
      <c r="GL141" s="827"/>
      <c r="GM141" s="827"/>
      <c r="GN141" s="827"/>
      <c r="GO141" s="827"/>
      <c r="GP141" s="827"/>
      <c r="GQ141" s="827"/>
      <c r="GR141" s="827"/>
      <c r="GS141" s="827"/>
      <c r="GT141" s="827"/>
      <c r="GU141" s="827"/>
      <c r="GV141" s="827"/>
      <c r="GW141" s="827"/>
      <c r="GX141" s="827"/>
      <c r="GY141" s="827"/>
      <c r="GZ141" s="827"/>
      <c r="HA141" s="827"/>
      <c r="HB141" s="827"/>
      <c r="HC141" s="827"/>
      <c r="HD141" s="827"/>
      <c r="HE141" s="827"/>
      <c r="HF141" s="829"/>
    </row>
    <row r="142" spans="1:214" ht="15" customHeight="1">
      <c r="A142" s="756" t="s">
        <v>37</v>
      </c>
      <c r="B142" s="837">
        <v>2.3E-2</v>
      </c>
      <c r="C142" s="276" t="s">
        <v>572</v>
      </c>
      <c r="D142" s="276" t="s">
        <v>572</v>
      </c>
      <c r="E142" s="276" t="s">
        <v>572</v>
      </c>
      <c r="F142" s="276" t="s">
        <v>572</v>
      </c>
      <c r="G142" s="276" t="s">
        <v>572</v>
      </c>
      <c r="H142" s="276" t="s">
        <v>572</v>
      </c>
      <c r="I142" s="276" t="s">
        <v>572</v>
      </c>
      <c r="J142" s="276" t="s">
        <v>572</v>
      </c>
      <c r="K142" s="276" t="s">
        <v>572</v>
      </c>
      <c r="L142" s="276" t="s">
        <v>572</v>
      </c>
      <c r="M142" s="276" t="s">
        <v>572</v>
      </c>
      <c r="N142" s="276" t="s">
        <v>572</v>
      </c>
      <c r="O142" s="276" t="s">
        <v>572</v>
      </c>
      <c r="P142" s="276" t="s">
        <v>572</v>
      </c>
      <c r="Q142" s="276" t="s">
        <v>572</v>
      </c>
      <c r="R142" s="276" t="s">
        <v>572</v>
      </c>
      <c r="S142" s="276" t="s">
        <v>572</v>
      </c>
      <c r="T142" s="233" t="s">
        <v>572</v>
      </c>
      <c r="U142" s="233" t="s">
        <v>599</v>
      </c>
      <c r="V142" s="233" t="s">
        <v>572</v>
      </c>
      <c r="W142" s="820" t="s">
        <v>124</v>
      </c>
      <c r="X142" s="820" t="s">
        <v>124</v>
      </c>
      <c r="Y142" s="820" t="s">
        <v>124</v>
      </c>
      <c r="Z142" s="820" t="s">
        <v>124</v>
      </c>
      <c r="AA142" s="820" t="s">
        <v>124</v>
      </c>
      <c r="AB142" s="820" t="s">
        <v>124</v>
      </c>
      <c r="AC142" s="820" t="s">
        <v>124</v>
      </c>
      <c r="AD142" s="820" t="s">
        <v>124</v>
      </c>
      <c r="AE142" s="820" t="s">
        <v>124</v>
      </c>
      <c r="AF142" s="824" t="s">
        <v>124</v>
      </c>
      <c r="AG142" s="824" t="s">
        <v>124</v>
      </c>
      <c r="AH142" s="824" t="s">
        <v>124</v>
      </c>
      <c r="AI142" s="824" t="s">
        <v>124</v>
      </c>
      <c r="AJ142" s="820" t="s">
        <v>124</v>
      </c>
      <c r="AK142" s="824" t="s">
        <v>124</v>
      </c>
      <c r="AL142" s="820" t="s">
        <v>124</v>
      </c>
      <c r="AM142" s="824" t="s">
        <v>124</v>
      </c>
      <c r="AN142" s="824" t="s">
        <v>124</v>
      </c>
      <c r="AO142" s="824" t="s">
        <v>124</v>
      </c>
      <c r="AP142" s="826" t="s">
        <v>124</v>
      </c>
      <c r="AQ142" s="826" t="s">
        <v>124</v>
      </c>
      <c r="AR142" s="826" t="s">
        <v>124</v>
      </c>
      <c r="AS142" s="826" t="s">
        <v>124</v>
      </c>
      <c r="AT142" s="826" t="s">
        <v>124</v>
      </c>
      <c r="AU142" s="826" t="s">
        <v>124</v>
      </c>
      <c r="AV142" s="826" t="s">
        <v>124</v>
      </c>
      <c r="AW142" s="826" t="s">
        <v>124</v>
      </c>
      <c r="AX142" s="826" t="s">
        <v>124</v>
      </c>
      <c r="AY142" s="826" t="s">
        <v>124</v>
      </c>
      <c r="AZ142" s="826" t="s">
        <v>124</v>
      </c>
      <c r="BA142" s="826" t="s">
        <v>124</v>
      </c>
      <c r="BB142" s="826" t="s">
        <v>124</v>
      </c>
      <c r="BC142" s="826" t="s">
        <v>124</v>
      </c>
      <c r="BD142" s="826" t="s">
        <v>124</v>
      </c>
      <c r="BE142" s="826" t="s">
        <v>124</v>
      </c>
      <c r="BF142" s="826" t="s">
        <v>124</v>
      </c>
      <c r="BG142" s="826" t="s">
        <v>124</v>
      </c>
      <c r="BH142" s="826" t="s">
        <v>124</v>
      </c>
      <c r="BI142" s="826" t="s">
        <v>124</v>
      </c>
      <c r="BJ142" s="826" t="s">
        <v>124</v>
      </c>
      <c r="BK142" s="826" t="s">
        <v>124</v>
      </c>
      <c r="BL142" s="826" t="s">
        <v>124</v>
      </c>
      <c r="BM142" s="826" t="s">
        <v>124</v>
      </c>
      <c r="BN142" s="826" t="s">
        <v>124</v>
      </c>
      <c r="BO142" s="826" t="s">
        <v>124</v>
      </c>
      <c r="BP142" s="826" t="s">
        <v>124</v>
      </c>
      <c r="BQ142" s="826" t="s">
        <v>124</v>
      </c>
      <c r="BR142" s="826" t="s">
        <v>124</v>
      </c>
      <c r="BS142" s="826" t="s">
        <v>124</v>
      </c>
      <c r="BT142" s="826" t="s">
        <v>124</v>
      </c>
      <c r="BU142" s="826" t="s">
        <v>124</v>
      </c>
      <c r="BV142" s="826" t="s">
        <v>124</v>
      </c>
      <c r="BW142" s="826" t="s">
        <v>124</v>
      </c>
      <c r="BX142" s="826" t="s">
        <v>124</v>
      </c>
      <c r="BY142" s="826" t="s">
        <v>124</v>
      </c>
      <c r="BZ142" s="826" t="s">
        <v>124</v>
      </c>
      <c r="CA142" s="826" t="s">
        <v>124</v>
      </c>
      <c r="CB142" s="826" t="s">
        <v>124</v>
      </c>
      <c r="CC142" s="826" t="s">
        <v>320</v>
      </c>
      <c r="CD142" s="826" t="s">
        <v>320</v>
      </c>
      <c r="CE142" s="826" t="s">
        <v>320</v>
      </c>
      <c r="CF142" s="826" t="s">
        <v>320</v>
      </c>
      <c r="CG142" s="826" t="s">
        <v>320</v>
      </c>
      <c r="CH142" s="826" t="s">
        <v>320</v>
      </c>
      <c r="CI142" s="826" t="s">
        <v>320</v>
      </c>
      <c r="CJ142" s="826" t="s">
        <v>320</v>
      </c>
      <c r="CK142" s="826" t="s">
        <v>320</v>
      </c>
      <c r="CL142" s="826" t="s">
        <v>320</v>
      </c>
      <c r="CM142" s="826" t="s">
        <v>320</v>
      </c>
      <c r="CN142" s="826" t="s">
        <v>320</v>
      </c>
      <c r="CO142" s="826" t="s">
        <v>320</v>
      </c>
      <c r="CP142" s="826" t="s">
        <v>320</v>
      </c>
      <c r="CQ142" s="826" t="s">
        <v>320</v>
      </c>
      <c r="CR142" s="826" t="s">
        <v>320</v>
      </c>
      <c r="CS142" s="826" t="s">
        <v>320</v>
      </c>
      <c r="CT142" s="826" t="s">
        <v>320</v>
      </c>
      <c r="CU142" s="826" t="s">
        <v>320</v>
      </c>
      <c r="CV142" s="826" t="s">
        <v>320</v>
      </c>
      <c r="CW142" s="826" t="s">
        <v>320</v>
      </c>
      <c r="CX142" s="826" t="s">
        <v>320</v>
      </c>
      <c r="CY142" s="826" t="s">
        <v>320</v>
      </c>
      <c r="CZ142" s="826" t="s">
        <v>320</v>
      </c>
      <c r="DA142" s="826" t="s">
        <v>320</v>
      </c>
      <c r="DB142" s="826" t="s">
        <v>320</v>
      </c>
      <c r="DC142" s="826" t="s">
        <v>320</v>
      </c>
      <c r="DD142" s="826" t="s">
        <v>320</v>
      </c>
      <c r="DE142" s="826" t="s">
        <v>320</v>
      </c>
      <c r="DF142" s="826" t="s">
        <v>320</v>
      </c>
      <c r="DG142" s="826" t="s">
        <v>319</v>
      </c>
      <c r="DH142" s="826" t="s">
        <v>319</v>
      </c>
      <c r="DI142" s="826" t="s">
        <v>319</v>
      </c>
      <c r="DJ142" s="826" t="s">
        <v>319</v>
      </c>
      <c r="DK142" s="826" t="s">
        <v>319</v>
      </c>
      <c r="DL142" s="826" t="s">
        <v>319</v>
      </c>
      <c r="DM142" s="826" t="s">
        <v>319</v>
      </c>
      <c r="DN142" s="826" t="s">
        <v>319</v>
      </c>
      <c r="DO142" s="826" t="s">
        <v>319</v>
      </c>
      <c r="DP142" s="826" t="s">
        <v>319</v>
      </c>
      <c r="DQ142" s="826" t="s">
        <v>319</v>
      </c>
      <c r="DR142" s="826" t="s">
        <v>319</v>
      </c>
      <c r="DS142" s="826" t="s">
        <v>318</v>
      </c>
      <c r="DT142" s="826" t="s">
        <v>318</v>
      </c>
      <c r="DU142" s="826" t="s">
        <v>318</v>
      </c>
      <c r="DV142" s="826" t="s">
        <v>318</v>
      </c>
      <c r="DW142" s="826" t="s">
        <v>317</v>
      </c>
      <c r="DX142" s="826" t="s">
        <v>317</v>
      </c>
      <c r="DY142" s="826" t="s">
        <v>317</v>
      </c>
      <c r="DZ142" s="224">
        <v>2.5999999999999999E-2</v>
      </c>
      <c r="EA142" s="224">
        <v>2.5999999999999999E-2</v>
      </c>
      <c r="EB142" s="224">
        <v>2.5999999999999999E-2</v>
      </c>
      <c r="EC142" s="224">
        <v>2.75E-2</v>
      </c>
      <c r="ED142" s="224">
        <v>2.75E-2</v>
      </c>
      <c r="EE142" s="224">
        <v>2.75E-2</v>
      </c>
      <c r="EF142" s="224">
        <v>2.75E-2</v>
      </c>
      <c r="EG142" s="224">
        <v>2.75E-2</v>
      </c>
      <c r="EH142" s="224">
        <v>2.75E-2</v>
      </c>
      <c r="EI142" s="224">
        <v>2.75E-2</v>
      </c>
      <c r="EJ142" s="224">
        <v>2.75E-2</v>
      </c>
      <c r="EK142" s="224">
        <v>2.75E-2</v>
      </c>
      <c r="EL142" s="224">
        <v>2.75E-2</v>
      </c>
      <c r="EM142" s="224">
        <v>2.75E-2</v>
      </c>
      <c r="EN142" s="224">
        <v>2.75E-2</v>
      </c>
      <c r="EO142" s="224">
        <v>2.75E-2</v>
      </c>
      <c r="EP142" s="224">
        <v>2.75E-2</v>
      </c>
      <c r="EQ142" s="224">
        <v>2.75E-2</v>
      </c>
      <c r="ER142" s="224">
        <v>2.75E-2</v>
      </c>
      <c r="ES142" s="224">
        <v>0.03</v>
      </c>
      <c r="ET142" s="224">
        <v>0.03</v>
      </c>
      <c r="EU142" s="224">
        <v>0.03</v>
      </c>
      <c r="EV142" s="224">
        <v>0.03</v>
      </c>
      <c r="EW142" s="224">
        <v>0.03</v>
      </c>
      <c r="EX142" s="224">
        <v>0.03</v>
      </c>
      <c r="EY142" s="256">
        <v>3.3000000000000002E-2</v>
      </c>
      <c r="EZ142" s="231" t="s">
        <v>281</v>
      </c>
      <c r="FA142" s="226">
        <v>4.0000000000000001E-3</v>
      </c>
      <c r="FB142" s="230" t="s">
        <v>124</v>
      </c>
      <c r="FC142" s="228" t="s">
        <v>281</v>
      </c>
      <c r="FD142" s="227">
        <v>2.5000000000000001E-3</v>
      </c>
      <c r="FE142" s="230">
        <v>2.5000000000000001E-3</v>
      </c>
      <c r="FF142" s="229" t="s">
        <v>316</v>
      </c>
      <c r="FG142" s="228"/>
      <c r="FH142" s="227">
        <v>2.5000000000000001E-3</v>
      </c>
      <c r="FI142" s="227">
        <v>2.5000000000000001E-3</v>
      </c>
      <c r="FJ142" s="227">
        <v>2.5000000000000001E-3</v>
      </c>
      <c r="FK142" s="227">
        <v>2.5000000000000001E-3</v>
      </c>
      <c r="FL142" s="227">
        <v>2.5000000000000001E-3</v>
      </c>
      <c r="FM142" s="227">
        <v>2.5000000000000001E-3</v>
      </c>
      <c r="FN142" s="226">
        <v>2.5000000000000001E-3</v>
      </c>
      <c r="FO142" s="226">
        <v>2.5000000000000001E-3</v>
      </c>
      <c r="FP142" s="226">
        <v>2.5000000000000001E-3</v>
      </c>
      <c r="FQ142" s="226">
        <v>2.5000000000000001E-3</v>
      </c>
      <c r="FR142" s="226">
        <v>2.5000000000000001E-3</v>
      </c>
      <c r="FS142" s="226">
        <v>1.9E-2</v>
      </c>
      <c r="FT142" s="226">
        <v>2.5000000000000001E-3</v>
      </c>
      <c r="FU142" s="226">
        <v>4.0000000000000001E-3</v>
      </c>
      <c r="FV142" s="226">
        <v>1.9E-2</v>
      </c>
      <c r="FW142" s="226">
        <v>4.0000000000000001E-3</v>
      </c>
      <c r="FX142" s="226">
        <v>4.0000000000000001E-3</v>
      </c>
      <c r="FY142" s="225" t="s">
        <v>124</v>
      </c>
      <c r="FZ142" s="224">
        <v>0.03</v>
      </c>
      <c r="GA142" s="224">
        <v>0.03</v>
      </c>
      <c r="GB142" s="224">
        <v>0.03</v>
      </c>
      <c r="GC142" s="224">
        <v>0.03</v>
      </c>
      <c r="GD142" s="224">
        <v>0.03</v>
      </c>
      <c r="GE142" s="224">
        <v>0.03</v>
      </c>
      <c r="GF142" s="224">
        <v>3.7999999999999999E-2</v>
      </c>
      <c r="GG142" s="224">
        <v>3.7999999999999999E-2</v>
      </c>
      <c r="GH142" s="224">
        <v>3.7999999999999999E-2</v>
      </c>
      <c r="GI142" s="224">
        <v>3.7999999999999999E-2</v>
      </c>
      <c r="GJ142" s="224">
        <v>3.7999999999999999E-2</v>
      </c>
      <c r="GK142" s="224">
        <v>3.7999999999999999E-2</v>
      </c>
      <c r="GL142" s="224">
        <v>3.7999999999999999E-2</v>
      </c>
      <c r="GM142" s="224">
        <v>3.7999999999999999E-2</v>
      </c>
      <c r="GN142" s="224">
        <v>3.7999999999999999E-2</v>
      </c>
      <c r="GO142" s="224">
        <v>3.7999999999999999E-2</v>
      </c>
      <c r="GP142" s="224">
        <v>3.2000000000000001E-2</v>
      </c>
      <c r="GQ142" s="224">
        <v>3.2000000000000001E-2</v>
      </c>
      <c r="GR142" s="224">
        <v>3.2000000000000001E-2</v>
      </c>
      <c r="GS142" s="224">
        <v>3.2000000000000001E-2</v>
      </c>
      <c r="GT142" s="224">
        <v>3.2000000000000001E-2</v>
      </c>
      <c r="GU142" s="224">
        <v>3.2000000000000001E-2</v>
      </c>
      <c r="GV142" s="224">
        <v>3.2000000000000001E-2</v>
      </c>
      <c r="GW142" s="225" t="s">
        <v>124</v>
      </c>
      <c r="GX142" s="224">
        <v>2.4E-2</v>
      </c>
      <c r="GY142" s="225">
        <v>2.4E-2</v>
      </c>
      <c r="GZ142" s="225">
        <v>2.4E-2</v>
      </c>
      <c r="HA142" s="225">
        <v>2.4E-2</v>
      </c>
      <c r="HB142" s="224">
        <v>0.03</v>
      </c>
      <c r="HC142" s="224">
        <v>0.03</v>
      </c>
      <c r="HD142" s="224">
        <v>0.03</v>
      </c>
      <c r="HE142" s="224">
        <v>0.03</v>
      </c>
      <c r="HF142" s="330" t="s">
        <v>124</v>
      </c>
    </row>
    <row r="143" spans="1:214" ht="27.6">
      <c r="A143" s="756"/>
      <c r="B143" s="838" t="s">
        <v>315</v>
      </c>
      <c r="C143" s="819"/>
      <c r="D143" s="819"/>
      <c r="E143" s="819"/>
      <c r="F143" s="819"/>
      <c r="G143" s="819"/>
      <c r="H143" s="819"/>
      <c r="I143" s="819"/>
      <c r="J143" s="819"/>
      <c r="K143" s="819"/>
      <c r="L143" s="819"/>
      <c r="M143" s="819"/>
      <c r="N143" s="819"/>
      <c r="O143" s="819"/>
      <c r="P143" s="819"/>
      <c r="Q143" s="819"/>
      <c r="R143" s="819"/>
      <c r="S143" s="819"/>
      <c r="T143" s="823"/>
      <c r="U143" s="823"/>
      <c r="V143" s="823"/>
      <c r="W143" s="819"/>
      <c r="X143" s="819"/>
      <c r="Y143" s="819"/>
      <c r="Z143" s="819"/>
      <c r="AA143" s="819"/>
      <c r="AB143" s="819"/>
      <c r="AC143" s="819"/>
      <c r="AD143" s="819"/>
      <c r="AE143" s="819"/>
      <c r="AF143" s="823"/>
      <c r="AG143" s="823"/>
      <c r="AH143" s="823"/>
      <c r="AI143" s="823"/>
      <c r="AJ143" s="819"/>
      <c r="AK143" s="823"/>
      <c r="AL143" s="819"/>
      <c r="AM143" s="823"/>
      <c r="AN143" s="823"/>
      <c r="AO143" s="823"/>
      <c r="AP143" s="828"/>
      <c r="AQ143" s="828"/>
      <c r="AR143" s="828"/>
      <c r="AS143" s="828"/>
      <c r="AT143" s="828"/>
      <c r="AU143" s="828"/>
      <c r="AV143" s="828"/>
      <c r="AW143" s="828"/>
      <c r="AX143" s="828"/>
      <c r="AY143" s="828"/>
      <c r="AZ143" s="828"/>
      <c r="BA143" s="828"/>
      <c r="BB143" s="828"/>
      <c r="BC143" s="828"/>
      <c r="BD143" s="828"/>
      <c r="BE143" s="828"/>
      <c r="BF143" s="828"/>
      <c r="BG143" s="828"/>
      <c r="BH143" s="828"/>
      <c r="BI143" s="828"/>
      <c r="BJ143" s="828"/>
      <c r="BK143" s="828"/>
      <c r="BL143" s="828"/>
      <c r="BM143" s="828"/>
      <c r="BN143" s="828"/>
      <c r="BO143" s="828"/>
      <c r="BP143" s="828"/>
      <c r="BQ143" s="828"/>
      <c r="BR143" s="828"/>
      <c r="BS143" s="828"/>
      <c r="BT143" s="828"/>
      <c r="BU143" s="828"/>
      <c r="BV143" s="828"/>
      <c r="BW143" s="828"/>
      <c r="BX143" s="828"/>
      <c r="BY143" s="828"/>
      <c r="BZ143" s="828"/>
      <c r="CA143" s="828"/>
      <c r="CB143" s="828"/>
      <c r="CC143" s="828"/>
      <c r="CD143" s="828"/>
      <c r="CE143" s="828"/>
      <c r="CF143" s="828"/>
      <c r="CG143" s="828"/>
      <c r="CH143" s="828"/>
      <c r="CI143" s="577"/>
      <c r="CJ143" s="828"/>
      <c r="CK143" s="828"/>
      <c r="CL143" s="828"/>
      <c r="CM143" s="828"/>
      <c r="CN143" s="828"/>
      <c r="CO143" s="828"/>
      <c r="CP143" s="828"/>
      <c r="CQ143" s="828"/>
      <c r="CR143" s="828"/>
      <c r="CS143" s="828"/>
      <c r="CT143" s="828"/>
      <c r="CU143" s="828"/>
      <c r="CV143" s="828"/>
      <c r="CW143" s="828"/>
      <c r="CX143" s="828"/>
      <c r="CY143" s="828"/>
      <c r="CZ143" s="828"/>
      <c r="DA143" s="828"/>
      <c r="DB143" s="828"/>
      <c r="DC143" s="828"/>
      <c r="DD143" s="828"/>
      <c r="DE143" s="828"/>
      <c r="DF143" s="828"/>
      <c r="DG143" s="828"/>
      <c r="DH143" s="828"/>
      <c r="DI143" s="828"/>
      <c r="DJ143" s="828"/>
      <c r="DK143" s="828"/>
      <c r="DL143" s="828"/>
      <c r="DM143" s="828"/>
      <c r="DN143" s="828"/>
      <c r="DO143" s="828"/>
      <c r="DP143" s="828"/>
      <c r="DQ143" s="828"/>
      <c r="DR143" s="828"/>
      <c r="DS143" s="828"/>
      <c r="DT143" s="828"/>
      <c r="DU143" s="828"/>
      <c r="DV143" s="828"/>
      <c r="DW143" s="828"/>
      <c r="DX143" s="828"/>
      <c r="DY143" s="828"/>
      <c r="DZ143" s="224">
        <v>3.1E-2</v>
      </c>
      <c r="EA143" s="224">
        <v>3.1E-2</v>
      </c>
      <c r="EB143" s="224">
        <v>3.1E-2</v>
      </c>
      <c r="EC143" s="224">
        <v>3.15E-2</v>
      </c>
      <c r="ED143" s="224">
        <v>3.15E-2</v>
      </c>
      <c r="EE143" s="224">
        <v>3.15E-2</v>
      </c>
      <c r="EF143" s="224">
        <v>3.15E-2</v>
      </c>
      <c r="EG143" s="224">
        <v>3.15E-2</v>
      </c>
      <c r="EH143" s="224">
        <v>3.15E-2</v>
      </c>
      <c r="EI143" s="224">
        <v>3.15E-2</v>
      </c>
      <c r="EJ143" s="224">
        <v>3.15E-2</v>
      </c>
      <c r="EK143" s="224">
        <v>3.15E-2</v>
      </c>
      <c r="EL143" s="224">
        <v>3.15E-2</v>
      </c>
      <c r="EM143" s="224">
        <v>3.15E-2</v>
      </c>
      <c r="EN143" s="224">
        <v>3.15E-2</v>
      </c>
      <c r="EO143" s="224">
        <v>3.15E-2</v>
      </c>
      <c r="EP143" s="224">
        <v>3.15E-2</v>
      </c>
      <c r="EQ143" s="224">
        <v>3.15E-2</v>
      </c>
      <c r="ER143" s="224">
        <v>3.15E-2</v>
      </c>
      <c r="ES143" s="224">
        <v>3.3000000000000002E-2</v>
      </c>
      <c r="ET143" s="224">
        <v>3.3000000000000002E-2</v>
      </c>
      <c r="EU143" s="224">
        <v>3.3000000000000002E-2</v>
      </c>
      <c r="EV143" s="224">
        <v>3.3000000000000002E-2</v>
      </c>
      <c r="EW143" s="224">
        <v>3.3000000000000002E-2</v>
      </c>
      <c r="EX143" s="224">
        <v>3.3000000000000002E-2</v>
      </c>
      <c r="EY143" s="828"/>
      <c r="EZ143" s="231" t="s">
        <v>281</v>
      </c>
      <c r="FA143" s="226"/>
      <c r="FB143" s="230"/>
      <c r="FC143" s="228"/>
      <c r="FD143" s="227"/>
      <c r="FE143" s="230"/>
      <c r="FF143" s="229"/>
      <c r="FG143" s="228"/>
      <c r="FH143" s="227"/>
      <c r="FI143" s="227"/>
      <c r="FJ143" s="227"/>
      <c r="FK143" s="227"/>
      <c r="FL143" s="227"/>
      <c r="FM143" s="227"/>
      <c r="FN143" s="226"/>
      <c r="FO143" s="226"/>
      <c r="FP143" s="226"/>
      <c r="FQ143" s="226"/>
      <c r="FR143" s="226"/>
      <c r="FS143" s="226"/>
      <c r="FT143" s="226"/>
      <c r="FU143" s="226"/>
      <c r="FV143" s="226"/>
      <c r="FW143" s="226"/>
      <c r="FX143" s="226"/>
      <c r="FY143" s="225"/>
      <c r="FZ143" s="224"/>
      <c r="GA143" s="224"/>
      <c r="GB143" s="224"/>
      <c r="GC143" s="224"/>
      <c r="GD143" s="224"/>
      <c r="GE143" s="224"/>
      <c r="GF143" s="224"/>
      <c r="GG143" s="224"/>
      <c r="GH143" s="224"/>
      <c r="GI143" s="224"/>
      <c r="GJ143" s="224"/>
      <c r="GK143" s="224"/>
      <c r="GL143" s="224"/>
      <c r="GM143" s="224"/>
      <c r="GN143" s="224"/>
      <c r="GO143" s="224"/>
      <c r="GP143" s="224"/>
      <c r="GQ143" s="224"/>
      <c r="GR143" s="224"/>
      <c r="GS143" s="224"/>
      <c r="GT143" s="224"/>
      <c r="GU143" s="224"/>
      <c r="GV143" s="224"/>
      <c r="GW143" s="225"/>
      <c r="GX143" s="224"/>
      <c r="GY143" s="225"/>
      <c r="GZ143" s="225"/>
      <c r="HA143" s="225"/>
      <c r="HB143" s="224"/>
      <c r="HC143" s="224">
        <v>3.3000000000000002E-2</v>
      </c>
      <c r="HD143" s="224" t="s">
        <v>124</v>
      </c>
      <c r="HE143" s="224"/>
      <c r="HF143" s="829"/>
    </row>
  </sheetData>
  <autoFilter ref="B1:B145" xr:uid="{00000000-0009-0000-0000-000001000000}"/>
  <mergeCells count="6533">
    <mergeCell ref="C96:C97"/>
    <mergeCell ref="E5:E6"/>
    <mergeCell ref="E9:E10"/>
    <mergeCell ref="G123:G124"/>
    <mergeCell ref="A106:A108"/>
    <mergeCell ref="A57:A62"/>
    <mergeCell ref="G115:G117"/>
    <mergeCell ref="G121:G122"/>
    <mergeCell ref="G5:G6"/>
    <mergeCell ref="G9:G10"/>
    <mergeCell ref="G11:G12"/>
    <mergeCell ref="G13:G14"/>
    <mergeCell ref="C9:C10"/>
    <mergeCell ref="C11:C12"/>
    <mergeCell ref="C13:C14"/>
    <mergeCell ref="C18:C19"/>
    <mergeCell ref="C20:C21"/>
    <mergeCell ref="C23:C24"/>
    <mergeCell ref="C25:C26"/>
    <mergeCell ref="C29:C30"/>
    <mergeCell ref="C31:C32"/>
    <mergeCell ref="C33:C34"/>
    <mergeCell ref="C39:C41"/>
    <mergeCell ref="C43:C44"/>
    <mergeCell ref="C45:C46"/>
    <mergeCell ref="C47:C48"/>
    <mergeCell ref="C49:C50"/>
    <mergeCell ref="C51:C52"/>
    <mergeCell ref="C54:C55"/>
    <mergeCell ref="F94:F95"/>
    <mergeCell ref="C57:C62"/>
    <mergeCell ref="C64:C66"/>
    <mergeCell ref="C68:C69"/>
    <mergeCell ref="C74:C75"/>
    <mergeCell ref="C94:C95"/>
    <mergeCell ref="F78:F79"/>
    <mergeCell ref="F80:F81"/>
    <mergeCell ref="F88:F89"/>
    <mergeCell ref="F25:F26"/>
    <mergeCell ref="F31:F32"/>
    <mergeCell ref="F33:F34"/>
    <mergeCell ref="A123:A124"/>
    <mergeCell ref="I121:I122"/>
    <mergeCell ref="I123:I124"/>
    <mergeCell ref="I49:I50"/>
    <mergeCell ref="A45:A46"/>
    <mergeCell ref="A54:A55"/>
    <mergeCell ref="A51:A52"/>
    <mergeCell ref="I51:I52"/>
    <mergeCell ref="I54:I55"/>
    <mergeCell ref="I57:I62"/>
    <mergeCell ref="I64:I66"/>
    <mergeCell ref="I68:I69"/>
    <mergeCell ref="I74:I75"/>
    <mergeCell ref="I76:I77"/>
    <mergeCell ref="I78:I79"/>
    <mergeCell ref="I80:I81"/>
    <mergeCell ref="I88:I89"/>
    <mergeCell ref="A68:A69"/>
    <mergeCell ref="A64:A66"/>
    <mergeCell ref="I110:I111"/>
    <mergeCell ref="I115:I117"/>
    <mergeCell ref="I106:I107"/>
    <mergeCell ref="B110:B111"/>
    <mergeCell ref="C98:C99"/>
    <mergeCell ref="C100:C101"/>
    <mergeCell ref="C102:C103"/>
    <mergeCell ref="J74:J75"/>
    <mergeCell ref="J47:J48"/>
    <mergeCell ref="J49:J50"/>
    <mergeCell ref="I45:I46"/>
    <mergeCell ref="I47:I48"/>
    <mergeCell ref="I25:I26"/>
    <mergeCell ref="G128:G129"/>
    <mergeCell ref="G130:G131"/>
    <mergeCell ref="F100:F101"/>
    <mergeCell ref="F102:F103"/>
    <mergeCell ref="F104:F105"/>
    <mergeCell ref="F106:F107"/>
    <mergeCell ref="H132:H133"/>
    <mergeCell ref="F68:F69"/>
    <mergeCell ref="H5:H6"/>
    <mergeCell ref="H9:H10"/>
    <mergeCell ref="H11:H12"/>
    <mergeCell ref="H13:H14"/>
    <mergeCell ref="H18:H19"/>
    <mergeCell ref="H20:H21"/>
    <mergeCell ref="H23:H24"/>
    <mergeCell ref="H25:H26"/>
    <mergeCell ref="G132:G133"/>
    <mergeCell ref="G64:G66"/>
    <mergeCell ref="G68:G69"/>
    <mergeCell ref="G74:G75"/>
    <mergeCell ref="G76:G77"/>
    <mergeCell ref="G78:G79"/>
    <mergeCell ref="G80:G81"/>
    <mergeCell ref="G88:G89"/>
    <mergeCell ref="F74:F75"/>
    <mergeCell ref="F76:F77"/>
    <mergeCell ref="H68:H69"/>
    <mergeCell ref="H74:H75"/>
    <mergeCell ref="J51:J52"/>
    <mergeCell ref="J54:J55"/>
    <mergeCell ref="J57:J62"/>
    <mergeCell ref="J64:J66"/>
    <mergeCell ref="J76:J77"/>
    <mergeCell ref="J78:J79"/>
    <mergeCell ref="F29:F30"/>
    <mergeCell ref="J88:J89"/>
    <mergeCell ref="J94:J95"/>
    <mergeCell ref="J96:J97"/>
    <mergeCell ref="J102:J103"/>
    <mergeCell ref="J106:J107"/>
    <mergeCell ref="G18:G19"/>
    <mergeCell ref="G20:G21"/>
    <mergeCell ref="G23:G24"/>
    <mergeCell ref="G25:G26"/>
    <mergeCell ref="G29:G30"/>
    <mergeCell ref="G31:G32"/>
    <mergeCell ref="G33:G34"/>
    <mergeCell ref="G39:G41"/>
    <mergeCell ref="G43:G44"/>
    <mergeCell ref="G45:G46"/>
    <mergeCell ref="G47:G48"/>
    <mergeCell ref="G49:G50"/>
    <mergeCell ref="G51:G52"/>
    <mergeCell ref="G94:G95"/>
    <mergeCell ref="G96:G97"/>
    <mergeCell ref="G98:G99"/>
    <mergeCell ref="G100:G101"/>
    <mergeCell ref="G102:G103"/>
    <mergeCell ref="F45:F46"/>
    <mergeCell ref="F47:F48"/>
    <mergeCell ref="F49:F50"/>
    <mergeCell ref="H29:H30"/>
    <mergeCell ref="H31:H32"/>
    <mergeCell ref="H33:H34"/>
    <mergeCell ref="H39:H41"/>
    <mergeCell ref="H43:H44"/>
    <mergeCell ref="H45:H46"/>
    <mergeCell ref="H47:H48"/>
    <mergeCell ref="H49:H50"/>
    <mergeCell ref="H51:H52"/>
    <mergeCell ref="F51:F52"/>
    <mergeCell ref="F54:F55"/>
    <mergeCell ref="F57:F62"/>
    <mergeCell ref="F64:F66"/>
    <mergeCell ref="H54:H55"/>
    <mergeCell ref="H57:H62"/>
    <mergeCell ref="H64:H66"/>
    <mergeCell ref="G54:G55"/>
    <mergeCell ref="G57:G62"/>
    <mergeCell ref="A100:A101"/>
    <mergeCell ref="A74:A75"/>
    <mergeCell ref="F115:F117"/>
    <mergeCell ref="F121:F122"/>
    <mergeCell ref="F123:F124"/>
    <mergeCell ref="F128:F129"/>
    <mergeCell ref="H121:H122"/>
    <mergeCell ref="H123:H124"/>
    <mergeCell ref="F130:F131"/>
    <mergeCell ref="F132:F133"/>
    <mergeCell ref="A80:A81"/>
    <mergeCell ref="A98:A99"/>
    <mergeCell ref="H100:H101"/>
    <mergeCell ref="H102:H103"/>
    <mergeCell ref="C121:C122"/>
    <mergeCell ref="C123:C124"/>
    <mergeCell ref="C128:C129"/>
    <mergeCell ref="A110:A111"/>
    <mergeCell ref="A104:A105"/>
    <mergeCell ref="A96:A97"/>
    <mergeCell ref="H94:H95"/>
    <mergeCell ref="B76:B77"/>
    <mergeCell ref="H98:H99"/>
    <mergeCell ref="F110:F111"/>
    <mergeCell ref="H96:H97"/>
    <mergeCell ref="C76:C77"/>
    <mergeCell ref="C78:C79"/>
    <mergeCell ref="C80:C81"/>
    <mergeCell ref="C88:C89"/>
    <mergeCell ref="A76:A77"/>
    <mergeCell ref="G104:G105"/>
    <mergeCell ref="G106:G107"/>
    <mergeCell ref="M5:M6"/>
    <mergeCell ref="M9:M10"/>
    <mergeCell ref="M11:M12"/>
    <mergeCell ref="M13:M14"/>
    <mergeCell ref="L100:L101"/>
    <mergeCell ref="L115:L117"/>
    <mergeCell ref="L128:L129"/>
    <mergeCell ref="L74:L75"/>
    <mergeCell ref="K51:K52"/>
    <mergeCell ref="K54:K55"/>
    <mergeCell ref="K57:K62"/>
    <mergeCell ref="K64:K66"/>
    <mergeCell ref="K68:K69"/>
    <mergeCell ref="M130:M131"/>
    <mergeCell ref="M132:M133"/>
    <mergeCell ref="M74:M75"/>
    <mergeCell ref="M76:M77"/>
    <mergeCell ref="M78:M79"/>
    <mergeCell ref="M80:M81"/>
    <mergeCell ref="M88:M89"/>
    <mergeCell ref="M94:M95"/>
    <mergeCell ref="M96:M97"/>
    <mergeCell ref="M98:M99"/>
    <mergeCell ref="M100:M101"/>
    <mergeCell ref="M102:M103"/>
    <mergeCell ref="M104:M105"/>
    <mergeCell ref="M106:M107"/>
    <mergeCell ref="M121:M122"/>
    <mergeCell ref="M123:M124"/>
    <mergeCell ref="M128:M129"/>
    <mergeCell ref="M51:M52"/>
    <mergeCell ref="M54:M55"/>
    <mergeCell ref="Q9:Q10"/>
    <mergeCell ref="N121:N122"/>
    <mergeCell ref="N128:N129"/>
    <mergeCell ref="N130:N131"/>
    <mergeCell ref="N132:N133"/>
    <mergeCell ref="N51:N52"/>
    <mergeCell ref="N54:N55"/>
    <mergeCell ref="N57:N62"/>
    <mergeCell ref="N64:N66"/>
    <mergeCell ref="N68:N69"/>
    <mergeCell ref="N74:N75"/>
    <mergeCell ref="P121:P122"/>
    <mergeCell ref="N78:N79"/>
    <mergeCell ref="N80:N81"/>
    <mergeCell ref="N88:N89"/>
    <mergeCell ref="N94:N95"/>
    <mergeCell ref="N96:N97"/>
    <mergeCell ref="N98:N99"/>
    <mergeCell ref="N100:N101"/>
    <mergeCell ref="N102:N103"/>
    <mergeCell ref="N104:N105"/>
    <mergeCell ref="N106:N107"/>
    <mergeCell ref="N110:N111"/>
    <mergeCell ref="N47:N48"/>
    <mergeCell ref="N49:N50"/>
    <mergeCell ref="Q106:Q107"/>
    <mergeCell ref="Q110:Q111"/>
    <mergeCell ref="Q115:Q117"/>
    <mergeCell ref="Q121:Q122"/>
    <mergeCell ref="N13:N14"/>
    <mergeCell ref="N18:N19"/>
    <mergeCell ref="N33:N34"/>
    <mergeCell ref="W5:W6"/>
    <mergeCell ref="R5:R6"/>
    <mergeCell ref="R9:R10"/>
    <mergeCell ref="R13:R14"/>
    <mergeCell ref="Z9:Z10"/>
    <mergeCell ref="Z11:Z12"/>
    <mergeCell ref="AC5:AC6"/>
    <mergeCell ref="Y18:Y19"/>
    <mergeCell ref="AC9:AC10"/>
    <mergeCell ref="AC11:AC12"/>
    <mergeCell ref="AC18:AC19"/>
    <mergeCell ref="O132:O133"/>
    <mergeCell ref="R11:R12"/>
    <mergeCell ref="P9:P10"/>
    <mergeCell ref="P106:P107"/>
    <mergeCell ref="P110:P111"/>
    <mergeCell ref="Q104:Q105"/>
    <mergeCell ref="Q13:Q14"/>
    <mergeCell ref="P51:P52"/>
    <mergeCell ref="P54:P55"/>
    <mergeCell ref="P57:P62"/>
    <mergeCell ref="P64:P66"/>
    <mergeCell ref="P68:P69"/>
    <mergeCell ref="P74:P75"/>
    <mergeCell ref="P76:P77"/>
    <mergeCell ref="P78:P79"/>
    <mergeCell ref="P80:P81"/>
    <mergeCell ref="P88:P89"/>
    <mergeCell ref="R23:R24"/>
    <mergeCell ref="R25:R26"/>
    <mergeCell ref="R29:R30"/>
    <mergeCell ref="R49:R50"/>
    <mergeCell ref="X11:X12"/>
    <mergeCell ref="X5:X6"/>
    <mergeCell ref="X9:X10"/>
    <mergeCell ref="Z20:Z21"/>
    <mergeCell ref="AB5:AB6"/>
    <mergeCell ref="AB9:AB10"/>
    <mergeCell ref="AB11:AB12"/>
    <mergeCell ref="AA20:AA21"/>
    <mergeCell ref="AA5:AA6"/>
    <mergeCell ref="AA9:AA10"/>
    <mergeCell ref="Y9:Y10"/>
    <mergeCell ref="Y11:Y12"/>
    <mergeCell ref="Z31:Z32"/>
    <mergeCell ref="AA25:AA26"/>
    <mergeCell ref="AA29:AA30"/>
    <mergeCell ref="Z33:Z34"/>
    <mergeCell ref="Z43:Z44"/>
    <mergeCell ref="Y13:Y14"/>
    <mergeCell ref="Y20:Y21"/>
    <mergeCell ref="X20:X21"/>
    <mergeCell ref="X23:X24"/>
    <mergeCell ref="Z5:Z6"/>
    <mergeCell ref="X13:X14"/>
    <mergeCell ref="AD9:AD10"/>
    <mergeCell ref="AD11:AD12"/>
    <mergeCell ref="AD5:AD6"/>
    <mergeCell ref="AE5:AE6"/>
    <mergeCell ref="AE9:AE10"/>
    <mergeCell ref="AE11:AE12"/>
    <mergeCell ref="AE18:AE19"/>
    <mergeCell ref="AE20:AE21"/>
    <mergeCell ref="AE23:AE24"/>
    <mergeCell ref="AC20:AC21"/>
    <mergeCell ref="AC23:AC24"/>
    <mergeCell ref="Y5:Y6"/>
    <mergeCell ref="AA43:AA44"/>
    <mergeCell ref="Z25:Z26"/>
    <mergeCell ref="Z39:Z41"/>
    <mergeCell ref="AB43:AB44"/>
    <mergeCell ref="AA31:AA32"/>
    <mergeCell ref="Y31:Y32"/>
    <mergeCell ref="Y23:Y24"/>
    <mergeCell ref="Y29:Y30"/>
    <mergeCell ref="Z18:Z19"/>
    <mergeCell ref="Z23:Z24"/>
    <mergeCell ref="AA11:AA12"/>
    <mergeCell ref="AC43:AC44"/>
    <mergeCell ref="Y25:Y26"/>
    <mergeCell ref="AB20:AB21"/>
    <mergeCell ref="AB23:AB24"/>
    <mergeCell ref="AB25:AB26"/>
    <mergeCell ref="AB29:AB30"/>
    <mergeCell ref="AE43:AE44"/>
    <mergeCell ref="Y33:Y34"/>
    <mergeCell ref="Y39:Y41"/>
    <mergeCell ref="AW18:AW19"/>
    <mergeCell ref="AH39:AH41"/>
    <mergeCell ref="AB54:AB55"/>
    <mergeCell ref="AF49:AF50"/>
    <mergeCell ref="AR13:AR14"/>
    <mergeCell ref="AL13:AL14"/>
    <mergeCell ref="AI13:AI14"/>
    <mergeCell ref="AF18:AF19"/>
    <mergeCell ref="AF20:AF21"/>
    <mergeCell ref="AF13:AF14"/>
    <mergeCell ref="AJ47:AJ48"/>
    <mergeCell ref="AK45:AK46"/>
    <mergeCell ref="AL47:AL48"/>
    <mergeCell ref="AO54:AO55"/>
    <mergeCell ref="AE47:AE48"/>
    <mergeCell ref="AE49:AE50"/>
    <mergeCell ref="AE51:AE52"/>
    <mergeCell ref="AE54:AE55"/>
    <mergeCell ref="AF25:AF26"/>
    <mergeCell ref="AF29:AF30"/>
    <mergeCell ref="AD29:AD30"/>
    <mergeCell ref="AC25:AC26"/>
    <mergeCell ref="AC29:AC30"/>
    <mergeCell ref="AC31:AC32"/>
    <mergeCell ref="AF23:AF24"/>
    <mergeCell ref="AE13:AE14"/>
    <mergeCell ref="AD23:AD24"/>
    <mergeCell ref="AE45:AE46"/>
    <mergeCell ref="AD43:AD44"/>
    <mergeCell ref="AH45:AH46"/>
    <mergeCell ref="AH43:AH44"/>
    <mergeCell ref="AK39:AK41"/>
    <mergeCell ref="AK29:AK30"/>
    <mergeCell ref="AN31:AN32"/>
    <mergeCell ref="AT18:AT19"/>
    <mergeCell ref="AT20:AT21"/>
    <mergeCell ref="AL18:AL19"/>
    <mergeCell ref="AC13:AC14"/>
    <mergeCell ref="AE39:AE41"/>
    <mergeCell ref="AE29:AE30"/>
    <mergeCell ref="AD13:AD14"/>
    <mergeCell ref="Z13:Z14"/>
    <mergeCell ref="AA13:AA14"/>
    <mergeCell ref="AB13:AB14"/>
    <mergeCell ref="AA23:AA24"/>
    <mergeCell ref="Z29:Z30"/>
    <mergeCell ref="AA18:AA19"/>
    <mergeCell ref="AA33:AA34"/>
    <mergeCell ref="AA39:AA41"/>
    <mergeCell ref="AB18:AB19"/>
    <mergeCell ref="AN23:AN24"/>
    <mergeCell ref="AT13:AT14"/>
    <mergeCell ref="AU13:AU14"/>
    <mergeCell ref="AV13:AV14"/>
    <mergeCell ref="AG23:AG24"/>
    <mergeCell ref="AT43:AT44"/>
    <mergeCell ref="AN39:AN41"/>
    <mergeCell ref="AW31:AW32"/>
    <mergeCell ref="AL31:AL32"/>
    <mergeCell ref="AP31:AP32"/>
    <mergeCell ref="AO31:AO32"/>
    <mergeCell ref="AV29:AV30"/>
    <mergeCell ref="AS43:AS44"/>
    <mergeCell ref="AY23:AY24"/>
    <mergeCell ref="BB29:BB30"/>
    <mergeCell ref="AI29:AI30"/>
    <mergeCell ref="AH23:AH24"/>
    <mergeCell ref="AH25:AH26"/>
    <mergeCell ref="AL29:AL30"/>
    <mergeCell ref="AN43:AN44"/>
    <mergeCell ref="AQ43:AQ44"/>
    <mergeCell ref="AZ23:AZ24"/>
    <mergeCell ref="AG25:AG26"/>
    <mergeCell ref="AG29:AG30"/>
    <mergeCell ref="AG31:AG32"/>
    <mergeCell ref="AO29:AO30"/>
    <mergeCell ref="AV23:AV24"/>
    <mergeCell ref="AU23:AU24"/>
    <mergeCell ref="AW29:AW30"/>
    <mergeCell ref="AT31:AT32"/>
    <mergeCell ref="AU25:AU26"/>
    <mergeCell ref="AI43:AI44"/>
    <mergeCell ref="AT25:AT26"/>
    <mergeCell ref="AK13:AK14"/>
    <mergeCell ref="Y121:Y122"/>
    <mergeCell ref="AY29:AY30"/>
    <mergeCell ref="AX31:AX32"/>
    <mergeCell ref="AY39:AY41"/>
    <mergeCell ref="CD29:CD30"/>
    <mergeCell ref="BB31:BB32"/>
    <mergeCell ref="AY20:AY21"/>
    <mergeCell ref="AY18:AY19"/>
    <mergeCell ref="AV25:AV26"/>
    <mergeCell ref="AU29:AU30"/>
    <mergeCell ref="AN25:AN26"/>
    <mergeCell ref="AM43:AM44"/>
    <mergeCell ref="AJ29:AJ30"/>
    <mergeCell ref="AI25:AI26"/>
    <mergeCell ref="AM23:AM24"/>
    <mergeCell ref="AM25:AM26"/>
    <mergeCell ref="AV31:AV32"/>
    <mergeCell ref="AV39:AV41"/>
    <mergeCell ref="AD31:AD32"/>
    <mergeCell ref="AB31:AB32"/>
    <mergeCell ref="AB39:AB41"/>
    <mergeCell ref="AC39:AC41"/>
    <mergeCell ref="AE31:AE32"/>
    <mergeCell ref="AD25:AD26"/>
    <mergeCell ref="AD39:AD41"/>
    <mergeCell ref="AF31:AF32"/>
    <mergeCell ref="AF39:AF41"/>
    <mergeCell ref="Z45:Z46"/>
    <mergeCell ref="AD45:AD46"/>
    <mergeCell ref="AC49:AC50"/>
    <mergeCell ref="AG47:AG48"/>
    <mergeCell ref="AK25:AK26"/>
    <mergeCell ref="A23:A24"/>
    <mergeCell ref="A31:A32"/>
    <mergeCell ref="M18:M19"/>
    <mergeCell ref="R51:R52"/>
    <mergeCell ref="A18:A19"/>
    <mergeCell ref="A20:A21"/>
    <mergeCell ref="BE13:BE14"/>
    <mergeCell ref="CD25:CD26"/>
    <mergeCell ref="AX25:AX26"/>
    <mergeCell ref="AJ13:AJ14"/>
    <mergeCell ref="BD23:BD24"/>
    <mergeCell ref="AU20:AU21"/>
    <mergeCell ref="AP13:AP14"/>
    <mergeCell ref="AL25:AL26"/>
    <mergeCell ref="V100:V101"/>
    <mergeCell ref="X18:X19"/>
    <mergeCell ref="AQ20:AQ21"/>
    <mergeCell ref="AR23:AR24"/>
    <mergeCell ref="AU18:AU19"/>
    <mergeCell ref="AP43:AP44"/>
    <mergeCell ref="AM13:AM14"/>
    <mergeCell ref="AM29:AM30"/>
    <mergeCell ref="AM31:AM32"/>
    <mergeCell ref="AT39:AT41"/>
    <mergeCell ref="AR39:AR41"/>
    <mergeCell ref="AI20:AI21"/>
    <mergeCell ref="AG13:AG14"/>
    <mergeCell ref="AK23:AK24"/>
    <mergeCell ref="AI31:AI32"/>
    <mergeCell ref="AM20:AM21"/>
    <mergeCell ref="A13:A14"/>
    <mergeCell ref="AS13:AS14"/>
    <mergeCell ref="N39:N41"/>
    <mergeCell ref="N43:N44"/>
    <mergeCell ref="N45:N46"/>
    <mergeCell ref="A29:A30"/>
    <mergeCell ref="A43:A44"/>
    <mergeCell ref="W39:W41"/>
    <mergeCell ref="N76:N77"/>
    <mergeCell ref="M49:M50"/>
    <mergeCell ref="J29:J30"/>
    <mergeCell ref="T43:T44"/>
    <mergeCell ref="T45:T46"/>
    <mergeCell ref="W33:W34"/>
    <mergeCell ref="O29:O30"/>
    <mergeCell ref="O31:O32"/>
    <mergeCell ref="O33:O34"/>
    <mergeCell ref="V43:V44"/>
    <mergeCell ref="M29:M30"/>
    <mergeCell ref="Q43:Q44"/>
    <mergeCell ref="Q45:Q46"/>
    <mergeCell ref="Q47:Q48"/>
    <mergeCell ref="Q49:Q50"/>
    <mergeCell ref="L51:L52"/>
    <mergeCell ref="S45:S46"/>
    <mergeCell ref="S47:S48"/>
    <mergeCell ref="J39:J41"/>
    <mergeCell ref="S49:S50"/>
    <mergeCell ref="B47:B48"/>
    <mergeCell ref="O49:O50"/>
    <mergeCell ref="O76:O77"/>
    <mergeCell ref="R47:R48"/>
    <mergeCell ref="R54:R55"/>
    <mergeCell ref="R57:R62"/>
    <mergeCell ref="P43:P44"/>
    <mergeCell ref="P45:P46"/>
    <mergeCell ref="P47:P48"/>
    <mergeCell ref="P49:P50"/>
    <mergeCell ref="A33:A34"/>
    <mergeCell ref="A39:A41"/>
    <mergeCell ref="W29:W30"/>
    <mergeCell ref="T18:T19"/>
    <mergeCell ref="X25:X26"/>
    <mergeCell ref="X29:X30"/>
    <mergeCell ref="X31:X32"/>
    <mergeCell ref="X33:X34"/>
    <mergeCell ref="X39:X41"/>
    <mergeCell ref="U20:U21"/>
    <mergeCell ref="P23:P24"/>
    <mergeCell ref="P25:P26"/>
    <mergeCell ref="P29:P30"/>
    <mergeCell ref="P31:P32"/>
    <mergeCell ref="P33:P34"/>
    <mergeCell ref="P39:P41"/>
    <mergeCell ref="Q18:Q19"/>
    <mergeCell ref="J23:J24"/>
    <mergeCell ref="T39:T41"/>
    <mergeCell ref="A25:A26"/>
    <mergeCell ref="W25:W26"/>
    <mergeCell ref="N20:N21"/>
    <mergeCell ref="N23:N24"/>
    <mergeCell ref="K18:K19"/>
    <mergeCell ref="K20:K21"/>
    <mergeCell ref="K23:K24"/>
    <mergeCell ref="K25:K26"/>
    <mergeCell ref="M33:M34"/>
    <mergeCell ref="K33:K34"/>
    <mergeCell ref="I29:I30"/>
    <mergeCell ref="N11:N12"/>
    <mergeCell ref="F43:F44"/>
    <mergeCell ref="W23:W24"/>
    <mergeCell ref="I33:I34"/>
    <mergeCell ref="I39:I41"/>
    <mergeCell ref="I43:I44"/>
    <mergeCell ref="F20:F21"/>
    <mergeCell ref="F23:F24"/>
    <mergeCell ref="M20:M21"/>
    <mergeCell ref="M23:M24"/>
    <mergeCell ref="M25:M26"/>
    <mergeCell ref="O39:O41"/>
    <mergeCell ref="O43:O44"/>
    <mergeCell ref="M39:M41"/>
    <mergeCell ref="M43:M44"/>
    <mergeCell ref="K39:K41"/>
    <mergeCell ref="K43:K44"/>
    <mergeCell ref="L39:L41"/>
    <mergeCell ref="L43:L44"/>
    <mergeCell ref="J43:J44"/>
    <mergeCell ref="U13:U14"/>
    <mergeCell ref="N25:N26"/>
    <mergeCell ref="N29:N30"/>
    <mergeCell ref="N31:N32"/>
    <mergeCell ref="V11:V12"/>
    <mergeCell ref="Q39:Q41"/>
    <mergeCell ref="I20:I21"/>
    <mergeCell ref="I23:I24"/>
    <mergeCell ref="K13:K14"/>
    <mergeCell ref="K29:K30"/>
    <mergeCell ref="K31:K32"/>
    <mergeCell ref="W31:W32"/>
    <mergeCell ref="I18:I19"/>
    <mergeCell ref="K9:K10"/>
    <mergeCell ref="K11:K12"/>
    <mergeCell ref="L5:L6"/>
    <mergeCell ref="L9:L10"/>
    <mergeCell ref="U29:U30"/>
    <mergeCell ref="P11:P12"/>
    <mergeCell ref="O20:O21"/>
    <mergeCell ref="O23:O24"/>
    <mergeCell ref="O25:O26"/>
    <mergeCell ref="K5:K6"/>
    <mergeCell ref="I5:I6"/>
    <mergeCell ref="I9:I10"/>
    <mergeCell ref="I11:I12"/>
    <mergeCell ref="I31:I32"/>
    <mergeCell ref="P5:P6"/>
    <mergeCell ref="O5:O6"/>
    <mergeCell ref="O9:O10"/>
    <mergeCell ref="O11:O12"/>
    <mergeCell ref="O13:O14"/>
    <mergeCell ref="O18:O19"/>
    <mergeCell ref="W18:W19"/>
    <mergeCell ref="J25:J26"/>
    <mergeCell ref="W20:W21"/>
    <mergeCell ref="J31:J32"/>
    <mergeCell ref="U23:U24"/>
    <mergeCell ref="T25:T26"/>
    <mergeCell ref="T29:T30"/>
    <mergeCell ref="T31:T32"/>
    <mergeCell ref="R18:R19"/>
    <mergeCell ref="R39:R41"/>
    <mergeCell ref="U43:U44"/>
    <mergeCell ref="U39:U41"/>
    <mergeCell ref="W13:W14"/>
    <mergeCell ref="S33:S34"/>
    <mergeCell ref="W11:W12"/>
    <mergeCell ref="U25:U26"/>
    <mergeCell ref="R31:R32"/>
    <mergeCell ref="U31:U32"/>
    <mergeCell ref="T23:T24"/>
    <mergeCell ref="S39:S41"/>
    <mergeCell ref="S43:S44"/>
    <mergeCell ref="Q33:Q34"/>
    <mergeCell ref="Q5:Q6"/>
    <mergeCell ref="S5:S6"/>
    <mergeCell ref="S9:S10"/>
    <mergeCell ref="S11:S12"/>
    <mergeCell ref="V5:V6"/>
    <mergeCell ref="V9:V10"/>
    <mergeCell ref="Q11:Q12"/>
    <mergeCell ref="T11:T12"/>
    <mergeCell ref="T20:T21"/>
    <mergeCell ref="R43:R44"/>
    <mergeCell ref="U5:U6"/>
    <mergeCell ref="U9:U10"/>
    <mergeCell ref="T5:T6"/>
    <mergeCell ref="T9:T10"/>
    <mergeCell ref="T13:T14"/>
    <mergeCell ref="U11:U12"/>
    <mergeCell ref="R33:R34"/>
    <mergeCell ref="T33:T34"/>
    <mergeCell ref="S31:S32"/>
    <mergeCell ref="R20:R21"/>
    <mergeCell ref="J5:J6"/>
    <mergeCell ref="J9:J10"/>
    <mergeCell ref="J11:J12"/>
    <mergeCell ref="J13:J14"/>
    <mergeCell ref="J18:J19"/>
    <mergeCell ref="J20:J21"/>
    <mergeCell ref="N5:N6"/>
    <mergeCell ref="I13:I14"/>
    <mergeCell ref="L88:L89"/>
    <mergeCell ref="O51:O52"/>
    <mergeCell ref="O54:O55"/>
    <mergeCell ref="O57:O62"/>
    <mergeCell ref="L80:L81"/>
    <mergeCell ref="L54:L55"/>
    <mergeCell ref="L57:L62"/>
    <mergeCell ref="L64:L66"/>
    <mergeCell ref="O45:O46"/>
    <mergeCell ref="M45:M46"/>
    <mergeCell ref="M47:M48"/>
    <mergeCell ref="K45:K46"/>
    <mergeCell ref="K47:K48"/>
    <mergeCell ref="K49:K50"/>
    <mergeCell ref="L45:L46"/>
    <mergeCell ref="L47:L48"/>
    <mergeCell ref="J45:J46"/>
    <mergeCell ref="M31:M32"/>
    <mergeCell ref="Q25:Q26"/>
    <mergeCell ref="O68:O69"/>
    <mergeCell ref="O47:O48"/>
    <mergeCell ref="J68:J69"/>
    <mergeCell ref="J80:J81"/>
    <mergeCell ref="B5:B6"/>
    <mergeCell ref="V13:V14"/>
    <mergeCell ref="V18:V19"/>
    <mergeCell ref="V20:V21"/>
    <mergeCell ref="V23:V24"/>
    <mergeCell ref="V25:V26"/>
    <mergeCell ref="V29:V30"/>
    <mergeCell ref="V31:V32"/>
    <mergeCell ref="V33:V34"/>
    <mergeCell ref="V39:V41"/>
    <mergeCell ref="S13:S14"/>
    <mergeCell ref="S18:S19"/>
    <mergeCell ref="S20:S21"/>
    <mergeCell ref="S23:S24"/>
    <mergeCell ref="S25:S26"/>
    <mergeCell ref="S29:S30"/>
    <mergeCell ref="L11:L12"/>
    <mergeCell ref="L13:L14"/>
    <mergeCell ref="L18:L19"/>
    <mergeCell ref="L20:L21"/>
    <mergeCell ref="L23:L24"/>
    <mergeCell ref="L25:L26"/>
    <mergeCell ref="L29:L30"/>
    <mergeCell ref="L31:L32"/>
    <mergeCell ref="P13:P14"/>
    <mergeCell ref="P18:P19"/>
    <mergeCell ref="P20:P21"/>
    <mergeCell ref="N9:N10"/>
    <mergeCell ref="Q20:Q21"/>
    <mergeCell ref="Q23:Q24"/>
    <mergeCell ref="L33:L34"/>
    <mergeCell ref="J33:J34"/>
    <mergeCell ref="O96:O97"/>
    <mergeCell ref="S78:S79"/>
    <mergeCell ref="U68:U69"/>
    <mergeCell ref="U104:U105"/>
    <mergeCell ref="V96:V97"/>
    <mergeCell ref="U98:U99"/>
    <mergeCell ref="S96:S97"/>
    <mergeCell ref="O104:O105"/>
    <mergeCell ref="O106:O107"/>
    <mergeCell ref="A94:A95"/>
    <mergeCell ref="A121:A122"/>
    <mergeCell ref="L104:L105"/>
    <mergeCell ref="L96:L97"/>
    <mergeCell ref="S68:S69"/>
    <mergeCell ref="S74:S75"/>
    <mergeCell ref="S76:S77"/>
    <mergeCell ref="R64:R66"/>
    <mergeCell ref="A115:A117"/>
    <mergeCell ref="T88:T89"/>
    <mergeCell ref="T94:T95"/>
    <mergeCell ref="T96:T97"/>
    <mergeCell ref="T110:T111"/>
    <mergeCell ref="R80:R81"/>
    <mergeCell ref="L68:L69"/>
    <mergeCell ref="V102:V103"/>
    <mergeCell ref="O74:O75"/>
    <mergeCell ref="L76:L77"/>
    <mergeCell ref="K100:K101"/>
    <mergeCell ref="K102:K103"/>
    <mergeCell ref="K104:K105"/>
    <mergeCell ref="K106:K107"/>
    <mergeCell ref="E64:E66"/>
    <mergeCell ref="S57:S62"/>
    <mergeCell ref="S64:S66"/>
    <mergeCell ref="T49:T50"/>
    <mergeCell ref="V57:V62"/>
    <mergeCell ref="R110:R111"/>
    <mergeCell ref="R104:R105"/>
    <mergeCell ref="R106:R107"/>
    <mergeCell ref="T104:T105"/>
    <mergeCell ref="S106:S107"/>
    <mergeCell ref="A11:A12"/>
    <mergeCell ref="S104:S105"/>
    <mergeCell ref="X110:X111"/>
    <mergeCell ref="U80:U81"/>
    <mergeCell ref="AC100:AC101"/>
    <mergeCell ref="AB78:AB79"/>
    <mergeCell ref="AD94:AD95"/>
    <mergeCell ref="AB68:AB69"/>
    <mergeCell ref="AB96:AB97"/>
    <mergeCell ref="Q88:Q89"/>
    <mergeCell ref="Q94:Q95"/>
    <mergeCell ref="Q96:Q97"/>
    <mergeCell ref="Q98:Q99"/>
    <mergeCell ref="Q100:Q101"/>
    <mergeCell ref="Y57:Y62"/>
    <mergeCell ref="A78:A79"/>
    <mergeCell ref="O110:O111"/>
    <mergeCell ref="A88:A89"/>
    <mergeCell ref="O78:O79"/>
    <mergeCell ref="O80:O81"/>
    <mergeCell ref="O88:O89"/>
    <mergeCell ref="O94:O95"/>
    <mergeCell ref="L110:L111"/>
    <mergeCell ref="V130:V131"/>
    <mergeCell ref="S128:S129"/>
    <mergeCell ref="Y123:Y124"/>
    <mergeCell ref="M68:M69"/>
    <mergeCell ref="L94:L95"/>
    <mergeCell ref="K110:K111"/>
    <mergeCell ref="K115:K117"/>
    <mergeCell ref="K74:K75"/>
    <mergeCell ref="K76:K77"/>
    <mergeCell ref="K78:K79"/>
    <mergeCell ref="K80:K81"/>
    <mergeCell ref="K88:K89"/>
    <mergeCell ref="K94:K95"/>
    <mergeCell ref="K96:K97"/>
    <mergeCell ref="K98:K99"/>
    <mergeCell ref="L78:L79"/>
    <mergeCell ref="P98:P99"/>
    <mergeCell ref="P96:P97"/>
    <mergeCell ref="Q68:Q69"/>
    <mergeCell ref="Q74:Q75"/>
    <mergeCell ref="Q76:Q77"/>
    <mergeCell ref="Q78:Q79"/>
    <mergeCell ref="Q80:Q81"/>
    <mergeCell ref="Y100:Y101"/>
    <mergeCell ref="X68:X69"/>
    <mergeCell ref="X74:X75"/>
    <mergeCell ref="W100:W101"/>
    <mergeCell ref="R68:R69"/>
    <mergeCell ref="R74:R75"/>
    <mergeCell ref="S115:S117"/>
    <mergeCell ref="S100:S101"/>
    <mergeCell ref="S102:S103"/>
    <mergeCell ref="AE130:AE131"/>
    <mergeCell ref="Y128:Y129"/>
    <mergeCell ref="Y130:Y131"/>
    <mergeCell ref="AA106:AA107"/>
    <mergeCell ref="AA110:AA111"/>
    <mergeCell ref="W74:W75"/>
    <mergeCell ref="T106:T107"/>
    <mergeCell ref="X100:X101"/>
    <mergeCell ref="X88:X89"/>
    <mergeCell ref="W123:W124"/>
    <mergeCell ref="R102:R103"/>
    <mergeCell ref="W80:W81"/>
    <mergeCell ref="Y76:Y77"/>
    <mergeCell ref="Y78:Y79"/>
    <mergeCell ref="Y80:Y81"/>
    <mergeCell ref="Q102:Q103"/>
    <mergeCell ref="W102:W103"/>
    <mergeCell ref="V104:V105"/>
    <mergeCell ref="V106:V107"/>
    <mergeCell ref="V110:V111"/>
    <mergeCell ref="W110:W111"/>
    <mergeCell ref="AC115:AC117"/>
    <mergeCell ref="T100:T101"/>
    <mergeCell ref="U100:U101"/>
    <mergeCell ref="U102:U103"/>
    <mergeCell ref="R94:R95"/>
    <mergeCell ref="W78:W79"/>
    <mergeCell ref="U115:U117"/>
    <mergeCell ref="U110:U111"/>
    <mergeCell ref="U78:U79"/>
    <mergeCell ref="T78:T79"/>
    <mergeCell ref="T80:T81"/>
    <mergeCell ref="Y115:Y117"/>
    <mergeCell ref="P94:P95"/>
    <mergeCell ref="J115:J117"/>
    <mergeCell ref="J98:J99"/>
    <mergeCell ref="J100:J101"/>
    <mergeCell ref="AF121:AF122"/>
    <mergeCell ref="AF123:AF124"/>
    <mergeCell ref="X115:X117"/>
    <mergeCell ref="X121:X122"/>
    <mergeCell ref="X123:X124"/>
    <mergeCell ref="AD18:AD19"/>
    <mergeCell ref="AD20:AD21"/>
    <mergeCell ref="AE25:AE26"/>
    <mergeCell ref="AE121:AE122"/>
    <mergeCell ref="L121:L122"/>
    <mergeCell ref="L123:L124"/>
    <mergeCell ref="N115:N117"/>
    <mergeCell ref="O98:O99"/>
    <mergeCell ref="O100:O101"/>
    <mergeCell ref="O102:O103"/>
    <mergeCell ref="Z106:Z107"/>
    <mergeCell ref="AB110:AB111"/>
    <mergeCell ref="AB106:AB107"/>
    <mergeCell ref="Y104:Y105"/>
    <mergeCell ref="Z102:Z103"/>
    <mergeCell ref="X96:X97"/>
    <mergeCell ref="S94:S95"/>
    <mergeCell ref="S98:S99"/>
    <mergeCell ref="P100:P101"/>
    <mergeCell ref="P102:P103"/>
    <mergeCell ref="P104:P105"/>
    <mergeCell ref="M115:M117"/>
    <mergeCell ref="Q51:Q52"/>
    <mergeCell ref="Q54:Q55"/>
    <mergeCell ref="AH51:AH52"/>
    <mergeCell ref="AA51:AA52"/>
    <mergeCell ref="Y94:Y95"/>
    <mergeCell ref="X94:X95"/>
    <mergeCell ref="Z80:Z81"/>
    <mergeCell ref="U88:U89"/>
    <mergeCell ref="R96:R97"/>
    <mergeCell ref="S51:S52"/>
    <mergeCell ref="S54:S55"/>
    <mergeCell ref="M57:M62"/>
    <mergeCell ref="M64:M66"/>
    <mergeCell ref="O64:O66"/>
    <mergeCell ref="AC78:AC79"/>
    <mergeCell ref="AB80:AB81"/>
    <mergeCell ref="AB88:AB89"/>
    <mergeCell ref="AF54:AF55"/>
    <mergeCell ref="U96:U97"/>
    <mergeCell ref="U64:U66"/>
    <mergeCell ref="V78:V79"/>
    <mergeCell ref="AD74:AD75"/>
    <mergeCell ref="AF57:AF62"/>
    <mergeCell ref="AH64:AH66"/>
    <mergeCell ref="AD64:AD66"/>
    <mergeCell ref="AB94:AB95"/>
    <mergeCell ref="Z94:Z95"/>
    <mergeCell ref="AA94:AA95"/>
    <mergeCell ref="AA96:AA97"/>
    <mergeCell ref="AF74:AF75"/>
    <mergeCell ref="Z57:Z62"/>
    <mergeCell ref="Z74:Z75"/>
    <mergeCell ref="Q57:Q62"/>
    <mergeCell ref="Q64:Q66"/>
    <mergeCell ref="AI123:AI124"/>
    <mergeCell ref="AK123:AK124"/>
    <mergeCell ref="AI128:AI129"/>
    <mergeCell ref="AJ128:AJ129"/>
    <mergeCell ref="AG80:AG81"/>
    <mergeCell ref="AG88:AG89"/>
    <mergeCell ref="AH98:AH99"/>
    <mergeCell ref="AG98:AG99"/>
    <mergeCell ref="AJ80:AJ81"/>
    <mergeCell ref="AJ106:AJ107"/>
    <mergeCell ref="AG68:AG69"/>
    <mergeCell ref="AH102:AH103"/>
    <mergeCell ref="AH104:AH105"/>
    <mergeCell ref="AG49:AG50"/>
    <mergeCell ref="AG51:AG52"/>
    <mergeCell ref="AH96:AH97"/>
    <mergeCell ref="AJ64:AJ66"/>
    <mergeCell ref="AI57:AI62"/>
    <mergeCell ref="AG104:AG105"/>
    <mergeCell ref="AK78:AK79"/>
    <mergeCell ref="AK121:AK122"/>
    <mergeCell ref="AK128:AK129"/>
    <mergeCell ref="AJ121:AJ122"/>
    <mergeCell ref="AH54:AH55"/>
    <mergeCell ref="AJ49:AJ50"/>
    <mergeCell ref="AJ51:AJ52"/>
    <mergeCell ref="AK64:AK66"/>
    <mergeCell ref="AK98:AK99"/>
    <mergeCell ref="AH68:AH69"/>
    <mergeCell ref="AG64:AG66"/>
    <mergeCell ref="AI88:AI89"/>
    <mergeCell ref="AK88:AK89"/>
    <mergeCell ref="AH130:AH131"/>
    <mergeCell ref="AI130:AI131"/>
    <mergeCell ref="A102:A103"/>
    <mergeCell ref="A49:A50"/>
    <mergeCell ref="A47:A48"/>
    <mergeCell ref="R115:R117"/>
    <mergeCell ref="AF51:AF52"/>
    <mergeCell ref="AG54:AG55"/>
    <mergeCell ref="AH74:AH75"/>
    <mergeCell ref="AI51:AI52"/>
    <mergeCell ref="AH128:AH129"/>
    <mergeCell ref="T47:T48"/>
    <mergeCell ref="T128:T129"/>
    <mergeCell ref="O121:O122"/>
    <mergeCell ref="O123:O124"/>
    <mergeCell ref="N123:N124"/>
    <mergeCell ref="M110:M111"/>
    <mergeCell ref="P115:P117"/>
    <mergeCell ref="K123:K124"/>
    <mergeCell ref="L102:L103"/>
    <mergeCell ref="Q123:Q124"/>
    <mergeCell ref="U130:U131"/>
    <mergeCell ref="U128:U129"/>
    <mergeCell ref="AA128:AA129"/>
    <mergeCell ref="AB121:AB122"/>
    <mergeCell ref="AF78:AF79"/>
    <mergeCell ref="AF80:AF81"/>
    <mergeCell ref="AF88:AF89"/>
    <mergeCell ref="AF94:AF95"/>
    <mergeCell ref="AG128:AG129"/>
    <mergeCell ref="AI49:AI50"/>
    <mergeCell ref="AH49:AH50"/>
    <mergeCell ref="AF11:AF12"/>
    <mergeCell ref="AF47:AF48"/>
    <mergeCell ref="AF9:AF10"/>
    <mergeCell ref="AF5:AF6"/>
    <mergeCell ref="AI23:AI24"/>
    <mergeCell ref="AG9:AG10"/>
    <mergeCell ref="AG20:AG21"/>
    <mergeCell ref="AJ31:AJ32"/>
    <mergeCell ref="AI39:AI41"/>
    <mergeCell ref="AG43:AG44"/>
    <mergeCell ref="AJ25:AJ26"/>
    <mergeCell ref="AG45:AG46"/>
    <mergeCell ref="AI45:AI46"/>
    <mergeCell ref="AJ43:AJ44"/>
    <mergeCell ref="AI47:AI48"/>
    <mergeCell ref="AJ45:AJ46"/>
    <mergeCell ref="AH29:AH30"/>
    <mergeCell ref="AH31:AH32"/>
    <mergeCell ref="AH18:AH19"/>
    <mergeCell ref="AJ39:AJ41"/>
    <mergeCell ref="AJ9:AJ10"/>
    <mergeCell ref="AJ11:AJ12"/>
    <mergeCell ref="AJ18:AJ19"/>
    <mergeCell ref="AJ20:AJ21"/>
    <mergeCell ref="AJ23:AJ24"/>
    <mergeCell ref="AG11:AG12"/>
    <mergeCell ref="AF43:AF44"/>
    <mergeCell ref="AH13:AH14"/>
    <mergeCell ref="AF45:AF46"/>
    <mergeCell ref="AH47:AH48"/>
    <mergeCell ref="AI5:AI6"/>
    <mergeCell ref="AI9:AI10"/>
    <mergeCell ref="AL20:AL21"/>
    <mergeCell ref="AG18:AG19"/>
    <mergeCell ref="AL5:AL6"/>
    <mergeCell ref="AI18:AI19"/>
    <mergeCell ref="AH5:AH6"/>
    <mergeCell ref="AH9:AH10"/>
    <mergeCell ref="AH11:AH12"/>
    <mergeCell ref="AH20:AH21"/>
    <mergeCell ref="AG5:AG6"/>
    <mergeCell ref="AJ5:AJ6"/>
    <mergeCell ref="AM11:AM12"/>
    <mergeCell ref="AN5:AN6"/>
    <mergeCell ref="AN11:AN12"/>
    <mergeCell ref="AN18:AN19"/>
    <mergeCell ref="AL9:AL10"/>
    <mergeCell ref="AM9:AM10"/>
    <mergeCell ref="AN9:AN10"/>
    <mergeCell ref="AI11:AI12"/>
    <mergeCell ref="AL51:AL52"/>
    <mergeCell ref="AM47:AM48"/>
    <mergeCell ref="AM68:AM69"/>
    <mergeCell ref="AM5:AM6"/>
    <mergeCell ref="AK43:AK44"/>
    <mergeCell ref="AK49:AK50"/>
    <mergeCell ref="AK47:AK48"/>
    <mergeCell ref="AN13:AN14"/>
    <mergeCell ref="AO13:AO14"/>
    <mergeCell ref="AL49:AL50"/>
    <mergeCell ref="AN54:AN55"/>
    <mergeCell ref="AL39:AL41"/>
    <mergeCell ref="AM39:AM41"/>
    <mergeCell ref="AL11:AL12"/>
    <mergeCell ref="AK9:AK10"/>
    <mergeCell ref="AK51:AK52"/>
    <mergeCell ref="AK57:AK62"/>
    <mergeCell ref="AK68:AK69"/>
    <mergeCell ref="AK54:AK55"/>
    <mergeCell ref="AN51:AN52"/>
    <mergeCell ref="AO5:AO6"/>
    <mergeCell ref="AO9:AO10"/>
    <mergeCell ref="AK20:AK21"/>
    <mergeCell ref="AN20:AN21"/>
    <mergeCell ref="AK31:AK32"/>
    <mergeCell ref="AK11:AK12"/>
    <mergeCell ref="AN29:AN30"/>
    <mergeCell ref="AK5:AK6"/>
    <mergeCell ref="AM18:AM19"/>
    <mergeCell ref="AO23:AO24"/>
    <mergeCell ref="AO39:AO41"/>
    <mergeCell ref="AO64:AO66"/>
    <mergeCell ref="AT68:AT69"/>
    <mergeCell ref="AT51:AT52"/>
    <mergeCell ref="AT98:AT99"/>
    <mergeCell ref="AQ49:AQ50"/>
    <mergeCell ref="AR78:AR79"/>
    <mergeCell ref="AX78:AX79"/>
    <mergeCell ref="AS49:AS50"/>
    <mergeCell ref="AV45:AV46"/>
    <mergeCell ref="AQ57:AQ62"/>
    <mergeCell ref="AR64:AR66"/>
    <mergeCell ref="AQ78:AQ79"/>
    <mergeCell ref="AV68:AV69"/>
    <mergeCell ref="AV76:AV77"/>
    <mergeCell ref="AV78:AV79"/>
    <mergeCell ref="AU78:AU79"/>
    <mergeCell ref="AQ74:AQ75"/>
    <mergeCell ref="AR76:AR77"/>
    <mergeCell ref="AQ68:AQ69"/>
    <mergeCell ref="BA121:BA122"/>
    <mergeCell ref="BA110:BA111"/>
    <mergeCell ref="BB85:BB87"/>
    <mergeCell ref="BC85:BC87"/>
    <mergeCell ref="BF98:BF99"/>
    <mergeCell ref="BA102:BA103"/>
    <mergeCell ref="BA104:BA105"/>
    <mergeCell ref="BA74:BA75"/>
    <mergeCell ref="BA94:BA95"/>
    <mergeCell ref="BB104:BB105"/>
    <mergeCell ref="BB110:BB111"/>
    <mergeCell ref="BD88:BD89"/>
    <mergeCell ref="BD94:BD95"/>
    <mergeCell ref="BC76:BC77"/>
    <mergeCell ref="BF100:BF101"/>
    <mergeCell ref="BF102:BF103"/>
    <mergeCell ref="AW45:AW46"/>
    <mergeCell ref="AZ54:AZ55"/>
    <mergeCell ref="AY85:AY87"/>
    <mergeCell ref="AZ85:AZ87"/>
    <mergeCell ref="AY74:AY75"/>
    <mergeCell ref="AZ49:AZ50"/>
    <mergeCell ref="AX49:AX50"/>
    <mergeCell ref="AY98:AY99"/>
    <mergeCell ref="AY80:AY81"/>
    <mergeCell ref="BB68:BB69"/>
    <mergeCell ref="BA64:BA66"/>
    <mergeCell ref="BA68:BA69"/>
    <mergeCell ref="BA54:BA55"/>
    <mergeCell ref="AZ57:AZ62"/>
    <mergeCell ref="BA123:BA124"/>
    <mergeCell ref="BC96:BC97"/>
    <mergeCell ref="BC94:BC95"/>
    <mergeCell ref="BB76:BB77"/>
    <mergeCell ref="AZ74:AZ75"/>
    <mergeCell ref="BB74:BB75"/>
    <mergeCell ref="AY76:AY77"/>
    <mergeCell ref="BC88:BC89"/>
    <mergeCell ref="AZ80:AZ81"/>
    <mergeCell ref="BA98:BA99"/>
    <mergeCell ref="AZ110:AZ111"/>
    <mergeCell ref="BC100:BC101"/>
    <mergeCell ref="BC106:BC107"/>
    <mergeCell ref="BB102:BB103"/>
    <mergeCell ref="AZ78:AZ79"/>
    <mergeCell ref="BB98:BB99"/>
    <mergeCell ref="BB80:BB81"/>
    <mergeCell ref="BB88:BB89"/>
    <mergeCell ref="AY78:AY79"/>
    <mergeCell ref="AZ106:AZ107"/>
    <mergeCell ref="BE76:BE77"/>
    <mergeCell ref="BE78:BE79"/>
    <mergeCell ref="BF78:BF79"/>
    <mergeCell ref="BE64:BE66"/>
    <mergeCell ref="BF68:BF69"/>
    <mergeCell ref="BC80:BC81"/>
    <mergeCell ref="BC45:BC46"/>
    <mergeCell ref="BC47:BC48"/>
    <mergeCell ref="BB43:BB44"/>
    <mergeCell ref="BD47:BD48"/>
    <mergeCell ref="BB78:BB79"/>
    <mergeCell ref="BE68:BE69"/>
    <mergeCell ref="BB49:BB50"/>
    <mergeCell ref="BC68:BC69"/>
    <mergeCell ref="BB64:BB66"/>
    <mergeCell ref="AX100:AX101"/>
    <mergeCell ref="BC49:BC50"/>
    <mergeCell ref="BB47:BB48"/>
    <mergeCell ref="BD100:BD101"/>
    <mergeCell ref="BC57:BC62"/>
    <mergeCell ref="AZ94:AZ95"/>
    <mergeCell ref="BD54:BD55"/>
    <mergeCell ref="BD64:BD66"/>
    <mergeCell ref="BD74:BD75"/>
    <mergeCell ref="AY49:AY50"/>
    <mergeCell ref="AY51:AY52"/>
    <mergeCell ref="AY94:AY95"/>
    <mergeCell ref="BA47:BA48"/>
    <mergeCell ref="BA76:BA77"/>
    <mergeCell ref="AZ76:AZ77"/>
    <mergeCell ref="BB96:BB97"/>
    <mergeCell ref="AX85:AX87"/>
    <mergeCell ref="BG74:BG75"/>
    <mergeCell ref="BB51:BB52"/>
    <mergeCell ref="BA57:BA62"/>
    <mergeCell ref="BG54:BG55"/>
    <mergeCell ref="BF43:BF44"/>
    <mergeCell ref="BH54:BH55"/>
    <mergeCell ref="BD51:BD52"/>
    <mergeCell ref="BG43:BG44"/>
    <mergeCell ref="BF54:BF55"/>
    <mergeCell ref="BG51:BG52"/>
    <mergeCell ref="BD45:BD46"/>
    <mergeCell ref="BE74:BE75"/>
    <mergeCell ref="BF64:BF66"/>
    <mergeCell ref="BF57:BF62"/>
    <mergeCell ref="BG68:BG69"/>
    <mergeCell ref="BE43:BE44"/>
    <mergeCell ref="BC29:BC30"/>
    <mergeCell ref="BC31:BC32"/>
    <mergeCell ref="BC39:BC41"/>
    <mergeCell ref="BF51:BF52"/>
    <mergeCell ref="BG57:BG62"/>
    <mergeCell ref="BE47:BE48"/>
    <mergeCell ref="BE51:BE52"/>
    <mergeCell ref="BE54:BE55"/>
    <mergeCell ref="BH68:BH69"/>
    <mergeCell ref="BF39:BF41"/>
    <mergeCell ref="BG23:BG24"/>
    <mergeCell ref="BQ29:BQ30"/>
    <mergeCell ref="BN29:BN30"/>
    <mergeCell ref="BG25:BG26"/>
    <mergeCell ref="BE29:BE30"/>
    <mergeCell ref="BJ57:BJ62"/>
    <mergeCell ref="BF31:BF32"/>
    <mergeCell ref="BF29:BF30"/>
    <mergeCell ref="BH47:BH48"/>
    <mergeCell ref="BH23:BH24"/>
    <mergeCell ref="BH25:BH26"/>
    <mergeCell ref="BF25:BF26"/>
    <mergeCell ref="BI54:BI55"/>
    <mergeCell ref="BE57:BE62"/>
    <mergeCell ref="BI45:BI46"/>
    <mergeCell ref="BG47:BG48"/>
    <mergeCell ref="BG49:BG50"/>
    <mergeCell ref="BG45:BG46"/>
    <mergeCell ref="BH51:BH52"/>
    <mergeCell ref="BG39:BG41"/>
    <mergeCell ref="BH31:BH32"/>
    <mergeCell ref="BH39:BH41"/>
    <mergeCell ref="BE31:BE32"/>
    <mergeCell ref="BG29:BG30"/>
    <mergeCell ref="BG31:BG32"/>
    <mergeCell ref="BF45:BF46"/>
    <mergeCell ref="BH29:BH30"/>
    <mergeCell ref="BH49:BH50"/>
    <mergeCell ref="BJ49:BJ50"/>
    <mergeCell ref="BP23:BP24"/>
    <mergeCell ref="BP25:BP26"/>
    <mergeCell ref="BQ45:BQ46"/>
    <mergeCell ref="BK51:BK52"/>
    <mergeCell ref="BN39:BN41"/>
    <mergeCell ref="BM49:BM50"/>
    <mergeCell ref="BO39:BO41"/>
    <mergeCell ref="BO29:BO30"/>
    <mergeCell ref="BO25:BO26"/>
    <mergeCell ref="BN51:BN52"/>
    <mergeCell ref="BQ31:BQ32"/>
    <mergeCell ref="BM31:BM32"/>
    <mergeCell ref="BR29:BR30"/>
    <mergeCell ref="BR31:BR32"/>
    <mergeCell ref="BL31:BL32"/>
    <mergeCell ref="BQ13:BQ14"/>
    <mergeCell ref="BR13:BR14"/>
    <mergeCell ref="BR23:BR24"/>
    <mergeCell ref="BR25:BR26"/>
    <mergeCell ref="BN23:BN24"/>
    <mergeCell ref="BO23:BO24"/>
    <mergeCell ref="BQ23:BQ24"/>
    <mergeCell ref="BQ39:BQ41"/>
    <mergeCell ref="BO31:BO32"/>
    <mergeCell ref="BO20:BO21"/>
    <mergeCell ref="BK31:BK32"/>
    <mergeCell ref="BK39:BK41"/>
    <mergeCell ref="BJ39:BJ41"/>
    <mergeCell ref="BJ43:BJ44"/>
    <mergeCell ref="BO13:BO14"/>
    <mergeCell ref="BN11:BN12"/>
    <mergeCell ref="BH13:BH14"/>
    <mergeCell ref="BI13:BI14"/>
    <mergeCell ref="BJ13:BJ14"/>
    <mergeCell ref="BK13:BK14"/>
    <mergeCell ref="BL13:BL14"/>
    <mergeCell ref="BM13:BM14"/>
    <mergeCell ref="BO43:BO44"/>
    <mergeCell ref="BK54:BK55"/>
    <mergeCell ref="BK57:BK62"/>
    <mergeCell ref="BN47:BN48"/>
    <mergeCell ref="BO64:BO66"/>
    <mergeCell ref="BL54:BL55"/>
    <mergeCell ref="BI68:BI69"/>
    <mergeCell ref="BJ68:BJ69"/>
    <mergeCell ref="BK43:BK44"/>
    <mergeCell ref="BI51:BI52"/>
    <mergeCell ref="BM57:BM62"/>
    <mergeCell ref="BL25:BL26"/>
    <mergeCell ref="BM23:BM24"/>
    <mergeCell ref="BK64:BK66"/>
    <mergeCell ref="BI64:BI66"/>
    <mergeCell ref="BH45:BH46"/>
    <mergeCell ref="BH43:BH44"/>
    <mergeCell ref="BH64:BH66"/>
    <mergeCell ref="BM43:BM44"/>
    <mergeCell ref="BL51:BL52"/>
    <mergeCell ref="BO51:BO52"/>
    <mergeCell ref="BN54:BN55"/>
    <mergeCell ref="BV64:BV66"/>
    <mergeCell ref="BR54:BR55"/>
    <mergeCell ref="BT76:BT77"/>
    <mergeCell ref="BR47:BR48"/>
    <mergeCell ref="BS47:BS48"/>
    <mergeCell ref="BV49:BV50"/>
    <mergeCell ref="BV54:BV55"/>
    <mergeCell ref="BT49:BT50"/>
    <mergeCell ref="BL76:BL77"/>
    <mergeCell ref="BM54:BM55"/>
    <mergeCell ref="BL57:BL62"/>
    <mergeCell ref="BO76:BO77"/>
    <mergeCell ref="BM64:BM66"/>
    <mergeCell ref="BM68:BM69"/>
    <mergeCell ref="BJ64:BJ66"/>
    <mergeCell ref="BH57:BH62"/>
    <mergeCell ref="BI57:BI62"/>
    <mergeCell ref="BI49:BI50"/>
    <mergeCell ref="BI47:BI48"/>
    <mergeCell ref="BH74:BH75"/>
    <mergeCell ref="BP49:BP50"/>
    <mergeCell ref="BN43:BN44"/>
    <mergeCell ref="BO45:BO46"/>
    <mergeCell ref="BL39:BL41"/>
    <mergeCell ref="BP51:BP52"/>
    <mergeCell ref="BP43:BP44"/>
    <mergeCell ref="BP45:BP46"/>
    <mergeCell ref="BL43:BL44"/>
    <mergeCell ref="BP39:BP41"/>
    <mergeCell ref="BQ43:BQ44"/>
    <mergeCell ref="BO57:BO62"/>
    <mergeCell ref="BP57:BP62"/>
    <mergeCell ref="BM45:BM46"/>
    <mergeCell ref="BN68:BN69"/>
    <mergeCell ref="BP54:BP55"/>
    <mergeCell ref="BQ47:BQ48"/>
    <mergeCell ref="BL68:BL69"/>
    <mergeCell ref="BM80:BM81"/>
    <mergeCell ref="BO74:BO75"/>
    <mergeCell ref="BP76:BP77"/>
    <mergeCell ref="BP47:BP48"/>
    <mergeCell ref="BQ68:BQ69"/>
    <mergeCell ref="BO80:BO81"/>
    <mergeCell ref="BQ49:BQ50"/>
    <mergeCell ref="BQ64:BQ66"/>
    <mergeCell ref="BL74:BL75"/>
    <mergeCell ref="BN45:BN46"/>
    <mergeCell ref="BM51:BM52"/>
    <mergeCell ref="BL64:BL66"/>
    <mergeCell ref="BL78:BL79"/>
    <mergeCell ref="BS121:BS122"/>
    <mergeCell ref="BR94:BR95"/>
    <mergeCell ref="BQ100:BQ101"/>
    <mergeCell ref="BQ85:BQ87"/>
    <mergeCell ref="BR85:BR87"/>
    <mergeCell ref="BS85:BS87"/>
    <mergeCell ref="BT85:BT87"/>
    <mergeCell ref="BU85:BU87"/>
    <mergeCell ref="BQ74:BQ75"/>
    <mergeCell ref="BQ54:BQ55"/>
    <mergeCell ref="BS57:BS62"/>
    <mergeCell ref="BQ51:BQ52"/>
    <mergeCell ref="BR74:BR75"/>
    <mergeCell ref="BT94:BT95"/>
    <mergeCell ref="BQ110:BQ111"/>
    <mergeCell ref="BQ76:BQ77"/>
    <mergeCell ref="BL80:BL81"/>
    <mergeCell ref="BN76:BN77"/>
    <mergeCell ref="BN57:BN62"/>
    <mergeCell ref="BN64:BN66"/>
    <mergeCell ref="BW110:BW111"/>
    <mergeCell ref="BW100:BW101"/>
    <mergeCell ref="BU100:BU101"/>
    <mergeCell ref="BT104:BT105"/>
    <mergeCell ref="BS100:BS101"/>
    <mergeCell ref="BR128:BR129"/>
    <mergeCell ref="BW94:BW95"/>
    <mergeCell ref="BR96:BR97"/>
    <mergeCell ref="BR123:BR124"/>
    <mergeCell ref="BR76:BR77"/>
    <mergeCell ref="BS94:BS95"/>
    <mergeCell ref="BS98:BS99"/>
    <mergeCell ref="BV106:BV107"/>
    <mergeCell ref="BT115:BT117"/>
    <mergeCell ref="BT123:BT124"/>
    <mergeCell ref="BY76:BY77"/>
    <mergeCell ref="BX123:BX124"/>
    <mergeCell ref="BX128:BX129"/>
    <mergeCell ref="BV128:BV129"/>
    <mergeCell ref="BW128:BW129"/>
    <mergeCell ref="BU128:BU129"/>
    <mergeCell ref="BU123:BU124"/>
    <mergeCell ref="BT110:BT111"/>
    <mergeCell ref="BR110:BR111"/>
    <mergeCell ref="BR115:BR117"/>
    <mergeCell ref="BW78:BW79"/>
    <mergeCell ref="BR121:BR122"/>
    <mergeCell ref="BT128:BT129"/>
    <mergeCell ref="BR98:BR99"/>
    <mergeCell ref="BY100:BY101"/>
    <mergeCell ref="BY85:BY87"/>
    <mergeCell ref="BU98:BU99"/>
    <mergeCell ref="BS5:BS6"/>
    <mergeCell ref="BT5:BT6"/>
    <mergeCell ref="BS31:BS32"/>
    <mergeCell ref="BT45:BT46"/>
    <mergeCell ref="BS9:BS10"/>
    <mergeCell ref="BS11:BS12"/>
    <mergeCell ref="BT31:BT32"/>
    <mergeCell ref="BT39:BT41"/>
    <mergeCell ref="BS29:BS30"/>
    <mergeCell ref="BS25:BS26"/>
    <mergeCell ref="BS43:BS44"/>
    <mergeCell ref="BT43:BT44"/>
    <mergeCell ref="BX9:BX10"/>
    <mergeCell ref="BX11:BX12"/>
    <mergeCell ref="BX18:BX19"/>
    <mergeCell ref="BX20:BX21"/>
    <mergeCell ref="BS115:BS117"/>
    <mergeCell ref="BS39:BS41"/>
    <mergeCell ref="BU96:BU97"/>
    <mergeCell ref="BT78:BT79"/>
    <mergeCell ref="BV94:BV95"/>
    <mergeCell ref="BT96:BT97"/>
    <mergeCell ref="BT80:BT81"/>
    <mergeCell ref="BV80:BV81"/>
    <mergeCell ref="BV98:BV99"/>
    <mergeCell ref="BS18:BS19"/>
    <mergeCell ref="BS20:BS21"/>
    <mergeCell ref="BU5:BU6"/>
    <mergeCell ref="BV5:BV6"/>
    <mergeCell ref="BX5:BX6"/>
    <mergeCell ref="BV29:BV30"/>
    <mergeCell ref="BW23:BW24"/>
    <mergeCell ref="CA5:CA6"/>
    <mergeCell ref="BU64:BU66"/>
    <mergeCell ref="BZ64:BZ66"/>
    <mergeCell ref="BU94:BU95"/>
    <mergeCell ref="BT74:BT75"/>
    <mergeCell ref="BT64:BT66"/>
    <mergeCell ref="BT68:BT69"/>
    <mergeCell ref="BV76:BV77"/>
    <mergeCell ref="BV68:BV69"/>
    <mergeCell ref="BY94:BY95"/>
    <mergeCell ref="BW64:BW66"/>
    <mergeCell ref="BZ78:BZ79"/>
    <mergeCell ref="BX74:BX75"/>
    <mergeCell ref="BZ94:BZ95"/>
    <mergeCell ref="BX94:BX95"/>
    <mergeCell ref="BZ43:BZ44"/>
    <mergeCell ref="BY45:BY46"/>
    <mergeCell ref="BV25:BV26"/>
    <mergeCell ref="BT57:BT62"/>
    <mergeCell ref="BV57:BV62"/>
    <mergeCell ref="BU78:BU79"/>
    <mergeCell ref="BU54:BU55"/>
    <mergeCell ref="BW54:BW55"/>
    <mergeCell ref="BY54:BY55"/>
    <mergeCell ref="BW74:BW75"/>
    <mergeCell ref="BX78:BX79"/>
    <mergeCell ref="BY68:BY69"/>
    <mergeCell ref="BY80:BY81"/>
    <mergeCell ref="BU76:BU77"/>
    <mergeCell ref="CA31:CA32"/>
    <mergeCell ref="BZ39:BZ41"/>
    <mergeCell ref="BZ45:BZ46"/>
    <mergeCell ref="BU31:BU32"/>
    <mergeCell ref="BZ23:BZ24"/>
    <mergeCell ref="CF43:CF44"/>
    <mergeCell ref="CA23:CA24"/>
    <mergeCell ref="CA25:CA26"/>
    <mergeCell ref="CE49:CE50"/>
    <mergeCell ref="CA43:CA44"/>
    <mergeCell ref="CB39:CB41"/>
    <mergeCell ref="BZ47:BZ48"/>
    <mergeCell ref="BW25:BW26"/>
    <mergeCell ref="BW29:BW30"/>
    <mergeCell ref="CF13:CF14"/>
    <mergeCell ref="BU29:BU30"/>
    <mergeCell ref="BU45:BU46"/>
    <mergeCell ref="BV43:BV44"/>
    <mergeCell ref="BV45:BV46"/>
    <mergeCell ref="BX31:BX32"/>
    <mergeCell ref="BX39:BX41"/>
    <mergeCell ref="BW47:BW48"/>
    <mergeCell ref="CB25:CB26"/>
    <mergeCell ref="CF25:CF26"/>
    <mergeCell ref="CF29:CF30"/>
    <mergeCell ref="CH29:CH30"/>
    <mergeCell ref="BQ98:BQ99"/>
    <mergeCell ref="BO94:BO95"/>
    <mergeCell ref="BW51:BW52"/>
    <mergeCell ref="BV51:BV52"/>
    <mergeCell ref="BW39:BW41"/>
    <mergeCell ref="CC64:CC66"/>
    <mergeCell ref="BY74:BY75"/>
    <mergeCell ref="BY51:BY52"/>
    <mergeCell ref="BX54:BX55"/>
    <mergeCell ref="BT54:BT55"/>
    <mergeCell ref="BW57:BW62"/>
    <mergeCell ref="BY49:BY50"/>
    <mergeCell ref="BO49:BO50"/>
    <mergeCell ref="BT47:BT48"/>
    <mergeCell ref="BU49:BU50"/>
    <mergeCell ref="BU57:BU62"/>
    <mergeCell ref="BU68:BU69"/>
    <mergeCell ref="BV47:BV48"/>
    <mergeCell ref="BU47:BU48"/>
    <mergeCell ref="BT29:BT30"/>
    <mergeCell ref="BU43:BU44"/>
    <mergeCell ref="BW43:BW44"/>
    <mergeCell ref="BU39:BU41"/>
    <mergeCell ref="BW31:BW32"/>
    <mergeCell ref="CF45:CF46"/>
    <mergeCell ref="BV31:BV32"/>
    <mergeCell ref="BS74:BS75"/>
    <mergeCell ref="BR68:BR69"/>
    <mergeCell ref="BS51:BS52"/>
    <mergeCell ref="CG31:CG32"/>
    <mergeCell ref="CG39:CG41"/>
    <mergeCell ref="BP64:BP66"/>
    <mergeCell ref="BO68:BO69"/>
    <mergeCell ref="BX64:BX66"/>
    <mergeCell ref="BV39:BV41"/>
    <mergeCell ref="BR39:BR41"/>
    <mergeCell ref="BR43:BR44"/>
    <mergeCell ref="BR45:BR46"/>
    <mergeCell ref="BX57:BX62"/>
    <mergeCell ref="BU74:BU75"/>
    <mergeCell ref="BX68:BX69"/>
    <mergeCell ref="CB57:CB62"/>
    <mergeCell ref="BS54:BS55"/>
    <mergeCell ref="BR51:BR52"/>
    <mergeCell ref="BQ57:BQ62"/>
    <mergeCell ref="BS49:BS50"/>
    <mergeCell ref="BW45:BW46"/>
    <mergeCell ref="BX47:BX48"/>
    <mergeCell ref="BZ49:BZ50"/>
    <mergeCell ref="BW49:BW50"/>
    <mergeCell ref="AL110:AL111"/>
    <mergeCell ref="AH115:AH117"/>
    <mergeCell ref="BO78:BO79"/>
    <mergeCell ref="BG96:BG97"/>
    <mergeCell ref="BK96:BK97"/>
    <mergeCell ref="BK80:BK81"/>
    <mergeCell ref="BE96:BE97"/>
    <mergeCell ref="BA80:BA81"/>
    <mergeCell ref="BI78:BI79"/>
    <mergeCell ref="BG78:BG79"/>
    <mergeCell ref="BW80:BW81"/>
    <mergeCell ref="BW106:BW107"/>
    <mergeCell ref="BB106:BB107"/>
    <mergeCell ref="BL100:BL101"/>
    <mergeCell ref="BO98:BO99"/>
    <mergeCell ref="BJ78:BJ79"/>
    <mergeCell ref="BI80:BI81"/>
    <mergeCell ref="BV96:BV97"/>
    <mergeCell ref="BC78:BC79"/>
    <mergeCell ref="BS78:BS79"/>
    <mergeCell ref="BQ96:BQ97"/>
    <mergeCell ref="BA78:BA79"/>
    <mergeCell ref="AN96:AN97"/>
    <mergeCell ref="AU98:AU99"/>
    <mergeCell ref="AW80:AW81"/>
    <mergeCell ref="AR98:AR99"/>
    <mergeCell ref="AQ80:AQ81"/>
    <mergeCell ref="AR88:AR89"/>
    <mergeCell ref="AX80:AX81"/>
    <mergeCell ref="AO80:AO81"/>
    <mergeCell ref="BW98:BW99"/>
    <mergeCell ref="BV100:BV101"/>
    <mergeCell ref="AL106:AL107"/>
    <mergeCell ref="BC25:BC26"/>
    <mergeCell ref="BE25:BE26"/>
    <mergeCell ref="BY43:BY44"/>
    <mergeCell ref="BS68:BS69"/>
    <mergeCell ref="BY64:BY66"/>
    <mergeCell ref="BU51:BU52"/>
    <mergeCell ref="BS45:BS46"/>
    <mergeCell ref="BX43:BX44"/>
    <mergeCell ref="BX45:BX46"/>
    <mergeCell ref="BS76:BS77"/>
    <mergeCell ref="BQ25:BQ26"/>
    <mergeCell ref="BR57:BR62"/>
    <mergeCell ref="BR49:BR50"/>
    <mergeCell ref="BR64:BR66"/>
    <mergeCell ref="BP104:BP105"/>
    <mergeCell ref="BJ102:BJ103"/>
    <mergeCell ref="BK106:BK107"/>
    <mergeCell ref="BK78:BK79"/>
    <mergeCell ref="BL98:BL99"/>
    <mergeCell ref="BL49:BL50"/>
    <mergeCell ref="BY57:BY62"/>
    <mergeCell ref="BV74:BV75"/>
    <mergeCell ref="BG64:BG66"/>
    <mergeCell ref="BI74:BI75"/>
    <mergeCell ref="BC74:BC75"/>
    <mergeCell ref="BC51:BC52"/>
    <mergeCell ref="BR80:BR81"/>
    <mergeCell ref="BJ80:BJ81"/>
    <mergeCell ref="BD96:BD97"/>
    <mergeCell ref="BL94:BL95"/>
    <mergeCell ref="BH98:BH99"/>
    <mergeCell ref="BY47:BY48"/>
    <mergeCell ref="BP78:BP79"/>
    <mergeCell ref="BQ78:BQ79"/>
    <mergeCell ref="BZ76:BZ77"/>
    <mergeCell ref="BW68:BW69"/>
    <mergeCell ref="BF76:BF77"/>
    <mergeCell ref="BZ104:BZ105"/>
    <mergeCell ref="BW102:BW103"/>
    <mergeCell ref="BR102:BR103"/>
    <mergeCell ref="BT102:BT103"/>
    <mergeCell ref="BM47:BM48"/>
    <mergeCell ref="BN49:BN50"/>
    <mergeCell ref="BE104:BE105"/>
    <mergeCell ref="BX98:BX99"/>
    <mergeCell ref="BZ96:BZ97"/>
    <mergeCell ref="BW96:BW97"/>
    <mergeCell ref="BZ80:BZ81"/>
    <mergeCell ref="BH80:BH81"/>
    <mergeCell ref="BT51:BT52"/>
    <mergeCell ref="BY96:BY97"/>
    <mergeCell ref="BI102:BI103"/>
    <mergeCell ref="BK94:BK95"/>
    <mergeCell ref="BL96:BL97"/>
    <mergeCell ref="BZ57:BZ62"/>
    <mergeCell ref="BZ68:BZ69"/>
    <mergeCell ref="BZ74:BZ75"/>
    <mergeCell ref="BZ54:BZ55"/>
    <mergeCell ref="BS96:BS97"/>
    <mergeCell ref="BM74:BM75"/>
    <mergeCell ref="BM76:BM77"/>
    <mergeCell ref="BS64:BS66"/>
    <mergeCell ref="BO54:BO55"/>
    <mergeCell ref="BP80:BP81"/>
    <mergeCell ref="BM78:BM79"/>
    <mergeCell ref="BG80:BG81"/>
    <mergeCell ref="BH94:BH95"/>
    <mergeCell ref="BQ80:BQ81"/>
    <mergeCell ref="BX80:BX81"/>
    <mergeCell ref="BU80:BU81"/>
    <mergeCell ref="BW85:BW87"/>
    <mergeCell ref="BX85:BX87"/>
    <mergeCell ref="BZ98:BZ99"/>
    <mergeCell ref="BS106:BS107"/>
    <mergeCell ref="BP100:BP101"/>
    <mergeCell ref="BH96:BH97"/>
    <mergeCell ref="BD104:BD105"/>
    <mergeCell ref="BG102:BG103"/>
    <mergeCell ref="BI104:BI105"/>
    <mergeCell ref="BJ98:BJ99"/>
    <mergeCell ref="BH106:BH107"/>
    <mergeCell ref="BY78:BY79"/>
    <mergeCell ref="BQ94:BQ95"/>
    <mergeCell ref="BH78:BH79"/>
    <mergeCell ref="BF80:BF81"/>
    <mergeCell ref="BE100:BE101"/>
    <mergeCell ref="BD78:BD79"/>
    <mergeCell ref="BD106:BD107"/>
    <mergeCell ref="BU102:BU103"/>
    <mergeCell ref="BV102:BV103"/>
    <mergeCell ref="BV104:BV105"/>
    <mergeCell ref="BU106:BU107"/>
    <mergeCell ref="BJ104:BJ105"/>
    <mergeCell ref="BK102:BK103"/>
    <mergeCell ref="BK104:BK105"/>
    <mergeCell ref="BF104:BF105"/>
    <mergeCell ref="BL102:BL103"/>
    <mergeCell ref="BJ94:BJ95"/>
    <mergeCell ref="BT106:BT107"/>
    <mergeCell ref="BU104:BU105"/>
    <mergeCell ref="BX104:BX105"/>
    <mergeCell ref="BW104:BW105"/>
    <mergeCell ref="BX106:BX107"/>
    <mergeCell ref="BR100:BR101"/>
    <mergeCell ref="BC98:BC99"/>
    <mergeCell ref="BN94:BN95"/>
    <mergeCell ref="BP94:BP95"/>
    <mergeCell ref="BN98:BN99"/>
    <mergeCell ref="BI98:BI99"/>
    <mergeCell ref="BI96:BI97"/>
    <mergeCell ref="BN96:BN97"/>
    <mergeCell ref="BP96:BP97"/>
    <mergeCell ref="BT100:BT101"/>
    <mergeCell ref="BT98:BT99"/>
    <mergeCell ref="BX100:BX101"/>
    <mergeCell ref="BC104:BC105"/>
    <mergeCell ref="BP98:BP99"/>
    <mergeCell ref="BA85:BA87"/>
    <mergeCell ref="BM94:BM95"/>
    <mergeCell ref="BE80:BE81"/>
    <mergeCell ref="BX96:BX97"/>
    <mergeCell ref="CC29:CC30"/>
    <mergeCell ref="CC31:CC32"/>
    <mergeCell ref="CH43:CH44"/>
    <mergeCell ref="CH45:CH46"/>
    <mergeCell ref="CG51:CG52"/>
    <mergeCell ref="CD45:CD46"/>
    <mergeCell ref="CI39:CI41"/>
    <mergeCell ref="CD43:CD44"/>
    <mergeCell ref="CF47:CF48"/>
    <mergeCell ref="CB43:CB44"/>
    <mergeCell ref="CA47:CA48"/>
    <mergeCell ref="CD57:CD62"/>
    <mergeCell ref="CB49:CB50"/>
    <mergeCell ref="CC51:CC52"/>
    <mergeCell ref="CH31:CH32"/>
    <mergeCell ref="CH39:CH41"/>
    <mergeCell ref="CA57:CA62"/>
    <mergeCell ref="CA49:CA50"/>
    <mergeCell ref="CA45:CA46"/>
    <mergeCell ref="CA54:CA55"/>
    <mergeCell ref="CG43:CG44"/>
    <mergeCell ref="CE51:CE52"/>
    <mergeCell ref="CF57:CF62"/>
    <mergeCell ref="BB94:BB95"/>
    <mergeCell ref="BD76:BD77"/>
    <mergeCell ref="BI76:BI77"/>
    <mergeCell ref="BX76:BX77"/>
    <mergeCell ref="CI45:CI46"/>
    <mergeCell ref="CI47:CI48"/>
    <mergeCell ref="CI31:CI32"/>
    <mergeCell ref="CE57:CE62"/>
    <mergeCell ref="CH57:CH62"/>
    <mergeCell ref="CD54:CD55"/>
    <mergeCell ref="CI57:CI62"/>
    <mergeCell ref="CH49:CH50"/>
    <mergeCell ref="CG47:CG48"/>
    <mergeCell ref="CI51:CI52"/>
    <mergeCell ref="CF74:CF75"/>
    <mergeCell ref="CA64:CA66"/>
    <mergeCell ref="CD64:CD66"/>
    <mergeCell ref="CF68:CF69"/>
    <mergeCell ref="CC68:CC69"/>
    <mergeCell ref="CE74:CE75"/>
    <mergeCell ref="AM88:AM89"/>
    <mergeCell ref="BN80:BN81"/>
    <mergeCell ref="AV88:AV89"/>
    <mergeCell ref="BV78:BV79"/>
    <mergeCell ref="BD85:BD87"/>
    <mergeCell ref="BE85:BE87"/>
    <mergeCell ref="BF85:BF87"/>
    <mergeCell ref="BR78:BR79"/>
    <mergeCell ref="BJ76:BJ77"/>
    <mergeCell ref="BK76:BK77"/>
    <mergeCell ref="BS80:BS81"/>
    <mergeCell ref="BN78:BN79"/>
    <mergeCell ref="BD80:BD81"/>
    <mergeCell ref="BH76:BH77"/>
    <mergeCell ref="BG76:BG77"/>
    <mergeCell ref="BW76:BW77"/>
    <mergeCell ref="BZ51:BZ52"/>
    <mergeCell ref="CA51:CA52"/>
    <mergeCell ref="CB54:CB55"/>
    <mergeCell ref="CC57:CC62"/>
    <mergeCell ref="CC54:CC55"/>
    <mergeCell ref="CC25:CC26"/>
    <mergeCell ref="CE47:CE48"/>
    <mergeCell ref="CE43:CE44"/>
    <mergeCell ref="CD31:CD32"/>
    <mergeCell ref="CA68:CA69"/>
    <mergeCell ref="CB68:CB69"/>
    <mergeCell ref="CB45:CB46"/>
    <mergeCell ref="CB47:CB48"/>
    <mergeCell ref="CG74:CG75"/>
    <mergeCell ref="CE64:CE66"/>
    <mergeCell ref="CE54:CE55"/>
    <mergeCell ref="CF54:CF55"/>
    <mergeCell ref="CG54:CG55"/>
    <mergeCell ref="CA39:CA41"/>
    <mergeCell ref="CB51:CB52"/>
    <mergeCell ref="CB64:CB66"/>
    <mergeCell ref="CB74:CB75"/>
    <mergeCell ref="CE68:CE69"/>
    <mergeCell ref="CF49:CF50"/>
    <mergeCell ref="BZ29:BZ30"/>
    <mergeCell ref="CA29:CA30"/>
    <mergeCell ref="CG29:CG30"/>
    <mergeCell ref="CI43:CI44"/>
    <mergeCell ref="CG57:CG62"/>
    <mergeCell ref="CC74:CC75"/>
    <mergeCell ref="CF64:CF66"/>
    <mergeCell ref="CD68:CD69"/>
    <mergeCell ref="CD74:CD75"/>
    <mergeCell ref="CB31:CB32"/>
    <mergeCell ref="CB29:CB30"/>
    <mergeCell ref="BY29:BY30"/>
    <mergeCell ref="BX29:BX30"/>
    <mergeCell ref="BY31:BY32"/>
    <mergeCell ref="BY25:BY26"/>
    <mergeCell ref="CE31:CE32"/>
    <mergeCell ref="CF51:CF52"/>
    <mergeCell ref="CC47:CC48"/>
    <mergeCell ref="BZ31:BZ32"/>
    <mergeCell ref="BY39:BY41"/>
    <mergeCell ref="CC49:CC50"/>
    <mergeCell ref="CE25:CE26"/>
    <mergeCell ref="BZ25:BZ26"/>
    <mergeCell ref="CC39:CC41"/>
    <mergeCell ref="CC43:CC44"/>
    <mergeCell ref="CD39:CD41"/>
    <mergeCell ref="CD47:CD48"/>
    <mergeCell ref="CD49:CD50"/>
    <mergeCell ref="CF31:CF32"/>
    <mergeCell ref="CF39:CF41"/>
    <mergeCell ref="CD51:CD52"/>
    <mergeCell ref="BX49:BX50"/>
    <mergeCell ref="CE45:CE46"/>
    <mergeCell ref="BX51:BX52"/>
    <mergeCell ref="BX25:BX26"/>
    <mergeCell ref="CM31:CM32"/>
    <mergeCell ref="CM39:CM41"/>
    <mergeCell ref="CE39:CE41"/>
    <mergeCell ref="CC45:CC46"/>
    <mergeCell ref="CE29:CE30"/>
    <mergeCell ref="CJ45:CJ46"/>
    <mergeCell ref="CK47:CK48"/>
    <mergeCell ref="CK49:CK50"/>
    <mergeCell ref="CK68:CK69"/>
    <mergeCell ref="CK51:CK52"/>
    <mergeCell ref="CJ64:CJ66"/>
    <mergeCell ref="CL54:CL55"/>
    <mergeCell ref="CL49:CL50"/>
    <mergeCell ref="CL45:CL46"/>
    <mergeCell ref="CK25:CK26"/>
    <mergeCell ref="CJ23:CJ24"/>
    <mergeCell ref="CK23:CK24"/>
    <mergeCell ref="CG49:CG50"/>
    <mergeCell ref="CI49:CI50"/>
    <mergeCell ref="CI23:CI24"/>
    <mergeCell ref="CH23:CH24"/>
    <mergeCell ref="CG64:CG66"/>
    <mergeCell ref="CK29:CK30"/>
    <mergeCell ref="CI54:CI55"/>
    <mergeCell ref="CG45:CG46"/>
    <mergeCell ref="CL31:CL32"/>
    <mergeCell ref="CJ29:CJ30"/>
    <mergeCell ref="CL64:CL66"/>
    <mergeCell ref="CL47:CL48"/>
    <mergeCell ref="CH47:CH48"/>
    <mergeCell ref="CK64:CK66"/>
    <mergeCell ref="CJ43:CJ44"/>
    <mergeCell ref="CO31:CO32"/>
    <mergeCell ref="CQ54:CQ55"/>
    <mergeCell ref="CI29:CI30"/>
    <mergeCell ref="CH25:CH26"/>
    <mergeCell ref="CG25:CG26"/>
    <mergeCell ref="CJ47:CJ48"/>
    <mergeCell ref="CM68:CM69"/>
    <mergeCell ref="CM45:CM46"/>
    <mergeCell ref="CK54:CK55"/>
    <mergeCell ref="CK31:CK32"/>
    <mergeCell ref="CL51:CL52"/>
    <mergeCell ref="CL39:CL41"/>
    <mergeCell ref="CJ68:CJ69"/>
    <mergeCell ref="CM29:CM30"/>
    <mergeCell ref="CN47:CN48"/>
    <mergeCell ref="CN51:CN52"/>
    <mergeCell ref="CM49:CM50"/>
    <mergeCell ref="CP64:CP66"/>
    <mergeCell ref="CN64:CN66"/>
    <mergeCell ref="CN39:CN41"/>
    <mergeCell ref="CN43:CN44"/>
    <mergeCell ref="CP31:CP32"/>
    <mergeCell ref="CP39:CP41"/>
    <mergeCell ref="CO49:CO50"/>
    <mergeCell ref="CM64:CM66"/>
    <mergeCell ref="CP51:CP52"/>
    <mergeCell ref="CO39:CO41"/>
    <mergeCell ref="CO47:CO48"/>
    <mergeCell ref="CP43:CP44"/>
    <mergeCell ref="CP45:CP46"/>
    <mergeCell ref="CJ49:CJ50"/>
    <mergeCell ref="CL43:CL44"/>
    <mergeCell ref="DE49:DE50"/>
    <mergeCell ref="DC31:DC32"/>
    <mergeCell ref="DD45:DD46"/>
    <mergeCell ref="CW47:CW48"/>
    <mergeCell ref="CX39:CX41"/>
    <mergeCell ref="CV29:CV30"/>
    <mergeCell ref="CR45:CR46"/>
    <mergeCell ref="CJ31:CJ32"/>
    <mergeCell ref="CJ39:CJ41"/>
    <mergeCell ref="CK39:CK41"/>
    <mergeCell ref="CM43:CM44"/>
    <mergeCell ref="CN49:CN50"/>
    <mergeCell ref="CN25:CN26"/>
    <mergeCell ref="CN29:CN30"/>
    <mergeCell ref="CN31:CN32"/>
    <mergeCell ref="CP47:CP48"/>
    <mergeCell ref="CQ31:CQ32"/>
    <mergeCell ref="CP25:CP26"/>
    <mergeCell ref="CQ39:CQ41"/>
    <mergeCell ref="CQ43:CQ44"/>
    <mergeCell ref="CQ47:CQ48"/>
    <mergeCell ref="CP29:CP30"/>
    <mergeCell ref="CQ29:CQ30"/>
    <mergeCell ref="CO29:CO30"/>
    <mergeCell ref="CO43:CO44"/>
    <mergeCell ref="CO45:CO46"/>
    <mergeCell ref="CN45:CN46"/>
    <mergeCell ref="CM47:CM48"/>
    <mergeCell ref="CQ25:CQ26"/>
    <mergeCell ref="CQ45:CQ46"/>
    <mergeCell ref="CP49:CP50"/>
    <mergeCell ref="CQ49:CQ50"/>
    <mergeCell ref="CY39:CY41"/>
    <mergeCell ref="CT47:CT48"/>
    <mergeCell ref="CZ43:CZ44"/>
    <mergeCell ref="CT43:CT44"/>
    <mergeCell ref="CW49:CW50"/>
    <mergeCell ref="CU39:CU41"/>
    <mergeCell ref="CU29:CU30"/>
    <mergeCell ref="CW31:CW32"/>
    <mergeCell ref="CR31:CR32"/>
    <mergeCell ref="CV51:CV52"/>
    <mergeCell ref="CZ51:CZ52"/>
    <mergeCell ref="CT51:CT52"/>
    <mergeCell ref="CX51:CX52"/>
    <mergeCell ref="DC47:DC48"/>
    <mergeCell ref="DF31:DF32"/>
    <mergeCell ref="CL29:CL30"/>
    <mergeCell ref="CK43:CK44"/>
    <mergeCell ref="CK45:CK46"/>
    <mergeCell ref="CZ31:CZ32"/>
    <mergeCell ref="CU49:CU50"/>
    <mergeCell ref="CT39:CT41"/>
    <mergeCell ref="CT45:CT46"/>
    <mergeCell ref="DF47:DF48"/>
    <mergeCell ref="CV43:CV44"/>
    <mergeCell ref="CV45:CV46"/>
    <mergeCell ref="CU47:CU48"/>
    <mergeCell ref="CU43:CU44"/>
    <mergeCell ref="CU45:CU46"/>
    <mergeCell ref="CV47:CV48"/>
    <mergeCell ref="CW45:CW46"/>
    <mergeCell ref="CY29:CY30"/>
    <mergeCell ref="CR29:CR30"/>
    <mergeCell ref="CR39:CR41"/>
    <mergeCell ref="CZ47:CZ48"/>
    <mergeCell ref="DD49:DD50"/>
    <mergeCell ref="DB25:DB26"/>
    <mergeCell ref="CS49:CS50"/>
    <mergeCell ref="CZ49:CZ50"/>
    <mergeCell ref="CS47:CS48"/>
    <mergeCell ref="CY25:CY26"/>
    <mergeCell ref="DZ39:DZ41"/>
    <mergeCell ref="DB43:DB44"/>
    <mergeCell ref="DE43:DE44"/>
    <mergeCell ref="DK39:DK41"/>
    <mergeCell ref="DP39:DP41"/>
    <mergeCell ref="DK29:DK30"/>
    <mergeCell ref="DF29:DF30"/>
    <mergeCell ref="DH43:DH44"/>
    <mergeCell ref="DS43:DS44"/>
    <mergeCell ref="DS39:DS41"/>
    <mergeCell ref="DW29:DW30"/>
    <mergeCell ref="DV39:DV41"/>
    <mergeCell ref="DU39:DU41"/>
    <mergeCell ref="DW39:DW41"/>
    <mergeCell ref="DX39:DX41"/>
    <mergeCell ref="DV45:DV46"/>
    <mergeCell ref="DX45:DX46"/>
    <mergeCell ref="DT39:DT41"/>
    <mergeCell ref="DC39:DC41"/>
    <mergeCell ref="DC29:DC30"/>
    <mergeCell ref="CR43:CR44"/>
    <mergeCell ref="DO43:DO44"/>
    <mergeCell ref="DP29:DP30"/>
    <mergeCell ref="CT29:CT30"/>
    <mergeCell ref="DT43:DT44"/>
    <mergeCell ref="DN43:DN44"/>
    <mergeCell ref="DJ29:DJ30"/>
    <mergeCell ref="DD31:DD32"/>
    <mergeCell ref="DU29:DU30"/>
    <mergeCell ref="DO45:DO46"/>
    <mergeCell ref="DO39:DO41"/>
    <mergeCell ref="DK43:DK44"/>
    <mergeCell ref="DJ25:DJ26"/>
    <mergeCell ref="DM25:DM26"/>
    <mergeCell ref="CS45:CS46"/>
    <mergeCell ref="CU31:CU32"/>
    <mergeCell ref="DL25:DL26"/>
    <mergeCell ref="DI43:DI44"/>
    <mergeCell ref="CU25:CU26"/>
    <mergeCell ref="DF25:DF26"/>
    <mergeCell ref="DI45:DI46"/>
    <mergeCell ref="DI39:DI41"/>
    <mergeCell ref="DR43:DR44"/>
    <mergeCell ref="DH25:DH26"/>
    <mergeCell ref="DH29:DH30"/>
    <mergeCell ref="DT45:DT46"/>
    <mergeCell ref="CY43:CY44"/>
    <mergeCell ref="CS25:CS26"/>
    <mergeCell ref="CX31:CX32"/>
    <mergeCell ref="CS39:CS41"/>
    <mergeCell ref="CS31:CS32"/>
    <mergeCell ref="DC25:DC26"/>
    <mergeCell ref="CV39:CV41"/>
    <mergeCell ref="CV31:CV32"/>
    <mergeCell ref="CT31:CT32"/>
    <mergeCell ref="CX25:CX26"/>
    <mergeCell ref="CZ39:CZ41"/>
    <mergeCell ref="DA39:DA41"/>
    <mergeCell ref="DB45:DB46"/>
    <mergeCell ref="DC43:DC44"/>
    <mergeCell ref="DB29:DB30"/>
    <mergeCell ref="DA31:DA32"/>
    <mergeCell ref="DA45:DA46"/>
    <mergeCell ref="DG39:DG41"/>
    <mergeCell ref="DF39:DF41"/>
    <mergeCell ref="DE39:DE41"/>
    <mergeCell ref="CW39:CW41"/>
    <mergeCell ref="DA29:DA30"/>
    <mergeCell ref="CZ29:CZ30"/>
    <mergeCell ref="DE47:DE48"/>
    <mergeCell ref="CW29:CW30"/>
    <mergeCell ref="CX47:CX48"/>
    <mergeCell ref="DD39:DD41"/>
    <mergeCell ref="CY47:CY48"/>
    <mergeCell ref="DB31:DB32"/>
    <mergeCell ref="DE31:DE32"/>
    <mergeCell ref="DB39:DB41"/>
    <mergeCell ref="DA43:DA44"/>
    <mergeCell ref="DC45:DC46"/>
    <mergeCell ref="DE29:DE30"/>
    <mergeCell ref="DE45:DE46"/>
    <mergeCell ref="CX29:CX30"/>
    <mergeCell ref="DD47:DD48"/>
    <mergeCell ref="DB47:DB48"/>
    <mergeCell ref="CX45:CX46"/>
    <mergeCell ref="CY45:CY46"/>
    <mergeCell ref="CY31:CY32"/>
    <mergeCell ref="CW43:CW44"/>
    <mergeCell ref="CS29:CS30"/>
    <mergeCell ref="DH39:DH41"/>
    <mergeCell ref="DM43:DM44"/>
    <mergeCell ref="DJ43:DJ44"/>
    <mergeCell ref="DS49:DS50"/>
    <mergeCell ref="DQ45:DQ46"/>
    <mergeCell ref="DA25:DA26"/>
    <mergeCell ref="DJ39:DJ41"/>
    <mergeCell ref="DR39:DR41"/>
    <mergeCell ref="DI25:DI26"/>
    <mergeCell ref="DK25:DK26"/>
    <mergeCell ref="DQ25:DQ26"/>
    <mergeCell ref="DL39:DL41"/>
    <mergeCell ref="DG25:DG26"/>
    <mergeCell ref="DN45:DN46"/>
    <mergeCell ref="DG29:DG30"/>
    <mergeCell ref="DL43:DL44"/>
    <mergeCell ref="DF49:DF50"/>
    <mergeCell ref="DP43:DP44"/>
    <mergeCell ref="DD29:DD30"/>
    <mergeCell ref="DM39:DM41"/>
    <mergeCell ref="DS29:DS30"/>
    <mergeCell ref="DQ39:DQ41"/>
    <mergeCell ref="DP25:DP26"/>
    <mergeCell ref="DO29:DO30"/>
    <mergeCell ref="DL47:DL48"/>
    <mergeCell ref="DQ29:DQ30"/>
    <mergeCell ref="DD25:DD26"/>
    <mergeCell ref="DH47:DH48"/>
    <mergeCell ref="DR25:DR26"/>
    <mergeCell ref="DM29:DM30"/>
    <mergeCell ref="DL45:DL46"/>
    <mergeCell ref="DS80:DS81"/>
    <mergeCell ref="DR80:DR81"/>
    <mergeCell ref="DI94:DI95"/>
    <mergeCell ref="DR106:DR107"/>
    <mergeCell ref="DQ104:DQ105"/>
    <mergeCell ref="DP76:DP77"/>
    <mergeCell ref="DQ80:DQ81"/>
    <mergeCell ref="DO80:DO81"/>
    <mergeCell ref="DL80:DL81"/>
    <mergeCell ref="DR76:DR77"/>
    <mergeCell ref="DR94:DR95"/>
    <mergeCell ref="DM96:DM97"/>
    <mergeCell ref="DN100:DN101"/>
    <mergeCell ref="DI98:DI99"/>
    <mergeCell ref="DP98:DP99"/>
    <mergeCell ref="DI96:DI97"/>
    <mergeCell ref="DL94:DL95"/>
    <mergeCell ref="DK94:DK95"/>
    <mergeCell ref="DQ85:DQ87"/>
    <mergeCell ref="DR85:DR87"/>
    <mergeCell ref="DS85:DS87"/>
    <mergeCell ref="DP100:DP101"/>
    <mergeCell ref="DQ100:DQ101"/>
    <mergeCell ref="DP80:DP81"/>
    <mergeCell ref="DO76:DO77"/>
    <mergeCell ref="DN80:DN81"/>
    <mergeCell ref="DV94:DV95"/>
    <mergeCell ref="DS94:DS95"/>
    <mergeCell ref="DU100:DU101"/>
    <mergeCell ref="DT100:DT101"/>
    <mergeCell ref="DO98:DO99"/>
    <mergeCell ref="DK98:DK99"/>
    <mergeCell ref="DN96:DN97"/>
    <mergeCell ref="DM104:DM105"/>
    <mergeCell ref="DV110:DV111"/>
    <mergeCell ref="DL96:DL97"/>
    <mergeCell ref="DG110:DG111"/>
    <mergeCell ref="DG80:DG81"/>
    <mergeCell ref="DH100:DH101"/>
    <mergeCell ref="DG100:DG101"/>
    <mergeCell ref="DK96:DK97"/>
    <mergeCell ref="DF94:DF95"/>
    <mergeCell ref="DF110:DF111"/>
    <mergeCell ref="DJ80:DJ81"/>
    <mergeCell ref="DH96:DH97"/>
    <mergeCell ref="DJ100:DJ101"/>
    <mergeCell ref="DM94:DM95"/>
    <mergeCell ref="DP94:DP95"/>
    <mergeCell ref="DO106:DO107"/>
    <mergeCell ref="DO100:DO101"/>
    <mergeCell ref="DP96:DP97"/>
    <mergeCell ref="DK104:DK105"/>
    <mergeCell ref="DI104:DI105"/>
    <mergeCell ref="DO102:DO103"/>
    <mergeCell ref="DS104:DS105"/>
    <mergeCell ref="DI80:DI81"/>
    <mergeCell ref="DF96:DF97"/>
    <mergeCell ref="DM98:DM99"/>
    <mergeCell ref="DE94:DE95"/>
    <mergeCell ref="DF100:DF101"/>
    <mergeCell ref="DF102:DF103"/>
    <mergeCell ref="DG102:DG103"/>
    <mergeCell ref="DG94:DG95"/>
    <mergeCell ref="DG96:DG97"/>
    <mergeCell ref="DE102:DE103"/>
    <mergeCell ref="DH94:DH95"/>
    <mergeCell ref="DJ94:DJ95"/>
    <mergeCell ref="DJ121:DJ122"/>
    <mergeCell ref="DD106:DD107"/>
    <mergeCell ref="DM106:DM107"/>
    <mergeCell ref="DL98:DL99"/>
    <mergeCell ref="DK100:DK101"/>
    <mergeCell ref="DL100:DL101"/>
    <mergeCell ref="DM100:DM101"/>
    <mergeCell ref="DL102:DL103"/>
    <mergeCell ref="DH98:DH99"/>
    <mergeCell ref="DI106:DI107"/>
    <mergeCell ref="DG121:DG122"/>
    <mergeCell ref="DG98:DG99"/>
    <mergeCell ref="DE96:DE97"/>
    <mergeCell ref="DE98:DE99"/>
    <mergeCell ref="DE110:DE111"/>
    <mergeCell ref="DE106:DE107"/>
    <mergeCell ref="DE100:DE101"/>
    <mergeCell ref="DD96:DD97"/>
    <mergeCell ref="DD98:DD99"/>
    <mergeCell ref="DD110:DD111"/>
    <mergeCell ref="DD102:DD103"/>
    <mergeCell ref="DD121:DD122"/>
    <mergeCell ref="DE121:DE122"/>
    <mergeCell ref="DN121:DN122"/>
    <mergeCell ref="DF128:DF129"/>
    <mergeCell ref="DJ110:DJ111"/>
    <mergeCell ref="DM121:DM122"/>
    <mergeCell ref="DK106:DK107"/>
    <mergeCell ref="DH102:DH103"/>
    <mergeCell ref="DI102:DI103"/>
    <mergeCell ref="DH104:DH105"/>
    <mergeCell ref="DK110:DK111"/>
    <mergeCell ref="DF104:DF105"/>
    <mergeCell ref="DG104:DG105"/>
    <mergeCell ref="DJ104:DJ105"/>
    <mergeCell ref="DJ106:DJ107"/>
    <mergeCell ref="DI100:DI101"/>
    <mergeCell ref="DF106:DF107"/>
    <mergeCell ref="DN106:DN107"/>
    <mergeCell ref="DN102:DN103"/>
    <mergeCell ref="DF123:DF124"/>
    <mergeCell ref="DH121:DH122"/>
    <mergeCell ref="DF121:DF122"/>
    <mergeCell ref="DI110:DI111"/>
    <mergeCell ref="DL121:DL122"/>
    <mergeCell ref="DM102:DM103"/>
    <mergeCell ref="DP121:DP122"/>
    <mergeCell ref="DQ98:DQ99"/>
    <mergeCell ref="DU96:DU97"/>
    <mergeCell ref="DV96:DV97"/>
    <mergeCell ref="DN94:DN95"/>
    <mergeCell ref="DU130:DU131"/>
    <mergeCell ref="DR96:DR97"/>
    <mergeCell ref="DW104:DW105"/>
    <mergeCell ref="DT123:DT124"/>
    <mergeCell ref="DV128:DV129"/>
    <mergeCell ref="DV123:DV124"/>
    <mergeCell ref="DS123:DS124"/>
    <mergeCell ref="DS130:DS131"/>
    <mergeCell ref="DV98:DV99"/>
    <mergeCell ref="DT106:DT107"/>
    <mergeCell ref="DC130:DC131"/>
    <mergeCell ref="DQ128:DQ129"/>
    <mergeCell ref="DO123:DO124"/>
    <mergeCell ref="DJ96:DJ97"/>
    <mergeCell ref="DQ106:DQ107"/>
    <mergeCell ref="DH128:DH129"/>
    <mergeCell ref="DU104:DU105"/>
    <mergeCell ref="DS121:DS122"/>
    <mergeCell ref="DK121:DK122"/>
    <mergeCell ref="DN104:DN105"/>
    <mergeCell ref="DO96:DO97"/>
    <mergeCell ref="DP102:DP103"/>
    <mergeCell ref="DO104:DO105"/>
    <mergeCell ref="DL106:DL107"/>
    <mergeCell ref="DJ98:DJ99"/>
    <mergeCell ref="DH106:DH107"/>
    <mergeCell ref="DV104:DV105"/>
    <mergeCell ref="DP123:DP124"/>
    <mergeCell ref="DY121:DY122"/>
    <mergeCell ref="DR123:DR124"/>
    <mergeCell ref="DU123:DU124"/>
    <mergeCell ref="DT130:DT131"/>
    <mergeCell ref="DY130:DY131"/>
    <mergeCell ref="DV130:DV131"/>
    <mergeCell ref="DW121:DW122"/>
    <mergeCell ref="DW94:DW95"/>
    <mergeCell ref="DR98:DR99"/>
    <mergeCell ref="DN98:DN99"/>
    <mergeCell ref="DS96:DS97"/>
    <mergeCell ref="DT98:DT99"/>
    <mergeCell ref="DU98:DU99"/>
    <mergeCell ref="DV100:DV101"/>
    <mergeCell ref="DS98:DS99"/>
    <mergeCell ref="DS100:DS101"/>
    <mergeCell ref="DO94:DO95"/>
    <mergeCell ref="DT128:DT129"/>
    <mergeCell ref="DR128:DR129"/>
    <mergeCell ref="DQ94:DQ95"/>
    <mergeCell ref="DU94:DU95"/>
    <mergeCell ref="DQ96:DQ97"/>
    <mergeCell ref="DP130:DP131"/>
    <mergeCell ref="DW110:DW111"/>
    <mergeCell ref="DO110:DO111"/>
    <mergeCell ref="DR110:DR111"/>
    <mergeCell ref="DS110:DS111"/>
    <mergeCell ref="DP106:DP107"/>
    <mergeCell ref="DU110:DU111"/>
    <mergeCell ref="DP110:DP111"/>
    <mergeCell ref="DQ110:DQ111"/>
    <mergeCell ref="DT110:DT111"/>
    <mergeCell ref="DH110:DH111"/>
    <mergeCell ref="DX128:DX129"/>
    <mergeCell ref="DW106:DW107"/>
    <mergeCell ref="DN110:DN111"/>
    <mergeCell ref="DL110:DL111"/>
    <mergeCell ref="DN123:DN124"/>
    <mergeCell ref="DX104:DX105"/>
    <mergeCell ref="DU128:DU129"/>
    <mergeCell ref="DX110:DX111"/>
    <mergeCell ref="DR130:DR131"/>
    <mergeCell ref="DS128:DS129"/>
    <mergeCell ref="DL104:DL105"/>
    <mergeCell ref="DJ102:DJ103"/>
    <mergeCell ref="DL130:DL131"/>
    <mergeCell ref="DW128:DW129"/>
    <mergeCell ref="DQ130:DQ131"/>
    <mergeCell ref="DX123:DX124"/>
    <mergeCell ref="DV121:DV122"/>
    <mergeCell ref="DO121:DO122"/>
    <mergeCell ref="DQ121:DQ122"/>
    <mergeCell ref="DW130:DW131"/>
    <mergeCell ref="DW123:DW124"/>
    <mergeCell ref="DT121:DT122"/>
    <mergeCell ref="DI121:DI122"/>
    <mergeCell ref="DM110:DM111"/>
    <mergeCell ref="DU121:DU122"/>
    <mergeCell ref="DN130:DN131"/>
    <mergeCell ref="DH130:DH131"/>
    <mergeCell ref="DK102:DK103"/>
    <mergeCell ref="DQ102:DQ103"/>
    <mergeCell ref="DR102:DR103"/>
    <mergeCell ref="DJ130:DJ131"/>
    <mergeCell ref="DJ128:DJ129"/>
    <mergeCell ref="DI130:DI131"/>
    <mergeCell ref="DE128:DE129"/>
    <mergeCell ref="DM130:DM131"/>
    <mergeCell ref="DK123:DK124"/>
    <mergeCell ref="DO128:DO129"/>
    <mergeCell ref="DI128:DI129"/>
    <mergeCell ref="DL128:DL129"/>
    <mergeCell ref="DH123:DH124"/>
    <mergeCell ref="DL123:DL124"/>
    <mergeCell ref="DI123:DI124"/>
    <mergeCell ref="DM123:DM124"/>
    <mergeCell ref="DO130:DO131"/>
    <mergeCell ref="DJ123:DJ124"/>
    <mergeCell ref="DK130:DK131"/>
    <mergeCell ref="DK128:DK129"/>
    <mergeCell ref="DN128:DN129"/>
    <mergeCell ref="DG130:DG131"/>
    <mergeCell ref="DF130:DF131"/>
    <mergeCell ref="DG128:DG129"/>
    <mergeCell ref="DR121:DR122"/>
    <mergeCell ref="EY130:EY131"/>
    <mergeCell ref="DP128:DP129"/>
    <mergeCell ref="DM128:DM129"/>
    <mergeCell ref="DQ123:DQ124"/>
    <mergeCell ref="DZ110:DZ111"/>
    <mergeCell ref="DX130:DX131"/>
    <mergeCell ref="DZ128:DZ129"/>
    <mergeCell ref="DX121:DX122"/>
    <mergeCell ref="DY128:DY129"/>
    <mergeCell ref="DY110:DY111"/>
    <mergeCell ref="DZ121:DZ122"/>
    <mergeCell ref="DY123:DY124"/>
    <mergeCell ref="EJ128:EJ129"/>
    <mergeCell ref="EQ110:EQ111"/>
    <mergeCell ref="EF110:EF111"/>
    <mergeCell ref="EC121:EC122"/>
    <mergeCell ref="ES128:ES129"/>
    <mergeCell ref="EN128:EN129"/>
    <mergeCell ref="EE110:EE111"/>
    <mergeCell ref="EV128:EV129"/>
    <mergeCell ref="EP128:EP129"/>
    <mergeCell ref="EK110:EK111"/>
    <mergeCell ref="EJ110:EJ111"/>
    <mergeCell ref="EK128:EK129"/>
    <mergeCell ref="EB110:EB111"/>
    <mergeCell ref="EO128:EO129"/>
    <mergeCell ref="EQ128:EQ129"/>
    <mergeCell ref="EI110:EI111"/>
    <mergeCell ref="EL128:EL129"/>
    <mergeCell ref="EG110:EG111"/>
    <mergeCell ref="ED121:ED122"/>
    <mergeCell ref="HF102:HF103"/>
    <mergeCell ref="HF106:HF107"/>
    <mergeCell ref="HF123:HF124"/>
    <mergeCell ref="HD128:HD129"/>
    <mergeCell ref="HE78:HE79"/>
    <mergeCell ref="HF88:HF89"/>
    <mergeCell ref="HF98:HF99"/>
    <mergeCell ref="HF121:HF122"/>
    <mergeCell ref="HD78:HD79"/>
    <mergeCell ref="GZ104:GZ105"/>
    <mergeCell ref="HB128:HB129"/>
    <mergeCell ref="HC104:HC105"/>
    <mergeCell ref="GZ78:GZ79"/>
    <mergeCell ref="HD94:HD95"/>
    <mergeCell ref="HF104:HF105"/>
    <mergeCell ref="HD100:HD101"/>
    <mergeCell ref="HD96:HD97"/>
    <mergeCell ref="HF110:HF111"/>
    <mergeCell ref="HC128:HC129"/>
    <mergeCell ref="HC106:HC107"/>
    <mergeCell ref="HE100:HE101"/>
    <mergeCell ref="HF100:HF101"/>
    <mergeCell ref="HF115:HF117"/>
    <mergeCell ref="HE128:HE129"/>
    <mergeCell ref="HF96:HF97"/>
    <mergeCell ref="HF94:HF95"/>
    <mergeCell ref="HA128:HA129"/>
    <mergeCell ref="HD104:HD105"/>
    <mergeCell ref="HF80:HF81"/>
    <mergeCell ref="HF78:HF79"/>
    <mergeCell ref="HF128:HF129"/>
    <mergeCell ref="HE94:HE95"/>
    <mergeCell ref="EX121:EX122"/>
    <mergeCell ref="ET121:ET122"/>
    <mergeCell ref="EU121:EU122"/>
    <mergeCell ref="EV121:EV122"/>
    <mergeCell ref="EG128:EG129"/>
    <mergeCell ref="EM121:EM122"/>
    <mergeCell ref="GZ106:GZ107"/>
    <mergeCell ref="GV106:GV107"/>
    <mergeCell ref="GV128:GV129"/>
    <mergeCell ref="GR106:GR107"/>
    <mergeCell ref="GZ128:GZ129"/>
    <mergeCell ref="EX106:EX107"/>
    <mergeCell ref="EV110:EV111"/>
    <mergeCell ref="EU106:EU107"/>
    <mergeCell ref="GM128:GM129"/>
    <mergeCell ref="EV106:EV107"/>
    <mergeCell ref="ES110:ES111"/>
    <mergeCell ref="EY128:EY129"/>
    <mergeCell ref="GY128:GY129"/>
    <mergeCell ref="GP106:GP107"/>
    <mergeCell ref="GO106:GO107"/>
    <mergeCell ref="EQ121:EQ122"/>
    <mergeCell ref="EX128:EX129"/>
    <mergeCell ref="EW128:EW129"/>
    <mergeCell ref="EO121:EO122"/>
    <mergeCell ref="EN121:EN122"/>
    <mergeCell ref="EO110:EO111"/>
    <mergeCell ref="EP110:EP111"/>
    <mergeCell ref="GU106:GU107"/>
    <mergeCell ref="EU128:EU129"/>
    <mergeCell ref="EX110:EX111"/>
    <mergeCell ref="GB128:GB129"/>
    <mergeCell ref="GR128:GR129"/>
    <mergeCell ref="HA104:HA105"/>
    <mergeCell ref="GR100:GR101"/>
    <mergeCell ref="GO100:GO101"/>
    <mergeCell ref="HB96:HB97"/>
    <mergeCell ref="HB78:HB79"/>
    <mergeCell ref="GY94:GY95"/>
    <mergeCell ref="GV104:GV105"/>
    <mergeCell ref="GW104:GW105"/>
    <mergeCell ref="HB106:HB107"/>
    <mergeCell ref="GY96:GY97"/>
    <mergeCell ref="HB94:HB95"/>
    <mergeCell ref="GS96:GS97"/>
    <mergeCell ref="GV94:GV95"/>
    <mergeCell ref="GO128:GO129"/>
    <mergeCell ref="GW96:GW97"/>
    <mergeCell ref="GS104:GS105"/>
    <mergeCell ref="GX94:GX95"/>
    <mergeCell ref="HB100:HB101"/>
    <mergeCell ref="GU128:GU129"/>
    <mergeCell ref="GQ128:GQ129"/>
    <mergeCell ref="GP128:GP129"/>
    <mergeCell ref="GO104:GO105"/>
    <mergeCell ref="GO94:GO95"/>
    <mergeCell ref="GP96:GP97"/>
    <mergeCell ref="GP100:GP101"/>
    <mergeCell ref="HA78:HA79"/>
    <mergeCell ref="GQ94:GQ95"/>
    <mergeCell ref="HA96:HA97"/>
    <mergeCell ref="HF130:HF131"/>
    <mergeCell ref="HC78:HC79"/>
    <mergeCell ref="HE106:HE107"/>
    <mergeCell ref="HE96:HE97"/>
    <mergeCell ref="GW128:GW129"/>
    <mergeCell ref="GX128:GX129"/>
    <mergeCell ref="GT128:GT129"/>
    <mergeCell ref="GQ106:GQ107"/>
    <mergeCell ref="GX96:GX97"/>
    <mergeCell ref="GZ96:GZ97"/>
    <mergeCell ref="GZ94:GZ95"/>
    <mergeCell ref="GS128:GS129"/>
    <mergeCell ref="GT106:GT107"/>
    <mergeCell ref="GS106:GS107"/>
    <mergeCell ref="HC96:HC97"/>
    <mergeCell ref="HC100:HC101"/>
    <mergeCell ref="GX106:GX107"/>
    <mergeCell ref="HE104:HE105"/>
    <mergeCell ref="HC94:HC95"/>
    <mergeCell ref="HA94:HA95"/>
    <mergeCell ref="GU78:GU79"/>
    <mergeCell ref="GX104:GX105"/>
    <mergeCell ref="GY106:GY107"/>
    <mergeCell ref="HA106:HA107"/>
    <mergeCell ref="GX78:GX79"/>
    <mergeCell ref="GS94:GS95"/>
    <mergeCell ref="GY78:GY79"/>
    <mergeCell ref="HB104:HB105"/>
    <mergeCell ref="HD106:HD107"/>
    <mergeCell ref="GW106:GW107"/>
    <mergeCell ref="GW78:GW79"/>
    <mergeCell ref="GV78:GV79"/>
    <mergeCell ref="GM76:GM77"/>
    <mergeCell ref="GN74:GN75"/>
    <mergeCell ref="GP51:GP52"/>
    <mergeCell ref="GR51:GR52"/>
    <mergeCell ref="GW76:GW77"/>
    <mergeCell ref="GT76:GT77"/>
    <mergeCell ref="GY74:GY75"/>
    <mergeCell ref="GS74:GS75"/>
    <mergeCell ref="GN51:GN52"/>
    <mergeCell ref="GS76:GS77"/>
    <mergeCell ref="GS51:GS52"/>
    <mergeCell ref="GY104:GY105"/>
    <mergeCell ref="GR94:GR95"/>
    <mergeCell ref="GR104:GR105"/>
    <mergeCell ref="GP78:GP79"/>
    <mergeCell ref="GU104:GU105"/>
    <mergeCell ref="GV100:GV101"/>
    <mergeCell ref="GS100:GS101"/>
    <mergeCell ref="GN78:GN79"/>
    <mergeCell ref="GM78:GM79"/>
    <mergeCell ref="GP104:GP105"/>
    <mergeCell ref="GO96:GO97"/>
    <mergeCell ref="GS78:GS79"/>
    <mergeCell ref="GW100:GW101"/>
    <mergeCell ref="GT104:GT105"/>
    <mergeCell ref="GT94:GT95"/>
    <mergeCell ref="GJ74:GJ75"/>
    <mergeCell ref="GW94:GW95"/>
    <mergeCell ref="GQ78:GQ79"/>
    <mergeCell ref="GP94:GP95"/>
    <mergeCell ref="GX76:GX77"/>
    <mergeCell ref="GF51:GF52"/>
    <mergeCell ref="GT78:GT79"/>
    <mergeCell ref="GQ100:GQ101"/>
    <mergeCell ref="GG96:GG97"/>
    <mergeCell ref="GR96:GR97"/>
    <mergeCell ref="GT100:GT101"/>
    <mergeCell ref="GR78:GR79"/>
    <mergeCell ref="GN94:GN95"/>
    <mergeCell ref="GQ104:GQ105"/>
    <mergeCell ref="GU100:GU101"/>
    <mergeCell ref="GN76:GN77"/>
    <mergeCell ref="GM96:GM97"/>
    <mergeCell ref="GQ96:GQ97"/>
    <mergeCell ref="GT96:GT97"/>
    <mergeCell ref="GN96:GN97"/>
    <mergeCell ref="GM94:GM95"/>
    <mergeCell ref="GL96:GL97"/>
    <mergeCell ref="GK74:GK75"/>
    <mergeCell ref="GO78:GO79"/>
    <mergeCell ref="GL78:GL79"/>
    <mergeCell ref="GH94:GH95"/>
    <mergeCell ref="GN100:GN101"/>
    <mergeCell ref="GJ100:GJ101"/>
    <mergeCell ref="GL94:GL95"/>
    <mergeCell ref="GI100:GI101"/>
    <mergeCell ref="GU76:GU77"/>
    <mergeCell ref="GM100:GM101"/>
    <mergeCell ref="GE78:GE79"/>
    <mergeCell ref="GO49:GO50"/>
    <mergeCell ref="GE94:GE95"/>
    <mergeCell ref="GJ94:GJ95"/>
    <mergeCell ref="GH96:GH97"/>
    <mergeCell ref="GI96:GI97"/>
    <mergeCell ref="GK94:GK95"/>
    <mergeCell ref="GV96:GV97"/>
    <mergeCell ref="GU94:GU95"/>
    <mergeCell ref="GU96:GU97"/>
    <mergeCell ref="GP74:GP75"/>
    <mergeCell ref="GM47:GM48"/>
    <mergeCell ref="GI49:GI50"/>
    <mergeCell ref="GR49:GR50"/>
    <mergeCell ref="GO47:GO48"/>
    <mergeCell ref="GC74:GC75"/>
    <mergeCell ref="GG78:GG79"/>
    <mergeCell ref="GC51:GC52"/>
    <mergeCell ref="GD78:GD79"/>
    <mergeCell ref="GG51:GG52"/>
    <mergeCell ref="GL51:GL52"/>
    <mergeCell ref="GD51:GD52"/>
    <mergeCell ref="GK78:GK79"/>
    <mergeCell ref="GJ78:GJ79"/>
    <mergeCell ref="GE76:GE77"/>
    <mergeCell ref="GE74:GE75"/>
    <mergeCell ref="GR76:GR77"/>
    <mergeCell ref="GH76:GH77"/>
    <mergeCell ref="GK76:GK77"/>
    <mergeCell ref="GM51:GM52"/>
    <mergeCell ref="GO51:GO52"/>
    <mergeCell ref="GH78:GH79"/>
    <mergeCell ref="GG47:GG48"/>
    <mergeCell ref="GJ51:GJ52"/>
    <mergeCell ref="GA51:GA52"/>
    <mergeCell ref="GH51:GH52"/>
    <mergeCell ref="GB76:GB77"/>
    <mergeCell ref="GA78:GA79"/>
    <mergeCell ref="GD47:GD48"/>
    <mergeCell ref="GE47:GE48"/>
    <mergeCell ref="GB51:GB52"/>
    <mergeCell ref="GK49:GK50"/>
    <mergeCell ref="GB47:GB48"/>
    <mergeCell ref="GC94:GC95"/>
    <mergeCell ref="GF94:GF95"/>
    <mergeCell ref="GE51:GE52"/>
    <mergeCell ref="GE49:GE50"/>
    <mergeCell ref="GC78:GC79"/>
    <mergeCell ref="GQ49:GQ50"/>
    <mergeCell ref="GN47:GN48"/>
    <mergeCell ref="GK47:GK48"/>
    <mergeCell ref="GI47:GI48"/>
    <mergeCell ref="GN49:GN50"/>
    <mergeCell ref="GA76:GA77"/>
    <mergeCell ref="GF76:GF77"/>
    <mergeCell ref="GD49:GD50"/>
    <mergeCell ref="GH49:GH50"/>
    <mergeCell ref="GI94:GI95"/>
    <mergeCell ref="GG94:GG95"/>
    <mergeCell ref="GO76:GO77"/>
    <mergeCell ref="GG49:GG50"/>
    <mergeCell ref="GJ49:GJ50"/>
    <mergeCell ref="GF74:GF75"/>
    <mergeCell ref="GD74:GD75"/>
    <mergeCell ref="GL49:GL50"/>
    <mergeCell ref="GF78:GF79"/>
    <mergeCell ref="GI78:GI79"/>
    <mergeCell ref="GA49:GA50"/>
    <mergeCell ref="FZ78:FZ79"/>
    <mergeCell ref="GB78:GB79"/>
    <mergeCell ref="FZ51:FZ52"/>
    <mergeCell ref="GA74:GA75"/>
    <mergeCell ref="GG76:GG77"/>
    <mergeCell ref="GJ76:GJ77"/>
    <mergeCell ref="GB74:GB75"/>
    <mergeCell ref="FY51:FY52"/>
    <mergeCell ref="FY74:FY75"/>
    <mergeCell ref="FZ74:FZ75"/>
    <mergeCell ref="FY49:FY50"/>
    <mergeCell ref="GP49:GP50"/>
    <mergeCell ref="GQ51:GQ52"/>
    <mergeCell ref="FY78:FY79"/>
    <mergeCell ref="GC76:GC77"/>
    <mergeCell ref="GD76:GD77"/>
    <mergeCell ref="FZ49:FZ50"/>
    <mergeCell ref="GL76:GL77"/>
    <mergeCell ref="GI76:GI77"/>
    <mergeCell ref="GO74:GO75"/>
    <mergeCell ref="GH74:GH75"/>
    <mergeCell ref="GM74:GM75"/>
    <mergeCell ref="GI51:GI52"/>
    <mergeCell ref="GB49:GB50"/>
    <mergeCell ref="GG74:GG75"/>
    <mergeCell ref="GL74:GL75"/>
    <mergeCell ref="GI74:GI75"/>
    <mergeCell ref="GK51:GK52"/>
    <mergeCell ref="GQ47:GQ48"/>
    <mergeCell ref="GM49:GM50"/>
    <mergeCell ref="GL47:GL48"/>
    <mergeCell ref="GH47:GH48"/>
    <mergeCell ref="GJ47:GJ48"/>
    <mergeCell ref="GF49:GF50"/>
    <mergeCell ref="GC49:GC50"/>
    <mergeCell ref="GF47:GF48"/>
    <mergeCell ref="GT49:GT50"/>
    <mergeCell ref="GX49:GX50"/>
    <mergeCell ref="GT13:GT14"/>
    <mergeCell ref="HF68:HF69"/>
    <mergeCell ref="GP76:GP77"/>
    <mergeCell ref="HF57:HF62"/>
    <mergeCell ref="GQ74:GQ75"/>
    <mergeCell ref="HC74:HC75"/>
    <mergeCell ref="GQ76:GQ77"/>
    <mergeCell ref="HD74:HD75"/>
    <mergeCell ref="GV74:GV75"/>
    <mergeCell ref="GU49:GU50"/>
    <mergeCell ref="GP47:GP48"/>
    <mergeCell ref="HD76:HD77"/>
    <mergeCell ref="HF49:HF50"/>
    <mergeCell ref="GW51:GW52"/>
    <mergeCell ref="GV51:GV52"/>
    <mergeCell ref="HB76:HB77"/>
    <mergeCell ref="GY49:GY50"/>
    <mergeCell ref="HD47:HD48"/>
    <mergeCell ref="GS47:GS48"/>
    <mergeCell ref="HA76:HA77"/>
    <mergeCell ref="HE47:HE48"/>
    <mergeCell ref="HE49:HE50"/>
    <mergeCell ref="GZ76:GZ77"/>
    <mergeCell ref="HC76:HC77"/>
    <mergeCell ref="HE76:HE77"/>
    <mergeCell ref="HF74:HF75"/>
    <mergeCell ref="HF76:HF77"/>
    <mergeCell ref="HA74:HA75"/>
    <mergeCell ref="HE74:HE75"/>
    <mergeCell ref="HF64:HF66"/>
    <mergeCell ref="GU47:GU48"/>
    <mergeCell ref="GU51:GU52"/>
    <mergeCell ref="GZ47:GZ48"/>
    <mergeCell ref="HB47:HB48"/>
    <mergeCell ref="HE51:HE52"/>
    <mergeCell ref="HB49:HB50"/>
    <mergeCell ref="HC47:HC48"/>
    <mergeCell ref="GV49:GV50"/>
    <mergeCell ref="HF51:HF52"/>
    <mergeCell ref="GV47:GV48"/>
    <mergeCell ref="GZ49:GZ50"/>
    <mergeCell ref="GW49:GW50"/>
    <mergeCell ref="HB74:HB75"/>
    <mergeCell ref="GW47:GW48"/>
    <mergeCell ref="GY51:GY52"/>
    <mergeCell ref="GY76:GY77"/>
    <mergeCell ref="GW74:GW75"/>
    <mergeCell ref="GZ74:GZ75"/>
    <mergeCell ref="GV76:GV77"/>
    <mergeCell ref="HE29:HE30"/>
    <mergeCell ref="HF33:HF34"/>
    <mergeCell ref="GT74:GT75"/>
    <mergeCell ref="GU74:GU75"/>
    <mergeCell ref="GR74:GR75"/>
    <mergeCell ref="GT51:GT52"/>
    <mergeCell ref="HC51:HC52"/>
    <mergeCell ref="HD51:HD52"/>
    <mergeCell ref="HA51:HA52"/>
    <mergeCell ref="GZ51:GZ52"/>
    <mergeCell ref="GS49:GS50"/>
    <mergeCell ref="GX74:GX75"/>
    <mergeCell ref="HB51:HB52"/>
    <mergeCell ref="HC49:HC50"/>
    <mergeCell ref="GX51:GX52"/>
    <mergeCell ref="HD49:HD50"/>
    <mergeCell ref="HF54:HF55"/>
    <mergeCell ref="HA49:HA50"/>
    <mergeCell ref="HF20:HF21"/>
    <mergeCell ref="HD23:HD24"/>
    <mergeCell ref="HF47:HF48"/>
    <mergeCell ref="GX25:GX26"/>
    <mergeCell ref="GW29:GW30"/>
    <mergeCell ref="HB29:HB30"/>
    <mergeCell ref="GR43:GR44"/>
    <mergeCell ref="HD25:HD26"/>
    <mergeCell ref="HC23:HC24"/>
    <mergeCell ref="HD45:HD46"/>
    <mergeCell ref="HD43:HD44"/>
    <mergeCell ref="GW43:GW44"/>
    <mergeCell ref="HB43:HB44"/>
    <mergeCell ref="GX47:GX48"/>
    <mergeCell ref="HE45:HE46"/>
    <mergeCell ref="HF39:HF41"/>
    <mergeCell ref="HA45:HA46"/>
    <mergeCell ref="HB25:HB26"/>
    <mergeCell ref="GZ25:GZ26"/>
    <mergeCell ref="GT47:GT48"/>
    <mergeCell ref="GY47:GY48"/>
    <mergeCell ref="HA47:HA48"/>
    <mergeCell ref="HC45:HC46"/>
    <mergeCell ref="HE23:HE24"/>
    <mergeCell ref="HD29:HD30"/>
    <mergeCell ref="HF45:HF46"/>
    <mergeCell ref="HF31:HF32"/>
    <mergeCell ref="GR47:GR48"/>
    <mergeCell ref="GY25:GY26"/>
    <mergeCell ref="GS29:GS30"/>
    <mergeCell ref="GT29:GT30"/>
    <mergeCell ref="GY45:GY46"/>
    <mergeCell ref="GJ25:GJ26"/>
    <mergeCell ref="GG29:GG30"/>
    <mergeCell ref="GU25:GU26"/>
    <mergeCell ref="GJ43:GJ44"/>
    <mergeCell ref="GI25:GI26"/>
    <mergeCell ref="GL29:GL30"/>
    <mergeCell ref="GI13:GI14"/>
    <mergeCell ref="GV13:GV14"/>
    <mergeCell ref="GO25:GO26"/>
    <mergeCell ref="GR25:GR26"/>
    <mergeCell ref="GN13:GN14"/>
    <mergeCell ref="GQ43:GQ44"/>
    <mergeCell ref="GR29:GR30"/>
    <mergeCell ref="GM25:GM26"/>
    <mergeCell ref="GN29:GN30"/>
    <mergeCell ref="GL43:GL44"/>
    <mergeCell ref="GQ45:GQ46"/>
    <mergeCell ref="GP13:GP14"/>
    <mergeCell ref="GQ13:GQ14"/>
    <mergeCell ref="GH13:GH14"/>
    <mergeCell ref="HC11:HC12"/>
    <mergeCell ref="HC43:HC44"/>
    <mergeCell ref="HD11:HD12"/>
    <mergeCell ref="GU13:GU14"/>
    <mergeCell ref="HB13:HB14"/>
    <mergeCell ref="HC13:HC14"/>
    <mergeCell ref="GV25:GV26"/>
    <mergeCell ref="HA13:HA14"/>
    <mergeCell ref="GS13:GS14"/>
    <mergeCell ref="GW13:GW14"/>
    <mergeCell ref="GR13:GR14"/>
    <mergeCell ref="GO13:GO14"/>
    <mergeCell ref="HC29:HC30"/>
    <mergeCell ref="HA25:HA26"/>
    <mergeCell ref="GR11:GR12"/>
    <mergeCell ref="A2:HF2"/>
    <mergeCell ref="A9:A10"/>
    <mergeCell ref="W9:W10"/>
    <mergeCell ref="FA9:FA10"/>
    <mergeCell ref="FC9:FC10"/>
    <mergeCell ref="FD9:FD10"/>
    <mergeCell ref="GT9:GT10"/>
    <mergeCell ref="HE11:HE12"/>
    <mergeCell ref="HE25:HE26"/>
    <mergeCell ref="GS11:GS12"/>
    <mergeCell ref="HA9:HA10"/>
    <mergeCell ref="GU43:GU44"/>
    <mergeCell ref="GV29:GV30"/>
    <mergeCell ref="GV9:GV10"/>
    <mergeCell ref="HA11:HA12"/>
    <mergeCell ref="HA29:HA30"/>
    <mergeCell ref="CZ25:CZ26"/>
    <mergeCell ref="GS9:GS10"/>
    <mergeCell ref="HB9:HB10"/>
    <mergeCell ref="GW11:GW12"/>
    <mergeCell ref="GO29:GO30"/>
    <mergeCell ref="GQ25:GQ26"/>
    <mergeCell ref="GM29:GM30"/>
    <mergeCell ref="GF25:GF26"/>
    <mergeCell ref="GE29:GE30"/>
    <mergeCell ref="GY13:GY14"/>
    <mergeCell ref="GZ29:GZ30"/>
    <mergeCell ref="HF9:HF10"/>
    <mergeCell ref="GY11:GY12"/>
    <mergeCell ref="GE9:GE10"/>
    <mergeCell ref="GQ9:GQ10"/>
    <mergeCell ref="GH25:GH26"/>
    <mergeCell ref="HE9:HE10"/>
    <mergeCell ref="GU29:GU30"/>
    <mergeCell ref="GZ9:GZ10"/>
    <mergeCell ref="HB11:HB12"/>
    <mergeCell ref="GW25:GW26"/>
    <mergeCell ref="GU9:GU10"/>
    <mergeCell ref="GZ11:GZ12"/>
    <mergeCell ref="GP29:GP30"/>
    <mergeCell ref="GQ29:GQ30"/>
    <mergeCell ref="GP9:GP10"/>
    <mergeCell ref="HE13:HE14"/>
    <mergeCell ref="HF13:HF14"/>
    <mergeCell ref="GQ11:GQ12"/>
    <mergeCell ref="GU11:GU12"/>
    <mergeCell ref="HF18:HF19"/>
    <mergeCell ref="GT25:GT26"/>
    <mergeCell ref="HF11:HF12"/>
    <mergeCell ref="GP11:GP12"/>
    <mergeCell ref="GS43:GS44"/>
    <mergeCell ref="GV45:GV46"/>
    <mergeCell ref="GU45:GU46"/>
    <mergeCell ref="GW45:GW46"/>
    <mergeCell ref="HD13:HD14"/>
    <mergeCell ref="HF43:HF44"/>
    <mergeCell ref="HE43:HE44"/>
    <mergeCell ref="GW9:GW10"/>
    <mergeCell ref="GZ45:GZ46"/>
    <mergeCell ref="A1:HF1"/>
    <mergeCell ref="FU25:FU26"/>
    <mergeCell ref="FW25:FW26"/>
    <mergeCell ref="GH29:GH30"/>
    <mergeCell ref="GH45:GH46"/>
    <mergeCell ref="GI11:GI12"/>
    <mergeCell ref="GI29:GI30"/>
    <mergeCell ref="GH11:GH12"/>
    <mergeCell ref="GN9:GN10"/>
    <mergeCell ref="GP43:GP44"/>
    <mergeCell ref="GG45:GG46"/>
    <mergeCell ref="GL45:GL46"/>
    <mergeCell ref="GM43:GM44"/>
    <mergeCell ref="GL11:GL12"/>
    <mergeCell ref="GL9:GL10"/>
    <mergeCell ref="GM9:GM10"/>
    <mergeCell ref="GM11:GM12"/>
    <mergeCell ref="GK11:GK12"/>
    <mergeCell ref="GT45:GT46"/>
    <mergeCell ref="HC25:HC26"/>
    <mergeCell ref="GT11:GT12"/>
    <mergeCell ref="EL39:EL41"/>
    <mergeCell ref="GX9:GX10"/>
    <mergeCell ref="GE23:GE24"/>
    <mergeCell ref="HF23:HF24"/>
    <mergeCell ref="HF25:HF26"/>
    <mergeCell ref="HF29:HF30"/>
    <mergeCell ref="HD9:HD10"/>
    <mergeCell ref="GX29:GX30"/>
    <mergeCell ref="GG9:GG10"/>
    <mergeCell ref="GJ45:GJ46"/>
    <mergeCell ref="GG23:GG24"/>
    <mergeCell ref="GH9:GH10"/>
    <mergeCell ref="GO9:GO10"/>
    <mergeCell ref="GG13:GG14"/>
    <mergeCell ref="GI43:GI44"/>
    <mergeCell ref="GS25:GS26"/>
    <mergeCell ref="HC9:HC10"/>
    <mergeCell ref="GY9:GY10"/>
    <mergeCell ref="HB23:HB24"/>
    <mergeCell ref="GN25:GN26"/>
    <mergeCell ref="HB45:HB46"/>
    <mergeCell ref="GN43:GN44"/>
    <mergeCell ref="GR45:GR46"/>
    <mergeCell ref="GN45:GN46"/>
    <mergeCell ref="GK45:GK46"/>
    <mergeCell ref="GO45:GO46"/>
    <mergeCell ref="GX45:GX46"/>
    <mergeCell ref="GL13:GL14"/>
    <mergeCell ref="GM13:GM14"/>
    <mergeCell ref="GK25:GK26"/>
    <mergeCell ref="GK13:GK14"/>
    <mergeCell ref="GX11:GX12"/>
    <mergeCell ref="GY29:GY30"/>
    <mergeCell ref="GJ11:GJ12"/>
    <mergeCell ref="GJ23:GJ24"/>
    <mergeCell ref="GJ13:GJ14"/>
    <mergeCell ref="GK9:GK10"/>
    <mergeCell ref="GI9:GI10"/>
    <mergeCell ref="GA23:GA24"/>
    <mergeCell ref="GA11:GA12"/>
    <mergeCell ref="GB13:GB14"/>
    <mergeCell ref="GB11:GB12"/>
    <mergeCell ref="GZ13:GZ14"/>
    <mergeCell ref="GT43:GT44"/>
    <mergeCell ref="GV43:GV44"/>
    <mergeCell ref="GO43:GO44"/>
    <mergeCell ref="GX13:GX14"/>
    <mergeCell ref="GN11:GN12"/>
    <mergeCell ref="GH23:GH24"/>
    <mergeCell ref="GF11:GF12"/>
    <mergeCell ref="GG11:GG12"/>
    <mergeCell ref="GF29:GF30"/>
    <mergeCell ref="GC11:GC12"/>
    <mergeCell ref="GC25:GC26"/>
    <mergeCell ref="GC23:GC24"/>
    <mergeCell ref="GD23:GD24"/>
    <mergeCell ref="GE25:GE26"/>
    <mergeCell ref="GE43:GE44"/>
    <mergeCell ref="GE11:GE12"/>
    <mergeCell ref="GG25:GG26"/>
    <mergeCell ref="GF13:GF14"/>
    <mergeCell ref="GF23:GF24"/>
    <mergeCell ref="GG43:GG44"/>
    <mergeCell ref="GK43:GK44"/>
    <mergeCell ref="GV11:GV12"/>
    <mergeCell ref="GB9:GB10"/>
    <mergeCell ref="FX25:FX26"/>
    <mergeCell ref="GB45:GB46"/>
    <mergeCell ref="GF9:GF10"/>
    <mergeCell ref="GI45:GI46"/>
    <mergeCell ref="GF43:GF44"/>
    <mergeCell ref="GD29:GD30"/>
    <mergeCell ref="GD43:GD44"/>
    <mergeCell ref="GH43:GH44"/>
    <mergeCell ref="GD9:GD10"/>
    <mergeCell ref="GD13:GD14"/>
    <mergeCell ref="GE45:GE46"/>
    <mergeCell ref="GF45:GF46"/>
    <mergeCell ref="GI23:GI24"/>
    <mergeCell ref="GC45:GC46"/>
    <mergeCell ref="GE13:GE14"/>
    <mergeCell ref="FY29:FY30"/>
    <mergeCell ref="FY13:FY14"/>
    <mergeCell ref="FZ13:FZ14"/>
    <mergeCell ref="GA13:GA14"/>
    <mergeCell ref="FZ25:FZ26"/>
    <mergeCell ref="FZ43:FZ44"/>
    <mergeCell ref="GB43:GB44"/>
    <mergeCell ref="GC9:GC10"/>
    <mergeCell ref="GA9:GA10"/>
    <mergeCell ref="GC13:GC14"/>
    <mergeCell ref="GA29:GA30"/>
    <mergeCell ref="FZ9:FZ10"/>
    <mergeCell ref="FY9:FY10"/>
    <mergeCell ref="GA45:GA46"/>
    <mergeCell ref="FX9:FX10"/>
    <mergeCell ref="FY45:FY46"/>
    <mergeCell ref="FH9:FH10"/>
    <mergeCell ref="FI9:FI10"/>
    <mergeCell ref="FR37:FR38"/>
    <mergeCell ref="FV37:FV38"/>
    <mergeCell ref="FT37:FT38"/>
    <mergeCell ref="FI37:FI38"/>
    <mergeCell ref="FQ37:FQ38"/>
    <mergeCell ref="FO37:FO38"/>
    <mergeCell ref="FH37:FH38"/>
    <mergeCell ref="FR9:FR10"/>
    <mergeCell ref="FN9:FN10"/>
    <mergeCell ref="FT25:FT26"/>
    <mergeCell ref="FV25:FV26"/>
    <mergeCell ref="FT9:FT10"/>
    <mergeCell ref="FU9:FU10"/>
    <mergeCell ref="FS9:FS10"/>
    <mergeCell ref="FM9:FM10"/>
    <mergeCell ref="FQ25:FQ26"/>
    <mergeCell ref="FP25:FP26"/>
    <mergeCell ref="FJ37:FJ38"/>
    <mergeCell ref="FK37:FK38"/>
    <mergeCell ref="FO9:FO10"/>
    <mergeCell ref="ER11:ER12"/>
    <mergeCell ref="EP25:EP26"/>
    <mergeCell ref="EY9:EY10"/>
    <mergeCell ref="EX23:EX24"/>
    <mergeCell ref="EY25:EY26"/>
    <mergeCell ref="EX25:EX26"/>
    <mergeCell ref="EV25:EV26"/>
    <mergeCell ref="ET9:ET10"/>
    <mergeCell ref="EQ13:EQ14"/>
    <mergeCell ref="EQ23:EQ24"/>
    <mergeCell ref="EP23:EP24"/>
    <mergeCell ref="ER20:ER21"/>
    <mergeCell ref="ES11:ES12"/>
    <mergeCell ref="ES20:ES21"/>
    <mergeCell ref="ES23:ES24"/>
    <mergeCell ref="EY23:EY24"/>
    <mergeCell ref="EU9:EU10"/>
    <mergeCell ref="EU11:EU12"/>
    <mergeCell ref="ER25:ER26"/>
    <mergeCell ref="ER9:ER10"/>
    <mergeCell ref="EW11:EW12"/>
    <mergeCell ref="EU25:EU26"/>
    <mergeCell ref="EU20:EU21"/>
    <mergeCell ref="ET11:ET12"/>
    <mergeCell ref="EW25:EW26"/>
    <mergeCell ref="EX11:EX12"/>
    <mergeCell ref="EW23:EW24"/>
    <mergeCell ref="EY11:EY12"/>
    <mergeCell ref="EX9:EX10"/>
    <mergeCell ref="EY13:EY14"/>
    <mergeCell ref="ER23:ER24"/>
    <mergeCell ref="EW9:EW10"/>
    <mergeCell ref="ER13:ER14"/>
    <mergeCell ref="ET20:ET21"/>
    <mergeCell ref="EU23:EU24"/>
    <mergeCell ref="EA20:EA21"/>
    <mergeCell ref="EE9:EE10"/>
    <mergeCell ref="EF25:EF26"/>
    <mergeCell ref="EV29:EV30"/>
    <mergeCell ref="EV23:EV24"/>
    <mergeCell ref="EQ25:EQ26"/>
    <mergeCell ref="ET25:ET26"/>
    <mergeCell ref="ES25:ES26"/>
    <mergeCell ref="EV11:EV12"/>
    <mergeCell ref="EQ20:EQ21"/>
    <mergeCell ref="ES9:ES10"/>
    <mergeCell ref="EQ11:EQ12"/>
    <mergeCell ref="EV9:EV10"/>
    <mergeCell ref="EB23:EB24"/>
    <mergeCell ref="ED23:ED24"/>
    <mergeCell ref="EC29:EC30"/>
    <mergeCell ref="EH29:EH30"/>
    <mergeCell ref="EO25:EO26"/>
    <mergeCell ref="EJ25:EJ26"/>
    <mergeCell ref="EM25:EM26"/>
    <mergeCell ref="ET29:ET30"/>
    <mergeCell ref="ET13:ET14"/>
    <mergeCell ref="ET23:ET24"/>
    <mergeCell ref="ES13:ES14"/>
    <mergeCell ref="EK20:EK21"/>
    <mergeCell ref="EN9:EN10"/>
    <mergeCell ref="EL20:EL21"/>
    <mergeCell ref="EF11:EF12"/>
    <mergeCell ref="ED20:ED21"/>
    <mergeCell ref="EP13:EP14"/>
    <mergeCell ref="EP9:EP10"/>
    <mergeCell ref="EG20:EG21"/>
    <mergeCell ref="EI5:EI6"/>
    <mergeCell ref="EK9:EK10"/>
    <mergeCell ref="EJ5:EJ6"/>
    <mergeCell ref="EM20:EM21"/>
    <mergeCell ref="EP20:EP21"/>
    <mergeCell ref="EP11:EP12"/>
    <mergeCell ref="EO20:EO21"/>
    <mergeCell ref="EO11:EO12"/>
    <mergeCell ref="EL5:EL6"/>
    <mergeCell ref="EK11:EK12"/>
    <mergeCell ref="DU9:DU10"/>
    <mergeCell ref="EA11:EA12"/>
    <mergeCell ref="EL9:EL10"/>
    <mergeCell ref="EM9:EM10"/>
    <mergeCell ref="EG13:EG14"/>
    <mergeCell ref="EC9:EC10"/>
    <mergeCell ref="EB9:EB10"/>
    <mergeCell ref="EE20:EE21"/>
    <mergeCell ref="DY11:DY12"/>
    <mergeCell ref="DZ20:DZ21"/>
    <mergeCell ref="EL11:EL12"/>
    <mergeCell ref="EH9:EH10"/>
    <mergeCell ref="EJ13:EJ14"/>
    <mergeCell ref="EK13:EK14"/>
    <mergeCell ref="EI13:EI14"/>
    <mergeCell ref="EC13:EC14"/>
    <mergeCell ref="ED13:ED14"/>
    <mergeCell ref="EE13:EE14"/>
    <mergeCell ref="EF13:EF14"/>
    <mergeCell ref="DZ9:DZ10"/>
    <mergeCell ref="EF20:EF21"/>
    <mergeCell ref="ED11:ED12"/>
    <mergeCell ref="EB20:EB21"/>
    <mergeCell ref="DZ11:DZ12"/>
    <mergeCell ref="DW13:DW14"/>
    <mergeCell ref="DV20:DV21"/>
    <mergeCell ref="DW9:DW10"/>
    <mergeCell ref="DV13:DV14"/>
    <mergeCell ref="DX13:DX14"/>
    <mergeCell ref="DW20:DW21"/>
    <mergeCell ref="DX5:DX6"/>
    <mergeCell ref="EF9:EF10"/>
    <mergeCell ref="EC11:EC12"/>
    <mergeCell ref="EH20:EH21"/>
    <mergeCell ref="EG9:EG10"/>
    <mergeCell ref="DX20:DX21"/>
    <mergeCell ref="EB5:EB6"/>
    <mergeCell ref="EB11:EB12"/>
    <mergeCell ref="DY20:DY21"/>
    <mergeCell ref="DY13:DY14"/>
    <mergeCell ref="DX11:DX12"/>
    <mergeCell ref="DY9:DY10"/>
    <mergeCell ref="DT9:DT10"/>
    <mergeCell ref="EO13:EO14"/>
    <mergeCell ref="EH13:EH14"/>
    <mergeCell ref="EL13:EL14"/>
    <mergeCell ref="EJ20:EJ21"/>
    <mergeCell ref="DJ18:DJ19"/>
    <mergeCell ref="DJ11:DJ12"/>
    <mergeCell ref="DK18:DK19"/>
    <mergeCell ref="DU11:DU12"/>
    <mergeCell ref="DQ9:DQ10"/>
    <mergeCell ref="DH13:DH14"/>
    <mergeCell ref="DS13:DS14"/>
    <mergeCell ref="DT13:DT14"/>
    <mergeCell ref="DR13:DR14"/>
    <mergeCell ref="DO20:DO21"/>
    <mergeCell ref="DO9:DO10"/>
    <mergeCell ref="DR11:DR12"/>
    <mergeCell ref="DI9:DI10"/>
    <mergeCell ref="DQ20:DQ21"/>
    <mergeCell ref="DK13:DK14"/>
    <mergeCell ref="DR20:DR21"/>
    <mergeCell ref="DU13:DU14"/>
    <mergeCell ref="DL13:DL14"/>
    <mergeCell ref="DM13:DM14"/>
    <mergeCell ref="DQ13:DQ14"/>
    <mergeCell ref="DO13:DO14"/>
    <mergeCell ref="DP13:DP14"/>
    <mergeCell ref="DT20:DT21"/>
    <mergeCell ref="DJ20:DJ21"/>
    <mergeCell ref="DH20:DH21"/>
    <mergeCell ref="EQ5:EQ6"/>
    <mergeCell ref="EE5:EE6"/>
    <mergeCell ref="ED5:ED6"/>
    <mergeCell ref="ED9:ED10"/>
    <mergeCell ref="EP5:EP6"/>
    <mergeCell ref="EN5:EN6"/>
    <mergeCell ref="EG11:EG12"/>
    <mergeCell ref="EK5:EK6"/>
    <mergeCell ref="EO9:EO10"/>
    <mergeCell ref="EJ9:EJ10"/>
    <mergeCell ref="EJ11:EJ12"/>
    <mergeCell ref="EM11:EM12"/>
    <mergeCell ref="EH5:EH6"/>
    <mergeCell ref="EO5:EO6"/>
    <mergeCell ref="EN11:EN12"/>
    <mergeCell ref="EC5:EC6"/>
    <mergeCell ref="EF5:EF6"/>
    <mergeCell ref="EQ9:EQ10"/>
    <mergeCell ref="EG5:EG6"/>
    <mergeCell ref="EM5:EM6"/>
    <mergeCell ref="EI9:EI10"/>
    <mergeCell ref="EH11:EH12"/>
    <mergeCell ref="EE11:EE12"/>
    <mergeCell ref="EI11:EI12"/>
    <mergeCell ref="EA13:EA14"/>
    <mergeCell ref="EB13:EB14"/>
    <mergeCell ref="DZ13:DZ14"/>
    <mergeCell ref="DV5:DV6"/>
    <mergeCell ref="DW5:DW6"/>
    <mergeCell ref="DO18:DO19"/>
    <mergeCell ref="DN5:DN6"/>
    <mergeCell ref="DN9:DN10"/>
    <mergeCell ref="DS5:DS6"/>
    <mergeCell ref="DM5:DM6"/>
    <mergeCell ref="DR5:DR6"/>
    <mergeCell ref="DM18:DM19"/>
    <mergeCell ref="DT11:DT12"/>
    <mergeCell ref="DA18:DA19"/>
    <mergeCell ref="DA20:DA21"/>
    <mergeCell ref="DA5:DA6"/>
    <mergeCell ref="DL5:DL6"/>
    <mergeCell ref="DC11:DC12"/>
    <mergeCell ref="DS11:DS12"/>
    <mergeCell ref="DJ5:DJ6"/>
    <mergeCell ref="DO5:DO6"/>
    <mergeCell ref="DH5:DH6"/>
    <mergeCell ref="DU5:DU6"/>
    <mergeCell ref="DJ9:DJ10"/>
    <mergeCell ref="DH9:DH10"/>
    <mergeCell ref="DS9:DS10"/>
    <mergeCell ref="DM9:DM10"/>
    <mergeCell ref="EA5:EA6"/>
    <mergeCell ref="EA9:EA10"/>
    <mergeCell ref="DZ5:DZ6"/>
    <mergeCell ref="DY5:DY6"/>
    <mergeCell ref="DX9:DX10"/>
    <mergeCell ref="DA13:DA14"/>
    <mergeCell ref="DB13:DB14"/>
    <mergeCell ref="DE13:DE14"/>
    <mergeCell ref="DF13:DF14"/>
    <mergeCell ref="DG13:DG14"/>
    <mergeCell ref="DC13:DC14"/>
    <mergeCell ref="DG23:DG24"/>
    <mergeCell ref="CX23:CX24"/>
    <mergeCell ref="DK5:DK6"/>
    <mergeCell ref="DL20:DL21"/>
    <mergeCell ref="DD13:DD14"/>
    <mergeCell ref="DG5:DG6"/>
    <mergeCell ref="DT5:DT6"/>
    <mergeCell ref="DF5:DF6"/>
    <mergeCell ref="DG9:DG10"/>
    <mergeCell ref="CT13:CT14"/>
    <mergeCell ref="DP20:DP21"/>
    <mergeCell ref="DP11:DP12"/>
    <mergeCell ref="DM11:DM12"/>
    <mergeCell ref="DP23:DP24"/>
    <mergeCell ref="DH23:DH24"/>
    <mergeCell ref="DE9:DE10"/>
    <mergeCell ref="DG18:DG19"/>
    <mergeCell ref="DG20:DG21"/>
    <mergeCell ref="DP9:DP10"/>
    <mergeCell ref="DL11:DL12"/>
    <mergeCell ref="DI5:DI6"/>
    <mergeCell ref="DD23:DD24"/>
    <mergeCell ref="DD11:DD12"/>
    <mergeCell ref="DD18:DD19"/>
    <mergeCell ref="CS11:CS12"/>
    <mergeCell ref="CT18:CT19"/>
    <mergeCell ref="CT11:CT12"/>
    <mergeCell ref="CR23:CR24"/>
    <mergeCell ref="CT20:CT21"/>
    <mergeCell ref="DI23:DI24"/>
    <mergeCell ref="CZ5:CZ6"/>
    <mergeCell ref="DB5:DB6"/>
    <mergeCell ref="DB18:DB19"/>
    <mergeCell ref="DG11:DG12"/>
    <mergeCell ref="DI18:DI19"/>
    <mergeCell ref="DK9:DK10"/>
    <mergeCell ref="CZ13:CZ14"/>
    <mergeCell ref="DE5:DE6"/>
    <mergeCell ref="CZ9:CZ10"/>
    <mergeCell ref="DF18:DF19"/>
    <mergeCell ref="CZ11:CZ12"/>
    <mergeCell ref="DF9:DF10"/>
    <mergeCell ref="CU11:CU12"/>
    <mergeCell ref="CV9:CV10"/>
    <mergeCell ref="CV11:CV12"/>
    <mergeCell ref="CV18:CV19"/>
    <mergeCell ref="CX13:CX14"/>
    <mergeCell ref="DE11:DE12"/>
    <mergeCell ref="CR13:CR14"/>
    <mergeCell ref="CR9:CR10"/>
    <mergeCell ref="CS18:CS19"/>
    <mergeCell ref="CS23:CS24"/>
    <mergeCell ref="CJ13:CJ14"/>
    <mergeCell ref="CI11:CI12"/>
    <mergeCell ref="CC23:CC24"/>
    <mergeCell ref="CB23:CB24"/>
    <mergeCell ref="BU20:BU21"/>
    <mergeCell ref="BY23:BY24"/>
    <mergeCell ref="BY20:BY21"/>
    <mergeCell ref="BZ11:BZ12"/>
    <mergeCell ref="BZ18:BZ19"/>
    <mergeCell ref="BZ20:BZ21"/>
    <mergeCell ref="BZ13:BZ14"/>
    <mergeCell ref="BW13:BW14"/>
    <mergeCell ref="CA13:CA14"/>
    <mergeCell ref="BU13:BU14"/>
    <mergeCell ref="CF18:CF19"/>
    <mergeCell ref="CJ11:CJ12"/>
    <mergeCell ref="CH11:CH12"/>
    <mergeCell ref="BU23:BU24"/>
    <mergeCell ref="BX13:BX14"/>
    <mergeCell ref="BW18:BW19"/>
    <mergeCell ref="BW20:BW21"/>
    <mergeCell ref="BV23:BV24"/>
    <mergeCell ref="BV13:BV14"/>
    <mergeCell ref="CA11:CA12"/>
    <mergeCell ref="CA18:CA19"/>
    <mergeCell ref="BX23:BX24"/>
    <mergeCell ref="CF23:CF24"/>
    <mergeCell ref="CG13:CG14"/>
    <mergeCell ref="BV18:BV19"/>
    <mergeCell ref="CC13:CC14"/>
    <mergeCell ref="CC20:CC21"/>
    <mergeCell ref="BV9:BV10"/>
    <mergeCell ref="BV11:BV12"/>
    <mergeCell ref="CE13:CE14"/>
    <mergeCell ref="BP9:BP10"/>
    <mergeCell ref="BQ9:BQ10"/>
    <mergeCell ref="BQ11:BQ12"/>
    <mergeCell ref="CE11:CE12"/>
    <mergeCell ref="BZ9:BZ10"/>
    <mergeCell ref="CD20:CD21"/>
    <mergeCell ref="BN20:BN21"/>
    <mergeCell ref="BY13:BY14"/>
    <mergeCell ref="CD9:CD10"/>
    <mergeCell ref="CD11:CD12"/>
    <mergeCell ref="CB9:CB10"/>
    <mergeCell ref="CB11:CB12"/>
    <mergeCell ref="CB18:CB19"/>
    <mergeCell ref="CB20:CB21"/>
    <mergeCell ref="BN13:BN14"/>
    <mergeCell ref="BY11:BY12"/>
    <mergeCell ref="BT9:BT10"/>
    <mergeCell ref="BT11:BT12"/>
    <mergeCell ref="BW11:BW12"/>
    <mergeCell ref="BU9:BU10"/>
    <mergeCell ref="BU11:BU12"/>
    <mergeCell ref="BU18:BU19"/>
    <mergeCell ref="BP13:BP14"/>
    <mergeCell ref="BR9:BR10"/>
    <mergeCell ref="BT18:BT19"/>
    <mergeCell ref="BT13:BT14"/>
    <mergeCell ref="CB13:CB14"/>
    <mergeCell ref="CA9:CA10"/>
    <mergeCell ref="A5:A6"/>
    <mergeCell ref="DB9:DB10"/>
    <mergeCell ref="DB11:DB12"/>
    <mergeCell ref="DA11:DA12"/>
    <mergeCell ref="CY5:CY6"/>
    <mergeCell ref="CY9:CY10"/>
    <mergeCell ref="CY11:CY12"/>
    <mergeCell ref="DA9:DA10"/>
    <mergeCell ref="CX20:CX21"/>
    <mergeCell ref="CX18:CX19"/>
    <mergeCell ref="DC9:DC10"/>
    <mergeCell ref="BE18:BE19"/>
    <mergeCell ref="BQ5:BQ6"/>
    <mergeCell ref="BN18:BN19"/>
    <mergeCell ref="BP11:BP12"/>
    <mergeCell ref="BP18:BP19"/>
    <mergeCell ref="BP20:BP21"/>
    <mergeCell ref="BE9:BE10"/>
    <mergeCell ref="BC20:BC21"/>
    <mergeCell ref="BC5:BC6"/>
    <mergeCell ref="AZ20:AZ21"/>
    <mergeCell ref="BO11:BO12"/>
    <mergeCell ref="BR11:BR12"/>
    <mergeCell ref="BR18:BR19"/>
    <mergeCell ref="BR20:BR21"/>
    <mergeCell ref="BY9:BY10"/>
    <mergeCell ref="BW9:BW10"/>
    <mergeCell ref="DC5:DC6"/>
    <mergeCell ref="CQ18:CQ19"/>
    <mergeCell ref="BW5:BW6"/>
    <mergeCell ref="BR5:BR6"/>
    <mergeCell ref="CF5:CF6"/>
    <mergeCell ref="BY18:BY19"/>
    <mergeCell ref="CJ20:CJ21"/>
    <mergeCell ref="CH20:CH21"/>
    <mergeCell ref="DS20:DS21"/>
    <mergeCell ref="DN11:DN12"/>
    <mergeCell ref="DR9:DR10"/>
    <mergeCell ref="DR18:DR19"/>
    <mergeCell ref="CH9:CH10"/>
    <mergeCell ref="CE9:CE10"/>
    <mergeCell ref="CF20:CF21"/>
    <mergeCell ref="CI20:CI21"/>
    <mergeCell ref="DC18:DC19"/>
    <mergeCell ref="BZ5:BZ6"/>
    <mergeCell ref="CC9:CC10"/>
    <mergeCell ref="CC11:CC12"/>
    <mergeCell ref="CB5:CB6"/>
    <mergeCell ref="CC5:CC6"/>
    <mergeCell ref="BY5:BY6"/>
    <mergeCell ref="CC18:CC19"/>
    <mergeCell ref="CQ11:CQ12"/>
    <mergeCell ref="CO11:CO12"/>
    <mergeCell ref="CE5:CE6"/>
    <mergeCell ref="CH5:CH6"/>
    <mergeCell ref="CJ5:CJ6"/>
    <mergeCell ref="CJ9:CJ10"/>
    <mergeCell ref="DQ5:DQ6"/>
    <mergeCell ref="CG5:CG6"/>
    <mergeCell ref="CQ5:CQ6"/>
    <mergeCell ref="CW5:CW6"/>
    <mergeCell ref="CV5:CV6"/>
    <mergeCell ref="CK5:CK6"/>
    <mergeCell ref="CD5:CD6"/>
    <mergeCell ref="AX13:AX14"/>
    <mergeCell ref="AY13:AY14"/>
    <mergeCell ref="BQ18:BQ19"/>
    <mergeCell ref="BQ20:BQ21"/>
    <mergeCell ref="CL20:CL21"/>
    <mergeCell ref="CU18:CU19"/>
    <mergeCell ref="BG18:BG19"/>
    <mergeCell ref="BF23:BF24"/>
    <mergeCell ref="CV23:CV24"/>
    <mergeCell ref="CW23:CW24"/>
    <mergeCell ref="CL23:CL24"/>
    <mergeCell ref="DE20:DE21"/>
    <mergeCell ref="DB20:DB21"/>
    <mergeCell ref="CE23:CE24"/>
    <mergeCell ref="CN23:CN24"/>
    <mergeCell ref="BF18:BF19"/>
    <mergeCell ref="BF20:BF21"/>
    <mergeCell ref="CT23:CT24"/>
    <mergeCell ref="CK13:CK14"/>
    <mergeCell ref="CZ18:CZ19"/>
    <mergeCell ref="CD18:CD19"/>
    <mergeCell ref="CG20:CG21"/>
    <mergeCell ref="BS23:BS24"/>
    <mergeCell ref="BS13:BS14"/>
    <mergeCell ref="BT20:BT21"/>
    <mergeCell ref="BT23:BT24"/>
    <mergeCell ref="BV20:BV21"/>
    <mergeCell ref="CD13:CD14"/>
    <mergeCell ref="CQ23:CQ24"/>
    <mergeCell ref="CK20:CK21"/>
    <mergeCell ref="CO13:CO14"/>
    <mergeCell ref="CD23:CD24"/>
    <mergeCell ref="CI5:CI6"/>
    <mergeCell ref="CN13:CN14"/>
    <mergeCell ref="CX9:CX10"/>
    <mergeCell ref="CX11:CX12"/>
    <mergeCell ref="CM9:CM10"/>
    <mergeCell ref="CM20:CM21"/>
    <mergeCell ref="CK9:CK10"/>
    <mergeCell ref="CK18:CK19"/>
    <mergeCell ref="CK11:CK12"/>
    <mergeCell ref="CF11:CF12"/>
    <mergeCell ref="CS20:CS21"/>
    <mergeCell ref="CS13:CS14"/>
    <mergeCell ref="CN11:CN12"/>
    <mergeCell ref="CN18:CN19"/>
    <mergeCell ref="CN5:CN6"/>
    <mergeCell ref="CL13:CL14"/>
    <mergeCell ref="CM13:CM14"/>
    <mergeCell ref="CS9:CS10"/>
    <mergeCell ref="CQ20:CQ21"/>
    <mergeCell ref="CR18:CR19"/>
    <mergeCell ref="CN9:CN10"/>
    <mergeCell ref="CO9:CO10"/>
    <mergeCell ref="CM18:CM19"/>
    <mergeCell ref="CG9:CG10"/>
    <mergeCell ref="CG11:CG12"/>
    <mergeCell ref="CJ18:CJ19"/>
    <mergeCell ref="CH13:CH14"/>
    <mergeCell ref="CL18:CL19"/>
    <mergeCell ref="CU9:CU10"/>
    <mergeCell ref="CF9:CF10"/>
    <mergeCell ref="CI9:CI10"/>
    <mergeCell ref="CI13:CI14"/>
    <mergeCell ref="CX5:CX6"/>
    <mergeCell ref="CP5:CP6"/>
    <mergeCell ref="CU5:CU6"/>
    <mergeCell ref="CP11:CP12"/>
    <mergeCell ref="CP18:CP19"/>
    <mergeCell ref="CS5:CS6"/>
    <mergeCell ref="CP9:CP10"/>
    <mergeCell ref="CR11:CR12"/>
    <mergeCell ref="CQ9:CQ10"/>
    <mergeCell ref="CP13:CP14"/>
    <mergeCell ref="CQ13:CQ14"/>
    <mergeCell ref="CT9:CT10"/>
    <mergeCell ref="CW18:CW19"/>
    <mergeCell ref="CT5:CT6"/>
    <mergeCell ref="CL11:CL12"/>
    <mergeCell ref="CL5:CL6"/>
    <mergeCell ref="CL9:CL10"/>
    <mergeCell ref="DI29:DI30"/>
    <mergeCell ref="DL23:DL24"/>
    <mergeCell ref="DW25:DW26"/>
    <mergeCell ref="DJ23:DJ24"/>
    <mergeCell ref="DR23:DR24"/>
    <mergeCell ref="DN25:DN26"/>
    <mergeCell ref="DL29:DL30"/>
    <mergeCell ref="DS23:DS24"/>
    <mergeCell ref="DH11:DH12"/>
    <mergeCell ref="DH18:DH19"/>
    <mergeCell ref="DN18:DN19"/>
    <mergeCell ref="DT25:DT26"/>
    <mergeCell ref="DV25:DV26"/>
    <mergeCell ref="DV9:DV10"/>
    <mergeCell ref="DW23:DW24"/>
    <mergeCell ref="DQ11:DQ12"/>
    <mergeCell ref="A15:HF15"/>
    <mergeCell ref="CG18:CG19"/>
    <mergeCell ref="DU20:DU21"/>
    <mergeCell ref="BL20:BL21"/>
    <mergeCell ref="BL18:BL19"/>
    <mergeCell ref="AK18:AK19"/>
    <mergeCell ref="FI25:FI26"/>
    <mergeCell ref="FA25:FA26"/>
    <mergeCell ref="FJ25:FJ26"/>
    <mergeCell ref="DB23:DB24"/>
    <mergeCell ref="BL29:BL30"/>
    <mergeCell ref="BO18:BO19"/>
    <mergeCell ref="CE18:CE19"/>
    <mergeCell ref="CR25:CR26"/>
    <mergeCell ref="CU13:CU14"/>
    <mergeCell ref="CU20:CU21"/>
    <mergeCell ref="AZ11:AZ12"/>
    <mergeCell ref="BA25:BA26"/>
    <mergeCell ref="DP5:DP6"/>
    <mergeCell ref="CO23:CO24"/>
    <mergeCell ref="CV13:CV14"/>
    <mergeCell ref="CW13:CW14"/>
    <mergeCell ref="CY13:CY14"/>
    <mergeCell ref="CR5:CR6"/>
    <mergeCell ref="DL9:DL10"/>
    <mergeCell ref="DK11:DK12"/>
    <mergeCell ref="DL18:DL19"/>
    <mergeCell ref="DO11:DO12"/>
    <mergeCell ref="DK20:DK21"/>
    <mergeCell ref="DF11:DF12"/>
    <mergeCell ref="DM23:DM24"/>
    <mergeCell ref="DD5:DD6"/>
    <mergeCell ref="DD9:DD10"/>
    <mergeCell ref="DC23:DC24"/>
    <mergeCell ref="CW25:CW26"/>
    <mergeCell ref="CO25:CO26"/>
    <mergeCell ref="BK9:BK10"/>
    <mergeCell ref="DN13:DN14"/>
    <mergeCell ref="DF20:DF21"/>
    <mergeCell ref="CM5:CM6"/>
    <mergeCell ref="CW20:CW21"/>
    <mergeCell ref="CW9:CW10"/>
    <mergeCell ref="CW11:CW12"/>
    <mergeCell ref="BN25:BN26"/>
    <mergeCell ref="DD20:DD21"/>
    <mergeCell ref="CO20:CO21"/>
    <mergeCell ref="CM11:CM12"/>
    <mergeCell ref="CO5:CO6"/>
    <mergeCell ref="CH18:CH19"/>
    <mergeCell ref="DC20:DC21"/>
    <mergeCell ref="EG23:EG24"/>
    <mergeCell ref="EL23:EL24"/>
    <mergeCell ref="EN23:EN24"/>
    <mergeCell ref="DX25:DX26"/>
    <mergeCell ref="DN23:DN24"/>
    <mergeCell ref="DQ23:DQ24"/>
    <mergeCell ref="DE18:DE19"/>
    <mergeCell ref="CZ20:CZ21"/>
    <mergeCell ref="CP20:CP21"/>
    <mergeCell ref="CO18:CO19"/>
    <mergeCell ref="EI25:EI26"/>
    <mergeCell ref="DF23:DF24"/>
    <mergeCell ref="CI18:CI19"/>
    <mergeCell ref="DU23:DU24"/>
    <mergeCell ref="DX23:DX24"/>
    <mergeCell ref="DY23:DY24"/>
    <mergeCell ref="DZ23:DZ24"/>
    <mergeCell ref="DV23:DV24"/>
    <mergeCell ref="EN20:EN21"/>
    <mergeCell ref="CI25:CI26"/>
    <mergeCell ref="CY18:CY19"/>
    <mergeCell ref="DZ25:DZ26"/>
    <mergeCell ref="CP23:CP24"/>
    <mergeCell ref="CR20:CR21"/>
    <mergeCell ref="CV20:CV21"/>
    <mergeCell ref="DT23:DT24"/>
    <mergeCell ref="DK23:DK24"/>
    <mergeCell ref="EI20:EI21"/>
    <mergeCell ref="EC20:EC21"/>
    <mergeCell ref="DE25:DE26"/>
    <mergeCell ref="BU25:BU26"/>
    <mergeCell ref="BT25:BT26"/>
    <mergeCell ref="EH25:EH26"/>
    <mergeCell ref="EE25:EE26"/>
    <mergeCell ref="EA25:EA26"/>
    <mergeCell ref="EB25:EB26"/>
    <mergeCell ref="EN25:EN26"/>
    <mergeCell ref="CY20:CY21"/>
    <mergeCell ref="CZ23:CZ24"/>
    <mergeCell ref="DA23:DA24"/>
    <mergeCell ref="DE23:DE24"/>
    <mergeCell ref="CY23:CY24"/>
    <mergeCell ref="CM25:CM26"/>
    <mergeCell ref="CL25:CL26"/>
    <mergeCell ref="CJ25:CJ26"/>
    <mergeCell ref="CG23:CG24"/>
    <mergeCell ref="CN20:CN21"/>
    <mergeCell ref="CU23:CU24"/>
    <mergeCell ref="EF23:EF24"/>
    <mergeCell ref="EE23:EE24"/>
    <mergeCell ref="EA23:EA24"/>
    <mergeCell ref="EC25:EC26"/>
    <mergeCell ref="CM23:CM24"/>
    <mergeCell ref="DM20:DM21"/>
    <mergeCell ref="CE20:CE21"/>
    <mergeCell ref="CA20:CA21"/>
    <mergeCell ref="CT25:CT26"/>
    <mergeCell ref="CV25:CV26"/>
    <mergeCell ref="EO23:EO24"/>
    <mergeCell ref="DI11:DI12"/>
    <mergeCell ref="DI20:DI21"/>
    <mergeCell ref="DO23:DO24"/>
    <mergeCell ref="DN39:DN41"/>
    <mergeCell ref="EG39:EG41"/>
    <mergeCell ref="DV11:DV12"/>
    <mergeCell ref="DP18:DP19"/>
    <mergeCell ref="DQ18:DQ19"/>
    <mergeCell ref="EC23:EC24"/>
    <mergeCell ref="DU25:DU26"/>
    <mergeCell ref="DO25:DO26"/>
    <mergeCell ref="DT29:DT30"/>
    <mergeCell ref="DN20:DN21"/>
    <mergeCell ref="DS25:DS26"/>
    <mergeCell ref="DN29:DN30"/>
    <mergeCell ref="DW11:DW12"/>
    <mergeCell ref="EF29:EF30"/>
    <mergeCell ref="ED29:ED30"/>
    <mergeCell ref="DI13:DI14"/>
    <mergeCell ref="DJ13:DJ14"/>
    <mergeCell ref="DZ29:DZ30"/>
    <mergeCell ref="ED39:ED41"/>
    <mergeCell ref="EK23:EK24"/>
    <mergeCell ref="DY25:DY26"/>
    <mergeCell ref="EM13:EM14"/>
    <mergeCell ref="EN13:EN14"/>
    <mergeCell ref="DR29:DR30"/>
    <mergeCell ref="EH23:EH24"/>
    <mergeCell ref="EM23:EM24"/>
    <mergeCell ref="EI23:EI24"/>
    <mergeCell ref="EJ23:EJ24"/>
    <mergeCell ref="DQ43:DQ44"/>
    <mergeCell ref="DZ43:DZ44"/>
    <mergeCell ref="EH39:EH41"/>
    <mergeCell ref="EL29:EL30"/>
    <mergeCell ref="EI39:EI41"/>
    <mergeCell ref="EI43:EI44"/>
    <mergeCell ref="EG43:EG44"/>
    <mergeCell ref="EM43:EM44"/>
    <mergeCell ref="ED25:ED26"/>
    <mergeCell ref="EG29:EG30"/>
    <mergeCell ref="EJ43:EJ44"/>
    <mergeCell ref="DX43:DX44"/>
    <mergeCell ref="EK29:EK30"/>
    <mergeCell ref="EN29:EN30"/>
    <mergeCell ref="EM39:EM41"/>
    <mergeCell ref="EJ39:EJ41"/>
    <mergeCell ref="EK25:EK26"/>
    <mergeCell ref="DW43:DW44"/>
    <mergeCell ref="DX29:DX30"/>
    <mergeCell ref="DY29:DY30"/>
    <mergeCell ref="DY43:DY44"/>
    <mergeCell ref="EA39:EA41"/>
    <mergeCell ref="EG25:EG26"/>
    <mergeCell ref="EL25:EL26"/>
    <mergeCell ref="DV29:DV30"/>
    <mergeCell ref="EM29:EM30"/>
    <mergeCell ref="DV43:DV44"/>
    <mergeCell ref="EF39:EF41"/>
    <mergeCell ref="EI29:EI30"/>
    <mergeCell ref="EJ29:EJ30"/>
    <mergeCell ref="DY39:DY41"/>
    <mergeCell ref="DU43:DU44"/>
    <mergeCell ref="GB94:GB95"/>
    <mergeCell ref="GA94:GA95"/>
    <mergeCell ref="EH47:EH48"/>
    <mergeCell ref="EY94:EY95"/>
    <mergeCell ref="FC94:FC95"/>
    <mergeCell ref="EM45:EM46"/>
    <mergeCell ref="EQ47:EQ48"/>
    <mergeCell ref="FN72:FN73"/>
    <mergeCell ref="FD94:FD95"/>
    <mergeCell ref="FI94:FI95"/>
    <mergeCell ref="EW74:EW75"/>
    <mergeCell ref="EV45:EV46"/>
    <mergeCell ref="EX74:EX75"/>
    <mergeCell ref="EP47:EP48"/>
    <mergeCell ref="FV45:FV46"/>
    <mergeCell ref="FT78:FT79"/>
    <mergeCell ref="FZ76:FZ77"/>
    <mergeCell ref="ES49:ES50"/>
    <mergeCell ref="FX45:FX46"/>
    <mergeCell ref="FZ47:FZ48"/>
    <mergeCell ref="GA47:GA48"/>
    <mergeCell ref="FY47:FY48"/>
    <mergeCell ref="ET45:ET46"/>
    <mergeCell ref="ET49:ET50"/>
    <mergeCell ref="EQ76:EQ77"/>
    <mergeCell ref="EM49:EM50"/>
    <mergeCell ref="EV49:EV50"/>
    <mergeCell ref="EW49:EW50"/>
    <mergeCell ref="EW51:EW52"/>
    <mergeCell ref="ET51:ET52"/>
    <mergeCell ref="EU51:EU52"/>
    <mergeCell ref="FZ45:FZ46"/>
    <mergeCell ref="EA80:EA81"/>
    <mergeCell ref="EF80:EF81"/>
    <mergeCell ref="DZ94:DZ95"/>
    <mergeCell ref="EG78:EG79"/>
    <mergeCell ref="ED76:ED77"/>
    <mergeCell ref="EG76:EG77"/>
    <mergeCell ref="EO74:EO75"/>
    <mergeCell ref="EK121:EK122"/>
    <mergeCell ref="ER121:ER122"/>
    <mergeCell ref="EE106:EE107"/>
    <mergeCell ref="ED78:ED79"/>
    <mergeCell ref="EM100:EM101"/>
    <mergeCell ref="EQ80:EQ81"/>
    <mergeCell ref="ER74:ER75"/>
    <mergeCell ref="EQ74:EQ75"/>
    <mergeCell ref="EG45:EG46"/>
    <mergeCell ref="EF45:EF46"/>
    <mergeCell ref="EO45:EO46"/>
    <mergeCell ref="EL76:EL77"/>
    <mergeCell ref="EL51:EL52"/>
    <mergeCell ref="ED94:ED95"/>
    <mergeCell ref="EI94:EI95"/>
    <mergeCell ref="EJ80:EJ81"/>
    <mergeCell ref="EP100:EP101"/>
    <mergeCell ref="ED49:ED50"/>
    <mergeCell ref="EE78:EE79"/>
    <mergeCell ref="EK76:EK77"/>
    <mergeCell ref="EJ74:EJ75"/>
    <mergeCell ref="EN78:EN79"/>
    <mergeCell ref="EN49:EN50"/>
    <mergeCell ref="EG80:EG81"/>
    <mergeCell ref="EM47:EM48"/>
    <mergeCell ref="EE94:EE95"/>
    <mergeCell ref="EL45:EL46"/>
    <mergeCell ref="EO106:EO107"/>
    <mergeCell ref="EC78:EC79"/>
    <mergeCell ref="ER49:ER50"/>
    <mergeCell ref="EP51:EP52"/>
    <mergeCell ref="EC43:EC44"/>
    <mergeCell ref="EF104:EF105"/>
    <mergeCell ref="EO94:EO95"/>
    <mergeCell ref="EP76:EP77"/>
    <mergeCell ref="EG100:EG101"/>
    <mergeCell ref="EP39:EP41"/>
    <mergeCell ref="EO43:EO44"/>
    <mergeCell ref="EO39:EO41"/>
    <mergeCell ref="EK39:EK41"/>
    <mergeCell ref="EB43:EB44"/>
    <mergeCell ref="EM78:EM79"/>
    <mergeCell ref="EE96:EE97"/>
    <mergeCell ref="EE104:EE105"/>
    <mergeCell ref="ED96:ED97"/>
    <mergeCell ref="EH106:EH107"/>
    <mergeCell ref="EH96:EH97"/>
    <mergeCell ref="EK74:EK75"/>
    <mergeCell ref="EI80:EI81"/>
    <mergeCell ref="EL78:EL79"/>
    <mergeCell ref="EJ76:EJ77"/>
    <mergeCell ref="EG106:EG107"/>
    <mergeCell ref="EH78:EH79"/>
    <mergeCell ref="ED100:ED101"/>
    <mergeCell ref="EI78:EI79"/>
    <mergeCell ref="EO78:EO79"/>
    <mergeCell ref="EO76:EO77"/>
    <mergeCell ref="EE47:EE48"/>
    <mergeCell ref="EK43:EK44"/>
    <mergeCell ref="EU47:EU48"/>
    <mergeCell ref="ER39:ER41"/>
    <mergeCell ref="EA29:EA30"/>
    <mergeCell ref="EA43:EA44"/>
    <mergeCell ref="ES45:ES46"/>
    <mergeCell ref="EN43:EN44"/>
    <mergeCell ref="EN39:EN41"/>
    <mergeCell ref="ER43:ER44"/>
    <mergeCell ref="ES43:ES44"/>
    <mergeCell ref="EE43:EE44"/>
    <mergeCell ref="EK45:EK46"/>
    <mergeCell ref="EN45:EN46"/>
    <mergeCell ref="EP43:EP44"/>
    <mergeCell ref="EQ43:EQ44"/>
    <mergeCell ref="EF43:EF44"/>
    <mergeCell ref="ET43:ET44"/>
    <mergeCell ref="ET39:ET41"/>
    <mergeCell ref="EC39:EC41"/>
    <mergeCell ref="EB29:EB30"/>
    <mergeCell ref="EU29:EU30"/>
    <mergeCell ref="EE39:EE41"/>
    <mergeCell ref="ED43:ED44"/>
    <mergeCell ref="EB39:EB41"/>
    <mergeCell ref="EQ29:EQ30"/>
    <mergeCell ref="ES39:ES41"/>
    <mergeCell ref="EL43:EL44"/>
    <mergeCell ref="ES29:ES30"/>
    <mergeCell ref="EE29:EE30"/>
    <mergeCell ref="ET80:ET81"/>
    <mergeCell ref="ET76:ET77"/>
    <mergeCell ref="EF47:EF48"/>
    <mergeCell ref="EG49:EG50"/>
    <mergeCell ref="EG51:EG52"/>
    <mergeCell ref="EM51:EM52"/>
    <mergeCell ref="EN51:EN52"/>
    <mergeCell ref="EE74:EE75"/>
    <mergeCell ref="EG47:EG48"/>
    <mergeCell ref="EV47:EV48"/>
    <mergeCell ref="ER47:ER48"/>
    <mergeCell ref="EE51:EE52"/>
    <mergeCell ref="EI49:EI50"/>
    <mergeCell ref="EH45:EH46"/>
    <mergeCell ref="EJ51:EJ52"/>
    <mergeCell ref="EK51:EK52"/>
    <mergeCell ref="EI47:EI48"/>
    <mergeCell ref="EP49:EP50"/>
    <mergeCell ref="EO47:EO48"/>
    <mergeCell ref="EN47:EN48"/>
    <mergeCell ref="EE45:EE46"/>
    <mergeCell ref="EP45:EP46"/>
    <mergeCell ref="EF49:EF50"/>
    <mergeCell ref="EJ45:EJ46"/>
    <mergeCell ref="EG74:EG75"/>
    <mergeCell ref="EL47:EL48"/>
    <mergeCell ref="EQ45:EQ46"/>
    <mergeCell ref="EI45:EI46"/>
    <mergeCell ref="ET74:ET75"/>
    <mergeCell ref="EI74:EI75"/>
    <mergeCell ref="EM74:EM75"/>
    <mergeCell ref="EJ49:EJ50"/>
    <mergeCell ref="EA110:EA111"/>
    <mergeCell ref="EA121:EA122"/>
    <mergeCell ref="EN110:EN111"/>
    <mergeCell ref="EI128:EI129"/>
    <mergeCell ref="EM128:EM129"/>
    <mergeCell ref="EI121:EI122"/>
    <mergeCell ref="EF106:EF107"/>
    <mergeCell ref="EC106:EC107"/>
    <mergeCell ref="EJ121:EJ122"/>
    <mergeCell ref="EH128:EH129"/>
    <mergeCell ref="EA128:EA129"/>
    <mergeCell ref="ET110:ET111"/>
    <mergeCell ref="EP121:EP122"/>
    <mergeCell ref="EL110:EL111"/>
    <mergeCell ref="ET128:ET129"/>
    <mergeCell ref="EI106:EI107"/>
    <mergeCell ref="ED106:ED107"/>
    <mergeCell ref="EC110:EC111"/>
    <mergeCell ref="EH110:EH111"/>
    <mergeCell ref="EH121:EH122"/>
    <mergeCell ref="ES106:ES107"/>
    <mergeCell ref="EB128:EB129"/>
    <mergeCell ref="EC128:EC129"/>
    <mergeCell ref="EB121:EB122"/>
    <mergeCell ref="ED128:ED129"/>
    <mergeCell ref="EE128:EE129"/>
    <mergeCell ref="EE121:EE122"/>
    <mergeCell ref="ES121:ES122"/>
    <mergeCell ref="EG121:EG122"/>
    <mergeCell ref="ER110:ER111"/>
    <mergeCell ref="EL121:EL122"/>
    <mergeCell ref="EM106:EM107"/>
    <mergeCell ref="ER128:ER129"/>
    <mergeCell ref="EU110:EU111"/>
    <mergeCell ref="EW110:EW111"/>
    <mergeCell ref="EW121:EW122"/>
    <mergeCell ref="ER106:ER107"/>
    <mergeCell ref="EK104:EK105"/>
    <mergeCell ref="EN100:EN101"/>
    <mergeCell ref="EF51:EF52"/>
    <mergeCell ref="EK49:EK50"/>
    <mergeCell ref="EP80:EP81"/>
    <mergeCell ref="EF74:EF75"/>
    <mergeCell ref="ER51:ER52"/>
    <mergeCell ref="EN104:EN105"/>
    <mergeCell ref="ES96:ES97"/>
    <mergeCell ref="ES78:ES79"/>
    <mergeCell ref="EO80:EO81"/>
    <mergeCell ref="EP106:EP107"/>
    <mergeCell ref="EF121:EF122"/>
    <mergeCell ref="EM110:EM111"/>
    <mergeCell ref="EQ49:EQ50"/>
    <mergeCell ref="EQ51:EQ52"/>
    <mergeCell ref="ES51:ES52"/>
    <mergeCell ref="EM76:EM77"/>
    <mergeCell ref="EM80:EM81"/>
    <mergeCell ref="EH80:EH81"/>
    <mergeCell ref="EN74:EN75"/>
    <mergeCell ref="EP74:EP75"/>
    <mergeCell ref="EG96:EG97"/>
    <mergeCell ref="EH94:EH95"/>
    <mergeCell ref="EP94:EP95"/>
    <mergeCell ref="EF128:EF129"/>
    <mergeCell ref="EU94:EU95"/>
    <mergeCell ref="FV104:FV105"/>
    <mergeCell ref="FR96:FR97"/>
    <mergeCell ref="FM96:FM97"/>
    <mergeCell ref="FQ96:FQ97"/>
    <mergeCell ref="FO96:FO97"/>
    <mergeCell ref="EZ96:EZ97"/>
    <mergeCell ref="EZ100:EZ101"/>
    <mergeCell ref="EY100:EY101"/>
    <mergeCell ref="FK96:FK97"/>
    <mergeCell ref="FD96:FD97"/>
    <mergeCell ref="EY106:EY107"/>
    <mergeCell ref="FI96:FI97"/>
    <mergeCell ref="FH96:FH97"/>
    <mergeCell ref="FL104:FL105"/>
    <mergeCell ref="FN96:FN97"/>
    <mergeCell ref="FP104:FP105"/>
    <mergeCell ref="FP96:FP97"/>
    <mergeCell ref="FG96:FG97"/>
    <mergeCell ref="FR104:FR105"/>
    <mergeCell ref="FQ104:FQ105"/>
    <mergeCell ref="GA106:GA107"/>
    <mergeCell ref="FT104:FT105"/>
    <mergeCell ref="FZ96:FZ97"/>
    <mergeCell ref="GB100:GB101"/>
    <mergeCell ref="GB96:GB97"/>
    <mergeCell ref="FY96:FY97"/>
    <mergeCell ref="EH100:EH101"/>
    <mergeCell ref="EQ106:EQ107"/>
    <mergeCell ref="ES104:ES105"/>
    <mergeCell ref="GN104:GN105"/>
    <mergeCell ref="GK104:GK105"/>
    <mergeCell ref="GH106:GH107"/>
    <mergeCell ref="GG104:GG105"/>
    <mergeCell ref="GK106:GK107"/>
    <mergeCell ref="GL104:GL105"/>
    <mergeCell ref="GF106:GF107"/>
    <mergeCell ref="EJ104:EJ105"/>
    <mergeCell ref="EQ104:EQ105"/>
    <mergeCell ref="ER96:ER97"/>
    <mergeCell ref="ER100:ER101"/>
    <mergeCell ref="EJ96:EJ97"/>
    <mergeCell ref="GF100:GF101"/>
    <mergeCell ref="GF96:GF97"/>
    <mergeCell ref="GD100:GD101"/>
    <mergeCell ref="GD96:GD97"/>
    <mergeCell ref="ES100:ES101"/>
    <mergeCell ref="EL100:EL101"/>
    <mergeCell ref="ET104:ET105"/>
    <mergeCell ref="FS104:FS105"/>
    <mergeCell ref="FG104:FG105"/>
    <mergeCell ref="FL96:FL97"/>
    <mergeCell ref="FC96:FC97"/>
    <mergeCell ref="GC128:GC129"/>
    <mergeCell ref="GN128:GN129"/>
    <mergeCell ref="GN106:GN107"/>
    <mergeCell ref="GM104:GM105"/>
    <mergeCell ref="GM106:GM107"/>
    <mergeCell ref="GI106:GI107"/>
    <mergeCell ref="GK128:GK129"/>
    <mergeCell ref="GA128:GA129"/>
    <mergeCell ref="FZ104:FZ105"/>
    <mergeCell ref="EZ115:EZ117"/>
    <mergeCell ref="FY106:FY107"/>
    <mergeCell ref="FN104:FN105"/>
    <mergeCell ref="FJ104:FJ105"/>
    <mergeCell ref="FH104:FH105"/>
    <mergeCell ref="FF104:FF105"/>
    <mergeCell ref="GK96:GK97"/>
    <mergeCell ref="GA96:GA97"/>
    <mergeCell ref="GA100:GA101"/>
    <mergeCell ref="GH128:GH129"/>
    <mergeCell ref="GJ104:GJ105"/>
    <mergeCell ref="GH104:GH105"/>
    <mergeCell ref="GH100:GH101"/>
    <mergeCell ref="GL128:GL129"/>
    <mergeCell ref="GJ106:GJ107"/>
    <mergeCell ref="GC96:GC97"/>
    <mergeCell ref="GC104:GC105"/>
    <mergeCell ref="GG100:GG101"/>
    <mergeCell ref="GI104:GI105"/>
    <mergeCell ref="GJ96:GJ97"/>
    <mergeCell ref="GL100:GL101"/>
    <mergeCell ref="GE104:GE105"/>
    <mergeCell ref="GL106:GL107"/>
    <mergeCell ref="FZ94:FZ95"/>
    <mergeCell ref="EZ132:EZ133"/>
    <mergeCell ref="FZ128:FZ129"/>
    <mergeCell ref="FA104:FA105"/>
    <mergeCell ref="FW104:FW105"/>
    <mergeCell ref="GA104:GA105"/>
    <mergeCell ref="GE96:GE97"/>
    <mergeCell ref="GC106:GC107"/>
    <mergeCell ref="GG106:GG107"/>
    <mergeCell ref="GF104:GF105"/>
    <mergeCell ref="GG128:GG129"/>
    <mergeCell ref="GE128:GE129"/>
    <mergeCell ref="GF128:GF129"/>
    <mergeCell ref="FZ106:FZ107"/>
    <mergeCell ref="GD106:GD107"/>
    <mergeCell ref="GE106:GE107"/>
    <mergeCell ref="FI104:FI105"/>
    <mergeCell ref="GE100:GE101"/>
    <mergeCell ref="FC104:FC105"/>
    <mergeCell ref="FU104:FU105"/>
    <mergeCell ref="FY128:FY129"/>
    <mergeCell ref="FX96:FX97"/>
    <mergeCell ref="FW96:FW97"/>
    <mergeCell ref="FD104:FD105"/>
    <mergeCell ref="GB106:GB107"/>
    <mergeCell ref="FY104:FY105"/>
    <mergeCell ref="FX104:FX105"/>
    <mergeCell ref="FV96:FV97"/>
    <mergeCell ref="FW94:FW95"/>
    <mergeCell ref="FZ100:FZ101"/>
    <mergeCell ref="GC100:GC101"/>
    <mergeCell ref="GD128:GD129"/>
    <mergeCell ref="GJ128:GJ129"/>
    <mergeCell ref="GI128:GI129"/>
    <mergeCell ref="GD104:GD105"/>
    <mergeCell ref="GB104:GB105"/>
    <mergeCell ref="GD94:GD95"/>
    <mergeCell ref="GK100:GK101"/>
    <mergeCell ref="EV104:EV105"/>
    <mergeCell ref="EY104:EY105"/>
    <mergeCell ref="EW94:EW95"/>
    <mergeCell ref="EY96:EY97"/>
    <mergeCell ref="ER104:ER105"/>
    <mergeCell ref="EU100:EU101"/>
    <mergeCell ref="EK106:EK107"/>
    <mergeCell ref="EL104:EL105"/>
    <mergeCell ref="FY94:FY95"/>
    <mergeCell ref="FV94:FV95"/>
    <mergeCell ref="FL94:FL95"/>
    <mergeCell ref="FM94:FM95"/>
    <mergeCell ref="FK94:FK95"/>
    <mergeCell ref="FP94:FP95"/>
    <mergeCell ref="FR94:FR95"/>
    <mergeCell ref="FX94:FX95"/>
    <mergeCell ref="FU96:FU97"/>
    <mergeCell ref="EK100:EK101"/>
    <mergeCell ref="FA96:FA97"/>
    <mergeCell ref="EQ96:EQ97"/>
    <mergeCell ref="EN96:EN97"/>
    <mergeCell ref="EK96:EK97"/>
    <mergeCell ref="EP96:EP97"/>
    <mergeCell ref="EU104:EU105"/>
    <mergeCell ref="EP104:EP105"/>
    <mergeCell ref="EW104:EW105"/>
    <mergeCell ref="EV96:EV97"/>
    <mergeCell ref="EV100:EV101"/>
    <mergeCell ref="EX94:EX95"/>
    <mergeCell ref="EL94:EL95"/>
    <mergeCell ref="EW100:EW101"/>
    <mergeCell ref="EU96:EU97"/>
    <mergeCell ref="FJ96:FJ97"/>
    <mergeCell ref="FT96:FT97"/>
    <mergeCell ref="FN94:FN95"/>
    <mergeCell ref="FS96:FS97"/>
    <mergeCell ref="FU94:FU95"/>
    <mergeCell ref="EI96:EI97"/>
    <mergeCell ref="EJ100:EJ101"/>
    <mergeCell ref="EX96:EX97"/>
    <mergeCell ref="EX100:EX101"/>
    <mergeCell ref="EW106:EW107"/>
    <mergeCell ref="EI104:EI105"/>
    <mergeCell ref="EX104:EX105"/>
    <mergeCell ref="FK104:FK105"/>
    <mergeCell ref="FO104:FO105"/>
    <mergeCell ref="FM104:FM105"/>
    <mergeCell ref="EN106:EN107"/>
    <mergeCell ref="EM104:EM105"/>
    <mergeCell ref="ET106:ET107"/>
    <mergeCell ref="ET96:ET97"/>
    <mergeCell ref="FJ94:FJ95"/>
    <mergeCell ref="EZ94:EZ95"/>
    <mergeCell ref="DP104:DP105"/>
    <mergeCell ref="EG104:EG105"/>
    <mergeCell ref="DR104:DR105"/>
    <mergeCell ref="DX106:DX107"/>
    <mergeCell ref="EB96:EB97"/>
    <mergeCell ref="DR100:DR101"/>
    <mergeCell ref="EE100:EE101"/>
    <mergeCell ref="DT96:DT97"/>
    <mergeCell ref="DW98:DW99"/>
    <mergeCell ref="EH104:EH105"/>
    <mergeCell ref="EA96:EA97"/>
    <mergeCell ref="ED104:ED105"/>
    <mergeCell ref="DX100:DX101"/>
    <mergeCell ref="DX96:DX97"/>
    <mergeCell ref="DU106:DU107"/>
    <mergeCell ref="DY106:DY107"/>
    <mergeCell ref="DV106:DV107"/>
    <mergeCell ref="DS106:DS107"/>
    <mergeCell ref="DZ106:DZ107"/>
    <mergeCell ref="EA106:EA107"/>
    <mergeCell ref="DZ100:DZ101"/>
    <mergeCell ref="DY104:DY105"/>
    <mergeCell ref="DY96:DY97"/>
    <mergeCell ref="DW100:DW101"/>
    <mergeCell ref="EA100:EA101"/>
    <mergeCell ref="EA104:EA105"/>
    <mergeCell ref="EP78:EP79"/>
    <mergeCell ref="DT80:DT81"/>
    <mergeCell ref="DY94:DY95"/>
    <mergeCell ref="ES94:ES95"/>
    <mergeCell ref="EN80:EN81"/>
    <mergeCell ref="EB78:EB79"/>
    <mergeCell ref="EB106:EB107"/>
    <mergeCell ref="EJ106:EJ107"/>
    <mergeCell ref="EL106:EL107"/>
    <mergeCell ref="EF100:EF101"/>
    <mergeCell ref="EO104:EO105"/>
    <mergeCell ref="EQ100:EQ101"/>
    <mergeCell ref="ET100:ET101"/>
    <mergeCell ref="EO100:EO101"/>
    <mergeCell ref="EI100:EI101"/>
    <mergeCell ref="EM94:EM95"/>
    <mergeCell ref="ED80:ED81"/>
    <mergeCell ref="EF78:EF79"/>
    <mergeCell ref="EK80:EK81"/>
    <mergeCell ref="EB94:EB95"/>
    <mergeCell ref="EE80:EE81"/>
    <mergeCell ref="EC96:EC97"/>
    <mergeCell ref="ER78:ER79"/>
    <mergeCell ref="DY98:DY99"/>
    <mergeCell ref="EB100:EB101"/>
    <mergeCell ref="EC100:EC101"/>
    <mergeCell ref="EC80:EC81"/>
    <mergeCell ref="ER85:ER87"/>
    <mergeCell ref="DZ104:DZ105"/>
    <mergeCell ref="EG94:EG95"/>
    <mergeCell ref="EC94:EC95"/>
    <mergeCell ref="DY100:DY101"/>
    <mergeCell ref="DX94:DX95"/>
    <mergeCell ref="ES80:ES81"/>
    <mergeCell ref="DX98:DX99"/>
    <mergeCell ref="EJ94:EJ95"/>
    <mergeCell ref="DX80:DX81"/>
    <mergeCell ref="EW96:EW97"/>
    <mergeCell ref="DW96:DW97"/>
    <mergeCell ref="DT104:DT105"/>
    <mergeCell ref="EL96:EL97"/>
    <mergeCell ref="EQ94:EQ95"/>
    <mergeCell ref="DV78:DV79"/>
    <mergeCell ref="DZ78:DZ79"/>
    <mergeCell ref="DT94:DT95"/>
    <mergeCell ref="DW80:DW81"/>
    <mergeCell ref="EQ78:EQ79"/>
    <mergeCell ref="EM96:EM97"/>
    <mergeCell ref="EK94:EK95"/>
    <mergeCell ref="EF94:EF95"/>
    <mergeCell ref="EF96:EF97"/>
    <mergeCell ref="EJ78:EJ79"/>
    <mergeCell ref="ER94:ER95"/>
    <mergeCell ref="EB104:EB105"/>
    <mergeCell ref="EC104:EC105"/>
    <mergeCell ref="EO96:EO97"/>
    <mergeCell ref="EU80:EU81"/>
    <mergeCell ref="ET78:ET79"/>
    <mergeCell ref="DZ96:DZ97"/>
    <mergeCell ref="EA94:EA95"/>
    <mergeCell ref="DY78:DY79"/>
    <mergeCell ref="EI85:EI87"/>
    <mergeCell ref="DT85:DT87"/>
    <mergeCell ref="DU85:DU87"/>
    <mergeCell ref="GC47:GC48"/>
    <mergeCell ref="EX76:EX77"/>
    <mergeCell ref="EY74:EY75"/>
    <mergeCell ref="EX45:EX46"/>
    <mergeCell ref="FG78:FG79"/>
    <mergeCell ref="FT74:FT75"/>
    <mergeCell ref="FY76:FY77"/>
    <mergeCell ref="ES76:ES77"/>
    <mergeCell ref="EN94:EN95"/>
    <mergeCell ref="EI76:EI77"/>
    <mergeCell ref="EW78:EW79"/>
    <mergeCell ref="EW80:EW81"/>
    <mergeCell ref="EL80:EL81"/>
    <mergeCell ref="EV80:EV81"/>
    <mergeCell ref="EW76:EW77"/>
    <mergeCell ref="FV78:FV79"/>
    <mergeCell ref="FO78:FO79"/>
    <mergeCell ref="FQ94:FQ95"/>
    <mergeCell ref="EX80:EX81"/>
    <mergeCell ref="FP78:FP79"/>
    <mergeCell ref="ET94:ET95"/>
    <mergeCell ref="FS78:FS79"/>
    <mergeCell ref="EY76:EY77"/>
    <mergeCell ref="EU78:EU79"/>
    <mergeCell ref="FN78:FN79"/>
    <mergeCell ref="FQ78:FQ79"/>
    <mergeCell ref="EY78:EY79"/>
    <mergeCell ref="FS94:FS95"/>
    <mergeCell ref="FT94:FT95"/>
    <mergeCell ref="EV76:EV77"/>
    <mergeCell ref="FH78:FH79"/>
    <mergeCell ref="FO94:FO95"/>
    <mergeCell ref="EX43:EX44"/>
    <mergeCell ref="EW45:EW46"/>
    <mergeCell ref="EW43:EW44"/>
    <mergeCell ref="EV43:EV44"/>
    <mergeCell ref="FF74:FF75"/>
    <mergeCell ref="FQ74:FQ75"/>
    <mergeCell ref="FJ74:FJ75"/>
    <mergeCell ref="FD78:FD79"/>
    <mergeCell ref="FH94:FH95"/>
    <mergeCell ref="EZ88:EZ89"/>
    <mergeCell ref="FA94:FA95"/>
    <mergeCell ref="FK72:FK73"/>
    <mergeCell ref="FS72:FS73"/>
    <mergeCell ref="FL72:FL73"/>
    <mergeCell ref="FS51:FS52"/>
    <mergeCell ref="FP72:FP73"/>
    <mergeCell ref="FM51:FM52"/>
    <mergeCell ref="FP45:FP46"/>
    <mergeCell ref="FJ78:FJ79"/>
    <mergeCell ref="EV94:EV95"/>
    <mergeCell ref="EV78:EV79"/>
    <mergeCell ref="FK78:FK79"/>
    <mergeCell ref="EX78:EX79"/>
    <mergeCell ref="FD72:FD73"/>
    <mergeCell ref="FR51:FR52"/>
    <mergeCell ref="FG51:FG52"/>
    <mergeCell ref="FA78:FA79"/>
    <mergeCell ref="FI78:FI79"/>
    <mergeCell ref="FM78:FM79"/>
    <mergeCell ref="EZ78:EZ79"/>
    <mergeCell ref="FC78:FC79"/>
    <mergeCell ref="FZ11:FZ12"/>
    <mergeCell ref="FL37:FL38"/>
    <mergeCell ref="EZ18:EZ19"/>
    <mergeCell ref="FD25:FD26"/>
    <mergeCell ref="FG37:FG38"/>
    <mergeCell ref="FD37:FD38"/>
    <mergeCell ref="GA25:GA26"/>
    <mergeCell ref="FX51:FX52"/>
    <mergeCell ref="FI72:FI73"/>
    <mergeCell ref="EZ64:EZ66"/>
    <mergeCell ref="FD74:FD75"/>
    <mergeCell ref="FI74:FI75"/>
    <mergeCell ref="FA74:FA75"/>
    <mergeCell ref="EZ51:EZ52"/>
    <mergeCell ref="FC74:FC75"/>
    <mergeCell ref="EZ68:EZ69"/>
    <mergeCell ref="FD51:FD52"/>
    <mergeCell ref="FU78:FU79"/>
    <mergeCell ref="FW45:FW46"/>
    <mergeCell ref="FV51:FV52"/>
    <mergeCell ref="FV72:FV73"/>
    <mergeCell ref="FT51:FT52"/>
    <mergeCell ref="GD25:GD26"/>
    <mergeCell ref="GB29:GB30"/>
    <mergeCell ref="GB25:GB26"/>
    <mergeCell ref="FZ23:FZ24"/>
    <mergeCell ref="GB23:GB24"/>
    <mergeCell ref="FR45:FR46"/>
    <mergeCell ref="GD45:GD46"/>
    <mergeCell ref="GD11:GD12"/>
    <mergeCell ref="FR25:FR26"/>
    <mergeCell ref="FO25:FO26"/>
    <mergeCell ref="FS45:FS46"/>
    <mergeCell ref="FF45:FF46"/>
    <mergeCell ref="FD45:FD46"/>
    <mergeCell ref="FI45:FI46"/>
    <mergeCell ref="FT45:FT46"/>
    <mergeCell ref="FL45:FL46"/>
    <mergeCell ref="FJ45:FJ46"/>
    <mergeCell ref="FU45:FU46"/>
    <mergeCell ref="FK45:FK46"/>
    <mergeCell ref="FN45:FN46"/>
    <mergeCell ref="FM45:FM46"/>
    <mergeCell ref="FS25:FS26"/>
    <mergeCell ref="FN25:FN26"/>
    <mergeCell ref="FY25:FY26"/>
    <mergeCell ref="FZ29:FZ30"/>
    <mergeCell ref="GA43:GA44"/>
    <mergeCell ref="FY11:FY12"/>
    <mergeCell ref="GC29:GC30"/>
    <mergeCell ref="GC43:GC44"/>
    <mergeCell ref="EP29:EP30"/>
    <mergeCell ref="EH43:EH44"/>
    <mergeCell ref="EB45:EB46"/>
    <mergeCell ref="EB47:EB48"/>
    <mergeCell ref="EU49:EU50"/>
    <mergeCell ref="EU43:EU44"/>
    <mergeCell ref="EK47:EK48"/>
    <mergeCell ref="EX49:EX50"/>
    <mergeCell ref="HF5:HF6"/>
    <mergeCell ref="GS45:GS46"/>
    <mergeCell ref="GP45:GP46"/>
    <mergeCell ref="GP25:GP26"/>
    <mergeCell ref="GJ29:GJ30"/>
    <mergeCell ref="GL25:GL26"/>
    <mergeCell ref="GM45:GM46"/>
    <mergeCell ref="GJ9:GJ10"/>
    <mergeCell ref="GO11:GO12"/>
    <mergeCell ref="GK29:GK30"/>
    <mergeCell ref="FG45:FG46"/>
    <mergeCell ref="EZ43:EZ44"/>
    <mergeCell ref="EU13:EU14"/>
    <mergeCell ref="EV13:EV14"/>
    <mergeCell ref="EW13:EW14"/>
    <mergeCell ref="EX13:EX14"/>
    <mergeCell ref="EZ23:EZ24"/>
    <mergeCell ref="FH25:FH26"/>
    <mergeCell ref="FG25:FG26"/>
    <mergeCell ref="FG9:FG10"/>
    <mergeCell ref="EW29:EW30"/>
    <mergeCell ref="GR9:GR10"/>
    <mergeCell ref="FX49:FX50"/>
    <mergeCell ref="FQ9:FQ10"/>
    <mergeCell ref="EU39:EU41"/>
    <mergeCell ref="FC25:FC26"/>
    <mergeCell ref="FK25:FK26"/>
    <mergeCell ref="FA45:FA46"/>
    <mergeCell ref="FQ45:FQ46"/>
    <mergeCell ref="FM37:FM38"/>
    <mergeCell ref="FM25:FM26"/>
    <mergeCell ref="FU37:FU38"/>
    <mergeCell ref="FP37:FP38"/>
    <mergeCell ref="FS37:FS38"/>
    <mergeCell ref="FN37:FN38"/>
    <mergeCell ref="FO45:FO46"/>
    <mergeCell ref="FW9:FW10"/>
    <mergeCell ref="FV9:FV10"/>
    <mergeCell ref="FP9:FP10"/>
    <mergeCell ref="FW51:FW52"/>
    <mergeCell ref="FJ51:FJ52"/>
    <mergeCell ref="FU49:FU50"/>
    <mergeCell ref="FH51:FH52"/>
    <mergeCell ref="FW49:FW50"/>
    <mergeCell ref="FL9:FL10"/>
    <mergeCell ref="FJ9:FJ10"/>
    <mergeCell ref="FK9:FK10"/>
    <mergeCell ref="EX29:EX30"/>
    <mergeCell ref="EY29:EY30"/>
    <mergeCell ref="FL25:FL26"/>
    <mergeCell ref="EY49:EY50"/>
    <mergeCell ref="FC49:FC50"/>
    <mergeCell ref="FA49:FA50"/>
    <mergeCell ref="EZ49:EZ50"/>
    <mergeCell ref="FC51:FC52"/>
    <mergeCell ref="EV51:EV52"/>
    <mergeCell ref="DH45:DH46"/>
    <mergeCell ref="DK45:DK46"/>
    <mergeCell ref="ES47:ES48"/>
    <mergeCell ref="ET47:ET48"/>
    <mergeCell ref="EY43:EY44"/>
    <mergeCell ref="ES74:ES75"/>
    <mergeCell ref="ER29:ER30"/>
    <mergeCell ref="EO29:EO30"/>
    <mergeCell ref="EQ39:EQ41"/>
    <mergeCell ref="DR47:DR48"/>
    <mergeCell ref="DG47:DG48"/>
    <mergeCell ref="DT47:DT48"/>
    <mergeCell ref="DP45:DP46"/>
    <mergeCell ref="DP51:DP52"/>
    <mergeCell ref="DX51:DX52"/>
    <mergeCell ref="EC47:EC48"/>
    <mergeCell ref="DU51:DU52"/>
    <mergeCell ref="DX49:DX50"/>
    <mergeCell ref="EA47:EA48"/>
    <mergeCell ref="DW47:DW48"/>
    <mergeCell ref="DQ47:DQ48"/>
    <mergeCell ref="DZ49:DZ50"/>
    <mergeCell ref="DZ45:DZ46"/>
    <mergeCell ref="DW45:DW46"/>
    <mergeCell ref="DU47:DU48"/>
    <mergeCell ref="DY45:DY46"/>
    <mergeCell ref="EC49:EC50"/>
    <mergeCell ref="DX47:DX48"/>
    <mergeCell ref="DP49:DP50"/>
    <mergeCell ref="DS47:DS48"/>
    <mergeCell ref="DP47:DP48"/>
    <mergeCell ref="DZ51:DZ52"/>
    <mergeCell ref="DY47:DY48"/>
    <mergeCell ref="DO49:DO50"/>
    <mergeCell ref="DT51:DT52"/>
    <mergeCell ref="DU49:DU50"/>
    <mergeCell ref="DV49:DV50"/>
    <mergeCell ref="EA45:EA46"/>
    <mergeCell ref="DR45:DR46"/>
    <mergeCell ref="DV51:DV52"/>
    <mergeCell ref="DO47:DO48"/>
    <mergeCell ref="DM49:DM50"/>
    <mergeCell ref="DN49:DN50"/>
    <mergeCell ref="DQ49:DQ50"/>
    <mergeCell ref="DR68:DR69"/>
    <mergeCell ref="DN47:DN48"/>
    <mergeCell ref="DJ47:DJ48"/>
    <mergeCell ref="DZ47:DZ48"/>
    <mergeCell ref="DK51:DK52"/>
    <mergeCell ref="DM47:DM48"/>
    <mergeCell ref="DM68:DM69"/>
    <mergeCell ref="DW49:DW50"/>
    <mergeCell ref="DC49:DC50"/>
    <mergeCell ref="DQ74:DQ75"/>
    <mergeCell ref="DP68:DP69"/>
    <mergeCell ref="DJ68:DJ69"/>
    <mergeCell ref="DJ51:DJ52"/>
    <mergeCell ref="DB49:DB50"/>
    <mergeCell ref="DQ68:DQ69"/>
    <mergeCell ref="DG74:DG75"/>
    <mergeCell ref="CY51:CY52"/>
    <mergeCell ref="DA51:DA52"/>
    <mergeCell ref="CZ68:CZ69"/>
    <mergeCell ref="DJ76:DJ77"/>
    <mergeCell ref="CT49:CT50"/>
    <mergeCell ref="CO54:CO55"/>
    <mergeCell ref="CM51:CM52"/>
    <mergeCell ref="CP68:CP69"/>
    <mergeCell ref="DV47:DV48"/>
    <mergeCell ref="DK47:DK48"/>
    <mergeCell ref="DI49:DI50"/>
    <mergeCell ref="DT49:DT50"/>
    <mergeCell ref="DC51:DC52"/>
    <mergeCell ref="DQ51:DQ52"/>
    <mergeCell ref="DJ49:DJ50"/>
    <mergeCell ref="DM51:DM52"/>
    <mergeCell ref="DK49:DK50"/>
    <mergeCell ref="DS74:DS75"/>
    <mergeCell ref="DR49:DR50"/>
    <mergeCell ref="DA47:DA48"/>
    <mergeCell ref="CR47:CR48"/>
    <mergeCell ref="CV49:CV50"/>
    <mergeCell ref="CY49:CY50"/>
    <mergeCell ref="CR49:CR50"/>
    <mergeCell ref="CU51:CU52"/>
    <mergeCell ref="CR54:CR55"/>
    <mergeCell ref="DE54:DE55"/>
    <mergeCell ref="CH64:CH66"/>
    <mergeCell ref="CO64:CO66"/>
    <mergeCell ref="CN74:CN75"/>
    <mergeCell ref="CJ54:CJ55"/>
    <mergeCell ref="CM54:CM55"/>
    <mergeCell ref="CI64:CI66"/>
    <mergeCell ref="DE51:DE52"/>
    <mergeCell ref="CW51:CW52"/>
    <mergeCell ref="CQ51:CQ52"/>
    <mergeCell ref="CS51:CS52"/>
    <mergeCell ref="CJ57:CJ62"/>
    <mergeCell ref="CJ51:CJ52"/>
    <mergeCell ref="CI74:CI75"/>
    <mergeCell ref="DC54:DC55"/>
    <mergeCell ref="DD54:DD55"/>
    <mergeCell ref="CU68:CU69"/>
    <mergeCell ref="CT68:CT69"/>
    <mergeCell ref="CX54:CX55"/>
    <mergeCell ref="CX68:CX69"/>
    <mergeCell ref="CW54:CW55"/>
    <mergeCell ref="CH51:CH52"/>
    <mergeCell ref="CH54:CH55"/>
    <mergeCell ref="DD68:DD69"/>
    <mergeCell ref="DD51:DD52"/>
    <mergeCell ref="CT54:CT55"/>
    <mergeCell ref="DB54:DB55"/>
    <mergeCell ref="CN54:CN55"/>
    <mergeCell ref="CO51:CO52"/>
    <mergeCell ref="CP54:CP55"/>
    <mergeCell ref="CV54:CV55"/>
    <mergeCell ref="CY68:CY69"/>
    <mergeCell ref="DB51:DB52"/>
    <mergeCell ref="DI74:DI75"/>
    <mergeCell ref="DK74:DK75"/>
    <mergeCell ref="DP74:DP75"/>
    <mergeCell ref="DO74:DO75"/>
    <mergeCell ref="DD74:DD75"/>
    <mergeCell ref="DB76:DB77"/>
    <mergeCell ref="CY54:CY55"/>
    <mergeCell ref="DM74:DM75"/>
    <mergeCell ref="CX76:CX77"/>
    <mergeCell ref="CZ76:CZ77"/>
    <mergeCell ref="DF74:DF75"/>
    <mergeCell ref="DJ74:DJ75"/>
    <mergeCell ref="DD76:DD77"/>
    <mergeCell ref="DM76:DM77"/>
    <mergeCell ref="DL76:DL77"/>
    <mergeCell ref="DN76:DN77"/>
    <mergeCell ref="DC74:DC75"/>
    <mergeCell ref="DK68:DK69"/>
    <mergeCell ref="CW64:CW66"/>
    <mergeCell ref="DC68:DC69"/>
    <mergeCell ref="DH68:DH69"/>
    <mergeCell ref="DA76:DA77"/>
    <mergeCell ref="DN51:DN52"/>
    <mergeCell ref="CV64:CV66"/>
    <mergeCell ref="DF54:DF55"/>
    <mergeCell ref="DF68:DF69"/>
    <mergeCell ref="DO51:DO52"/>
    <mergeCell ref="DA54:DA55"/>
    <mergeCell ref="DH51:DH52"/>
    <mergeCell ref="CR51:CR52"/>
    <mergeCell ref="DQ76:DQ77"/>
    <mergeCell ref="CX43:CX44"/>
    <mergeCell ref="DJ45:DJ46"/>
    <mergeCell ref="DI47:DI48"/>
    <mergeCell ref="CS43:CS44"/>
    <mergeCell ref="DN68:DN69"/>
    <mergeCell ref="CX49:CX50"/>
    <mergeCell ref="CX74:CX75"/>
    <mergeCell ref="DE74:DE75"/>
    <mergeCell ref="DG45:DG46"/>
    <mergeCell ref="DH49:DH50"/>
    <mergeCell ref="DG49:DG50"/>
    <mergeCell ref="DE68:DE69"/>
    <mergeCell ref="DG43:DG44"/>
    <mergeCell ref="DF43:DF44"/>
    <mergeCell ref="DF45:DF46"/>
    <mergeCell ref="DD43:DD44"/>
    <mergeCell ref="CZ45:CZ46"/>
    <mergeCell ref="DL74:DL75"/>
    <mergeCell ref="DH74:DH75"/>
    <mergeCell ref="CZ54:CZ55"/>
    <mergeCell ref="DM45:DM46"/>
    <mergeCell ref="CU54:CU55"/>
    <mergeCell ref="CS54:CS55"/>
    <mergeCell ref="DA49:DA50"/>
    <mergeCell ref="DI51:DI52"/>
    <mergeCell ref="DK76:DK77"/>
    <mergeCell ref="CZ74:CZ75"/>
    <mergeCell ref="CV68:CV69"/>
    <mergeCell ref="DA68:DA69"/>
    <mergeCell ref="DG68:DG69"/>
    <mergeCell ref="DG51:DG52"/>
    <mergeCell ref="DP78:DP79"/>
    <mergeCell ref="EA78:EA79"/>
    <mergeCell ref="EB49:EB50"/>
    <mergeCell ref="DH78:DH79"/>
    <mergeCell ref="DT76:DT77"/>
    <mergeCell ref="DV76:DV77"/>
    <mergeCell ref="DY51:DY52"/>
    <mergeCell ref="EB51:EB52"/>
    <mergeCell ref="DW76:DW77"/>
    <mergeCell ref="DW51:DW52"/>
    <mergeCell ref="DY49:DY50"/>
    <mergeCell ref="DZ76:DZ77"/>
    <mergeCell ref="DY74:DY75"/>
    <mergeCell ref="DX74:DX75"/>
    <mergeCell ref="DI76:DI77"/>
    <mergeCell ref="DF51:DF52"/>
    <mergeCell ref="DL49:DL50"/>
    <mergeCell ref="DG76:DG77"/>
    <mergeCell ref="DO68:DO69"/>
    <mergeCell ref="DL51:DL52"/>
    <mergeCell ref="DL68:DL69"/>
    <mergeCell ref="DI68:DI69"/>
    <mergeCell ref="DR74:DR75"/>
    <mergeCell ref="DX78:DX79"/>
    <mergeCell ref="DM78:DM79"/>
    <mergeCell ref="DR78:DR79"/>
    <mergeCell ref="DJ78:DJ79"/>
    <mergeCell ref="DO78:DO79"/>
    <mergeCell ref="DS78:DS79"/>
    <mergeCell ref="ED110:ED111"/>
    <mergeCell ref="HF132:HF133"/>
    <mergeCell ref="ER80:ER81"/>
    <mergeCell ref="DZ80:DZ81"/>
    <mergeCell ref="DW74:DW75"/>
    <mergeCell ref="DU76:DU77"/>
    <mergeCell ref="DU74:DU75"/>
    <mergeCell ref="FW74:FW75"/>
    <mergeCell ref="ER76:ER77"/>
    <mergeCell ref="EC74:EC75"/>
    <mergeCell ref="FV74:FV75"/>
    <mergeCell ref="FS74:FS75"/>
    <mergeCell ref="FL74:FL75"/>
    <mergeCell ref="FR74:FR75"/>
    <mergeCell ref="FP74:FP75"/>
    <mergeCell ref="FL78:FL79"/>
    <mergeCell ref="FR78:FR79"/>
    <mergeCell ref="EH76:EH77"/>
    <mergeCell ref="HF85:HF87"/>
    <mergeCell ref="EJ85:EJ87"/>
    <mergeCell ref="EK85:EK87"/>
    <mergeCell ref="EL85:EL87"/>
    <mergeCell ref="EM85:EM87"/>
    <mergeCell ref="EN85:EN87"/>
    <mergeCell ref="DW78:DW79"/>
    <mergeCell ref="FX74:FX75"/>
    <mergeCell ref="FX78:FX79"/>
    <mergeCell ref="FM74:FM75"/>
    <mergeCell ref="FK74:FK75"/>
    <mergeCell ref="FN74:FN75"/>
    <mergeCell ref="FU74:FU75"/>
    <mergeCell ref="FW78:FW79"/>
    <mergeCell ref="EK78:EK79"/>
    <mergeCell ref="EO85:EO87"/>
    <mergeCell ref="EP85:EP87"/>
    <mergeCell ref="EQ85:EQ87"/>
    <mergeCell ref="DY76:DY77"/>
    <mergeCell ref="DX76:DX77"/>
    <mergeCell ref="DV74:DV75"/>
    <mergeCell ref="DY80:DY81"/>
    <mergeCell ref="DU78:DU79"/>
    <mergeCell ref="DU80:DU81"/>
    <mergeCell ref="EB80:EB81"/>
    <mergeCell ref="DV80:DV81"/>
    <mergeCell ref="ED51:ED52"/>
    <mergeCell ref="FT72:FT73"/>
    <mergeCell ref="FQ72:FQ73"/>
    <mergeCell ref="ES85:ES87"/>
    <mergeCell ref="ET85:ET87"/>
    <mergeCell ref="EU85:EU87"/>
    <mergeCell ref="DX85:DX87"/>
    <mergeCell ref="DY85:DY87"/>
    <mergeCell ref="DZ85:DZ87"/>
    <mergeCell ref="EA85:EA87"/>
    <mergeCell ref="EB85:EB87"/>
    <mergeCell ref="EC85:EC87"/>
    <mergeCell ref="ED85:ED87"/>
    <mergeCell ref="EE85:EE87"/>
    <mergeCell ref="EF85:EF87"/>
    <mergeCell ref="EG85:EG87"/>
    <mergeCell ref="EH85:EH87"/>
    <mergeCell ref="DZ74:DZ75"/>
    <mergeCell ref="EA74:EA75"/>
    <mergeCell ref="EF76:EF77"/>
    <mergeCell ref="FP51:FP52"/>
    <mergeCell ref="FQ51:FQ52"/>
    <mergeCell ref="EN76:EN77"/>
    <mergeCell ref="FR72:FR73"/>
    <mergeCell ref="FN51:FN52"/>
    <mergeCell ref="FU51:FU52"/>
    <mergeCell ref="FO72:FO73"/>
    <mergeCell ref="FH72:FH73"/>
    <mergeCell ref="FK51:FK52"/>
    <mergeCell ref="FG72:FG73"/>
    <mergeCell ref="FJ72:FJ73"/>
    <mergeCell ref="FO51:FO52"/>
    <mergeCell ref="EO51:EO52"/>
    <mergeCell ref="FM72:FM73"/>
    <mergeCell ref="FU72:FU73"/>
    <mergeCell ref="ED74:ED75"/>
    <mergeCell ref="EV74:EV75"/>
    <mergeCell ref="EU74:EU75"/>
    <mergeCell ref="FL51:FL52"/>
    <mergeCell ref="EX51:EX52"/>
    <mergeCell ref="EH51:EH52"/>
    <mergeCell ref="FO74:FO75"/>
    <mergeCell ref="FA51:FA52"/>
    <mergeCell ref="FI51:FI52"/>
    <mergeCell ref="EY47:EY48"/>
    <mergeCell ref="EY51:EY52"/>
    <mergeCell ref="EE49:EE50"/>
    <mergeCell ref="EO49:EO50"/>
    <mergeCell ref="EL74:EL75"/>
    <mergeCell ref="EL49:EL50"/>
    <mergeCell ref="EH49:EH50"/>
    <mergeCell ref="EI51:EI52"/>
    <mergeCell ref="EA49:EA50"/>
    <mergeCell ref="EU76:EU77"/>
    <mergeCell ref="FC45:FC46"/>
    <mergeCell ref="FH45:FH46"/>
    <mergeCell ref="ER45:ER46"/>
    <mergeCell ref="EC76:EC77"/>
    <mergeCell ref="EJ47:EJ48"/>
    <mergeCell ref="EH74:EH75"/>
    <mergeCell ref="EY45:EY46"/>
    <mergeCell ref="EA76:EA77"/>
    <mergeCell ref="EE76:EE77"/>
    <mergeCell ref="FG74:FG75"/>
    <mergeCell ref="FH74:FH75"/>
    <mergeCell ref="EC51:EC52"/>
    <mergeCell ref="EA51:EA52"/>
    <mergeCell ref="EC45:EC46"/>
    <mergeCell ref="EX47:EX48"/>
    <mergeCell ref="EW47:EW48"/>
    <mergeCell ref="EU45:EU46"/>
    <mergeCell ref="ED47:ED48"/>
    <mergeCell ref="DN74:DN75"/>
    <mergeCell ref="DE80:DE81"/>
    <mergeCell ref="CK76:CK77"/>
    <mergeCell ref="CP76:CP77"/>
    <mergeCell ref="CQ74:CQ75"/>
    <mergeCell ref="CS74:CS75"/>
    <mergeCell ref="DB78:DB79"/>
    <mergeCell ref="CY76:CY77"/>
    <mergeCell ref="DD78:DD79"/>
    <mergeCell ref="CZ78:CZ79"/>
    <mergeCell ref="CV74:CV75"/>
    <mergeCell ref="CO76:CO77"/>
    <mergeCell ref="CP78:CP79"/>
    <mergeCell ref="CN68:CN69"/>
    <mergeCell ref="CS68:CS69"/>
    <mergeCell ref="CT64:CT66"/>
    <mergeCell ref="ED45:ED46"/>
    <mergeCell ref="EB76:EB77"/>
    <mergeCell ref="EB74:EB75"/>
    <mergeCell ref="CT78:CT79"/>
    <mergeCell ref="DT78:DT79"/>
    <mergeCell ref="DT74:DT75"/>
    <mergeCell ref="DN78:DN79"/>
    <mergeCell ref="DH76:DH77"/>
    <mergeCell ref="DG78:DG79"/>
    <mergeCell ref="DI78:DI79"/>
    <mergeCell ref="DU45:DU46"/>
    <mergeCell ref="DS51:DS52"/>
    <mergeCell ref="DR51:DR52"/>
    <mergeCell ref="DS45:DS46"/>
    <mergeCell ref="DQ78:DQ79"/>
    <mergeCell ref="DS76:DS77"/>
    <mergeCell ref="CP74:CP75"/>
    <mergeCell ref="CR76:CR77"/>
    <mergeCell ref="CS76:CS77"/>
    <mergeCell ref="DE76:DE77"/>
    <mergeCell ref="CN78:CN79"/>
    <mergeCell ref="CL68:CL69"/>
    <mergeCell ref="CQ78:CQ79"/>
    <mergeCell ref="CW68:CW69"/>
    <mergeCell ref="CO74:CO75"/>
    <mergeCell ref="DM80:DM81"/>
    <mergeCell ref="DL78:DL79"/>
    <mergeCell ref="DK78:DK79"/>
    <mergeCell ref="DH80:DH81"/>
    <mergeCell ref="CR68:CR69"/>
    <mergeCell ref="CR64:CR66"/>
    <mergeCell ref="CU64:CU66"/>
    <mergeCell ref="CG68:CG69"/>
    <mergeCell ref="CH68:CH69"/>
    <mergeCell ref="CI68:CI69"/>
    <mergeCell ref="CQ68:CQ69"/>
    <mergeCell ref="CH74:CH75"/>
    <mergeCell ref="CH76:CH77"/>
    <mergeCell ref="CO68:CO69"/>
    <mergeCell ref="CQ64:CQ66"/>
    <mergeCell ref="DF80:DF81"/>
    <mergeCell ref="DF78:DF79"/>
    <mergeCell ref="DB74:DB75"/>
    <mergeCell ref="CV76:CV77"/>
    <mergeCell ref="DC76:DC77"/>
    <mergeCell ref="DK80:DK81"/>
    <mergeCell ref="DA74:DA75"/>
    <mergeCell ref="CS64:CS66"/>
    <mergeCell ref="DF76:DF77"/>
    <mergeCell ref="DB68:DB69"/>
    <mergeCell ref="CU74:CU75"/>
    <mergeCell ref="CR78:CR79"/>
    <mergeCell ref="CU76:CU77"/>
    <mergeCell ref="CW76:CW77"/>
    <mergeCell ref="CY74:CY75"/>
    <mergeCell ref="CW74:CW75"/>
    <mergeCell ref="CS78:CS79"/>
    <mergeCell ref="CW78:CW79"/>
    <mergeCell ref="CU78:CU79"/>
    <mergeCell ref="CR74:CR75"/>
    <mergeCell ref="CX78:CX79"/>
    <mergeCell ref="CY78:CY79"/>
    <mergeCell ref="DE78:DE79"/>
    <mergeCell ref="CT74:CT75"/>
    <mergeCell ref="CT76:CT77"/>
    <mergeCell ref="CA74:CA75"/>
    <mergeCell ref="CD80:CD81"/>
    <mergeCell ref="CO85:CO87"/>
    <mergeCell ref="CC94:CC95"/>
    <mergeCell ref="CC80:CC81"/>
    <mergeCell ref="CF76:CF77"/>
    <mergeCell ref="CD78:CD79"/>
    <mergeCell ref="CD94:CD95"/>
    <mergeCell ref="CF78:CF79"/>
    <mergeCell ref="CE76:CE77"/>
    <mergeCell ref="CK74:CK75"/>
    <mergeCell ref="CN85:CN87"/>
    <mergeCell ref="CJ74:CJ75"/>
    <mergeCell ref="CD85:CD87"/>
    <mergeCell ref="CI80:CI81"/>
    <mergeCell ref="CB78:CB79"/>
    <mergeCell ref="CA94:CA95"/>
    <mergeCell ref="CB76:CB77"/>
    <mergeCell ref="CB80:CB81"/>
    <mergeCell ref="CG80:CG81"/>
    <mergeCell ref="CG78:CG79"/>
    <mergeCell ref="CH78:CH79"/>
    <mergeCell ref="CE94:CE95"/>
    <mergeCell ref="CH94:CH95"/>
    <mergeCell ref="CM94:CM95"/>
    <mergeCell ref="CL74:CL75"/>
    <mergeCell ref="CM78:CM79"/>
    <mergeCell ref="CM74:CM75"/>
    <mergeCell ref="CD100:CD101"/>
    <mergeCell ref="CG100:CG101"/>
    <mergeCell ref="CE78:CE79"/>
    <mergeCell ref="CE80:CE81"/>
    <mergeCell ref="CK80:CK81"/>
    <mergeCell ref="CA76:CA77"/>
    <mergeCell ref="CA78:CA79"/>
    <mergeCell ref="CA80:CA81"/>
    <mergeCell ref="CM96:CM97"/>
    <mergeCell ref="CI94:CI95"/>
    <mergeCell ref="CB94:CB95"/>
    <mergeCell ref="CL78:CL79"/>
    <mergeCell ref="CJ78:CJ79"/>
    <mergeCell ref="CC98:CC99"/>
    <mergeCell ref="CC100:CC101"/>
    <mergeCell ref="CD98:CD99"/>
    <mergeCell ref="CE85:CE87"/>
    <mergeCell ref="CK94:CK95"/>
    <mergeCell ref="CK78:CK79"/>
    <mergeCell ref="CJ94:CJ95"/>
    <mergeCell ref="CJ76:CJ77"/>
    <mergeCell ref="CI78:CI79"/>
    <mergeCell ref="CL76:CL77"/>
    <mergeCell ref="CD96:CD97"/>
    <mergeCell ref="CD76:CD77"/>
    <mergeCell ref="CC76:CC77"/>
    <mergeCell ref="CJ80:CJ81"/>
    <mergeCell ref="CF80:CF81"/>
    <mergeCell ref="CC78:CC79"/>
    <mergeCell ref="CG76:CG77"/>
    <mergeCell ref="CH98:CH99"/>
    <mergeCell ref="CE100:CE101"/>
    <mergeCell ref="CH80:CH81"/>
    <mergeCell ref="CI96:CI97"/>
    <mergeCell ref="CG98:CG99"/>
    <mergeCell ref="CL98:CL99"/>
    <mergeCell ref="CN96:CN97"/>
    <mergeCell ref="CH96:CH97"/>
    <mergeCell ref="CG96:CG97"/>
    <mergeCell ref="CH100:CH101"/>
    <mergeCell ref="CI76:CI77"/>
    <mergeCell ref="CL80:CL81"/>
    <mergeCell ref="CX98:CX99"/>
    <mergeCell ref="CO96:CO97"/>
    <mergeCell ref="CQ94:CQ95"/>
    <mergeCell ref="CR94:CR95"/>
    <mergeCell ref="CR96:CR97"/>
    <mergeCell ref="CR100:CR101"/>
    <mergeCell ref="CX96:CX97"/>
    <mergeCell ref="CX94:CX95"/>
    <mergeCell ref="CL96:CL97"/>
    <mergeCell ref="CF94:CF95"/>
    <mergeCell ref="CF96:CF97"/>
    <mergeCell ref="CG94:CG95"/>
    <mergeCell ref="CN76:CN77"/>
    <mergeCell ref="CV78:CV79"/>
    <mergeCell ref="DA78:DA79"/>
    <mergeCell ref="CR80:CR81"/>
    <mergeCell ref="DB80:DB81"/>
    <mergeCell ref="CV98:CV99"/>
    <mergeCell ref="DC78:DC79"/>
    <mergeCell ref="CP80:CP81"/>
    <mergeCell ref="CM76:CM77"/>
    <mergeCell ref="CM80:CM81"/>
    <mergeCell ref="CU80:CU81"/>
    <mergeCell ref="CP100:CP101"/>
    <mergeCell ref="DD80:DD81"/>
    <mergeCell ref="DD85:DD87"/>
    <mergeCell ref="CL94:CL95"/>
    <mergeCell ref="CI98:CI99"/>
    <mergeCell ref="CO80:CO81"/>
    <mergeCell ref="CN80:CN81"/>
    <mergeCell ref="CT80:CT81"/>
    <mergeCell ref="CT94:CT95"/>
    <mergeCell ref="CX80:CX81"/>
    <mergeCell ref="CY80:CY81"/>
    <mergeCell ref="CV94:CV95"/>
    <mergeCell ref="CV80:CV81"/>
    <mergeCell ref="CU96:CU97"/>
    <mergeCell ref="CV96:CV97"/>
    <mergeCell ref="CQ76:CQ77"/>
    <mergeCell ref="CO78:CO79"/>
    <mergeCell ref="CQ100:CQ101"/>
    <mergeCell ref="CP96:CP97"/>
    <mergeCell ref="CQ96:CQ97"/>
    <mergeCell ref="CN94:CN95"/>
    <mergeCell ref="DA80:DA81"/>
    <mergeCell ref="DC80:DC81"/>
    <mergeCell ref="CN104:CN105"/>
    <mergeCell ref="CO94:CO95"/>
    <mergeCell ref="CN98:CN99"/>
    <mergeCell ref="CN100:CN101"/>
    <mergeCell ref="CO104:CO105"/>
    <mergeCell ref="CP94:CP95"/>
    <mergeCell ref="CO98:CO99"/>
    <mergeCell ref="CP98:CP99"/>
    <mergeCell ref="CO102:CO103"/>
    <mergeCell ref="DD94:DD95"/>
    <mergeCell ref="CI100:CI101"/>
    <mergeCell ref="CJ96:CJ97"/>
    <mergeCell ref="CS80:CS81"/>
    <mergeCell ref="CW80:CW81"/>
    <mergeCell ref="CK96:CK97"/>
    <mergeCell ref="CJ98:CJ99"/>
    <mergeCell ref="CJ100:CJ101"/>
    <mergeCell ref="CM98:CM99"/>
    <mergeCell ref="CQ80:CQ81"/>
    <mergeCell ref="CZ80:CZ81"/>
    <mergeCell ref="DC94:DC95"/>
    <mergeCell ref="CT85:CT87"/>
    <mergeCell ref="CU85:CU87"/>
    <mergeCell ref="CV85:CV87"/>
    <mergeCell ref="CW85:CW87"/>
    <mergeCell ref="CX85:CX87"/>
    <mergeCell ref="CY85:CY87"/>
    <mergeCell ref="CQ98:CQ99"/>
    <mergeCell ref="CQ102:CQ103"/>
    <mergeCell ref="CM100:CM101"/>
    <mergeCell ref="CO100:CO101"/>
    <mergeCell ref="CY96:CY97"/>
    <mergeCell ref="CS102:CS103"/>
    <mergeCell ref="CS98:CS99"/>
    <mergeCell ref="CS100:CS101"/>
    <mergeCell ref="CW94:CW95"/>
    <mergeCell ref="CP102:CP103"/>
    <mergeCell ref="CR98:CR99"/>
    <mergeCell ref="CN102:CN103"/>
    <mergeCell ref="CQ104:CQ105"/>
    <mergeCell ref="CU94:CU95"/>
    <mergeCell ref="CT102:CT103"/>
    <mergeCell ref="CM102:CM103"/>
    <mergeCell ref="DB94:DB95"/>
    <mergeCell ref="CY102:CY103"/>
    <mergeCell ref="CV100:CV101"/>
    <mergeCell ref="DB96:DB97"/>
    <mergeCell ref="CU104:CU105"/>
    <mergeCell ref="CT96:CT97"/>
    <mergeCell ref="CY94:CY95"/>
    <mergeCell ref="DB110:DB111"/>
    <mergeCell ref="CW106:CW107"/>
    <mergeCell ref="CT106:CT107"/>
    <mergeCell ref="CV110:CV111"/>
    <mergeCell ref="DB102:DB103"/>
    <mergeCell ref="DA98:DA99"/>
    <mergeCell ref="CS94:CS95"/>
    <mergeCell ref="CS96:CS97"/>
    <mergeCell ref="CT98:CT99"/>
    <mergeCell ref="CT100:CT101"/>
    <mergeCell ref="CU98:CU99"/>
    <mergeCell ref="CU100:CU101"/>
    <mergeCell ref="CZ94:CZ95"/>
    <mergeCell ref="CT110:CT111"/>
    <mergeCell ref="CV102:CV103"/>
    <mergeCell ref="DB106:DB107"/>
    <mergeCell ref="DA102:DA103"/>
    <mergeCell ref="CW100:CW101"/>
    <mergeCell ref="CY106:CY107"/>
    <mergeCell ref="DA96:DA97"/>
    <mergeCell ref="CY98:CY99"/>
    <mergeCell ref="CX102:CX103"/>
    <mergeCell ref="CU102:CU103"/>
    <mergeCell ref="DA94:DA95"/>
    <mergeCell ref="CR104:CR105"/>
    <mergeCell ref="DC96:DC97"/>
    <mergeCell ref="CW110:CW111"/>
    <mergeCell ref="DB100:DB101"/>
    <mergeCell ref="DC110:DC111"/>
    <mergeCell ref="CR115:CR116"/>
    <mergeCell ref="CS110:CS111"/>
    <mergeCell ref="CW104:CW105"/>
    <mergeCell ref="CV104:CV105"/>
    <mergeCell ref="DC106:DC107"/>
    <mergeCell ref="CS106:CS107"/>
    <mergeCell ref="CU106:CU107"/>
    <mergeCell ref="CS115:CS116"/>
    <mergeCell ref="DB104:DB105"/>
    <mergeCell ref="DB98:DB99"/>
    <mergeCell ref="DC98:DC99"/>
    <mergeCell ref="CS104:CS105"/>
    <mergeCell ref="DC102:DC103"/>
    <mergeCell ref="CZ96:CZ97"/>
    <mergeCell ref="CW96:CW97"/>
    <mergeCell ref="CX100:CX101"/>
    <mergeCell ref="CS121:CS122"/>
    <mergeCell ref="DC104:DC105"/>
    <mergeCell ref="DF98:DF99"/>
    <mergeCell ref="CU130:CU131"/>
    <mergeCell ref="DB121:DB122"/>
    <mergeCell ref="CR102:CR103"/>
    <mergeCell ref="CU110:CU111"/>
    <mergeCell ref="CR106:CR107"/>
    <mergeCell ref="CT104:CT105"/>
    <mergeCell ref="CP106:CP107"/>
    <mergeCell ref="DG106:DG107"/>
    <mergeCell ref="DE130:DE131"/>
    <mergeCell ref="CY123:CY124"/>
    <mergeCell ref="CX110:CX111"/>
    <mergeCell ref="CY110:CY111"/>
    <mergeCell ref="DC123:DC124"/>
    <mergeCell ref="DE123:DE124"/>
    <mergeCell ref="CY130:CY131"/>
    <mergeCell ref="CZ130:CZ131"/>
    <mergeCell ref="DG123:DG124"/>
    <mergeCell ref="DB123:DB124"/>
    <mergeCell ref="CQ121:CQ122"/>
    <mergeCell ref="DA104:DA105"/>
    <mergeCell ref="CV128:CV129"/>
    <mergeCell ref="CV123:CV124"/>
    <mergeCell ref="CV106:CV107"/>
    <mergeCell ref="CQ106:CQ107"/>
    <mergeCell ref="DD104:DD105"/>
    <mergeCell ref="CP104:CP105"/>
    <mergeCell ref="CQ110:CQ111"/>
    <mergeCell ref="CR110:CR111"/>
    <mergeCell ref="DA123:DA124"/>
    <mergeCell ref="CZ128:CZ129"/>
    <mergeCell ref="CX106:CX107"/>
    <mergeCell ref="CY128:CY129"/>
    <mergeCell ref="CZ98:CZ99"/>
    <mergeCell ref="CW98:CW99"/>
    <mergeCell ref="CY100:CY101"/>
    <mergeCell ref="DC100:DC101"/>
    <mergeCell ref="DA100:DA101"/>
    <mergeCell ref="DB130:DB131"/>
    <mergeCell ref="DD128:DD129"/>
    <mergeCell ref="DA128:DA129"/>
    <mergeCell ref="DB128:DB129"/>
    <mergeCell ref="CX123:CX124"/>
    <mergeCell ref="DD130:DD131"/>
    <mergeCell ref="DD123:DD124"/>
    <mergeCell ref="DC128:DC129"/>
    <mergeCell ref="CZ110:CZ111"/>
    <mergeCell ref="DA110:DA111"/>
    <mergeCell ref="CX104:CX105"/>
    <mergeCell ref="CZ100:CZ101"/>
    <mergeCell ref="CZ123:CZ124"/>
    <mergeCell ref="DA121:DA122"/>
    <mergeCell ref="CW121:CW122"/>
    <mergeCell ref="DC121:DC122"/>
    <mergeCell ref="CW102:CW103"/>
    <mergeCell ref="DD100:DD101"/>
    <mergeCell ref="DA130:DA131"/>
    <mergeCell ref="CZ102:CZ103"/>
    <mergeCell ref="CZ104:CZ105"/>
    <mergeCell ref="DA106:DA107"/>
    <mergeCell ref="CZ106:CZ107"/>
    <mergeCell ref="CY104:CY105"/>
    <mergeCell ref="DE104:DE105"/>
    <mergeCell ref="CY121:CY122"/>
    <mergeCell ref="CZ121:CZ122"/>
    <mergeCell ref="CT123:CT124"/>
    <mergeCell ref="CX128:CX129"/>
    <mergeCell ref="CW128:CW129"/>
    <mergeCell ref="CR123:CR124"/>
    <mergeCell ref="CR130:CR131"/>
    <mergeCell ref="CR128:CR129"/>
    <mergeCell ref="CQ128:CQ129"/>
    <mergeCell ref="CV121:CV122"/>
    <mergeCell ref="CP130:CP131"/>
    <mergeCell ref="CP128:CP129"/>
    <mergeCell ref="CL121:CL122"/>
    <mergeCell ref="CP110:CP111"/>
    <mergeCell ref="CT128:CT129"/>
    <mergeCell ref="CX130:CX131"/>
    <mergeCell ref="CM106:CM107"/>
    <mergeCell ref="CN110:CN111"/>
    <mergeCell ref="CO106:CO107"/>
    <mergeCell ref="CP115:CP116"/>
    <mergeCell ref="CM128:CM129"/>
    <mergeCell ref="CT130:CT131"/>
    <mergeCell ref="CW130:CW131"/>
    <mergeCell ref="CS123:CS124"/>
    <mergeCell ref="CS130:CS131"/>
    <mergeCell ref="CW123:CW124"/>
    <mergeCell ref="CN123:CN124"/>
    <mergeCell ref="CM121:CM122"/>
    <mergeCell ref="CR121:CR122"/>
    <mergeCell ref="CS128:CS129"/>
    <mergeCell ref="CX121:CX122"/>
    <mergeCell ref="CQ130:CQ131"/>
    <mergeCell ref="CU121:CU122"/>
    <mergeCell ref="CF128:CF129"/>
    <mergeCell ref="CE128:CE129"/>
    <mergeCell ref="CH115:CH117"/>
    <mergeCell ref="CO115:CO117"/>
    <mergeCell ref="CM130:CM131"/>
    <mergeCell ref="CN115:CN117"/>
    <mergeCell ref="CQ123:CQ124"/>
    <mergeCell ref="CO123:CO124"/>
    <mergeCell ref="CI115:CI117"/>
    <mergeCell ref="CP123:CP124"/>
    <mergeCell ref="CJ121:CJ122"/>
    <mergeCell ref="CK121:CK122"/>
    <mergeCell ref="CG121:CG122"/>
    <mergeCell ref="CE123:CE124"/>
    <mergeCell ref="CI121:CI122"/>
    <mergeCell ref="CG128:CG129"/>
    <mergeCell ref="CK115:CK117"/>
    <mergeCell ref="CN130:CN131"/>
    <mergeCell ref="CK130:CK131"/>
    <mergeCell ref="CO128:CO129"/>
    <mergeCell ref="CF130:CF131"/>
    <mergeCell ref="CU128:CU129"/>
    <mergeCell ref="CP121:CP122"/>
    <mergeCell ref="CO130:CO131"/>
    <mergeCell ref="CO121:CO122"/>
    <mergeCell ref="CM115:CM117"/>
    <mergeCell ref="CG130:CG131"/>
    <mergeCell ref="CN121:CN122"/>
    <mergeCell ref="CI130:CI131"/>
    <mergeCell ref="CH130:CH131"/>
    <mergeCell ref="CD104:CD105"/>
    <mergeCell ref="CB102:CB103"/>
    <mergeCell ref="CB104:CB105"/>
    <mergeCell ref="CB115:CB117"/>
    <mergeCell ref="CG104:CG105"/>
    <mergeCell ref="CC115:CC117"/>
    <mergeCell ref="CO110:CO111"/>
    <mergeCell ref="CD115:CD117"/>
    <mergeCell ref="CJ123:CJ124"/>
    <mergeCell ref="CJ115:CJ117"/>
    <mergeCell ref="CE130:CE131"/>
    <mergeCell ref="CI110:CI111"/>
    <mergeCell ref="CK123:CK124"/>
    <mergeCell ref="CG110:CG111"/>
    <mergeCell ref="CH110:CH111"/>
    <mergeCell ref="CH123:CH124"/>
    <mergeCell ref="CF123:CF124"/>
    <mergeCell ref="CF121:CF122"/>
    <mergeCell ref="CC110:CC111"/>
    <mergeCell ref="CD123:CD124"/>
    <mergeCell ref="CD110:CD111"/>
    <mergeCell ref="CI128:CI129"/>
    <mergeCell ref="CI123:CI124"/>
    <mergeCell ref="CD121:CD122"/>
    <mergeCell ref="CH128:CH129"/>
    <mergeCell ref="CI104:CI105"/>
    <mergeCell ref="CJ104:CJ105"/>
    <mergeCell ref="CK110:CK111"/>
    <mergeCell ref="CJ110:CJ111"/>
    <mergeCell ref="CK106:CK107"/>
    <mergeCell ref="CM110:CM111"/>
    <mergeCell ref="CM104:CM105"/>
    <mergeCell ref="CB123:CB124"/>
    <mergeCell ref="BY130:BY131"/>
    <mergeCell ref="BZ123:BZ124"/>
    <mergeCell ref="BX110:BX111"/>
    <mergeCell ref="CQ115:CQ116"/>
    <mergeCell ref="CL110:CL111"/>
    <mergeCell ref="CC104:CC105"/>
    <mergeCell ref="CE115:CE117"/>
    <mergeCell ref="CL106:CL107"/>
    <mergeCell ref="CN106:CN107"/>
    <mergeCell ref="CH104:CH105"/>
    <mergeCell ref="CF102:CF103"/>
    <mergeCell ref="CB100:CB101"/>
    <mergeCell ref="CJ106:CJ107"/>
    <mergeCell ref="CI106:CI107"/>
    <mergeCell ref="CN128:CN129"/>
    <mergeCell ref="CM123:CM124"/>
    <mergeCell ref="CL115:CL117"/>
    <mergeCell ref="CL123:CL124"/>
    <mergeCell ref="CL128:CL129"/>
    <mergeCell ref="CJ128:CJ129"/>
    <mergeCell ref="CK128:CK129"/>
    <mergeCell ref="CB128:CB129"/>
    <mergeCell ref="CG115:CG117"/>
    <mergeCell ref="CE106:CE107"/>
    <mergeCell ref="CL102:CL103"/>
    <mergeCell ref="CL104:CL105"/>
    <mergeCell ref="CL100:CL101"/>
    <mergeCell ref="CE110:CE111"/>
    <mergeCell ref="CF110:CF111"/>
    <mergeCell ref="CF115:CF117"/>
    <mergeCell ref="CC106:CC107"/>
    <mergeCell ref="BS110:BS111"/>
    <mergeCell ref="BR104:BR105"/>
    <mergeCell ref="BS104:BS105"/>
    <mergeCell ref="BR132:BR133"/>
    <mergeCell ref="BQ106:BQ107"/>
    <mergeCell ref="BQ102:BQ103"/>
    <mergeCell ref="BP132:BP133"/>
    <mergeCell ref="BZ128:BZ129"/>
    <mergeCell ref="BY123:BY124"/>
    <mergeCell ref="BY128:BY129"/>
    <mergeCell ref="BY115:BY117"/>
    <mergeCell ref="BY121:BY122"/>
    <mergeCell ref="CB121:CB122"/>
    <mergeCell ref="BZ130:BZ131"/>
    <mergeCell ref="CF104:CF105"/>
    <mergeCell ref="CF106:CF107"/>
    <mergeCell ref="BX121:BX122"/>
    <mergeCell ref="BX115:BX117"/>
    <mergeCell ref="BX130:BX131"/>
    <mergeCell ref="CD130:CD131"/>
    <mergeCell ref="CC123:CC124"/>
    <mergeCell ref="CE121:CE122"/>
    <mergeCell ref="CE104:CE105"/>
    <mergeCell ref="CA123:CA124"/>
    <mergeCell ref="BZ121:BZ122"/>
    <mergeCell ref="CA106:CA107"/>
    <mergeCell ref="BZ106:BZ107"/>
    <mergeCell ref="CA115:CA117"/>
    <mergeCell ref="CA110:CA111"/>
    <mergeCell ref="CC128:CC129"/>
    <mergeCell ref="CC121:CC122"/>
    <mergeCell ref="CD128:CD129"/>
    <mergeCell ref="BG132:BG133"/>
    <mergeCell ref="BS128:BS129"/>
    <mergeCell ref="BC128:BC129"/>
    <mergeCell ref="BD121:BD122"/>
    <mergeCell ref="BH132:BH133"/>
    <mergeCell ref="BB115:BB117"/>
    <mergeCell ref="BW121:BW122"/>
    <mergeCell ref="AU130:AU131"/>
    <mergeCell ref="BV110:BV111"/>
    <mergeCell ref="BV121:BV122"/>
    <mergeCell ref="BX102:BX103"/>
    <mergeCell ref="CC102:CC103"/>
    <mergeCell ref="BY104:BY105"/>
    <mergeCell ref="CA121:CA122"/>
    <mergeCell ref="CA102:CA103"/>
    <mergeCell ref="CA104:CA105"/>
    <mergeCell ref="CC130:CC131"/>
    <mergeCell ref="BZ115:BZ117"/>
    <mergeCell ref="CA130:CA131"/>
    <mergeCell ref="BV130:BV131"/>
    <mergeCell ref="BN132:BN133"/>
    <mergeCell ref="BU110:BU111"/>
    <mergeCell ref="BT121:BT122"/>
    <mergeCell ref="BP130:BP131"/>
    <mergeCell ref="BW130:BW131"/>
    <mergeCell ref="BQ121:BQ122"/>
    <mergeCell ref="BU115:BU117"/>
    <mergeCell ref="BU121:BU122"/>
    <mergeCell ref="BP128:BP129"/>
    <mergeCell ref="BU130:BU131"/>
    <mergeCell ref="BP102:BP103"/>
    <mergeCell ref="BS102:BS103"/>
    <mergeCell ref="BD128:BD129"/>
    <mergeCell ref="BA130:BA131"/>
    <mergeCell ref="BC121:BC122"/>
    <mergeCell ref="AZ130:AZ131"/>
    <mergeCell ref="BI121:BI122"/>
    <mergeCell ref="AU110:AU111"/>
    <mergeCell ref="AU115:AU117"/>
    <mergeCell ref="AX121:AX122"/>
    <mergeCell ref="BN121:BN122"/>
    <mergeCell ref="BO130:BO131"/>
    <mergeCell ref="BS130:BS131"/>
    <mergeCell ref="BW115:BW117"/>
    <mergeCell ref="BR106:BR107"/>
    <mergeCell ref="BT130:BT131"/>
    <mergeCell ref="BQ132:BQ133"/>
    <mergeCell ref="BH104:BH105"/>
    <mergeCell ref="BD110:BD111"/>
    <mergeCell ref="BI106:BI107"/>
    <mergeCell ref="AV132:AV133"/>
    <mergeCell ref="BN128:BN129"/>
    <mergeCell ref="AV130:AV131"/>
    <mergeCell ref="BQ123:BQ124"/>
    <mergeCell ref="BK132:BK133"/>
    <mergeCell ref="BL132:BL133"/>
    <mergeCell ref="BL130:BL131"/>
    <mergeCell ref="BC130:BC131"/>
    <mergeCell ref="BM121:BM122"/>
    <mergeCell ref="BE121:BE122"/>
    <mergeCell ref="BI123:BI124"/>
    <mergeCell ref="AZ115:AZ117"/>
    <mergeCell ref="BO132:BO133"/>
    <mergeCell ref="BF115:BF117"/>
    <mergeCell ref="BE128:BE129"/>
    <mergeCell ref="BH128:BH129"/>
    <mergeCell ref="BG128:BG129"/>
    <mergeCell ref="BA115:BA117"/>
    <mergeCell ref="AW115:AW117"/>
    <mergeCell ref="BH121:BH122"/>
    <mergeCell ref="BE130:BE131"/>
    <mergeCell ref="BD123:BD124"/>
    <mergeCell ref="BB130:BB131"/>
    <mergeCell ref="AL132:AL133"/>
    <mergeCell ref="BF132:BF133"/>
    <mergeCell ref="BE132:BE133"/>
    <mergeCell ref="BM132:BM133"/>
    <mergeCell ref="BN115:BN117"/>
    <mergeCell ref="BM128:BM129"/>
    <mergeCell ref="BJ132:BJ133"/>
    <mergeCell ref="BJ130:BJ131"/>
    <mergeCell ref="BG121:BG122"/>
    <mergeCell ref="BL128:BL129"/>
    <mergeCell ref="BN130:BN131"/>
    <mergeCell ref="BF123:BF124"/>
    <mergeCell ref="BN123:BN124"/>
    <mergeCell ref="BI132:BI133"/>
    <mergeCell ref="BF128:BF129"/>
    <mergeCell ref="BA132:BA133"/>
    <mergeCell ref="AS128:AS129"/>
    <mergeCell ref="AS130:AS131"/>
    <mergeCell ref="AT123:AT124"/>
    <mergeCell ref="AZ121:AZ122"/>
    <mergeCell ref="BB121:BB122"/>
    <mergeCell ref="AU121:AU122"/>
    <mergeCell ref="BK128:BK129"/>
    <mergeCell ref="AL123:AL124"/>
    <mergeCell ref="AC128:AC129"/>
    <mergeCell ref="AD132:AD133"/>
    <mergeCell ref="AA123:AA124"/>
    <mergeCell ref="P123:P124"/>
    <mergeCell ref="AR132:AR133"/>
    <mergeCell ref="AF130:AF131"/>
    <mergeCell ref="AQ128:AQ129"/>
    <mergeCell ref="AY130:AY131"/>
    <mergeCell ref="AY132:AY133"/>
    <mergeCell ref="AY123:AY124"/>
    <mergeCell ref="V132:V133"/>
    <mergeCell ref="AH123:AH124"/>
    <mergeCell ref="AX132:AX133"/>
    <mergeCell ref="AP132:AP133"/>
    <mergeCell ref="AQ123:AQ124"/>
    <mergeCell ref="AN128:AN129"/>
    <mergeCell ref="AU123:AU124"/>
    <mergeCell ref="AX123:AX124"/>
    <mergeCell ref="AO132:AO133"/>
    <mergeCell ref="S130:S131"/>
    <mergeCell ref="AE123:AE124"/>
    <mergeCell ref="AI132:AI133"/>
    <mergeCell ref="AJ130:AJ131"/>
    <mergeCell ref="X132:X133"/>
    <mergeCell ref="W128:W129"/>
    <mergeCell ref="AL130:AL131"/>
    <mergeCell ref="AK132:AK133"/>
    <mergeCell ref="AH132:AH133"/>
    <mergeCell ref="AF128:AF129"/>
    <mergeCell ref="X130:X131"/>
    <mergeCell ref="AN123:AN124"/>
    <mergeCell ref="CK102:CK103"/>
    <mergeCell ref="CB96:CB97"/>
    <mergeCell ref="CB98:CB99"/>
    <mergeCell ref="BZ110:BZ111"/>
    <mergeCell ref="BY102:BY103"/>
    <mergeCell ref="CK100:CK101"/>
    <mergeCell ref="CF100:CF101"/>
    <mergeCell ref="BY98:BY99"/>
    <mergeCell ref="CA96:CA97"/>
    <mergeCell ref="CF98:CF99"/>
    <mergeCell ref="CA98:CA99"/>
    <mergeCell ref="CE96:CE97"/>
    <mergeCell ref="CE98:CE99"/>
    <mergeCell ref="BZ100:BZ101"/>
    <mergeCell ref="CI102:CI103"/>
    <mergeCell ref="CG106:CG107"/>
    <mergeCell ref="CD106:CD107"/>
    <mergeCell ref="CC96:CC97"/>
    <mergeCell ref="CB110:CB111"/>
    <mergeCell ref="BY110:BY111"/>
    <mergeCell ref="BY106:BY107"/>
    <mergeCell ref="CK104:CK105"/>
    <mergeCell ref="CA100:CA101"/>
    <mergeCell ref="CE102:CE103"/>
    <mergeCell ref="CD102:CD103"/>
    <mergeCell ref="CG102:CG103"/>
    <mergeCell ref="CH106:CH107"/>
    <mergeCell ref="CK98:CK99"/>
    <mergeCell ref="CB106:CB107"/>
    <mergeCell ref="CH102:CH103"/>
    <mergeCell ref="BZ102:BZ103"/>
    <mergeCell ref="CJ102:CJ103"/>
    <mergeCell ref="BP5:BP6"/>
    <mergeCell ref="BP68:BP69"/>
    <mergeCell ref="BP74:BP75"/>
    <mergeCell ref="BJ23:BJ24"/>
    <mergeCell ref="BJ25:BJ26"/>
    <mergeCell ref="BJ54:BJ55"/>
    <mergeCell ref="BP29:BP30"/>
    <mergeCell ref="BP31:BP32"/>
    <mergeCell ref="BO47:BO48"/>
    <mergeCell ref="BN31:BN32"/>
    <mergeCell ref="BM29:BM30"/>
    <mergeCell ref="BL45:BL46"/>
    <mergeCell ref="BJ31:BJ32"/>
    <mergeCell ref="BJ45:BJ46"/>
    <mergeCell ref="BK45:BK46"/>
    <mergeCell ref="BK49:BK50"/>
    <mergeCell ref="BJ9:BJ10"/>
    <mergeCell ref="BJ11:BJ12"/>
    <mergeCell ref="BK5:BK6"/>
    <mergeCell ref="BM5:BM6"/>
    <mergeCell ref="BJ5:BJ6"/>
    <mergeCell ref="BO5:BO6"/>
    <mergeCell ref="BN5:BN6"/>
    <mergeCell ref="BJ47:BJ48"/>
    <mergeCell ref="BK25:BK26"/>
    <mergeCell ref="BK29:BK30"/>
    <mergeCell ref="BK23:BK24"/>
    <mergeCell ref="BM18:BM19"/>
    <mergeCell ref="BN9:BN10"/>
    <mergeCell ref="BO9:BO10"/>
    <mergeCell ref="BL47:BL48"/>
    <mergeCell ref="BN74:BN75"/>
    <mergeCell ref="BL9:BL10"/>
    <mergeCell ref="BM9:BM10"/>
    <mergeCell ref="BM11:BM12"/>
    <mergeCell ref="BM20:BM21"/>
    <mergeCell ref="BL23:BL24"/>
    <mergeCell ref="BM39:BM41"/>
    <mergeCell ref="BG11:BG12"/>
    <mergeCell ref="BL11:BL12"/>
    <mergeCell ref="BI5:BI6"/>
    <mergeCell ref="BI9:BI10"/>
    <mergeCell ref="BJ18:BJ19"/>
    <mergeCell ref="BH20:BH21"/>
    <mergeCell ref="BH5:BH6"/>
    <mergeCell ref="BH9:BH10"/>
    <mergeCell ref="BH18:BH19"/>
    <mergeCell ref="BL5:BL6"/>
    <mergeCell ref="BK11:BK12"/>
    <mergeCell ref="BK18:BK19"/>
    <mergeCell ref="BK20:BK21"/>
    <mergeCell ref="BH11:BH12"/>
    <mergeCell ref="BG20:BG21"/>
    <mergeCell ref="BI23:BI24"/>
    <mergeCell ref="BI25:BI26"/>
    <mergeCell ref="BI29:BI30"/>
    <mergeCell ref="BI31:BI32"/>
    <mergeCell ref="BI39:BI41"/>
    <mergeCell ref="BJ20:BJ21"/>
    <mergeCell ref="BJ29:BJ30"/>
    <mergeCell ref="BM25:BM26"/>
    <mergeCell ref="BI11:BI12"/>
    <mergeCell ref="BI18:BI19"/>
    <mergeCell ref="BI20:BI21"/>
    <mergeCell ref="BF5:BF6"/>
    <mergeCell ref="BF9:BF10"/>
    <mergeCell ref="BF11:BF12"/>
    <mergeCell ref="BJ106:BJ107"/>
    <mergeCell ref="BI110:BI111"/>
    <mergeCell ref="BK100:BK101"/>
    <mergeCell ref="BE102:BE103"/>
    <mergeCell ref="BE39:BE41"/>
    <mergeCell ref="BF110:BF111"/>
    <mergeCell ref="BI94:BI95"/>
    <mergeCell ref="BF49:BF50"/>
    <mergeCell ref="BF47:BF48"/>
    <mergeCell ref="BF94:BF95"/>
    <mergeCell ref="BF106:BF107"/>
    <mergeCell ref="BG5:BG6"/>
    <mergeCell ref="BK68:BK69"/>
    <mergeCell ref="BG9:BG10"/>
    <mergeCell ref="BF13:BF14"/>
    <mergeCell ref="BG13:BG14"/>
    <mergeCell ref="BH102:BH103"/>
    <mergeCell ref="BF96:BF97"/>
    <mergeCell ref="BE98:BE99"/>
    <mergeCell ref="BG98:BG99"/>
    <mergeCell ref="BJ74:BJ75"/>
    <mergeCell ref="BF74:BF75"/>
    <mergeCell ref="BJ96:BJ97"/>
    <mergeCell ref="BG94:BG95"/>
    <mergeCell ref="BK74:BK75"/>
    <mergeCell ref="BK47:BK48"/>
    <mergeCell ref="BI43:BI44"/>
    <mergeCell ref="BJ51:BJ52"/>
    <mergeCell ref="BE20:BE21"/>
    <mergeCell ref="AY31:AY32"/>
    <mergeCell ref="AZ68:AZ69"/>
    <mergeCell ref="BC54:BC55"/>
    <mergeCell ref="BA51:BA52"/>
    <mergeCell ref="AZ64:AZ66"/>
    <mergeCell ref="AY45:AY46"/>
    <mergeCell ref="AY57:AY62"/>
    <mergeCell ref="AZ51:AZ52"/>
    <mergeCell ref="BA49:BA50"/>
    <mergeCell ref="AZ47:AZ48"/>
    <mergeCell ref="AZ45:AZ46"/>
    <mergeCell ref="AZ43:AZ44"/>
    <mergeCell ref="BE5:BE6"/>
    <mergeCell ref="BE11:BE12"/>
    <mergeCell ref="BE45:BE46"/>
    <mergeCell ref="BE49:BE50"/>
    <mergeCell ref="BB54:BB55"/>
    <mergeCell ref="BE23:BE24"/>
    <mergeCell ref="BA39:BA41"/>
    <mergeCell ref="AZ39:AZ41"/>
    <mergeCell ref="AY47:AY48"/>
    <mergeCell ref="AY68:AY69"/>
    <mergeCell ref="AZ31:AZ32"/>
    <mergeCell ref="AZ25:AZ26"/>
    <mergeCell ref="AZ29:AZ30"/>
    <mergeCell ref="AY5:AY6"/>
    <mergeCell ref="AY43:AY44"/>
    <mergeCell ref="AY11:AY12"/>
    <mergeCell ref="AZ5:AZ6"/>
    <mergeCell ref="BD18:BD19"/>
    <mergeCell ref="BD20:BD21"/>
    <mergeCell ref="BD57:BD62"/>
    <mergeCell ref="BD5:BD6"/>
    <mergeCell ref="BD9:BD10"/>
    <mergeCell ref="BD11:BD12"/>
    <mergeCell ref="BB23:BB24"/>
    <mergeCell ref="BB25:BB26"/>
    <mergeCell ref="BA29:BA30"/>
    <mergeCell ref="BA31:BA32"/>
    <mergeCell ref="BD13:BD14"/>
    <mergeCell ref="BA20:BA21"/>
    <mergeCell ref="BC23:BC24"/>
    <mergeCell ref="BA5:BA6"/>
    <mergeCell ref="BD25:BD26"/>
    <mergeCell ref="BD68:BD69"/>
    <mergeCell ref="BA9:BA10"/>
    <mergeCell ref="BC64:BC66"/>
    <mergeCell ref="BC13:BC14"/>
    <mergeCell ref="BC43:BC44"/>
    <mergeCell ref="BA45:BA46"/>
    <mergeCell ref="BB45:BB46"/>
    <mergeCell ref="BA13:BA14"/>
    <mergeCell ref="BA23:BA24"/>
    <mergeCell ref="BA18:BA19"/>
    <mergeCell ref="BD49:BD50"/>
    <mergeCell ref="BC11:BC12"/>
    <mergeCell ref="BC18:BC19"/>
    <mergeCell ref="BB13:BB14"/>
    <mergeCell ref="BB11:BB12"/>
    <mergeCell ref="BB18:BB19"/>
    <mergeCell ref="BB20:BB21"/>
    <mergeCell ref="BA11:BA12"/>
    <mergeCell ref="BB57:BB62"/>
    <mergeCell ref="AZ9:AZ10"/>
    <mergeCell ref="BB9:BB10"/>
    <mergeCell ref="BD43:BD44"/>
    <mergeCell ref="AZ18:AZ19"/>
    <mergeCell ref="AZ13:AZ14"/>
    <mergeCell ref="AY9:AY10"/>
    <mergeCell ref="BC9:BC10"/>
    <mergeCell ref="BB5:BB6"/>
    <mergeCell ref="BA43:BA44"/>
    <mergeCell ref="BD29:BD30"/>
    <mergeCell ref="BD31:BD32"/>
    <mergeCell ref="BB39:BB41"/>
    <mergeCell ref="BD39:BD41"/>
    <mergeCell ref="AY25:AY26"/>
    <mergeCell ref="AP51:AP52"/>
    <mergeCell ref="AS29:AS30"/>
    <mergeCell ref="AS31:AS32"/>
    <mergeCell ref="AS39:AS41"/>
    <mergeCell ref="AS23:AS24"/>
    <mergeCell ref="AS25:AS26"/>
    <mergeCell ref="AQ29:AQ30"/>
    <mergeCell ref="AS51:AS52"/>
    <mergeCell ref="AS47:AS48"/>
    <mergeCell ref="AU45:AU46"/>
    <mergeCell ref="AU51:AU52"/>
    <mergeCell ref="AR43:AR44"/>
    <mergeCell ref="AP45:AP46"/>
    <mergeCell ref="AP47:AP48"/>
    <mergeCell ref="AU11:AU12"/>
    <mergeCell ref="AP23:AP24"/>
    <mergeCell ref="AU47:AU48"/>
    <mergeCell ref="AT45:AT46"/>
    <mergeCell ref="AQ45:AQ46"/>
    <mergeCell ref="AX5:AX6"/>
    <mergeCell ref="AX9:AX10"/>
    <mergeCell ref="AX43:AX44"/>
    <mergeCell ref="AX45:AX46"/>
    <mergeCell ref="AX20:AX21"/>
    <mergeCell ref="AV43:AV44"/>
    <mergeCell ref="AU43:AU44"/>
    <mergeCell ref="AW43:AW44"/>
    <mergeCell ref="AR45:AR46"/>
    <mergeCell ref="AR47:AR48"/>
    <mergeCell ref="AR51:AR52"/>
    <mergeCell ref="AQ47:AQ48"/>
    <mergeCell ref="AQ64:AQ66"/>
    <mergeCell ref="AQ5:AQ6"/>
    <mergeCell ref="AO45:AO46"/>
    <mergeCell ref="AR25:AR26"/>
    <mergeCell ref="AW11:AW12"/>
    <mergeCell ref="AW9:AW10"/>
    <mergeCell ref="AQ9:AQ10"/>
    <mergeCell ref="AO25:AO26"/>
    <mergeCell ref="AU9:AU10"/>
    <mergeCell ref="AR9:AR10"/>
    <mergeCell ref="AW23:AW24"/>
    <mergeCell ref="AT23:AT24"/>
    <mergeCell ref="AT29:AT30"/>
    <mergeCell ref="AV9:AV10"/>
    <mergeCell ref="AT11:AT12"/>
    <mergeCell ref="AS9:AS10"/>
    <mergeCell ref="AQ11:AQ12"/>
    <mergeCell ref="AX11:AX12"/>
    <mergeCell ref="AW13:AW14"/>
    <mergeCell ref="AS11:AS12"/>
    <mergeCell ref="AQ13:AQ14"/>
    <mergeCell ref="AP11:AP12"/>
    <mergeCell ref="AQ88:AQ89"/>
    <mergeCell ref="AP94:AP95"/>
    <mergeCell ref="AP96:AP97"/>
    <mergeCell ref="AP88:AP89"/>
    <mergeCell ref="AT104:AT105"/>
    <mergeCell ref="AU104:AU105"/>
    <mergeCell ref="AW96:AW97"/>
    <mergeCell ref="AW54:AW55"/>
    <mergeCell ref="AX94:AX95"/>
    <mergeCell ref="AS94:AS95"/>
    <mergeCell ref="AW68:AW69"/>
    <mergeCell ref="AV74:AV75"/>
    <mergeCell ref="AX57:AX62"/>
    <mergeCell ref="AP76:AP77"/>
    <mergeCell ref="AX96:AX97"/>
    <mergeCell ref="AU94:AU95"/>
    <mergeCell ref="AW57:AW62"/>
    <mergeCell ref="AT100:AT101"/>
    <mergeCell ref="AV98:AV99"/>
    <mergeCell ref="AS80:AS81"/>
    <mergeCell ref="AS96:AS97"/>
    <mergeCell ref="AX74:AX75"/>
    <mergeCell ref="AX68:AX69"/>
    <mergeCell ref="AU88:AU89"/>
    <mergeCell ref="AV94:AV95"/>
    <mergeCell ref="AV85:AV87"/>
    <mergeCell ref="AS64:AS66"/>
    <mergeCell ref="AV64:AV66"/>
    <mergeCell ref="AU54:AU55"/>
    <mergeCell ref="AS54:AS55"/>
    <mergeCell ref="AW94:AW95"/>
    <mergeCell ref="AU76:AU77"/>
    <mergeCell ref="AW64:AW66"/>
    <mergeCell ref="AW51:AW52"/>
    <mergeCell ref="AW49:AW50"/>
    <mergeCell ref="AV49:AV50"/>
    <mergeCell ref="AU49:AU50"/>
    <mergeCell ref="AY64:AY66"/>
    <mergeCell ref="AY104:AY105"/>
    <mergeCell ref="AX51:AX52"/>
    <mergeCell ref="AW47:AW48"/>
    <mergeCell ref="AW88:AW89"/>
    <mergeCell ref="AV110:AV111"/>
    <mergeCell ref="AX110:AX111"/>
    <mergeCell ref="AS104:AS105"/>
    <mergeCell ref="AV100:AV101"/>
    <mergeCell ref="AX88:AX89"/>
    <mergeCell ref="AT96:AT97"/>
    <mergeCell ref="AX76:AX77"/>
    <mergeCell ref="AV57:AV62"/>
    <mergeCell ref="AU64:AU66"/>
    <mergeCell ref="AX54:AX55"/>
    <mergeCell ref="AX64:AX66"/>
    <mergeCell ref="AV54:AV55"/>
    <mergeCell ref="AT88:AT89"/>
    <mergeCell ref="AS76:AS77"/>
    <mergeCell ref="AY100:AY101"/>
    <mergeCell ref="AY96:AY97"/>
    <mergeCell ref="AY54:AY55"/>
    <mergeCell ref="AV51:AV52"/>
    <mergeCell ref="AT57:AT62"/>
    <mergeCell ref="AW74:AW75"/>
    <mergeCell ref="AS98:AS99"/>
    <mergeCell ref="AV102:AV103"/>
    <mergeCell ref="AQ54:AQ55"/>
    <mergeCell ref="AT74:AT75"/>
    <mergeCell ref="AX106:AX107"/>
    <mergeCell ref="AW98:AW99"/>
    <mergeCell ref="AW76:AW77"/>
    <mergeCell ref="AT80:AT81"/>
    <mergeCell ref="AS78:AS79"/>
    <mergeCell ref="AS88:AS89"/>
    <mergeCell ref="AS100:AS101"/>
    <mergeCell ref="AQ106:AQ107"/>
    <mergeCell ref="AS106:AS107"/>
    <mergeCell ref="AR102:AR103"/>
    <mergeCell ref="AR106:AR107"/>
    <mergeCell ref="AS85:AS87"/>
    <mergeCell ref="AU80:AU81"/>
    <mergeCell ref="AW100:AW101"/>
    <mergeCell ref="AS74:AS75"/>
    <mergeCell ref="AR68:AR69"/>
    <mergeCell ref="AR74:AR75"/>
    <mergeCell ref="AR54:AR55"/>
    <mergeCell ref="AQ76:AQ77"/>
    <mergeCell ref="AS57:AS62"/>
    <mergeCell ref="AS68:AS69"/>
    <mergeCell ref="AW85:AW87"/>
    <mergeCell ref="AV80:AV81"/>
    <mergeCell ref="AW106:AW107"/>
    <mergeCell ref="AU96:AU97"/>
    <mergeCell ref="AX102:AX103"/>
    <mergeCell ref="AT64:AT66"/>
    <mergeCell ref="AU68:AU69"/>
    <mergeCell ref="AU5:AU6"/>
    <mergeCell ref="AL78:AL79"/>
    <mergeCell ref="AL80:AL81"/>
    <mergeCell ref="AL98:AL99"/>
    <mergeCell ref="AL102:AL103"/>
    <mergeCell ref="AL100:AL101"/>
    <mergeCell ref="AM96:AM97"/>
    <mergeCell ref="AL88:AL89"/>
    <mergeCell ref="AL94:AL95"/>
    <mergeCell ref="AR94:AR95"/>
    <mergeCell ref="AN80:AN81"/>
    <mergeCell ref="AO94:AO95"/>
    <mergeCell ref="AO96:AO97"/>
    <mergeCell ref="AM94:AM95"/>
    <mergeCell ref="AO102:AO103"/>
    <mergeCell ref="AM102:AM103"/>
    <mergeCell ref="AT76:AT77"/>
    <mergeCell ref="AP98:AP99"/>
    <mergeCell ref="AM80:AM81"/>
    <mergeCell ref="AR96:AR97"/>
    <mergeCell ref="AQ94:AQ95"/>
    <mergeCell ref="AQ96:AQ97"/>
    <mergeCell ref="AM100:AM101"/>
    <mergeCell ref="AM76:AM77"/>
    <mergeCell ref="AU85:AU87"/>
    <mergeCell ref="AS102:AS103"/>
    <mergeCell ref="AO57:AO62"/>
    <mergeCell ref="AO98:AO99"/>
    <mergeCell ref="AT78:AT79"/>
    <mergeCell ref="AS45:AS46"/>
    <mergeCell ref="AU74:AU75"/>
    <mergeCell ref="AR49:AR50"/>
    <mergeCell ref="AX18:AX19"/>
    <mergeCell ref="AW39:AW41"/>
    <mergeCell ref="AU31:AU32"/>
    <mergeCell ref="AL57:AL62"/>
    <mergeCell ref="AN68:AN69"/>
    <mergeCell ref="AQ23:AQ24"/>
    <mergeCell ref="AO18:AO19"/>
    <mergeCell ref="AO68:AO69"/>
    <mergeCell ref="AL68:AL69"/>
    <mergeCell ref="AO51:AO52"/>
    <mergeCell ref="AO47:AO48"/>
    <mergeCell ref="AO49:AO50"/>
    <mergeCell ref="AP25:AP26"/>
    <mergeCell ref="AL45:AL46"/>
    <mergeCell ref="AL43:AL44"/>
    <mergeCell ref="AM49:AM50"/>
    <mergeCell ref="AM51:AM52"/>
    <mergeCell ref="AN45:AN46"/>
    <mergeCell ref="AN49:AN50"/>
    <mergeCell ref="AQ31:AQ32"/>
    <mergeCell ref="AQ25:AQ26"/>
    <mergeCell ref="AQ39:AQ41"/>
    <mergeCell ref="AP54:AP55"/>
    <mergeCell ref="AP64:AP66"/>
    <mergeCell ref="AN47:AN48"/>
    <mergeCell ref="AM45:AM46"/>
    <mergeCell ref="AL23:AL24"/>
    <mergeCell ref="AQ18:AQ19"/>
    <mergeCell ref="AT47:AT48"/>
    <mergeCell ref="AV47:AV48"/>
    <mergeCell ref="AT54:AT55"/>
    <mergeCell ref="AX47:AX48"/>
    <mergeCell ref="AP49:AP50"/>
    <mergeCell ref="AP123:AP124"/>
    <mergeCell ref="AO88:AO89"/>
    <mergeCell ref="AW78:AW79"/>
    <mergeCell ref="AW5:AW6"/>
    <mergeCell ref="AX23:AX24"/>
    <mergeCell ref="AO20:AO21"/>
    <mergeCell ref="AR29:AR30"/>
    <mergeCell ref="AO43:AO44"/>
    <mergeCell ref="AP29:AP30"/>
    <mergeCell ref="AS18:AS19"/>
    <mergeCell ref="AO11:AO12"/>
    <mergeCell ref="AR11:AR12"/>
    <mergeCell ref="AR18:AR19"/>
    <mergeCell ref="AP18:AP19"/>
    <mergeCell ref="AW20:AW21"/>
    <mergeCell ref="AX39:AX41"/>
    <mergeCell ref="AR31:AR32"/>
    <mergeCell ref="AR20:AR21"/>
    <mergeCell ref="AP20:AP21"/>
    <mergeCell ref="AW25:AW26"/>
    <mergeCell ref="AT5:AT6"/>
    <mergeCell ref="AT9:AT10"/>
    <mergeCell ref="AS5:AS6"/>
    <mergeCell ref="AS20:AS21"/>
    <mergeCell ref="AV5:AV6"/>
    <mergeCell ref="AV11:AV12"/>
    <mergeCell ref="AV18:AV19"/>
    <mergeCell ref="AV20:AV21"/>
    <mergeCell ref="AR5:AR6"/>
    <mergeCell ref="AP5:AP6"/>
    <mergeCell ref="AP9:AP10"/>
    <mergeCell ref="AX29:AX30"/>
    <mergeCell ref="AX98:AX99"/>
    <mergeCell ref="AW102:AW103"/>
    <mergeCell ref="AV96:AV97"/>
    <mergeCell ref="AV115:AV117"/>
    <mergeCell ref="AU128:AU129"/>
    <mergeCell ref="AR115:AR117"/>
    <mergeCell ref="AR121:AR122"/>
    <mergeCell ref="AX115:AX117"/>
    <mergeCell ref="AV121:AV122"/>
    <mergeCell ref="AT128:AT129"/>
    <mergeCell ref="AV128:AV129"/>
    <mergeCell ref="AO115:AO117"/>
    <mergeCell ref="AW121:AW122"/>
    <mergeCell ref="AS132:AS133"/>
    <mergeCell ref="AS121:AS122"/>
    <mergeCell ref="AU39:AU41"/>
    <mergeCell ref="AP39:AP41"/>
    <mergeCell ref="AT49:AT50"/>
    <mergeCell ref="AQ51:AQ52"/>
    <mergeCell ref="AU57:AU62"/>
    <mergeCell ref="AR130:AR131"/>
    <mergeCell ref="AO121:AO122"/>
    <mergeCell ref="AT132:AT133"/>
    <mergeCell ref="AR128:AR129"/>
    <mergeCell ref="AQ110:AQ111"/>
    <mergeCell ref="AP115:AP117"/>
    <mergeCell ref="AT102:AT103"/>
    <mergeCell ref="AR104:AR105"/>
    <mergeCell ref="AQ104:AQ105"/>
    <mergeCell ref="AP106:AP107"/>
    <mergeCell ref="AY88:AY89"/>
    <mergeCell ref="AX104:AX105"/>
    <mergeCell ref="BM98:BM99"/>
    <mergeCell ref="BO96:BO97"/>
    <mergeCell ref="BO100:BO101"/>
    <mergeCell ref="BJ100:BJ101"/>
    <mergeCell ref="BK98:BK99"/>
    <mergeCell ref="BM96:BM97"/>
    <mergeCell ref="BG110:BG111"/>
    <mergeCell ref="AT110:AT111"/>
    <mergeCell ref="AU106:AU107"/>
    <mergeCell ref="AW104:AW105"/>
    <mergeCell ref="AV106:AV107"/>
    <mergeCell ref="BE94:BE95"/>
    <mergeCell ref="BA88:BA89"/>
    <mergeCell ref="BO110:BO111"/>
    <mergeCell ref="AZ88:AZ89"/>
    <mergeCell ref="BD98:BD99"/>
    <mergeCell ref="BO106:BO107"/>
    <mergeCell ref="AT94:AT95"/>
    <mergeCell ref="AV104:AV105"/>
    <mergeCell ref="BE110:BE111"/>
    <mergeCell ref="BA106:BA107"/>
    <mergeCell ref="AZ102:AZ103"/>
    <mergeCell ref="AZ104:AZ105"/>
    <mergeCell ref="AY106:AY107"/>
    <mergeCell ref="BA96:BA97"/>
    <mergeCell ref="AZ96:AZ97"/>
    <mergeCell ref="AZ98:AZ99"/>
    <mergeCell ref="BA100:BA101"/>
    <mergeCell ref="BB100:BB101"/>
    <mergeCell ref="AZ100:AZ101"/>
    <mergeCell ref="AR57:AR62"/>
    <mergeCell ref="AQ130:AQ131"/>
    <mergeCell ref="AQ121:AQ122"/>
    <mergeCell ref="AN130:AN131"/>
    <mergeCell ref="AN102:AN103"/>
    <mergeCell ref="AN104:AN105"/>
    <mergeCell ref="AO106:AO107"/>
    <mergeCell ref="AO110:AO111"/>
    <mergeCell ref="AR123:AR124"/>
    <mergeCell ref="AR80:AR81"/>
    <mergeCell ref="AO78:AO79"/>
    <mergeCell ref="AQ100:AQ101"/>
    <mergeCell ref="AP100:AP101"/>
    <mergeCell ref="AO123:AO124"/>
    <mergeCell ref="AQ115:AQ117"/>
    <mergeCell ref="AS123:AS124"/>
    <mergeCell ref="AP130:AP131"/>
    <mergeCell ref="AP110:AP111"/>
    <mergeCell ref="AP121:AP122"/>
    <mergeCell ref="AP74:AP75"/>
    <mergeCell ref="AR110:AR111"/>
    <mergeCell ref="AP80:AP81"/>
    <mergeCell ref="AR100:AR101"/>
    <mergeCell ref="BD102:BD103"/>
    <mergeCell ref="BJ110:BJ111"/>
    <mergeCell ref="BK121:BK122"/>
    <mergeCell ref="BK115:BK117"/>
    <mergeCell ref="BE115:BE117"/>
    <mergeCell ref="BC115:BC117"/>
    <mergeCell ref="BC102:BC103"/>
    <mergeCell ref="BD115:BD117"/>
    <mergeCell ref="BF121:BF122"/>
    <mergeCell ref="AW110:AW111"/>
    <mergeCell ref="AY110:AY111"/>
    <mergeCell ref="AY102:AY103"/>
    <mergeCell ref="AO104:AO105"/>
    <mergeCell ref="BC110:BC111"/>
    <mergeCell ref="AM123:AM124"/>
    <mergeCell ref="AU102:AU103"/>
    <mergeCell ref="AN110:AN111"/>
    <mergeCell ref="AQ102:AQ103"/>
    <mergeCell ref="AS115:AS117"/>
    <mergeCell ref="AN106:AN107"/>
    <mergeCell ref="AS110:AS111"/>
    <mergeCell ref="BK110:BK111"/>
    <mergeCell ref="AW123:AW124"/>
    <mergeCell ref="BC123:BC124"/>
    <mergeCell ref="BB123:BB124"/>
    <mergeCell ref="BH123:BH124"/>
    <mergeCell ref="AY115:AY117"/>
    <mergeCell ref="AY121:AY122"/>
    <mergeCell ref="AZ123:AZ124"/>
    <mergeCell ref="BK123:BK124"/>
    <mergeCell ref="AM104:AM105"/>
    <mergeCell ref="BE123:BE124"/>
    <mergeCell ref="AZ128:AZ129"/>
    <mergeCell ref="AN121:AN122"/>
    <mergeCell ref="BQ104:BQ105"/>
    <mergeCell ref="BL121:BL122"/>
    <mergeCell ref="BL123:BL124"/>
    <mergeCell ref="BO115:BO117"/>
    <mergeCell ref="AM132:AM133"/>
    <mergeCell ref="AV123:AV124"/>
    <mergeCell ref="AM128:AM129"/>
    <mergeCell ref="AO128:AO129"/>
    <mergeCell ref="AO130:AO131"/>
    <mergeCell ref="AW130:AW131"/>
    <mergeCell ref="AW132:AW133"/>
    <mergeCell ref="AN132:AN133"/>
    <mergeCell ref="AQ132:AQ133"/>
    <mergeCell ref="BH130:BH131"/>
    <mergeCell ref="AX128:AX129"/>
    <mergeCell ref="AP128:AP129"/>
    <mergeCell ref="BP110:BP111"/>
    <mergeCell ref="BP106:BP107"/>
    <mergeCell ref="BM106:BM107"/>
    <mergeCell ref="BM110:BM111"/>
    <mergeCell ref="AW128:AW129"/>
    <mergeCell ref="BC132:BC133"/>
    <mergeCell ref="BA128:BA129"/>
    <mergeCell ref="AY128:AY129"/>
    <mergeCell ref="AX130:AX131"/>
    <mergeCell ref="BF130:BF131"/>
    <mergeCell ref="BD132:BD133"/>
    <mergeCell ref="BB128:BB129"/>
    <mergeCell ref="BB132:BB133"/>
    <mergeCell ref="AZ132:AZ133"/>
    <mergeCell ref="BQ130:BQ131"/>
    <mergeCell ref="AU132:AU133"/>
    <mergeCell ref="AT130:AT131"/>
    <mergeCell ref="BM100:BM101"/>
    <mergeCell ref="BM102:BM103"/>
    <mergeCell ref="BG104:BG105"/>
    <mergeCell ref="BG106:BG107"/>
    <mergeCell ref="BN100:BN101"/>
    <mergeCell ref="BN102:BN103"/>
    <mergeCell ref="BN106:BN107"/>
    <mergeCell ref="BI128:BI129"/>
    <mergeCell ref="BL110:BL111"/>
    <mergeCell ref="BO102:BO103"/>
    <mergeCell ref="BL106:BL107"/>
    <mergeCell ref="BI100:BI101"/>
    <mergeCell ref="BM123:BM124"/>
    <mergeCell ref="BM130:BM131"/>
    <mergeCell ref="BO104:BO105"/>
    <mergeCell ref="BN104:BN105"/>
    <mergeCell ref="BM104:BM105"/>
    <mergeCell ref="BN110:BN111"/>
    <mergeCell ref="BL104:BL105"/>
    <mergeCell ref="BH110:BH111"/>
    <mergeCell ref="BJ115:BJ117"/>
    <mergeCell ref="BJ121:BJ122"/>
    <mergeCell ref="BG100:BG101"/>
    <mergeCell ref="BH100:BH101"/>
    <mergeCell ref="AU100:AU101"/>
    <mergeCell ref="AT115:AT117"/>
    <mergeCell ref="BD130:BD131"/>
    <mergeCell ref="BE106:BE107"/>
    <mergeCell ref="AT106:AT107"/>
    <mergeCell ref="Z132:Z133"/>
    <mergeCell ref="CV130:CV131"/>
    <mergeCell ref="BG115:BG117"/>
    <mergeCell ref="BQ128:BQ129"/>
    <mergeCell ref="BM115:BM117"/>
    <mergeCell ref="BO123:BO124"/>
    <mergeCell ref="BS123:BS124"/>
    <mergeCell ref="BJ128:BJ129"/>
    <mergeCell ref="BJ123:BJ124"/>
    <mergeCell ref="BV115:BV117"/>
    <mergeCell ref="BI115:BI117"/>
    <mergeCell ref="BH115:BH117"/>
    <mergeCell ref="BG123:BG124"/>
    <mergeCell ref="BK130:BK131"/>
    <mergeCell ref="BO128:BO129"/>
    <mergeCell ref="BW123:BW124"/>
    <mergeCell ref="BV123:BV124"/>
    <mergeCell ref="CJ130:CJ131"/>
    <mergeCell ref="CH121:CH122"/>
    <mergeCell ref="CL130:CL131"/>
    <mergeCell ref="CT121:CT122"/>
    <mergeCell ref="CG123:CG124"/>
    <mergeCell ref="BQ115:BQ117"/>
    <mergeCell ref="BO121:BO122"/>
    <mergeCell ref="BL115:BL117"/>
    <mergeCell ref="BG130:BG131"/>
    <mergeCell ref="CB130:CB131"/>
    <mergeCell ref="CA128:CA129"/>
    <mergeCell ref="BP115:BP117"/>
    <mergeCell ref="BP123:BP124"/>
    <mergeCell ref="BP121:BP122"/>
    <mergeCell ref="BR130:BR131"/>
    <mergeCell ref="V123:V124"/>
    <mergeCell ref="AB130:AB131"/>
    <mergeCell ref="AC130:AC131"/>
    <mergeCell ref="AF132:AF133"/>
    <mergeCell ref="AC123:AC124"/>
    <mergeCell ref="AD130:AD131"/>
    <mergeCell ref="T130:T131"/>
    <mergeCell ref="R130:R131"/>
    <mergeCell ref="Z130:Z131"/>
    <mergeCell ref="AJ132:AJ133"/>
    <mergeCell ref="S121:S122"/>
    <mergeCell ref="S123:S124"/>
    <mergeCell ref="CU123:CU124"/>
    <mergeCell ref="AA132:AA133"/>
    <mergeCell ref="AG121:AG122"/>
    <mergeCell ref="R121:R122"/>
    <mergeCell ref="R123:R124"/>
    <mergeCell ref="AB132:AB133"/>
    <mergeCell ref="AH121:AH122"/>
    <mergeCell ref="AC121:AC122"/>
    <mergeCell ref="Y132:Y133"/>
    <mergeCell ref="U123:U124"/>
    <mergeCell ref="T123:T124"/>
    <mergeCell ref="R132:R133"/>
    <mergeCell ref="V128:V129"/>
    <mergeCell ref="T121:T122"/>
    <mergeCell ref="AG130:AG131"/>
    <mergeCell ref="AG132:AG133"/>
    <mergeCell ref="W130:W131"/>
    <mergeCell ref="AT121:AT122"/>
    <mergeCell ref="BI130:BI131"/>
    <mergeCell ref="W132:W133"/>
    <mergeCell ref="AC94:AC95"/>
    <mergeCell ref="AD88:AD89"/>
    <mergeCell ref="T132:T133"/>
    <mergeCell ref="V115:V117"/>
    <mergeCell ref="W115:W117"/>
    <mergeCell ref="AG123:AG124"/>
    <mergeCell ref="Y110:Y111"/>
    <mergeCell ref="AM130:AM131"/>
    <mergeCell ref="AE115:AE117"/>
    <mergeCell ref="AK130:AK131"/>
    <mergeCell ref="Z121:Z122"/>
    <mergeCell ref="U132:U133"/>
    <mergeCell ref="AL128:AL129"/>
    <mergeCell ref="AK115:AK117"/>
    <mergeCell ref="AJ110:AJ111"/>
    <mergeCell ref="AA115:AA117"/>
    <mergeCell ref="X128:X129"/>
    <mergeCell ref="AE128:AE129"/>
    <mergeCell ref="AE132:AE133"/>
    <mergeCell ref="AA130:AA131"/>
    <mergeCell ref="Z128:Z129"/>
    <mergeCell ref="AM115:AM117"/>
    <mergeCell ref="AC110:AC111"/>
    <mergeCell ref="Z115:Z117"/>
    <mergeCell ref="AC132:AC133"/>
    <mergeCell ref="AM121:AM122"/>
    <mergeCell ref="Z110:Z111"/>
    <mergeCell ref="T115:T117"/>
    <mergeCell ref="AB128:AB129"/>
    <mergeCell ref="AJ123:AJ124"/>
    <mergeCell ref="AA121:AA122"/>
    <mergeCell ref="AD128:AD129"/>
    <mergeCell ref="AP57:AP62"/>
    <mergeCell ref="AM54:AM55"/>
    <mergeCell ref="AN57:AN62"/>
    <mergeCell ref="AM57:AM62"/>
    <mergeCell ref="AM64:AM66"/>
    <mergeCell ref="AI74:AI75"/>
    <mergeCell ref="AL54:AL55"/>
    <mergeCell ref="AJ57:AJ62"/>
    <mergeCell ref="AI54:AI55"/>
    <mergeCell ref="AH57:AH62"/>
    <mergeCell ref="AG57:AG62"/>
    <mergeCell ref="AC98:AC99"/>
    <mergeCell ref="AB98:AB99"/>
    <mergeCell ref="AC104:AC105"/>
    <mergeCell ref="AB104:AB105"/>
    <mergeCell ref="AQ98:AQ99"/>
    <mergeCell ref="AJ98:AJ99"/>
    <mergeCell ref="AG102:AG103"/>
    <mergeCell ref="AG74:AG75"/>
    <mergeCell ref="AI64:AI66"/>
    <mergeCell ref="AK104:AK105"/>
    <mergeCell ref="AK80:AK81"/>
    <mergeCell ref="AJ68:AJ69"/>
    <mergeCell ref="AI68:AI69"/>
    <mergeCell ref="AI80:AI81"/>
    <mergeCell ref="AD104:AD105"/>
    <mergeCell ref="AD96:AD97"/>
    <mergeCell ref="AJ54:AJ55"/>
    <mergeCell ref="AL85:AL87"/>
    <mergeCell ref="AM85:AM87"/>
    <mergeCell ref="AN85:AN87"/>
    <mergeCell ref="AO85:AO87"/>
    <mergeCell ref="AE57:AE62"/>
    <mergeCell ref="AE64:AE66"/>
    <mergeCell ref="AE68:AE69"/>
    <mergeCell ref="AE74:AE75"/>
    <mergeCell ref="AE76:AE77"/>
    <mergeCell ref="AE78:AE79"/>
    <mergeCell ref="AE80:AE81"/>
    <mergeCell ref="AE88:AE89"/>
    <mergeCell ref="AE94:AE95"/>
    <mergeCell ref="X64:X66"/>
    <mergeCell ref="AD106:AD107"/>
    <mergeCell ref="AI110:AI111"/>
    <mergeCell ref="AI106:AI107"/>
    <mergeCell ref="AD102:AD103"/>
    <mergeCell ref="AE110:AE111"/>
    <mergeCell ref="AD110:AD111"/>
    <mergeCell ref="AH85:AH87"/>
    <mergeCell ref="AI85:AI87"/>
    <mergeCell ref="AF64:AF66"/>
    <mergeCell ref="Z96:Z97"/>
    <mergeCell ref="AC64:AC66"/>
    <mergeCell ref="AC106:AC107"/>
    <mergeCell ref="AH76:AH77"/>
    <mergeCell ref="AI78:AI79"/>
    <mergeCell ref="AG106:AG107"/>
    <mergeCell ref="AI76:AI77"/>
    <mergeCell ref="AH88:AH89"/>
    <mergeCell ref="X76:X77"/>
    <mergeCell ref="X78:X79"/>
    <mergeCell ref="Y88:Y89"/>
    <mergeCell ref="AG100:AG101"/>
    <mergeCell ref="AG76:AG77"/>
    <mergeCell ref="AO100:AO101"/>
    <mergeCell ref="AJ100:AJ101"/>
    <mergeCell ref="AJ102:AJ103"/>
    <mergeCell ref="AH94:AH95"/>
    <mergeCell ref="AP78:AP79"/>
    <mergeCell ref="AL96:AL97"/>
    <mergeCell ref="AH78:AH79"/>
    <mergeCell ref="AH80:AH81"/>
    <mergeCell ref="AM106:AM107"/>
    <mergeCell ref="AL76:AL77"/>
    <mergeCell ref="AL64:AL66"/>
    <mergeCell ref="AF68:AF69"/>
    <mergeCell ref="AK74:AK75"/>
    <mergeCell ref="AK76:AK77"/>
    <mergeCell ref="AL74:AL75"/>
    <mergeCell ref="AJ74:AJ75"/>
    <mergeCell ref="AI104:AI105"/>
    <mergeCell ref="AI100:AI101"/>
    <mergeCell ref="AJ78:AJ79"/>
    <mergeCell ref="AF98:AF99"/>
    <mergeCell ref="AF102:AF103"/>
    <mergeCell ref="AJ104:AJ105"/>
    <mergeCell ref="AJ88:AJ89"/>
    <mergeCell ref="AJ94:AJ95"/>
    <mergeCell ref="AJ96:AJ97"/>
    <mergeCell ref="AG78:AG79"/>
    <mergeCell ref="AI94:AI95"/>
    <mergeCell ref="AJ76:AJ77"/>
    <mergeCell ref="AN64:AN66"/>
    <mergeCell ref="AN78:AN79"/>
    <mergeCell ref="AN76:AN77"/>
    <mergeCell ref="AN98:AN99"/>
    <mergeCell ref="AF76:AF77"/>
    <mergeCell ref="AN115:AN117"/>
    <mergeCell ref="AD98:AD99"/>
    <mergeCell ref="AJ115:AJ117"/>
    <mergeCell ref="AL121:AL122"/>
    <mergeCell ref="AL104:AL105"/>
    <mergeCell ref="AN100:AN101"/>
    <mergeCell ref="AL115:AL117"/>
    <mergeCell ref="AN94:AN95"/>
    <mergeCell ref="AN88:AN89"/>
    <mergeCell ref="AF115:AF117"/>
    <mergeCell ref="AE96:AE97"/>
    <mergeCell ref="AE98:AE99"/>
    <mergeCell ref="AE100:AE101"/>
    <mergeCell ref="AE102:AE103"/>
    <mergeCell ref="AE104:AE105"/>
    <mergeCell ref="AE106:AE107"/>
    <mergeCell ref="AH106:AH107"/>
    <mergeCell ref="AH110:AH111"/>
    <mergeCell ref="AD78:AD79"/>
    <mergeCell ref="AF110:AF111"/>
    <mergeCell ref="AK110:AK111"/>
    <mergeCell ref="AD80:AD81"/>
    <mergeCell ref="AD100:AD101"/>
    <mergeCell ref="AI115:AI117"/>
    <mergeCell ref="AG115:AG117"/>
    <mergeCell ref="AI121:AI122"/>
    <mergeCell ref="AG110:AG111"/>
    <mergeCell ref="AF96:AF97"/>
    <mergeCell ref="AI96:AI97"/>
    <mergeCell ref="AF106:AF107"/>
    <mergeCell ref="AK106:AK107"/>
    <mergeCell ref="W47:W48"/>
    <mergeCell ref="AA68:AA69"/>
    <mergeCell ref="AA74:AA75"/>
    <mergeCell ref="AA64:AA66"/>
    <mergeCell ref="Z78:Z79"/>
    <mergeCell ref="AC88:AC89"/>
    <mergeCell ref="AA104:AA105"/>
    <mergeCell ref="Z98:Z99"/>
    <mergeCell ref="Z100:Z101"/>
    <mergeCell ref="W88:W89"/>
    <mergeCell ref="AO74:AO75"/>
    <mergeCell ref="AM74:AM75"/>
    <mergeCell ref="AP102:AP103"/>
    <mergeCell ref="AG94:AG95"/>
    <mergeCell ref="AG96:AG97"/>
    <mergeCell ref="AI102:AI103"/>
    <mergeCell ref="AF104:AF105"/>
    <mergeCell ref="AH100:AH101"/>
    <mergeCell ref="AP68:AP69"/>
    <mergeCell ref="AK96:AK97"/>
    <mergeCell ref="AP104:AP105"/>
    <mergeCell ref="AM78:AM79"/>
    <mergeCell ref="AN74:AN75"/>
    <mergeCell ref="AO76:AO77"/>
    <mergeCell ref="AK100:AK101"/>
    <mergeCell ref="AK102:AK103"/>
    <mergeCell ref="AM98:AM99"/>
    <mergeCell ref="AF100:AF101"/>
    <mergeCell ref="AJ85:AJ87"/>
    <mergeCell ref="AK85:AK87"/>
    <mergeCell ref="AK94:AK95"/>
    <mergeCell ref="AC54:AC55"/>
    <mergeCell ref="W68:W69"/>
    <mergeCell ref="W64:W66"/>
    <mergeCell ref="AA98:AA99"/>
    <mergeCell ref="W104:W105"/>
    <mergeCell ref="AD123:AD124"/>
    <mergeCell ref="AD121:AD122"/>
    <mergeCell ref="AD115:AD117"/>
    <mergeCell ref="AB115:AB117"/>
    <mergeCell ref="Y49:Y50"/>
    <mergeCell ref="Y54:Y55"/>
    <mergeCell ref="Z64:Z66"/>
    <mergeCell ref="X57:X62"/>
    <mergeCell ref="Z88:Z89"/>
    <mergeCell ref="AB102:AB103"/>
    <mergeCell ref="AC102:AC103"/>
    <mergeCell ref="AD68:AD69"/>
    <mergeCell ref="AA49:AA50"/>
    <mergeCell ref="W76:W77"/>
    <mergeCell ref="AC68:AC69"/>
    <mergeCell ref="Y74:Y75"/>
    <mergeCell ref="Z104:Z105"/>
    <mergeCell ref="X104:X105"/>
    <mergeCell ref="Y96:Y97"/>
    <mergeCell ref="Z123:Z124"/>
    <mergeCell ref="W98:W99"/>
    <mergeCell ref="AB123:AB124"/>
    <mergeCell ref="W96:W97"/>
    <mergeCell ref="W94:W95"/>
    <mergeCell ref="W121:W122"/>
    <mergeCell ref="X106:X107"/>
    <mergeCell ref="Z76:Z77"/>
    <mergeCell ref="Y106:Y107"/>
    <mergeCell ref="AC74:AC75"/>
    <mergeCell ref="X45:X46"/>
    <mergeCell ref="U49:U50"/>
    <mergeCell ref="Z51:Z52"/>
    <mergeCell ref="AB49:AB50"/>
    <mergeCell ref="AA88:AA89"/>
    <mergeCell ref="AC76:AC77"/>
    <mergeCell ref="AB74:AB75"/>
    <mergeCell ref="AC57:AC62"/>
    <mergeCell ref="S80:S81"/>
    <mergeCell ref="Y51:Y52"/>
    <mergeCell ref="Y64:Y66"/>
    <mergeCell ref="X54:X55"/>
    <mergeCell ref="V49:V50"/>
    <mergeCell ref="U51:U52"/>
    <mergeCell ref="Y47:Y48"/>
    <mergeCell ref="AB47:AB48"/>
    <mergeCell ref="X47:X48"/>
    <mergeCell ref="T57:T62"/>
    <mergeCell ref="T64:T66"/>
    <mergeCell ref="AC45:AC46"/>
    <mergeCell ref="AC47:AC48"/>
    <mergeCell ref="Z47:Z48"/>
    <mergeCell ref="Z49:Z50"/>
    <mergeCell ref="V51:V52"/>
    <mergeCell ref="AA57:AA62"/>
    <mergeCell ref="Z68:Z69"/>
    <mergeCell ref="AC80:AC81"/>
    <mergeCell ref="T51:T52"/>
    <mergeCell ref="T54:T55"/>
    <mergeCell ref="T68:T69"/>
    <mergeCell ref="W54:W55"/>
    <mergeCell ref="AB45:AB46"/>
    <mergeCell ref="AB76:AB77"/>
    <mergeCell ref="AA78:AA79"/>
    <mergeCell ref="AA80:AA81"/>
    <mergeCell ref="W51:W52"/>
    <mergeCell ref="X80:X81"/>
    <mergeCell ref="S110:S111"/>
    <mergeCell ref="U121:U122"/>
    <mergeCell ref="U106:U107"/>
    <mergeCell ref="X102:X103"/>
    <mergeCell ref="Z54:Z55"/>
    <mergeCell ref="U54:U55"/>
    <mergeCell ref="AB57:AB62"/>
    <mergeCell ref="AB64:AB66"/>
    <mergeCell ref="AB51:AB52"/>
    <mergeCell ref="W106:W107"/>
    <mergeCell ref="AA54:AA55"/>
    <mergeCell ref="W57:W62"/>
    <mergeCell ref="V74:V75"/>
    <mergeCell ref="AA45:AA46"/>
    <mergeCell ref="AA47:AA48"/>
    <mergeCell ref="V45:V46"/>
    <mergeCell ref="X51:X52"/>
    <mergeCell ref="T74:T75"/>
    <mergeCell ref="U76:U77"/>
    <mergeCell ref="X98:X99"/>
    <mergeCell ref="Y68:Y69"/>
    <mergeCell ref="V98:V99"/>
    <mergeCell ref="Y102:Y103"/>
    <mergeCell ref="T102:T103"/>
    <mergeCell ref="T98:T99"/>
    <mergeCell ref="X49:X50"/>
    <mergeCell ref="AD49:AD50"/>
    <mergeCell ref="AD51:AD52"/>
    <mergeCell ref="AA100:AA101"/>
    <mergeCell ref="AA102:AA103"/>
    <mergeCell ref="R88:R89"/>
    <mergeCell ref="AD54:AD55"/>
    <mergeCell ref="AD57:AD62"/>
    <mergeCell ref="U33:U34"/>
    <mergeCell ref="AA76:AA77"/>
    <mergeCell ref="AB100:AB101"/>
    <mergeCell ref="V80:V81"/>
    <mergeCell ref="V88:V89"/>
    <mergeCell ref="V94:V95"/>
    <mergeCell ref="U74:U75"/>
    <mergeCell ref="AD76:AD77"/>
    <mergeCell ref="U45:U46"/>
    <mergeCell ref="Y45:Y46"/>
    <mergeCell ref="U47:U48"/>
    <mergeCell ref="U57:U62"/>
    <mergeCell ref="R45:R46"/>
    <mergeCell ref="T76:T77"/>
    <mergeCell ref="W43:W44"/>
    <mergeCell ref="X43:X44"/>
    <mergeCell ref="V64:V66"/>
    <mergeCell ref="V68:V69"/>
    <mergeCell ref="W49:W50"/>
    <mergeCell ref="R76:R77"/>
    <mergeCell ref="R78:R79"/>
    <mergeCell ref="R100:R101"/>
    <mergeCell ref="AC51:AC52"/>
    <mergeCell ref="AC96:AC97"/>
    <mergeCell ref="W45:W46"/>
    <mergeCell ref="L49:L50"/>
    <mergeCell ref="A36:HF36"/>
    <mergeCell ref="F5:F6"/>
    <mergeCell ref="F9:F10"/>
    <mergeCell ref="F11:F12"/>
    <mergeCell ref="F13:F14"/>
    <mergeCell ref="F18:F19"/>
    <mergeCell ref="U94:U95"/>
    <mergeCell ref="Y98:Y99"/>
    <mergeCell ref="U18:U19"/>
    <mergeCell ref="AG39:AG41"/>
    <mergeCell ref="F96:F97"/>
    <mergeCell ref="F98:F99"/>
    <mergeCell ref="F39:F41"/>
    <mergeCell ref="Q29:Q30"/>
    <mergeCell ref="Q31:Q32"/>
    <mergeCell ref="R98:R99"/>
    <mergeCell ref="S88:S89"/>
    <mergeCell ref="C5:C6"/>
    <mergeCell ref="H76:H77"/>
    <mergeCell ref="H78:H79"/>
    <mergeCell ref="H80:H81"/>
    <mergeCell ref="H88:H89"/>
    <mergeCell ref="I94:I95"/>
    <mergeCell ref="I96:I97"/>
    <mergeCell ref="I98:I99"/>
    <mergeCell ref="AD47:AD48"/>
    <mergeCell ref="B64:B66"/>
    <mergeCell ref="Y43:Y44"/>
    <mergeCell ref="V54:V55"/>
    <mergeCell ref="V76:V77"/>
    <mergeCell ref="V47:V48"/>
    <mergeCell ref="B98:B99"/>
    <mergeCell ref="E110:E111"/>
    <mergeCell ref="E115:E117"/>
    <mergeCell ref="E121:E122"/>
    <mergeCell ref="E123:E124"/>
    <mergeCell ref="L106:L107"/>
    <mergeCell ref="H104:H105"/>
    <mergeCell ref="H106:H107"/>
    <mergeCell ref="J104:J105"/>
    <mergeCell ref="K121:K122"/>
    <mergeCell ref="K128:K129"/>
    <mergeCell ref="J130:J131"/>
    <mergeCell ref="J132:J133"/>
    <mergeCell ref="I128:I129"/>
    <mergeCell ref="H110:H111"/>
    <mergeCell ref="H115:H117"/>
    <mergeCell ref="I100:I101"/>
    <mergeCell ref="I102:I103"/>
    <mergeCell ref="I104:I105"/>
    <mergeCell ref="L98:L99"/>
    <mergeCell ref="J110:J111"/>
    <mergeCell ref="H128:H129"/>
    <mergeCell ref="H130:H131"/>
    <mergeCell ref="C106:C107"/>
    <mergeCell ref="C110:C111"/>
    <mergeCell ref="C115:C117"/>
    <mergeCell ref="G110:G111"/>
    <mergeCell ref="J121:J122"/>
    <mergeCell ref="J123:J124"/>
    <mergeCell ref="B123:B124"/>
    <mergeCell ref="J128:J129"/>
    <mergeCell ref="C104:C105"/>
    <mergeCell ref="I130:I131"/>
    <mergeCell ref="I132:I133"/>
    <mergeCell ref="S132:S133"/>
    <mergeCell ref="A130:A131"/>
    <mergeCell ref="A128:A129"/>
    <mergeCell ref="C130:C131"/>
    <mergeCell ref="C132:C133"/>
    <mergeCell ref="P130:P131"/>
    <mergeCell ref="P132:P133"/>
    <mergeCell ref="L130:L131"/>
    <mergeCell ref="K130:K131"/>
    <mergeCell ref="E128:E129"/>
    <mergeCell ref="E130:E131"/>
    <mergeCell ref="E132:E133"/>
    <mergeCell ref="E134:E135"/>
    <mergeCell ref="Q130:Q131"/>
    <mergeCell ref="Q132:Q133"/>
    <mergeCell ref="Q128:Q129"/>
    <mergeCell ref="A134:A135"/>
    <mergeCell ref="C134:C135"/>
    <mergeCell ref="F134:F135"/>
    <mergeCell ref="G134:G135"/>
    <mergeCell ref="H134:H135"/>
    <mergeCell ref="I134:I135"/>
    <mergeCell ref="J134:J135"/>
    <mergeCell ref="K134:K135"/>
    <mergeCell ref="L134:L135"/>
    <mergeCell ref="M134:M135"/>
    <mergeCell ref="A132:A133"/>
    <mergeCell ref="L132:L133"/>
    <mergeCell ref="K132:K133"/>
    <mergeCell ref="O115:O117"/>
    <mergeCell ref="O128:O129"/>
    <mergeCell ref="O130:O131"/>
    <mergeCell ref="BB134:BB135"/>
    <mergeCell ref="T134:T135"/>
    <mergeCell ref="U134:U135"/>
    <mergeCell ref="V134:V135"/>
    <mergeCell ref="W134:W135"/>
    <mergeCell ref="X134:X135"/>
    <mergeCell ref="Y134:Y135"/>
    <mergeCell ref="Z134:Z135"/>
    <mergeCell ref="AA134:AA135"/>
    <mergeCell ref="AB134:AB135"/>
    <mergeCell ref="AC134:AC135"/>
    <mergeCell ref="AD134:AD135"/>
    <mergeCell ref="AE134:AE135"/>
    <mergeCell ref="AF134:AF135"/>
    <mergeCell ref="AG134:AG135"/>
    <mergeCell ref="AH134:AH135"/>
    <mergeCell ref="AI134:AI135"/>
    <mergeCell ref="AJ134:AJ135"/>
    <mergeCell ref="AK134:AK135"/>
    <mergeCell ref="O134:O135"/>
    <mergeCell ref="P134:P135"/>
    <mergeCell ref="Q134:Q135"/>
    <mergeCell ref="R134:R135"/>
    <mergeCell ref="S134:S135"/>
    <mergeCell ref="P128:P129"/>
    <mergeCell ref="R128:R129"/>
    <mergeCell ref="V121:V122"/>
    <mergeCell ref="AT85:AT87"/>
    <mergeCell ref="N134:N135"/>
    <mergeCell ref="BD134:BD135"/>
    <mergeCell ref="BE134:BE135"/>
    <mergeCell ref="BF134:BF135"/>
    <mergeCell ref="BG134:BG135"/>
    <mergeCell ref="BH134:BH135"/>
    <mergeCell ref="BI134:BI135"/>
    <mergeCell ref="BJ134:BJ135"/>
    <mergeCell ref="BK134:BK135"/>
    <mergeCell ref="BL134:BL135"/>
    <mergeCell ref="BM134:BM135"/>
    <mergeCell ref="BN134:BN135"/>
    <mergeCell ref="BO134:BO135"/>
    <mergeCell ref="BP134:BP135"/>
    <mergeCell ref="BQ134:BQ135"/>
    <mergeCell ref="BR134:BR135"/>
    <mergeCell ref="BG85:BG87"/>
    <mergeCell ref="BH85:BH87"/>
    <mergeCell ref="BI85:BI87"/>
    <mergeCell ref="BJ85:BJ87"/>
    <mergeCell ref="BK85:BK87"/>
    <mergeCell ref="BL85:BL87"/>
    <mergeCell ref="BM85:BM87"/>
    <mergeCell ref="BN85:BN87"/>
    <mergeCell ref="BO85:BO87"/>
    <mergeCell ref="BP85:BP87"/>
    <mergeCell ref="AM110:AM111"/>
    <mergeCell ref="AI98:AI99"/>
    <mergeCell ref="AP85:AP87"/>
    <mergeCell ref="AQ85:AQ87"/>
    <mergeCell ref="AR85:AR87"/>
    <mergeCell ref="EZ134:EZ135"/>
    <mergeCell ref="AL134:AL135"/>
    <mergeCell ref="AM134:AM135"/>
    <mergeCell ref="AN134:AN135"/>
    <mergeCell ref="AO134:AO135"/>
    <mergeCell ref="AP134:AP135"/>
    <mergeCell ref="AQ134:AQ135"/>
    <mergeCell ref="AR134:AR135"/>
    <mergeCell ref="AS134:AS135"/>
    <mergeCell ref="AT134:AT135"/>
    <mergeCell ref="AU134:AU135"/>
    <mergeCell ref="AV134:AV135"/>
    <mergeCell ref="AW134:AW135"/>
    <mergeCell ref="AX134:AX135"/>
    <mergeCell ref="AY134:AY135"/>
    <mergeCell ref="AZ134:AZ135"/>
    <mergeCell ref="BA134:BA135"/>
    <mergeCell ref="HF134:HF135"/>
    <mergeCell ref="A85:A87"/>
    <mergeCell ref="C85:C87"/>
    <mergeCell ref="F85:F87"/>
    <mergeCell ref="G85:G87"/>
    <mergeCell ref="H85:H87"/>
    <mergeCell ref="I85:I87"/>
    <mergeCell ref="J85:J87"/>
    <mergeCell ref="K85:K87"/>
    <mergeCell ref="L85:L87"/>
    <mergeCell ref="M85:M87"/>
    <mergeCell ref="N85:N87"/>
    <mergeCell ref="O85:O87"/>
    <mergeCell ref="P85:P87"/>
    <mergeCell ref="Q85:Q87"/>
    <mergeCell ref="R85:R87"/>
    <mergeCell ref="S85:S87"/>
    <mergeCell ref="T85:T87"/>
    <mergeCell ref="U85:U87"/>
    <mergeCell ref="V85:V87"/>
    <mergeCell ref="W85:W87"/>
    <mergeCell ref="X85:X87"/>
    <mergeCell ref="Y85:Y87"/>
    <mergeCell ref="Z85:Z87"/>
    <mergeCell ref="AA85:AA87"/>
    <mergeCell ref="AB85:AB87"/>
    <mergeCell ref="AC85:AC87"/>
    <mergeCell ref="AD85:AD87"/>
    <mergeCell ref="AE85:AE87"/>
    <mergeCell ref="AF85:AF87"/>
    <mergeCell ref="AG85:AG87"/>
    <mergeCell ref="BC134:BC135"/>
    <mergeCell ref="BZ85:BZ87"/>
    <mergeCell ref="CA85:CA87"/>
    <mergeCell ref="CB85:CB87"/>
    <mergeCell ref="CC85:CC87"/>
    <mergeCell ref="BV85:BV87"/>
    <mergeCell ref="DE85:DE87"/>
    <mergeCell ref="DF85:DF87"/>
    <mergeCell ref="DG85:DG87"/>
    <mergeCell ref="DH85:DH87"/>
    <mergeCell ref="DI85:DI87"/>
    <mergeCell ref="DJ85:DJ87"/>
    <mergeCell ref="DK85:DK87"/>
    <mergeCell ref="DL85:DL87"/>
    <mergeCell ref="DM85:DM87"/>
    <mergeCell ref="DN85:DN87"/>
    <mergeCell ref="DO85:DO87"/>
    <mergeCell ref="DP85:DP87"/>
    <mergeCell ref="DV85:DV87"/>
    <mergeCell ref="DW85:DW87"/>
    <mergeCell ref="CF85:CF87"/>
    <mergeCell ref="CG85:CG87"/>
    <mergeCell ref="CH85:CH87"/>
    <mergeCell ref="CI85:CI87"/>
    <mergeCell ref="CJ85:CJ87"/>
    <mergeCell ref="CK85:CK87"/>
    <mergeCell ref="CL85:CL87"/>
    <mergeCell ref="CM85:CM87"/>
    <mergeCell ref="CP85:CP87"/>
    <mergeCell ref="CQ85:CQ87"/>
    <mergeCell ref="CR85:CR87"/>
    <mergeCell ref="CS85:CS87"/>
    <mergeCell ref="CZ85:CZ87"/>
    <mergeCell ref="DA85:DA87"/>
    <mergeCell ref="DB85:DB87"/>
    <mergeCell ref="DC85:DC87"/>
    <mergeCell ref="E68:E69"/>
    <mergeCell ref="E74:E75"/>
    <mergeCell ref="E76:E77"/>
    <mergeCell ref="E78:E79"/>
    <mergeCell ref="E80:E81"/>
    <mergeCell ref="E85:E87"/>
    <mergeCell ref="E88:E89"/>
    <mergeCell ref="E94:E95"/>
    <mergeCell ref="E96:E97"/>
    <mergeCell ref="E98:E99"/>
    <mergeCell ref="E100:E101"/>
    <mergeCell ref="E102:E103"/>
    <mergeCell ref="E104:E105"/>
    <mergeCell ref="E106:E107"/>
    <mergeCell ref="E11:E12"/>
    <mergeCell ref="E13:E14"/>
    <mergeCell ref="E18:E19"/>
    <mergeCell ref="E20:E21"/>
    <mergeCell ref="E23:E24"/>
    <mergeCell ref="E25:E26"/>
    <mergeCell ref="E29:E30"/>
    <mergeCell ref="E31:E32"/>
    <mergeCell ref="E33:E34"/>
    <mergeCell ref="E39:E41"/>
    <mergeCell ref="E43:E44"/>
    <mergeCell ref="E45:E46"/>
    <mergeCell ref="E47:E48"/>
    <mergeCell ref="E49:E50"/>
    <mergeCell ref="E51:E52"/>
    <mergeCell ref="E54:E55"/>
    <mergeCell ref="E57:E62"/>
    <mergeCell ref="D5:D6"/>
    <mergeCell ref="D9:D10"/>
    <mergeCell ref="D11:D12"/>
    <mergeCell ref="D13:D14"/>
    <mergeCell ref="D18:D19"/>
    <mergeCell ref="D20:D21"/>
    <mergeCell ref="D23:D24"/>
    <mergeCell ref="D25:D26"/>
    <mergeCell ref="D29:D30"/>
    <mergeCell ref="D31:D32"/>
    <mergeCell ref="D33:D34"/>
    <mergeCell ref="D39:D41"/>
    <mergeCell ref="D43:D44"/>
    <mergeCell ref="D45:D46"/>
    <mergeCell ref="D47:D48"/>
    <mergeCell ref="D49:D50"/>
    <mergeCell ref="D51:D52"/>
    <mergeCell ref="D110:D111"/>
    <mergeCell ref="D115:D117"/>
    <mergeCell ref="D121:D122"/>
    <mergeCell ref="D123:D124"/>
    <mergeCell ref="D128:D129"/>
    <mergeCell ref="D130:D131"/>
    <mergeCell ref="D132:D133"/>
    <mergeCell ref="D134:D135"/>
    <mergeCell ref="D54:D55"/>
    <mergeCell ref="D57:D62"/>
    <mergeCell ref="D64:D66"/>
    <mergeCell ref="D68:D69"/>
    <mergeCell ref="D74:D75"/>
    <mergeCell ref="D76:D77"/>
    <mergeCell ref="D78:D79"/>
    <mergeCell ref="D80:D81"/>
    <mergeCell ref="D85:D87"/>
    <mergeCell ref="D88:D89"/>
    <mergeCell ref="D94:D95"/>
    <mergeCell ref="D96:D97"/>
    <mergeCell ref="D98:D99"/>
    <mergeCell ref="D100:D101"/>
    <mergeCell ref="D102:D103"/>
    <mergeCell ref="D104:D105"/>
    <mergeCell ref="D106:D107"/>
  </mergeCells>
  <phoneticPr fontId="71" type="noConversion"/>
  <conditionalFormatting sqref="C7">
    <cfRule type="iconSet" priority="13">
      <iconSet iconSet="3Arrows">
        <cfvo type="percent" val="0"/>
        <cfvo type="num" val="0"/>
        <cfvo type="num" val="0" gte="0"/>
      </iconSet>
    </cfRule>
  </conditionalFormatting>
  <conditionalFormatting sqref="C112">
    <cfRule type="iconSet" priority="15">
      <iconSet iconSet="3Arrows">
        <cfvo type="percent" val="0"/>
        <cfvo type="num" val="0"/>
        <cfvo type="num" val="0" gte="0"/>
      </iconSet>
    </cfRule>
  </conditionalFormatting>
  <conditionalFormatting sqref="D7">
    <cfRule type="iconSet" priority="1">
      <iconSet iconSet="3Arrows">
        <cfvo type="percent" val="0"/>
        <cfvo type="num" val="0"/>
        <cfvo type="num" val="0" gte="0"/>
      </iconSet>
    </cfRule>
  </conditionalFormatting>
  <conditionalFormatting sqref="D112">
    <cfRule type="iconSet" priority="2">
      <iconSet iconSet="3Arrows">
        <cfvo type="percent" val="0"/>
        <cfvo type="num" val="0"/>
        <cfvo type="num" val="0" gte="0"/>
      </iconSet>
    </cfRule>
  </conditionalFormatting>
  <conditionalFormatting sqref="E7">
    <cfRule type="iconSet" priority="5">
      <iconSet iconSet="3Arrows">
        <cfvo type="percent" val="0"/>
        <cfvo type="num" val="0"/>
        <cfvo type="num" val="0" gte="0"/>
      </iconSet>
    </cfRule>
  </conditionalFormatting>
  <conditionalFormatting sqref="E112">
    <cfRule type="iconSet" priority="6">
      <iconSet iconSet="3Arrows">
        <cfvo type="percent" val="0"/>
        <cfvo type="num" val="0"/>
        <cfvo type="num" val="0" gte="0"/>
      </iconSet>
    </cfRule>
  </conditionalFormatting>
  <conditionalFormatting sqref="F7">
    <cfRule type="iconSet" priority="179">
      <iconSet iconSet="3Arrows">
        <cfvo type="percent" val="0"/>
        <cfvo type="num" val="0"/>
        <cfvo type="num" val="0" gte="0"/>
      </iconSet>
    </cfRule>
  </conditionalFormatting>
  <conditionalFormatting sqref="F64">
    <cfRule type="iconSet" priority="180">
      <iconSet iconSet="3Arrows">
        <cfvo type="percent" val="0"/>
        <cfvo type="num" val="0"/>
        <cfvo type="num" val="0" gte="0"/>
      </iconSet>
    </cfRule>
  </conditionalFormatting>
  <conditionalFormatting sqref="F112">
    <cfRule type="iconSet" priority="181">
      <iconSet iconSet="3Arrows">
        <cfvo type="percent" val="0"/>
        <cfvo type="num" val="0"/>
        <cfvo type="num" val="0" gte="0"/>
      </iconSet>
    </cfRule>
  </conditionalFormatting>
  <conditionalFormatting sqref="G7">
    <cfRule type="iconSet" priority="16">
      <iconSet iconSet="3Arrows">
        <cfvo type="percent" val="0"/>
        <cfvo type="num" val="0"/>
        <cfvo type="num" val="0" gte="0"/>
      </iconSet>
    </cfRule>
  </conditionalFormatting>
  <conditionalFormatting sqref="G64">
    <cfRule type="iconSet" priority="17">
      <iconSet iconSet="3Arrows">
        <cfvo type="percent" val="0"/>
        <cfvo type="num" val="0"/>
        <cfvo type="num" val="0" gte="0"/>
      </iconSet>
    </cfRule>
  </conditionalFormatting>
  <conditionalFormatting sqref="G112">
    <cfRule type="iconSet" priority="18">
      <iconSet iconSet="3Arrows">
        <cfvo type="percent" val="0"/>
        <cfvo type="num" val="0"/>
        <cfvo type="num" val="0" gte="0"/>
      </iconSet>
    </cfRule>
  </conditionalFormatting>
  <conditionalFormatting sqref="H7">
    <cfRule type="iconSet" priority="23">
      <iconSet iconSet="3Arrows">
        <cfvo type="percent" val="0"/>
        <cfvo type="num" val="0"/>
        <cfvo type="num" val="0" gte="0"/>
      </iconSet>
    </cfRule>
  </conditionalFormatting>
  <conditionalFormatting sqref="H64">
    <cfRule type="iconSet" priority="21">
      <iconSet iconSet="3Arrows">
        <cfvo type="percent" val="0"/>
        <cfvo type="num" val="0"/>
        <cfvo type="num" val="0" gte="0"/>
      </iconSet>
    </cfRule>
  </conditionalFormatting>
  <conditionalFormatting sqref="H112">
    <cfRule type="iconSet" priority="20">
      <iconSet iconSet="3Arrows">
        <cfvo type="percent" val="0"/>
        <cfvo type="num" val="0"/>
        <cfvo type="num" val="0" gte="0"/>
      </iconSet>
    </cfRule>
  </conditionalFormatting>
  <conditionalFormatting sqref="I7">
    <cfRule type="iconSet" priority="28">
      <iconSet iconSet="3Arrows">
        <cfvo type="percent" val="0"/>
        <cfvo type="num" val="0"/>
        <cfvo type="num" val="0" gte="0"/>
      </iconSet>
    </cfRule>
  </conditionalFormatting>
  <conditionalFormatting sqref="I22">
    <cfRule type="iconSet" priority="27">
      <iconSet iconSet="3Arrows">
        <cfvo type="percent" val="0"/>
        <cfvo type="num" val="0"/>
        <cfvo type="num" val="0" gte="0"/>
      </iconSet>
    </cfRule>
  </conditionalFormatting>
  <conditionalFormatting sqref="I64">
    <cfRule type="iconSet" priority="26">
      <iconSet iconSet="3Arrows">
        <cfvo type="percent" val="0"/>
        <cfvo type="num" val="0"/>
        <cfvo type="num" val="0" gte="0"/>
      </iconSet>
    </cfRule>
  </conditionalFormatting>
  <conditionalFormatting sqref="I112">
    <cfRule type="iconSet" priority="25">
      <iconSet iconSet="3Arrows">
        <cfvo type="percent" val="0"/>
        <cfvo type="num" val="0"/>
        <cfvo type="num" val="0" gte="0"/>
      </iconSet>
    </cfRule>
  </conditionalFormatting>
  <conditionalFormatting sqref="J7">
    <cfRule type="iconSet" priority="36">
      <iconSet iconSet="3Arrows">
        <cfvo type="percent" val="0"/>
        <cfvo type="num" val="0"/>
        <cfvo type="num" val="0" gte="0"/>
      </iconSet>
    </cfRule>
  </conditionalFormatting>
  <conditionalFormatting sqref="J22">
    <cfRule type="iconSet" priority="35">
      <iconSet iconSet="3Arrows">
        <cfvo type="percent" val="0"/>
        <cfvo type="num" val="0"/>
        <cfvo type="num" val="0" gte="0"/>
      </iconSet>
    </cfRule>
  </conditionalFormatting>
  <conditionalFormatting sqref="J64">
    <cfRule type="iconSet" priority="34">
      <iconSet iconSet="3Arrows">
        <cfvo type="percent" val="0"/>
        <cfvo type="num" val="0"/>
        <cfvo type="num" val="0" gte="0"/>
      </iconSet>
    </cfRule>
  </conditionalFormatting>
  <conditionalFormatting sqref="J112">
    <cfRule type="iconSet" priority="33">
      <iconSet iconSet="3Arrows">
        <cfvo type="percent" val="0"/>
        <cfvo type="num" val="0"/>
        <cfvo type="num" val="0" gte="0"/>
      </iconSet>
    </cfRule>
  </conditionalFormatting>
  <conditionalFormatting sqref="K7">
    <cfRule type="iconSet" priority="40">
      <iconSet iconSet="3Arrows">
        <cfvo type="percent" val="0"/>
        <cfvo type="num" val="0"/>
        <cfvo type="num" val="0" gte="0"/>
      </iconSet>
    </cfRule>
  </conditionalFormatting>
  <conditionalFormatting sqref="K22">
    <cfRule type="iconSet" priority="39">
      <iconSet iconSet="3Arrows">
        <cfvo type="percent" val="0"/>
        <cfvo type="num" val="0"/>
        <cfvo type="num" val="0" gte="0"/>
      </iconSet>
    </cfRule>
  </conditionalFormatting>
  <conditionalFormatting sqref="K64">
    <cfRule type="iconSet" priority="38">
      <iconSet iconSet="3Arrows">
        <cfvo type="percent" val="0"/>
        <cfvo type="num" val="0"/>
        <cfvo type="num" val="0" gte="0"/>
      </iconSet>
    </cfRule>
  </conditionalFormatting>
  <conditionalFormatting sqref="K112">
    <cfRule type="iconSet" priority="37">
      <iconSet iconSet="3Arrows">
        <cfvo type="percent" val="0"/>
        <cfvo type="num" val="0"/>
        <cfvo type="num" val="0" gte="0"/>
      </iconSet>
    </cfRule>
  </conditionalFormatting>
  <conditionalFormatting sqref="L7">
    <cfRule type="iconSet" priority="45">
      <iconSet iconSet="3Arrows">
        <cfvo type="percent" val="0"/>
        <cfvo type="num" val="0"/>
        <cfvo type="num" val="0" gte="0"/>
      </iconSet>
    </cfRule>
  </conditionalFormatting>
  <conditionalFormatting sqref="L22">
    <cfRule type="iconSet" priority="44">
      <iconSet iconSet="3Arrows">
        <cfvo type="percent" val="0"/>
        <cfvo type="num" val="0"/>
        <cfvo type="num" val="0" gte="0"/>
      </iconSet>
    </cfRule>
  </conditionalFormatting>
  <conditionalFormatting sqref="L64">
    <cfRule type="iconSet" priority="43">
      <iconSet iconSet="3Arrows">
        <cfvo type="percent" val="0"/>
        <cfvo type="num" val="0"/>
        <cfvo type="num" val="0" gte="0"/>
      </iconSet>
    </cfRule>
  </conditionalFormatting>
  <conditionalFormatting sqref="L112:M112">
    <cfRule type="iconSet" priority="42">
      <iconSet iconSet="3Arrows">
        <cfvo type="percent" val="0"/>
        <cfvo type="num" val="0"/>
        <cfvo type="num" val="0" gte="0"/>
      </iconSet>
    </cfRule>
  </conditionalFormatting>
  <conditionalFormatting sqref="M7">
    <cfRule type="iconSet" priority="48">
      <iconSet iconSet="3Arrows">
        <cfvo type="percent" val="0"/>
        <cfvo type="num" val="0"/>
        <cfvo type="num" val="0" gte="0"/>
      </iconSet>
    </cfRule>
  </conditionalFormatting>
  <conditionalFormatting sqref="M22">
    <cfRule type="iconSet" priority="47">
      <iconSet iconSet="3Arrows">
        <cfvo type="percent" val="0"/>
        <cfvo type="num" val="0"/>
        <cfvo type="num" val="0" gte="0"/>
      </iconSet>
    </cfRule>
  </conditionalFormatting>
  <conditionalFormatting sqref="M64">
    <cfRule type="iconSet" priority="46">
      <iconSet iconSet="3Arrows">
        <cfvo type="percent" val="0"/>
        <cfvo type="num" val="0"/>
        <cfvo type="num" val="0" gte="0"/>
      </iconSet>
    </cfRule>
  </conditionalFormatting>
  <conditionalFormatting sqref="N7">
    <cfRule type="iconSet" priority="51">
      <iconSet iconSet="3Arrows">
        <cfvo type="percent" val="0"/>
        <cfvo type="num" val="0"/>
        <cfvo type="num" val="0" gte="0"/>
      </iconSet>
    </cfRule>
  </conditionalFormatting>
  <conditionalFormatting sqref="N22">
    <cfRule type="iconSet" priority="50">
      <iconSet iconSet="3Arrows">
        <cfvo type="percent" val="0"/>
        <cfvo type="num" val="0"/>
        <cfvo type="num" val="0" gte="0"/>
      </iconSet>
    </cfRule>
  </conditionalFormatting>
  <conditionalFormatting sqref="N64">
    <cfRule type="iconSet" priority="49">
      <iconSet iconSet="3Arrows">
        <cfvo type="percent" val="0"/>
        <cfvo type="num" val="0"/>
        <cfvo type="num" val="0" gte="0"/>
      </iconSet>
    </cfRule>
  </conditionalFormatting>
  <conditionalFormatting sqref="O7">
    <cfRule type="iconSet" priority="54">
      <iconSet iconSet="3Arrows">
        <cfvo type="percent" val="0"/>
        <cfvo type="num" val="0"/>
        <cfvo type="num" val="0" gte="0"/>
      </iconSet>
    </cfRule>
  </conditionalFormatting>
  <conditionalFormatting sqref="O22">
    <cfRule type="iconSet" priority="53">
      <iconSet iconSet="3Arrows">
        <cfvo type="percent" val="0"/>
        <cfvo type="num" val="0"/>
        <cfvo type="num" val="0" gte="0"/>
      </iconSet>
    </cfRule>
  </conditionalFormatting>
  <conditionalFormatting sqref="O64">
    <cfRule type="iconSet" priority="52">
      <iconSet iconSet="3Arrows">
        <cfvo type="percent" val="0"/>
        <cfvo type="num" val="0"/>
        <cfvo type="num" val="0" gte="0"/>
      </iconSet>
    </cfRule>
  </conditionalFormatting>
  <conditionalFormatting sqref="P7">
    <cfRule type="iconSet" priority="59">
      <iconSet iconSet="3Arrows">
        <cfvo type="percent" val="0"/>
        <cfvo type="num" val="0"/>
        <cfvo type="num" val="0" gte="0"/>
      </iconSet>
    </cfRule>
  </conditionalFormatting>
  <conditionalFormatting sqref="P22">
    <cfRule type="iconSet" priority="58">
      <iconSet iconSet="3Arrows">
        <cfvo type="percent" val="0"/>
        <cfvo type="num" val="0"/>
        <cfvo type="num" val="0" gte="0"/>
      </iconSet>
    </cfRule>
  </conditionalFormatting>
  <conditionalFormatting sqref="P64">
    <cfRule type="iconSet" priority="57">
      <iconSet iconSet="3Arrows">
        <cfvo type="percent" val="0"/>
        <cfvo type="num" val="0"/>
        <cfvo type="num" val="0" gte="0"/>
      </iconSet>
    </cfRule>
  </conditionalFormatting>
  <conditionalFormatting sqref="Q7">
    <cfRule type="iconSet" priority="62">
      <iconSet iconSet="3Arrows">
        <cfvo type="percent" val="0"/>
        <cfvo type="num" val="0"/>
        <cfvo type="num" val="0" gte="0"/>
      </iconSet>
    </cfRule>
  </conditionalFormatting>
  <conditionalFormatting sqref="Q22">
    <cfRule type="iconSet" priority="61">
      <iconSet iconSet="3Arrows">
        <cfvo type="percent" val="0"/>
        <cfvo type="num" val="0"/>
        <cfvo type="num" val="0" gte="0"/>
      </iconSet>
    </cfRule>
  </conditionalFormatting>
  <conditionalFormatting sqref="Q64">
    <cfRule type="iconSet" priority="60">
      <iconSet iconSet="3Arrows">
        <cfvo type="percent" val="0"/>
        <cfvo type="num" val="0"/>
        <cfvo type="num" val="0" gte="0"/>
      </iconSet>
    </cfRule>
  </conditionalFormatting>
  <conditionalFormatting sqref="R7">
    <cfRule type="iconSet" priority="65">
      <iconSet iconSet="3Arrows">
        <cfvo type="percent" val="0"/>
        <cfvo type="num" val="0"/>
        <cfvo type="num" val="0" gte="0"/>
      </iconSet>
    </cfRule>
  </conditionalFormatting>
  <conditionalFormatting sqref="R22">
    <cfRule type="iconSet" priority="64">
      <iconSet iconSet="3Arrows">
        <cfvo type="percent" val="0"/>
        <cfvo type="num" val="0"/>
        <cfvo type="num" val="0" gte="0"/>
      </iconSet>
    </cfRule>
  </conditionalFormatting>
  <conditionalFormatting sqref="R64">
    <cfRule type="iconSet" priority="63">
      <iconSet iconSet="3Arrows">
        <cfvo type="percent" val="0"/>
        <cfvo type="num" val="0"/>
        <cfvo type="num" val="0" gte="0"/>
      </iconSet>
    </cfRule>
  </conditionalFormatting>
  <conditionalFormatting sqref="S7">
    <cfRule type="iconSet" priority="68">
      <iconSet iconSet="3Arrows">
        <cfvo type="percent" val="0"/>
        <cfvo type="num" val="0"/>
        <cfvo type="num" val="0" gte="0"/>
      </iconSet>
    </cfRule>
  </conditionalFormatting>
  <conditionalFormatting sqref="S22">
    <cfRule type="iconSet" priority="67">
      <iconSet iconSet="3Arrows">
        <cfvo type="percent" val="0"/>
        <cfvo type="num" val="0"/>
        <cfvo type="num" val="0" gte="0"/>
      </iconSet>
    </cfRule>
  </conditionalFormatting>
  <conditionalFormatting sqref="S64">
    <cfRule type="iconSet" priority="66">
      <iconSet iconSet="3Arrows">
        <cfvo type="percent" val="0"/>
        <cfvo type="num" val="0"/>
        <cfvo type="num" val="0" gte="0"/>
      </iconSet>
    </cfRule>
  </conditionalFormatting>
  <conditionalFormatting sqref="T7">
    <cfRule type="iconSet" priority="71">
      <iconSet iconSet="3Arrows">
        <cfvo type="percent" val="0"/>
        <cfvo type="num" val="0"/>
        <cfvo type="num" val="0" gte="0"/>
      </iconSet>
    </cfRule>
  </conditionalFormatting>
  <conditionalFormatting sqref="T22">
    <cfRule type="iconSet" priority="70">
      <iconSet iconSet="3Arrows">
        <cfvo type="percent" val="0"/>
        <cfvo type="num" val="0"/>
        <cfvo type="num" val="0" gte="0"/>
      </iconSet>
    </cfRule>
  </conditionalFormatting>
  <conditionalFormatting sqref="T64">
    <cfRule type="iconSet" priority="69">
      <iconSet iconSet="3Arrows">
        <cfvo type="percent" val="0"/>
        <cfvo type="num" val="0"/>
        <cfvo type="num" val="0" gte="0"/>
      </iconSet>
    </cfRule>
  </conditionalFormatting>
  <conditionalFormatting sqref="U7">
    <cfRule type="iconSet" priority="79">
      <iconSet iconSet="3Arrows">
        <cfvo type="percent" val="0"/>
        <cfvo type="num" val="0"/>
        <cfvo type="num" val="0" gte="0"/>
      </iconSet>
    </cfRule>
  </conditionalFormatting>
  <conditionalFormatting sqref="U22">
    <cfRule type="iconSet" priority="77">
      <iconSet iconSet="3Arrows">
        <cfvo type="percent" val="0"/>
        <cfvo type="num" val="0"/>
        <cfvo type="num" val="0" gte="0"/>
      </iconSet>
    </cfRule>
  </conditionalFormatting>
  <conditionalFormatting sqref="U64">
    <cfRule type="iconSet" priority="75">
      <iconSet iconSet="3Arrows">
        <cfvo type="percent" val="0"/>
        <cfvo type="num" val="0"/>
        <cfvo type="num" val="0" gte="0"/>
      </iconSet>
    </cfRule>
  </conditionalFormatting>
  <conditionalFormatting sqref="V7">
    <cfRule type="iconSet" priority="74">
      <iconSet iconSet="3Arrows">
        <cfvo type="percent" val="0"/>
        <cfvo type="num" val="0"/>
        <cfvo type="num" val="0" gte="0"/>
      </iconSet>
    </cfRule>
  </conditionalFormatting>
  <conditionalFormatting sqref="V22">
    <cfRule type="iconSet" priority="73">
      <iconSet iconSet="3Arrows">
        <cfvo type="percent" val="0"/>
        <cfvo type="num" val="0"/>
        <cfvo type="num" val="0" gte="0"/>
      </iconSet>
    </cfRule>
  </conditionalFormatting>
  <conditionalFormatting sqref="V64">
    <cfRule type="iconSet" priority="72">
      <iconSet iconSet="3Arrows">
        <cfvo type="percent" val="0"/>
        <cfvo type="num" val="0"/>
        <cfvo type="num" val="0" gte="0"/>
      </iconSet>
    </cfRule>
  </conditionalFormatting>
  <conditionalFormatting sqref="W7">
    <cfRule type="iconSet" priority="80">
      <iconSet iconSet="3Arrows">
        <cfvo type="percent" val="0"/>
        <cfvo type="num" val="0"/>
        <cfvo type="num" val="0" gte="0"/>
      </iconSet>
    </cfRule>
  </conditionalFormatting>
  <conditionalFormatting sqref="W22">
    <cfRule type="iconSet" priority="78">
      <iconSet iconSet="3Arrows">
        <cfvo type="percent" val="0"/>
        <cfvo type="num" val="0"/>
        <cfvo type="num" val="0" gte="0"/>
      </iconSet>
    </cfRule>
  </conditionalFormatting>
  <conditionalFormatting sqref="W64">
    <cfRule type="iconSet" priority="76">
      <iconSet iconSet="3Arrows">
        <cfvo type="percent" val="0"/>
        <cfvo type="num" val="0"/>
        <cfvo type="num" val="0" gte="0"/>
      </iconSet>
    </cfRule>
  </conditionalFormatting>
  <conditionalFormatting sqref="HF3">
    <cfRule type="cellIs" dxfId="33" priority="135" operator="greaterThan">
      <formula>0</formula>
    </cfRule>
    <cfRule type="cellIs" dxfId="32" priority="134" operator="lessThan">
      <formula>0</formula>
    </cfRule>
  </conditionalFormatting>
  <conditionalFormatting sqref="HF5">
    <cfRule type="iconSet" priority="118">
      <iconSet iconSet="3Arrows">
        <cfvo type="percent" val="0"/>
        <cfvo type="num" val="0"/>
        <cfvo type="num" val="0" gte="0"/>
      </iconSet>
    </cfRule>
  </conditionalFormatting>
  <conditionalFormatting sqref="HF7">
    <cfRule type="iconSet" priority="121">
      <iconSet iconSet="3Arrows">
        <cfvo type="percent" val="0"/>
        <cfvo type="num" val="0"/>
        <cfvo type="num" val="0" gte="0"/>
      </iconSet>
    </cfRule>
  </conditionalFormatting>
  <conditionalFormatting sqref="HF8">
    <cfRule type="iconSet" priority="93">
      <iconSet iconSet="3Arrows">
        <cfvo type="percent" val="0"/>
        <cfvo type="num" val="0"/>
        <cfvo type="num" val="0" gte="0"/>
      </iconSet>
    </cfRule>
  </conditionalFormatting>
  <conditionalFormatting sqref="HF9:HF10">
    <cfRule type="iconSet" priority="167">
      <iconSet iconSet="3Arrows">
        <cfvo type="percent" val="0"/>
        <cfvo type="num" val="0"/>
        <cfvo type="num" val="0" gte="0"/>
      </iconSet>
    </cfRule>
  </conditionalFormatting>
  <conditionalFormatting sqref="HF11 HF13">
    <cfRule type="iconSet" priority="111">
      <iconSet iconSet="3Arrows">
        <cfvo type="percent" val="0"/>
        <cfvo type="num" val="0"/>
        <cfvo type="num" val="0" gte="0"/>
      </iconSet>
    </cfRule>
  </conditionalFormatting>
  <conditionalFormatting sqref="HF16">
    <cfRule type="cellIs" dxfId="31" priority="130" operator="lessThan">
      <formula>0</formula>
    </cfRule>
    <cfRule type="cellIs" dxfId="30" priority="131" operator="greaterThan">
      <formula>0</formula>
    </cfRule>
  </conditionalFormatting>
  <conditionalFormatting sqref="HF18">
    <cfRule type="iconSet" priority="94">
      <iconSet iconSet="3Arrows">
        <cfvo type="percent" val="0"/>
        <cfvo type="num" val="0"/>
        <cfvo type="num" val="0" gte="0"/>
      </iconSet>
    </cfRule>
  </conditionalFormatting>
  <conditionalFormatting sqref="HF31 HF20 HF22:HF23 HF25:HF29 HF33">
    <cfRule type="iconSet" priority="97">
      <iconSet iconSet="3Arrows">
        <cfvo type="percent" val="0"/>
        <cfvo type="num" val="0"/>
        <cfvo type="num" val="0" gte="0"/>
      </iconSet>
    </cfRule>
  </conditionalFormatting>
  <conditionalFormatting sqref="HF35">
    <cfRule type="iconSet" priority="56">
      <iconSet iconSet="3Arrows">
        <cfvo type="percent" val="0"/>
        <cfvo type="num" val="0"/>
        <cfvo type="num" val="0" gte="0"/>
      </iconSet>
    </cfRule>
  </conditionalFormatting>
  <conditionalFormatting sqref="HF37 HF72">
    <cfRule type="cellIs" dxfId="29" priority="145" operator="greaterThan">
      <formula>0</formula>
    </cfRule>
    <cfRule type="cellIs" dxfId="28" priority="144" operator="lessThan">
      <formula>0</formula>
    </cfRule>
  </conditionalFormatting>
  <conditionalFormatting sqref="HF39">
    <cfRule type="iconSet" priority="122">
      <iconSet iconSet="3Arrows">
        <cfvo type="percent" val="0"/>
        <cfvo type="num" val="0"/>
        <cfvo type="num" val="0" gte="0"/>
      </iconSet>
    </cfRule>
  </conditionalFormatting>
  <conditionalFormatting sqref="HF42">
    <cfRule type="iconSet" priority="123">
      <iconSet iconSet="3Arrows">
        <cfvo type="percent" val="0"/>
        <cfvo type="num" val="0"/>
        <cfvo type="num" val="0" gte="0"/>
      </iconSet>
    </cfRule>
  </conditionalFormatting>
  <conditionalFormatting sqref="HF45:HF46 HF43">
    <cfRule type="iconSet" priority="158">
      <iconSet iconSet="3Arrows">
        <cfvo type="percent" val="0"/>
        <cfvo type="num" val="0"/>
        <cfvo type="num" val="0" gte="0"/>
      </iconSet>
    </cfRule>
  </conditionalFormatting>
  <conditionalFormatting sqref="HF47">
    <cfRule type="iconSet" priority="91">
      <iconSet iconSet="3Arrows">
        <cfvo type="percent" val="0"/>
        <cfvo type="num" val="0"/>
        <cfvo type="num" val="0" gte="0"/>
      </iconSet>
    </cfRule>
  </conditionalFormatting>
  <conditionalFormatting sqref="HF49">
    <cfRule type="iconSet" priority="90">
      <iconSet iconSet="3Arrows">
        <cfvo type="percent" val="0"/>
        <cfvo type="num" val="0"/>
        <cfvo type="num" val="0" gte="0"/>
      </iconSet>
    </cfRule>
  </conditionalFormatting>
  <conditionalFormatting sqref="HF51">
    <cfRule type="iconSet" priority="89">
      <iconSet iconSet="3Arrows">
        <cfvo type="percent" val="0"/>
        <cfvo type="num" val="0"/>
        <cfvo type="num" val="0" gte="0"/>
      </iconSet>
    </cfRule>
  </conditionalFormatting>
  <conditionalFormatting sqref="HF53">
    <cfRule type="iconSet" priority="105">
      <iconSet iconSet="3Arrows">
        <cfvo type="percent" val="0"/>
        <cfvo type="num" val="0"/>
        <cfvo type="num" val="0" gte="0"/>
      </iconSet>
    </cfRule>
  </conditionalFormatting>
  <conditionalFormatting sqref="HF54">
    <cfRule type="iconSet" priority="88">
      <iconSet iconSet="3Arrows">
        <cfvo type="percent" val="0"/>
        <cfvo type="num" val="0"/>
        <cfvo type="num" val="0" gte="0"/>
      </iconSet>
    </cfRule>
  </conditionalFormatting>
  <conditionalFormatting sqref="HF56">
    <cfRule type="iconSet" priority="148">
      <iconSet iconSet="3Arrows">
        <cfvo type="percent" val="0"/>
        <cfvo type="num" val="0"/>
        <cfvo type="num" val="0" gte="0"/>
      </iconSet>
    </cfRule>
  </conditionalFormatting>
  <conditionalFormatting sqref="HF57:HF62">
    <cfRule type="iconSet" priority="184">
      <iconSet iconSet="3Arrows">
        <cfvo type="percent" val="0"/>
        <cfvo type="num" val="0"/>
        <cfvo type="num" val="0" gte="0"/>
      </iconSet>
    </cfRule>
  </conditionalFormatting>
  <conditionalFormatting sqref="HF63:HF64">
    <cfRule type="iconSet" priority="182">
      <iconSet iconSet="3Arrows">
        <cfvo type="percent" val="0"/>
        <cfvo type="num" val="0"/>
        <cfvo type="num" val="0" gte="0"/>
      </iconSet>
    </cfRule>
  </conditionalFormatting>
  <conditionalFormatting sqref="HF67">
    <cfRule type="iconSet" priority="109">
      <iconSet iconSet="3Arrows">
        <cfvo type="percent" val="0"/>
        <cfvo type="num" val="0"/>
        <cfvo type="num" val="0" gte="0"/>
      </iconSet>
    </cfRule>
  </conditionalFormatting>
  <conditionalFormatting sqref="HF68">
    <cfRule type="iconSet" priority="103">
      <iconSet iconSet="3Arrows">
        <cfvo type="percent" val="0"/>
        <cfvo type="num" val="0"/>
        <cfvo type="num" val="0" gte="0"/>
      </iconSet>
    </cfRule>
  </conditionalFormatting>
  <conditionalFormatting sqref="HF70">
    <cfRule type="iconSet" priority="55">
      <iconSet iconSet="3Arrows">
        <cfvo type="percent" val="0"/>
        <cfvo type="num" val="0"/>
        <cfvo type="num" val="0" gte="0"/>
      </iconSet>
    </cfRule>
  </conditionalFormatting>
  <conditionalFormatting sqref="HF74:HF75">
    <cfRule type="iconSet" priority="154">
      <iconSet iconSet="3Arrows">
        <cfvo type="percent" val="0"/>
        <cfvo type="num" val="0"/>
        <cfvo type="num" val="0" gte="0"/>
      </iconSet>
    </cfRule>
  </conditionalFormatting>
  <conditionalFormatting sqref="HF76">
    <cfRule type="iconSet" priority="102">
      <iconSet iconSet="3Arrows">
        <cfvo type="percent" val="0"/>
        <cfvo type="num" val="0"/>
        <cfvo type="num" val="0" gte="0"/>
      </iconSet>
    </cfRule>
  </conditionalFormatting>
  <conditionalFormatting sqref="HF78 HF80">
    <cfRule type="iconSet" priority="101">
      <iconSet iconSet="3Arrows">
        <cfvo type="percent" val="0"/>
        <cfvo type="num" val="0"/>
        <cfvo type="num" val="0" gte="0"/>
      </iconSet>
    </cfRule>
  </conditionalFormatting>
  <conditionalFormatting sqref="HF82:HF84">
    <cfRule type="iconSet" priority="110">
      <iconSet iconSet="3Arrows">
        <cfvo type="percent" val="0"/>
        <cfvo type="num" val="0"/>
        <cfvo type="num" val="0" gte="0"/>
      </iconSet>
    </cfRule>
  </conditionalFormatting>
  <conditionalFormatting sqref="HF85">
    <cfRule type="iconSet" priority="11">
      <iconSet iconSet="3Arrows">
        <cfvo type="percent" val="0"/>
        <cfvo type="num" val="0"/>
        <cfvo type="num" val="0" gte="0"/>
      </iconSet>
    </cfRule>
  </conditionalFormatting>
  <conditionalFormatting sqref="HF88">
    <cfRule type="iconSet" priority="108">
      <iconSet iconSet="3Arrows">
        <cfvo type="percent" val="0"/>
        <cfvo type="num" val="0"/>
        <cfvo type="num" val="0" gte="0"/>
      </iconSet>
    </cfRule>
  </conditionalFormatting>
  <conditionalFormatting sqref="HF91">
    <cfRule type="cellIs" dxfId="27" priority="142" operator="lessThan">
      <formula>0</formula>
    </cfRule>
    <cfRule type="cellIs" dxfId="26" priority="143" operator="greaterThan">
      <formula>0</formula>
    </cfRule>
  </conditionalFormatting>
  <conditionalFormatting sqref="HF93">
    <cfRule type="iconSet" priority="116">
      <iconSet iconSet="3Arrows">
        <cfvo type="percent" val="0"/>
        <cfvo type="num" val="0"/>
        <cfvo type="num" val="0" gte="0"/>
      </iconSet>
    </cfRule>
  </conditionalFormatting>
  <conditionalFormatting sqref="HF94 HF96 HF98 HF100">
    <cfRule type="iconSet" priority="86">
      <iconSet iconSet="3Arrows">
        <cfvo type="percent" val="0"/>
        <cfvo type="num" val="0"/>
        <cfvo type="num" val="0" gte="0"/>
      </iconSet>
    </cfRule>
  </conditionalFormatting>
  <conditionalFormatting sqref="HF102">
    <cfRule type="iconSet" priority="85">
      <iconSet iconSet="3Arrows">
        <cfvo type="percent" val="0"/>
        <cfvo type="num" val="0"/>
        <cfvo type="num" val="0" gte="0"/>
      </iconSet>
    </cfRule>
  </conditionalFormatting>
  <conditionalFormatting sqref="HF104:HF105">
    <cfRule type="iconSet" priority="151">
      <iconSet iconSet="3Arrows">
        <cfvo type="percent" val="0"/>
        <cfvo type="num" val="0"/>
        <cfvo type="num" val="0" gte="0"/>
      </iconSet>
    </cfRule>
  </conditionalFormatting>
  <conditionalFormatting sqref="HF106">
    <cfRule type="iconSet" priority="83">
      <iconSet iconSet="3Arrows">
        <cfvo type="percent" val="0"/>
        <cfvo type="num" val="0"/>
        <cfvo type="num" val="0" gte="0"/>
      </iconSet>
    </cfRule>
  </conditionalFormatting>
  <conditionalFormatting sqref="HF108">
    <cfRule type="iconSet" priority="10">
      <iconSet iconSet="3Arrows">
        <cfvo type="percent" val="0"/>
        <cfvo type="num" val="0"/>
        <cfvo type="num" val="0" gte="0"/>
      </iconSet>
    </cfRule>
  </conditionalFormatting>
  <conditionalFormatting sqref="HF109:HF110">
    <cfRule type="iconSet" priority="104">
      <iconSet iconSet="3Arrows">
        <cfvo type="percent" val="0"/>
        <cfvo type="num" val="0"/>
        <cfvo type="num" val="0" gte="0"/>
      </iconSet>
    </cfRule>
  </conditionalFormatting>
  <conditionalFormatting sqref="HF112">
    <cfRule type="iconSet" priority="41">
      <iconSet iconSet="3Arrows">
        <cfvo type="percent" val="0"/>
        <cfvo type="num" val="0"/>
        <cfvo type="num" val="0" gte="0"/>
      </iconSet>
    </cfRule>
  </conditionalFormatting>
  <conditionalFormatting sqref="HF113">
    <cfRule type="iconSet" priority="96">
      <iconSet iconSet="3Arrows">
        <cfvo type="percent" val="0"/>
        <cfvo type="num" val="0"/>
        <cfvo type="num" val="0" gte="0"/>
      </iconSet>
    </cfRule>
  </conditionalFormatting>
  <conditionalFormatting sqref="HF114">
    <cfRule type="iconSet" priority="119">
      <iconSet iconSet="3Arrows">
        <cfvo type="percent" val="0"/>
        <cfvo type="num" val="0"/>
        <cfvo type="num" val="0" gte="0"/>
      </iconSet>
    </cfRule>
  </conditionalFormatting>
  <conditionalFormatting sqref="HF115">
    <cfRule type="iconSet" priority="112">
      <iconSet iconSet="3Arrows">
        <cfvo type="percent" val="0"/>
        <cfvo type="num" val="0"/>
        <cfvo type="num" val="0" gte="0"/>
      </iconSet>
    </cfRule>
  </conditionalFormatting>
  <conditionalFormatting sqref="HF119">
    <cfRule type="cellIs" dxfId="25" priority="125" operator="greaterThan">
      <formula>0</formula>
    </cfRule>
    <cfRule type="cellIs" dxfId="24" priority="124" operator="lessThan">
      <formula>0</formula>
    </cfRule>
  </conditionalFormatting>
  <conditionalFormatting sqref="HF121">
    <cfRule type="iconSet" priority="95">
      <iconSet iconSet="3Arrows">
        <cfvo type="percent" val="0"/>
        <cfvo type="num" val="0"/>
        <cfvo type="num" val="0" gte="0"/>
      </iconSet>
    </cfRule>
  </conditionalFormatting>
  <conditionalFormatting sqref="HF123">
    <cfRule type="iconSet" priority="114">
      <iconSet iconSet="3Arrows">
        <cfvo type="percent" val="0"/>
        <cfvo type="num" val="0"/>
        <cfvo type="num" val="0" gte="0"/>
      </iconSet>
    </cfRule>
  </conditionalFormatting>
  <conditionalFormatting sqref="HF126">
    <cfRule type="cellIs" dxfId="23" priority="138" operator="lessThan">
      <formula>0</formula>
    </cfRule>
    <cfRule type="cellIs" dxfId="22" priority="139" operator="greaterThan">
      <formula>0</formula>
    </cfRule>
  </conditionalFormatting>
  <conditionalFormatting sqref="HF128">
    <cfRule type="iconSet" priority="100">
      <iconSet iconSet="3Arrows">
        <cfvo type="percent" val="0"/>
        <cfvo type="num" val="0"/>
        <cfvo type="num" val="0" gte="0"/>
      </iconSet>
    </cfRule>
  </conditionalFormatting>
  <conditionalFormatting sqref="HF130">
    <cfRule type="iconSet" priority="113">
      <iconSet iconSet="3Arrows">
        <cfvo type="percent" val="0"/>
        <cfvo type="num" val="0"/>
        <cfvo type="num" val="0" gte="0"/>
      </iconSet>
    </cfRule>
  </conditionalFormatting>
  <conditionalFormatting sqref="HF134">
    <cfRule type="iconSet" priority="12">
      <iconSet iconSet="3Arrows">
        <cfvo type="percent" val="0"/>
        <cfvo type="num" val="0"/>
        <cfvo type="num" val="0" gte="0"/>
      </iconSet>
    </cfRule>
  </conditionalFormatting>
  <conditionalFormatting sqref="HF138">
    <cfRule type="cellIs" dxfId="21" priority="137" operator="greaterThan">
      <formula>0</formula>
    </cfRule>
    <cfRule type="cellIs" dxfId="20" priority="136" operator="lessThan">
      <formula>0</formula>
    </cfRule>
  </conditionalFormatting>
  <conditionalFormatting sqref="HF142 HF140">
    <cfRule type="iconSet" priority="115">
      <iconSet iconSet="3Arrows">
        <cfvo type="percent" val="0"/>
        <cfvo type="num" val="0"/>
        <cfvo type="num" val="0" gte="0"/>
      </iconSet>
    </cfRule>
  </conditionalFormatting>
  <conditionalFormatting sqref="HF144:HF1048576">
    <cfRule type="cellIs" dxfId="19" priority="146" operator="lessThan">
      <formula>0</formula>
    </cfRule>
    <cfRule type="cellIs" dxfId="18" priority="147" operator="greaterThan">
      <formula>0</formula>
    </cfRule>
  </conditionalFormatting>
  <pageMargins left="0.7" right="0.7" top="0.75" bottom="0.75" header="0.3" footer="0.3"/>
  <pageSetup paperSize="9" scale="23"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LM64"/>
  <sheetViews>
    <sheetView workbookViewId="0">
      <selection activeCell="HN2" sqref="HN1:HN1048576"/>
    </sheetView>
  </sheetViews>
  <sheetFormatPr defaultColWidth="8.88671875" defaultRowHeight="13.8" outlineLevelCol="1"/>
  <cols>
    <col min="1" max="1" width="3.44140625" style="103" customWidth="1"/>
    <col min="2" max="2" width="17.44140625" style="14" customWidth="1"/>
    <col min="3" max="3" width="31.44140625" style="136" bestFit="1" customWidth="1"/>
    <col min="4" max="5" width="16.109375" style="136" customWidth="1"/>
    <col min="6" max="7" width="16.109375" style="136" hidden="1" customWidth="1"/>
    <col min="8" max="8" width="12.88671875" style="136" hidden="1" customWidth="1"/>
    <col min="9" max="9" width="11.5546875" style="136" hidden="1" customWidth="1"/>
    <col min="10" max="12" width="12.88671875" style="136" hidden="1" customWidth="1"/>
    <col min="13" max="13" width="11.5546875" style="136" hidden="1" customWidth="1"/>
    <col min="14" max="16" width="14.33203125" style="136" hidden="1" customWidth="1"/>
    <col min="17" max="18" width="12.88671875" style="136" hidden="1" customWidth="1"/>
    <col min="19" max="21" width="14.33203125" style="136" hidden="1" customWidth="1"/>
    <col min="22" max="22" width="12.88671875" style="136" hidden="1" customWidth="1"/>
    <col min="23" max="25" width="14.33203125" style="136" hidden="1" customWidth="1"/>
    <col min="26" max="30" width="12.88671875" style="136" hidden="1" customWidth="1"/>
    <col min="31" max="31" width="14.33203125" style="136" hidden="1" customWidth="1"/>
    <col min="32" max="34" width="12.88671875" style="144" hidden="1" customWidth="1"/>
    <col min="35" max="35" width="11.5546875" style="144" hidden="1" customWidth="1"/>
    <col min="36" max="36" width="12.88671875" style="136" hidden="1" customWidth="1"/>
    <col min="37" max="37" width="12.88671875" style="144" hidden="1" customWidth="1"/>
    <col min="38" max="38" width="12.88671875" style="143" hidden="1" customWidth="1"/>
    <col min="39" max="39" width="11.5546875" style="136" hidden="1" customWidth="1"/>
    <col min="40" max="40" width="11.5546875" style="12" hidden="1" customWidth="1"/>
    <col min="41" max="43" width="12.88671875" style="12" hidden="1" customWidth="1"/>
    <col min="44" max="44" width="11.5546875" style="12" hidden="1" customWidth="1"/>
    <col min="45" max="47" width="12.88671875" style="12" hidden="1" customWidth="1"/>
    <col min="48" max="48" width="11.5546875" style="12" hidden="1" customWidth="1"/>
    <col min="49" max="51" width="12.88671875" style="12" hidden="1" customWidth="1"/>
    <col min="52" max="52" width="11.5546875" style="12" hidden="1" customWidth="1"/>
    <col min="53" max="54" width="12.88671875" style="12" hidden="1" customWidth="1"/>
    <col min="55" max="55" width="11.5546875" style="12" hidden="1" customWidth="1"/>
    <col min="56" max="58" width="12.88671875" style="12" hidden="1" customWidth="1"/>
    <col min="59" max="59" width="11.5546875" style="12" hidden="1" customWidth="1"/>
    <col min="60" max="62" width="12.88671875" style="12" hidden="1" customWidth="1"/>
    <col min="63" max="64" width="11.5546875" style="12" hidden="1" customWidth="1"/>
    <col min="65" max="67" width="14.33203125" style="12" hidden="1" customWidth="1"/>
    <col min="68" max="68" width="12.88671875" style="12" hidden="1" customWidth="1"/>
    <col min="69" max="71" width="14.33203125" style="12" hidden="1" customWidth="1"/>
    <col min="72" max="72" width="12.88671875" style="12" hidden="1" customWidth="1"/>
    <col min="73" max="76" width="14.33203125" style="12" hidden="1" customWidth="1"/>
    <col min="77" max="79" width="12.88671875" style="12" hidden="1" customWidth="1"/>
    <col min="80" max="80" width="11.5546875" style="12" hidden="1" customWidth="1"/>
    <col min="81" max="83" width="12.88671875" style="12" hidden="1" customWidth="1"/>
    <col min="84" max="84" width="11.5546875" style="12" hidden="1" customWidth="1"/>
    <col min="85" max="89" width="7.6640625" style="12" hidden="1" customWidth="1"/>
    <col min="90" max="90" width="12.88671875" style="12" hidden="1" customWidth="1"/>
    <col min="91" max="98" width="7.6640625" style="12" hidden="1" customWidth="1"/>
    <col min="99" max="116" width="8.109375" style="12" hidden="1" customWidth="1"/>
    <col min="117" max="117" width="14.33203125" style="12" hidden="1" customWidth="1"/>
    <col min="118" max="127" width="12.88671875" style="12" hidden="1" customWidth="1"/>
    <col min="128" max="128" width="8.109375" style="12" hidden="1" customWidth="1"/>
    <col min="129" max="134" width="12.88671875" style="12" hidden="1" customWidth="1"/>
    <col min="135" max="135" width="11.5546875" style="12" hidden="1" customWidth="1"/>
    <col min="136" max="140" width="12.88671875" style="12" hidden="1" customWidth="1"/>
    <col min="141" max="141" width="11.5546875" style="12" hidden="1" customWidth="1"/>
    <col min="142" max="144" width="12.88671875" style="12" hidden="1" customWidth="1"/>
    <col min="145" max="145" width="11.5546875" style="12" hidden="1" customWidth="1"/>
    <col min="146" max="148" width="12.88671875" style="12" hidden="1" customWidth="1"/>
    <col min="149" max="149" width="11.5546875" style="12" hidden="1" customWidth="1"/>
    <col min="150" max="153" width="12.88671875" style="12" hidden="1" customWidth="1"/>
    <col min="154" max="155" width="11.5546875" style="12" hidden="1" customWidth="1"/>
    <col min="156" max="157" width="12.88671875" style="12" hidden="1" customWidth="1"/>
    <col min="158" max="159" width="11.5546875" style="12" hidden="1" customWidth="1"/>
    <col min="160" max="162" width="12.88671875" style="12" hidden="1" customWidth="1"/>
    <col min="163" max="163" width="11.5546875" style="12" hidden="1" customWidth="1"/>
    <col min="164" max="166" width="14.33203125" style="12" hidden="1" customWidth="1"/>
    <col min="167" max="168" width="12.88671875" style="12" hidden="1" customWidth="1"/>
    <col min="169" max="170" width="14.33203125" style="12" hidden="1" customWidth="1"/>
    <col min="171" max="172" width="12.88671875" style="12" hidden="1" customWidth="1"/>
    <col min="173" max="175" width="14.33203125" style="12" hidden="1" customWidth="1"/>
    <col min="176" max="176" width="11.5546875" style="12" hidden="1" customWidth="1"/>
    <col min="177" max="179" width="12.88671875" style="12" hidden="1" customWidth="1"/>
    <col min="180" max="180" width="11.5546875" style="12" hidden="1" customWidth="1"/>
    <col min="181" max="187" width="12.88671875" style="12" hidden="1" customWidth="1"/>
    <col min="188" max="188" width="11.5546875" style="12" hidden="1" customWidth="1"/>
    <col min="189" max="191" width="12.88671875" style="142" hidden="1" customWidth="1"/>
    <col min="192" max="192" width="11.5546875" style="12" hidden="1" customWidth="1"/>
    <col min="193" max="193" width="12.88671875" style="142" hidden="1" customWidth="1"/>
    <col min="194" max="195" width="12.88671875" style="12" hidden="1" customWidth="1"/>
    <col min="196" max="197" width="11.5546875" style="12" hidden="1" customWidth="1"/>
    <col min="198" max="199" width="12.88671875" style="142" hidden="1" customWidth="1"/>
    <col min="200" max="202" width="11.5546875" style="142" hidden="1" customWidth="1"/>
    <col min="203" max="203" width="12.88671875" style="12" hidden="1" customWidth="1"/>
    <col min="204" max="206" width="12.88671875" style="142" hidden="1" customWidth="1"/>
    <col min="207" max="211" width="11.5546875" style="142" hidden="1" customWidth="1"/>
    <col min="212" max="212" width="12.88671875" style="142" hidden="1" customWidth="1"/>
    <col min="213" max="213" width="12.88671875" style="12" hidden="1" customWidth="1"/>
    <col min="214" max="219" width="12.88671875" style="142" hidden="1" customWidth="1"/>
    <col min="220" max="220" width="4.109375" style="142" hidden="1" customWidth="1"/>
    <col min="221" max="221" width="1.109375" style="142" hidden="1" customWidth="1"/>
    <col min="222" max="222" width="10.44140625" style="12" bestFit="1" customWidth="1"/>
    <col min="223" max="223" width="20.88671875" style="103" customWidth="1"/>
    <col min="224" max="227" width="8.88671875" style="103" hidden="1" customWidth="1" outlineLevel="1"/>
    <col min="228" max="323" width="8.88671875" style="104" hidden="1" customWidth="1" outlineLevel="1"/>
    <col min="324" max="324" width="8.88671875" style="104" collapsed="1"/>
    <col min="325" max="325" width="8.88671875" style="104"/>
    <col min="326" max="16384" width="8.88671875" style="103"/>
  </cols>
  <sheetData>
    <row r="1" spans="2:325" ht="24.75" customHeight="1">
      <c r="B1" s="1069" t="s">
        <v>314</v>
      </c>
      <c r="C1" s="1069"/>
      <c r="D1" s="1069"/>
      <c r="E1" s="1069"/>
      <c r="F1" s="1069"/>
      <c r="G1" s="1069"/>
      <c r="H1" s="1069"/>
      <c r="I1" s="1069"/>
      <c r="J1" s="1069"/>
      <c r="K1" s="1069"/>
      <c r="L1" s="1069"/>
      <c r="M1" s="1069"/>
      <c r="N1" s="1069"/>
      <c r="O1" s="1069"/>
      <c r="P1" s="1069"/>
      <c r="Q1" s="1069"/>
      <c r="R1" s="1069"/>
      <c r="S1" s="1069"/>
      <c r="T1" s="1069"/>
      <c r="U1" s="1069"/>
      <c r="V1" s="1069"/>
      <c r="W1" s="1069"/>
      <c r="X1" s="1069"/>
      <c r="Y1" s="1069"/>
      <c r="Z1" s="1069"/>
      <c r="AA1" s="1069"/>
      <c r="AB1" s="1069"/>
      <c r="AC1" s="1069"/>
      <c r="AD1" s="1069"/>
      <c r="AE1" s="1069"/>
      <c r="AF1" s="1069"/>
      <c r="AG1" s="1069"/>
      <c r="AH1" s="1069"/>
      <c r="AI1" s="1069"/>
      <c r="AJ1" s="1069"/>
      <c r="AK1" s="1069"/>
      <c r="AL1" s="1069"/>
      <c r="AM1" s="1069"/>
      <c r="AN1" s="1069"/>
      <c r="AO1" s="1069"/>
      <c r="AP1" s="1069"/>
      <c r="AQ1" s="1069"/>
      <c r="AR1" s="1069"/>
      <c r="AS1" s="1069"/>
      <c r="AT1" s="1069"/>
      <c r="AU1" s="1069"/>
      <c r="AV1" s="1069"/>
      <c r="AW1" s="1069"/>
      <c r="AX1" s="1069"/>
      <c r="AY1" s="1069"/>
      <c r="AZ1" s="1069"/>
      <c r="BA1" s="1069"/>
      <c r="BB1" s="1069"/>
      <c r="BC1" s="1069"/>
      <c r="BD1" s="1069"/>
      <c r="BE1" s="1069"/>
      <c r="BF1" s="1069"/>
      <c r="BG1" s="1069"/>
      <c r="BH1" s="1069"/>
      <c r="BI1" s="1069"/>
      <c r="BJ1" s="1069"/>
      <c r="BK1" s="1069"/>
      <c r="BL1" s="1069"/>
      <c r="BM1" s="1069"/>
      <c r="BN1" s="1069"/>
      <c r="BO1" s="1069"/>
      <c r="BP1" s="1069"/>
      <c r="BQ1" s="1069"/>
      <c r="BR1" s="1069"/>
      <c r="BS1" s="1069"/>
      <c r="BT1" s="1069"/>
      <c r="BU1" s="1069"/>
      <c r="BV1" s="1069"/>
      <c r="BW1" s="1069"/>
      <c r="BX1" s="1069"/>
      <c r="BY1" s="1069"/>
      <c r="BZ1" s="1069"/>
      <c r="CA1" s="1069"/>
      <c r="CB1" s="1069"/>
      <c r="CC1" s="1069"/>
      <c r="CD1" s="1069"/>
      <c r="CE1" s="1069"/>
      <c r="CF1" s="1069"/>
      <c r="CG1" s="1069"/>
      <c r="CH1" s="1069"/>
      <c r="CI1" s="1069"/>
      <c r="CJ1" s="1069"/>
      <c r="CK1" s="1069"/>
      <c r="CL1" s="1069"/>
      <c r="CM1" s="1069"/>
      <c r="CN1" s="1069"/>
      <c r="CO1" s="1069"/>
      <c r="CP1" s="1069"/>
      <c r="CQ1" s="1069"/>
      <c r="CR1" s="1069"/>
      <c r="CS1" s="1069"/>
      <c r="CT1" s="1069"/>
      <c r="CU1" s="1069"/>
      <c r="CV1" s="1069"/>
      <c r="CW1" s="1069"/>
      <c r="CX1" s="1069"/>
      <c r="CY1" s="1069"/>
      <c r="CZ1" s="1069"/>
      <c r="DA1" s="1069"/>
      <c r="DB1" s="1069"/>
      <c r="DC1" s="1069"/>
      <c r="DD1" s="1069"/>
      <c r="DE1" s="1069"/>
      <c r="DF1" s="1069"/>
      <c r="DG1" s="1069"/>
      <c r="DH1" s="1069"/>
      <c r="DI1" s="1069"/>
      <c r="DJ1" s="1069"/>
      <c r="DK1" s="1069"/>
      <c r="DL1" s="1069"/>
      <c r="DM1" s="1069"/>
      <c r="DN1" s="1069"/>
      <c r="DO1" s="1069"/>
      <c r="DP1" s="1069"/>
      <c r="DQ1" s="1069"/>
      <c r="DR1" s="1069"/>
      <c r="DS1" s="1069"/>
      <c r="DT1" s="1069"/>
      <c r="DU1" s="1069"/>
      <c r="DV1" s="1069"/>
      <c r="DW1" s="1069"/>
      <c r="DX1" s="1069"/>
      <c r="DY1" s="1069"/>
      <c r="DZ1" s="1069"/>
      <c r="EA1" s="1069"/>
      <c r="EB1" s="1069"/>
      <c r="EC1" s="1069"/>
      <c r="ED1" s="1069"/>
      <c r="EE1" s="1069"/>
      <c r="EF1" s="1069"/>
      <c r="EG1" s="1069"/>
      <c r="EH1" s="1069"/>
      <c r="EI1" s="1069"/>
      <c r="EJ1" s="1069"/>
      <c r="EK1" s="1069"/>
      <c r="EL1" s="1069"/>
      <c r="EM1" s="1069"/>
      <c r="EN1" s="1069"/>
      <c r="EO1" s="1069"/>
      <c r="EP1" s="1069"/>
      <c r="EQ1" s="1069"/>
      <c r="ER1" s="1069"/>
      <c r="ES1" s="1069"/>
      <c r="ET1" s="1069"/>
      <c r="EU1" s="1069"/>
      <c r="EV1" s="1069"/>
      <c r="EW1" s="1069"/>
      <c r="EX1" s="1069"/>
      <c r="EY1" s="1069"/>
      <c r="EZ1" s="1069"/>
      <c r="FA1" s="1069"/>
      <c r="FB1" s="1069"/>
      <c r="FC1" s="1069"/>
      <c r="FD1" s="1069"/>
      <c r="FE1" s="1069"/>
      <c r="FF1" s="1069"/>
      <c r="FG1" s="1069"/>
      <c r="FH1" s="1069"/>
      <c r="FI1" s="1069"/>
      <c r="FJ1" s="1069"/>
      <c r="FK1" s="1069"/>
      <c r="FL1" s="1069"/>
      <c r="FM1" s="1069"/>
      <c r="FN1" s="1069"/>
      <c r="FO1" s="1069"/>
      <c r="FP1" s="1069"/>
      <c r="FQ1" s="1069"/>
      <c r="FR1" s="1069"/>
      <c r="FS1" s="1069"/>
      <c r="FT1" s="1069"/>
      <c r="FU1" s="1069"/>
      <c r="FV1" s="1069"/>
      <c r="FW1" s="1069"/>
      <c r="FX1" s="1069"/>
      <c r="FY1" s="1069"/>
      <c r="FZ1" s="1069"/>
      <c r="GA1" s="1069"/>
      <c r="GB1" s="1069"/>
      <c r="GC1" s="1069"/>
      <c r="GD1" s="1069"/>
      <c r="GE1" s="1069"/>
      <c r="GF1" s="1069"/>
      <c r="GG1" s="1069"/>
      <c r="GH1" s="1069"/>
      <c r="GI1" s="1069"/>
      <c r="GJ1" s="1069"/>
      <c r="GK1" s="1069"/>
      <c r="GL1" s="1069"/>
      <c r="GM1" s="1069"/>
      <c r="GN1" s="1069"/>
      <c r="GO1" s="1069"/>
      <c r="GP1" s="1069"/>
      <c r="GQ1" s="1069"/>
      <c r="GR1" s="1069"/>
      <c r="GS1" s="1069"/>
      <c r="GT1" s="1069"/>
      <c r="GU1" s="1069"/>
      <c r="GV1" s="1069"/>
      <c r="GW1" s="1069"/>
      <c r="GX1" s="1069"/>
      <c r="GY1" s="1069"/>
      <c r="GZ1" s="1069"/>
      <c r="HA1" s="1069"/>
      <c r="HB1" s="1069"/>
      <c r="HC1" s="1069"/>
      <c r="HD1" s="1069"/>
      <c r="HE1" s="1069"/>
      <c r="HF1" s="1069"/>
      <c r="HG1" s="1069"/>
      <c r="HH1" s="1069"/>
      <c r="HI1" s="1069"/>
      <c r="HJ1" s="1069"/>
      <c r="HK1" s="1069"/>
      <c r="HL1" s="1069"/>
      <c r="HM1" s="1069"/>
      <c r="HN1" s="1069"/>
      <c r="HO1" s="1069"/>
      <c r="HT1" s="103"/>
      <c r="HU1" s="103"/>
      <c r="HV1" s="103"/>
      <c r="HW1" s="103"/>
      <c r="HX1" s="103"/>
      <c r="HY1" s="103"/>
      <c r="HZ1" s="103"/>
      <c r="IA1" s="103"/>
      <c r="IB1" s="103"/>
      <c r="IC1" s="103"/>
      <c r="ID1" s="103"/>
      <c r="IE1" s="103"/>
      <c r="IF1" s="103"/>
      <c r="IG1" s="103"/>
      <c r="IH1" s="103"/>
      <c r="II1" s="103"/>
      <c r="IJ1" s="103"/>
      <c r="IK1" s="103"/>
      <c r="IL1" s="103"/>
      <c r="IM1" s="103"/>
      <c r="IN1" s="103"/>
      <c r="IO1" s="103"/>
      <c r="IP1" s="103"/>
      <c r="IQ1" s="103"/>
      <c r="IR1" s="103"/>
      <c r="IS1" s="103"/>
      <c r="IT1" s="103"/>
      <c r="IU1" s="103"/>
      <c r="IV1" s="103"/>
      <c r="IW1" s="103"/>
      <c r="IX1" s="103"/>
      <c r="IY1" s="103"/>
      <c r="IZ1" s="103"/>
      <c r="JA1" s="103"/>
      <c r="JB1" s="103"/>
      <c r="JC1" s="103"/>
      <c r="JD1" s="103"/>
      <c r="JE1" s="103"/>
      <c r="JF1" s="103"/>
      <c r="JG1" s="103"/>
      <c r="JH1" s="103"/>
      <c r="JI1" s="103"/>
      <c r="JJ1" s="103"/>
      <c r="JK1" s="103"/>
      <c r="JL1" s="103"/>
      <c r="JM1" s="103"/>
      <c r="JN1" s="103"/>
      <c r="JO1" s="103"/>
      <c r="JP1" s="103"/>
      <c r="JQ1" s="103"/>
      <c r="JR1" s="103"/>
      <c r="JS1" s="103"/>
      <c r="JT1" s="103"/>
      <c r="JU1" s="103"/>
      <c r="JV1" s="103"/>
      <c r="JW1" s="103"/>
      <c r="JX1" s="103"/>
      <c r="JY1" s="103"/>
      <c r="JZ1" s="103"/>
      <c r="KA1" s="103"/>
      <c r="KB1" s="103"/>
      <c r="KC1" s="103"/>
      <c r="KD1" s="103"/>
      <c r="KE1" s="103"/>
      <c r="KF1" s="103"/>
      <c r="KG1" s="103"/>
      <c r="KH1" s="103"/>
      <c r="KI1" s="103"/>
      <c r="KJ1" s="103"/>
      <c r="KK1" s="103"/>
      <c r="KL1" s="103"/>
      <c r="KM1" s="103"/>
      <c r="KN1" s="103"/>
      <c r="KO1" s="103"/>
      <c r="KP1" s="103"/>
      <c r="KQ1" s="103"/>
      <c r="KR1" s="103"/>
      <c r="KS1" s="103"/>
      <c r="KT1" s="103"/>
      <c r="KU1" s="103"/>
      <c r="KV1" s="103"/>
      <c r="KW1" s="103"/>
      <c r="KX1" s="103"/>
      <c r="KY1" s="103"/>
      <c r="KZ1" s="103"/>
      <c r="LA1" s="103"/>
      <c r="LB1" s="103"/>
      <c r="LC1" s="103"/>
      <c r="LD1" s="103"/>
      <c r="LE1" s="103"/>
      <c r="LF1" s="103"/>
      <c r="LG1" s="103"/>
      <c r="LH1" s="103"/>
      <c r="LI1" s="103"/>
      <c r="LJ1" s="103"/>
      <c r="LK1" s="103"/>
      <c r="LL1" s="103"/>
      <c r="LM1" s="103"/>
    </row>
    <row r="2" spans="2:325" ht="12.75" customHeight="1">
      <c r="B2" s="215"/>
      <c r="C2" s="215"/>
      <c r="D2" s="215"/>
      <c r="E2" s="215"/>
      <c r="F2" s="215"/>
      <c r="G2" s="215"/>
      <c r="H2" s="215"/>
      <c r="I2" s="215"/>
      <c r="J2" s="215"/>
      <c r="K2" s="215"/>
      <c r="L2" s="215"/>
      <c r="M2" s="215"/>
      <c r="N2" s="215"/>
      <c r="O2" s="215"/>
      <c r="P2" s="215"/>
      <c r="Q2" s="215"/>
      <c r="R2" s="215"/>
      <c r="S2" s="215"/>
      <c r="T2" s="215"/>
      <c r="U2" s="215"/>
      <c r="V2" s="215"/>
      <c r="W2" s="215"/>
      <c r="X2" s="215"/>
      <c r="Y2" s="215"/>
      <c r="Z2" s="215"/>
      <c r="AA2" s="215"/>
      <c r="AB2" s="215"/>
      <c r="AC2" s="215"/>
      <c r="AD2" s="215"/>
      <c r="AE2" s="215"/>
      <c r="AF2" s="217"/>
      <c r="AG2" s="217"/>
      <c r="AH2" s="217"/>
      <c r="AI2" s="217"/>
      <c r="AJ2" s="215"/>
      <c r="AK2" s="217"/>
      <c r="AL2" s="216"/>
      <c r="AM2" s="215"/>
      <c r="AN2" s="214"/>
      <c r="AO2" s="214"/>
      <c r="AP2" s="214"/>
      <c r="AQ2" s="214"/>
      <c r="AR2" s="214"/>
      <c r="AS2" s="214"/>
      <c r="AT2" s="214"/>
      <c r="AU2" s="214"/>
      <c r="AV2" s="214"/>
      <c r="AW2" s="214"/>
      <c r="AX2" s="214"/>
      <c r="AY2" s="214"/>
      <c r="AZ2" s="214"/>
      <c r="BA2" s="214"/>
      <c r="BB2" s="214"/>
      <c r="BC2" s="214"/>
      <c r="BD2" s="214"/>
      <c r="BE2" s="214"/>
      <c r="BF2" s="214"/>
      <c r="BG2" s="214"/>
      <c r="BH2" s="214"/>
      <c r="BI2" s="214"/>
      <c r="BJ2" s="214"/>
      <c r="BK2" s="214"/>
      <c r="BL2" s="214"/>
      <c r="BM2" s="214"/>
      <c r="BN2" s="214"/>
      <c r="BO2" s="214"/>
      <c r="BP2" s="214"/>
      <c r="BQ2" s="214"/>
      <c r="BR2" s="214"/>
      <c r="BS2" s="214"/>
      <c r="BT2" s="214"/>
      <c r="BU2" s="214"/>
      <c r="BV2" s="214"/>
      <c r="BW2" s="214"/>
      <c r="BX2" s="214"/>
      <c r="BY2" s="214"/>
      <c r="BZ2" s="214"/>
      <c r="CA2" s="214"/>
      <c r="CB2" s="214"/>
      <c r="CC2" s="214"/>
      <c r="CD2" s="214"/>
      <c r="CE2" s="214"/>
      <c r="CF2" s="214"/>
      <c r="CG2" s="214"/>
      <c r="CH2" s="214"/>
      <c r="CI2" s="214"/>
      <c r="CJ2" s="214"/>
      <c r="CK2" s="214"/>
      <c r="CL2" s="214"/>
      <c r="CM2" s="214"/>
      <c r="CN2" s="214"/>
      <c r="CO2" s="214"/>
      <c r="CP2" s="214"/>
      <c r="CQ2" s="214"/>
      <c r="CR2" s="214"/>
      <c r="CS2" s="214"/>
      <c r="CT2" s="214"/>
      <c r="CU2" s="214"/>
      <c r="CV2" s="214"/>
      <c r="CW2" s="214"/>
      <c r="CX2" s="214"/>
      <c r="CY2" s="214"/>
      <c r="CZ2" s="214"/>
      <c r="DA2" s="214"/>
      <c r="DB2" s="214"/>
      <c r="DC2" s="214"/>
      <c r="DD2" s="214"/>
      <c r="DE2" s="214"/>
      <c r="DF2" s="214"/>
      <c r="DG2" s="214"/>
      <c r="DH2" s="214"/>
      <c r="DI2" s="214"/>
      <c r="DJ2" s="214"/>
      <c r="DK2" s="214"/>
      <c r="DL2" s="214"/>
      <c r="DM2" s="214"/>
      <c r="DN2" s="214"/>
      <c r="DO2" s="214"/>
      <c r="DP2" s="214"/>
      <c r="DQ2" s="214"/>
      <c r="DR2" s="214"/>
      <c r="DS2" s="214"/>
      <c r="DT2" s="214"/>
      <c r="DU2" s="214"/>
      <c r="DV2" s="214"/>
      <c r="DW2" s="214"/>
      <c r="DX2" s="214"/>
      <c r="DY2" s="214"/>
      <c r="DZ2" s="214"/>
      <c r="EA2" s="214"/>
      <c r="EB2" s="214"/>
      <c r="EC2" s="214"/>
      <c r="ED2" s="214"/>
      <c r="EE2" s="214"/>
      <c r="EF2" s="214"/>
      <c r="EG2" s="214"/>
      <c r="EH2" s="214"/>
      <c r="EI2" s="214"/>
      <c r="EJ2" s="214"/>
      <c r="EK2" s="214"/>
      <c r="EL2" s="214"/>
      <c r="EM2" s="214"/>
      <c r="EN2" s="214"/>
      <c r="EO2" s="214"/>
      <c r="EP2" s="214"/>
      <c r="EQ2" s="214"/>
      <c r="ER2" s="214"/>
      <c r="ES2" s="214"/>
      <c r="ET2" s="214"/>
      <c r="EU2" s="214"/>
      <c r="EV2" s="214"/>
      <c r="EW2" s="214"/>
      <c r="EX2" s="214"/>
      <c r="EY2" s="214"/>
      <c r="EZ2" s="214"/>
      <c r="FA2" s="214"/>
      <c r="FB2" s="214"/>
      <c r="FC2" s="214"/>
      <c r="FD2" s="214"/>
      <c r="FE2" s="214"/>
      <c r="FF2" s="214"/>
      <c r="FG2" s="214"/>
      <c r="FH2" s="214"/>
      <c r="FI2" s="214"/>
      <c r="FJ2" s="214"/>
      <c r="FK2" s="214"/>
      <c r="FL2" s="214"/>
      <c r="FM2" s="214"/>
      <c r="FN2" s="214"/>
      <c r="FO2" s="214"/>
      <c r="FP2" s="214"/>
      <c r="FQ2" s="214"/>
      <c r="FR2" s="214"/>
      <c r="FS2" s="214"/>
      <c r="FT2" s="214"/>
      <c r="FU2" s="214"/>
      <c r="FV2" s="214"/>
      <c r="FW2" s="214"/>
      <c r="FX2" s="214"/>
      <c r="FY2" s="214"/>
      <c r="FZ2" s="214"/>
      <c r="GA2" s="214"/>
      <c r="GB2" s="214"/>
      <c r="GC2" s="214"/>
      <c r="GD2" s="214"/>
      <c r="GE2" s="214"/>
      <c r="GF2" s="214"/>
      <c r="GG2" s="214"/>
      <c r="GH2" s="214"/>
      <c r="GI2" s="214"/>
      <c r="GJ2" s="214"/>
      <c r="GK2" s="214"/>
      <c r="GL2" s="214"/>
      <c r="GM2" s="214"/>
      <c r="GN2" s="214"/>
      <c r="GO2" s="214"/>
      <c r="GP2" s="214"/>
      <c r="GQ2" s="214"/>
      <c r="GR2" s="214"/>
      <c r="GS2" s="214"/>
      <c r="GT2" s="214"/>
      <c r="GU2" s="214"/>
      <c r="GV2" s="214"/>
      <c r="GW2" s="214"/>
      <c r="GX2" s="214"/>
      <c r="GY2" s="214"/>
      <c r="GZ2" s="214"/>
      <c r="HA2" s="214"/>
      <c r="HB2" s="214"/>
      <c r="HC2" s="214"/>
      <c r="HD2" s="214"/>
      <c r="HE2" s="214"/>
      <c r="HF2" s="214"/>
      <c r="HG2" s="214"/>
      <c r="HH2" s="214"/>
      <c r="HI2" s="214"/>
      <c r="HJ2" s="214"/>
      <c r="HK2" s="214"/>
      <c r="HL2" s="214"/>
      <c r="HM2" s="214"/>
      <c r="HN2" s="214"/>
      <c r="HO2" s="214"/>
      <c r="HT2" s="103"/>
      <c r="HU2" s="103"/>
      <c r="HV2" s="103"/>
      <c r="HW2" s="103"/>
      <c r="HX2" s="103"/>
      <c r="HY2" s="103"/>
      <c r="HZ2" s="103"/>
      <c r="IA2" s="103"/>
      <c r="IB2" s="103"/>
      <c r="IC2" s="103"/>
      <c r="ID2" s="103"/>
      <c r="IE2" s="103"/>
      <c r="IF2" s="103"/>
      <c r="IG2" s="103"/>
      <c r="IH2" s="103"/>
      <c r="II2" s="103"/>
      <c r="IJ2" s="103"/>
      <c r="IK2" s="103"/>
      <c r="IL2" s="103"/>
      <c r="IM2" s="103"/>
      <c r="IN2" s="103"/>
      <c r="IO2" s="103"/>
      <c r="IP2" s="103"/>
      <c r="IQ2" s="103"/>
      <c r="IR2" s="103"/>
      <c r="IS2" s="103"/>
      <c r="IT2" s="103"/>
      <c r="IU2" s="103"/>
      <c r="IV2" s="103"/>
      <c r="IW2" s="103"/>
      <c r="IX2" s="103"/>
      <c r="IY2" s="103"/>
      <c r="IZ2" s="103"/>
      <c r="JA2" s="103"/>
      <c r="JB2" s="103"/>
      <c r="JC2" s="103"/>
      <c r="JD2" s="103"/>
      <c r="JE2" s="103"/>
      <c r="JF2" s="103"/>
      <c r="JG2" s="103"/>
      <c r="JH2" s="103"/>
      <c r="JI2" s="103"/>
      <c r="JJ2" s="103"/>
      <c r="JK2" s="103"/>
      <c r="JL2" s="103"/>
      <c r="JM2" s="103"/>
      <c r="JN2" s="103"/>
      <c r="JO2" s="103"/>
      <c r="JP2" s="103"/>
      <c r="JQ2" s="103"/>
      <c r="JR2" s="103"/>
      <c r="JS2" s="103"/>
      <c r="JT2" s="103"/>
      <c r="JU2" s="103"/>
      <c r="JV2" s="103"/>
      <c r="JW2" s="103"/>
      <c r="JX2" s="103"/>
      <c r="JY2" s="103"/>
      <c r="JZ2" s="103"/>
      <c r="KA2" s="103"/>
      <c r="KB2" s="103"/>
      <c r="KC2" s="103"/>
      <c r="KD2" s="103"/>
      <c r="KE2" s="103"/>
      <c r="KF2" s="103"/>
      <c r="KG2" s="103"/>
      <c r="KH2" s="103"/>
      <c r="KI2" s="103"/>
      <c r="KJ2" s="103"/>
      <c r="KK2" s="103"/>
      <c r="KL2" s="103"/>
      <c r="KM2" s="103"/>
      <c r="KN2" s="103"/>
      <c r="KO2" s="103"/>
      <c r="KP2" s="103"/>
      <c r="KQ2" s="103"/>
      <c r="KR2" s="103"/>
      <c r="KS2" s="103"/>
      <c r="KT2" s="103"/>
      <c r="KU2" s="103"/>
      <c r="KV2" s="103"/>
      <c r="KW2" s="103"/>
      <c r="KX2" s="103"/>
      <c r="KY2" s="103"/>
      <c r="KZ2" s="103"/>
      <c r="LA2" s="103"/>
      <c r="LB2" s="103"/>
      <c r="LC2" s="103"/>
      <c r="LD2" s="103"/>
      <c r="LE2" s="103"/>
      <c r="LF2" s="103"/>
      <c r="LG2" s="103"/>
      <c r="LH2" s="103"/>
      <c r="LI2" s="103"/>
      <c r="LJ2" s="103"/>
      <c r="LK2" s="103"/>
      <c r="LL2" s="103"/>
      <c r="LM2" s="103"/>
    </row>
    <row r="3" spans="2:325" ht="14.4">
      <c r="B3" s="1070" t="s">
        <v>213</v>
      </c>
      <c r="C3" s="1070"/>
      <c r="D3" s="1070"/>
      <c r="E3" s="1070"/>
      <c r="F3" s="1070"/>
      <c r="G3" s="1070"/>
      <c r="H3" s="1070"/>
      <c r="I3" s="1070"/>
      <c r="J3" s="1070"/>
      <c r="K3" s="1070"/>
      <c r="L3" s="1070"/>
      <c r="M3" s="1070"/>
      <c r="N3" s="1070"/>
      <c r="O3" s="1070"/>
      <c r="P3" s="1070"/>
      <c r="Q3" s="1070"/>
      <c r="R3" s="1070"/>
      <c r="S3" s="1070"/>
      <c r="T3" s="1070"/>
      <c r="U3" s="1070"/>
      <c r="V3" s="1070"/>
      <c r="W3" s="1070"/>
      <c r="X3" s="1070"/>
      <c r="Y3" s="1070"/>
      <c r="Z3" s="1070"/>
      <c r="AA3" s="1070"/>
      <c r="AB3" s="1070"/>
      <c r="AC3" s="1070"/>
      <c r="AD3" s="1070"/>
      <c r="AE3" s="1070"/>
      <c r="AF3" s="1070"/>
      <c r="AG3" s="1070"/>
      <c r="AH3" s="1070"/>
      <c r="AI3" s="1070"/>
      <c r="AJ3" s="1070"/>
      <c r="AK3" s="1070"/>
      <c r="AL3" s="1070"/>
      <c r="AM3" s="1070"/>
      <c r="AN3" s="1070"/>
      <c r="AO3" s="1070"/>
      <c r="AP3" s="1070"/>
      <c r="AQ3" s="1070"/>
      <c r="AR3" s="1070"/>
      <c r="AS3" s="1070"/>
      <c r="AT3" s="1070"/>
      <c r="AU3" s="1070"/>
      <c r="AV3" s="1070"/>
      <c r="AW3" s="1070"/>
      <c r="AX3" s="1070"/>
      <c r="AY3" s="1070"/>
      <c r="AZ3" s="1070"/>
      <c r="BA3" s="1070"/>
      <c r="BB3" s="1070"/>
      <c r="BC3" s="1070"/>
      <c r="BD3" s="1070"/>
      <c r="BE3" s="1070"/>
      <c r="BF3" s="1070"/>
      <c r="BG3" s="1070"/>
      <c r="BH3" s="1070"/>
      <c r="BI3" s="1070"/>
      <c r="BJ3" s="1070"/>
      <c r="BK3" s="1070"/>
      <c r="BL3" s="1070"/>
      <c r="BM3" s="1070"/>
      <c r="BN3" s="1070"/>
      <c r="BO3" s="1070"/>
      <c r="BP3" s="1070"/>
      <c r="BQ3" s="1070"/>
      <c r="BR3" s="1070"/>
      <c r="BS3" s="1070"/>
      <c r="BT3" s="1070"/>
      <c r="BU3" s="1070"/>
      <c r="BV3" s="1070"/>
      <c r="BW3" s="1070"/>
      <c r="BX3" s="1070"/>
      <c r="BY3" s="1070"/>
      <c r="BZ3" s="1070"/>
      <c r="CA3" s="1070"/>
      <c r="CB3" s="1070"/>
      <c r="CC3" s="1070"/>
      <c r="CD3" s="1070"/>
      <c r="CE3" s="1070"/>
      <c r="CF3" s="1070"/>
      <c r="CG3" s="1070"/>
      <c r="CH3" s="1070"/>
      <c r="CI3" s="1070"/>
      <c r="CJ3" s="1070"/>
      <c r="CK3" s="1070"/>
      <c r="CL3" s="1070"/>
      <c r="CM3" s="1070"/>
      <c r="CN3" s="1070"/>
      <c r="CO3" s="1070"/>
      <c r="CP3" s="1070"/>
      <c r="CQ3" s="1070"/>
      <c r="CR3" s="1070"/>
      <c r="CS3" s="1070"/>
      <c r="CT3" s="1070"/>
      <c r="CU3" s="1070"/>
      <c r="CV3" s="1070"/>
      <c r="CW3" s="1070"/>
      <c r="CX3" s="1070"/>
      <c r="CY3" s="1070"/>
      <c r="CZ3" s="1070"/>
      <c r="DA3" s="1070"/>
      <c r="DB3" s="1070"/>
      <c r="DC3" s="1070"/>
      <c r="DD3" s="1070"/>
      <c r="DE3" s="1070"/>
      <c r="DF3" s="1070"/>
      <c r="DG3" s="1070"/>
      <c r="DH3" s="1070"/>
      <c r="DI3" s="1070"/>
      <c r="DJ3" s="1070"/>
      <c r="DK3" s="1070"/>
      <c r="DL3" s="1070"/>
      <c r="DM3" s="1070"/>
      <c r="DN3" s="1070"/>
      <c r="DO3" s="1070"/>
      <c r="DP3" s="1070"/>
      <c r="DQ3" s="1070"/>
      <c r="DR3" s="1070"/>
      <c r="DS3" s="1070"/>
      <c r="DT3" s="1070"/>
      <c r="DU3" s="1070"/>
      <c r="DV3" s="1070"/>
      <c r="DW3" s="1070"/>
      <c r="DX3" s="1070"/>
      <c r="DY3" s="1070"/>
      <c r="DZ3" s="1070"/>
      <c r="EA3" s="1070"/>
      <c r="EB3" s="1070"/>
      <c r="EC3" s="1070"/>
      <c r="ED3" s="1070"/>
      <c r="EE3" s="1070"/>
      <c r="EF3" s="1070"/>
      <c r="EG3" s="1070"/>
      <c r="EH3" s="1070"/>
      <c r="EI3" s="1070"/>
      <c r="EJ3" s="1070"/>
      <c r="EK3" s="1070"/>
      <c r="EL3" s="1070"/>
      <c r="EM3" s="1070"/>
      <c r="EN3" s="1070"/>
      <c r="EO3" s="1070"/>
      <c r="EP3" s="1070"/>
      <c r="EQ3" s="1070"/>
      <c r="ER3" s="1070"/>
      <c r="ES3" s="1070"/>
      <c r="ET3" s="1070"/>
      <c r="EU3" s="1070"/>
      <c r="EV3" s="1070"/>
      <c r="EW3" s="1070"/>
      <c r="EX3" s="1070"/>
      <c r="EY3" s="1070"/>
      <c r="EZ3" s="1070"/>
      <c r="FA3" s="1070"/>
      <c r="FB3" s="1070"/>
      <c r="FC3" s="1070"/>
      <c r="FD3" s="1070"/>
      <c r="FE3" s="1070"/>
      <c r="FF3" s="1070"/>
      <c r="FG3" s="1070"/>
      <c r="FH3" s="1070"/>
      <c r="FI3" s="1070"/>
      <c r="FJ3" s="1070"/>
      <c r="FK3" s="1070"/>
      <c r="FL3" s="1070"/>
      <c r="FM3" s="1070"/>
      <c r="FN3" s="1070"/>
      <c r="FO3" s="1070"/>
      <c r="FP3" s="1070"/>
      <c r="FQ3" s="1070"/>
      <c r="FR3" s="1070"/>
      <c r="FS3" s="1070"/>
      <c r="FT3" s="1070"/>
      <c r="FU3" s="1070"/>
      <c r="FV3" s="1070"/>
      <c r="FW3" s="1070"/>
      <c r="FX3" s="1070"/>
      <c r="FY3" s="1070"/>
      <c r="FZ3" s="1070"/>
      <c r="GA3" s="1070"/>
      <c r="GB3" s="1070"/>
      <c r="GC3" s="1070"/>
      <c r="GD3" s="1070"/>
      <c r="GE3" s="1070"/>
      <c r="GF3" s="1070"/>
      <c r="GG3" s="1070"/>
      <c r="GH3" s="1070"/>
      <c r="GI3" s="1070"/>
      <c r="GJ3" s="1070"/>
      <c r="GK3" s="1070"/>
      <c r="GL3" s="1070"/>
      <c r="GM3" s="1070"/>
      <c r="GN3" s="1070"/>
      <c r="GO3" s="1070"/>
      <c r="GP3" s="1070"/>
      <c r="GQ3" s="1070"/>
      <c r="GR3" s="1070"/>
      <c r="GS3" s="1070"/>
      <c r="GT3" s="1070" t="s">
        <v>225</v>
      </c>
      <c r="GU3" s="1070"/>
      <c r="GV3" s="1070"/>
      <c r="GW3" s="1070"/>
      <c r="GX3" s="1070"/>
      <c r="GY3" s="1070"/>
      <c r="GZ3" s="1070"/>
      <c r="HA3" s="1070"/>
      <c r="HB3" s="1070"/>
      <c r="HC3" s="1070"/>
      <c r="HD3" s="1070"/>
      <c r="HE3" s="1070"/>
      <c r="HF3" s="1070"/>
      <c r="HG3" s="1070"/>
      <c r="HH3" s="1070"/>
      <c r="HI3" s="1070"/>
      <c r="HJ3" s="1070"/>
      <c r="HK3" s="1070"/>
      <c r="HL3" s="1070"/>
      <c r="HM3" s="1070"/>
      <c r="HN3" s="1070"/>
      <c r="HO3" s="1070"/>
      <c r="HT3" s="103"/>
      <c r="HU3" s="103"/>
      <c r="HV3" s="103"/>
      <c r="HW3" s="103"/>
      <c r="HX3" s="103"/>
      <c r="HY3" s="103"/>
      <c r="HZ3" s="103"/>
      <c r="IA3" s="103"/>
      <c r="IB3" s="103"/>
      <c r="IC3" s="103"/>
      <c r="ID3" s="103"/>
      <c r="IE3" s="103"/>
      <c r="IF3" s="103"/>
      <c r="IG3" s="103"/>
      <c r="IH3" s="103"/>
      <c r="II3" s="103"/>
      <c r="IJ3" s="103"/>
      <c r="IK3" s="103"/>
      <c r="IL3" s="103"/>
      <c r="IM3" s="103"/>
      <c r="IN3" s="103"/>
      <c r="IO3" s="103"/>
      <c r="IP3" s="103"/>
      <c r="IQ3" s="103"/>
      <c r="IR3" s="103"/>
      <c r="IS3" s="103"/>
      <c r="IT3" s="103"/>
      <c r="IU3" s="103"/>
      <c r="IV3" s="103"/>
      <c r="IW3" s="103"/>
      <c r="IX3" s="103"/>
      <c r="IY3" s="103"/>
      <c r="IZ3" s="103"/>
      <c r="JA3" s="103"/>
      <c r="JB3" s="103"/>
      <c r="JC3" s="103"/>
      <c r="JD3" s="103"/>
      <c r="JE3" s="103"/>
      <c r="JF3" s="103"/>
      <c r="JG3" s="103"/>
      <c r="JH3" s="103"/>
      <c r="JI3" s="103"/>
      <c r="JJ3" s="103"/>
      <c r="JK3" s="103"/>
      <c r="JL3" s="103"/>
      <c r="JM3" s="103"/>
      <c r="JN3" s="103"/>
      <c r="JO3" s="103"/>
      <c r="JP3" s="103"/>
      <c r="JQ3" s="103"/>
      <c r="JR3" s="103"/>
      <c r="JS3" s="103"/>
      <c r="JT3" s="103"/>
      <c r="JU3" s="103"/>
      <c r="JV3" s="103"/>
      <c r="JW3" s="103"/>
      <c r="JX3" s="103"/>
      <c r="JY3" s="103"/>
      <c r="JZ3" s="103"/>
      <c r="KA3" s="103"/>
      <c r="KB3" s="103"/>
      <c r="KC3" s="103"/>
      <c r="KD3" s="103"/>
      <c r="KE3" s="103"/>
      <c r="KF3" s="103"/>
      <c r="KG3" s="103"/>
      <c r="KH3" s="103"/>
      <c r="KI3" s="103"/>
      <c r="KJ3" s="103"/>
      <c r="KK3" s="103"/>
      <c r="KL3" s="103"/>
      <c r="KM3" s="103"/>
      <c r="KN3" s="103"/>
      <c r="KO3" s="103"/>
      <c r="KP3" s="103"/>
      <c r="KQ3" s="103"/>
      <c r="KR3" s="103"/>
      <c r="KS3" s="103"/>
      <c r="KT3" s="103"/>
      <c r="KU3" s="103"/>
      <c r="KV3" s="103"/>
      <c r="KW3" s="103"/>
      <c r="KX3" s="103"/>
      <c r="KY3" s="103"/>
      <c r="KZ3" s="103"/>
      <c r="LA3" s="103"/>
      <c r="LB3" s="103"/>
      <c r="LC3" s="103"/>
      <c r="LD3" s="103"/>
      <c r="LE3" s="103"/>
      <c r="LF3" s="103"/>
      <c r="LG3" s="103"/>
      <c r="LH3" s="103"/>
      <c r="LI3" s="103"/>
      <c r="LJ3" s="103"/>
      <c r="LK3" s="103"/>
      <c r="LL3" s="103"/>
      <c r="LM3" s="103"/>
    </row>
    <row r="4" spans="2:325" ht="15">
      <c r="B4" s="207" t="s">
        <v>121</v>
      </c>
      <c r="C4" s="207" t="s">
        <v>120</v>
      </c>
      <c r="D4" s="210">
        <f>'最高报价汇总 '!F2</f>
        <v>46099</v>
      </c>
      <c r="E4" s="210">
        <f>'最高报价汇总 '!G2</f>
        <v>46092</v>
      </c>
      <c r="F4" s="210">
        <v>46085</v>
      </c>
      <c r="G4" s="210">
        <v>46078</v>
      </c>
      <c r="H4" s="210">
        <v>46071</v>
      </c>
      <c r="I4" s="210">
        <v>46057</v>
      </c>
      <c r="J4" s="210">
        <v>46050</v>
      </c>
      <c r="K4" s="210">
        <v>46043</v>
      </c>
      <c r="L4" s="210">
        <v>46036</v>
      </c>
      <c r="M4" s="210">
        <v>46029</v>
      </c>
      <c r="N4" s="210">
        <v>46022</v>
      </c>
      <c r="O4" s="210">
        <v>46015</v>
      </c>
      <c r="P4" s="210">
        <v>46008</v>
      </c>
      <c r="Q4" s="210">
        <f>'最高报价汇总 '!G2</f>
        <v>46092</v>
      </c>
      <c r="R4" s="210">
        <v>45994</v>
      </c>
      <c r="S4" s="210">
        <v>45987</v>
      </c>
      <c r="T4" s="210">
        <v>45980</v>
      </c>
      <c r="U4" s="210">
        <v>45973</v>
      </c>
      <c r="V4" s="210">
        <v>45966</v>
      </c>
      <c r="W4" s="210">
        <v>45959</v>
      </c>
      <c r="X4" s="210">
        <v>45952</v>
      </c>
      <c r="Y4" s="210">
        <v>45945</v>
      </c>
      <c r="Z4" s="210">
        <v>45938</v>
      </c>
      <c r="AA4" s="210">
        <v>45931</v>
      </c>
      <c r="AB4" s="210">
        <v>45924</v>
      </c>
      <c r="AC4" s="210">
        <v>45917</v>
      </c>
      <c r="AD4" s="210">
        <v>45910</v>
      </c>
      <c r="AE4" s="210">
        <v>45959</v>
      </c>
      <c r="AF4" s="213">
        <v>45896</v>
      </c>
      <c r="AG4" s="213">
        <v>45889</v>
      </c>
      <c r="AH4" s="213">
        <v>45882</v>
      </c>
      <c r="AI4" s="213">
        <v>45875</v>
      </c>
      <c r="AJ4" s="210">
        <v>45868</v>
      </c>
      <c r="AK4" s="213">
        <v>45861</v>
      </c>
      <c r="AL4" s="212">
        <v>45854</v>
      </c>
      <c r="AM4" s="210">
        <v>45847</v>
      </c>
      <c r="AN4" s="210">
        <v>45840</v>
      </c>
      <c r="AO4" s="210">
        <v>45833</v>
      </c>
      <c r="AP4" s="210">
        <v>45826</v>
      </c>
      <c r="AQ4" s="210">
        <v>45819</v>
      </c>
      <c r="AR4" s="210">
        <v>45812</v>
      </c>
      <c r="AS4" s="210">
        <v>45805</v>
      </c>
      <c r="AT4" s="210">
        <v>45798</v>
      </c>
      <c r="AU4" s="210">
        <v>45792</v>
      </c>
      <c r="AV4" s="210">
        <v>45785</v>
      </c>
      <c r="AW4" s="210">
        <v>45777</v>
      </c>
      <c r="AX4" s="210">
        <v>45763</v>
      </c>
      <c r="AY4" s="210">
        <v>45757</v>
      </c>
      <c r="AZ4" s="210">
        <v>45750</v>
      </c>
      <c r="BA4" s="210">
        <v>45742</v>
      </c>
      <c r="BB4" s="210">
        <v>45729</v>
      </c>
      <c r="BC4" s="210">
        <v>45722</v>
      </c>
      <c r="BD4" s="210">
        <v>45715</v>
      </c>
      <c r="BE4" s="210">
        <v>45708</v>
      </c>
      <c r="BF4" s="210">
        <v>45701</v>
      </c>
      <c r="BG4" s="210">
        <v>45694</v>
      </c>
      <c r="BH4" s="210">
        <v>45688</v>
      </c>
      <c r="BI4" s="210">
        <v>45681</v>
      </c>
      <c r="BJ4" s="210">
        <v>45673</v>
      </c>
      <c r="BK4" s="210">
        <v>45666</v>
      </c>
      <c r="BL4" s="210">
        <v>45659</v>
      </c>
      <c r="BM4" s="210">
        <v>45652</v>
      </c>
      <c r="BN4" s="210">
        <v>45645</v>
      </c>
      <c r="BO4" s="210">
        <v>45638</v>
      </c>
      <c r="BP4" s="210">
        <v>45631</v>
      </c>
      <c r="BQ4" s="210">
        <v>45625</v>
      </c>
      <c r="BR4" s="210">
        <v>45617</v>
      </c>
      <c r="BS4" s="210">
        <v>45610</v>
      </c>
      <c r="BT4" s="210">
        <v>45603</v>
      </c>
      <c r="BU4" s="210">
        <v>45595</v>
      </c>
      <c r="BV4" s="210">
        <v>45591</v>
      </c>
      <c r="BW4" s="210">
        <v>45582</v>
      </c>
      <c r="BX4" s="210">
        <v>45575</v>
      </c>
      <c r="BY4" s="210">
        <v>45568</v>
      </c>
      <c r="BZ4" s="210">
        <v>45561</v>
      </c>
      <c r="CA4" s="210">
        <v>45547</v>
      </c>
      <c r="CB4" s="210">
        <v>45540</v>
      </c>
      <c r="CC4" s="210">
        <v>45533</v>
      </c>
      <c r="CD4" s="210">
        <v>45526</v>
      </c>
      <c r="CE4" s="210">
        <v>45517</v>
      </c>
      <c r="CF4" s="210">
        <v>45511</v>
      </c>
      <c r="CG4" s="210" t="e">
        <f>#REF!</f>
        <v>#REF!</v>
      </c>
      <c r="CH4" s="210" t="e">
        <f>#REF!</f>
        <v>#REF!</v>
      </c>
      <c r="CI4" s="210" t="e">
        <f>#REF!</f>
        <v>#REF!</v>
      </c>
      <c r="CJ4" s="210" t="e">
        <f>#REF!</f>
        <v>#REF!</v>
      </c>
      <c r="CK4" s="210" t="e">
        <f>#REF!</f>
        <v>#REF!</v>
      </c>
      <c r="CL4" s="210" t="e">
        <f>#REF!</f>
        <v>#REF!</v>
      </c>
      <c r="CM4" s="210" t="e">
        <f>#REF!</f>
        <v>#REF!</v>
      </c>
      <c r="CN4" s="210" t="e">
        <f>#REF!</f>
        <v>#REF!</v>
      </c>
      <c r="CO4" s="210" t="e">
        <f>#REF!</f>
        <v>#REF!</v>
      </c>
      <c r="CP4" s="210" t="e">
        <f>#REF!</f>
        <v>#REF!</v>
      </c>
      <c r="CQ4" s="210" t="e">
        <f>#REF!</f>
        <v>#REF!</v>
      </c>
      <c r="CR4" s="210" t="e">
        <f>#REF!</f>
        <v>#REF!</v>
      </c>
      <c r="CS4" s="210" t="e">
        <f>#REF!</f>
        <v>#REF!</v>
      </c>
      <c r="CT4" s="210" t="e">
        <f>#REF!</f>
        <v>#REF!</v>
      </c>
      <c r="CU4" s="210" t="e">
        <f>#REF!</f>
        <v>#REF!</v>
      </c>
      <c r="CV4" s="210" t="e">
        <f>#REF!</f>
        <v>#REF!</v>
      </c>
      <c r="CW4" s="210" t="e">
        <f>#REF!</f>
        <v>#REF!</v>
      </c>
      <c r="CX4" s="210" t="e">
        <f>#REF!</f>
        <v>#REF!</v>
      </c>
      <c r="CY4" s="210" t="e">
        <f>#REF!</f>
        <v>#REF!</v>
      </c>
      <c r="CZ4" s="210" t="e">
        <f>#REF!</f>
        <v>#REF!</v>
      </c>
      <c r="DA4" s="210" t="e">
        <f>#REF!</f>
        <v>#REF!</v>
      </c>
      <c r="DB4" s="210" t="e">
        <f>#REF!</f>
        <v>#REF!</v>
      </c>
      <c r="DC4" s="210" t="e">
        <f>#REF!</f>
        <v>#REF!</v>
      </c>
      <c r="DD4" s="210" t="e">
        <f>#REF!</f>
        <v>#REF!</v>
      </c>
      <c r="DE4" s="210" t="e">
        <f>#REF!</f>
        <v>#REF!</v>
      </c>
      <c r="DF4" s="210" t="e">
        <f>#REF!</f>
        <v>#REF!</v>
      </c>
      <c r="DG4" s="210" t="e">
        <f>#REF!</f>
        <v>#REF!</v>
      </c>
      <c r="DH4" s="210" t="e">
        <f>#REF!</f>
        <v>#REF!</v>
      </c>
      <c r="DI4" s="210" t="e">
        <f>#REF!</f>
        <v>#REF!</v>
      </c>
      <c r="DJ4" s="210" t="e">
        <f>#REF!</f>
        <v>#REF!</v>
      </c>
      <c r="DK4" s="210" t="e">
        <f>#REF!</f>
        <v>#REF!</v>
      </c>
      <c r="DL4" s="210" t="e">
        <f>#REF!</f>
        <v>#REF!</v>
      </c>
      <c r="DM4" s="210" t="e">
        <f>#REF!</f>
        <v>#REF!</v>
      </c>
      <c r="DN4" s="210" t="e">
        <f>#REF!</f>
        <v>#REF!</v>
      </c>
      <c r="DO4" s="210" t="e">
        <f>#REF!</f>
        <v>#REF!</v>
      </c>
      <c r="DP4" s="210" t="e">
        <f>#REF!</f>
        <v>#REF!</v>
      </c>
      <c r="DQ4" s="210" t="e">
        <f>#REF!</f>
        <v>#REF!</v>
      </c>
      <c r="DR4" s="210" t="e">
        <f>#REF!</f>
        <v>#REF!</v>
      </c>
      <c r="DS4" s="210" t="e">
        <f>#REF!</f>
        <v>#REF!</v>
      </c>
      <c r="DT4" s="210" t="e">
        <f>#REF!</f>
        <v>#REF!</v>
      </c>
      <c r="DU4" s="210" t="e">
        <f>#REF!</f>
        <v>#REF!</v>
      </c>
      <c r="DV4" s="210" t="e">
        <f>#REF!</f>
        <v>#REF!</v>
      </c>
      <c r="DW4" s="210" t="e">
        <f>#REF!</f>
        <v>#REF!</v>
      </c>
      <c r="DX4" s="210" t="e">
        <f>#REF!</f>
        <v>#REF!</v>
      </c>
      <c r="DY4" s="210" t="e">
        <f>#REF!</f>
        <v>#REF!</v>
      </c>
      <c r="DZ4" s="210" t="e">
        <f>#REF!</f>
        <v>#REF!</v>
      </c>
      <c r="EA4" s="210" t="e">
        <f>#REF!</f>
        <v>#REF!</v>
      </c>
      <c r="EB4" s="210" t="e">
        <f>#REF!</f>
        <v>#REF!</v>
      </c>
      <c r="EC4" s="210" t="e">
        <f>#REF!</f>
        <v>#REF!</v>
      </c>
      <c r="ED4" s="210" t="e">
        <f>#REF!</f>
        <v>#REF!</v>
      </c>
      <c r="EE4" s="210">
        <v>45141</v>
      </c>
      <c r="EF4" s="210">
        <v>45134</v>
      </c>
      <c r="EG4" s="210">
        <v>44839</v>
      </c>
      <c r="EH4" s="210">
        <v>44831</v>
      </c>
      <c r="EI4" s="210">
        <v>44826</v>
      </c>
      <c r="EJ4" s="210">
        <v>44818</v>
      </c>
      <c r="EK4" s="210">
        <v>44811</v>
      </c>
      <c r="EL4" s="210">
        <v>45070</v>
      </c>
      <c r="EM4" s="210">
        <v>45063</v>
      </c>
      <c r="EN4" s="210">
        <v>45056</v>
      </c>
      <c r="EO4" s="210">
        <v>45050</v>
      </c>
      <c r="EP4" s="210">
        <v>45042</v>
      </c>
      <c r="EQ4" s="210">
        <v>45035</v>
      </c>
      <c r="ER4" s="210">
        <v>45028</v>
      </c>
      <c r="ES4" s="210">
        <v>45020</v>
      </c>
      <c r="ET4" s="210">
        <v>45014</v>
      </c>
      <c r="EU4" s="210">
        <v>45008</v>
      </c>
      <c r="EV4" s="210">
        <v>45002</v>
      </c>
      <c r="EW4" s="210">
        <v>45000</v>
      </c>
      <c r="EX4" s="210">
        <v>44993</v>
      </c>
      <c r="EY4" s="210">
        <v>44986</v>
      </c>
      <c r="EZ4" s="210">
        <v>44979</v>
      </c>
      <c r="FA4" s="210">
        <v>44972</v>
      </c>
      <c r="FB4" s="210">
        <v>44965</v>
      </c>
      <c r="FC4" s="210">
        <v>44958</v>
      </c>
      <c r="FD4" s="210">
        <v>44951</v>
      </c>
      <c r="FE4" s="210">
        <v>44944</v>
      </c>
      <c r="FF4" s="210">
        <v>44937</v>
      </c>
      <c r="FG4" s="210">
        <v>44930</v>
      </c>
      <c r="FH4" s="210">
        <v>44923</v>
      </c>
      <c r="FI4" s="210">
        <v>44916</v>
      </c>
      <c r="FJ4" s="210">
        <v>44910</v>
      </c>
      <c r="FK4" s="210">
        <v>44902</v>
      </c>
      <c r="FL4" s="210">
        <v>44896</v>
      </c>
      <c r="FM4" s="210">
        <v>44888</v>
      </c>
      <c r="FN4" s="210">
        <v>44881</v>
      </c>
      <c r="FO4" s="210">
        <v>44874</v>
      </c>
      <c r="FP4" s="210">
        <v>44868</v>
      </c>
      <c r="FQ4" s="210">
        <v>44860</v>
      </c>
      <c r="FR4" s="210">
        <v>44853</v>
      </c>
      <c r="FS4" s="210">
        <v>44846</v>
      </c>
      <c r="FT4" s="210">
        <v>45085</v>
      </c>
      <c r="FU4" s="210">
        <v>45076</v>
      </c>
      <c r="FV4" s="210">
        <v>45127</v>
      </c>
      <c r="FW4" s="210">
        <v>45120</v>
      </c>
      <c r="FX4" s="210">
        <v>45113</v>
      </c>
      <c r="FY4" s="210">
        <v>45105</v>
      </c>
      <c r="FZ4" s="210">
        <v>45099</v>
      </c>
      <c r="GA4" s="210">
        <v>45092</v>
      </c>
      <c r="GB4" s="210">
        <v>44803</v>
      </c>
      <c r="GC4" s="210">
        <v>44797</v>
      </c>
      <c r="GD4" s="210">
        <v>44790</v>
      </c>
      <c r="GE4" s="210">
        <v>44783</v>
      </c>
      <c r="GF4" s="210">
        <v>44776</v>
      </c>
      <c r="GG4" s="210">
        <v>44769</v>
      </c>
      <c r="GH4" s="210">
        <v>44762</v>
      </c>
      <c r="GI4" s="210">
        <v>44755</v>
      </c>
      <c r="GJ4" s="210">
        <v>44748</v>
      </c>
      <c r="GK4" s="210">
        <v>44741</v>
      </c>
      <c r="GL4" s="209">
        <v>44733</v>
      </c>
      <c r="GM4" s="209">
        <v>44727</v>
      </c>
      <c r="GN4" s="209">
        <v>44720</v>
      </c>
      <c r="GO4" s="209">
        <v>44713</v>
      </c>
      <c r="GP4" s="209">
        <v>44706</v>
      </c>
      <c r="GQ4" s="209">
        <v>44699</v>
      </c>
      <c r="GR4" s="209">
        <v>44690</v>
      </c>
      <c r="GS4" s="209">
        <v>44687</v>
      </c>
      <c r="GT4" s="209">
        <v>44685</v>
      </c>
      <c r="GU4" s="209">
        <v>44678</v>
      </c>
      <c r="GV4" s="209">
        <v>44670</v>
      </c>
      <c r="GW4" s="209">
        <v>44663</v>
      </c>
      <c r="GX4" s="209">
        <v>44662</v>
      </c>
      <c r="GY4" s="209">
        <v>44659</v>
      </c>
      <c r="GZ4" s="209">
        <v>44657</v>
      </c>
      <c r="HA4" s="209">
        <v>44656</v>
      </c>
      <c r="HB4" s="209">
        <v>44655</v>
      </c>
      <c r="HC4" s="209">
        <v>44652</v>
      </c>
      <c r="HD4" s="209">
        <v>44650</v>
      </c>
      <c r="HE4" s="209">
        <v>44649</v>
      </c>
      <c r="HF4" s="209">
        <v>44648</v>
      </c>
      <c r="HG4" s="209">
        <v>44645</v>
      </c>
      <c r="HH4" s="209">
        <v>44644</v>
      </c>
      <c r="HI4" s="209">
        <v>44642</v>
      </c>
      <c r="HJ4" s="209">
        <v>44641</v>
      </c>
      <c r="HK4" s="209">
        <v>44638</v>
      </c>
      <c r="HL4" s="209">
        <v>44637</v>
      </c>
      <c r="HM4" s="209">
        <v>44636</v>
      </c>
      <c r="HN4" s="206" t="s">
        <v>113</v>
      </c>
      <c r="HO4" s="211" t="s">
        <v>223</v>
      </c>
      <c r="HT4" s="103"/>
      <c r="HU4" s="103"/>
      <c r="HV4" s="103"/>
      <c r="HW4" s="103"/>
      <c r="HX4" s="103"/>
      <c r="HY4" s="103"/>
      <c r="HZ4" s="103"/>
      <c r="IA4" s="103"/>
      <c r="IB4" s="103"/>
      <c r="IC4" s="103"/>
      <c r="ID4" s="103"/>
      <c r="IE4" s="103"/>
      <c r="IF4" s="103"/>
      <c r="IG4" s="103"/>
      <c r="IH4" s="103"/>
      <c r="II4" s="103"/>
      <c r="IJ4" s="103"/>
      <c r="IK4" s="103"/>
      <c r="IL4" s="103"/>
      <c r="IM4" s="103"/>
      <c r="IN4" s="103"/>
      <c r="IO4" s="103"/>
      <c r="IP4" s="103"/>
      <c r="IQ4" s="103"/>
      <c r="IR4" s="103"/>
      <c r="IS4" s="103"/>
      <c r="IT4" s="103"/>
      <c r="IU4" s="103"/>
      <c r="IV4" s="103"/>
      <c r="IW4" s="103"/>
      <c r="IX4" s="103"/>
      <c r="IY4" s="103"/>
      <c r="IZ4" s="103"/>
      <c r="JA4" s="103"/>
      <c r="JB4" s="103"/>
      <c r="JC4" s="103"/>
      <c r="JD4" s="103"/>
      <c r="JE4" s="103"/>
      <c r="JF4" s="103"/>
      <c r="JG4" s="103"/>
      <c r="JH4" s="103"/>
      <c r="JI4" s="103"/>
      <c r="JJ4" s="103"/>
      <c r="JK4" s="103"/>
      <c r="JL4" s="103"/>
      <c r="JM4" s="103"/>
      <c r="JN4" s="103"/>
      <c r="JO4" s="103"/>
      <c r="JP4" s="103"/>
      <c r="JQ4" s="103"/>
      <c r="JR4" s="103"/>
      <c r="JS4" s="103"/>
      <c r="JT4" s="103"/>
      <c r="JU4" s="103"/>
      <c r="JV4" s="103"/>
      <c r="JW4" s="103"/>
      <c r="JX4" s="103"/>
      <c r="JY4" s="103"/>
      <c r="JZ4" s="103"/>
      <c r="KA4" s="103"/>
      <c r="KB4" s="103"/>
      <c r="KC4" s="103"/>
      <c r="KD4" s="103"/>
      <c r="KE4" s="103"/>
      <c r="KF4" s="103"/>
      <c r="KG4" s="103"/>
      <c r="KH4" s="103"/>
      <c r="KI4" s="103"/>
      <c r="KJ4" s="103"/>
      <c r="KK4" s="103"/>
      <c r="KL4" s="103"/>
      <c r="KM4" s="103"/>
      <c r="KN4" s="103"/>
      <c r="KO4" s="103"/>
      <c r="KP4" s="103"/>
      <c r="KQ4" s="103"/>
      <c r="KR4" s="103"/>
      <c r="KS4" s="103"/>
      <c r="KT4" s="103"/>
      <c r="KU4" s="103"/>
      <c r="KV4" s="103"/>
      <c r="KW4" s="103"/>
      <c r="KX4" s="103"/>
      <c r="KY4" s="103"/>
      <c r="KZ4" s="103"/>
      <c r="LA4" s="103"/>
      <c r="LB4" s="103"/>
      <c r="LC4" s="103"/>
      <c r="LD4" s="103"/>
      <c r="LE4" s="103"/>
      <c r="LF4" s="103"/>
      <c r="LG4" s="103"/>
      <c r="LH4" s="103"/>
      <c r="LI4" s="103"/>
      <c r="LJ4" s="103"/>
      <c r="LK4" s="103"/>
      <c r="LL4" s="103"/>
      <c r="LM4" s="103"/>
    </row>
    <row r="5" spans="2:325">
      <c r="B5" s="760" t="s">
        <v>35</v>
      </c>
      <c r="C5" s="184" t="s">
        <v>301</v>
      </c>
      <c r="D5" s="167">
        <v>3.5999999999999997E-2</v>
      </c>
      <c r="E5" s="167">
        <v>3.5999999999999997E-2</v>
      </c>
      <c r="F5" s="167">
        <v>3.5999999999999997E-2</v>
      </c>
      <c r="G5" s="167">
        <v>3.5999999999999997E-2</v>
      </c>
      <c r="H5" s="167">
        <v>3.5999999999999997E-2</v>
      </c>
      <c r="I5" s="167">
        <v>3.5999999999999997E-2</v>
      </c>
      <c r="J5" s="167">
        <v>3.5999999999999997E-2</v>
      </c>
      <c r="K5" s="167">
        <v>3.5999999999999997E-2</v>
      </c>
      <c r="L5" s="167">
        <v>3.5999999999999997E-2</v>
      </c>
      <c r="M5" s="167">
        <v>3.6999999999999998E-2</v>
      </c>
      <c r="N5" s="167">
        <v>3.6999999999999998E-2</v>
      </c>
      <c r="O5" s="168">
        <v>3.6999999999999998E-2</v>
      </c>
      <c r="P5" s="167">
        <v>3.7999999999999999E-2</v>
      </c>
      <c r="Q5" s="167">
        <v>3.7999999999999999E-2</v>
      </c>
      <c r="R5" s="167">
        <v>3.7999999999999999E-2</v>
      </c>
      <c r="S5" s="167">
        <v>3.7999999999999999E-2</v>
      </c>
      <c r="T5" s="168">
        <v>3.7999999999999999E-2</v>
      </c>
      <c r="U5" s="167">
        <v>3.9E-2</v>
      </c>
      <c r="V5" s="167">
        <v>3.9E-2</v>
      </c>
      <c r="W5" s="168">
        <v>3.9E-2</v>
      </c>
      <c r="X5" s="167">
        <v>0.04</v>
      </c>
      <c r="Y5" s="167">
        <v>0.04</v>
      </c>
      <c r="Z5" s="167">
        <v>0.04</v>
      </c>
      <c r="AA5" s="167">
        <v>0.04</v>
      </c>
      <c r="AB5" s="167">
        <v>0.04</v>
      </c>
      <c r="AC5" s="167">
        <v>0.04</v>
      </c>
      <c r="AD5" s="167">
        <v>0.04</v>
      </c>
      <c r="AE5" s="168">
        <v>0.04</v>
      </c>
      <c r="AF5" s="63">
        <v>4.1500000000000002E-2</v>
      </c>
      <c r="AG5" s="63">
        <v>4.1500000000000002E-2</v>
      </c>
      <c r="AH5" s="63">
        <v>4.1500000000000002E-2</v>
      </c>
      <c r="AI5" s="63">
        <v>4.1500000000000002E-2</v>
      </c>
      <c r="AJ5" s="167">
        <v>4.1500000000000002E-2</v>
      </c>
      <c r="AK5" s="63">
        <v>4.1500000000000002E-2</v>
      </c>
      <c r="AL5" s="108">
        <v>4.1500000000000002E-2</v>
      </c>
      <c r="AM5" s="167">
        <v>4.1500000000000002E-2</v>
      </c>
      <c r="AN5" s="152">
        <v>4.1500000000000002E-2</v>
      </c>
      <c r="AO5" s="152">
        <v>4.1500000000000002E-2</v>
      </c>
      <c r="AP5" s="152">
        <v>4.1500000000000002E-2</v>
      </c>
      <c r="AQ5" s="152">
        <v>4.1500000000000002E-2</v>
      </c>
      <c r="AR5" s="152">
        <v>4.1500000000000002E-2</v>
      </c>
      <c r="AS5" s="152">
        <v>4.1500000000000002E-2</v>
      </c>
      <c r="AT5" s="152">
        <v>4.1500000000000002E-2</v>
      </c>
      <c r="AU5" s="152">
        <v>4.1500000000000002E-2</v>
      </c>
      <c r="AV5" s="152">
        <v>4.1500000000000002E-2</v>
      </c>
      <c r="AW5" s="152">
        <v>4.1500000000000002E-2</v>
      </c>
      <c r="AX5" s="152">
        <v>4.1500000000000002E-2</v>
      </c>
      <c r="AY5" s="152">
        <v>4.1500000000000002E-2</v>
      </c>
      <c r="AZ5" s="152">
        <v>4.1500000000000002E-2</v>
      </c>
      <c r="BA5" s="152">
        <v>4.1500000000000002E-2</v>
      </c>
      <c r="BB5" s="152">
        <v>4.1500000000000002E-2</v>
      </c>
      <c r="BC5" s="152">
        <v>4.1500000000000002E-2</v>
      </c>
      <c r="BD5" s="152">
        <v>4.1500000000000002E-2</v>
      </c>
      <c r="BE5" s="152">
        <v>4.1500000000000002E-2</v>
      </c>
      <c r="BF5" s="152">
        <v>4.1500000000000002E-2</v>
      </c>
      <c r="BG5" s="152">
        <v>4.1500000000000002E-2</v>
      </c>
      <c r="BH5" s="152">
        <v>4.1500000000000002E-2</v>
      </c>
      <c r="BI5" s="152">
        <v>4.2999999999999997E-2</v>
      </c>
      <c r="BJ5" s="152">
        <v>4.2999999999999997E-2</v>
      </c>
      <c r="BK5" s="152">
        <v>4.2999999999999997E-2</v>
      </c>
      <c r="BL5" s="152">
        <v>4.2999999999999997E-2</v>
      </c>
      <c r="BM5" s="152">
        <v>4.2999999999999997E-2</v>
      </c>
      <c r="BN5" s="152">
        <v>4.2999999999999997E-2</v>
      </c>
      <c r="BO5" s="152">
        <v>4.2999999999999997E-2</v>
      </c>
      <c r="BP5" s="152">
        <v>4.2999999999999997E-2</v>
      </c>
      <c r="BQ5" s="152">
        <v>4.2999999999999997E-2</v>
      </c>
      <c r="BR5" s="152">
        <v>4.2999999999999997E-2</v>
      </c>
      <c r="BS5" s="152">
        <v>4.2999999999999997E-2</v>
      </c>
      <c r="BT5" s="152">
        <v>4.2999999999999997E-2</v>
      </c>
      <c r="BU5" s="152">
        <v>4.2999999999999997E-2</v>
      </c>
      <c r="BV5" s="152">
        <v>4.2999999999999997E-2</v>
      </c>
      <c r="BW5" s="152">
        <v>4.2999999999999997E-2</v>
      </c>
      <c r="BX5" s="152">
        <v>4.2999999999999997E-2</v>
      </c>
      <c r="BY5" s="152">
        <v>4.2999999999999997E-2</v>
      </c>
      <c r="BZ5" s="152">
        <v>4.2999999999999997E-2</v>
      </c>
      <c r="CA5" s="152">
        <v>4.2999999999999997E-2</v>
      </c>
      <c r="CB5" s="152">
        <v>4.2999999999999997E-2</v>
      </c>
      <c r="CC5" s="152">
        <v>4.2999999999999997E-2</v>
      </c>
      <c r="CD5" s="152">
        <v>4.2999999999999997E-2</v>
      </c>
      <c r="CE5" s="152">
        <v>4.2999999999999997E-2</v>
      </c>
      <c r="CF5" s="152">
        <v>4.2999999999999997E-2</v>
      </c>
      <c r="CG5" s="152">
        <v>4.2999999999999997E-2</v>
      </c>
      <c r="CH5" s="152">
        <v>4.2999999999999997E-2</v>
      </c>
      <c r="CI5" s="152">
        <v>4.2999999999999997E-2</v>
      </c>
      <c r="CJ5" s="152">
        <v>4.2999999999999997E-2</v>
      </c>
      <c r="CK5" s="152">
        <v>4.2999999999999997E-2</v>
      </c>
      <c r="CL5" s="152">
        <v>4.2999999999999997E-2</v>
      </c>
      <c r="CM5" s="152">
        <v>4.2999999999999997E-2</v>
      </c>
      <c r="CN5" s="152">
        <v>4.2999999999999997E-2</v>
      </c>
      <c r="CO5" s="152">
        <v>4.2999999999999997E-2</v>
      </c>
      <c r="CP5" s="152">
        <v>4.2999999999999997E-2</v>
      </c>
      <c r="CQ5" s="152">
        <v>4.2999999999999997E-2</v>
      </c>
      <c r="CR5" s="152">
        <v>4.2999999999999997E-2</v>
      </c>
      <c r="CS5" s="109">
        <v>4.2999999999999997E-2</v>
      </c>
      <c r="CT5" s="109">
        <v>4.2999999999999997E-2</v>
      </c>
      <c r="CU5" s="109">
        <v>4.2999999999999997E-2</v>
      </c>
      <c r="CV5" s="109">
        <v>4.2999999999999997E-2</v>
      </c>
      <c r="CW5" s="109">
        <v>4.2999999999999997E-2</v>
      </c>
      <c r="CX5" s="109">
        <v>4.2999999999999997E-2</v>
      </c>
      <c r="CY5" s="109">
        <v>4.2999999999999997E-2</v>
      </c>
      <c r="CZ5" s="109">
        <v>4.2999999999999997E-2</v>
      </c>
      <c r="DA5" s="109">
        <v>4.2999999999999997E-2</v>
      </c>
      <c r="DB5" s="109">
        <v>4.2999999999999997E-2</v>
      </c>
      <c r="DC5" s="109">
        <v>4.2999999999999997E-2</v>
      </c>
      <c r="DD5" s="109">
        <v>4.2999999999999997E-2</v>
      </c>
      <c r="DE5" s="109">
        <v>4.2999999999999997E-2</v>
      </c>
      <c r="DF5" s="109">
        <v>4.2999999999999997E-2</v>
      </c>
      <c r="DG5" s="109">
        <v>4.2999999999999997E-2</v>
      </c>
      <c r="DH5" s="109">
        <v>4.2999999999999997E-2</v>
      </c>
      <c r="DI5" s="109">
        <v>4.2999999999999997E-2</v>
      </c>
      <c r="DJ5" s="109">
        <v>4.2999999999999997E-2</v>
      </c>
      <c r="DK5" s="109">
        <v>4.2999999999999997E-2</v>
      </c>
      <c r="DL5" s="109">
        <v>4.2999999999999997E-2</v>
      </c>
      <c r="DM5" s="109">
        <v>4.2999999999999997E-2</v>
      </c>
      <c r="DN5" s="109">
        <v>4.2999999999999997E-2</v>
      </c>
      <c r="DO5" s="109">
        <v>4.2999999999999997E-2</v>
      </c>
      <c r="DP5" s="109">
        <v>4.2999999999999997E-2</v>
      </c>
      <c r="DQ5" s="109">
        <v>4.2999999999999997E-2</v>
      </c>
      <c r="DR5" s="109">
        <v>4.2999999999999997E-2</v>
      </c>
      <c r="DS5" s="109">
        <v>4.2999999999999997E-2</v>
      </c>
      <c r="DT5" s="109">
        <v>4.2999999999999997E-2</v>
      </c>
      <c r="DU5" s="109">
        <v>4.2999999999999997E-2</v>
      </c>
      <c r="DV5" s="109">
        <v>4.2999999999999997E-2</v>
      </c>
      <c r="DW5" s="109">
        <v>4.2999999999999997E-2</v>
      </c>
      <c r="DX5" s="109">
        <v>4.2999999999999997E-2</v>
      </c>
      <c r="DY5" s="109">
        <v>4.2999999999999997E-2</v>
      </c>
      <c r="DZ5" s="109">
        <v>4.2999999999999997E-2</v>
      </c>
      <c r="EA5" s="109">
        <v>4.2999999999999997E-2</v>
      </c>
      <c r="EB5" s="109">
        <v>4.2999999999999997E-2</v>
      </c>
      <c r="EC5" s="109">
        <v>4.2999999999999997E-2</v>
      </c>
      <c r="ED5" s="109">
        <v>4.2999999999999997E-2</v>
      </c>
      <c r="EE5" s="109">
        <v>4.2999999999999997E-2</v>
      </c>
      <c r="EF5" s="109">
        <v>4.2999999999999997E-2</v>
      </c>
      <c r="EG5" s="109"/>
      <c r="EH5" s="109"/>
      <c r="EI5" s="109"/>
      <c r="EJ5" s="109"/>
      <c r="EK5" s="109"/>
      <c r="EL5" s="109">
        <v>4.2999999999999997E-2</v>
      </c>
      <c r="EM5" s="109">
        <v>4.2999999999999997E-2</v>
      </c>
      <c r="EN5" s="109">
        <v>4.2999999999999997E-2</v>
      </c>
      <c r="EO5" s="109">
        <v>4.2999999999999997E-2</v>
      </c>
      <c r="EP5" s="109">
        <v>4.2999999999999997E-2</v>
      </c>
      <c r="EQ5" s="109">
        <v>4.2999999999999997E-2</v>
      </c>
      <c r="ER5" s="109">
        <v>4.2999999999999997E-2</v>
      </c>
      <c r="ES5" s="109">
        <v>4.2999999999999997E-2</v>
      </c>
      <c r="ET5" s="109">
        <v>4.2999999999999997E-2</v>
      </c>
      <c r="EU5" s="109">
        <v>4.2999999999999997E-2</v>
      </c>
      <c r="EV5" s="109">
        <v>4.2999999999999997E-2</v>
      </c>
      <c r="EW5" s="109">
        <v>4.2999999999999997E-2</v>
      </c>
      <c r="EX5" s="109">
        <v>4.2999999999999997E-2</v>
      </c>
      <c r="EY5" s="109"/>
      <c r="EZ5" s="109"/>
      <c r="FA5" s="109"/>
      <c r="FB5" s="109"/>
      <c r="FC5" s="109"/>
      <c r="FD5" s="109"/>
      <c r="FE5" s="109"/>
      <c r="FF5" s="109"/>
      <c r="FG5" s="109"/>
      <c r="FH5" s="109"/>
      <c r="FI5" s="109"/>
      <c r="FJ5" s="109"/>
      <c r="FK5" s="109"/>
      <c r="FL5" s="109"/>
      <c r="FM5" s="109"/>
      <c r="FN5" s="109"/>
      <c r="FO5" s="109"/>
      <c r="FP5" s="109"/>
      <c r="FQ5" s="109"/>
      <c r="FR5" s="109"/>
      <c r="FS5" s="109"/>
      <c r="FT5" s="109">
        <v>4.2999999999999997E-2</v>
      </c>
      <c r="FU5" s="109">
        <v>4.2999999999999997E-2</v>
      </c>
      <c r="FV5" s="109">
        <v>4.2999999999999997E-2</v>
      </c>
      <c r="FW5" s="109">
        <v>4.2999999999999997E-2</v>
      </c>
      <c r="FX5" s="109">
        <v>4.2999999999999997E-2</v>
      </c>
      <c r="FY5" s="109">
        <v>4.2999999999999997E-2</v>
      </c>
      <c r="FZ5" s="109">
        <v>4.2999999999999997E-2</v>
      </c>
      <c r="GA5" s="109">
        <v>4.2999999999999997E-2</v>
      </c>
      <c r="GB5" s="109"/>
      <c r="GC5" s="109"/>
      <c r="GD5" s="109"/>
      <c r="GE5" s="109"/>
      <c r="GF5" s="109"/>
      <c r="GG5" s="109"/>
      <c r="GH5" s="109"/>
      <c r="GI5" s="109"/>
      <c r="GJ5" s="109"/>
      <c r="GK5" s="109"/>
      <c r="GL5" s="109"/>
      <c r="GM5" s="109"/>
      <c r="GN5" s="109"/>
      <c r="GO5" s="109"/>
      <c r="GP5" s="109"/>
      <c r="GQ5" s="109"/>
      <c r="GR5" s="109"/>
      <c r="GS5" s="109"/>
      <c r="GT5" s="109"/>
      <c r="GU5" s="109"/>
      <c r="GV5" s="109"/>
      <c r="GW5" s="109"/>
      <c r="GX5" s="109"/>
      <c r="GY5" s="109"/>
      <c r="GZ5" s="109"/>
      <c r="HA5" s="109"/>
      <c r="HB5" s="109"/>
      <c r="HC5" s="109"/>
      <c r="HD5" s="109"/>
      <c r="HE5" s="109"/>
      <c r="HF5" s="109"/>
      <c r="HG5" s="109"/>
      <c r="HH5" s="109"/>
      <c r="HI5" s="109"/>
      <c r="HJ5" s="109"/>
      <c r="HK5" s="109"/>
      <c r="HL5" s="109"/>
      <c r="HM5" s="109"/>
      <c r="HN5" s="41">
        <f>$D5-$E5</f>
        <v>0</v>
      </c>
      <c r="HO5" s="109" t="s">
        <v>298</v>
      </c>
      <c r="HT5" s="103"/>
      <c r="HU5" s="103"/>
      <c r="HV5" s="103"/>
      <c r="HW5" s="103"/>
      <c r="HX5" s="103"/>
      <c r="HY5" s="103"/>
      <c r="HZ5" s="103"/>
      <c r="IA5" s="103"/>
      <c r="IB5" s="103"/>
      <c r="IC5" s="103"/>
      <c r="ID5" s="103"/>
      <c r="IE5" s="103"/>
      <c r="IF5" s="103"/>
      <c r="IG5" s="103"/>
      <c r="IH5" s="103"/>
      <c r="II5" s="103"/>
      <c r="IJ5" s="103"/>
      <c r="IK5" s="103"/>
      <c r="IL5" s="103"/>
      <c r="IM5" s="103"/>
      <c r="IN5" s="103"/>
      <c r="IO5" s="103"/>
      <c r="IP5" s="103"/>
      <c r="IQ5" s="103"/>
      <c r="IR5" s="103"/>
      <c r="IS5" s="103"/>
      <c r="IT5" s="103"/>
      <c r="IU5" s="103"/>
      <c r="IV5" s="103"/>
      <c r="IW5" s="103"/>
      <c r="IX5" s="103"/>
      <c r="IY5" s="103"/>
      <c r="IZ5" s="103"/>
      <c r="JA5" s="103"/>
      <c r="JB5" s="103"/>
      <c r="JC5" s="103"/>
      <c r="JD5" s="103"/>
      <c r="JE5" s="103"/>
      <c r="JF5" s="103"/>
      <c r="JG5" s="103"/>
      <c r="JH5" s="103"/>
      <c r="JI5" s="103"/>
      <c r="JJ5" s="103"/>
      <c r="JK5" s="103"/>
      <c r="JL5" s="103"/>
      <c r="JM5" s="103"/>
      <c r="JN5" s="103"/>
      <c r="JO5" s="103"/>
      <c r="JP5" s="103"/>
      <c r="JQ5" s="103"/>
      <c r="JR5" s="103"/>
      <c r="JS5" s="103"/>
      <c r="JT5" s="103"/>
      <c r="JU5" s="103"/>
      <c r="JV5" s="103"/>
      <c r="JW5" s="103"/>
      <c r="JX5" s="103"/>
      <c r="JY5" s="103"/>
      <c r="JZ5" s="103"/>
      <c r="KA5" s="103"/>
      <c r="KB5" s="103"/>
      <c r="KC5" s="103"/>
      <c r="KD5" s="103"/>
      <c r="KE5" s="103"/>
      <c r="KF5" s="103"/>
      <c r="KG5" s="103"/>
      <c r="KH5" s="103"/>
      <c r="KI5" s="103"/>
      <c r="KJ5" s="103"/>
      <c r="KK5" s="103"/>
      <c r="KL5" s="103"/>
      <c r="KM5" s="103"/>
      <c r="KN5" s="103"/>
      <c r="KO5" s="103"/>
      <c r="KP5" s="103"/>
      <c r="KQ5" s="103"/>
      <c r="KR5" s="103"/>
      <c r="KS5" s="103"/>
      <c r="KT5" s="103"/>
      <c r="KU5" s="103"/>
      <c r="KV5" s="103"/>
      <c r="KW5" s="103"/>
      <c r="KX5" s="103"/>
      <c r="KY5" s="103"/>
      <c r="KZ5" s="103"/>
      <c r="LA5" s="103"/>
      <c r="LB5" s="103"/>
      <c r="LC5" s="103"/>
      <c r="LD5" s="103"/>
      <c r="LE5" s="103"/>
      <c r="LF5" s="103"/>
      <c r="LG5" s="103"/>
      <c r="LH5" s="103"/>
      <c r="LI5" s="103"/>
      <c r="LJ5" s="103"/>
      <c r="LK5" s="103"/>
      <c r="LL5" s="103"/>
      <c r="LM5" s="103"/>
    </row>
    <row r="6" spans="2:325">
      <c r="B6" s="761" t="s">
        <v>16</v>
      </c>
      <c r="C6" s="158" t="s">
        <v>300</v>
      </c>
      <c r="D6" s="809">
        <v>3.5999999999999997E-2</v>
      </c>
      <c r="E6" s="809">
        <v>3.5999999999999997E-2</v>
      </c>
      <c r="F6" s="809">
        <v>3.5499999999999997E-2</v>
      </c>
      <c r="G6" s="167">
        <v>3.5499999999999997E-2</v>
      </c>
      <c r="H6" s="167">
        <v>3.5499999999999997E-2</v>
      </c>
      <c r="I6" s="167">
        <v>3.5499999999999997E-2</v>
      </c>
      <c r="J6" s="167">
        <v>3.5499999999999997E-2</v>
      </c>
      <c r="K6" s="167">
        <v>3.5499999999999997E-2</v>
      </c>
      <c r="L6" s="168">
        <v>3.5499999999999997E-2</v>
      </c>
      <c r="M6" s="168">
        <v>3.5999999999999997E-2</v>
      </c>
      <c r="N6" s="167">
        <v>3.85E-2</v>
      </c>
      <c r="O6" s="167">
        <v>3.85E-2</v>
      </c>
      <c r="P6" s="167">
        <v>3.85E-2</v>
      </c>
      <c r="Q6" s="167">
        <v>3.85E-2</v>
      </c>
      <c r="R6" s="167">
        <v>3.85E-2</v>
      </c>
      <c r="S6" s="167">
        <v>3.85E-2</v>
      </c>
      <c r="T6" s="168">
        <v>3.85E-2</v>
      </c>
      <c r="U6" s="167">
        <v>3.7999999999999999E-2</v>
      </c>
      <c r="V6" s="168">
        <v>3.7999999999999999E-2</v>
      </c>
      <c r="W6" s="168">
        <v>3.9E-2</v>
      </c>
      <c r="X6" s="167">
        <v>4.0500000000000001E-2</v>
      </c>
      <c r="Y6" s="167">
        <v>4.0500000000000001E-2</v>
      </c>
      <c r="Z6" s="167">
        <v>4.0500000000000001E-2</v>
      </c>
      <c r="AA6" s="167">
        <v>4.0500000000000001E-2</v>
      </c>
      <c r="AB6" s="167">
        <v>4.0500000000000001E-2</v>
      </c>
      <c r="AC6" s="168">
        <v>4.0500000000000001E-2</v>
      </c>
      <c r="AD6" s="168">
        <v>4.1000000000000002E-2</v>
      </c>
      <c r="AE6" s="167">
        <v>4.1500000000000002E-2</v>
      </c>
      <c r="AF6" s="63">
        <v>4.1500000000000002E-2</v>
      </c>
      <c r="AG6" s="63">
        <v>4.1500000000000002E-2</v>
      </c>
      <c r="AH6" s="63">
        <v>4.1500000000000002E-2</v>
      </c>
      <c r="AI6" s="63">
        <v>4.1500000000000002E-2</v>
      </c>
      <c r="AJ6" s="167">
        <v>4.1500000000000002E-2</v>
      </c>
      <c r="AK6" s="63">
        <v>4.1500000000000002E-2</v>
      </c>
      <c r="AL6" s="108">
        <v>4.1500000000000002E-2</v>
      </c>
      <c r="AM6" s="167">
        <v>4.1500000000000002E-2</v>
      </c>
      <c r="AN6" s="152">
        <v>4.1500000000000002E-2</v>
      </c>
      <c r="AO6" s="152">
        <v>4.1500000000000002E-2</v>
      </c>
      <c r="AP6" s="152">
        <v>4.1500000000000002E-2</v>
      </c>
      <c r="AQ6" s="152">
        <v>4.1500000000000002E-2</v>
      </c>
      <c r="AR6" s="152">
        <v>4.1500000000000002E-2</v>
      </c>
      <c r="AS6" s="152">
        <v>4.1500000000000002E-2</v>
      </c>
      <c r="AT6" s="152">
        <v>4.1500000000000002E-2</v>
      </c>
      <c r="AU6" s="152">
        <v>4.1500000000000002E-2</v>
      </c>
      <c r="AV6" s="152">
        <v>4.1500000000000002E-2</v>
      </c>
      <c r="AW6" s="152">
        <v>4.1500000000000002E-2</v>
      </c>
      <c r="AX6" s="152">
        <v>4.1500000000000002E-2</v>
      </c>
      <c r="AY6" s="152">
        <v>4.1500000000000002E-2</v>
      </c>
      <c r="AZ6" s="152">
        <v>4.1500000000000002E-2</v>
      </c>
      <c r="BA6" s="152">
        <v>4.1500000000000002E-2</v>
      </c>
      <c r="BB6" s="152">
        <v>4.1500000000000002E-2</v>
      </c>
      <c r="BC6" s="152">
        <v>4.1500000000000002E-2</v>
      </c>
      <c r="BD6" s="152">
        <v>4.1500000000000002E-2</v>
      </c>
      <c r="BE6" s="152">
        <v>4.1500000000000002E-2</v>
      </c>
      <c r="BF6" s="152">
        <v>4.1500000000000002E-2</v>
      </c>
      <c r="BG6" s="152">
        <v>4.1500000000000002E-2</v>
      </c>
      <c r="BH6" s="152">
        <v>4.1500000000000002E-2</v>
      </c>
      <c r="BI6" s="152">
        <v>4.1500000000000002E-2</v>
      </c>
      <c r="BJ6" s="152">
        <v>4.2500000000000003E-2</v>
      </c>
      <c r="BK6" s="152">
        <v>4.4499999999999998E-2</v>
      </c>
      <c r="BL6" s="152">
        <v>4.5499999999999999E-2</v>
      </c>
      <c r="BM6" s="152">
        <v>4.5499999999999999E-2</v>
      </c>
      <c r="BN6" s="152">
        <v>4.5499999999999999E-2</v>
      </c>
      <c r="BO6" s="152">
        <v>4.5499999999999999E-2</v>
      </c>
      <c r="BP6" s="152">
        <v>4.5499999999999999E-2</v>
      </c>
      <c r="BQ6" s="152">
        <v>4.5499999999999999E-2</v>
      </c>
      <c r="BR6" s="152">
        <v>4.5499999999999999E-2</v>
      </c>
      <c r="BS6" s="152">
        <v>4.5499999999999999E-2</v>
      </c>
      <c r="BT6" s="152">
        <v>4.8000000000000001E-2</v>
      </c>
      <c r="BU6" s="152">
        <v>4.8000000000000001E-2</v>
      </c>
      <c r="BV6" s="152">
        <v>4.8000000000000001E-2</v>
      </c>
      <c r="BW6" s="152">
        <v>4.8000000000000001E-2</v>
      </c>
      <c r="BX6" s="152">
        <v>4.8500000000000001E-2</v>
      </c>
      <c r="BY6" s="152">
        <v>4.9000000000000002E-2</v>
      </c>
      <c r="BZ6" s="152"/>
      <c r="CA6" s="152"/>
      <c r="CB6" s="152"/>
      <c r="CC6" s="152"/>
      <c r="CD6" s="152"/>
      <c r="CE6" s="152"/>
      <c r="CF6" s="152"/>
      <c r="CG6" s="152"/>
      <c r="CH6" s="152"/>
      <c r="CI6" s="152"/>
      <c r="CJ6" s="152"/>
      <c r="CK6" s="152"/>
      <c r="CL6" s="152"/>
      <c r="CM6" s="152"/>
      <c r="CN6" s="152"/>
      <c r="CO6" s="152"/>
      <c r="CP6" s="152"/>
      <c r="CQ6" s="152"/>
      <c r="CR6" s="152"/>
      <c r="CS6" s="109"/>
      <c r="CT6" s="109"/>
      <c r="CU6" s="109"/>
      <c r="CV6" s="109"/>
      <c r="CW6" s="109"/>
      <c r="CX6" s="109"/>
      <c r="CY6" s="109"/>
      <c r="CZ6" s="109"/>
      <c r="DA6" s="109"/>
      <c r="DB6" s="109"/>
      <c r="DC6" s="109"/>
      <c r="DD6" s="109"/>
      <c r="DE6" s="109"/>
      <c r="DF6" s="109"/>
      <c r="DG6" s="109"/>
      <c r="DH6" s="109"/>
      <c r="DI6" s="109"/>
      <c r="DJ6" s="109"/>
      <c r="DK6" s="109"/>
      <c r="DL6" s="109"/>
      <c r="DM6" s="109"/>
      <c r="DN6" s="109"/>
      <c r="DO6" s="109"/>
      <c r="DP6" s="109"/>
      <c r="DQ6" s="109"/>
      <c r="DR6" s="109"/>
      <c r="DS6" s="109"/>
      <c r="DT6" s="109"/>
      <c r="DU6" s="109"/>
      <c r="DV6" s="109"/>
      <c r="DW6" s="109"/>
      <c r="DX6" s="109"/>
      <c r="DY6" s="109"/>
      <c r="DZ6" s="109"/>
      <c r="EA6" s="109"/>
      <c r="EB6" s="109"/>
      <c r="EC6" s="109"/>
      <c r="ED6" s="109"/>
      <c r="EE6" s="109"/>
      <c r="EF6" s="109"/>
      <c r="EG6" s="109"/>
      <c r="EH6" s="109"/>
      <c r="EI6" s="109"/>
      <c r="EJ6" s="109"/>
      <c r="EK6" s="109"/>
      <c r="EL6" s="109"/>
      <c r="EM6" s="109"/>
      <c r="EN6" s="109"/>
      <c r="EO6" s="109"/>
      <c r="EP6" s="109"/>
      <c r="EQ6" s="109"/>
      <c r="ER6" s="109"/>
      <c r="ES6" s="109"/>
      <c r="ET6" s="109"/>
      <c r="EU6" s="109"/>
      <c r="EV6" s="109"/>
      <c r="EW6" s="109"/>
      <c r="EX6" s="109"/>
      <c r="EY6" s="109"/>
      <c r="EZ6" s="109"/>
      <c r="FA6" s="109"/>
      <c r="FB6" s="109"/>
      <c r="FC6" s="109"/>
      <c r="FD6" s="109"/>
      <c r="FE6" s="109"/>
      <c r="FF6" s="109"/>
      <c r="FG6" s="109"/>
      <c r="FH6" s="109"/>
      <c r="FI6" s="109"/>
      <c r="FJ6" s="109"/>
      <c r="FK6" s="109"/>
      <c r="FL6" s="109"/>
      <c r="FM6" s="109"/>
      <c r="FN6" s="109"/>
      <c r="FO6" s="109"/>
      <c r="FP6" s="109"/>
      <c r="FQ6" s="109"/>
      <c r="FR6" s="109"/>
      <c r="FS6" s="109"/>
      <c r="FT6" s="109"/>
      <c r="FU6" s="109"/>
      <c r="FV6" s="109"/>
      <c r="FW6" s="109"/>
      <c r="FX6" s="109"/>
      <c r="FY6" s="109"/>
      <c r="FZ6" s="109"/>
      <c r="GA6" s="109"/>
      <c r="GB6" s="109"/>
      <c r="GC6" s="109"/>
      <c r="GD6" s="109"/>
      <c r="GE6" s="109"/>
      <c r="GF6" s="109"/>
      <c r="GG6" s="109"/>
      <c r="GH6" s="109"/>
      <c r="GI6" s="109"/>
      <c r="GJ6" s="109"/>
      <c r="GK6" s="109"/>
      <c r="GL6" s="109"/>
      <c r="GM6" s="109"/>
      <c r="GN6" s="109"/>
      <c r="GO6" s="109"/>
      <c r="GP6" s="109"/>
      <c r="GQ6" s="109"/>
      <c r="GR6" s="109"/>
      <c r="GS6" s="109"/>
      <c r="GT6" s="109"/>
      <c r="GU6" s="109"/>
      <c r="GV6" s="109"/>
      <c r="GW6" s="109"/>
      <c r="GX6" s="109"/>
      <c r="GY6" s="109"/>
      <c r="GZ6" s="109"/>
      <c r="HA6" s="109"/>
      <c r="HB6" s="109"/>
      <c r="HC6" s="109"/>
      <c r="HD6" s="109"/>
      <c r="HE6" s="109"/>
      <c r="HF6" s="109"/>
      <c r="HG6" s="109"/>
      <c r="HH6" s="109"/>
      <c r="HI6" s="109"/>
      <c r="HJ6" s="109"/>
      <c r="HK6" s="109"/>
      <c r="HL6" s="109"/>
      <c r="HM6" s="109"/>
      <c r="HN6" s="41">
        <f>$D6-$E6</f>
        <v>0</v>
      </c>
      <c r="HO6" s="109" t="s">
        <v>298</v>
      </c>
      <c r="HT6" s="103"/>
      <c r="HU6" s="103"/>
      <c r="HV6" s="103"/>
      <c r="HW6" s="103"/>
      <c r="HX6" s="103"/>
      <c r="HY6" s="103"/>
      <c r="HZ6" s="103"/>
      <c r="IA6" s="103"/>
      <c r="IB6" s="103"/>
      <c r="IC6" s="103"/>
      <c r="ID6" s="103"/>
      <c r="IE6" s="103"/>
      <c r="IF6" s="103"/>
      <c r="IG6" s="103"/>
      <c r="IH6" s="103"/>
      <c r="II6" s="103"/>
      <c r="IJ6" s="103"/>
      <c r="IK6" s="103"/>
      <c r="IL6" s="103"/>
      <c r="IM6" s="103"/>
      <c r="IN6" s="103"/>
      <c r="IO6" s="103"/>
      <c r="IP6" s="103"/>
      <c r="IQ6" s="103"/>
      <c r="IR6" s="103"/>
      <c r="IS6" s="103"/>
      <c r="IT6" s="103"/>
      <c r="IU6" s="103"/>
      <c r="IV6" s="103"/>
      <c r="IW6" s="103"/>
      <c r="IX6" s="103"/>
      <c r="IY6" s="103"/>
      <c r="IZ6" s="103"/>
      <c r="JA6" s="103"/>
      <c r="JB6" s="103"/>
      <c r="JC6" s="103"/>
      <c r="JD6" s="103"/>
      <c r="JE6" s="103"/>
      <c r="JF6" s="103"/>
      <c r="JG6" s="103"/>
      <c r="JH6" s="103"/>
      <c r="JI6" s="103"/>
      <c r="JJ6" s="103"/>
      <c r="JK6" s="103"/>
      <c r="JL6" s="103"/>
      <c r="JM6" s="103"/>
      <c r="JN6" s="103"/>
      <c r="JO6" s="103"/>
      <c r="JP6" s="103"/>
      <c r="JQ6" s="103"/>
      <c r="JR6" s="103"/>
      <c r="JS6" s="103"/>
      <c r="JT6" s="103"/>
      <c r="JU6" s="103"/>
      <c r="JV6" s="103"/>
      <c r="JW6" s="103"/>
      <c r="JX6" s="103"/>
      <c r="JY6" s="103"/>
      <c r="JZ6" s="103"/>
      <c r="KA6" s="103"/>
      <c r="KB6" s="103"/>
      <c r="KC6" s="103"/>
      <c r="KD6" s="103"/>
      <c r="KE6" s="103"/>
      <c r="KF6" s="103"/>
      <c r="KG6" s="103"/>
      <c r="KH6" s="103"/>
      <c r="KI6" s="103"/>
      <c r="KJ6" s="103"/>
      <c r="KK6" s="103"/>
      <c r="KL6" s="103"/>
      <c r="KM6" s="103"/>
      <c r="KN6" s="103"/>
      <c r="KO6" s="103"/>
      <c r="KP6" s="103"/>
      <c r="KQ6" s="103"/>
      <c r="KR6" s="103"/>
      <c r="KS6" s="103"/>
      <c r="KT6" s="103"/>
      <c r="KU6" s="103"/>
      <c r="KV6" s="103"/>
      <c r="KW6" s="103"/>
      <c r="KX6" s="103"/>
      <c r="KY6" s="103"/>
      <c r="KZ6" s="103"/>
      <c r="LA6" s="103"/>
      <c r="LB6" s="103"/>
      <c r="LC6" s="103"/>
      <c r="LD6" s="103"/>
      <c r="LE6" s="103"/>
      <c r="LF6" s="103"/>
      <c r="LG6" s="103"/>
      <c r="LH6" s="103"/>
      <c r="LI6" s="103"/>
      <c r="LJ6" s="103"/>
      <c r="LK6" s="103"/>
      <c r="LL6" s="103"/>
      <c r="LM6" s="103"/>
    </row>
    <row r="7" spans="2:325">
      <c r="B7" s="194" t="s">
        <v>20</v>
      </c>
      <c r="C7" s="740" t="s">
        <v>751</v>
      </c>
      <c r="D7" s="181">
        <v>3.5000000000000003E-2</v>
      </c>
      <c r="E7" s="181">
        <v>3.5000000000000003E-2</v>
      </c>
      <c r="F7" s="181">
        <v>3.5000000000000003E-2</v>
      </c>
      <c r="G7" s="181">
        <v>3.5000000000000003E-2</v>
      </c>
      <c r="H7" s="181">
        <v>3.5000000000000003E-2</v>
      </c>
      <c r="I7" s="181">
        <v>3.5000000000000003E-2</v>
      </c>
      <c r="J7" s="181">
        <v>3.5000000000000003E-2</v>
      </c>
      <c r="K7" s="181">
        <v>3.5000000000000003E-2</v>
      </c>
      <c r="L7" s="181">
        <v>3.5000000000000003E-2</v>
      </c>
      <c r="M7" s="557">
        <v>3.5000000000000003E-2</v>
      </c>
      <c r="N7" s="181">
        <v>3.7999999999999999E-2</v>
      </c>
      <c r="O7" s="181">
        <v>3.7999999999999999E-2</v>
      </c>
      <c r="P7" s="181">
        <v>3.7999999999999999E-2</v>
      </c>
      <c r="Q7" s="181">
        <v>3.7999999999999999E-2</v>
      </c>
      <c r="R7" s="181">
        <v>3.7999999999999999E-2</v>
      </c>
      <c r="S7" s="181">
        <v>3.7999999999999999E-2</v>
      </c>
      <c r="T7" s="181">
        <v>3.7999999999999999E-2</v>
      </c>
      <c r="U7" s="181">
        <v>3.7999999999999999E-2</v>
      </c>
      <c r="V7" s="557">
        <v>3.7999999999999999E-2</v>
      </c>
      <c r="W7" s="181">
        <v>0.04</v>
      </c>
      <c r="X7" s="181">
        <v>0.04</v>
      </c>
      <c r="Y7" s="181">
        <v>0.04</v>
      </c>
      <c r="Z7" s="181">
        <v>0.04</v>
      </c>
      <c r="AA7" s="557">
        <v>0.04</v>
      </c>
      <c r="AB7" s="181">
        <v>4.1000000000000002E-2</v>
      </c>
      <c r="AC7" s="181">
        <v>4.1000000000000002E-2</v>
      </c>
      <c r="AD7" s="181">
        <v>4.1000000000000002E-2</v>
      </c>
      <c r="AE7" s="181">
        <v>4.1000000000000002E-2</v>
      </c>
      <c r="AF7" s="183">
        <v>4.1000000000000002E-2</v>
      </c>
      <c r="AG7" s="183">
        <v>4.1000000000000002E-2</v>
      </c>
      <c r="AH7" s="183">
        <v>4.1000000000000002E-2</v>
      </c>
      <c r="AI7" s="183">
        <v>4.1000000000000002E-2</v>
      </c>
      <c r="AJ7" s="181">
        <v>4.1000000000000002E-2</v>
      </c>
      <c r="AK7" s="183">
        <v>4.1000000000000002E-2</v>
      </c>
      <c r="AL7" s="182">
        <v>4.1000000000000002E-2</v>
      </c>
      <c r="AM7" s="181">
        <v>4.1000000000000002E-2</v>
      </c>
      <c r="AN7" s="180">
        <v>4.1000000000000002E-2</v>
      </c>
      <c r="AO7" s="180">
        <v>4.1000000000000002E-2</v>
      </c>
      <c r="AP7" s="180">
        <v>4.1000000000000002E-2</v>
      </c>
      <c r="AQ7" s="180">
        <v>4.1000000000000002E-2</v>
      </c>
      <c r="AR7" s="180">
        <v>4.1000000000000002E-2</v>
      </c>
      <c r="AS7" s="180">
        <v>4.1000000000000002E-2</v>
      </c>
      <c r="AT7" s="115">
        <v>4.1000000000000002E-2</v>
      </c>
      <c r="AU7" s="180">
        <v>4.1000000000000002E-2</v>
      </c>
      <c r="AV7" s="180">
        <v>4.1000000000000002E-2</v>
      </c>
      <c r="AW7" s="180">
        <v>4.1000000000000002E-2</v>
      </c>
      <c r="AX7" s="180">
        <v>4.1000000000000002E-2</v>
      </c>
      <c r="AY7" s="180">
        <v>4.1000000000000002E-2</v>
      </c>
      <c r="AZ7" s="180">
        <v>4.1000000000000002E-2</v>
      </c>
      <c r="BA7" s="180">
        <v>4.2500000000000003E-2</v>
      </c>
      <c r="BB7" s="180">
        <v>4.2500000000000003E-2</v>
      </c>
      <c r="BC7" s="180">
        <v>4.2500000000000003E-2</v>
      </c>
      <c r="BD7" s="180">
        <v>4.2500000000000003E-2</v>
      </c>
      <c r="BE7" s="180">
        <v>4.2500000000000003E-2</v>
      </c>
      <c r="BF7" s="180">
        <v>4.2500000000000003E-2</v>
      </c>
      <c r="BG7" s="180">
        <v>4.2500000000000003E-2</v>
      </c>
      <c r="BH7" s="180">
        <v>4.2999999999999997E-2</v>
      </c>
      <c r="BI7" s="180">
        <v>4.2999999999999997E-2</v>
      </c>
      <c r="BJ7" s="180">
        <v>4.2999999999999997E-2</v>
      </c>
      <c r="BK7" s="180">
        <v>4.2999999999999997E-2</v>
      </c>
      <c r="BL7" s="180">
        <v>4.2999999999999997E-2</v>
      </c>
      <c r="BM7" s="180">
        <v>4.4999999999999998E-2</v>
      </c>
      <c r="BN7" s="180">
        <v>4.4999999999999998E-2</v>
      </c>
      <c r="BO7" s="180">
        <v>4.4999999999999998E-2</v>
      </c>
      <c r="BP7" s="180">
        <v>4.4999999999999998E-2</v>
      </c>
      <c r="BQ7" s="180">
        <v>4.7E-2</v>
      </c>
      <c r="BR7" s="180">
        <v>4.7E-2</v>
      </c>
      <c r="BS7" s="180">
        <v>4.7E-2</v>
      </c>
      <c r="BT7" s="180">
        <v>4.7E-2</v>
      </c>
      <c r="BU7" s="180">
        <v>4.7E-2</v>
      </c>
      <c r="BV7" s="180">
        <v>4.7E-2</v>
      </c>
      <c r="BW7" s="180">
        <v>4.7E-2</v>
      </c>
      <c r="BX7" s="180">
        <v>4.7E-2</v>
      </c>
      <c r="BY7" s="180">
        <v>4.7E-2</v>
      </c>
      <c r="BZ7" s="180">
        <v>4.8000000000000001E-2</v>
      </c>
      <c r="CA7" s="180">
        <v>4.8000000000000001E-2</v>
      </c>
      <c r="CB7" s="180">
        <v>4.8000000000000001E-2</v>
      </c>
      <c r="CC7" s="180">
        <v>0.05</v>
      </c>
      <c r="CD7" s="180">
        <v>0.05</v>
      </c>
      <c r="CE7" s="180">
        <v>0.05</v>
      </c>
      <c r="CF7" s="180">
        <v>0.05</v>
      </c>
      <c r="CG7" s="180">
        <v>0.05</v>
      </c>
      <c r="CH7" s="180">
        <v>0.05</v>
      </c>
      <c r="CI7" s="180">
        <v>0.05</v>
      </c>
      <c r="CJ7" s="180">
        <v>0.05</v>
      </c>
      <c r="CK7" s="180">
        <v>0.05</v>
      </c>
      <c r="CL7" s="180">
        <v>0.05</v>
      </c>
      <c r="CM7" s="180">
        <v>0.05</v>
      </c>
      <c r="CN7" s="180">
        <v>0.05</v>
      </c>
      <c r="CO7" s="180">
        <v>0.05</v>
      </c>
      <c r="CP7" s="180">
        <v>0.05</v>
      </c>
      <c r="CQ7" s="180">
        <v>0.05</v>
      </c>
      <c r="CR7" s="180">
        <v>0.05</v>
      </c>
      <c r="CS7" s="180">
        <v>0.05</v>
      </c>
      <c r="CT7" s="180">
        <v>0.05</v>
      </c>
      <c r="CU7" s="180">
        <v>0.05</v>
      </c>
      <c r="CV7" s="180">
        <v>0.05</v>
      </c>
      <c r="CW7" s="180">
        <v>0.05</v>
      </c>
      <c r="CX7" s="180">
        <v>0.05</v>
      </c>
      <c r="CY7" s="180">
        <v>0.05</v>
      </c>
      <c r="CZ7" s="180">
        <v>0.05</v>
      </c>
      <c r="DA7" s="180">
        <v>0.05</v>
      </c>
      <c r="DB7" s="180">
        <v>0.05</v>
      </c>
      <c r="DC7" s="180">
        <v>0.05</v>
      </c>
      <c r="DD7" s="180">
        <v>0.05</v>
      </c>
      <c r="DE7" s="180">
        <v>0.05</v>
      </c>
      <c r="DF7" s="180">
        <v>5.0500000000000003E-2</v>
      </c>
      <c r="DG7" s="180">
        <v>5.0500000000000003E-2</v>
      </c>
      <c r="DH7" s="180">
        <v>5.0500000000000003E-2</v>
      </c>
      <c r="DI7" s="180">
        <v>5.0500000000000003E-2</v>
      </c>
      <c r="DJ7" s="180">
        <v>5.0500000000000003E-2</v>
      </c>
      <c r="DK7" s="180">
        <v>5.0500000000000003E-2</v>
      </c>
      <c r="DL7" s="180">
        <v>5.0500000000000003E-2</v>
      </c>
      <c r="DM7" s="180">
        <v>5.0500000000000003E-2</v>
      </c>
      <c r="DN7" s="180">
        <v>5.0500000000000003E-2</v>
      </c>
      <c r="DO7" s="180">
        <v>5.0500000000000003E-2</v>
      </c>
      <c r="DP7" s="180">
        <v>5.0500000000000003E-2</v>
      </c>
      <c r="DQ7" s="180">
        <v>5.0500000000000003E-2</v>
      </c>
      <c r="DR7" s="180">
        <v>5.0500000000000003E-2</v>
      </c>
      <c r="DS7" s="180">
        <v>5.0500000000000003E-2</v>
      </c>
      <c r="DT7" s="180">
        <v>0.05</v>
      </c>
      <c r="DU7" s="180">
        <v>0.05</v>
      </c>
      <c r="DV7" s="180">
        <v>0.05</v>
      </c>
      <c r="DW7" s="180">
        <v>0.05</v>
      </c>
      <c r="DX7" s="180">
        <v>0.05</v>
      </c>
      <c r="DY7" s="180">
        <v>0.05</v>
      </c>
      <c r="DZ7" s="180">
        <v>0.05</v>
      </c>
      <c r="EA7" s="180">
        <v>4.8000000000000001E-2</v>
      </c>
      <c r="EB7" s="180">
        <v>4.8000000000000001E-2</v>
      </c>
      <c r="EC7" s="180">
        <v>4.8000000000000001E-2</v>
      </c>
      <c r="ED7" s="180">
        <v>4.8000000000000001E-2</v>
      </c>
      <c r="EE7" s="180">
        <v>4.8000000000000001E-2</v>
      </c>
      <c r="EF7" s="180">
        <v>4.7500000000000001E-2</v>
      </c>
      <c r="EG7" s="180">
        <v>2.7E-2</v>
      </c>
      <c r="EH7" s="180">
        <v>2.1999999999999999E-2</v>
      </c>
      <c r="EI7" s="180">
        <v>2.1999999999999999E-2</v>
      </c>
      <c r="EJ7" s="180">
        <v>2.1999999999999999E-2</v>
      </c>
      <c r="EK7" s="180">
        <v>2.1999999999999999E-2</v>
      </c>
      <c r="EL7" s="180">
        <v>4.4999999999999998E-2</v>
      </c>
      <c r="EM7" s="180">
        <v>4.4999999999999998E-2</v>
      </c>
      <c r="EN7" s="180">
        <v>4.4999999999999998E-2</v>
      </c>
      <c r="EO7" s="180">
        <v>4.4999999999999998E-2</v>
      </c>
      <c r="EP7" s="180">
        <v>4.4999999999999998E-2</v>
      </c>
      <c r="EQ7" s="180">
        <v>4.4999999999999998E-2</v>
      </c>
      <c r="ER7" s="180">
        <v>4.4999999999999998E-2</v>
      </c>
      <c r="ES7" s="180">
        <v>4.4999999999999998E-2</v>
      </c>
      <c r="ET7" s="180">
        <v>4.3999999999999997E-2</v>
      </c>
      <c r="EU7" s="180">
        <v>4.3999999999999997E-2</v>
      </c>
      <c r="EV7" s="180">
        <v>4.3999999999999997E-2</v>
      </c>
      <c r="EW7" s="180">
        <v>4.3999999999999997E-2</v>
      </c>
      <c r="EX7" s="180">
        <v>4.3999999999999997E-2</v>
      </c>
      <c r="EY7" s="180">
        <v>4.3999999999999997E-2</v>
      </c>
      <c r="EZ7" s="180">
        <v>0.04</v>
      </c>
      <c r="FA7" s="180">
        <v>0.04</v>
      </c>
      <c r="FB7" s="180">
        <v>0.04</v>
      </c>
      <c r="FC7" s="180">
        <v>0.04</v>
      </c>
      <c r="FD7" s="180">
        <v>3.9E-2</v>
      </c>
      <c r="FE7" s="180">
        <v>3.9E-2</v>
      </c>
      <c r="FF7" s="180">
        <v>3.9E-2</v>
      </c>
      <c r="FG7" s="180">
        <v>3.9E-2</v>
      </c>
      <c r="FH7" s="180">
        <v>3.7999999999999999E-2</v>
      </c>
      <c r="FI7" s="180">
        <v>3.7999999999999999E-2</v>
      </c>
      <c r="FJ7" s="180">
        <v>3.7999999999999999E-2</v>
      </c>
      <c r="FK7" s="180">
        <v>3.7999999999999999E-2</v>
      </c>
      <c r="FL7" s="180">
        <v>3.7999999999999999E-2</v>
      </c>
      <c r="FM7" s="180">
        <v>3.3000000000000002E-2</v>
      </c>
      <c r="FN7" s="180">
        <v>3.3000000000000002E-2</v>
      </c>
      <c r="FO7" s="180">
        <v>3.3000000000000002E-2</v>
      </c>
      <c r="FP7" s="180">
        <v>3.3000000000000002E-2</v>
      </c>
      <c r="FQ7" s="180">
        <v>2.7E-2</v>
      </c>
      <c r="FR7" s="180">
        <v>2.7E-2</v>
      </c>
      <c r="FS7" s="180">
        <v>2.7E-2</v>
      </c>
      <c r="FT7" s="180">
        <v>4.7E-2</v>
      </c>
      <c r="FU7" s="180">
        <v>4.4999999999999998E-2</v>
      </c>
      <c r="FV7" s="180">
        <v>4.7500000000000001E-2</v>
      </c>
      <c r="FW7" s="180">
        <v>4.7500000000000001E-2</v>
      </c>
      <c r="FX7" s="180">
        <v>4.7500000000000001E-2</v>
      </c>
      <c r="FY7" s="180">
        <v>4.7E-2</v>
      </c>
      <c r="FZ7" s="180">
        <v>4.7E-2</v>
      </c>
      <c r="GA7" s="180">
        <v>4.7E-2</v>
      </c>
      <c r="GB7" s="180">
        <v>2.1999999999999999E-2</v>
      </c>
      <c r="GC7" s="180">
        <v>2.1999999999999999E-2</v>
      </c>
      <c r="GD7" s="180">
        <v>2.1999999999999999E-2</v>
      </c>
      <c r="GE7" s="180">
        <v>2.1999999999999999E-2</v>
      </c>
      <c r="GF7" s="180">
        <v>2.1999999999999999E-2</v>
      </c>
      <c r="GG7" s="180">
        <v>2.1999999999999999E-2</v>
      </c>
      <c r="GH7" s="180">
        <v>2.1999999999999999E-2</v>
      </c>
      <c r="GI7" s="180">
        <v>2.1999999999999999E-2</v>
      </c>
      <c r="GJ7" s="180">
        <v>2.1999999999999999E-2</v>
      </c>
      <c r="GK7" s="180">
        <v>2.1999999999999999E-2</v>
      </c>
      <c r="GL7" s="180">
        <v>2.1999999999999999E-2</v>
      </c>
      <c r="GM7" s="180">
        <v>2.1999999999999999E-2</v>
      </c>
      <c r="GN7" s="180">
        <v>2.1999999999999999E-2</v>
      </c>
      <c r="GO7" s="180">
        <v>2.1999999999999999E-2</v>
      </c>
      <c r="GP7" s="180">
        <v>2.1999999999999999E-2</v>
      </c>
      <c r="GQ7" s="180">
        <v>2.1999999999999999E-2</v>
      </c>
      <c r="GR7" s="180">
        <v>2.1999999999999999E-2</v>
      </c>
      <c r="GS7" s="180">
        <v>2.1999999999999999E-2</v>
      </c>
      <c r="GT7" s="180">
        <v>2.1999999999999999E-2</v>
      </c>
      <c r="GU7" s="180">
        <v>2.1999999999999999E-2</v>
      </c>
      <c r="GV7" s="180">
        <v>2.1999999999999999E-2</v>
      </c>
      <c r="GW7" s="180">
        <v>2.1999999999999999E-2</v>
      </c>
      <c r="GX7" s="180">
        <v>2.1999999999999999E-2</v>
      </c>
      <c r="GY7" s="180">
        <v>2.1999999999999999E-2</v>
      </c>
      <c r="GZ7" s="180">
        <v>2.1999999999999999E-2</v>
      </c>
      <c r="HA7" s="180">
        <v>2.1999999999999999E-2</v>
      </c>
      <c r="HB7" s="180">
        <v>2.1999999999999999E-2</v>
      </c>
      <c r="HC7" s="180">
        <v>2.1999999999999999E-2</v>
      </c>
      <c r="HD7" s="180">
        <v>2.1999999999999999E-2</v>
      </c>
      <c r="HE7" s="180">
        <v>2.1999999999999999E-2</v>
      </c>
      <c r="HF7" s="180">
        <v>2.1999999999999999E-2</v>
      </c>
      <c r="HG7" s="180">
        <v>2.1999999999999999E-2</v>
      </c>
      <c r="HH7" s="180">
        <v>2.1999999999999999E-2</v>
      </c>
      <c r="HI7" s="180">
        <v>2.1999999999999999E-2</v>
      </c>
      <c r="HJ7" s="180">
        <v>2.1999999999999999E-2</v>
      </c>
      <c r="HK7" s="180">
        <v>2.1999999999999999E-2</v>
      </c>
      <c r="HL7" s="180">
        <v>2.1999999999999999E-2</v>
      </c>
      <c r="HM7" s="180">
        <v>2.1999999999999999E-2</v>
      </c>
      <c r="HN7" s="41">
        <f>$D7-$E7</f>
        <v>0</v>
      </c>
      <c r="HO7" s="109" t="s">
        <v>298</v>
      </c>
      <c r="HT7" s="103"/>
      <c r="HU7" s="103"/>
      <c r="HV7" s="103"/>
      <c r="HW7" s="103"/>
      <c r="HX7" s="103"/>
      <c r="HY7" s="103"/>
      <c r="HZ7" s="103"/>
      <c r="IA7" s="103"/>
      <c r="IB7" s="103"/>
      <c r="IC7" s="103"/>
      <c r="ID7" s="103"/>
      <c r="IE7" s="103"/>
      <c r="IF7" s="103"/>
      <c r="IG7" s="103"/>
      <c r="IH7" s="103"/>
      <c r="II7" s="103"/>
      <c r="IJ7" s="103"/>
      <c r="IK7" s="103"/>
      <c r="IL7" s="103"/>
      <c r="IM7" s="103"/>
      <c r="IN7" s="103"/>
      <c r="IO7" s="103"/>
      <c r="IP7" s="103"/>
      <c r="IQ7" s="103"/>
      <c r="IR7" s="103"/>
      <c r="IS7" s="103"/>
      <c r="IT7" s="103"/>
      <c r="IU7" s="103"/>
      <c r="IV7" s="103"/>
      <c r="IW7" s="103"/>
      <c r="IX7" s="103"/>
      <c r="IY7" s="103"/>
      <c r="IZ7" s="103"/>
      <c r="JA7" s="103"/>
      <c r="JB7" s="103"/>
      <c r="JC7" s="103"/>
      <c r="JD7" s="103"/>
      <c r="JE7" s="103"/>
      <c r="JF7" s="103"/>
      <c r="JG7" s="103"/>
      <c r="JH7" s="103"/>
      <c r="JI7" s="103"/>
      <c r="JJ7" s="103"/>
      <c r="JK7" s="103"/>
      <c r="JL7" s="103"/>
      <c r="JM7" s="103"/>
      <c r="JN7" s="103"/>
      <c r="JO7" s="103"/>
      <c r="JP7" s="103"/>
      <c r="JQ7" s="103"/>
      <c r="JR7" s="103"/>
      <c r="JS7" s="103"/>
      <c r="JT7" s="103"/>
      <c r="JU7" s="103"/>
      <c r="JV7" s="103"/>
      <c r="JW7" s="103"/>
      <c r="JX7" s="103"/>
      <c r="JY7" s="103"/>
      <c r="JZ7" s="103"/>
      <c r="KA7" s="103"/>
      <c r="KB7" s="103"/>
      <c r="KC7" s="103"/>
      <c r="KD7" s="103"/>
      <c r="KE7" s="103"/>
      <c r="KF7" s="103"/>
      <c r="KG7" s="103"/>
      <c r="KH7" s="103"/>
      <c r="KI7" s="103"/>
      <c r="KJ7" s="103"/>
      <c r="KK7" s="103"/>
      <c r="KL7" s="103"/>
      <c r="KM7" s="103"/>
      <c r="KN7" s="103"/>
      <c r="KO7" s="103"/>
      <c r="KP7" s="103"/>
      <c r="KQ7" s="103"/>
      <c r="KR7" s="103"/>
      <c r="KS7" s="103"/>
      <c r="KT7" s="103"/>
      <c r="KU7" s="103"/>
      <c r="KV7" s="103"/>
      <c r="KW7" s="103"/>
      <c r="KX7" s="103"/>
      <c r="KY7" s="103"/>
      <c r="KZ7" s="103"/>
      <c r="LA7" s="103"/>
      <c r="LB7" s="103"/>
      <c r="LC7" s="103"/>
      <c r="LD7" s="103"/>
      <c r="LE7" s="103"/>
      <c r="LF7" s="103"/>
      <c r="LG7" s="103"/>
      <c r="LH7" s="103"/>
      <c r="LI7" s="103"/>
      <c r="LJ7" s="103"/>
      <c r="LK7" s="103"/>
      <c r="LL7" s="103"/>
      <c r="LM7" s="103"/>
    </row>
    <row r="8" spans="2:325">
      <c r="B8" s="761" t="s">
        <v>23</v>
      </c>
      <c r="C8" s="158" t="s">
        <v>313</v>
      </c>
      <c r="D8" s="167">
        <v>3.2500000000000001E-2</v>
      </c>
      <c r="E8" s="167">
        <v>3.2500000000000001E-2</v>
      </c>
      <c r="F8" s="167">
        <v>3.2500000000000001E-2</v>
      </c>
      <c r="G8" s="167">
        <v>3.2500000000000001E-2</v>
      </c>
      <c r="H8" s="167">
        <v>3.2500000000000001E-2</v>
      </c>
      <c r="I8" s="168">
        <v>3.2500000000000001E-2</v>
      </c>
      <c r="J8" s="167">
        <v>3.5000000000000003E-2</v>
      </c>
      <c r="K8" s="167">
        <v>3.5000000000000003E-2</v>
      </c>
      <c r="L8" s="167">
        <v>3.5000000000000003E-2</v>
      </c>
      <c r="M8" s="168">
        <v>3.5000000000000003E-2</v>
      </c>
      <c r="N8" s="167">
        <v>3.7499999999999999E-2</v>
      </c>
      <c r="O8" s="167">
        <v>3.7499999999999999E-2</v>
      </c>
      <c r="P8" s="167">
        <v>3.7499999999999999E-2</v>
      </c>
      <c r="Q8" s="167">
        <v>3.7499999999999999E-2</v>
      </c>
      <c r="R8" s="167">
        <v>3.7499999999999999E-2</v>
      </c>
      <c r="S8" s="167">
        <v>3.7499999999999999E-2</v>
      </c>
      <c r="T8" s="167">
        <v>3.7499999999999999E-2</v>
      </c>
      <c r="U8" s="167">
        <v>3.7499999999999999E-2</v>
      </c>
      <c r="V8" s="167">
        <v>3.7499999999999999E-2</v>
      </c>
      <c r="W8" s="167">
        <v>3.7499999999999999E-2</v>
      </c>
      <c r="X8" s="167">
        <v>3.7499999999999999E-2</v>
      </c>
      <c r="Y8" s="167">
        <v>3.7499999999999999E-2</v>
      </c>
      <c r="Z8" s="167">
        <v>3.7499999999999999E-2</v>
      </c>
      <c r="AA8" s="167">
        <v>3.7499999999999999E-2</v>
      </c>
      <c r="AB8" s="167">
        <v>3.7499999999999999E-2</v>
      </c>
      <c r="AC8" s="167">
        <v>3.7499999999999999E-2</v>
      </c>
      <c r="AD8" s="167">
        <v>3.7499999999999999E-2</v>
      </c>
      <c r="AE8" s="168">
        <v>3.7499999999999999E-2</v>
      </c>
      <c r="AF8" s="63">
        <v>0.04</v>
      </c>
      <c r="AG8" s="63">
        <v>0.04</v>
      </c>
      <c r="AH8" s="63">
        <v>0.04</v>
      </c>
      <c r="AI8" s="63">
        <v>0.04</v>
      </c>
      <c r="AJ8" s="167">
        <v>0.04</v>
      </c>
      <c r="AK8" s="63">
        <v>0.04</v>
      </c>
      <c r="AL8" s="108">
        <v>0.04</v>
      </c>
      <c r="AM8" s="167">
        <v>0.04</v>
      </c>
      <c r="AN8" s="152">
        <v>0.04</v>
      </c>
      <c r="AO8" s="152">
        <v>0.04</v>
      </c>
      <c r="AP8" s="152">
        <v>0.04</v>
      </c>
      <c r="AQ8" s="152">
        <v>0.04</v>
      </c>
      <c r="AR8" s="152">
        <v>0.04</v>
      </c>
      <c r="AS8" s="152">
        <v>0.04</v>
      </c>
      <c r="AT8" s="152">
        <v>0.04</v>
      </c>
      <c r="AU8" s="152">
        <v>0.04</v>
      </c>
      <c r="AV8" s="152">
        <v>0.04</v>
      </c>
      <c r="AW8" s="152">
        <v>0.04</v>
      </c>
      <c r="AX8" s="152">
        <v>0.04</v>
      </c>
      <c r="AY8" s="153">
        <v>0.04</v>
      </c>
      <c r="AZ8" s="153">
        <v>0.04</v>
      </c>
      <c r="BA8" s="153">
        <v>0.04</v>
      </c>
      <c r="BB8" s="153">
        <v>0.04</v>
      </c>
      <c r="BC8" s="153">
        <v>0.04</v>
      </c>
      <c r="BD8" s="153">
        <v>0.04</v>
      </c>
      <c r="BE8" s="153">
        <v>0.04</v>
      </c>
      <c r="BF8" s="153">
        <v>0.04</v>
      </c>
      <c r="BG8" s="153">
        <v>0.04</v>
      </c>
      <c r="BH8" s="153">
        <v>4.3999999999999997E-2</v>
      </c>
      <c r="BI8" s="153">
        <v>4.3999999999999997E-2</v>
      </c>
      <c r="BJ8" s="153">
        <v>4.3999999999999997E-2</v>
      </c>
      <c r="BK8" s="153">
        <v>4.3999999999999997E-2</v>
      </c>
      <c r="BL8" s="153">
        <v>4.5999999999999999E-2</v>
      </c>
      <c r="BM8" s="153">
        <v>4.5999999999999999E-2</v>
      </c>
      <c r="BN8" s="153">
        <v>4.5999999999999999E-2</v>
      </c>
      <c r="BO8" s="153">
        <v>4.5999999999999999E-2</v>
      </c>
      <c r="BP8" s="153">
        <v>4.5999999999999999E-2</v>
      </c>
      <c r="BQ8" s="152">
        <v>4.5999999999999999E-2</v>
      </c>
      <c r="BR8" s="152">
        <v>4.5999999999999999E-2</v>
      </c>
      <c r="BS8" s="152">
        <v>4.5999999999999999E-2</v>
      </c>
      <c r="BT8" s="152">
        <v>4.5999999999999999E-2</v>
      </c>
      <c r="BU8" s="152">
        <v>4.7500000000000001E-2</v>
      </c>
      <c r="BV8" s="152"/>
      <c r="BW8" s="152"/>
      <c r="BX8" s="152"/>
      <c r="BY8" s="152"/>
      <c r="BZ8" s="152"/>
      <c r="CA8" s="152"/>
      <c r="CB8" s="152"/>
      <c r="CC8" s="152"/>
      <c r="CD8" s="152"/>
      <c r="CE8" s="152"/>
      <c r="CF8" s="152"/>
      <c r="CG8" s="152"/>
      <c r="CH8" s="152"/>
      <c r="CI8" s="152"/>
      <c r="CJ8" s="152"/>
      <c r="CK8" s="152"/>
      <c r="CL8" s="152"/>
      <c r="CM8" s="152"/>
      <c r="CN8" s="152"/>
      <c r="CO8" s="152"/>
      <c r="CP8" s="152"/>
      <c r="CQ8" s="152"/>
      <c r="CR8" s="152"/>
      <c r="CS8" s="109"/>
      <c r="CT8" s="109"/>
      <c r="CU8" s="109"/>
      <c r="CV8" s="109"/>
      <c r="CW8" s="109"/>
      <c r="CX8" s="109"/>
      <c r="CY8" s="109"/>
      <c r="CZ8" s="109"/>
      <c r="DA8" s="109"/>
      <c r="DB8" s="109"/>
      <c r="DC8" s="109"/>
      <c r="DD8" s="109"/>
      <c r="DE8" s="109"/>
      <c r="DF8" s="109"/>
      <c r="DG8" s="109"/>
      <c r="DH8" s="109"/>
      <c r="DI8" s="109"/>
      <c r="DJ8" s="109"/>
      <c r="DK8" s="109"/>
      <c r="DL8" s="109"/>
      <c r="DM8" s="109"/>
      <c r="DN8" s="109"/>
      <c r="DO8" s="109"/>
      <c r="DP8" s="109"/>
      <c r="DQ8" s="109"/>
      <c r="DR8" s="109"/>
      <c r="DS8" s="109"/>
      <c r="DT8" s="109"/>
      <c r="DU8" s="109"/>
      <c r="DV8" s="109"/>
      <c r="DW8" s="109"/>
      <c r="DX8" s="109"/>
      <c r="DY8" s="109"/>
      <c r="DZ8" s="109"/>
      <c r="EA8" s="109"/>
      <c r="EB8" s="109"/>
      <c r="EC8" s="109"/>
      <c r="ED8" s="109"/>
      <c r="EE8" s="109"/>
      <c r="EF8" s="109"/>
      <c r="EG8" s="109"/>
      <c r="EH8" s="109"/>
      <c r="EI8" s="109"/>
      <c r="EJ8" s="109"/>
      <c r="EK8" s="109"/>
      <c r="EL8" s="109"/>
      <c r="EM8" s="109"/>
      <c r="EN8" s="109"/>
      <c r="EO8" s="109"/>
      <c r="EP8" s="109"/>
      <c r="EQ8" s="109"/>
      <c r="ER8" s="109"/>
      <c r="ES8" s="109"/>
      <c r="ET8" s="109"/>
      <c r="EU8" s="109"/>
      <c r="EV8" s="109"/>
      <c r="EW8" s="109"/>
      <c r="EX8" s="109"/>
      <c r="EY8" s="109"/>
      <c r="EZ8" s="109"/>
      <c r="FA8" s="109"/>
      <c r="FB8" s="109"/>
      <c r="FC8" s="109"/>
      <c r="FD8" s="109"/>
      <c r="FE8" s="109"/>
      <c r="FF8" s="109"/>
      <c r="FG8" s="109"/>
      <c r="FH8" s="109"/>
      <c r="FI8" s="109"/>
      <c r="FJ8" s="109"/>
      <c r="FK8" s="109"/>
      <c r="FL8" s="109"/>
      <c r="FM8" s="109"/>
      <c r="FN8" s="109"/>
      <c r="FO8" s="109"/>
      <c r="FP8" s="109"/>
      <c r="FQ8" s="109"/>
      <c r="FR8" s="109"/>
      <c r="FS8" s="109"/>
      <c r="FT8" s="109"/>
      <c r="FU8" s="109"/>
      <c r="FV8" s="109"/>
      <c r="FW8" s="109"/>
      <c r="FX8" s="109"/>
      <c r="FY8" s="109"/>
      <c r="FZ8" s="109"/>
      <c r="GA8" s="109"/>
      <c r="GB8" s="109"/>
      <c r="GC8" s="109"/>
      <c r="GD8" s="109"/>
      <c r="GE8" s="109"/>
      <c r="GF8" s="109"/>
      <c r="GG8" s="109"/>
      <c r="GH8" s="109"/>
      <c r="GI8" s="109"/>
      <c r="GJ8" s="109"/>
      <c r="GK8" s="109"/>
      <c r="GL8" s="109"/>
      <c r="GM8" s="109"/>
      <c r="GN8" s="109"/>
      <c r="GO8" s="109"/>
      <c r="GP8" s="109"/>
      <c r="GQ8" s="109"/>
      <c r="GR8" s="109"/>
      <c r="GS8" s="109"/>
      <c r="GT8" s="109"/>
      <c r="GU8" s="109"/>
      <c r="GV8" s="109"/>
      <c r="GW8" s="109"/>
      <c r="GX8" s="109"/>
      <c r="GY8" s="109"/>
      <c r="GZ8" s="109"/>
      <c r="HA8" s="109"/>
      <c r="HB8" s="109"/>
      <c r="HC8" s="109"/>
      <c r="HD8" s="109"/>
      <c r="HE8" s="109"/>
      <c r="HF8" s="109"/>
      <c r="HG8" s="109"/>
      <c r="HH8" s="109"/>
      <c r="HI8" s="109"/>
      <c r="HJ8" s="109"/>
      <c r="HK8" s="109"/>
      <c r="HL8" s="109"/>
      <c r="HM8" s="109"/>
      <c r="HN8" s="41">
        <f>$D8-$E8</f>
        <v>0</v>
      </c>
      <c r="HO8" s="109" t="s">
        <v>312</v>
      </c>
      <c r="HT8" s="103"/>
      <c r="HU8" s="103"/>
      <c r="HV8" s="103"/>
      <c r="HW8" s="103"/>
      <c r="HX8" s="103"/>
      <c r="HY8" s="103"/>
      <c r="HZ8" s="103"/>
      <c r="IA8" s="103"/>
      <c r="IB8" s="103"/>
      <c r="IC8" s="103"/>
      <c r="ID8" s="103"/>
      <c r="IE8" s="103"/>
      <c r="IF8" s="103"/>
      <c r="IG8" s="103"/>
      <c r="IH8" s="103"/>
      <c r="II8" s="103"/>
      <c r="IJ8" s="103"/>
      <c r="IK8" s="103"/>
      <c r="IL8" s="103"/>
      <c r="IM8" s="103"/>
      <c r="IN8" s="103"/>
      <c r="IO8" s="103"/>
      <c r="IP8" s="103"/>
      <c r="IQ8" s="103"/>
      <c r="IR8" s="103"/>
      <c r="IS8" s="103"/>
      <c r="IT8" s="103"/>
      <c r="IU8" s="103"/>
      <c r="IV8" s="103"/>
      <c r="IW8" s="103"/>
      <c r="IX8" s="103"/>
      <c r="IY8" s="103"/>
      <c r="IZ8" s="103"/>
      <c r="JA8" s="103"/>
      <c r="JB8" s="103"/>
      <c r="JC8" s="103"/>
      <c r="JD8" s="103"/>
      <c r="JE8" s="103"/>
      <c r="JF8" s="103"/>
      <c r="JG8" s="103"/>
      <c r="JH8" s="103"/>
      <c r="JI8" s="103"/>
      <c r="JJ8" s="103"/>
      <c r="JK8" s="103"/>
      <c r="JL8" s="103"/>
      <c r="JM8" s="103"/>
      <c r="JN8" s="103"/>
      <c r="JO8" s="103"/>
      <c r="JP8" s="103"/>
      <c r="JQ8" s="103"/>
      <c r="JR8" s="103"/>
      <c r="JS8" s="103"/>
      <c r="JT8" s="103"/>
      <c r="JU8" s="103"/>
      <c r="JV8" s="103"/>
      <c r="JW8" s="103"/>
      <c r="JX8" s="103"/>
      <c r="JY8" s="103"/>
      <c r="JZ8" s="103"/>
      <c r="KA8" s="103"/>
      <c r="KB8" s="103"/>
      <c r="KC8" s="103"/>
      <c r="KD8" s="103"/>
      <c r="KE8" s="103"/>
      <c r="KF8" s="103"/>
      <c r="KG8" s="103"/>
      <c r="KH8" s="103"/>
      <c r="KI8" s="103"/>
      <c r="KJ8" s="103"/>
      <c r="KK8" s="103"/>
      <c r="KL8" s="103"/>
      <c r="KM8" s="103"/>
      <c r="KN8" s="103"/>
      <c r="KO8" s="103"/>
      <c r="KP8" s="103"/>
      <c r="KQ8" s="103"/>
      <c r="KR8" s="103"/>
      <c r="KS8" s="103"/>
      <c r="KT8" s="103"/>
      <c r="KU8" s="103"/>
      <c r="KV8" s="103"/>
      <c r="KW8" s="103"/>
      <c r="KX8" s="103"/>
      <c r="KY8" s="103"/>
      <c r="KZ8" s="103"/>
      <c r="LA8" s="103"/>
      <c r="LB8" s="103"/>
      <c r="LC8" s="103"/>
      <c r="LD8" s="103"/>
      <c r="LE8" s="103"/>
      <c r="LF8" s="103"/>
      <c r="LG8" s="103"/>
      <c r="LH8" s="103"/>
      <c r="LI8" s="103"/>
      <c r="LJ8" s="103"/>
      <c r="LK8" s="103"/>
      <c r="LL8" s="103"/>
      <c r="LM8" s="103"/>
    </row>
    <row r="9" spans="2:325">
      <c r="B9" s="695" t="s">
        <v>12</v>
      </c>
      <c r="C9" s="165" t="s">
        <v>293</v>
      </c>
      <c r="D9" s="809">
        <v>3.2500000000000001E-2</v>
      </c>
      <c r="E9" s="809">
        <v>3.2500000000000001E-2</v>
      </c>
      <c r="F9" s="809">
        <v>3.2000000000000001E-2</v>
      </c>
      <c r="G9" s="167">
        <v>3.2000000000000001E-2</v>
      </c>
      <c r="H9" s="154">
        <v>3.2000000000000001E-2</v>
      </c>
      <c r="I9" s="156">
        <v>3.2000000000000001E-2</v>
      </c>
      <c r="J9" s="154">
        <v>3.15E-2</v>
      </c>
      <c r="K9" s="154">
        <v>3.15E-2</v>
      </c>
      <c r="L9" s="156">
        <v>3.15E-2</v>
      </c>
      <c r="M9" s="156">
        <v>3.2000000000000001E-2</v>
      </c>
      <c r="N9" s="156">
        <v>3.4000000000000002E-2</v>
      </c>
      <c r="O9" s="156">
        <v>3.3500000000000002E-2</v>
      </c>
      <c r="P9" s="156">
        <v>3.3000000000000002E-2</v>
      </c>
      <c r="Q9" s="156">
        <v>3.2500000000000001E-2</v>
      </c>
      <c r="R9" s="156">
        <v>3.3500000000000002E-2</v>
      </c>
      <c r="S9" s="156">
        <v>3.4500000000000003E-2</v>
      </c>
      <c r="T9" s="154">
        <v>3.27E-2</v>
      </c>
      <c r="U9" s="156">
        <v>3.27E-2</v>
      </c>
      <c r="V9" s="156">
        <v>3.3000000000000002E-2</v>
      </c>
      <c r="W9" s="156">
        <v>3.3500000000000002E-2</v>
      </c>
      <c r="X9" s="154">
        <v>3.4000000000000002E-2</v>
      </c>
      <c r="Y9" s="154">
        <v>3.4000000000000002E-2</v>
      </c>
      <c r="Z9" s="156">
        <v>3.4000000000000002E-2</v>
      </c>
      <c r="AA9" s="154">
        <v>3.4500000000000003E-2</v>
      </c>
      <c r="AB9" s="154">
        <v>3.4500000000000003E-2</v>
      </c>
      <c r="AC9" s="156">
        <v>3.4500000000000003E-2</v>
      </c>
      <c r="AD9" s="156">
        <v>3.5000000000000003E-2</v>
      </c>
      <c r="AE9" s="154">
        <v>3.5999999999999997E-2</v>
      </c>
      <c r="AF9" s="157">
        <v>3.5999999999999997E-2</v>
      </c>
      <c r="AG9" s="157">
        <v>3.5999999999999997E-2</v>
      </c>
      <c r="AH9" s="156">
        <v>3.5999999999999997E-2</v>
      </c>
      <c r="AI9" s="157">
        <v>3.6499999999999998E-2</v>
      </c>
      <c r="AJ9" s="154">
        <v>3.6499999999999998E-2</v>
      </c>
      <c r="AK9" s="157">
        <v>3.6499999999999998E-2</v>
      </c>
      <c r="AL9" s="155">
        <v>3.6499999999999998E-2</v>
      </c>
      <c r="AM9" s="154">
        <v>3.6499999999999998E-2</v>
      </c>
      <c r="AN9" s="152">
        <v>3.6499999999999998E-2</v>
      </c>
      <c r="AO9" s="152">
        <v>3.6499999999999998E-2</v>
      </c>
      <c r="AP9" s="152">
        <v>3.6499999999999998E-2</v>
      </c>
      <c r="AQ9" s="152">
        <v>3.6499999999999998E-2</v>
      </c>
      <c r="AR9" s="152">
        <v>3.6499999999999998E-2</v>
      </c>
      <c r="AS9" s="152">
        <v>3.6499999999999998E-2</v>
      </c>
      <c r="AT9" s="152">
        <v>3.6499999999999998E-2</v>
      </c>
      <c r="AU9" s="152">
        <v>3.6499999999999998E-2</v>
      </c>
      <c r="AV9" s="152">
        <v>3.6499999999999998E-2</v>
      </c>
      <c r="AW9" s="152"/>
      <c r="AX9" s="152"/>
      <c r="AY9" s="153"/>
      <c r="AZ9" s="153"/>
      <c r="BA9" s="153"/>
      <c r="BB9" s="153"/>
      <c r="BC9" s="153"/>
      <c r="BD9" s="153"/>
      <c r="BE9" s="153"/>
      <c r="BF9" s="153"/>
      <c r="BG9" s="153"/>
      <c r="BH9" s="153"/>
      <c r="BI9" s="153"/>
      <c r="BJ9" s="153"/>
      <c r="BK9" s="153"/>
      <c r="BL9" s="153"/>
      <c r="BM9" s="153"/>
      <c r="BN9" s="153"/>
      <c r="BO9" s="153"/>
      <c r="BP9" s="153"/>
      <c r="BQ9" s="152"/>
      <c r="BR9" s="152"/>
      <c r="BS9" s="152"/>
      <c r="BT9" s="152"/>
      <c r="BU9" s="152"/>
      <c r="BV9" s="152"/>
      <c r="BW9" s="152"/>
      <c r="BX9" s="152"/>
      <c r="BY9" s="152"/>
      <c r="BZ9" s="152"/>
      <c r="CA9" s="152"/>
      <c r="CB9" s="152"/>
      <c r="CC9" s="152"/>
      <c r="CD9" s="152"/>
      <c r="CE9" s="152"/>
      <c r="CF9" s="152"/>
      <c r="CG9" s="152"/>
      <c r="CH9" s="152"/>
      <c r="CI9" s="152"/>
      <c r="CJ9" s="152"/>
      <c r="CK9" s="152"/>
      <c r="CL9" s="152"/>
      <c r="CM9" s="152"/>
      <c r="CN9" s="152"/>
      <c r="CO9" s="152"/>
      <c r="CP9" s="152"/>
      <c r="CQ9" s="152"/>
      <c r="CR9" s="152"/>
      <c r="CS9" s="109"/>
      <c r="CT9" s="109"/>
      <c r="CU9" s="109"/>
      <c r="CV9" s="109"/>
      <c r="CW9" s="109"/>
      <c r="CX9" s="109"/>
      <c r="CY9" s="109"/>
      <c r="CZ9" s="109"/>
      <c r="DA9" s="109"/>
      <c r="DB9" s="109"/>
      <c r="DC9" s="109"/>
      <c r="DD9" s="109"/>
      <c r="DE9" s="109"/>
      <c r="DF9" s="109"/>
      <c r="DG9" s="109"/>
      <c r="DH9" s="109"/>
      <c r="DI9" s="109"/>
      <c r="DJ9" s="109"/>
      <c r="DK9" s="109"/>
      <c r="DL9" s="109"/>
      <c r="DM9" s="109"/>
      <c r="DN9" s="109"/>
      <c r="DO9" s="109"/>
      <c r="DP9" s="109"/>
      <c r="DQ9" s="109"/>
      <c r="DR9" s="109"/>
      <c r="DS9" s="109"/>
      <c r="DT9" s="109"/>
      <c r="DU9" s="109"/>
      <c r="DV9" s="109"/>
      <c r="DW9" s="109"/>
      <c r="DX9" s="109"/>
      <c r="DY9" s="109"/>
      <c r="DZ9" s="109"/>
      <c r="EA9" s="109"/>
      <c r="EB9" s="109"/>
      <c r="EC9" s="109"/>
      <c r="ED9" s="109"/>
      <c r="EE9" s="109"/>
      <c r="EF9" s="109"/>
      <c r="EG9" s="109"/>
      <c r="EH9" s="109"/>
      <c r="EI9" s="109"/>
      <c r="EJ9" s="109"/>
      <c r="EK9" s="109"/>
      <c r="EL9" s="109"/>
      <c r="EM9" s="109"/>
      <c r="EN9" s="109"/>
      <c r="EO9" s="109"/>
      <c r="EP9" s="109"/>
      <c r="EQ9" s="109"/>
      <c r="ER9" s="109"/>
      <c r="ES9" s="109"/>
      <c r="ET9" s="109"/>
      <c r="EU9" s="109"/>
      <c r="EV9" s="109"/>
      <c r="EW9" s="109"/>
      <c r="EX9" s="109"/>
      <c r="EY9" s="109"/>
      <c r="EZ9" s="109"/>
      <c r="FA9" s="109"/>
      <c r="FB9" s="109"/>
      <c r="FC9" s="109"/>
      <c r="FD9" s="109"/>
      <c r="FE9" s="109"/>
      <c r="FF9" s="109"/>
      <c r="FG9" s="109"/>
      <c r="FH9" s="109"/>
      <c r="FI9" s="109"/>
      <c r="FJ9" s="109"/>
      <c r="FK9" s="109"/>
      <c r="FL9" s="109"/>
      <c r="FM9" s="109"/>
      <c r="FN9" s="109"/>
      <c r="FO9" s="109"/>
      <c r="FP9" s="109"/>
      <c r="FQ9" s="109"/>
      <c r="FR9" s="109"/>
      <c r="FS9" s="109"/>
      <c r="FT9" s="109"/>
      <c r="FU9" s="109"/>
      <c r="FV9" s="109"/>
      <c r="FW9" s="109"/>
      <c r="FX9" s="109"/>
      <c r="FY9" s="109"/>
      <c r="FZ9" s="109"/>
      <c r="GA9" s="109"/>
      <c r="GB9" s="109"/>
      <c r="GC9" s="109"/>
      <c r="GD9" s="109"/>
      <c r="GE9" s="109"/>
      <c r="GF9" s="109"/>
      <c r="GG9" s="109"/>
      <c r="GH9" s="109"/>
      <c r="GI9" s="109"/>
      <c r="GJ9" s="109"/>
      <c r="GK9" s="109"/>
      <c r="GL9" s="109"/>
      <c r="GM9" s="109"/>
      <c r="GN9" s="109"/>
      <c r="GO9" s="109"/>
      <c r="GP9" s="109"/>
      <c r="GQ9" s="109"/>
      <c r="GR9" s="109"/>
      <c r="GS9" s="109"/>
      <c r="GT9" s="109"/>
      <c r="GU9" s="109"/>
      <c r="GV9" s="109"/>
      <c r="GW9" s="109"/>
      <c r="GX9" s="109"/>
      <c r="GY9" s="109"/>
      <c r="GZ9" s="109"/>
      <c r="HA9" s="109"/>
      <c r="HB9" s="109"/>
      <c r="HC9" s="109"/>
      <c r="HD9" s="109"/>
      <c r="HE9" s="109"/>
      <c r="HF9" s="109"/>
      <c r="HG9" s="109"/>
      <c r="HH9" s="109"/>
      <c r="HI9" s="109"/>
      <c r="HJ9" s="109"/>
      <c r="HK9" s="109"/>
      <c r="HL9" s="109"/>
      <c r="HM9" s="109"/>
      <c r="HN9" s="41">
        <f>$D9-$E9</f>
        <v>0</v>
      </c>
      <c r="HO9" s="109"/>
      <c r="HT9" s="103"/>
      <c r="HU9" s="103"/>
      <c r="HV9" s="103"/>
      <c r="HW9" s="103"/>
      <c r="HX9" s="103"/>
      <c r="HY9" s="103"/>
      <c r="HZ9" s="103"/>
      <c r="IA9" s="103"/>
      <c r="IB9" s="103"/>
      <c r="IC9" s="103"/>
      <c r="ID9" s="103"/>
      <c r="IE9" s="103"/>
      <c r="IF9" s="103"/>
      <c r="IG9" s="103"/>
      <c r="IH9" s="103"/>
      <c r="II9" s="103"/>
      <c r="IJ9" s="103"/>
      <c r="IK9" s="103"/>
      <c r="IL9" s="103"/>
      <c r="IM9" s="103"/>
      <c r="IN9" s="103"/>
      <c r="IO9" s="103"/>
      <c r="IP9" s="103"/>
      <c r="IQ9" s="103"/>
      <c r="IR9" s="103"/>
      <c r="IS9" s="103"/>
      <c r="IT9" s="103"/>
      <c r="IU9" s="103"/>
      <c r="IV9" s="103"/>
      <c r="IW9" s="103"/>
      <c r="IX9" s="103"/>
      <c r="IY9" s="103"/>
      <c r="IZ9" s="103"/>
      <c r="JA9" s="103"/>
      <c r="JB9" s="103"/>
      <c r="JC9" s="103"/>
      <c r="JD9" s="103"/>
      <c r="JE9" s="103"/>
      <c r="JF9" s="103"/>
      <c r="JG9" s="103"/>
      <c r="JH9" s="103"/>
      <c r="JI9" s="103"/>
      <c r="JJ9" s="103"/>
      <c r="JK9" s="103"/>
      <c r="JL9" s="103"/>
      <c r="JM9" s="103"/>
      <c r="JN9" s="103"/>
      <c r="JO9" s="103"/>
      <c r="JP9" s="103"/>
      <c r="JQ9" s="103"/>
      <c r="JR9" s="103"/>
      <c r="JS9" s="103"/>
      <c r="JT9" s="103"/>
      <c r="JU9" s="103"/>
      <c r="JV9" s="103"/>
      <c r="JW9" s="103"/>
      <c r="JX9" s="103"/>
      <c r="JY9" s="103"/>
      <c r="JZ9" s="103"/>
      <c r="KA9" s="103"/>
      <c r="KB9" s="103"/>
      <c r="KC9" s="103"/>
      <c r="KD9" s="103"/>
      <c r="KE9" s="103"/>
      <c r="KF9" s="103"/>
      <c r="KG9" s="103"/>
      <c r="KH9" s="103"/>
      <c r="KI9" s="103"/>
      <c r="KJ9" s="103"/>
      <c r="KK9" s="103"/>
      <c r="KL9" s="103"/>
      <c r="KM9" s="103"/>
      <c r="KN9" s="103"/>
      <c r="KO9" s="103"/>
      <c r="KP9" s="103"/>
      <c r="KQ9" s="103"/>
      <c r="KR9" s="103"/>
      <c r="KS9" s="103"/>
      <c r="KT9" s="103"/>
      <c r="KU9" s="103"/>
      <c r="KV9" s="103"/>
      <c r="KW9" s="103"/>
      <c r="KX9" s="103"/>
      <c r="KY9" s="103"/>
      <c r="KZ9" s="103"/>
      <c r="LA9" s="103"/>
      <c r="LB9" s="103"/>
      <c r="LC9" s="103"/>
      <c r="LD9" s="103"/>
      <c r="LE9" s="103"/>
      <c r="LF9" s="103"/>
      <c r="LG9" s="103"/>
      <c r="LH9" s="103"/>
      <c r="LI9" s="103"/>
      <c r="LJ9" s="103"/>
      <c r="LK9" s="103"/>
      <c r="LL9" s="103"/>
      <c r="LM9" s="103"/>
    </row>
    <row r="10" spans="2:325" hidden="1">
      <c r="B10" s="761" t="s">
        <v>46</v>
      </c>
      <c r="C10" s="158" t="s">
        <v>675</v>
      </c>
      <c r="D10" s="167" t="s">
        <v>124</v>
      </c>
      <c r="E10" s="167" t="s">
        <v>124</v>
      </c>
      <c r="F10" s="167" t="s">
        <v>124</v>
      </c>
      <c r="G10" s="167" t="s">
        <v>124</v>
      </c>
      <c r="H10" s="167" t="s">
        <v>124</v>
      </c>
      <c r="I10" s="167" t="s">
        <v>124</v>
      </c>
      <c r="J10" s="167" t="s">
        <v>124</v>
      </c>
      <c r="K10" s="167" t="s">
        <v>124</v>
      </c>
      <c r="L10" s="167" t="s">
        <v>124</v>
      </c>
      <c r="M10" s="167" t="s">
        <v>124</v>
      </c>
      <c r="N10" s="168" t="s">
        <v>124</v>
      </c>
      <c r="O10" s="167">
        <v>4.3799999999999999E-2</v>
      </c>
      <c r="P10" s="167">
        <v>4.3799999999999999E-2</v>
      </c>
      <c r="Q10" s="168">
        <v>4.3799999999999999E-2</v>
      </c>
      <c r="R10" s="167"/>
      <c r="S10" s="167"/>
      <c r="T10" s="167"/>
      <c r="U10" s="167"/>
      <c r="V10" s="167"/>
      <c r="W10" s="167"/>
      <c r="X10" s="167"/>
      <c r="Y10" s="167"/>
      <c r="Z10" s="167"/>
      <c r="AA10" s="167"/>
      <c r="AB10" s="167"/>
      <c r="AC10" s="167"/>
      <c r="AD10" s="167"/>
      <c r="AE10" s="168"/>
      <c r="AF10" s="63"/>
      <c r="AG10" s="63"/>
      <c r="AH10" s="63"/>
      <c r="AI10" s="63"/>
      <c r="AJ10" s="167"/>
      <c r="AK10" s="63"/>
      <c r="AL10" s="108"/>
      <c r="AM10" s="167"/>
      <c r="AN10" s="152"/>
      <c r="AO10" s="152"/>
      <c r="AP10" s="152"/>
      <c r="AQ10" s="152"/>
      <c r="AR10" s="152"/>
      <c r="AS10" s="152"/>
      <c r="AT10" s="152"/>
      <c r="AU10" s="152"/>
      <c r="AV10" s="152"/>
      <c r="AW10" s="152"/>
      <c r="AX10" s="152"/>
      <c r="AY10" s="153"/>
      <c r="AZ10" s="153"/>
      <c r="BA10" s="153"/>
      <c r="BB10" s="153"/>
      <c r="BC10" s="153"/>
      <c r="BD10" s="153"/>
      <c r="BE10" s="153"/>
      <c r="BF10" s="153"/>
      <c r="BG10" s="153"/>
      <c r="BH10" s="153"/>
      <c r="BI10" s="153"/>
      <c r="BJ10" s="153"/>
      <c r="BK10" s="153"/>
      <c r="BL10" s="153"/>
      <c r="BM10" s="153"/>
      <c r="BN10" s="153"/>
      <c r="BO10" s="153"/>
      <c r="BP10" s="153"/>
      <c r="BQ10" s="152"/>
      <c r="BR10" s="152"/>
      <c r="BS10" s="152"/>
      <c r="BT10" s="152"/>
      <c r="BU10" s="152"/>
      <c r="BV10" s="152"/>
      <c r="BW10" s="152"/>
      <c r="BX10" s="152"/>
      <c r="BY10" s="152"/>
      <c r="BZ10" s="152"/>
      <c r="CA10" s="152"/>
      <c r="CB10" s="152"/>
      <c r="CC10" s="152"/>
      <c r="CD10" s="152"/>
      <c r="CE10" s="152"/>
      <c r="CF10" s="152"/>
      <c r="CG10" s="152"/>
      <c r="CH10" s="152"/>
      <c r="CI10" s="152"/>
      <c r="CJ10" s="152"/>
      <c r="CK10" s="152"/>
      <c r="CL10" s="152"/>
      <c r="CM10" s="152"/>
      <c r="CN10" s="152"/>
      <c r="CO10" s="152"/>
      <c r="CP10" s="152"/>
      <c r="CQ10" s="152"/>
      <c r="CR10" s="152"/>
      <c r="CS10" s="109"/>
      <c r="CT10" s="109"/>
      <c r="CU10" s="109"/>
      <c r="CV10" s="109"/>
      <c r="CW10" s="109"/>
      <c r="CX10" s="109"/>
      <c r="CY10" s="109"/>
      <c r="CZ10" s="109"/>
      <c r="DA10" s="109"/>
      <c r="DB10" s="109"/>
      <c r="DC10" s="109"/>
      <c r="DD10" s="109"/>
      <c r="DE10" s="109"/>
      <c r="DF10" s="109"/>
      <c r="DG10" s="109"/>
      <c r="DH10" s="109"/>
      <c r="DI10" s="109"/>
      <c r="DJ10" s="109"/>
      <c r="DK10" s="109"/>
      <c r="DL10" s="109"/>
      <c r="DM10" s="109"/>
      <c r="DN10" s="109"/>
      <c r="DO10" s="109"/>
      <c r="DP10" s="109"/>
      <c r="DQ10" s="109"/>
      <c r="DR10" s="109"/>
      <c r="DS10" s="109"/>
      <c r="DT10" s="109"/>
      <c r="DU10" s="109"/>
      <c r="DV10" s="109"/>
      <c r="DW10" s="109"/>
      <c r="DX10" s="109"/>
      <c r="DY10" s="109"/>
      <c r="DZ10" s="109"/>
      <c r="EA10" s="109"/>
      <c r="EB10" s="109"/>
      <c r="EC10" s="109"/>
      <c r="ED10" s="109"/>
      <c r="EE10" s="109"/>
      <c r="EF10" s="109"/>
      <c r="EG10" s="109"/>
      <c r="EH10" s="109"/>
      <c r="EI10" s="109"/>
      <c r="EJ10" s="109"/>
      <c r="EK10" s="109"/>
      <c r="EL10" s="109"/>
      <c r="EM10" s="109"/>
      <c r="EN10" s="109"/>
      <c r="EO10" s="109"/>
      <c r="EP10" s="109"/>
      <c r="EQ10" s="109"/>
      <c r="ER10" s="109"/>
      <c r="ES10" s="109"/>
      <c r="ET10" s="109"/>
      <c r="EU10" s="109"/>
      <c r="EV10" s="109"/>
      <c r="EW10" s="109"/>
      <c r="EX10" s="109"/>
      <c r="EY10" s="109"/>
      <c r="EZ10" s="109"/>
      <c r="FA10" s="109"/>
      <c r="FB10" s="109"/>
      <c r="FC10" s="109"/>
      <c r="FD10" s="109"/>
      <c r="FE10" s="109"/>
      <c r="FF10" s="109"/>
      <c r="FG10" s="109"/>
      <c r="FH10" s="109"/>
      <c r="FI10" s="109"/>
      <c r="FJ10" s="109"/>
      <c r="FK10" s="109"/>
      <c r="FL10" s="109"/>
      <c r="FM10" s="109"/>
      <c r="FN10" s="109"/>
      <c r="FO10" s="109"/>
      <c r="FP10" s="109"/>
      <c r="FQ10" s="109"/>
      <c r="FR10" s="109"/>
      <c r="FS10" s="109"/>
      <c r="FT10" s="109"/>
      <c r="FU10" s="109"/>
      <c r="FV10" s="109"/>
      <c r="FW10" s="109"/>
      <c r="FX10" s="109"/>
      <c r="FY10" s="109"/>
      <c r="FZ10" s="109"/>
      <c r="GA10" s="109"/>
      <c r="GB10" s="109"/>
      <c r="GC10" s="109"/>
      <c r="GD10" s="109"/>
      <c r="GE10" s="109"/>
      <c r="GF10" s="109"/>
      <c r="GG10" s="109"/>
      <c r="GH10" s="109"/>
      <c r="GI10" s="109"/>
      <c r="GJ10" s="109"/>
      <c r="GK10" s="109"/>
      <c r="GL10" s="109"/>
      <c r="GM10" s="109"/>
      <c r="GN10" s="109"/>
      <c r="GO10" s="109"/>
      <c r="GP10" s="109"/>
      <c r="GQ10" s="109"/>
      <c r="GR10" s="109"/>
      <c r="GS10" s="109"/>
      <c r="GT10" s="109"/>
      <c r="GU10" s="109"/>
      <c r="GV10" s="109"/>
      <c r="GW10" s="109"/>
      <c r="GX10" s="109"/>
      <c r="GY10" s="109"/>
      <c r="GZ10" s="109"/>
      <c r="HA10" s="109"/>
      <c r="HB10" s="109"/>
      <c r="HC10" s="109"/>
      <c r="HD10" s="109"/>
      <c r="HE10" s="109"/>
      <c r="HF10" s="109"/>
      <c r="HG10" s="109"/>
      <c r="HH10" s="109"/>
      <c r="HI10" s="109"/>
      <c r="HJ10" s="109"/>
      <c r="HK10" s="109"/>
      <c r="HL10" s="109"/>
      <c r="HM10" s="109"/>
      <c r="HN10" s="41" t="e">
        <f>D10-E10</f>
        <v>#VALUE!</v>
      </c>
      <c r="HO10" s="109"/>
      <c r="HT10" s="103"/>
      <c r="HU10" s="103"/>
      <c r="HV10" s="103"/>
      <c r="HW10" s="103"/>
      <c r="HX10" s="103"/>
      <c r="HY10" s="103"/>
      <c r="HZ10" s="103"/>
      <c r="IA10" s="103"/>
      <c r="IB10" s="103"/>
      <c r="IC10" s="103"/>
      <c r="ID10" s="103"/>
      <c r="IE10" s="103"/>
      <c r="IF10" s="103"/>
      <c r="IG10" s="103"/>
      <c r="IH10" s="103"/>
      <c r="II10" s="103"/>
      <c r="IJ10" s="103"/>
      <c r="IK10" s="103"/>
      <c r="IL10" s="103"/>
      <c r="IM10" s="103"/>
      <c r="IN10" s="103"/>
      <c r="IO10" s="103"/>
      <c r="IP10" s="103"/>
      <c r="IQ10" s="103"/>
      <c r="IR10" s="103"/>
      <c r="IS10" s="103"/>
      <c r="IT10" s="103"/>
      <c r="IU10" s="103"/>
      <c r="IV10" s="103"/>
      <c r="IW10" s="103"/>
      <c r="IX10" s="103"/>
      <c r="IY10" s="103"/>
      <c r="IZ10" s="103"/>
      <c r="JA10" s="103"/>
      <c r="JB10" s="103"/>
      <c r="JC10" s="103"/>
      <c r="JD10" s="103"/>
      <c r="JE10" s="103"/>
      <c r="JF10" s="103"/>
      <c r="JG10" s="103"/>
      <c r="JH10" s="103"/>
      <c r="JI10" s="103"/>
      <c r="JJ10" s="103"/>
      <c r="JK10" s="103"/>
      <c r="JL10" s="103"/>
      <c r="JM10" s="103"/>
      <c r="JN10" s="103"/>
      <c r="JO10" s="103"/>
      <c r="JP10" s="103"/>
      <c r="JQ10" s="103"/>
      <c r="JR10" s="103"/>
      <c r="JS10" s="103"/>
      <c r="JT10" s="103"/>
      <c r="JU10" s="103"/>
      <c r="JV10" s="103"/>
      <c r="JW10" s="103"/>
      <c r="JX10" s="103"/>
      <c r="JY10" s="103"/>
      <c r="JZ10" s="103"/>
      <c r="KA10" s="103"/>
      <c r="KB10" s="103"/>
      <c r="KC10" s="103"/>
      <c r="KD10" s="103"/>
      <c r="KE10" s="103"/>
      <c r="KF10" s="103"/>
      <c r="KG10" s="103"/>
      <c r="KH10" s="103"/>
      <c r="KI10" s="103"/>
      <c r="KJ10" s="103"/>
      <c r="KK10" s="103"/>
      <c r="KL10" s="103"/>
      <c r="KM10" s="103"/>
      <c r="KN10" s="103"/>
      <c r="KO10" s="103"/>
      <c r="KP10" s="103"/>
      <c r="KQ10" s="103"/>
      <c r="KR10" s="103"/>
      <c r="KS10" s="103"/>
      <c r="KT10" s="103"/>
      <c r="KU10" s="103"/>
      <c r="KV10" s="103"/>
      <c r="KW10" s="103"/>
      <c r="KX10" s="103"/>
      <c r="KY10" s="103"/>
      <c r="KZ10" s="103"/>
      <c r="LA10" s="103"/>
      <c r="LB10" s="103"/>
      <c r="LC10" s="103"/>
      <c r="LD10" s="103"/>
      <c r="LE10" s="103"/>
      <c r="LF10" s="103"/>
      <c r="LG10" s="103"/>
      <c r="LH10" s="103"/>
      <c r="LI10" s="103"/>
      <c r="LJ10" s="103"/>
      <c r="LK10" s="103"/>
      <c r="LL10" s="675" t="s">
        <v>677</v>
      </c>
      <c r="LM10" s="103"/>
    </row>
    <row r="11" spans="2:325">
      <c r="B11" s="75"/>
      <c r="C11" s="151"/>
      <c r="D11" s="151"/>
      <c r="E11" s="151"/>
      <c r="F11" s="151"/>
      <c r="G11" s="151"/>
      <c r="H11" s="151"/>
      <c r="I11" s="151"/>
      <c r="J11" s="151"/>
      <c r="K11" s="151"/>
      <c r="L11" s="151"/>
      <c r="M11" s="151"/>
      <c r="N11" s="151"/>
      <c r="O11" s="151"/>
      <c r="P11" s="151"/>
      <c r="Q11" s="151"/>
      <c r="R11" s="151"/>
      <c r="S11" s="151"/>
      <c r="T11" s="151"/>
      <c r="U11" s="151"/>
      <c r="V11" s="151"/>
      <c r="W11" s="148"/>
      <c r="X11" s="148"/>
      <c r="Y11" s="148"/>
      <c r="Z11" s="148"/>
      <c r="AA11" s="148"/>
      <c r="AB11" s="148"/>
      <c r="AC11" s="148"/>
      <c r="AD11" s="148"/>
      <c r="AE11" s="148"/>
      <c r="AF11" s="150"/>
      <c r="AG11" s="150"/>
      <c r="AH11" s="150"/>
      <c r="AI11" s="150"/>
      <c r="AJ11" s="148"/>
      <c r="AK11" s="150"/>
      <c r="AL11" s="149"/>
      <c r="AM11" s="148"/>
      <c r="AN11" s="146"/>
      <c r="AO11" s="146"/>
      <c r="AP11" s="146"/>
      <c r="AQ11" s="146"/>
      <c r="AR11" s="146"/>
      <c r="AS11" s="146"/>
      <c r="AT11" s="146"/>
      <c r="AU11" s="146"/>
      <c r="AV11" s="146"/>
      <c r="AW11" s="146"/>
      <c r="AX11" s="146"/>
      <c r="AY11" s="147"/>
      <c r="AZ11" s="147"/>
      <c r="BA11" s="147"/>
      <c r="BB11" s="147"/>
      <c r="BC11" s="147"/>
      <c r="BD11" s="147"/>
      <c r="BE11" s="147"/>
      <c r="BF11" s="147"/>
      <c r="BG11" s="147"/>
      <c r="BH11" s="147"/>
      <c r="BI11" s="147"/>
      <c r="BJ11" s="147"/>
      <c r="BK11" s="147"/>
      <c r="BL11" s="147"/>
      <c r="BM11" s="147"/>
      <c r="BN11" s="147"/>
      <c r="BO11" s="147"/>
      <c r="BP11" s="147"/>
      <c r="BQ11" s="146"/>
      <c r="BR11" s="146"/>
      <c r="BS11" s="146"/>
      <c r="BT11" s="146"/>
      <c r="BU11" s="146"/>
      <c r="BV11" s="146"/>
      <c r="BW11" s="146"/>
      <c r="BX11" s="146"/>
      <c r="BY11" s="146"/>
      <c r="BZ11" s="146"/>
      <c r="CA11" s="146"/>
      <c r="CB11" s="146"/>
      <c r="CC11" s="146"/>
      <c r="CD11" s="146"/>
      <c r="CE11" s="146"/>
      <c r="CF11" s="146"/>
      <c r="CG11" s="146"/>
      <c r="CH11" s="146"/>
      <c r="CI11" s="146"/>
      <c r="CJ11" s="146"/>
      <c r="CK11" s="146"/>
      <c r="CL11" s="146"/>
      <c r="CM11" s="146"/>
      <c r="CN11" s="146"/>
      <c r="CO11" s="146"/>
      <c r="CP11" s="146"/>
      <c r="CQ11" s="146"/>
      <c r="CR11" s="146"/>
      <c r="CS11" s="145"/>
      <c r="CT11" s="145"/>
      <c r="CU11" s="145"/>
      <c r="CV11" s="145"/>
      <c r="CW11" s="145"/>
      <c r="CX11" s="145"/>
      <c r="CY11" s="145"/>
      <c r="CZ11" s="145"/>
      <c r="DA11" s="145"/>
      <c r="DB11" s="145"/>
      <c r="DC11" s="145"/>
      <c r="DD11" s="145"/>
      <c r="DE11" s="145"/>
      <c r="DF11" s="145"/>
      <c r="DG11" s="145"/>
      <c r="DH11" s="145"/>
      <c r="DI11" s="145"/>
      <c r="DJ11" s="145"/>
      <c r="DK11" s="145"/>
      <c r="DL11" s="145"/>
      <c r="DM11" s="145"/>
      <c r="DN11" s="145"/>
      <c r="DO11" s="145"/>
      <c r="DP11" s="145"/>
      <c r="DQ11" s="145"/>
      <c r="DR11" s="145"/>
      <c r="DS11" s="145"/>
      <c r="DT11" s="145"/>
      <c r="DU11" s="145"/>
      <c r="DV11" s="145"/>
      <c r="DW11" s="145"/>
      <c r="DX11" s="145"/>
      <c r="DY11" s="145"/>
      <c r="DZ11" s="145"/>
      <c r="EA11" s="145"/>
      <c r="EB11" s="145"/>
      <c r="EC11" s="145"/>
      <c r="ED11" s="145"/>
      <c r="EE11" s="145"/>
      <c r="EF11" s="145"/>
      <c r="EG11" s="145"/>
      <c r="EH11" s="145"/>
      <c r="EI11" s="145"/>
      <c r="EJ11" s="145"/>
      <c r="EK11" s="145"/>
      <c r="EL11" s="145"/>
      <c r="EM11" s="145"/>
      <c r="EN11" s="145"/>
      <c r="EO11" s="145"/>
      <c r="EP11" s="145"/>
      <c r="EQ11" s="145"/>
      <c r="ER11" s="145"/>
      <c r="ES11" s="145"/>
      <c r="ET11" s="145"/>
      <c r="EU11" s="145"/>
      <c r="EV11" s="145"/>
      <c r="EW11" s="145"/>
      <c r="EX11" s="145"/>
      <c r="EY11" s="145"/>
      <c r="EZ11" s="145"/>
      <c r="FA11" s="145"/>
      <c r="FB11" s="145"/>
      <c r="FC11" s="145"/>
      <c r="FD11" s="145"/>
      <c r="FE11" s="145"/>
      <c r="FF11" s="145"/>
      <c r="FG11" s="145"/>
      <c r="FH11" s="145"/>
      <c r="FI11" s="145"/>
      <c r="FJ11" s="145"/>
      <c r="FK11" s="145"/>
      <c r="FL11" s="145"/>
      <c r="FM11" s="145"/>
      <c r="FN11" s="145"/>
      <c r="FO11" s="145"/>
      <c r="FP11" s="145"/>
      <c r="FQ11" s="145"/>
      <c r="FR11" s="145"/>
      <c r="FS11" s="145"/>
      <c r="FT11" s="145"/>
      <c r="FU11" s="145"/>
      <c r="FV11" s="145"/>
      <c r="FW11" s="145"/>
      <c r="FX11" s="145"/>
      <c r="FY11" s="145"/>
      <c r="FZ11" s="145"/>
      <c r="GA11" s="145"/>
      <c r="GB11" s="145"/>
      <c r="GC11" s="145"/>
      <c r="GD11" s="145"/>
      <c r="GE11" s="145"/>
      <c r="GF11" s="145"/>
      <c r="GG11" s="145"/>
      <c r="GH11" s="145"/>
      <c r="GI11" s="145"/>
      <c r="GJ11" s="145"/>
      <c r="GK11" s="145"/>
      <c r="GL11" s="145"/>
      <c r="GM11" s="145"/>
      <c r="GN11" s="145"/>
      <c r="GO11" s="145"/>
      <c r="GP11" s="145"/>
      <c r="GQ11" s="145"/>
      <c r="GR11" s="145"/>
      <c r="GS11" s="145"/>
      <c r="GT11" s="145"/>
      <c r="GU11" s="145"/>
      <c r="GV11" s="145"/>
      <c r="GW11" s="145"/>
      <c r="GX11" s="145"/>
      <c r="GY11" s="145"/>
      <c r="GZ11" s="145"/>
      <c r="HA11" s="145"/>
      <c r="HB11" s="145"/>
      <c r="HC11" s="145"/>
      <c r="HD11" s="145"/>
      <c r="HE11" s="145"/>
      <c r="HF11" s="145"/>
      <c r="HG11" s="145"/>
      <c r="HH11" s="145"/>
      <c r="HI11" s="145"/>
      <c r="HJ11" s="145"/>
      <c r="HK11" s="145"/>
      <c r="HL11" s="145"/>
      <c r="HM11" s="145"/>
      <c r="HN11" s="21"/>
      <c r="HO11" s="145"/>
      <c r="HT11" s="103"/>
      <c r="HU11" s="103"/>
      <c r="HV11" s="103"/>
      <c r="HW11" s="103"/>
      <c r="HX11" s="103"/>
      <c r="HY11" s="103"/>
      <c r="HZ11" s="103"/>
      <c r="IA11" s="103"/>
      <c r="IB11" s="103"/>
      <c r="IC11" s="103"/>
      <c r="ID11" s="103"/>
      <c r="IE11" s="103"/>
      <c r="IF11" s="103"/>
      <c r="IG11" s="103"/>
      <c r="IH11" s="103"/>
      <c r="II11" s="103"/>
      <c r="IJ11" s="103"/>
      <c r="IK11" s="103"/>
      <c r="IL11" s="103"/>
      <c r="IM11" s="103"/>
      <c r="IN11" s="103"/>
      <c r="IO11" s="103"/>
      <c r="IP11" s="103"/>
      <c r="IQ11" s="103"/>
      <c r="IR11" s="103"/>
      <c r="IS11" s="103"/>
      <c r="IT11" s="103"/>
      <c r="IU11" s="103"/>
      <c r="IV11" s="103"/>
      <c r="IW11" s="103"/>
      <c r="IX11" s="103"/>
      <c r="IY11" s="103"/>
      <c r="IZ11" s="103"/>
      <c r="JA11" s="103"/>
      <c r="JB11" s="103"/>
      <c r="JC11" s="103"/>
      <c r="JD11" s="103"/>
      <c r="JE11" s="103"/>
      <c r="JF11" s="103"/>
      <c r="JG11" s="103"/>
      <c r="JH11" s="103"/>
      <c r="JI11" s="103"/>
      <c r="JJ11" s="103"/>
      <c r="JK11" s="103"/>
      <c r="JL11" s="103"/>
      <c r="JM11" s="103"/>
      <c r="JN11" s="103"/>
      <c r="JO11" s="103"/>
      <c r="JP11" s="103"/>
      <c r="JQ11" s="103"/>
      <c r="JR11" s="103"/>
      <c r="JS11" s="103"/>
      <c r="JT11" s="103"/>
      <c r="JU11" s="103"/>
      <c r="JV11" s="103"/>
      <c r="JW11" s="103"/>
      <c r="JX11" s="103"/>
      <c r="JY11" s="103"/>
      <c r="JZ11" s="103"/>
      <c r="KA11" s="103"/>
      <c r="KB11" s="103"/>
      <c r="KC11" s="103"/>
      <c r="KD11" s="103"/>
      <c r="KE11" s="103"/>
      <c r="KF11" s="103"/>
      <c r="KG11" s="103"/>
      <c r="KH11" s="103"/>
      <c r="KI11" s="103"/>
      <c r="KJ11" s="103"/>
      <c r="KK11" s="103"/>
      <c r="KL11" s="103"/>
      <c r="KM11" s="103"/>
      <c r="KN11" s="103"/>
      <c r="KO11" s="103"/>
      <c r="KP11" s="103"/>
      <c r="KQ11" s="103"/>
      <c r="KR11" s="103"/>
      <c r="KS11" s="103"/>
      <c r="KT11" s="103"/>
      <c r="KU11" s="103"/>
      <c r="KV11" s="103"/>
      <c r="KW11" s="103"/>
      <c r="KX11" s="103"/>
      <c r="KY11" s="103"/>
      <c r="KZ11" s="103"/>
      <c r="LA11" s="103"/>
      <c r="LB11" s="103"/>
      <c r="LC11" s="103"/>
      <c r="LD11" s="103"/>
      <c r="LE11" s="103"/>
      <c r="LF11" s="103"/>
      <c r="LG11" s="103"/>
      <c r="LH11" s="103"/>
      <c r="LI11" s="103"/>
      <c r="LJ11" s="103"/>
      <c r="LK11" s="103"/>
      <c r="LL11" s="103"/>
      <c r="LM11" s="103"/>
    </row>
    <row r="12" spans="2:325">
      <c r="C12" s="200"/>
      <c r="D12" s="200"/>
      <c r="E12" s="200"/>
      <c r="F12" s="200"/>
      <c r="G12" s="200"/>
      <c r="H12" s="200"/>
      <c r="I12" s="200"/>
      <c r="J12" s="200"/>
      <c r="K12" s="200"/>
      <c r="L12" s="200"/>
      <c r="M12" s="200"/>
      <c r="N12" s="200"/>
      <c r="O12" s="200"/>
      <c r="P12" s="200"/>
      <c r="Q12" s="200"/>
      <c r="R12" s="200"/>
      <c r="S12" s="200"/>
      <c r="T12" s="200"/>
      <c r="U12" s="200"/>
      <c r="V12" s="200"/>
      <c r="W12" s="106"/>
      <c r="X12" s="106"/>
      <c r="Y12" s="106"/>
      <c r="Z12" s="106"/>
      <c r="AA12" s="106"/>
      <c r="AB12" s="106"/>
      <c r="AC12" s="106"/>
      <c r="AD12" s="106"/>
      <c r="AE12" s="106"/>
      <c r="AF12" s="199"/>
      <c r="AG12" s="199"/>
      <c r="AH12" s="199"/>
      <c r="AI12" s="199"/>
      <c r="AJ12" s="106"/>
      <c r="AK12" s="199"/>
      <c r="AL12" s="198"/>
      <c r="AM12" s="106"/>
      <c r="AN12" s="105"/>
      <c r="AO12" s="105"/>
      <c r="AP12" s="105"/>
      <c r="AQ12" s="105"/>
      <c r="AR12" s="105"/>
      <c r="AS12" s="105"/>
      <c r="AT12" s="105"/>
      <c r="AU12" s="105"/>
      <c r="AV12" s="105"/>
      <c r="AW12" s="105"/>
      <c r="AX12" s="105"/>
      <c r="AY12" s="105"/>
      <c r="AZ12" s="105"/>
      <c r="BA12" s="105"/>
      <c r="BB12" s="105"/>
      <c r="BC12" s="105"/>
      <c r="BD12" s="105"/>
      <c r="BE12" s="105"/>
      <c r="BF12" s="105"/>
      <c r="BG12" s="105"/>
      <c r="BH12" s="105"/>
      <c r="BI12" s="105"/>
      <c r="BJ12" s="105"/>
      <c r="BK12" s="105"/>
      <c r="BL12" s="105"/>
      <c r="BM12" s="105"/>
      <c r="BN12" s="105"/>
      <c r="BO12" s="105"/>
      <c r="BP12" s="105"/>
      <c r="BQ12" s="105"/>
      <c r="BR12" s="105"/>
      <c r="BS12" s="105"/>
      <c r="BT12" s="105"/>
      <c r="BU12" s="105"/>
      <c r="BV12" s="105"/>
      <c r="BW12" s="105"/>
      <c r="BX12" s="105"/>
      <c r="BY12" s="105"/>
      <c r="BZ12" s="105"/>
      <c r="CA12" s="105"/>
      <c r="CB12" s="105"/>
      <c r="CC12" s="105"/>
      <c r="CD12" s="105"/>
      <c r="CE12" s="105"/>
      <c r="CF12" s="105"/>
      <c r="CG12" s="105"/>
      <c r="CH12" s="105"/>
      <c r="CI12" s="105"/>
      <c r="CJ12" s="105"/>
      <c r="CK12" s="105"/>
      <c r="CL12" s="105"/>
      <c r="CM12" s="105"/>
      <c r="CN12" s="105"/>
      <c r="CO12" s="105"/>
      <c r="CP12" s="105"/>
      <c r="CQ12" s="105"/>
      <c r="CR12" s="105"/>
      <c r="CS12" s="105"/>
      <c r="CT12" s="105"/>
      <c r="CU12" s="105"/>
      <c r="CV12" s="105"/>
      <c r="CW12" s="105"/>
      <c r="CX12" s="105"/>
      <c r="CY12" s="105"/>
      <c r="CZ12" s="105"/>
      <c r="DA12" s="105"/>
      <c r="DB12" s="105"/>
      <c r="DC12" s="105"/>
      <c r="DD12" s="105"/>
      <c r="DE12" s="105"/>
      <c r="DF12" s="105"/>
      <c r="DG12" s="105"/>
      <c r="DH12" s="105"/>
      <c r="DI12" s="105"/>
      <c r="DJ12" s="105"/>
      <c r="DK12" s="105"/>
      <c r="DL12" s="105"/>
      <c r="DM12" s="105"/>
      <c r="DN12" s="105"/>
      <c r="DO12" s="105"/>
      <c r="DP12" s="105"/>
      <c r="DQ12" s="105"/>
      <c r="DR12" s="105"/>
      <c r="DS12" s="105"/>
      <c r="DT12" s="105"/>
      <c r="DU12" s="105"/>
      <c r="DV12" s="105"/>
      <c r="DW12" s="105"/>
      <c r="DX12" s="105"/>
      <c r="DY12" s="105"/>
      <c r="DZ12" s="105"/>
      <c r="EA12" s="105"/>
      <c r="EB12" s="105"/>
      <c r="EC12" s="105"/>
      <c r="ED12" s="105"/>
      <c r="EE12" s="105"/>
      <c r="EF12" s="105"/>
      <c r="EG12" s="105"/>
      <c r="EH12" s="105"/>
      <c r="EI12" s="105"/>
      <c r="EJ12" s="105"/>
      <c r="EK12" s="105"/>
      <c r="EL12" s="105"/>
      <c r="EM12" s="105"/>
      <c r="EN12" s="105"/>
      <c r="EO12" s="105"/>
      <c r="EP12" s="105"/>
      <c r="EQ12" s="105"/>
      <c r="ER12" s="105"/>
      <c r="ES12" s="105"/>
      <c r="ET12" s="105"/>
      <c r="EU12" s="105"/>
      <c r="EV12" s="105"/>
      <c r="EW12" s="105"/>
      <c r="EX12" s="105"/>
      <c r="EY12" s="105"/>
      <c r="EZ12" s="105"/>
      <c r="FA12" s="105"/>
      <c r="FB12" s="105"/>
      <c r="FC12" s="105"/>
      <c r="FD12" s="105"/>
      <c r="FE12" s="105"/>
      <c r="FF12" s="105"/>
      <c r="FG12" s="105"/>
      <c r="FH12" s="105"/>
      <c r="FI12" s="105"/>
      <c r="FJ12" s="105"/>
      <c r="FK12" s="105"/>
      <c r="FL12" s="105"/>
      <c r="FM12" s="105"/>
      <c r="FN12" s="105"/>
      <c r="FO12" s="105"/>
      <c r="FP12" s="105"/>
      <c r="FQ12" s="105"/>
      <c r="FR12" s="105"/>
      <c r="FS12" s="105"/>
      <c r="FT12" s="105"/>
      <c r="FU12" s="105"/>
      <c r="FV12" s="105"/>
      <c r="FW12" s="105"/>
      <c r="FX12" s="105"/>
      <c r="FY12" s="105"/>
      <c r="FZ12" s="105"/>
      <c r="GA12" s="105"/>
      <c r="GB12" s="105"/>
      <c r="GC12" s="105"/>
      <c r="GD12" s="105"/>
      <c r="GE12" s="105"/>
      <c r="GF12" s="105"/>
      <c r="GG12" s="105"/>
      <c r="GH12" s="105"/>
      <c r="GI12" s="105"/>
      <c r="GJ12" s="105"/>
      <c r="GK12" s="105"/>
      <c r="GL12" s="105"/>
      <c r="GM12" s="105"/>
      <c r="GN12" s="105"/>
      <c r="GO12" s="105"/>
      <c r="GP12" s="105"/>
      <c r="GQ12" s="105"/>
      <c r="GR12" s="105"/>
      <c r="GS12" s="105"/>
      <c r="GT12" s="105"/>
      <c r="GU12" s="105"/>
      <c r="GV12" s="105"/>
      <c r="GW12" s="105"/>
      <c r="GX12" s="105"/>
      <c r="GY12" s="105"/>
      <c r="GZ12" s="105"/>
      <c r="HA12" s="105"/>
      <c r="HB12" s="105"/>
      <c r="HC12" s="105"/>
      <c r="HD12" s="105"/>
      <c r="HE12" s="105"/>
      <c r="HF12" s="105"/>
      <c r="HG12" s="105"/>
      <c r="HH12" s="105"/>
      <c r="HI12" s="105"/>
      <c r="HJ12" s="105"/>
      <c r="HK12" s="105"/>
      <c r="HL12" s="105"/>
      <c r="HM12" s="105"/>
      <c r="HN12" s="105"/>
      <c r="HO12" s="114"/>
      <c r="HT12" s="103"/>
      <c r="HU12" s="103"/>
      <c r="HV12" s="103"/>
      <c r="HW12" s="103"/>
      <c r="HX12" s="103"/>
      <c r="HY12" s="103"/>
      <c r="HZ12" s="103"/>
      <c r="IA12" s="103"/>
      <c r="IB12" s="103"/>
      <c r="IC12" s="103"/>
      <c r="ID12" s="103"/>
      <c r="IE12" s="103"/>
      <c r="IF12" s="103"/>
      <c r="IG12" s="103"/>
      <c r="IH12" s="103"/>
      <c r="II12" s="103"/>
      <c r="IJ12" s="103"/>
      <c r="IK12" s="103"/>
      <c r="IL12" s="103"/>
      <c r="IM12" s="103"/>
      <c r="IN12" s="103"/>
      <c r="IO12" s="103"/>
      <c r="IP12" s="103"/>
      <c r="IQ12" s="103"/>
      <c r="IR12" s="103"/>
      <c r="IS12" s="103"/>
      <c r="IT12" s="103"/>
      <c r="IU12" s="103"/>
      <c r="IV12" s="103"/>
      <c r="IW12" s="103"/>
      <c r="IX12" s="103"/>
      <c r="IY12" s="103"/>
      <c r="IZ12" s="103"/>
      <c r="JA12" s="103"/>
      <c r="JB12" s="103"/>
      <c r="JC12" s="103"/>
      <c r="JD12" s="103"/>
      <c r="JE12" s="103"/>
      <c r="JF12" s="103"/>
      <c r="JG12" s="103"/>
      <c r="JH12" s="103"/>
      <c r="JI12" s="103"/>
      <c r="JJ12" s="103"/>
      <c r="JK12" s="103"/>
      <c r="JL12" s="103"/>
      <c r="JM12" s="103"/>
      <c r="JN12" s="103"/>
      <c r="JO12" s="103"/>
      <c r="JP12" s="103"/>
      <c r="JQ12" s="103"/>
      <c r="JR12" s="103"/>
      <c r="JS12" s="103"/>
      <c r="JT12" s="103"/>
      <c r="JU12" s="103"/>
      <c r="JV12" s="103"/>
      <c r="JW12" s="103"/>
      <c r="JX12" s="103"/>
      <c r="JY12" s="103"/>
      <c r="JZ12" s="103"/>
      <c r="KA12" s="103"/>
      <c r="KB12" s="103"/>
      <c r="KC12" s="103"/>
      <c r="KD12" s="103"/>
      <c r="KE12" s="103"/>
      <c r="KF12" s="103"/>
      <c r="KG12" s="103"/>
      <c r="KH12" s="103"/>
      <c r="KI12" s="103"/>
      <c r="KJ12" s="103"/>
      <c r="KK12" s="103"/>
      <c r="KL12" s="103"/>
      <c r="KM12" s="103"/>
      <c r="KN12" s="103"/>
      <c r="KO12" s="103"/>
      <c r="KP12" s="103"/>
      <c r="KQ12" s="103"/>
      <c r="KR12" s="103"/>
      <c r="KS12" s="103"/>
      <c r="KT12" s="103"/>
      <c r="KU12" s="103"/>
      <c r="KV12" s="103"/>
      <c r="KW12" s="103"/>
      <c r="KX12" s="103"/>
      <c r="KY12" s="103"/>
      <c r="KZ12" s="103"/>
      <c r="LA12" s="103"/>
      <c r="LB12" s="103"/>
      <c r="LC12" s="103"/>
      <c r="LD12" s="103"/>
      <c r="LE12" s="103"/>
      <c r="LF12" s="103"/>
      <c r="LG12" s="103"/>
      <c r="LH12" s="103"/>
      <c r="LI12" s="103"/>
      <c r="LJ12" s="103"/>
      <c r="LK12" s="103"/>
      <c r="LL12" s="103"/>
      <c r="LM12" s="103"/>
    </row>
    <row r="13" spans="2:325" ht="14.4">
      <c r="B13" s="1070" t="s">
        <v>211</v>
      </c>
      <c r="C13" s="1070"/>
      <c r="D13" s="1070"/>
      <c r="E13" s="1070"/>
      <c r="F13" s="1070"/>
      <c r="G13" s="1070"/>
      <c r="H13" s="1070"/>
      <c r="I13" s="1070"/>
      <c r="J13" s="1070"/>
      <c r="K13" s="1070"/>
      <c r="L13" s="1070"/>
      <c r="M13" s="1070"/>
      <c r="N13" s="1070"/>
      <c r="O13" s="1070"/>
      <c r="P13" s="1070"/>
      <c r="Q13" s="1070"/>
      <c r="R13" s="1070"/>
      <c r="S13" s="1070"/>
      <c r="T13" s="1070"/>
      <c r="U13" s="1070"/>
      <c r="V13" s="1070"/>
      <c r="W13" s="1070"/>
      <c r="X13" s="1070"/>
      <c r="Y13" s="1070"/>
      <c r="Z13" s="1070"/>
      <c r="AA13" s="1070"/>
      <c r="AB13" s="1070"/>
      <c r="AC13" s="1070"/>
      <c r="AD13" s="1070"/>
      <c r="AE13" s="1070"/>
      <c r="AF13" s="1070"/>
      <c r="AG13" s="1070"/>
      <c r="AH13" s="1070"/>
      <c r="AI13" s="1070"/>
      <c r="AJ13" s="1070"/>
      <c r="AK13" s="1070"/>
      <c r="AL13" s="1070"/>
      <c r="AM13" s="1070"/>
      <c r="AN13" s="1070"/>
      <c r="AO13" s="1070"/>
      <c r="AP13" s="1070"/>
      <c r="AQ13" s="1070"/>
      <c r="AR13" s="1070"/>
      <c r="AS13" s="1070"/>
      <c r="AT13" s="1070"/>
      <c r="AU13" s="1070"/>
      <c r="AV13" s="1070"/>
      <c r="AW13" s="1070"/>
      <c r="AX13" s="1070"/>
      <c r="AY13" s="1070"/>
      <c r="AZ13" s="1070"/>
      <c r="BA13" s="1070"/>
      <c r="BB13" s="1070"/>
      <c r="BC13" s="1070"/>
      <c r="BD13" s="1070"/>
      <c r="BE13" s="1070"/>
      <c r="BF13" s="1070"/>
      <c r="BG13" s="1070"/>
      <c r="BH13" s="1070"/>
      <c r="BI13" s="1070"/>
      <c r="BJ13" s="1070"/>
      <c r="BK13" s="1070"/>
      <c r="BL13" s="1070"/>
      <c r="BM13" s="1070"/>
      <c r="BN13" s="1070"/>
      <c r="BO13" s="1070"/>
      <c r="BP13" s="1070"/>
      <c r="BQ13" s="1070"/>
      <c r="BR13" s="1070"/>
      <c r="BS13" s="1070"/>
      <c r="BT13" s="1070"/>
      <c r="BU13" s="1070"/>
      <c r="BV13" s="1070"/>
      <c r="BW13" s="1070"/>
      <c r="BX13" s="1070"/>
      <c r="BY13" s="1070"/>
      <c r="BZ13" s="1070"/>
      <c r="CA13" s="1070"/>
      <c r="CB13" s="1070"/>
      <c r="CC13" s="1070"/>
      <c r="CD13" s="1070"/>
      <c r="CE13" s="1070"/>
      <c r="CF13" s="1070"/>
      <c r="CG13" s="1070"/>
      <c r="CH13" s="1070"/>
      <c r="CI13" s="1070"/>
      <c r="CJ13" s="1070"/>
      <c r="CK13" s="1070"/>
      <c r="CL13" s="1070"/>
      <c r="CM13" s="1070"/>
      <c r="CN13" s="1070"/>
      <c r="CO13" s="1070"/>
      <c r="CP13" s="1070"/>
      <c r="CQ13" s="1070"/>
      <c r="CR13" s="1070"/>
      <c r="CS13" s="1070"/>
      <c r="CT13" s="1070"/>
      <c r="CU13" s="1070"/>
      <c r="CV13" s="1070"/>
      <c r="CW13" s="1070"/>
      <c r="CX13" s="1070"/>
      <c r="CY13" s="1070"/>
      <c r="CZ13" s="1070"/>
      <c r="DA13" s="1070"/>
      <c r="DB13" s="1070"/>
      <c r="DC13" s="1070"/>
      <c r="DD13" s="1070"/>
      <c r="DE13" s="1070"/>
      <c r="DF13" s="1070"/>
      <c r="DG13" s="1070"/>
      <c r="DH13" s="1070"/>
      <c r="DI13" s="1070"/>
      <c r="DJ13" s="1070"/>
      <c r="DK13" s="1070"/>
      <c r="DL13" s="1070"/>
      <c r="DM13" s="1070"/>
      <c r="DN13" s="1070"/>
      <c r="DO13" s="1070"/>
      <c r="DP13" s="1070"/>
      <c r="DQ13" s="1070"/>
      <c r="DR13" s="1070"/>
      <c r="DS13" s="1070"/>
      <c r="DT13" s="1070"/>
      <c r="DU13" s="1070"/>
      <c r="DV13" s="1070"/>
      <c r="DW13" s="1070"/>
      <c r="DX13" s="1070"/>
      <c r="DY13" s="1070"/>
      <c r="DZ13" s="1070"/>
      <c r="EA13" s="1070"/>
      <c r="EB13" s="1070"/>
      <c r="EC13" s="1070"/>
      <c r="ED13" s="1070"/>
      <c r="EE13" s="1070"/>
      <c r="EF13" s="1070"/>
      <c r="EG13" s="1070"/>
      <c r="EH13" s="1070"/>
      <c r="EI13" s="1070"/>
      <c r="EJ13" s="1070"/>
      <c r="EK13" s="1070"/>
      <c r="EL13" s="1070"/>
      <c r="EM13" s="1070"/>
      <c r="EN13" s="1070"/>
      <c r="EO13" s="1070"/>
      <c r="EP13" s="1070"/>
      <c r="EQ13" s="1070"/>
      <c r="ER13" s="1070"/>
      <c r="ES13" s="1070"/>
      <c r="ET13" s="1070"/>
      <c r="EU13" s="1070"/>
      <c r="EV13" s="1070"/>
      <c r="EW13" s="1070"/>
      <c r="EX13" s="1070"/>
      <c r="EY13" s="1070"/>
      <c r="EZ13" s="1070"/>
      <c r="FA13" s="1070"/>
      <c r="FB13" s="1070"/>
      <c r="FC13" s="1070"/>
      <c r="FD13" s="1070"/>
      <c r="FE13" s="1070"/>
      <c r="FF13" s="1070"/>
      <c r="FG13" s="1070"/>
      <c r="FH13" s="1070"/>
      <c r="FI13" s="1070"/>
      <c r="FJ13" s="1070"/>
      <c r="FK13" s="1070"/>
      <c r="FL13" s="1070"/>
      <c r="FM13" s="1070"/>
      <c r="FN13" s="1070"/>
      <c r="FO13" s="1070"/>
      <c r="FP13" s="1070"/>
      <c r="FQ13" s="1070"/>
      <c r="FR13" s="1070"/>
      <c r="FS13" s="1070"/>
      <c r="FT13" s="1070"/>
      <c r="FU13" s="1070"/>
      <c r="FV13" s="1070"/>
      <c r="FW13" s="1070"/>
      <c r="FX13" s="1070"/>
      <c r="FY13" s="1070"/>
      <c r="FZ13" s="1070"/>
      <c r="GA13" s="1070"/>
      <c r="GB13" s="1070"/>
      <c r="GC13" s="1070"/>
      <c r="GD13" s="1070"/>
      <c r="GE13" s="1070"/>
      <c r="GF13" s="1070"/>
      <c r="GG13" s="1070"/>
      <c r="GH13" s="1070"/>
      <c r="GI13" s="1070"/>
      <c r="GJ13" s="1070"/>
      <c r="GK13" s="1070"/>
      <c r="GL13" s="1070"/>
      <c r="GM13" s="1070"/>
      <c r="GN13" s="1070"/>
      <c r="GO13" s="1070"/>
      <c r="GP13" s="1070"/>
      <c r="GQ13" s="1070"/>
      <c r="GR13" s="1070"/>
      <c r="GS13" s="1070"/>
      <c r="GT13" s="1070" t="s">
        <v>225</v>
      </c>
      <c r="GU13" s="1070"/>
      <c r="GV13" s="1070"/>
      <c r="GW13" s="1070"/>
      <c r="GX13" s="1070"/>
      <c r="GY13" s="1070"/>
      <c r="GZ13" s="1070"/>
      <c r="HA13" s="1070"/>
      <c r="HB13" s="1070"/>
      <c r="HC13" s="1070"/>
      <c r="HD13" s="1070"/>
      <c r="HE13" s="1070"/>
      <c r="HF13" s="1070"/>
      <c r="HG13" s="1070"/>
      <c r="HH13" s="1070"/>
      <c r="HI13" s="1070"/>
      <c r="HJ13" s="1070"/>
      <c r="HK13" s="1070"/>
      <c r="HL13" s="1070"/>
      <c r="HM13" s="1070"/>
      <c r="HN13" s="1070"/>
      <c r="HO13" s="1070"/>
      <c r="HT13" s="103"/>
      <c r="HU13" s="103"/>
      <c r="HV13" s="103"/>
      <c r="HW13" s="103"/>
      <c r="HX13" s="103"/>
      <c r="HY13" s="103"/>
      <c r="HZ13" s="103"/>
      <c r="IA13" s="103"/>
      <c r="IB13" s="103"/>
      <c r="IC13" s="103"/>
      <c r="ID13" s="103"/>
      <c r="IE13" s="103"/>
      <c r="IF13" s="103"/>
      <c r="IG13" s="103"/>
      <c r="IH13" s="103"/>
      <c r="II13" s="103"/>
      <c r="IJ13" s="103"/>
      <c r="IK13" s="103"/>
      <c r="IL13" s="103"/>
      <c r="IM13" s="103"/>
      <c r="IN13" s="103"/>
      <c r="IO13" s="103"/>
      <c r="IP13" s="103"/>
      <c r="IQ13" s="103"/>
      <c r="IR13" s="103"/>
      <c r="IS13" s="103"/>
      <c r="IT13" s="103"/>
      <c r="IU13" s="103"/>
      <c r="IV13" s="103"/>
      <c r="IW13" s="103"/>
      <c r="IX13" s="103"/>
      <c r="IY13" s="103"/>
      <c r="IZ13" s="103"/>
      <c r="JA13" s="103"/>
      <c r="JB13" s="103"/>
      <c r="JC13" s="103"/>
      <c r="JD13" s="103"/>
      <c r="JE13" s="103"/>
      <c r="JF13" s="103"/>
      <c r="JG13" s="103"/>
      <c r="JH13" s="103"/>
      <c r="JI13" s="103"/>
      <c r="JJ13" s="103"/>
      <c r="JK13" s="103"/>
      <c r="JL13" s="103"/>
      <c r="JM13" s="103"/>
      <c r="JN13" s="103"/>
      <c r="JO13" s="103"/>
      <c r="JP13" s="103"/>
      <c r="JQ13" s="103"/>
      <c r="JR13" s="103"/>
      <c r="JS13" s="103"/>
      <c r="JT13" s="103"/>
      <c r="JU13" s="103"/>
      <c r="JV13" s="103"/>
      <c r="JW13" s="103"/>
      <c r="JX13" s="103"/>
      <c r="JY13" s="103"/>
      <c r="JZ13" s="103"/>
      <c r="KA13" s="103"/>
      <c r="KB13" s="103"/>
      <c r="KC13" s="103"/>
      <c r="KD13" s="103"/>
      <c r="KE13" s="103"/>
      <c r="KF13" s="103"/>
      <c r="KG13" s="103"/>
      <c r="KH13" s="103"/>
      <c r="KI13" s="103"/>
      <c r="KJ13" s="103"/>
      <c r="KK13" s="103"/>
      <c r="KL13" s="103"/>
      <c r="KM13" s="103"/>
      <c r="KN13" s="103"/>
      <c r="KO13" s="103"/>
      <c r="KP13" s="103"/>
      <c r="KQ13" s="103"/>
      <c r="KR13" s="103"/>
      <c r="KS13" s="103"/>
      <c r="KT13" s="103"/>
      <c r="KU13" s="103"/>
      <c r="KV13" s="103"/>
      <c r="KW13" s="103"/>
      <c r="KX13" s="103"/>
      <c r="KY13" s="103"/>
      <c r="KZ13" s="103"/>
      <c r="LA13" s="103"/>
      <c r="LB13" s="103"/>
      <c r="LC13" s="103"/>
      <c r="LD13" s="103"/>
      <c r="LE13" s="103"/>
      <c r="LF13" s="103"/>
      <c r="LG13" s="103"/>
      <c r="LH13" s="103"/>
      <c r="LI13" s="103"/>
      <c r="LJ13" s="103"/>
      <c r="LK13" s="103"/>
      <c r="LL13" s="103"/>
      <c r="LM13" s="103"/>
    </row>
    <row r="14" spans="2:325" ht="15">
      <c r="B14" s="187" t="s">
        <v>121</v>
      </c>
      <c r="C14" s="207" t="s">
        <v>120</v>
      </c>
      <c r="D14" s="190">
        <f t="shared" ref="D14:F14" si="0">D4</f>
        <v>46099</v>
      </c>
      <c r="E14" s="190">
        <f t="shared" ref="E14" si="1">E4</f>
        <v>46092</v>
      </c>
      <c r="F14" s="190">
        <f t="shared" si="0"/>
        <v>46085</v>
      </c>
      <c r="G14" s="190">
        <f t="shared" ref="G14:O14" si="2">G4</f>
        <v>46078</v>
      </c>
      <c r="H14" s="190">
        <v>46071</v>
      </c>
      <c r="I14" s="190">
        <f>I4</f>
        <v>46057</v>
      </c>
      <c r="J14" s="190">
        <f t="shared" si="2"/>
        <v>46050</v>
      </c>
      <c r="K14" s="190">
        <f t="shared" si="2"/>
        <v>46043</v>
      </c>
      <c r="L14" s="190">
        <f t="shared" si="2"/>
        <v>46036</v>
      </c>
      <c r="M14" s="190">
        <f t="shared" si="2"/>
        <v>46029</v>
      </c>
      <c r="N14" s="190">
        <f t="shared" si="2"/>
        <v>46022</v>
      </c>
      <c r="O14" s="190">
        <f t="shared" si="2"/>
        <v>46015</v>
      </c>
      <c r="P14" s="190">
        <f t="shared" ref="P14:AF14" si="3">P4</f>
        <v>46008</v>
      </c>
      <c r="Q14" s="190">
        <f>Q4</f>
        <v>46092</v>
      </c>
      <c r="R14" s="190">
        <f t="shared" si="3"/>
        <v>45994</v>
      </c>
      <c r="S14" s="190">
        <f t="shared" si="3"/>
        <v>45987</v>
      </c>
      <c r="T14" s="190">
        <f t="shared" si="3"/>
        <v>45980</v>
      </c>
      <c r="U14" s="190">
        <f t="shared" si="3"/>
        <v>45973</v>
      </c>
      <c r="V14" s="190">
        <f t="shared" si="3"/>
        <v>45966</v>
      </c>
      <c r="W14" s="190">
        <f t="shared" si="3"/>
        <v>45959</v>
      </c>
      <c r="X14" s="190">
        <f t="shared" si="3"/>
        <v>45952</v>
      </c>
      <c r="Y14" s="190">
        <f t="shared" si="3"/>
        <v>45945</v>
      </c>
      <c r="Z14" s="190">
        <f t="shared" si="3"/>
        <v>45938</v>
      </c>
      <c r="AA14" s="190">
        <f t="shared" si="3"/>
        <v>45931</v>
      </c>
      <c r="AB14" s="190">
        <f t="shared" si="3"/>
        <v>45924</v>
      </c>
      <c r="AC14" s="190">
        <f t="shared" si="3"/>
        <v>45917</v>
      </c>
      <c r="AD14" s="190">
        <f t="shared" si="3"/>
        <v>45910</v>
      </c>
      <c r="AE14" s="190">
        <f t="shared" si="3"/>
        <v>45959</v>
      </c>
      <c r="AF14" s="192">
        <f t="shared" si="3"/>
        <v>45896</v>
      </c>
      <c r="AG14" s="192">
        <v>45889</v>
      </c>
      <c r="AH14" s="192">
        <v>45882</v>
      </c>
      <c r="AI14" s="192">
        <v>45875</v>
      </c>
      <c r="AJ14" s="190">
        <v>45868</v>
      </c>
      <c r="AK14" s="192">
        <v>45861</v>
      </c>
      <c r="AL14" s="191">
        <v>45854</v>
      </c>
      <c r="AM14" s="190">
        <v>45847</v>
      </c>
      <c r="AN14" s="190">
        <v>45840</v>
      </c>
      <c r="AO14" s="190">
        <f>AO4</f>
        <v>45833</v>
      </c>
      <c r="AP14" s="190">
        <v>45826</v>
      </c>
      <c r="AQ14" s="190">
        <f t="shared" ref="AQ14:CF14" si="4">AQ4</f>
        <v>45819</v>
      </c>
      <c r="AR14" s="190">
        <f t="shared" si="4"/>
        <v>45812</v>
      </c>
      <c r="AS14" s="190">
        <f t="shared" si="4"/>
        <v>45805</v>
      </c>
      <c r="AT14" s="190">
        <f t="shared" si="4"/>
        <v>45798</v>
      </c>
      <c r="AU14" s="190">
        <f t="shared" si="4"/>
        <v>45792</v>
      </c>
      <c r="AV14" s="190">
        <f t="shared" si="4"/>
        <v>45785</v>
      </c>
      <c r="AW14" s="190">
        <f t="shared" si="4"/>
        <v>45777</v>
      </c>
      <c r="AX14" s="190">
        <f t="shared" si="4"/>
        <v>45763</v>
      </c>
      <c r="AY14" s="190">
        <f t="shared" si="4"/>
        <v>45757</v>
      </c>
      <c r="AZ14" s="190">
        <f t="shared" si="4"/>
        <v>45750</v>
      </c>
      <c r="BA14" s="190">
        <f t="shared" si="4"/>
        <v>45742</v>
      </c>
      <c r="BB14" s="190">
        <f t="shared" si="4"/>
        <v>45729</v>
      </c>
      <c r="BC14" s="190">
        <f t="shared" si="4"/>
        <v>45722</v>
      </c>
      <c r="BD14" s="190">
        <f t="shared" si="4"/>
        <v>45715</v>
      </c>
      <c r="BE14" s="190">
        <f t="shared" si="4"/>
        <v>45708</v>
      </c>
      <c r="BF14" s="190">
        <f t="shared" si="4"/>
        <v>45701</v>
      </c>
      <c r="BG14" s="190">
        <f t="shared" si="4"/>
        <v>45694</v>
      </c>
      <c r="BH14" s="190">
        <f t="shared" si="4"/>
        <v>45688</v>
      </c>
      <c r="BI14" s="190">
        <f t="shared" si="4"/>
        <v>45681</v>
      </c>
      <c r="BJ14" s="190">
        <f t="shared" si="4"/>
        <v>45673</v>
      </c>
      <c r="BK14" s="190">
        <f t="shared" si="4"/>
        <v>45666</v>
      </c>
      <c r="BL14" s="190">
        <f t="shared" si="4"/>
        <v>45659</v>
      </c>
      <c r="BM14" s="190">
        <f t="shared" si="4"/>
        <v>45652</v>
      </c>
      <c r="BN14" s="190">
        <f t="shared" si="4"/>
        <v>45645</v>
      </c>
      <c r="BO14" s="190">
        <f t="shared" si="4"/>
        <v>45638</v>
      </c>
      <c r="BP14" s="190">
        <f t="shared" si="4"/>
        <v>45631</v>
      </c>
      <c r="BQ14" s="190">
        <f t="shared" si="4"/>
        <v>45625</v>
      </c>
      <c r="BR14" s="190">
        <f t="shared" si="4"/>
        <v>45617</v>
      </c>
      <c r="BS14" s="190">
        <f t="shared" si="4"/>
        <v>45610</v>
      </c>
      <c r="BT14" s="190">
        <f t="shared" si="4"/>
        <v>45603</v>
      </c>
      <c r="BU14" s="190">
        <f t="shared" si="4"/>
        <v>45595</v>
      </c>
      <c r="BV14" s="190">
        <f t="shared" si="4"/>
        <v>45591</v>
      </c>
      <c r="BW14" s="190">
        <f t="shared" si="4"/>
        <v>45582</v>
      </c>
      <c r="BX14" s="190">
        <f t="shared" si="4"/>
        <v>45575</v>
      </c>
      <c r="BY14" s="190">
        <f t="shared" si="4"/>
        <v>45568</v>
      </c>
      <c r="BZ14" s="190">
        <f t="shared" si="4"/>
        <v>45561</v>
      </c>
      <c r="CA14" s="190">
        <f t="shared" si="4"/>
        <v>45547</v>
      </c>
      <c r="CB14" s="190">
        <f t="shared" si="4"/>
        <v>45540</v>
      </c>
      <c r="CC14" s="190">
        <f t="shared" si="4"/>
        <v>45533</v>
      </c>
      <c r="CD14" s="190">
        <f t="shared" si="4"/>
        <v>45526</v>
      </c>
      <c r="CE14" s="190">
        <f t="shared" si="4"/>
        <v>45517</v>
      </c>
      <c r="CF14" s="190">
        <f t="shared" si="4"/>
        <v>45511</v>
      </c>
      <c r="CG14" s="190" t="e">
        <f>#REF!</f>
        <v>#REF!</v>
      </c>
      <c r="CH14" s="190" t="e">
        <f>#REF!</f>
        <v>#REF!</v>
      </c>
      <c r="CI14" s="190" t="e">
        <f>#REF!</f>
        <v>#REF!</v>
      </c>
      <c r="CJ14" s="190" t="e">
        <f>#REF!</f>
        <v>#REF!</v>
      </c>
      <c r="CK14" s="190" t="e">
        <f>#REF!</f>
        <v>#REF!</v>
      </c>
      <c r="CL14" s="190" t="e">
        <f>#REF!</f>
        <v>#REF!</v>
      </c>
      <c r="CM14" s="190" t="e">
        <f>#REF!</f>
        <v>#REF!</v>
      </c>
      <c r="CN14" s="190" t="e">
        <f>#REF!</f>
        <v>#REF!</v>
      </c>
      <c r="CO14" s="190" t="e">
        <f>#REF!</f>
        <v>#REF!</v>
      </c>
      <c r="CP14" s="190" t="e">
        <f>#REF!</f>
        <v>#REF!</v>
      </c>
      <c r="CQ14" s="190" t="e">
        <f>#REF!</f>
        <v>#REF!</v>
      </c>
      <c r="CR14" s="190" t="e">
        <f>#REF!</f>
        <v>#REF!</v>
      </c>
      <c r="CS14" s="190" t="e">
        <f>#REF!</f>
        <v>#REF!</v>
      </c>
      <c r="CT14" s="190" t="e">
        <f>#REF!</f>
        <v>#REF!</v>
      </c>
      <c r="CU14" s="190" t="e">
        <f>#REF!</f>
        <v>#REF!</v>
      </c>
      <c r="CV14" s="190" t="e">
        <f>#REF!</f>
        <v>#REF!</v>
      </c>
      <c r="CW14" s="190" t="e">
        <f>#REF!</f>
        <v>#REF!</v>
      </c>
      <c r="CX14" s="190" t="e">
        <f>#REF!</f>
        <v>#REF!</v>
      </c>
      <c r="CY14" s="190" t="e">
        <f>#REF!</f>
        <v>#REF!</v>
      </c>
      <c r="CZ14" s="190" t="e">
        <f>#REF!</f>
        <v>#REF!</v>
      </c>
      <c r="DA14" s="190" t="e">
        <f>#REF!</f>
        <v>#REF!</v>
      </c>
      <c r="DB14" s="190" t="e">
        <f>#REF!</f>
        <v>#REF!</v>
      </c>
      <c r="DC14" s="190" t="e">
        <f>#REF!</f>
        <v>#REF!</v>
      </c>
      <c r="DD14" s="190" t="e">
        <f>#REF!</f>
        <v>#REF!</v>
      </c>
      <c r="DE14" s="190" t="e">
        <f>#REF!</f>
        <v>#REF!</v>
      </c>
      <c r="DF14" s="190" t="e">
        <f>#REF!</f>
        <v>#REF!</v>
      </c>
      <c r="DG14" s="190" t="e">
        <f>#REF!</f>
        <v>#REF!</v>
      </c>
      <c r="DH14" s="190" t="e">
        <f>#REF!</f>
        <v>#REF!</v>
      </c>
      <c r="DI14" s="190" t="e">
        <f>#REF!</f>
        <v>#REF!</v>
      </c>
      <c r="DJ14" s="190" t="e">
        <f>#REF!</f>
        <v>#REF!</v>
      </c>
      <c r="DK14" s="190" t="e">
        <f>#REF!</f>
        <v>#REF!</v>
      </c>
      <c r="DL14" s="190" t="e">
        <f>#REF!</f>
        <v>#REF!</v>
      </c>
      <c r="DM14" s="190" t="e">
        <f>#REF!</f>
        <v>#REF!</v>
      </c>
      <c r="DN14" s="190" t="e">
        <f>#REF!</f>
        <v>#REF!</v>
      </c>
      <c r="DO14" s="190" t="e">
        <f>#REF!</f>
        <v>#REF!</v>
      </c>
      <c r="DP14" s="190" t="e">
        <f>#REF!</f>
        <v>#REF!</v>
      </c>
      <c r="DQ14" s="190" t="e">
        <f>#REF!</f>
        <v>#REF!</v>
      </c>
      <c r="DR14" s="190" t="e">
        <f>#REF!</f>
        <v>#REF!</v>
      </c>
      <c r="DS14" s="190" t="e">
        <f>#REF!</f>
        <v>#REF!</v>
      </c>
      <c r="DT14" s="190" t="e">
        <f>#REF!</f>
        <v>#REF!</v>
      </c>
      <c r="DU14" s="190" t="e">
        <f>#REF!</f>
        <v>#REF!</v>
      </c>
      <c r="DV14" s="190" t="e">
        <f>#REF!</f>
        <v>#REF!</v>
      </c>
      <c r="DW14" s="190" t="e">
        <f>#REF!</f>
        <v>#REF!</v>
      </c>
      <c r="DX14" s="190" t="e">
        <f>#REF!</f>
        <v>#REF!</v>
      </c>
      <c r="DY14" s="190" t="e">
        <f>#REF!</f>
        <v>#REF!</v>
      </c>
      <c r="DZ14" s="190" t="e">
        <f>#REF!</f>
        <v>#REF!</v>
      </c>
      <c r="EA14" s="190" t="e">
        <f>#REF!</f>
        <v>#REF!</v>
      </c>
      <c r="EB14" s="190" t="e">
        <f>#REF!</f>
        <v>#REF!</v>
      </c>
      <c r="EC14" s="190" t="e">
        <f>#REF!</f>
        <v>#REF!</v>
      </c>
      <c r="ED14" s="190" t="e">
        <f>#REF!</f>
        <v>#REF!</v>
      </c>
      <c r="EE14" s="190">
        <v>45141</v>
      </c>
      <c r="EF14" s="210">
        <v>45134</v>
      </c>
      <c r="EG14" s="210">
        <v>44839</v>
      </c>
      <c r="EH14" s="210">
        <v>44831</v>
      </c>
      <c r="EI14" s="210">
        <v>44826</v>
      </c>
      <c r="EJ14" s="210">
        <v>44818</v>
      </c>
      <c r="EK14" s="210">
        <v>44811</v>
      </c>
      <c r="EL14" s="210">
        <v>45070</v>
      </c>
      <c r="EM14" s="210">
        <v>45063</v>
      </c>
      <c r="EN14" s="210">
        <v>45056</v>
      </c>
      <c r="EO14" s="210">
        <v>45050</v>
      </c>
      <c r="EP14" s="210">
        <v>45042</v>
      </c>
      <c r="EQ14" s="210">
        <v>45035</v>
      </c>
      <c r="ER14" s="210">
        <v>45028</v>
      </c>
      <c r="ES14" s="210">
        <v>45020</v>
      </c>
      <c r="ET14" s="210">
        <v>45014</v>
      </c>
      <c r="EU14" s="210">
        <v>45008</v>
      </c>
      <c r="EV14" s="210">
        <v>45002</v>
      </c>
      <c r="EW14" s="210">
        <v>45000</v>
      </c>
      <c r="EX14" s="210">
        <v>44993</v>
      </c>
      <c r="EY14" s="210">
        <v>44986</v>
      </c>
      <c r="EZ14" s="210">
        <v>44979</v>
      </c>
      <c r="FA14" s="210">
        <v>44972</v>
      </c>
      <c r="FB14" s="210">
        <v>44965</v>
      </c>
      <c r="FC14" s="210">
        <v>44958</v>
      </c>
      <c r="FD14" s="210">
        <v>44951</v>
      </c>
      <c r="FE14" s="210">
        <v>44944</v>
      </c>
      <c r="FF14" s="210">
        <v>44937</v>
      </c>
      <c r="FG14" s="210">
        <v>44930</v>
      </c>
      <c r="FH14" s="210">
        <v>44923</v>
      </c>
      <c r="FI14" s="210">
        <v>44916</v>
      </c>
      <c r="FJ14" s="210">
        <v>44910</v>
      </c>
      <c r="FK14" s="210">
        <v>44902</v>
      </c>
      <c r="FL14" s="210">
        <v>44896</v>
      </c>
      <c r="FM14" s="210">
        <v>44888</v>
      </c>
      <c r="FN14" s="210">
        <v>44881</v>
      </c>
      <c r="FO14" s="210">
        <v>44874</v>
      </c>
      <c r="FP14" s="210">
        <v>44868</v>
      </c>
      <c r="FQ14" s="210">
        <v>44860</v>
      </c>
      <c r="FR14" s="210">
        <v>44853</v>
      </c>
      <c r="FS14" s="210">
        <v>44846</v>
      </c>
      <c r="FT14" s="210">
        <v>45085</v>
      </c>
      <c r="FU14" s="210">
        <v>45076</v>
      </c>
      <c r="FV14" s="210">
        <v>45127</v>
      </c>
      <c r="FW14" s="210">
        <v>45120</v>
      </c>
      <c r="FX14" s="210">
        <v>45113</v>
      </c>
      <c r="FY14" s="210">
        <v>45105</v>
      </c>
      <c r="FZ14" s="210">
        <v>45099</v>
      </c>
      <c r="GA14" s="210">
        <v>45092</v>
      </c>
      <c r="GB14" s="210">
        <v>44803</v>
      </c>
      <c r="GC14" s="210">
        <v>44797</v>
      </c>
      <c r="GD14" s="210">
        <v>44790</v>
      </c>
      <c r="GE14" s="210">
        <v>44783</v>
      </c>
      <c r="GF14" s="210">
        <v>44776</v>
      </c>
      <c r="GG14" s="210">
        <v>44769</v>
      </c>
      <c r="GH14" s="210">
        <v>44762</v>
      </c>
      <c r="GI14" s="210">
        <v>44755</v>
      </c>
      <c r="GJ14" s="210">
        <v>44748</v>
      </c>
      <c r="GK14" s="210">
        <v>44741</v>
      </c>
      <c r="GL14" s="209">
        <v>44733</v>
      </c>
      <c r="GM14" s="209">
        <v>44727</v>
      </c>
      <c r="GN14" s="209">
        <v>44720</v>
      </c>
      <c r="GO14" s="209">
        <v>44713</v>
      </c>
      <c r="GP14" s="209">
        <v>44706</v>
      </c>
      <c r="GQ14" s="209">
        <v>44699</v>
      </c>
      <c r="GR14" s="209">
        <v>44690</v>
      </c>
      <c r="GS14" s="208" t="s">
        <v>118</v>
      </c>
      <c r="GT14" s="208" t="s">
        <v>117</v>
      </c>
      <c r="GU14" s="207" t="s">
        <v>116</v>
      </c>
      <c r="GV14" s="207" t="s">
        <v>115</v>
      </c>
      <c r="GW14" s="207" t="s">
        <v>114</v>
      </c>
      <c r="GX14" s="207" t="s">
        <v>224</v>
      </c>
      <c r="GY14" s="207" t="s">
        <v>112</v>
      </c>
      <c r="GZ14" s="207" t="s">
        <v>111</v>
      </c>
      <c r="HA14" s="207" t="s">
        <v>110</v>
      </c>
      <c r="HB14" s="207" t="s">
        <v>109</v>
      </c>
      <c r="HC14" s="207" t="s">
        <v>108</v>
      </c>
      <c r="HD14" s="207" t="s">
        <v>107</v>
      </c>
      <c r="HE14" s="207" t="s">
        <v>106</v>
      </c>
      <c r="HF14" s="207" t="s">
        <v>105</v>
      </c>
      <c r="HG14" s="207" t="s">
        <v>104</v>
      </c>
      <c r="HH14" s="207" t="s">
        <v>103</v>
      </c>
      <c r="HI14" s="207" t="s">
        <v>102</v>
      </c>
      <c r="HJ14" s="207" t="s">
        <v>101</v>
      </c>
      <c r="HK14" s="207" t="s">
        <v>100</v>
      </c>
      <c r="HL14" s="208" t="s">
        <v>99</v>
      </c>
      <c r="HM14" s="207" t="s">
        <v>98</v>
      </c>
      <c r="HN14" s="206" t="s">
        <v>113</v>
      </c>
      <c r="HO14" s="185" t="s">
        <v>223</v>
      </c>
      <c r="HT14" s="103"/>
      <c r="HU14" s="103"/>
      <c r="HV14" s="103"/>
      <c r="HW14" s="103"/>
      <c r="HX14" s="103"/>
      <c r="HY14" s="103"/>
      <c r="HZ14" s="103"/>
      <c r="IA14" s="103"/>
      <c r="IB14" s="103"/>
      <c r="IC14" s="103"/>
      <c r="ID14" s="103"/>
      <c r="IE14" s="103"/>
      <c r="IF14" s="103"/>
      <c r="IG14" s="103"/>
      <c r="IH14" s="103"/>
      <c r="II14" s="103"/>
      <c r="IJ14" s="103"/>
      <c r="IK14" s="103"/>
      <c r="IL14" s="103"/>
      <c r="IM14" s="103"/>
      <c r="IN14" s="103"/>
      <c r="IO14" s="103"/>
      <c r="IP14" s="103"/>
      <c r="IQ14" s="103"/>
      <c r="IR14" s="103"/>
      <c r="IS14" s="103"/>
      <c r="IT14" s="103"/>
      <c r="IU14" s="103"/>
      <c r="IV14" s="103"/>
      <c r="IW14" s="103"/>
      <c r="IX14" s="103"/>
      <c r="IY14" s="103"/>
      <c r="IZ14" s="103"/>
      <c r="JA14" s="103"/>
      <c r="JB14" s="103"/>
      <c r="JC14" s="103"/>
      <c r="JD14" s="103"/>
      <c r="JE14" s="103"/>
      <c r="JF14" s="103"/>
      <c r="JG14" s="103"/>
      <c r="JH14" s="103"/>
      <c r="JI14" s="103"/>
      <c r="JJ14" s="103"/>
      <c r="JK14" s="103"/>
      <c r="JL14" s="103"/>
      <c r="JM14" s="103"/>
      <c r="JN14" s="103"/>
      <c r="JO14" s="103"/>
      <c r="JP14" s="103"/>
      <c r="JQ14" s="103"/>
      <c r="JR14" s="103"/>
      <c r="JS14" s="103"/>
      <c r="JT14" s="103"/>
      <c r="JU14" s="103"/>
      <c r="JV14" s="103"/>
      <c r="JW14" s="103"/>
      <c r="JX14" s="103"/>
      <c r="JY14" s="103"/>
      <c r="JZ14" s="103"/>
      <c r="KA14" s="103"/>
      <c r="KB14" s="103"/>
      <c r="KC14" s="103"/>
      <c r="KD14" s="103"/>
      <c r="KE14" s="103"/>
      <c r="KF14" s="103"/>
      <c r="KG14" s="103"/>
      <c r="KH14" s="103"/>
      <c r="KI14" s="103"/>
      <c r="KJ14" s="103"/>
      <c r="KK14" s="103"/>
      <c r="KL14" s="103"/>
      <c r="KM14" s="103"/>
      <c r="KN14" s="103"/>
      <c r="KO14" s="103"/>
      <c r="KP14" s="103"/>
      <c r="KQ14" s="103"/>
      <c r="KR14" s="103"/>
      <c r="KS14" s="103"/>
      <c r="KT14" s="103"/>
      <c r="KU14" s="103"/>
      <c r="KV14" s="103"/>
      <c r="KW14" s="103"/>
      <c r="KX14" s="103"/>
      <c r="KY14" s="103"/>
      <c r="KZ14" s="103"/>
      <c r="LA14" s="103"/>
      <c r="LB14" s="103"/>
      <c r="LC14" s="103"/>
      <c r="LD14" s="103"/>
      <c r="LE14" s="103"/>
      <c r="LF14" s="103"/>
      <c r="LG14" s="103"/>
      <c r="LH14" s="103"/>
      <c r="LI14" s="103"/>
      <c r="LJ14" s="103"/>
      <c r="LK14" s="103"/>
      <c r="LL14" s="103"/>
      <c r="LM14" s="103"/>
    </row>
    <row r="15" spans="2:325">
      <c r="B15" s="761" t="s">
        <v>16</v>
      </c>
      <c r="C15" s="158" t="s">
        <v>300</v>
      </c>
      <c r="D15" s="847">
        <v>3.5999999999999997E-2</v>
      </c>
      <c r="E15" s="847">
        <v>3.5999999999999997E-2</v>
      </c>
      <c r="F15" s="847">
        <v>3.5499999999999997E-2</v>
      </c>
      <c r="G15" s="181">
        <v>3.5499999999999997E-2</v>
      </c>
      <c r="H15" s="181">
        <v>3.5499999999999997E-2</v>
      </c>
      <c r="I15" s="181">
        <v>3.5499999999999997E-2</v>
      </c>
      <c r="J15" s="181">
        <v>3.5499999999999997E-2</v>
      </c>
      <c r="K15" s="181">
        <v>3.5499999999999997E-2</v>
      </c>
      <c r="L15" s="557">
        <v>3.5499999999999997E-2</v>
      </c>
      <c r="M15" s="557">
        <v>3.5999999999999997E-2</v>
      </c>
      <c r="N15" s="557">
        <v>3.7999999999999999E-2</v>
      </c>
      <c r="O15" s="181">
        <v>3.85E-2</v>
      </c>
      <c r="P15" s="181">
        <v>3.85E-2</v>
      </c>
      <c r="Q15" s="181">
        <v>3.85E-2</v>
      </c>
      <c r="R15" s="181">
        <v>3.85E-2</v>
      </c>
      <c r="S15" s="181">
        <v>3.85E-2</v>
      </c>
      <c r="T15" s="557">
        <v>3.85E-2</v>
      </c>
      <c r="U15" s="181">
        <v>3.7499999999999999E-2</v>
      </c>
      <c r="V15" s="557">
        <v>3.7499999999999999E-2</v>
      </c>
      <c r="W15" s="168">
        <v>3.85E-2</v>
      </c>
      <c r="X15" s="167">
        <v>3.95E-2</v>
      </c>
      <c r="Y15" s="168">
        <v>3.95E-2</v>
      </c>
      <c r="Z15" s="167">
        <v>0.04</v>
      </c>
      <c r="AA15" s="167">
        <v>0.04</v>
      </c>
      <c r="AB15" s="167">
        <v>0.04</v>
      </c>
      <c r="AC15" s="168">
        <v>0.04</v>
      </c>
      <c r="AD15" s="168">
        <v>4.0500000000000001E-2</v>
      </c>
      <c r="AE15" s="167">
        <v>4.1000000000000002E-2</v>
      </c>
      <c r="AF15" s="168">
        <v>4.1000000000000002E-2</v>
      </c>
      <c r="AG15" s="63">
        <v>4.1500000000000002E-2</v>
      </c>
      <c r="AH15" s="168">
        <v>4.1500000000000002E-2</v>
      </c>
      <c r="AI15" s="63">
        <v>4.1799999999999997E-2</v>
      </c>
      <c r="AJ15" s="167">
        <v>4.1799999999999997E-2</v>
      </c>
      <c r="AK15" s="168">
        <v>4.1799999999999997E-2</v>
      </c>
      <c r="AL15" s="168">
        <v>4.2000000000000003E-2</v>
      </c>
      <c r="AM15" s="166">
        <v>4.2500000000000003E-2</v>
      </c>
      <c r="AN15" s="152">
        <v>4.2999999999999997E-2</v>
      </c>
      <c r="AO15" s="152">
        <v>4.2999999999999997E-2</v>
      </c>
      <c r="AP15" s="152">
        <v>4.2999999999999997E-2</v>
      </c>
      <c r="AQ15" s="152">
        <v>4.2999999999999997E-2</v>
      </c>
      <c r="AR15" s="152">
        <v>4.2999999999999997E-2</v>
      </c>
      <c r="AS15" s="152">
        <v>4.2999999999999997E-2</v>
      </c>
      <c r="AT15" s="152">
        <v>4.2999999999999997E-2</v>
      </c>
      <c r="AU15" s="152">
        <v>4.2999999999999997E-2</v>
      </c>
      <c r="AV15" s="152">
        <v>4.2999999999999997E-2</v>
      </c>
      <c r="AW15" s="152">
        <v>4.2999999999999997E-2</v>
      </c>
      <c r="AX15" s="152">
        <v>4.2999999999999997E-2</v>
      </c>
      <c r="AY15" s="152">
        <v>4.2999999999999997E-2</v>
      </c>
      <c r="AZ15" s="152">
        <v>4.2999999999999997E-2</v>
      </c>
      <c r="BA15" s="152">
        <v>4.2999999999999997E-2</v>
      </c>
      <c r="BB15" s="152">
        <v>4.2999999999999997E-2</v>
      </c>
      <c r="BC15" s="152">
        <v>4.2999999999999997E-2</v>
      </c>
      <c r="BD15" s="152">
        <v>4.2999999999999997E-2</v>
      </c>
      <c r="BE15" s="152">
        <v>4.2999999999999997E-2</v>
      </c>
      <c r="BF15" s="152">
        <v>4.2999999999999997E-2</v>
      </c>
      <c r="BG15" s="152">
        <v>4.2999999999999997E-2</v>
      </c>
      <c r="BH15" s="152">
        <v>4.2999999999999997E-2</v>
      </c>
      <c r="BI15" s="152">
        <v>4.2999999999999997E-2</v>
      </c>
      <c r="BJ15" s="152">
        <v>4.2999999999999997E-2</v>
      </c>
      <c r="BK15" s="152">
        <v>4.4999999999999998E-2</v>
      </c>
      <c r="BL15" s="152">
        <v>4.5999999999999999E-2</v>
      </c>
      <c r="BM15" s="152">
        <v>4.5999999999999999E-2</v>
      </c>
      <c r="BN15" s="152">
        <v>4.5999999999999999E-2</v>
      </c>
      <c r="BO15" s="152">
        <v>4.5999999999999999E-2</v>
      </c>
      <c r="BP15" s="152">
        <v>4.5999999999999999E-2</v>
      </c>
      <c r="BQ15" s="152">
        <v>4.5999999999999999E-2</v>
      </c>
      <c r="BR15" s="152">
        <v>4.5999999999999999E-2</v>
      </c>
      <c r="BS15" s="152">
        <v>4.5999999999999999E-2</v>
      </c>
      <c r="BT15" s="152">
        <v>4.7500000000000001E-2</v>
      </c>
      <c r="BU15" s="152">
        <v>4.7500000000000001E-2</v>
      </c>
      <c r="BV15" s="152">
        <v>4.7500000000000001E-2</v>
      </c>
      <c r="BW15" s="152">
        <v>4.7500000000000001E-2</v>
      </c>
      <c r="BX15" s="152">
        <v>4.8000000000000001E-2</v>
      </c>
      <c r="BY15" s="152">
        <v>4.9000000000000002E-2</v>
      </c>
      <c r="BZ15" s="152">
        <v>5.0999999999999997E-2</v>
      </c>
      <c r="CA15" s="152">
        <v>5.0999999999999997E-2</v>
      </c>
      <c r="CB15" s="152">
        <v>5.1499999999999997E-2</v>
      </c>
      <c r="CC15" s="152">
        <v>5.1499999999999997E-2</v>
      </c>
      <c r="CD15" s="152">
        <v>5.1499999999999997E-2</v>
      </c>
      <c r="CE15" s="152">
        <v>5.1499999999999997E-2</v>
      </c>
      <c r="CF15" s="152">
        <v>5.2499999999999998E-2</v>
      </c>
      <c r="CG15" s="152">
        <v>4.8000000000000001E-2</v>
      </c>
      <c r="CH15" s="152">
        <v>4.8000000000000001E-2</v>
      </c>
      <c r="CI15" s="152">
        <v>4.8000000000000001E-2</v>
      </c>
      <c r="CJ15" s="152">
        <v>4.8000000000000001E-2</v>
      </c>
      <c r="CK15" s="152">
        <v>4.8000000000000001E-2</v>
      </c>
      <c r="CL15" s="152">
        <v>4.8000000000000001E-2</v>
      </c>
      <c r="CM15" s="152">
        <v>4.8000000000000001E-2</v>
      </c>
      <c r="CN15" s="152">
        <v>4.8000000000000001E-2</v>
      </c>
      <c r="CO15" s="152">
        <v>4.8000000000000001E-2</v>
      </c>
      <c r="CP15" s="152">
        <v>4.8000000000000001E-2</v>
      </c>
      <c r="CQ15" s="152">
        <v>4.8000000000000001E-2</v>
      </c>
      <c r="CR15" s="152">
        <v>4.8000000000000001E-2</v>
      </c>
      <c r="CS15" s="152">
        <v>4.8000000000000001E-2</v>
      </c>
      <c r="CT15" s="152">
        <v>4.8000000000000001E-2</v>
      </c>
      <c r="CU15" s="152">
        <v>4.8000000000000001E-2</v>
      </c>
      <c r="CV15" s="152">
        <v>4.8000000000000001E-2</v>
      </c>
      <c r="CW15" s="152">
        <v>4.8000000000000001E-2</v>
      </c>
      <c r="CX15" s="152">
        <v>4.8000000000000001E-2</v>
      </c>
      <c r="CY15" s="152">
        <v>4.8000000000000001E-2</v>
      </c>
      <c r="CZ15" s="152">
        <v>4.8000000000000001E-2</v>
      </c>
      <c r="DA15" s="152">
        <v>4.8000000000000001E-2</v>
      </c>
      <c r="DB15" s="152">
        <v>4.8000000000000001E-2</v>
      </c>
      <c r="DC15" s="152">
        <v>4.8000000000000001E-2</v>
      </c>
      <c r="DD15" s="152">
        <v>4.8000000000000001E-2</v>
      </c>
      <c r="DE15" s="152">
        <v>4.8000000000000001E-2</v>
      </c>
      <c r="DF15" s="152">
        <v>4.8000000000000001E-2</v>
      </c>
      <c r="DG15" s="152">
        <v>4.8000000000000001E-2</v>
      </c>
      <c r="DH15" s="152">
        <v>4.8000000000000001E-2</v>
      </c>
      <c r="DI15" s="152">
        <v>4.8000000000000001E-2</v>
      </c>
      <c r="DJ15" s="152">
        <v>4.8000000000000001E-2</v>
      </c>
      <c r="DK15" s="152">
        <v>4.8000000000000001E-2</v>
      </c>
      <c r="DL15" s="152">
        <v>4.8000000000000001E-2</v>
      </c>
      <c r="DM15" s="152">
        <v>4.8000000000000001E-2</v>
      </c>
      <c r="DN15" s="152">
        <v>4.8000000000000001E-2</v>
      </c>
      <c r="DO15" s="152">
        <v>4.8000000000000001E-2</v>
      </c>
      <c r="DP15" s="152">
        <v>4.8000000000000001E-2</v>
      </c>
      <c r="DQ15" s="152">
        <v>4.8000000000000001E-2</v>
      </c>
      <c r="DR15" s="152">
        <v>4.8000000000000001E-2</v>
      </c>
      <c r="DS15" s="152">
        <v>4.8000000000000001E-2</v>
      </c>
      <c r="DT15" s="152">
        <v>4.8000000000000001E-2</v>
      </c>
      <c r="DU15" s="152">
        <v>4.8000000000000001E-2</v>
      </c>
      <c r="DV15" s="152">
        <v>4.8000000000000001E-2</v>
      </c>
      <c r="DW15" s="152">
        <v>4.8000000000000001E-2</v>
      </c>
      <c r="DX15" s="152">
        <v>4.8000000000000001E-2</v>
      </c>
      <c r="DY15" s="152">
        <v>4.8000000000000001E-2</v>
      </c>
      <c r="DZ15" s="152">
        <v>4.8000000000000001E-2</v>
      </c>
      <c r="EA15" s="152">
        <v>4.8000000000000001E-2</v>
      </c>
      <c r="EB15" s="152">
        <v>4.8000000000000001E-2</v>
      </c>
      <c r="EC15" s="152">
        <v>4.8000000000000001E-2</v>
      </c>
      <c r="ED15" s="152">
        <v>4.8000000000000001E-2</v>
      </c>
      <c r="EE15" s="152">
        <v>4.8000000000000001E-2</v>
      </c>
      <c r="EF15" s="152">
        <v>4.8000000000000001E-2</v>
      </c>
      <c r="EG15" s="152">
        <v>4.8000000000000001E-2</v>
      </c>
      <c r="EH15" s="152">
        <v>4.8000000000000001E-2</v>
      </c>
      <c r="EI15" s="152">
        <v>4.8000000000000001E-2</v>
      </c>
      <c r="EJ15" s="152">
        <v>4.8000000000000001E-2</v>
      </c>
      <c r="EK15" s="152">
        <v>4.8000000000000001E-2</v>
      </c>
      <c r="EL15" s="152">
        <v>4.8000000000000001E-2</v>
      </c>
      <c r="EM15" s="152">
        <v>4.8000000000000001E-2</v>
      </c>
      <c r="EN15" s="152">
        <v>4.8000000000000001E-2</v>
      </c>
      <c r="EO15" s="152">
        <v>4.8000000000000001E-2</v>
      </c>
      <c r="EP15" s="152">
        <v>4.8000000000000001E-2</v>
      </c>
      <c r="EQ15" s="152">
        <v>4.8000000000000001E-2</v>
      </c>
      <c r="ER15" s="152">
        <v>4.8000000000000001E-2</v>
      </c>
      <c r="ES15" s="152">
        <v>4.8000000000000001E-2</v>
      </c>
      <c r="ET15" s="152">
        <v>4.8000000000000001E-2</v>
      </c>
      <c r="EU15" s="152">
        <v>4.8000000000000001E-2</v>
      </c>
      <c r="EV15" s="152">
        <v>4.8000000000000001E-2</v>
      </c>
      <c r="EW15" s="152">
        <v>4.8000000000000001E-2</v>
      </c>
      <c r="EX15" s="152">
        <v>4.8000000000000001E-2</v>
      </c>
      <c r="EY15" s="152">
        <v>4.8000000000000001E-2</v>
      </c>
      <c r="EZ15" s="152">
        <v>4.8000000000000001E-2</v>
      </c>
      <c r="FA15" s="152">
        <v>4.8000000000000001E-2</v>
      </c>
      <c r="FB15" s="152">
        <v>4.8000000000000001E-2</v>
      </c>
      <c r="FC15" s="152">
        <v>4.8000000000000001E-2</v>
      </c>
      <c r="FD15" s="152">
        <v>4.8000000000000001E-2</v>
      </c>
      <c r="FE15" s="152">
        <v>4.8000000000000001E-2</v>
      </c>
      <c r="FF15" s="152">
        <v>4.8000000000000001E-2</v>
      </c>
      <c r="FG15" s="152">
        <v>4.8000000000000001E-2</v>
      </c>
      <c r="FH15" s="152">
        <v>4.8000000000000001E-2</v>
      </c>
      <c r="FI15" s="152">
        <v>4.8000000000000001E-2</v>
      </c>
      <c r="FJ15" s="152">
        <v>4.8000000000000001E-2</v>
      </c>
      <c r="FK15" s="152">
        <v>4.8000000000000001E-2</v>
      </c>
      <c r="FL15" s="152">
        <v>4.8000000000000001E-2</v>
      </c>
      <c r="FM15" s="152">
        <v>4.8000000000000001E-2</v>
      </c>
      <c r="FN15" s="152">
        <v>4.8000000000000001E-2</v>
      </c>
      <c r="FO15" s="152">
        <v>4.8000000000000001E-2</v>
      </c>
      <c r="FP15" s="152">
        <v>4.8000000000000001E-2</v>
      </c>
      <c r="FQ15" s="152">
        <v>4.8000000000000001E-2</v>
      </c>
      <c r="FR15" s="152">
        <v>4.8000000000000001E-2</v>
      </c>
      <c r="FS15" s="152">
        <v>4.8000000000000001E-2</v>
      </c>
      <c r="FT15" s="152">
        <v>4.8000000000000001E-2</v>
      </c>
      <c r="FU15" s="152">
        <v>4.8000000000000001E-2</v>
      </c>
      <c r="FV15" s="152">
        <v>4.8000000000000001E-2</v>
      </c>
      <c r="FW15" s="152">
        <v>4.8000000000000001E-2</v>
      </c>
      <c r="FX15" s="152">
        <v>4.8000000000000001E-2</v>
      </c>
      <c r="FY15" s="152">
        <v>4.8000000000000001E-2</v>
      </c>
      <c r="FZ15" s="152">
        <v>4.8000000000000001E-2</v>
      </c>
      <c r="GA15" s="152">
        <v>4.8000000000000001E-2</v>
      </c>
      <c r="GB15" s="152">
        <v>0.03</v>
      </c>
      <c r="GC15" s="152">
        <v>0.03</v>
      </c>
      <c r="GD15" s="152">
        <v>0.03</v>
      </c>
      <c r="GE15" s="152">
        <v>0.03</v>
      </c>
      <c r="GF15" s="152">
        <v>0.03</v>
      </c>
      <c r="GG15" s="152">
        <v>0.03</v>
      </c>
      <c r="GH15" s="152">
        <v>0.03</v>
      </c>
      <c r="GI15" s="152">
        <v>0.03</v>
      </c>
      <c r="GJ15" s="152">
        <v>0.03</v>
      </c>
      <c r="GK15" s="152">
        <v>0.03</v>
      </c>
      <c r="GL15" s="152">
        <v>0.03</v>
      </c>
      <c r="GM15" s="152">
        <v>0.03</v>
      </c>
      <c r="GN15" s="152">
        <v>0.03</v>
      </c>
      <c r="GO15" s="152">
        <v>0.03</v>
      </c>
      <c r="GP15" s="152">
        <v>0.03</v>
      </c>
      <c r="GQ15" s="152">
        <v>0.03</v>
      </c>
      <c r="GR15" s="152">
        <v>0.03</v>
      </c>
      <c r="GS15" s="152">
        <v>0.03</v>
      </c>
      <c r="GT15" s="152">
        <v>0.03</v>
      </c>
      <c r="GU15" s="152">
        <v>0.03</v>
      </c>
      <c r="GV15" s="152">
        <v>0.03</v>
      </c>
      <c r="GW15" s="152">
        <v>0.03</v>
      </c>
      <c r="GX15" s="152">
        <v>0.03</v>
      </c>
      <c r="GY15" s="152">
        <v>0.03</v>
      </c>
      <c r="GZ15" s="152">
        <v>0.03</v>
      </c>
      <c r="HA15" s="152">
        <v>0.03</v>
      </c>
      <c r="HB15" s="152">
        <v>0.03</v>
      </c>
      <c r="HC15" s="152">
        <v>0.03</v>
      </c>
      <c r="HD15" s="152">
        <v>0.03</v>
      </c>
      <c r="HE15" s="152">
        <v>0.03</v>
      </c>
      <c r="HF15" s="152">
        <v>0.03</v>
      </c>
      <c r="HG15" s="152">
        <v>0.03</v>
      </c>
      <c r="HH15" s="152">
        <v>0.03</v>
      </c>
      <c r="HI15" s="152">
        <v>0.03</v>
      </c>
      <c r="HJ15" s="152">
        <v>0.03</v>
      </c>
      <c r="HK15" s="152">
        <v>0.03</v>
      </c>
      <c r="HL15" s="152">
        <v>0.03</v>
      </c>
      <c r="HM15" s="152">
        <v>0.03</v>
      </c>
      <c r="HN15" s="41">
        <f t="shared" ref="HN15:HN24" si="5">$D15-$E15</f>
        <v>0</v>
      </c>
      <c r="HO15" s="109" t="s">
        <v>298</v>
      </c>
      <c r="HT15" s="103"/>
      <c r="HU15" s="103"/>
      <c r="HV15" s="103"/>
      <c r="HW15" s="103"/>
      <c r="HX15" s="103"/>
      <c r="HY15" s="103"/>
      <c r="HZ15" s="103"/>
      <c r="IA15" s="103"/>
      <c r="IB15" s="103"/>
      <c r="IC15" s="103"/>
      <c r="ID15" s="103"/>
      <c r="IE15" s="103"/>
      <c r="IF15" s="103"/>
      <c r="IG15" s="103"/>
      <c r="IH15" s="103"/>
      <c r="II15" s="103"/>
      <c r="IJ15" s="103"/>
      <c r="IK15" s="103"/>
      <c r="IL15" s="103"/>
      <c r="IM15" s="103"/>
      <c r="IN15" s="103"/>
      <c r="IO15" s="103"/>
      <c r="IP15" s="103"/>
      <c r="IQ15" s="103"/>
      <c r="IR15" s="103"/>
      <c r="IS15" s="103"/>
      <c r="IT15" s="103"/>
      <c r="IU15" s="103"/>
      <c r="IV15" s="103"/>
      <c r="IW15" s="103"/>
      <c r="IX15" s="103"/>
      <c r="IY15" s="103"/>
      <c r="IZ15" s="103"/>
      <c r="JA15" s="103"/>
      <c r="JB15" s="103"/>
      <c r="JC15" s="103"/>
      <c r="JD15" s="103"/>
      <c r="JE15" s="103"/>
      <c r="JF15" s="103"/>
      <c r="JG15" s="103"/>
      <c r="JH15" s="103"/>
      <c r="JI15" s="103"/>
      <c r="JJ15" s="103"/>
      <c r="JK15" s="103"/>
      <c r="JL15" s="103"/>
      <c r="JM15" s="103"/>
      <c r="JN15" s="103"/>
      <c r="JO15" s="103"/>
      <c r="JP15" s="103"/>
      <c r="JQ15" s="103"/>
      <c r="JR15" s="103"/>
      <c r="JS15" s="103"/>
      <c r="JT15" s="103"/>
      <c r="JU15" s="103"/>
      <c r="JV15" s="103"/>
      <c r="JW15" s="103"/>
      <c r="JX15" s="103"/>
      <c r="JY15" s="103"/>
      <c r="JZ15" s="103"/>
      <c r="KA15" s="103"/>
      <c r="KB15" s="103"/>
      <c r="KC15" s="103"/>
      <c r="KD15" s="103"/>
      <c r="KE15" s="103"/>
      <c r="KF15" s="103"/>
      <c r="KG15" s="103"/>
      <c r="KH15" s="103"/>
      <c r="KI15" s="103"/>
      <c r="KJ15" s="103"/>
      <c r="KK15" s="103"/>
      <c r="KL15" s="103"/>
      <c r="KM15" s="103"/>
      <c r="KN15" s="103"/>
      <c r="KO15" s="103"/>
      <c r="KP15" s="103"/>
      <c r="KQ15" s="103"/>
      <c r="KR15" s="103"/>
      <c r="KS15" s="103"/>
      <c r="KT15" s="103"/>
      <c r="KU15" s="103"/>
      <c r="KV15" s="103"/>
      <c r="KW15" s="103"/>
      <c r="KX15" s="103"/>
      <c r="KY15" s="103"/>
      <c r="KZ15" s="103"/>
      <c r="LA15" s="103"/>
      <c r="LB15" s="103"/>
      <c r="LC15" s="103"/>
      <c r="LD15" s="103"/>
      <c r="LE15" s="103"/>
      <c r="LF15" s="103"/>
      <c r="LG15" s="103"/>
      <c r="LH15" s="103"/>
      <c r="LI15" s="103"/>
      <c r="LJ15" s="103"/>
      <c r="LK15" s="103"/>
      <c r="LL15" s="103"/>
      <c r="LM15" s="103"/>
    </row>
    <row r="16" spans="2:325">
      <c r="B16" s="760" t="s">
        <v>20</v>
      </c>
      <c r="C16" s="740" t="s">
        <v>751</v>
      </c>
      <c r="D16" s="181">
        <v>3.5999999999999997E-2</v>
      </c>
      <c r="E16" s="181">
        <v>3.5999999999999997E-2</v>
      </c>
      <c r="F16" s="181">
        <v>3.5999999999999997E-2</v>
      </c>
      <c r="G16" s="181">
        <v>3.5999999999999997E-2</v>
      </c>
      <c r="H16" s="181">
        <v>3.5999999999999997E-2</v>
      </c>
      <c r="I16" s="181">
        <v>3.5999999999999997E-2</v>
      </c>
      <c r="J16" s="181">
        <v>3.5999999999999997E-2</v>
      </c>
      <c r="K16" s="181">
        <v>3.5999999999999997E-2</v>
      </c>
      <c r="L16" s="181">
        <v>3.5999999999999997E-2</v>
      </c>
      <c r="M16" s="557">
        <v>3.5999999999999997E-2</v>
      </c>
      <c r="N16" s="181">
        <v>3.9E-2</v>
      </c>
      <c r="O16" s="181">
        <v>3.9E-2</v>
      </c>
      <c r="P16" s="181">
        <v>3.9E-2</v>
      </c>
      <c r="Q16" s="181">
        <v>3.9E-2</v>
      </c>
      <c r="R16" s="181">
        <v>3.9E-2</v>
      </c>
      <c r="S16" s="181">
        <v>3.9E-2</v>
      </c>
      <c r="T16" s="181">
        <v>3.9E-2</v>
      </c>
      <c r="U16" s="557">
        <v>3.9E-2</v>
      </c>
      <c r="V16" s="557">
        <v>3.7999999999999999E-2</v>
      </c>
      <c r="W16" s="181">
        <v>3.9E-2</v>
      </c>
      <c r="X16" s="181">
        <v>3.9E-2</v>
      </c>
      <c r="Y16" s="181">
        <v>3.9E-2</v>
      </c>
      <c r="Z16" s="181">
        <v>3.9E-2</v>
      </c>
      <c r="AA16" s="557">
        <v>3.9E-2</v>
      </c>
      <c r="AB16" s="181">
        <v>4.1000000000000002E-2</v>
      </c>
      <c r="AC16" s="181">
        <v>4.1000000000000002E-2</v>
      </c>
      <c r="AD16" s="181">
        <v>4.1000000000000002E-2</v>
      </c>
      <c r="AE16" s="557">
        <v>4.1000000000000002E-2</v>
      </c>
      <c r="AF16" s="183">
        <v>4.2500000000000003E-2</v>
      </c>
      <c r="AG16" s="183">
        <v>4.2500000000000003E-2</v>
      </c>
      <c r="AH16" s="183">
        <v>4.2500000000000003E-2</v>
      </c>
      <c r="AI16" s="183">
        <v>4.2500000000000003E-2</v>
      </c>
      <c r="AJ16" s="181">
        <v>4.2500000000000003E-2</v>
      </c>
      <c r="AK16" s="183">
        <v>4.2500000000000003E-2</v>
      </c>
      <c r="AL16" s="182">
        <v>4.2500000000000003E-2</v>
      </c>
      <c r="AM16" s="181">
        <v>4.2500000000000003E-2</v>
      </c>
      <c r="AN16" s="181">
        <v>4.2500000000000003E-2</v>
      </c>
      <c r="AO16" s="181">
        <v>4.2500000000000003E-2</v>
      </c>
      <c r="AP16" s="181">
        <v>4.2500000000000003E-2</v>
      </c>
      <c r="AQ16" s="181">
        <v>4.2500000000000003E-2</v>
      </c>
      <c r="AR16" s="181">
        <v>4.2500000000000003E-2</v>
      </c>
      <c r="AS16" s="181">
        <v>4.2500000000000003E-2</v>
      </c>
      <c r="AT16" s="205">
        <v>4.2500000000000003E-2</v>
      </c>
      <c r="AU16" s="180">
        <v>4.2500000000000003E-2</v>
      </c>
      <c r="AV16" s="180">
        <v>4.2500000000000003E-2</v>
      </c>
      <c r="AW16" s="180">
        <v>4.2500000000000003E-2</v>
      </c>
      <c r="AX16" s="180">
        <v>4.2500000000000003E-2</v>
      </c>
      <c r="AY16" s="180">
        <v>4.2500000000000003E-2</v>
      </c>
      <c r="AZ16" s="180">
        <v>4.2500000000000003E-2</v>
      </c>
      <c r="BA16" s="180">
        <v>4.2500000000000003E-2</v>
      </c>
      <c r="BB16" s="180">
        <v>4.2500000000000003E-2</v>
      </c>
      <c r="BC16" s="180">
        <v>4.2500000000000003E-2</v>
      </c>
      <c r="BD16" s="180">
        <v>4.2500000000000003E-2</v>
      </c>
      <c r="BE16" s="180">
        <v>4.2500000000000003E-2</v>
      </c>
      <c r="BF16" s="180">
        <v>4.2500000000000003E-2</v>
      </c>
      <c r="BG16" s="180">
        <v>4.2500000000000003E-2</v>
      </c>
      <c r="BH16" s="180">
        <v>4.3999999999999997E-2</v>
      </c>
      <c r="BI16" s="180">
        <v>4.3999999999999997E-2</v>
      </c>
      <c r="BJ16" s="180">
        <v>4.3999999999999997E-2</v>
      </c>
      <c r="BK16" s="180">
        <v>4.3999999999999997E-2</v>
      </c>
      <c r="BL16" s="180">
        <v>4.3999999999999997E-2</v>
      </c>
      <c r="BM16" s="180">
        <v>4.3999999999999997E-2</v>
      </c>
      <c r="BN16" s="180">
        <v>4.3999999999999997E-2</v>
      </c>
      <c r="BO16" s="180">
        <v>4.3999999999999997E-2</v>
      </c>
      <c r="BP16" s="180">
        <v>4.3999999999999997E-2</v>
      </c>
      <c r="BQ16" s="180">
        <v>4.7E-2</v>
      </c>
      <c r="BR16" s="180">
        <v>4.7E-2</v>
      </c>
      <c r="BS16" s="180">
        <v>4.7E-2</v>
      </c>
      <c r="BT16" s="180">
        <v>4.7E-2</v>
      </c>
      <c r="BU16" s="180">
        <v>4.7E-2</v>
      </c>
      <c r="BV16" s="180">
        <v>4.7E-2</v>
      </c>
      <c r="BW16" s="180">
        <v>4.7E-2</v>
      </c>
      <c r="BX16" s="180">
        <v>4.7E-2</v>
      </c>
      <c r="BY16" s="180">
        <v>4.7E-2</v>
      </c>
      <c r="BZ16" s="180">
        <v>4.8000000000000001E-2</v>
      </c>
      <c r="CA16" s="180">
        <v>4.8000000000000001E-2</v>
      </c>
      <c r="CB16" s="180">
        <v>4.8000000000000001E-2</v>
      </c>
      <c r="CC16" s="180">
        <v>0.05</v>
      </c>
      <c r="CD16" s="180">
        <v>0.05</v>
      </c>
      <c r="CE16" s="180">
        <v>0.05</v>
      </c>
      <c r="CF16" s="180">
        <v>0.05</v>
      </c>
      <c r="CG16" s="180">
        <v>0.05</v>
      </c>
      <c r="CH16" s="180">
        <v>0.05</v>
      </c>
      <c r="CI16" s="180">
        <v>0.05</v>
      </c>
      <c r="CJ16" s="180">
        <v>0.05</v>
      </c>
      <c r="CK16" s="180">
        <v>0.05</v>
      </c>
      <c r="CL16" s="180">
        <v>0.05</v>
      </c>
      <c r="CM16" s="180">
        <v>0.05</v>
      </c>
      <c r="CN16" s="180">
        <v>0.05</v>
      </c>
      <c r="CO16" s="180">
        <v>0.05</v>
      </c>
      <c r="CP16" s="180">
        <v>0.05</v>
      </c>
      <c r="CQ16" s="180">
        <v>0.05</v>
      </c>
      <c r="CR16" s="180">
        <v>0.05</v>
      </c>
      <c r="CS16" s="180">
        <v>0.05</v>
      </c>
      <c r="CT16" s="180">
        <v>0.05</v>
      </c>
      <c r="CU16" s="180">
        <v>0.05</v>
      </c>
      <c r="CV16" s="180">
        <v>0.05</v>
      </c>
      <c r="CW16" s="180">
        <v>0.05</v>
      </c>
      <c r="CX16" s="180">
        <v>0.05</v>
      </c>
      <c r="CY16" s="180">
        <v>0.05</v>
      </c>
      <c r="CZ16" s="180">
        <v>0.05</v>
      </c>
      <c r="DA16" s="180">
        <v>0.05</v>
      </c>
      <c r="DB16" s="180">
        <v>0.05</v>
      </c>
      <c r="DC16" s="180">
        <v>0.05</v>
      </c>
      <c r="DD16" s="180">
        <v>0.05</v>
      </c>
      <c r="DE16" s="180">
        <v>0.05</v>
      </c>
      <c r="DF16" s="180">
        <v>5.0999999999999997E-2</v>
      </c>
      <c r="DG16" s="180">
        <v>5.0999999999999997E-2</v>
      </c>
      <c r="DH16" s="180">
        <v>5.0999999999999997E-2</v>
      </c>
      <c r="DI16" s="180">
        <v>5.0999999999999997E-2</v>
      </c>
      <c r="DJ16" s="180">
        <v>5.0999999999999997E-2</v>
      </c>
      <c r="DK16" s="180">
        <v>5.0999999999999997E-2</v>
      </c>
      <c r="DL16" s="180">
        <v>5.0999999999999997E-2</v>
      </c>
      <c r="DM16" s="180">
        <v>5.0999999999999997E-2</v>
      </c>
      <c r="DN16" s="180">
        <v>5.0999999999999997E-2</v>
      </c>
      <c r="DO16" s="180">
        <v>5.0999999999999997E-2</v>
      </c>
      <c r="DP16" s="180">
        <v>5.0999999999999997E-2</v>
      </c>
      <c r="DQ16" s="180">
        <v>5.0999999999999997E-2</v>
      </c>
      <c r="DR16" s="180">
        <v>5.0999999999999997E-2</v>
      </c>
      <c r="DS16" s="180">
        <v>5.0999999999999997E-2</v>
      </c>
      <c r="DT16" s="180">
        <v>5.0999999999999997E-2</v>
      </c>
      <c r="DU16" s="180">
        <v>5.0999999999999997E-2</v>
      </c>
      <c r="DV16" s="180">
        <v>5.0999999999999997E-2</v>
      </c>
      <c r="DW16" s="180">
        <v>0.05</v>
      </c>
      <c r="DX16" s="180">
        <v>0.05</v>
      </c>
      <c r="DY16" s="180">
        <v>0.05</v>
      </c>
      <c r="DZ16" s="180">
        <v>0.05</v>
      </c>
      <c r="EA16" s="180">
        <v>4.9000000000000002E-2</v>
      </c>
      <c r="EB16" s="180">
        <v>4.9000000000000002E-2</v>
      </c>
      <c r="EC16" s="180">
        <v>4.9000000000000002E-2</v>
      </c>
      <c r="ED16" s="180">
        <v>4.9000000000000002E-2</v>
      </c>
      <c r="EE16" s="180">
        <v>4.9000000000000002E-2</v>
      </c>
      <c r="EF16" s="180">
        <v>4.8500000000000001E-2</v>
      </c>
      <c r="EG16" s="180">
        <v>3.2000000000000001E-2</v>
      </c>
      <c r="EH16" s="180">
        <v>2.9000000000000001E-2</v>
      </c>
      <c r="EI16" s="180">
        <v>2.9000000000000001E-2</v>
      </c>
      <c r="EJ16" s="180">
        <v>2.9000000000000001E-2</v>
      </c>
      <c r="EK16" s="180">
        <v>2.9000000000000001E-2</v>
      </c>
      <c r="EL16" s="180">
        <v>4.7E-2</v>
      </c>
      <c r="EM16" s="180">
        <v>4.7E-2</v>
      </c>
      <c r="EN16" s="180">
        <v>4.7E-2</v>
      </c>
      <c r="EO16" s="180">
        <v>4.7E-2</v>
      </c>
      <c r="EP16" s="180">
        <v>4.5999999999999999E-2</v>
      </c>
      <c r="EQ16" s="180">
        <v>4.5999999999999999E-2</v>
      </c>
      <c r="ER16" s="180">
        <v>4.5999999999999999E-2</v>
      </c>
      <c r="ES16" s="180">
        <v>4.5999999999999999E-2</v>
      </c>
      <c r="ET16" s="180">
        <v>4.7E-2</v>
      </c>
      <c r="EU16" s="180">
        <v>4.7E-2</v>
      </c>
      <c r="EV16" s="180">
        <v>4.7E-2</v>
      </c>
      <c r="EW16" s="180">
        <v>4.7E-2</v>
      </c>
      <c r="EX16" s="180">
        <v>4.7E-2</v>
      </c>
      <c r="EY16" s="180">
        <v>4.7E-2</v>
      </c>
      <c r="EZ16" s="180">
        <v>4.3999999999999997E-2</v>
      </c>
      <c r="FA16" s="180">
        <v>4.3999999999999997E-2</v>
      </c>
      <c r="FB16" s="180">
        <v>4.3999999999999997E-2</v>
      </c>
      <c r="FC16" s="180">
        <v>4.3999999999999997E-2</v>
      </c>
      <c r="FD16" s="180">
        <v>4.3999999999999997E-2</v>
      </c>
      <c r="FE16" s="180">
        <v>4.3999999999999997E-2</v>
      </c>
      <c r="FF16" s="180">
        <v>4.3999999999999997E-2</v>
      </c>
      <c r="FG16" s="180">
        <v>4.3999999999999997E-2</v>
      </c>
      <c r="FH16" s="180">
        <v>4.7E-2</v>
      </c>
      <c r="FI16" s="180">
        <v>4.7E-2</v>
      </c>
      <c r="FJ16" s="180">
        <v>4.7E-2</v>
      </c>
      <c r="FK16" s="180">
        <v>4.7E-2</v>
      </c>
      <c r="FL16" s="180">
        <v>4.7E-2</v>
      </c>
      <c r="FM16" s="180">
        <v>4.2000000000000003E-2</v>
      </c>
      <c r="FN16" s="180">
        <v>4.2000000000000003E-2</v>
      </c>
      <c r="FO16" s="180">
        <v>4.2000000000000003E-2</v>
      </c>
      <c r="FP16" s="180">
        <v>4.2000000000000003E-2</v>
      </c>
      <c r="FQ16" s="180">
        <v>3.2000000000000001E-2</v>
      </c>
      <c r="FR16" s="180">
        <v>3.2000000000000001E-2</v>
      </c>
      <c r="FS16" s="180">
        <v>3.2000000000000001E-2</v>
      </c>
      <c r="FT16" s="180">
        <v>4.7500000000000001E-2</v>
      </c>
      <c r="FU16" s="180">
        <v>4.7E-2</v>
      </c>
      <c r="FV16" s="180">
        <v>4.8500000000000001E-2</v>
      </c>
      <c r="FW16" s="180">
        <v>4.8500000000000001E-2</v>
      </c>
      <c r="FX16" s="180">
        <v>4.8500000000000001E-2</v>
      </c>
      <c r="FY16" s="180">
        <v>4.7500000000000001E-2</v>
      </c>
      <c r="FZ16" s="180">
        <v>4.7500000000000001E-2</v>
      </c>
      <c r="GA16" s="180">
        <v>4.7500000000000001E-2</v>
      </c>
      <c r="GB16" s="180">
        <v>2.9000000000000001E-2</v>
      </c>
      <c r="GC16" s="180">
        <v>2.9000000000000001E-2</v>
      </c>
      <c r="GD16" s="180">
        <v>2.9000000000000001E-2</v>
      </c>
      <c r="GE16" s="180">
        <v>2.9000000000000001E-2</v>
      </c>
      <c r="GF16" s="180">
        <v>2.9000000000000001E-2</v>
      </c>
      <c r="GG16" s="180">
        <v>2.9000000000000001E-2</v>
      </c>
      <c r="GH16" s="180">
        <v>2.9000000000000001E-2</v>
      </c>
      <c r="GI16" s="180">
        <v>2.9000000000000001E-2</v>
      </c>
      <c r="GJ16" s="180">
        <v>2.9000000000000001E-2</v>
      </c>
      <c r="GK16" s="180">
        <v>2.9000000000000001E-2</v>
      </c>
      <c r="GL16" s="180">
        <v>2.9000000000000001E-2</v>
      </c>
      <c r="GM16" s="180">
        <v>2.9000000000000001E-2</v>
      </c>
      <c r="GN16" s="180">
        <v>2.9000000000000001E-2</v>
      </c>
      <c r="GO16" s="180">
        <v>2.9000000000000001E-2</v>
      </c>
      <c r="GP16" s="180">
        <v>2.9000000000000001E-2</v>
      </c>
      <c r="GQ16" s="180">
        <v>2.9000000000000001E-2</v>
      </c>
      <c r="GR16" s="180">
        <v>2.9000000000000001E-2</v>
      </c>
      <c r="GS16" s="180">
        <v>2.9000000000000001E-2</v>
      </c>
      <c r="GT16" s="180">
        <v>2.9000000000000001E-2</v>
      </c>
      <c r="GU16" s="180">
        <v>2.9000000000000001E-2</v>
      </c>
      <c r="GV16" s="180">
        <v>2.9000000000000001E-2</v>
      </c>
      <c r="GW16" s="180">
        <v>2.9000000000000001E-2</v>
      </c>
      <c r="GX16" s="180">
        <v>2.9000000000000001E-2</v>
      </c>
      <c r="GY16" s="180">
        <v>2.9000000000000001E-2</v>
      </c>
      <c r="GZ16" s="180">
        <v>2.9000000000000001E-2</v>
      </c>
      <c r="HA16" s="180">
        <v>2.9000000000000001E-2</v>
      </c>
      <c r="HB16" s="180">
        <v>2.9000000000000001E-2</v>
      </c>
      <c r="HC16" s="180">
        <v>2.9000000000000001E-2</v>
      </c>
      <c r="HD16" s="180">
        <v>2.9000000000000001E-2</v>
      </c>
      <c r="HE16" s="180">
        <v>2.9000000000000001E-2</v>
      </c>
      <c r="HF16" s="180">
        <v>2.9000000000000001E-2</v>
      </c>
      <c r="HG16" s="180">
        <v>2.9000000000000001E-2</v>
      </c>
      <c r="HH16" s="180">
        <v>2.9000000000000001E-2</v>
      </c>
      <c r="HI16" s="180">
        <v>2.9000000000000001E-2</v>
      </c>
      <c r="HJ16" s="180">
        <v>2.9000000000000001E-2</v>
      </c>
      <c r="HK16" s="180">
        <v>2.9000000000000001E-2</v>
      </c>
      <c r="HL16" s="180">
        <v>2.9000000000000001E-2</v>
      </c>
      <c r="HM16" s="180">
        <v>2.9000000000000001E-2</v>
      </c>
      <c r="HN16" s="41">
        <f t="shared" si="5"/>
        <v>0</v>
      </c>
      <c r="HO16" s="109" t="s">
        <v>298</v>
      </c>
      <c r="HT16" s="103"/>
      <c r="HU16" s="103"/>
      <c r="HV16" s="103"/>
      <c r="HW16" s="103"/>
      <c r="HX16" s="103"/>
      <c r="HY16" s="103"/>
      <c r="HZ16" s="103"/>
      <c r="IA16" s="103"/>
      <c r="IB16" s="103"/>
      <c r="IC16" s="103"/>
      <c r="ID16" s="103"/>
      <c r="IE16" s="103"/>
      <c r="IF16" s="103"/>
      <c r="IG16" s="103"/>
      <c r="IH16" s="103"/>
      <c r="II16" s="103"/>
      <c r="IJ16" s="103"/>
      <c r="IK16" s="103"/>
      <c r="IL16" s="103"/>
      <c r="IM16" s="103"/>
      <c r="IN16" s="103"/>
      <c r="IO16" s="103"/>
      <c r="IP16" s="103"/>
      <c r="IQ16" s="103"/>
      <c r="IR16" s="103"/>
      <c r="IS16" s="103"/>
      <c r="IT16" s="103"/>
      <c r="IU16" s="103"/>
      <c r="IV16" s="103"/>
      <c r="IW16" s="103"/>
      <c r="IX16" s="103"/>
      <c r="IY16" s="103"/>
      <c r="IZ16" s="103"/>
      <c r="JA16" s="103"/>
      <c r="JB16" s="103"/>
      <c r="JC16" s="103"/>
      <c r="JD16" s="103"/>
      <c r="JE16" s="103"/>
      <c r="JF16" s="103"/>
      <c r="JG16" s="103"/>
      <c r="JH16" s="103"/>
      <c r="JI16" s="103"/>
      <c r="JJ16" s="103"/>
      <c r="JK16" s="103"/>
      <c r="JL16" s="103"/>
      <c r="JM16" s="103"/>
      <c r="JN16" s="103"/>
      <c r="JO16" s="103"/>
      <c r="JP16" s="103"/>
      <c r="JQ16" s="103"/>
      <c r="JR16" s="103"/>
      <c r="JS16" s="103"/>
      <c r="JT16" s="103"/>
      <c r="JU16" s="103"/>
      <c r="JV16" s="103"/>
      <c r="JW16" s="103"/>
      <c r="JX16" s="103"/>
      <c r="JY16" s="103"/>
      <c r="JZ16" s="103"/>
      <c r="KA16" s="103"/>
      <c r="KB16" s="103"/>
      <c r="KC16" s="103"/>
      <c r="KD16" s="103"/>
      <c r="KE16" s="103"/>
      <c r="KF16" s="103"/>
      <c r="KG16" s="103"/>
      <c r="KH16" s="103"/>
      <c r="KI16" s="103"/>
      <c r="KJ16" s="103"/>
      <c r="KK16" s="103"/>
      <c r="KL16" s="103"/>
      <c r="KM16" s="103"/>
      <c r="KN16" s="103"/>
      <c r="KO16" s="103"/>
      <c r="KP16" s="103"/>
      <c r="KQ16" s="103"/>
      <c r="KR16" s="103"/>
      <c r="KS16" s="103"/>
      <c r="KT16" s="103"/>
      <c r="KU16" s="103"/>
      <c r="KV16" s="103"/>
      <c r="KW16" s="103"/>
      <c r="KX16" s="103"/>
      <c r="KY16" s="103"/>
      <c r="KZ16" s="103"/>
      <c r="LA16" s="103"/>
      <c r="LB16" s="103"/>
      <c r="LC16" s="103"/>
      <c r="LD16" s="103"/>
      <c r="LE16" s="103"/>
      <c r="LF16" s="103"/>
      <c r="LG16" s="103"/>
      <c r="LH16" s="103"/>
      <c r="LI16" s="103"/>
      <c r="LJ16" s="103"/>
      <c r="LK16" s="103"/>
      <c r="LL16" s="103"/>
      <c r="LM16" s="103"/>
    </row>
    <row r="17" spans="2:325" hidden="1">
      <c r="B17" s="1077" t="s">
        <v>35</v>
      </c>
      <c r="C17" s="204" t="s">
        <v>310</v>
      </c>
      <c r="D17" s="181"/>
      <c r="E17" s="181"/>
      <c r="F17" s="181"/>
      <c r="G17" s="181"/>
      <c r="H17" s="181"/>
      <c r="I17" s="181"/>
      <c r="J17" s="181"/>
      <c r="K17" s="181"/>
      <c r="L17" s="181"/>
      <c r="M17" s="181"/>
      <c r="N17" s="181"/>
      <c r="O17" s="181"/>
      <c r="P17" s="181"/>
      <c r="Q17" s="181"/>
      <c r="R17" s="181"/>
      <c r="S17" s="181"/>
      <c r="T17" s="181"/>
      <c r="U17" s="181"/>
      <c r="V17" s="181"/>
      <c r="W17" s="162">
        <v>0.05</v>
      </c>
      <c r="X17" s="162">
        <v>0.05</v>
      </c>
      <c r="Y17" s="162">
        <v>0.05</v>
      </c>
      <c r="Z17" s="162">
        <v>0.05</v>
      </c>
      <c r="AA17" s="162">
        <v>0.05</v>
      </c>
      <c r="AB17" s="162">
        <v>0.05</v>
      </c>
      <c r="AC17" s="162">
        <v>0.05</v>
      </c>
      <c r="AD17" s="162">
        <v>0.05</v>
      </c>
      <c r="AE17" s="162">
        <v>0.05</v>
      </c>
      <c r="AF17" s="164">
        <v>0.05</v>
      </c>
      <c r="AG17" s="164">
        <v>0.05</v>
      </c>
      <c r="AH17" s="164">
        <v>0.05</v>
      </c>
      <c r="AI17" s="164">
        <v>0.05</v>
      </c>
      <c r="AJ17" s="162">
        <v>0.05</v>
      </c>
      <c r="AK17" s="164">
        <v>0.05</v>
      </c>
      <c r="AL17" s="163">
        <v>0.05</v>
      </c>
      <c r="AM17" s="162">
        <v>0.05</v>
      </c>
      <c r="AN17" s="160">
        <v>0.05</v>
      </c>
      <c r="AO17" s="160">
        <v>0.05</v>
      </c>
      <c r="AP17" s="160">
        <v>0.05</v>
      </c>
      <c r="AQ17" s="160">
        <v>0.05</v>
      </c>
      <c r="AR17" s="160">
        <v>0.05</v>
      </c>
      <c r="AS17" s="160">
        <v>0.05</v>
      </c>
      <c r="AT17" s="160">
        <v>0.05</v>
      </c>
      <c r="AU17" s="160">
        <v>0.05</v>
      </c>
      <c r="AV17" s="160">
        <v>0.05</v>
      </c>
      <c r="AW17" s="160">
        <v>0.05</v>
      </c>
      <c r="AX17" s="160">
        <v>0.05</v>
      </c>
      <c r="AY17" s="160">
        <v>0.05</v>
      </c>
      <c r="AZ17" s="160">
        <v>0.05</v>
      </c>
      <c r="BA17" s="160">
        <v>0.05</v>
      </c>
      <c r="BB17" s="160">
        <v>0.05</v>
      </c>
      <c r="BC17" s="160">
        <v>0.05</v>
      </c>
      <c r="BD17" s="160">
        <v>0.05</v>
      </c>
      <c r="BE17" s="160">
        <v>0.05</v>
      </c>
      <c r="BF17" s="160">
        <v>0.05</v>
      </c>
      <c r="BG17" s="160">
        <v>0.05</v>
      </c>
      <c r="BH17" s="160">
        <v>0.05</v>
      </c>
      <c r="BI17" s="160">
        <v>0.05</v>
      </c>
      <c r="BJ17" s="160">
        <v>0.05</v>
      </c>
      <c r="BK17" s="160">
        <v>0.05</v>
      </c>
      <c r="BL17" s="160">
        <v>0.05</v>
      </c>
      <c r="BM17" s="160">
        <v>0.05</v>
      </c>
      <c r="BN17" s="160">
        <v>0.05</v>
      </c>
      <c r="BO17" s="160">
        <v>0.05</v>
      </c>
      <c r="BP17" s="160">
        <v>0.05</v>
      </c>
      <c r="BQ17" s="160">
        <v>0.05</v>
      </c>
      <c r="BR17" s="160">
        <v>0.05</v>
      </c>
      <c r="BS17" s="160">
        <v>0.05</v>
      </c>
      <c r="BT17" s="160">
        <v>0.05</v>
      </c>
      <c r="BU17" s="160">
        <v>0.05</v>
      </c>
      <c r="BV17" s="160">
        <v>0.05</v>
      </c>
      <c r="BW17" s="160">
        <v>0.05</v>
      </c>
      <c r="BX17" s="160">
        <v>0.05</v>
      </c>
      <c r="BY17" s="160">
        <v>0.05</v>
      </c>
      <c r="BZ17" s="160">
        <v>0.05</v>
      </c>
      <c r="CA17" s="160">
        <v>0.05</v>
      </c>
      <c r="CB17" s="160">
        <v>0.05</v>
      </c>
      <c r="CC17" s="160">
        <v>0.05</v>
      </c>
      <c r="CD17" s="160">
        <v>0.05</v>
      </c>
      <c r="CE17" s="160">
        <v>0.05</v>
      </c>
      <c r="CF17" s="160">
        <v>0.05</v>
      </c>
      <c r="CG17" s="160">
        <v>0.05</v>
      </c>
      <c r="CH17" s="160">
        <v>0.05</v>
      </c>
      <c r="CI17" s="160">
        <v>0.05</v>
      </c>
      <c r="CJ17" s="160">
        <v>0.05</v>
      </c>
      <c r="CK17" s="160">
        <v>0.05</v>
      </c>
      <c r="CL17" s="160">
        <v>0.05</v>
      </c>
      <c r="CM17" s="160"/>
      <c r="CN17" s="160"/>
      <c r="CO17" s="160"/>
      <c r="CP17" s="160"/>
      <c r="CQ17" s="160"/>
      <c r="CR17" s="160"/>
      <c r="CS17" s="203"/>
      <c r="CT17" s="203"/>
      <c r="CU17" s="203"/>
      <c r="CV17" s="203"/>
      <c r="CW17" s="203"/>
      <c r="CX17" s="203"/>
      <c r="CY17" s="203"/>
      <c r="CZ17" s="203"/>
      <c r="DA17" s="203"/>
      <c r="DB17" s="203"/>
      <c r="DC17" s="203"/>
      <c r="DD17" s="203"/>
      <c r="DE17" s="203"/>
      <c r="DF17" s="203"/>
      <c r="DG17" s="203"/>
      <c r="DH17" s="203"/>
      <c r="DI17" s="203"/>
      <c r="DJ17" s="203"/>
      <c r="DK17" s="203"/>
      <c r="DL17" s="203"/>
      <c r="DM17" s="203"/>
      <c r="DN17" s="203"/>
      <c r="DO17" s="203"/>
      <c r="DP17" s="203"/>
      <c r="DQ17" s="203"/>
      <c r="DR17" s="203"/>
      <c r="DS17" s="203"/>
      <c r="DT17" s="203"/>
      <c r="DU17" s="203"/>
      <c r="DV17" s="203"/>
      <c r="DW17" s="203"/>
      <c r="DX17" s="203"/>
      <c r="DY17" s="203"/>
      <c r="DZ17" s="203"/>
      <c r="EA17" s="203"/>
      <c r="EB17" s="203"/>
      <c r="EC17" s="203"/>
      <c r="ED17" s="203"/>
      <c r="EE17" s="203"/>
      <c r="EF17" s="203"/>
      <c r="EG17" s="203"/>
      <c r="EH17" s="203"/>
      <c r="EI17" s="203"/>
      <c r="EJ17" s="203"/>
      <c r="EK17" s="203"/>
      <c r="EL17" s="203"/>
      <c r="EM17" s="203"/>
      <c r="EN17" s="203"/>
      <c r="EO17" s="203"/>
      <c r="EP17" s="203"/>
      <c r="EQ17" s="203"/>
      <c r="ER17" s="203"/>
      <c r="ES17" s="203"/>
      <c r="ET17" s="203"/>
      <c r="EU17" s="203"/>
      <c r="EV17" s="203"/>
      <c r="EW17" s="203"/>
      <c r="EX17" s="203"/>
      <c r="EY17" s="203"/>
      <c r="EZ17" s="203"/>
      <c r="FA17" s="203"/>
      <c r="FB17" s="203"/>
      <c r="FC17" s="203"/>
      <c r="FD17" s="203"/>
      <c r="FE17" s="203"/>
      <c r="FF17" s="203"/>
      <c r="FG17" s="203"/>
      <c r="FH17" s="203"/>
      <c r="FI17" s="203"/>
      <c r="FJ17" s="203"/>
      <c r="FK17" s="203"/>
      <c r="FL17" s="203"/>
      <c r="FM17" s="203"/>
      <c r="FN17" s="203"/>
      <c r="FO17" s="203"/>
      <c r="FP17" s="203"/>
      <c r="FQ17" s="203"/>
      <c r="FR17" s="203"/>
      <c r="FS17" s="203"/>
      <c r="FT17" s="203"/>
      <c r="FU17" s="203"/>
      <c r="FV17" s="203"/>
      <c r="FW17" s="203"/>
      <c r="FX17" s="203"/>
      <c r="FY17" s="203"/>
      <c r="FZ17" s="203"/>
      <c r="GA17" s="203"/>
      <c r="GB17" s="203"/>
      <c r="GC17" s="203"/>
      <c r="GD17" s="203"/>
      <c r="GE17" s="203"/>
      <c r="GF17" s="203"/>
      <c r="GG17" s="203"/>
      <c r="GH17" s="203"/>
      <c r="GI17" s="203"/>
      <c r="GJ17" s="203"/>
      <c r="GK17" s="203"/>
      <c r="GL17" s="203"/>
      <c r="GM17" s="203"/>
      <c r="GN17" s="203"/>
      <c r="GO17" s="203"/>
      <c r="GP17" s="203"/>
      <c r="GQ17" s="203"/>
      <c r="GR17" s="203"/>
      <c r="GS17" s="203"/>
      <c r="GT17" s="203"/>
      <c r="GU17" s="203"/>
      <c r="GV17" s="203"/>
      <c r="GW17" s="203"/>
      <c r="GX17" s="203"/>
      <c r="GY17" s="203"/>
      <c r="GZ17" s="203"/>
      <c r="HA17" s="203"/>
      <c r="HB17" s="203"/>
      <c r="HC17" s="203"/>
      <c r="HD17" s="203"/>
      <c r="HE17" s="203"/>
      <c r="HF17" s="203"/>
      <c r="HG17" s="203"/>
      <c r="HH17" s="203"/>
      <c r="HI17" s="203"/>
      <c r="HJ17" s="203"/>
      <c r="HK17" s="203"/>
      <c r="HL17" s="203"/>
      <c r="HM17" s="203"/>
      <c r="HN17" s="41">
        <f t="shared" si="5"/>
        <v>0</v>
      </c>
      <c r="HO17" s="203" t="s">
        <v>309</v>
      </c>
      <c r="HT17" s="103"/>
      <c r="HU17" s="103"/>
      <c r="HV17" s="103"/>
      <c r="HW17" s="103"/>
      <c r="HX17" s="103"/>
      <c r="HY17" s="103"/>
      <c r="HZ17" s="103"/>
      <c r="IA17" s="103"/>
      <c r="IB17" s="103"/>
      <c r="IC17" s="103"/>
      <c r="ID17" s="103"/>
      <c r="IE17" s="103"/>
      <c r="IF17" s="103"/>
      <c r="IG17" s="103"/>
      <c r="IH17" s="103"/>
      <c r="II17" s="103"/>
      <c r="IJ17" s="103"/>
      <c r="IK17" s="103"/>
      <c r="IL17" s="103"/>
      <c r="IM17" s="103"/>
      <c r="IN17" s="103"/>
      <c r="IO17" s="103"/>
      <c r="IP17" s="103"/>
      <c r="IQ17" s="103"/>
      <c r="IR17" s="103"/>
      <c r="IS17" s="103"/>
      <c r="IT17" s="103"/>
      <c r="IU17" s="103"/>
      <c r="IV17" s="103"/>
      <c r="IW17" s="103"/>
      <c r="IX17" s="103"/>
      <c r="IY17" s="103"/>
      <c r="IZ17" s="103"/>
      <c r="JA17" s="103"/>
      <c r="JB17" s="103"/>
      <c r="JC17" s="103"/>
      <c r="JD17" s="103"/>
      <c r="JE17" s="103"/>
      <c r="JF17" s="103"/>
      <c r="JG17" s="103"/>
      <c r="JH17" s="103"/>
      <c r="JI17" s="103"/>
      <c r="JJ17" s="103"/>
      <c r="JK17" s="103"/>
      <c r="JL17" s="103"/>
      <c r="JM17" s="103"/>
      <c r="JN17" s="103"/>
      <c r="JO17" s="103"/>
      <c r="JP17" s="103"/>
      <c r="JQ17" s="103"/>
      <c r="JR17" s="103"/>
      <c r="JS17" s="103"/>
      <c r="JT17" s="103"/>
      <c r="JU17" s="103"/>
      <c r="JV17" s="103"/>
      <c r="JW17" s="103"/>
      <c r="JX17" s="103"/>
      <c r="JY17" s="103"/>
      <c r="JZ17" s="103"/>
      <c r="KA17" s="103"/>
      <c r="KB17" s="103"/>
      <c r="KC17" s="103"/>
      <c r="KD17" s="103"/>
      <c r="KE17" s="103"/>
      <c r="KF17" s="103"/>
      <c r="KG17" s="103"/>
      <c r="KH17" s="103"/>
      <c r="KI17" s="103"/>
      <c r="KJ17" s="103"/>
      <c r="KK17" s="103"/>
      <c r="KL17" s="103"/>
      <c r="KM17" s="103"/>
      <c r="KN17" s="103"/>
      <c r="KO17" s="103"/>
      <c r="KP17" s="103"/>
      <c r="KQ17" s="103"/>
      <c r="KR17" s="103"/>
      <c r="KS17" s="103"/>
      <c r="KT17" s="103"/>
      <c r="KU17" s="103"/>
      <c r="KV17" s="103"/>
      <c r="KW17" s="103"/>
      <c r="KX17" s="103"/>
      <c r="KY17" s="103"/>
      <c r="KZ17" s="103"/>
      <c r="LA17" s="103"/>
      <c r="LB17" s="103"/>
      <c r="LC17" s="103"/>
      <c r="LD17" s="103"/>
      <c r="LE17" s="103"/>
      <c r="LF17" s="103"/>
      <c r="LG17" s="103"/>
      <c r="LH17" s="103"/>
      <c r="LI17" s="103"/>
      <c r="LJ17" s="103"/>
      <c r="LK17" s="103"/>
      <c r="LL17" s="103"/>
      <c r="LM17" s="103"/>
    </row>
    <row r="18" spans="2:325">
      <c r="B18" s="1077"/>
      <c r="C18" s="184" t="s">
        <v>308</v>
      </c>
      <c r="D18" s="181">
        <v>3.6499999999999998E-2</v>
      </c>
      <c r="E18" s="181">
        <v>3.6499999999999998E-2</v>
      </c>
      <c r="F18" s="181">
        <v>3.6499999999999998E-2</v>
      </c>
      <c r="G18" s="181">
        <v>3.6499999999999998E-2</v>
      </c>
      <c r="H18" s="181">
        <v>3.6499999999999998E-2</v>
      </c>
      <c r="I18" s="181">
        <v>3.6499999999999998E-2</v>
      </c>
      <c r="J18" s="181">
        <v>3.6499999999999998E-2</v>
      </c>
      <c r="K18" s="181">
        <v>3.6499999999999998E-2</v>
      </c>
      <c r="L18" s="181">
        <v>3.6499999999999998E-2</v>
      </c>
      <c r="M18" s="181">
        <v>3.7499999999999999E-2</v>
      </c>
      <c r="N18" s="181">
        <v>3.7499999999999999E-2</v>
      </c>
      <c r="O18" s="557">
        <v>3.7499999999999999E-2</v>
      </c>
      <c r="P18" s="181">
        <v>3.85E-2</v>
      </c>
      <c r="Q18" s="181">
        <v>3.85E-2</v>
      </c>
      <c r="R18" s="181">
        <v>3.85E-2</v>
      </c>
      <c r="S18" s="181">
        <v>3.85E-2</v>
      </c>
      <c r="T18" s="557">
        <v>3.85E-2</v>
      </c>
      <c r="U18" s="181">
        <v>3.9E-2</v>
      </c>
      <c r="V18" s="181">
        <v>3.9E-2</v>
      </c>
      <c r="W18" s="168">
        <v>3.9E-2</v>
      </c>
      <c r="X18" s="167">
        <v>4.0500000000000001E-2</v>
      </c>
      <c r="Y18" s="167">
        <v>4.0500000000000001E-2</v>
      </c>
      <c r="Z18" s="167">
        <v>4.0500000000000001E-2</v>
      </c>
      <c r="AA18" s="167">
        <v>4.0500000000000001E-2</v>
      </c>
      <c r="AB18" s="167">
        <v>4.0500000000000001E-2</v>
      </c>
      <c r="AC18" s="167">
        <v>4.0500000000000001E-2</v>
      </c>
      <c r="AD18" s="167">
        <v>4.0500000000000001E-2</v>
      </c>
      <c r="AE18" s="168">
        <v>4.0500000000000001E-2</v>
      </c>
      <c r="AF18" s="63">
        <v>4.1000000000000002E-2</v>
      </c>
      <c r="AG18" s="63">
        <v>4.1000000000000002E-2</v>
      </c>
      <c r="AH18" s="168">
        <v>4.1000000000000002E-2</v>
      </c>
      <c r="AI18" s="63">
        <v>4.2000000000000003E-2</v>
      </c>
      <c r="AJ18" s="167">
        <v>4.2000000000000003E-2</v>
      </c>
      <c r="AK18" s="63">
        <v>4.2000000000000003E-2</v>
      </c>
      <c r="AL18" s="108">
        <v>4.2000000000000003E-2</v>
      </c>
      <c r="AM18" s="167">
        <v>4.2000000000000003E-2</v>
      </c>
      <c r="AN18" s="152">
        <v>4.2000000000000003E-2</v>
      </c>
      <c r="AO18" s="152">
        <v>4.2000000000000003E-2</v>
      </c>
      <c r="AP18" s="152">
        <v>4.2000000000000003E-2</v>
      </c>
      <c r="AQ18" s="152">
        <v>4.2000000000000003E-2</v>
      </c>
      <c r="AR18" s="152">
        <v>4.2000000000000003E-2</v>
      </c>
      <c r="AS18" s="152">
        <v>4.2000000000000003E-2</v>
      </c>
      <c r="AT18" s="152">
        <v>4.2000000000000003E-2</v>
      </c>
      <c r="AU18" s="152">
        <v>4.2000000000000003E-2</v>
      </c>
      <c r="AV18" s="152">
        <v>4.2000000000000003E-2</v>
      </c>
      <c r="AW18" s="152">
        <v>4.2000000000000003E-2</v>
      </c>
      <c r="AX18" s="152">
        <v>4.2000000000000003E-2</v>
      </c>
      <c r="AY18" s="152">
        <v>4.2500000000000003E-2</v>
      </c>
      <c r="AZ18" s="152">
        <v>4.2500000000000003E-2</v>
      </c>
      <c r="BA18" s="152">
        <v>4.2500000000000003E-2</v>
      </c>
      <c r="BB18" s="152">
        <v>4.2500000000000003E-2</v>
      </c>
      <c r="BC18" s="152">
        <v>4.2500000000000003E-2</v>
      </c>
      <c r="BD18" s="152">
        <v>4.2500000000000003E-2</v>
      </c>
      <c r="BE18" s="152">
        <v>4.2500000000000003E-2</v>
      </c>
      <c r="BF18" s="152">
        <v>4.2999999999999997E-2</v>
      </c>
      <c r="BG18" s="152">
        <v>4.2999999999999997E-2</v>
      </c>
      <c r="BH18" s="152">
        <v>4.2999999999999997E-2</v>
      </c>
      <c r="BI18" s="152">
        <v>4.3499999999999997E-2</v>
      </c>
      <c r="BJ18" s="152">
        <v>4.3499999999999997E-2</v>
      </c>
      <c r="BK18" s="152">
        <v>4.4999999999999998E-2</v>
      </c>
      <c r="BL18" s="152">
        <v>4.4999999999999998E-2</v>
      </c>
      <c r="BM18" s="152">
        <v>4.4999999999999998E-2</v>
      </c>
      <c r="BN18" s="152">
        <v>4.4999999999999998E-2</v>
      </c>
      <c r="BO18" s="152">
        <v>4.4999999999999998E-2</v>
      </c>
      <c r="BP18" s="152">
        <v>4.4999999999999998E-2</v>
      </c>
      <c r="BQ18" s="152">
        <v>4.4999999999999998E-2</v>
      </c>
      <c r="BR18" s="152">
        <v>4.4999999999999998E-2</v>
      </c>
      <c r="BS18" s="152">
        <v>4.4999999999999998E-2</v>
      </c>
      <c r="BT18" s="152">
        <v>4.4999999999999998E-2</v>
      </c>
      <c r="BU18" s="152">
        <v>4.4999999999999998E-2</v>
      </c>
      <c r="BV18" s="152">
        <v>4.4999999999999998E-2</v>
      </c>
      <c r="BW18" s="152">
        <v>4.4999999999999998E-2</v>
      </c>
      <c r="BX18" s="152">
        <v>4.4999999999999998E-2</v>
      </c>
      <c r="BY18" s="152">
        <v>4.5999999999999999E-2</v>
      </c>
      <c r="BZ18" s="152">
        <v>4.8500000000000001E-2</v>
      </c>
      <c r="CA18" s="152">
        <v>4.8500000000000001E-2</v>
      </c>
      <c r="CB18" s="152">
        <v>4.8500000000000001E-2</v>
      </c>
      <c r="CC18" s="152">
        <v>4.8500000000000001E-2</v>
      </c>
      <c r="CD18" s="152">
        <v>4.8500000000000001E-2</v>
      </c>
      <c r="CE18" s="152">
        <v>4.8500000000000001E-2</v>
      </c>
      <c r="CF18" s="152">
        <v>4.8500000000000001E-2</v>
      </c>
      <c r="CG18" s="152"/>
      <c r="CH18" s="152"/>
      <c r="CI18" s="152"/>
      <c r="CJ18" s="152"/>
      <c r="CK18" s="152"/>
      <c r="CL18" s="152"/>
      <c r="CM18" s="152"/>
      <c r="CN18" s="152"/>
      <c r="CO18" s="152"/>
      <c r="CP18" s="152"/>
      <c r="CQ18" s="152"/>
      <c r="CR18" s="152"/>
      <c r="CS18" s="109"/>
      <c r="CT18" s="109"/>
      <c r="CU18" s="109"/>
      <c r="CV18" s="109"/>
      <c r="CW18" s="109"/>
      <c r="CX18" s="109"/>
      <c r="CY18" s="109"/>
      <c r="CZ18" s="109"/>
      <c r="DA18" s="109"/>
      <c r="DB18" s="109"/>
      <c r="DC18" s="109"/>
      <c r="DD18" s="109"/>
      <c r="DE18" s="109"/>
      <c r="DF18" s="109"/>
      <c r="DG18" s="109"/>
      <c r="DH18" s="109"/>
      <c r="DI18" s="109"/>
      <c r="DJ18" s="109"/>
      <c r="DK18" s="109"/>
      <c r="DL18" s="109"/>
      <c r="DM18" s="109"/>
      <c r="DN18" s="109"/>
      <c r="DO18" s="109"/>
      <c r="DP18" s="109"/>
      <c r="DQ18" s="109"/>
      <c r="DR18" s="109"/>
      <c r="DS18" s="109"/>
      <c r="DT18" s="109"/>
      <c r="DU18" s="109"/>
      <c r="DV18" s="109"/>
      <c r="DW18" s="109"/>
      <c r="DX18" s="109"/>
      <c r="DY18" s="109"/>
      <c r="DZ18" s="109"/>
      <c r="EA18" s="109"/>
      <c r="EB18" s="109"/>
      <c r="EC18" s="109"/>
      <c r="ED18" s="109"/>
      <c r="EE18" s="109"/>
      <c r="EF18" s="109"/>
      <c r="EG18" s="109"/>
      <c r="EH18" s="109"/>
      <c r="EI18" s="109"/>
      <c r="EJ18" s="109"/>
      <c r="EK18" s="109"/>
      <c r="EL18" s="109"/>
      <c r="EM18" s="109"/>
      <c r="EN18" s="109"/>
      <c r="EO18" s="109"/>
      <c r="EP18" s="109"/>
      <c r="EQ18" s="109"/>
      <c r="ER18" s="109"/>
      <c r="ES18" s="109"/>
      <c r="ET18" s="109"/>
      <c r="EU18" s="109"/>
      <c r="EV18" s="109"/>
      <c r="EW18" s="109"/>
      <c r="EX18" s="109"/>
      <c r="EY18" s="109"/>
      <c r="EZ18" s="109"/>
      <c r="FA18" s="109"/>
      <c r="FB18" s="109"/>
      <c r="FC18" s="109"/>
      <c r="FD18" s="109"/>
      <c r="FE18" s="109"/>
      <c r="FF18" s="109"/>
      <c r="FG18" s="109"/>
      <c r="FH18" s="109"/>
      <c r="FI18" s="109"/>
      <c r="FJ18" s="109"/>
      <c r="FK18" s="109"/>
      <c r="FL18" s="109"/>
      <c r="FM18" s="109"/>
      <c r="FN18" s="109"/>
      <c r="FO18" s="109"/>
      <c r="FP18" s="109"/>
      <c r="FQ18" s="109"/>
      <c r="FR18" s="109"/>
      <c r="FS18" s="109"/>
      <c r="FT18" s="109"/>
      <c r="FU18" s="109"/>
      <c r="FV18" s="109"/>
      <c r="FW18" s="109"/>
      <c r="FX18" s="109"/>
      <c r="FY18" s="109"/>
      <c r="FZ18" s="109"/>
      <c r="GA18" s="109"/>
      <c r="GB18" s="109"/>
      <c r="GC18" s="109"/>
      <c r="GD18" s="109"/>
      <c r="GE18" s="109"/>
      <c r="GF18" s="109"/>
      <c r="GG18" s="109"/>
      <c r="GH18" s="109"/>
      <c r="GI18" s="109"/>
      <c r="GJ18" s="109"/>
      <c r="GK18" s="109"/>
      <c r="GL18" s="109"/>
      <c r="GM18" s="109"/>
      <c r="GN18" s="109"/>
      <c r="GO18" s="109"/>
      <c r="GP18" s="109"/>
      <c r="GQ18" s="109"/>
      <c r="GR18" s="109"/>
      <c r="GS18" s="109"/>
      <c r="GT18" s="109"/>
      <c r="GU18" s="109"/>
      <c r="GV18" s="109"/>
      <c r="GW18" s="109"/>
      <c r="GX18" s="109"/>
      <c r="GY18" s="109"/>
      <c r="GZ18" s="109"/>
      <c r="HA18" s="109"/>
      <c r="HB18" s="109"/>
      <c r="HC18" s="109"/>
      <c r="HD18" s="109"/>
      <c r="HE18" s="109"/>
      <c r="HF18" s="109"/>
      <c r="HG18" s="109"/>
      <c r="HH18" s="109"/>
      <c r="HI18" s="109"/>
      <c r="HJ18" s="109"/>
      <c r="HK18" s="109"/>
      <c r="HL18" s="109"/>
      <c r="HM18" s="109"/>
      <c r="HN18" s="41">
        <f t="shared" si="5"/>
        <v>0</v>
      </c>
      <c r="HO18" s="109" t="s">
        <v>298</v>
      </c>
      <c r="HT18" s="103"/>
      <c r="HU18" s="103"/>
      <c r="HV18" s="103"/>
      <c r="HW18" s="103"/>
      <c r="HX18" s="103"/>
      <c r="HY18" s="103"/>
      <c r="HZ18" s="103"/>
      <c r="IA18" s="103"/>
      <c r="IB18" s="103"/>
      <c r="IC18" s="103"/>
      <c r="ID18" s="103"/>
      <c r="IE18" s="103"/>
      <c r="IF18" s="103"/>
      <c r="IG18" s="103"/>
      <c r="IH18" s="103"/>
      <c r="II18" s="103"/>
      <c r="IJ18" s="103"/>
      <c r="IK18" s="103"/>
      <c r="IL18" s="103"/>
      <c r="IM18" s="103"/>
      <c r="IN18" s="103"/>
      <c r="IO18" s="103"/>
      <c r="IP18" s="103"/>
      <c r="IQ18" s="103"/>
      <c r="IR18" s="103"/>
      <c r="IS18" s="103"/>
      <c r="IT18" s="103"/>
      <c r="IU18" s="103"/>
      <c r="IV18" s="103"/>
      <c r="IW18" s="103"/>
      <c r="IX18" s="103"/>
      <c r="IY18" s="103"/>
      <c r="IZ18" s="103"/>
      <c r="JA18" s="103"/>
      <c r="JB18" s="103"/>
      <c r="JC18" s="103"/>
      <c r="JD18" s="103"/>
      <c r="JE18" s="103"/>
      <c r="JF18" s="103"/>
      <c r="JG18" s="103"/>
      <c r="JH18" s="103"/>
      <c r="JI18" s="103"/>
      <c r="JJ18" s="103"/>
      <c r="JK18" s="103"/>
      <c r="JL18" s="103"/>
      <c r="JM18" s="103"/>
      <c r="JN18" s="103"/>
      <c r="JO18" s="103"/>
      <c r="JP18" s="103"/>
      <c r="JQ18" s="103"/>
      <c r="JR18" s="103"/>
      <c r="JS18" s="103"/>
      <c r="JT18" s="103"/>
      <c r="JU18" s="103"/>
      <c r="JV18" s="103"/>
      <c r="JW18" s="103"/>
      <c r="JX18" s="103"/>
      <c r="JY18" s="103"/>
      <c r="JZ18" s="103"/>
      <c r="KA18" s="103"/>
      <c r="KB18" s="103"/>
      <c r="KC18" s="103"/>
      <c r="KD18" s="103"/>
      <c r="KE18" s="103"/>
      <c r="KF18" s="103"/>
      <c r="KG18" s="103"/>
      <c r="KH18" s="103"/>
      <c r="KI18" s="103"/>
      <c r="KJ18" s="103"/>
      <c r="KK18" s="103"/>
      <c r="KL18" s="103"/>
      <c r="KM18" s="103"/>
      <c r="KN18" s="103"/>
      <c r="KO18" s="103"/>
      <c r="KP18" s="103"/>
      <c r="KQ18" s="103"/>
      <c r="KR18" s="103"/>
      <c r="KS18" s="103"/>
      <c r="KT18" s="103"/>
      <c r="KU18" s="103"/>
      <c r="KV18" s="103"/>
      <c r="KW18" s="103"/>
      <c r="KX18" s="103"/>
      <c r="KY18" s="103"/>
      <c r="KZ18" s="103"/>
      <c r="LA18" s="103"/>
      <c r="LB18" s="103"/>
      <c r="LC18" s="103"/>
      <c r="LD18" s="103"/>
      <c r="LE18" s="103"/>
      <c r="LF18" s="103"/>
      <c r="LG18" s="103"/>
      <c r="LH18" s="103"/>
      <c r="LI18" s="103"/>
      <c r="LJ18" s="103"/>
      <c r="LK18" s="103"/>
      <c r="LL18" s="103"/>
      <c r="LM18" s="103"/>
    </row>
    <row r="19" spans="2:325" hidden="1">
      <c r="B19" s="1079" t="s">
        <v>46</v>
      </c>
      <c r="C19" s="1078" t="s">
        <v>305</v>
      </c>
      <c r="D19" s="181"/>
      <c r="E19" s="181"/>
      <c r="F19" s="181"/>
      <c r="G19" s="181"/>
      <c r="H19" s="181"/>
      <c r="I19" s="181"/>
      <c r="J19" s="181"/>
      <c r="K19" s="181"/>
      <c r="L19" s="181"/>
      <c r="M19" s="181"/>
      <c r="N19" s="181"/>
      <c r="O19" s="181"/>
      <c r="P19" s="181"/>
      <c r="Q19" s="181"/>
      <c r="R19" s="181"/>
      <c r="S19" s="181"/>
      <c r="T19" s="181"/>
      <c r="U19" s="181"/>
      <c r="V19" s="181"/>
      <c r="W19" s="162">
        <v>4.4999999999999998E-2</v>
      </c>
      <c r="X19" s="162">
        <v>4.4999999999999998E-2</v>
      </c>
      <c r="Y19" s="162">
        <v>4.4999999999999998E-2</v>
      </c>
      <c r="Z19" s="162">
        <v>4.4999999999999998E-2</v>
      </c>
      <c r="AA19" s="162">
        <v>4.4999999999999998E-2</v>
      </c>
      <c r="AB19" s="162">
        <v>4.4999999999999998E-2</v>
      </c>
      <c r="AC19" s="162">
        <v>4.4999999999999998E-2</v>
      </c>
      <c r="AD19" s="162">
        <v>4.4999999999999998E-2</v>
      </c>
      <c r="AE19" s="162">
        <v>4.4999999999999998E-2</v>
      </c>
      <c r="AF19" s="164">
        <v>4.4999999999999998E-2</v>
      </c>
      <c r="AG19" s="164">
        <v>4.4999999999999998E-2</v>
      </c>
      <c r="AH19" s="164">
        <v>4.4999999999999998E-2</v>
      </c>
      <c r="AI19" s="164">
        <v>4.4999999999999998E-2</v>
      </c>
      <c r="AJ19" s="162">
        <v>4.4999999999999998E-2</v>
      </c>
      <c r="AK19" s="164">
        <v>4.4999999999999998E-2</v>
      </c>
      <c r="AL19" s="163">
        <v>4.4999999999999998E-2</v>
      </c>
      <c r="AM19" s="162">
        <v>4.4999999999999998E-2</v>
      </c>
      <c r="AN19" s="160">
        <v>4.4999999999999998E-2</v>
      </c>
      <c r="AO19" s="160">
        <v>4.4999999999999998E-2</v>
      </c>
      <c r="AP19" s="160">
        <v>4.4999999999999998E-2</v>
      </c>
      <c r="AQ19" s="160">
        <v>4.4999999999999998E-2</v>
      </c>
      <c r="AR19" s="160">
        <v>4.4999999999999998E-2</v>
      </c>
      <c r="AS19" s="160">
        <v>4.4999999999999998E-2</v>
      </c>
      <c r="AT19" s="160">
        <v>4.4999999999999998E-2</v>
      </c>
      <c r="AU19" s="160">
        <v>4.4999999999999998E-2</v>
      </c>
      <c r="AV19" s="160">
        <v>4.4999999999999998E-2</v>
      </c>
      <c r="AW19" s="160">
        <v>4.4999999999999998E-2</v>
      </c>
      <c r="AX19" s="160">
        <v>4.4999999999999998E-2</v>
      </c>
      <c r="AY19" s="160">
        <v>4.4999999999999998E-2</v>
      </c>
      <c r="AZ19" s="160">
        <v>4.4999999999999998E-2</v>
      </c>
      <c r="BA19" s="160">
        <v>4.4999999999999998E-2</v>
      </c>
      <c r="BB19" s="160">
        <v>4.4999999999999998E-2</v>
      </c>
      <c r="BC19" s="160">
        <v>4.4999999999999998E-2</v>
      </c>
      <c r="BD19" s="160">
        <v>4.4999999999999998E-2</v>
      </c>
      <c r="BE19" s="160">
        <v>4.4999999999999998E-2</v>
      </c>
      <c r="BF19" s="160">
        <v>4.4999999999999998E-2</v>
      </c>
      <c r="BG19" s="160">
        <v>4.4999999999999998E-2</v>
      </c>
      <c r="BH19" s="160">
        <v>4.4999999999999998E-2</v>
      </c>
      <c r="BI19" s="160">
        <v>4.4999999999999998E-2</v>
      </c>
      <c r="BJ19" s="160">
        <v>4.4999999999999998E-2</v>
      </c>
      <c r="BK19" s="160">
        <v>4.4999999999999998E-2</v>
      </c>
      <c r="BL19" s="160">
        <v>4.4999999999999998E-2</v>
      </c>
      <c r="BM19" s="160">
        <v>4.4999999999999998E-2</v>
      </c>
      <c r="BN19" s="160">
        <v>4.4999999999999998E-2</v>
      </c>
      <c r="BO19" s="160">
        <v>4.4999999999999998E-2</v>
      </c>
      <c r="BP19" s="160">
        <v>4.4999999999999998E-2</v>
      </c>
      <c r="BQ19" s="160">
        <v>4.4999999999999998E-2</v>
      </c>
      <c r="BR19" s="160">
        <v>4.4999999999999998E-2</v>
      </c>
      <c r="BS19" s="160">
        <v>4.4999999999999998E-2</v>
      </c>
      <c r="BT19" s="160">
        <v>4.4999999999999998E-2</v>
      </c>
      <c r="BU19" s="160">
        <v>4.4999999999999998E-2</v>
      </c>
      <c r="BV19" s="160">
        <v>4.4999999999999998E-2</v>
      </c>
      <c r="BW19" s="160">
        <v>4.4999999999999998E-2</v>
      </c>
      <c r="BX19" s="160">
        <v>4.4999999999999998E-2</v>
      </c>
      <c r="BY19" s="160">
        <v>4.4999999999999998E-2</v>
      </c>
      <c r="BZ19" s="160">
        <v>4.8000000000000001E-2</v>
      </c>
      <c r="CA19" s="160">
        <v>4.8000000000000001E-2</v>
      </c>
      <c r="CB19" s="160">
        <v>4.8000000000000001E-2</v>
      </c>
      <c r="CC19" s="160">
        <v>4.5999999999999999E-2</v>
      </c>
      <c r="CD19" s="160">
        <v>4.5999999999999999E-2</v>
      </c>
      <c r="CE19" s="160">
        <v>4.5999999999999999E-2</v>
      </c>
      <c r="CF19" s="160">
        <v>4.5999999999999999E-2</v>
      </c>
      <c r="CG19" s="160">
        <v>3.8834E-2</v>
      </c>
      <c r="CH19" s="160">
        <v>3.8857999999999997E-2</v>
      </c>
      <c r="CI19" s="160">
        <v>3.9039999999999998E-2</v>
      </c>
      <c r="CJ19" s="160">
        <v>3.9182000000000002E-2</v>
      </c>
      <c r="CK19" s="160">
        <v>3.9393999999999998E-2</v>
      </c>
      <c r="CL19" s="160">
        <v>3.9435999999999999E-2</v>
      </c>
      <c r="CM19" s="160">
        <v>3.9432000000000002E-2</v>
      </c>
      <c r="CN19" s="160">
        <v>3.9428999999999999E-2</v>
      </c>
      <c r="CO19" s="160">
        <v>3.9428999999999999E-2</v>
      </c>
      <c r="CP19" s="160">
        <v>3.9267000000000003E-2</v>
      </c>
      <c r="CQ19" s="160">
        <v>3.9224000000000002E-2</v>
      </c>
      <c r="CR19" s="160">
        <v>3.9211999999999997E-2</v>
      </c>
      <c r="CS19" s="160">
        <v>3.9267999999999997E-2</v>
      </c>
      <c r="CT19" s="160">
        <v>3.9170999999999997E-2</v>
      </c>
      <c r="CU19" s="202">
        <v>3.9170999999999997E-2</v>
      </c>
      <c r="CV19" s="202">
        <v>3.8972E-2</v>
      </c>
      <c r="CW19" s="202">
        <v>3.9080999999999998E-2</v>
      </c>
      <c r="CX19" s="202">
        <v>3.9076E-2</v>
      </c>
      <c r="CY19" s="202">
        <v>3.9052000000000003E-2</v>
      </c>
      <c r="CZ19" s="202">
        <v>3.9052000000000003E-2</v>
      </c>
      <c r="DA19" s="202">
        <v>3.9264E-2</v>
      </c>
      <c r="DB19" s="202">
        <v>3.9432000000000002E-2</v>
      </c>
      <c r="DC19" s="202">
        <v>3.9070000000000001E-2</v>
      </c>
      <c r="DD19" s="202">
        <v>3.9070000000000001E-2</v>
      </c>
      <c r="DE19" s="202">
        <v>3.9161000000000001E-2</v>
      </c>
      <c r="DF19" s="202">
        <v>3.9064000000000002E-2</v>
      </c>
      <c r="DG19" s="202">
        <v>3.9246999999999997E-2</v>
      </c>
      <c r="DH19" s="202">
        <v>3.8199999999999998E-2</v>
      </c>
      <c r="DI19" s="202">
        <v>3.9233999999999998E-2</v>
      </c>
      <c r="DJ19" s="202">
        <v>3.9273000000000002E-2</v>
      </c>
      <c r="DK19" s="202">
        <v>3.9479E-2</v>
      </c>
      <c r="DL19" s="202">
        <v>3.9745999999999997E-2</v>
      </c>
      <c r="DM19" s="202">
        <v>3.9861000000000001E-2</v>
      </c>
      <c r="DN19" s="202">
        <v>3.9761999999999999E-2</v>
      </c>
      <c r="DO19" s="202">
        <v>3.9882000000000001E-2</v>
      </c>
      <c r="DP19" s="202">
        <v>3.9708E-2</v>
      </c>
      <c r="DQ19" s="202">
        <v>3.9902E-2</v>
      </c>
      <c r="DR19" s="202">
        <v>3.9656999999999998E-2</v>
      </c>
      <c r="DS19" s="202">
        <v>3.9828000000000002E-2</v>
      </c>
      <c r="DT19" s="202">
        <v>3.9795999999999998E-2</v>
      </c>
      <c r="DU19" s="202">
        <v>3.9967999999999997E-2</v>
      </c>
      <c r="DV19" s="202">
        <v>4.0245799999999998E-2</v>
      </c>
      <c r="DW19" s="202">
        <v>3.9997999999999999E-2</v>
      </c>
      <c r="DX19" s="202">
        <v>3.9969999999999999E-2</v>
      </c>
      <c r="DY19" s="202">
        <v>4.0082E-2</v>
      </c>
      <c r="DZ19" s="202">
        <v>3.9911000000000002E-2</v>
      </c>
      <c r="EA19" s="202">
        <v>4.0174000000000001E-2</v>
      </c>
      <c r="EB19" s="202">
        <v>3.9773000000000003E-2</v>
      </c>
      <c r="EC19" s="202">
        <v>3.9718000000000003E-2</v>
      </c>
      <c r="ED19" s="202">
        <v>3.9698999999999998E-2</v>
      </c>
      <c r="EE19" s="202">
        <v>3.9663999999999998E-2</v>
      </c>
      <c r="EF19" s="202">
        <v>3.9573999999999998E-2</v>
      </c>
      <c r="EG19" s="202">
        <v>2.2474000000000001E-2</v>
      </c>
      <c r="EH19" s="202">
        <v>2.419E-2</v>
      </c>
      <c r="EI19" s="202">
        <v>2.3671999999999999E-2</v>
      </c>
      <c r="EJ19" s="202">
        <v>1.8238999999999998E-2</v>
      </c>
      <c r="EK19" s="202">
        <v>2.2468999999999999E-2</v>
      </c>
      <c r="EL19" s="202">
        <v>3.7509000000000001E-2</v>
      </c>
      <c r="EM19" s="202">
        <v>3.6896999999999999E-2</v>
      </c>
      <c r="EN19" s="202">
        <v>3.6721999999999998E-2</v>
      </c>
      <c r="EO19" s="202">
        <v>3.7114000000000001E-2</v>
      </c>
      <c r="EP19" s="202">
        <v>3.6679999999999997E-2</v>
      </c>
      <c r="EQ19" s="202">
        <v>3.6278999999999999E-2</v>
      </c>
      <c r="ER19" s="202">
        <v>3.5587000000000001E-2</v>
      </c>
      <c r="ES19" s="202">
        <v>3.5085999999999999E-2</v>
      </c>
      <c r="ET19" s="202">
        <v>3.5012000000000001E-2</v>
      </c>
      <c r="EU19" s="202">
        <v>3.4854999999999997E-2</v>
      </c>
      <c r="EV19" s="160">
        <v>3.3300000000000003E-2</v>
      </c>
      <c r="EW19" s="160">
        <v>3.3799999999999997E-2</v>
      </c>
      <c r="EX19" s="202">
        <v>3.5416999999999997E-2</v>
      </c>
      <c r="EY19" s="202">
        <v>3.5062999999999997E-2</v>
      </c>
      <c r="EZ19" s="202">
        <v>3.4109E-2</v>
      </c>
      <c r="FA19" s="202">
        <v>3.4107999999999999E-2</v>
      </c>
      <c r="FB19" s="202">
        <v>3.3570999999999997E-2</v>
      </c>
      <c r="FC19" s="202">
        <v>3.3316999999999999E-2</v>
      </c>
      <c r="FD19" s="202">
        <v>3.3035000000000002E-2</v>
      </c>
      <c r="FE19" s="202">
        <v>3.6415999999999997E-2</v>
      </c>
      <c r="FF19" s="202">
        <v>3.2849999999999997E-2</v>
      </c>
      <c r="FG19" s="202">
        <v>3.2375000000000001E-2</v>
      </c>
      <c r="FH19" s="202">
        <v>3.1996999999999998E-2</v>
      </c>
      <c r="FI19" s="202">
        <v>3.1574999999999999E-2</v>
      </c>
      <c r="FJ19" s="202">
        <v>3.0318000000000001E-2</v>
      </c>
      <c r="FK19" s="202">
        <v>3.0984999999999999E-2</v>
      </c>
      <c r="FL19" s="202">
        <v>3.049E-2</v>
      </c>
      <c r="FM19" s="202">
        <v>2.9697999999999999E-2</v>
      </c>
      <c r="FN19" s="202">
        <v>2.8753999999999998E-2</v>
      </c>
      <c r="FO19" s="202">
        <v>2.8603E-2</v>
      </c>
      <c r="FP19" s="202">
        <v>2.7909E-2</v>
      </c>
      <c r="FQ19" s="202">
        <v>2.6955E-2</v>
      </c>
      <c r="FR19" s="202">
        <v>2.605E-2</v>
      </c>
      <c r="FS19" s="202">
        <v>2.3890000000000002E-2</v>
      </c>
      <c r="FT19" s="202">
        <v>3.8531999999999997E-2</v>
      </c>
      <c r="FU19" s="202">
        <v>3.8636999999999998E-2</v>
      </c>
      <c r="FV19" s="202">
        <v>3.8995000000000002E-2</v>
      </c>
      <c r="FW19" s="202">
        <v>3.8995000000000002E-2</v>
      </c>
      <c r="FX19" s="202">
        <v>3.8686999999999999E-2</v>
      </c>
      <c r="FY19" s="202">
        <v>3.8386999999999998E-2</v>
      </c>
      <c r="FZ19" s="202">
        <v>3.8203000000000001E-2</v>
      </c>
      <c r="GA19" s="202">
        <v>3.8543000000000001E-2</v>
      </c>
      <c r="GB19" s="202">
        <v>2.3671999999999999E-2</v>
      </c>
      <c r="GC19" s="202">
        <v>2.3671999999999999E-2</v>
      </c>
      <c r="GD19" s="202">
        <v>2.3671999999999999E-2</v>
      </c>
      <c r="GE19" s="202">
        <v>2.3671999999999999E-2</v>
      </c>
      <c r="GF19" s="202">
        <v>2.3671999999999999E-2</v>
      </c>
      <c r="GG19" s="202">
        <v>2.3671999999999999E-2</v>
      </c>
      <c r="GH19" s="202">
        <v>2.3671999999999999E-2</v>
      </c>
      <c r="GI19" s="202">
        <v>2.3671999999999999E-2</v>
      </c>
      <c r="GJ19" s="202">
        <v>2.3671999999999999E-2</v>
      </c>
      <c r="GK19" s="202">
        <v>2.3671999999999999E-2</v>
      </c>
      <c r="GL19" s="202">
        <v>2.3671999999999999E-2</v>
      </c>
      <c r="GM19" s="202">
        <v>2.3671999999999999E-2</v>
      </c>
      <c r="GN19" s="202">
        <v>2.3671999999999999E-2</v>
      </c>
      <c r="GO19" s="202">
        <v>2.3671999999999999E-2</v>
      </c>
      <c r="GP19" s="202">
        <v>2.3671999999999999E-2</v>
      </c>
      <c r="GQ19" s="202">
        <v>2.3671999999999999E-2</v>
      </c>
      <c r="GR19" s="202">
        <v>2.3671999999999999E-2</v>
      </c>
      <c r="GS19" s="202">
        <v>2.3671999999999999E-2</v>
      </c>
      <c r="GT19" s="202">
        <v>2.3671999999999999E-2</v>
      </c>
      <c r="GU19" s="202">
        <v>2.3671999999999999E-2</v>
      </c>
      <c r="GV19" s="202">
        <v>2.3671999999999999E-2</v>
      </c>
      <c r="GW19" s="202">
        <v>2.3671999999999999E-2</v>
      </c>
      <c r="GX19" s="202">
        <v>2.3671999999999999E-2</v>
      </c>
      <c r="GY19" s="202">
        <v>2.3671999999999999E-2</v>
      </c>
      <c r="GZ19" s="202">
        <v>2.3671999999999999E-2</v>
      </c>
      <c r="HA19" s="202">
        <v>2.3671999999999999E-2</v>
      </c>
      <c r="HB19" s="202">
        <v>2.3671999999999999E-2</v>
      </c>
      <c r="HC19" s="202">
        <v>2.3671999999999999E-2</v>
      </c>
      <c r="HD19" s="202">
        <v>2.3671999999999999E-2</v>
      </c>
      <c r="HE19" s="202">
        <v>2.3671999999999999E-2</v>
      </c>
      <c r="HF19" s="202">
        <v>2.3671999999999999E-2</v>
      </c>
      <c r="HG19" s="202">
        <v>2.3671999999999999E-2</v>
      </c>
      <c r="HH19" s="202">
        <v>2.3671999999999999E-2</v>
      </c>
      <c r="HI19" s="202">
        <v>2.3671999999999999E-2</v>
      </c>
      <c r="HJ19" s="202">
        <v>2.3671999999999999E-2</v>
      </c>
      <c r="HK19" s="202">
        <v>2.3671999999999999E-2</v>
      </c>
      <c r="HL19" s="202">
        <v>2.3671999999999999E-2</v>
      </c>
      <c r="HM19" s="202">
        <v>2.3671999999999999E-2</v>
      </c>
      <c r="HN19" s="41">
        <f t="shared" si="5"/>
        <v>0</v>
      </c>
      <c r="HO19" s="201" t="s">
        <v>304</v>
      </c>
      <c r="HT19" s="103"/>
      <c r="HU19" s="103"/>
      <c r="HV19" s="103"/>
      <c r="HW19" s="103"/>
      <c r="HX19" s="103"/>
      <c r="HY19" s="103"/>
      <c r="HZ19" s="103"/>
      <c r="IA19" s="103"/>
      <c r="IB19" s="103"/>
      <c r="IC19" s="103"/>
      <c r="ID19" s="103"/>
      <c r="IE19" s="103"/>
      <c r="IF19" s="103"/>
      <c r="IG19" s="103"/>
      <c r="IH19" s="103"/>
      <c r="II19" s="103"/>
      <c r="IJ19" s="103"/>
      <c r="IK19" s="103"/>
      <c r="IL19" s="103"/>
      <c r="IM19" s="103"/>
      <c r="IN19" s="103"/>
      <c r="IO19" s="103"/>
      <c r="IP19" s="103"/>
      <c r="IQ19" s="103"/>
      <c r="IR19" s="103"/>
      <c r="IS19" s="103"/>
      <c r="IT19" s="103"/>
      <c r="IU19" s="103"/>
      <c r="IV19" s="103"/>
      <c r="IW19" s="103"/>
      <c r="IX19" s="103"/>
      <c r="IY19" s="103"/>
      <c r="IZ19" s="103"/>
      <c r="JA19" s="103"/>
      <c r="JB19" s="103"/>
      <c r="JC19" s="103"/>
      <c r="JD19" s="103"/>
      <c r="JE19" s="103"/>
      <c r="JF19" s="103"/>
      <c r="JG19" s="103"/>
      <c r="JH19" s="103"/>
      <c r="JI19" s="103"/>
      <c r="JJ19" s="103"/>
      <c r="JK19" s="103"/>
      <c r="JL19" s="103"/>
      <c r="JM19" s="103"/>
      <c r="JN19" s="103"/>
      <c r="JO19" s="103"/>
      <c r="JP19" s="103"/>
      <c r="JQ19" s="103"/>
      <c r="JR19" s="103"/>
      <c r="JS19" s="103"/>
      <c r="JT19" s="103"/>
      <c r="JU19" s="103"/>
      <c r="JV19" s="103"/>
      <c r="JW19" s="103"/>
      <c r="JX19" s="103"/>
      <c r="JY19" s="103"/>
      <c r="JZ19" s="103"/>
      <c r="KA19" s="103"/>
      <c r="KB19" s="103"/>
      <c r="KC19" s="103"/>
      <c r="KD19" s="103"/>
      <c r="KE19" s="103"/>
      <c r="KF19" s="103"/>
      <c r="KG19" s="103"/>
      <c r="KH19" s="103"/>
      <c r="KI19" s="103"/>
      <c r="KJ19" s="103"/>
      <c r="KK19" s="103"/>
      <c r="KL19" s="103"/>
      <c r="KM19" s="103"/>
      <c r="KN19" s="103"/>
      <c r="KO19" s="103"/>
      <c r="KP19" s="103"/>
      <c r="KQ19" s="103"/>
      <c r="KR19" s="103"/>
      <c r="KS19" s="103"/>
      <c r="KT19" s="103"/>
      <c r="KU19" s="103"/>
      <c r="KV19" s="103"/>
      <c r="KW19" s="103"/>
      <c r="KX19" s="103"/>
      <c r="KY19" s="103"/>
      <c r="KZ19" s="103"/>
      <c r="LA19" s="103"/>
      <c r="LB19" s="103"/>
      <c r="LC19" s="103"/>
      <c r="LD19" s="103"/>
      <c r="LE19" s="103"/>
      <c r="LF19" s="103"/>
      <c r="LG19" s="103"/>
      <c r="LH19" s="103"/>
      <c r="LI19" s="103"/>
      <c r="LJ19" s="103"/>
      <c r="LK19" s="103"/>
      <c r="LL19" s="103"/>
      <c r="LM19" s="103"/>
    </row>
    <row r="20" spans="2:325" hidden="1">
      <c r="B20" s="1079"/>
      <c r="C20" s="1078"/>
      <c r="D20" s="181"/>
      <c r="E20" s="181"/>
      <c r="F20" s="181"/>
      <c r="G20" s="181"/>
      <c r="H20" s="181"/>
      <c r="I20" s="181"/>
      <c r="J20" s="181"/>
      <c r="K20" s="181"/>
      <c r="L20" s="181"/>
      <c r="M20" s="181"/>
      <c r="N20" s="181"/>
      <c r="O20" s="181"/>
      <c r="P20" s="181"/>
      <c r="Q20" s="181"/>
      <c r="R20" s="181"/>
      <c r="S20" s="181"/>
      <c r="T20" s="181"/>
      <c r="U20" s="181"/>
      <c r="V20" s="181"/>
      <c r="W20" s="162">
        <v>4.5999999999999999E-2</v>
      </c>
      <c r="X20" s="162">
        <v>4.5999999999999999E-2</v>
      </c>
      <c r="Y20" s="162">
        <v>4.5999999999999999E-2</v>
      </c>
      <c r="Z20" s="162">
        <v>4.5999999999999999E-2</v>
      </c>
      <c r="AA20" s="162">
        <v>4.5999999999999999E-2</v>
      </c>
      <c r="AB20" s="162">
        <v>4.5999999999999999E-2</v>
      </c>
      <c r="AC20" s="162">
        <v>4.5999999999999999E-2</v>
      </c>
      <c r="AD20" s="162">
        <v>4.5999999999999999E-2</v>
      </c>
      <c r="AE20" s="162">
        <v>4.5999999999999999E-2</v>
      </c>
      <c r="AF20" s="164">
        <v>4.5999999999999999E-2</v>
      </c>
      <c r="AG20" s="164">
        <v>4.5999999999999999E-2</v>
      </c>
      <c r="AH20" s="164">
        <v>4.5999999999999999E-2</v>
      </c>
      <c r="AI20" s="164">
        <v>4.5999999999999999E-2</v>
      </c>
      <c r="AJ20" s="162">
        <v>4.5999999999999999E-2</v>
      </c>
      <c r="AK20" s="164">
        <v>4.5999999999999999E-2</v>
      </c>
      <c r="AL20" s="163">
        <v>4.5999999999999999E-2</v>
      </c>
      <c r="AM20" s="162">
        <v>4.5999999999999999E-2</v>
      </c>
      <c r="AN20" s="160">
        <v>4.5999999999999999E-2</v>
      </c>
      <c r="AO20" s="160">
        <v>4.5999999999999999E-2</v>
      </c>
      <c r="AP20" s="160">
        <v>4.5999999999999999E-2</v>
      </c>
      <c r="AQ20" s="160">
        <v>4.5999999999999999E-2</v>
      </c>
      <c r="AR20" s="160">
        <v>4.5999999999999999E-2</v>
      </c>
      <c r="AS20" s="160">
        <v>4.5999999999999999E-2</v>
      </c>
      <c r="AT20" s="160">
        <v>4.5999999999999999E-2</v>
      </c>
      <c r="AU20" s="160">
        <v>4.5999999999999999E-2</v>
      </c>
      <c r="AV20" s="160">
        <v>4.5999999999999999E-2</v>
      </c>
      <c r="AW20" s="160">
        <v>4.5999999999999999E-2</v>
      </c>
      <c r="AX20" s="160">
        <v>4.5999999999999999E-2</v>
      </c>
      <c r="AY20" s="160">
        <v>4.5999999999999999E-2</v>
      </c>
      <c r="AZ20" s="160">
        <v>4.5999999999999999E-2</v>
      </c>
      <c r="BA20" s="160">
        <v>4.5999999999999999E-2</v>
      </c>
      <c r="BB20" s="160">
        <v>4.5999999999999999E-2</v>
      </c>
      <c r="BC20" s="160">
        <v>4.5999999999999999E-2</v>
      </c>
      <c r="BD20" s="160">
        <v>4.5999999999999999E-2</v>
      </c>
      <c r="BE20" s="160">
        <v>4.5999999999999999E-2</v>
      </c>
      <c r="BF20" s="160">
        <v>4.5999999999999999E-2</v>
      </c>
      <c r="BG20" s="160">
        <v>4.5999999999999999E-2</v>
      </c>
      <c r="BH20" s="160">
        <v>4.5999999999999999E-2</v>
      </c>
      <c r="BI20" s="160">
        <v>4.5999999999999999E-2</v>
      </c>
      <c r="BJ20" s="160">
        <v>4.5999999999999999E-2</v>
      </c>
      <c r="BK20" s="160">
        <v>4.5999999999999999E-2</v>
      </c>
      <c r="BL20" s="160">
        <v>4.5999999999999999E-2</v>
      </c>
      <c r="BM20" s="160">
        <v>4.5999999999999999E-2</v>
      </c>
      <c r="BN20" s="160">
        <v>4.5999999999999999E-2</v>
      </c>
      <c r="BO20" s="160">
        <v>4.5999999999999999E-2</v>
      </c>
      <c r="BP20" s="160">
        <v>4.5999999999999999E-2</v>
      </c>
      <c r="BQ20" s="160">
        <v>4.5999999999999999E-2</v>
      </c>
      <c r="BR20" s="160">
        <v>4.5999999999999999E-2</v>
      </c>
      <c r="BS20" s="160">
        <v>4.5999999999999999E-2</v>
      </c>
      <c r="BT20" s="160">
        <v>4.5999999999999999E-2</v>
      </c>
      <c r="BU20" s="160">
        <v>4.5999999999999999E-2</v>
      </c>
      <c r="BV20" s="160">
        <v>4.5999999999999999E-2</v>
      </c>
      <c r="BW20" s="160">
        <v>4.5999999999999999E-2</v>
      </c>
      <c r="BX20" s="160">
        <v>4.5999999999999999E-2</v>
      </c>
      <c r="BY20" s="160">
        <v>4.5999999999999999E-2</v>
      </c>
      <c r="BZ20" s="160">
        <v>4.9000000000000002E-2</v>
      </c>
      <c r="CA20" s="160">
        <v>4.9000000000000002E-2</v>
      </c>
      <c r="CB20" s="160">
        <v>4.9000000000000002E-2</v>
      </c>
      <c r="CC20" s="160">
        <v>4.7E-2</v>
      </c>
      <c r="CD20" s="160">
        <v>4.7E-2</v>
      </c>
      <c r="CE20" s="160">
        <v>4.7E-2</v>
      </c>
      <c r="CF20" s="160">
        <v>4.7E-2</v>
      </c>
      <c r="CG20" s="160">
        <v>3.9834000000000001E-2</v>
      </c>
      <c r="CH20" s="160">
        <v>3.9857999999999998E-2</v>
      </c>
      <c r="CI20" s="160">
        <v>4.0039999999999999E-2</v>
      </c>
      <c r="CJ20" s="160">
        <v>4.0182000000000002E-2</v>
      </c>
      <c r="CK20" s="160">
        <v>4.0393999999999999E-2</v>
      </c>
      <c r="CL20" s="160">
        <v>4.0436E-2</v>
      </c>
      <c r="CM20" s="160">
        <v>4.0432000000000003E-2</v>
      </c>
      <c r="CN20" s="160">
        <v>4.0429E-2</v>
      </c>
      <c r="CO20" s="160">
        <v>4.0429E-2</v>
      </c>
      <c r="CP20" s="160">
        <v>4.0266999999999997E-2</v>
      </c>
      <c r="CQ20" s="160">
        <v>4.0224000000000003E-2</v>
      </c>
      <c r="CR20" s="160">
        <v>4.0211999999999998E-2</v>
      </c>
      <c r="CS20" s="160">
        <v>4.0268999999999999E-2</v>
      </c>
      <c r="CT20" s="160">
        <v>4.0170999999999998E-2</v>
      </c>
      <c r="CU20" s="202">
        <v>4.0170999999999998E-2</v>
      </c>
      <c r="CV20" s="202">
        <v>3.9972000000000001E-2</v>
      </c>
      <c r="CW20" s="202">
        <v>4.0080999999999999E-2</v>
      </c>
      <c r="CX20" s="202">
        <v>4.0076000000000001E-2</v>
      </c>
      <c r="CY20" s="202">
        <v>4.0051999999999997E-2</v>
      </c>
      <c r="CZ20" s="202">
        <v>4.0051999999999997E-2</v>
      </c>
      <c r="DA20" s="202">
        <v>4.0264000000000001E-2</v>
      </c>
      <c r="DB20" s="202">
        <v>4.0432000000000003E-2</v>
      </c>
      <c r="DC20" s="202">
        <v>4.0070000000000001E-2</v>
      </c>
      <c r="DD20" s="202">
        <v>4.0070000000000001E-2</v>
      </c>
      <c r="DE20" s="202">
        <v>4.0161000000000002E-2</v>
      </c>
      <c r="DF20" s="202">
        <v>4.0064000000000002E-2</v>
      </c>
      <c r="DG20" s="202">
        <v>4.0246999999999998E-2</v>
      </c>
      <c r="DH20" s="202">
        <v>3.9979000000000001E-2</v>
      </c>
      <c r="DI20" s="202">
        <v>4.0233999999999999E-2</v>
      </c>
      <c r="DJ20" s="202">
        <v>4.0273000000000003E-2</v>
      </c>
      <c r="DK20" s="202">
        <v>4.0479000000000001E-2</v>
      </c>
      <c r="DL20" s="202">
        <v>4.0745999999999997E-2</v>
      </c>
      <c r="DM20" s="202">
        <v>4.0861000000000001E-2</v>
      </c>
      <c r="DN20" s="202">
        <v>4.0762E-2</v>
      </c>
      <c r="DO20" s="202">
        <v>4.0882000000000002E-2</v>
      </c>
      <c r="DP20" s="202">
        <v>4.0708000000000001E-2</v>
      </c>
      <c r="DQ20" s="202">
        <v>4.0902000000000001E-2</v>
      </c>
      <c r="DR20" s="202">
        <v>4.0656999999999999E-2</v>
      </c>
      <c r="DS20" s="202">
        <v>4.0828000000000003E-2</v>
      </c>
      <c r="DT20" s="202">
        <v>4.0795999999999999E-2</v>
      </c>
      <c r="DU20" s="202">
        <v>4.0967999999999997E-2</v>
      </c>
      <c r="DV20" s="202">
        <v>4.1258000000000003E-2</v>
      </c>
      <c r="DW20" s="202">
        <v>4.0998E-2</v>
      </c>
      <c r="DX20" s="202">
        <v>4.0969999999999999E-2</v>
      </c>
      <c r="DY20" s="202">
        <v>4.1082E-2</v>
      </c>
      <c r="DZ20" s="202">
        <v>4.0911000000000003E-2</v>
      </c>
      <c r="EA20" s="202">
        <v>4.1174000000000002E-2</v>
      </c>
      <c r="EB20" s="202">
        <v>4.0772999999999997E-2</v>
      </c>
      <c r="EC20" s="202">
        <v>4.0717999999999997E-2</v>
      </c>
      <c r="ED20" s="202">
        <v>4.0698999999999999E-2</v>
      </c>
      <c r="EE20" s="202">
        <v>4.0663999999999999E-2</v>
      </c>
      <c r="EF20" s="202">
        <v>4.0573999999999999E-2</v>
      </c>
      <c r="EG20" s="202">
        <v>2.3473999999999998E-2</v>
      </c>
      <c r="EH20" s="202">
        <v>2.5189E-2</v>
      </c>
      <c r="EI20" s="202">
        <v>2.4671999999999999E-2</v>
      </c>
      <c r="EJ20" s="202">
        <v>1.9238999999999999E-2</v>
      </c>
      <c r="EK20" s="202">
        <v>2.4469000000000001E-2</v>
      </c>
      <c r="EL20" s="202">
        <v>3.8509000000000002E-2</v>
      </c>
      <c r="EM20" s="202">
        <v>3.7898000000000001E-2</v>
      </c>
      <c r="EN20" s="202">
        <v>3.7721999999999999E-2</v>
      </c>
      <c r="EO20" s="202">
        <v>3.8114000000000002E-2</v>
      </c>
      <c r="EP20" s="202">
        <v>3.7679999999999998E-2</v>
      </c>
      <c r="EQ20" s="202">
        <v>3.7279E-2</v>
      </c>
      <c r="ER20" s="202">
        <v>3.6587000000000001E-2</v>
      </c>
      <c r="ES20" s="202">
        <v>3.6086E-2</v>
      </c>
      <c r="ET20" s="202">
        <v>3.6012000000000002E-2</v>
      </c>
      <c r="EU20" s="202">
        <v>3.5854999999999998E-2</v>
      </c>
      <c r="EV20" s="160">
        <v>3.4299999999999997E-2</v>
      </c>
      <c r="EW20" s="160">
        <v>3.4799999999999998E-2</v>
      </c>
      <c r="EX20" s="202">
        <v>3.6416999999999998E-2</v>
      </c>
      <c r="EY20" s="202">
        <v>3.6062999999999998E-2</v>
      </c>
      <c r="EZ20" s="202">
        <v>3.5109000000000001E-2</v>
      </c>
      <c r="FA20" s="202">
        <v>3.5108E-2</v>
      </c>
      <c r="FB20" s="202">
        <v>3.4570999999999998E-2</v>
      </c>
      <c r="FC20" s="202">
        <v>3.4317E-2</v>
      </c>
      <c r="FD20" s="202">
        <v>3.4035000000000003E-2</v>
      </c>
      <c r="FE20" s="202">
        <v>3.7415999999999998E-2</v>
      </c>
      <c r="FF20" s="202">
        <v>3.3849999999999998E-2</v>
      </c>
      <c r="FG20" s="202">
        <v>3.3375000000000002E-2</v>
      </c>
      <c r="FH20" s="202">
        <v>3.2996999999999999E-2</v>
      </c>
      <c r="FI20" s="202">
        <v>3.2575E-2</v>
      </c>
      <c r="FJ20" s="202">
        <v>3.1317999999999999E-2</v>
      </c>
      <c r="FK20" s="202">
        <v>3.1985E-2</v>
      </c>
      <c r="FL20" s="202">
        <v>3.1489999999999997E-2</v>
      </c>
      <c r="FM20" s="202">
        <v>3.0698E-2</v>
      </c>
      <c r="FN20" s="202">
        <v>2.9753999999999999E-2</v>
      </c>
      <c r="FO20" s="202">
        <v>2.9603000000000001E-2</v>
      </c>
      <c r="FP20" s="202">
        <v>2.8909000000000001E-2</v>
      </c>
      <c r="FQ20" s="202">
        <v>2.7955000000000001E-2</v>
      </c>
      <c r="FR20" s="202">
        <v>2.7050000000000001E-2</v>
      </c>
      <c r="FS20" s="202">
        <v>2.4889999999999999E-2</v>
      </c>
      <c r="FT20" s="202">
        <v>3.9531999999999998E-2</v>
      </c>
      <c r="FU20" s="202">
        <v>3.9636999999999999E-2</v>
      </c>
      <c r="FV20" s="202">
        <v>3.9995000000000003E-2</v>
      </c>
      <c r="FW20" s="202">
        <v>3.9995000000000003E-2</v>
      </c>
      <c r="FX20" s="202">
        <v>3.9687E-2</v>
      </c>
      <c r="FY20" s="202">
        <v>3.9386999999999998E-2</v>
      </c>
      <c r="FZ20" s="202">
        <v>3.9203000000000002E-2</v>
      </c>
      <c r="GA20" s="202">
        <v>3.9543000000000002E-2</v>
      </c>
      <c r="GB20" s="202">
        <v>2.4671999999999999E-2</v>
      </c>
      <c r="GC20" s="202">
        <v>2.4671999999999999E-2</v>
      </c>
      <c r="GD20" s="202">
        <v>2.4671999999999999E-2</v>
      </c>
      <c r="GE20" s="202">
        <v>2.4671999999999999E-2</v>
      </c>
      <c r="GF20" s="202">
        <v>2.4671999999999999E-2</v>
      </c>
      <c r="GG20" s="202">
        <v>2.4671999999999999E-2</v>
      </c>
      <c r="GH20" s="202">
        <v>2.4671999999999999E-2</v>
      </c>
      <c r="GI20" s="202">
        <v>2.4671999999999999E-2</v>
      </c>
      <c r="GJ20" s="202">
        <v>2.4671999999999999E-2</v>
      </c>
      <c r="GK20" s="202">
        <v>2.4671999999999999E-2</v>
      </c>
      <c r="GL20" s="202">
        <v>2.4671999999999999E-2</v>
      </c>
      <c r="GM20" s="202">
        <v>2.4671999999999999E-2</v>
      </c>
      <c r="GN20" s="202">
        <v>2.4671999999999999E-2</v>
      </c>
      <c r="GO20" s="202">
        <v>2.4671999999999999E-2</v>
      </c>
      <c r="GP20" s="202">
        <v>2.4671999999999999E-2</v>
      </c>
      <c r="GQ20" s="202">
        <v>2.4671999999999999E-2</v>
      </c>
      <c r="GR20" s="202">
        <v>2.4671999999999999E-2</v>
      </c>
      <c r="GS20" s="202">
        <v>2.4671999999999999E-2</v>
      </c>
      <c r="GT20" s="202">
        <v>2.4671999999999999E-2</v>
      </c>
      <c r="GU20" s="202">
        <v>2.4671999999999999E-2</v>
      </c>
      <c r="GV20" s="202">
        <v>2.4671999999999999E-2</v>
      </c>
      <c r="GW20" s="202">
        <v>2.4671999999999999E-2</v>
      </c>
      <c r="GX20" s="202">
        <v>2.4671999999999999E-2</v>
      </c>
      <c r="GY20" s="202">
        <v>2.4671999999999999E-2</v>
      </c>
      <c r="GZ20" s="202">
        <v>2.4671999999999999E-2</v>
      </c>
      <c r="HA20" s="202">
        <v>2.4671999999999999E-2</v>
      </c>
      <c r="HB20" s="202">
        <v>2.4671999999999999E-2</v>
      </c>
      <c r="HC20" s="202">
        <v>2.4671999999999999E-2</v>
      </c>
      <c r="HD20" s="202">
        <v>2.4671999999999999E-2</v>
      </c>
      <c r="HE20" s="202">
        <v>2.4671999999999999E-2</v>
      </c>
      <c r="HF20" s="202">
        <v>2.4671999999999999E-2</v>
      </c>
      <c r="HG20" s="202">
        <v>2.4671999999999999E-2</v>
      </c>
      <c r="HH20" s="202">
        <v>2.4671999999999999E-2</v>
      </c>
      <c r="HI20" s="202">
        <v>2.4671999999999999E-2</v>
      </c>
      <c r="HJ20" s="202">
        <v>2.4671999999999999E-2</v>
      </c>
      <c r="HK20" s="202">
        <v>2.4671999999999999E-2</v>
      </c>
      <c r="HL20" s="202">
        <v>2.4671999999999999E-2</v>
      </c>
      <c r="HM20" s="202">
        <v>2.4671999999999999E-2</v>
      </c>
      <c r="HN20" s="41">
        <f t="shared" si="5"/>
        <v>0</v>
      </c>
      <c r="HO20" s="201" t="s">
        <v>303</v>
      </c>
      <c r="HT20" s="103"/>
      <c r="HU20" s="103"/>
      <c r="HV20" s="103"/>
      <c r="HW20" s="103"/>
      <c r="HX20" s="103"/>
      <c r="HY20" s="103"/>
      <c r="HZ20" s="103"/>
      <c r="IA20" s="103"/>
      <c r="IB20" s="103"/>
      <c r="IC20" s="103"/>
      <c r="ID20" s="103"/>
      <c r="IE20" s="103"/>
      <c r="IF20" s="103"/>
      <c r="IG20" s="103"/>
      <c r="IH20" s="103"/>
      <c r="II20" s="103"/>
      <c r="IJ20" s="103"/>
      <c r="IK20" s="103"/>
      <c r="IL20" s="103"/>
      <c r="IM20" s="103"/>
      <c r="IN20" s="103"/>
      <c r="IO20" s="103"/>
      <c r="IP20" s="103"/>
      <c r="IQ20" s="103"/>
      <c r="IR20" s="103"/>
      <c r="IS20" s="103"/>
      <c r="IT20" s="103"/>
      <c r="IU20" s="103"/>
      <c r="IV20" s="103"/>
      <c r="IW20" s="103"/>
      <c r="IX20" s="103"/>
      <c r="IY20" s="103"/>
      <c r="IZ20" s="103"/>
      <c r="JA20" s="103"/>
      <c r="JB20" s="103"/>
      <c r="JC20" s="103"/>
      <c r="JD20" s="103"/>
      <c r="JE20" s="103"/>
      <c r="JF20" s="103"/>
      <c r="JG20" s="103"/>
      <c r="JH20" s="103"/>
      <c r="JI20" s="103"/>
      <c r="JJ20" s="103"/>
      <c r="JK20" s="103"/>
      <c r="JL20" s="103"/>
      <c r="JM20" s="103"/>
      <c r="JN20" s="103"/>
      <c r="JO20" s="103"/>
      <c r="JP20" s="103"/>
      <c r="JQ20" s="103"/>
      <c r="JR20" s="103"/>
      <c r="JS20" s="103"/>
      <c r="JT20" s="103"/>
      <c r="JU20" s="103"/>
      <c r="JV20" s="103"/>
      <c r="JW20" s="103"/>
      <c r="JX20" s="103"/>
      <c r="JY20" s="103"/>
      <c r="JZ20" s="103"/>
      <c r="KA20" s="103"/>
      <c r="KB20" s="103"/>
      <c r="KC20" s="103"/>
      <c r="KD20" s="103"/>
      <c r="KE20" s="103"/>
      <c r="KF20" s="103"/>
      <c r="KG20" s="103"/>
      <c r="KH20" s="103"/>
      <c r="KI20" s="103"/>
      <c r="KJ20" s="103"/>
      <c r="KK20" s="103"/>
      <c r="KL20" s="103"/>
      <c r="KM20" s="103"/>
      <c r="KN20" s="103"/>
      <c r="KO20" s="103"/>
      <c r="KP20" s="103"/>
      <c r="KQ20" s="103"/>
      <c r="KR20" s="103"/>
      <c r="KS20" s="103"/>
      <c r="KT20" s="103"/>
      <c r="KU20" s="103"/>
      <c r="KV20" s="103"/>
      <c r="KW20" s="103"/>
      <c r="KX20" s="103"/>
      <c r="KY20" s="103"/>
      <c r="KZ20" s="103"/>
      <c r="LA20" s="103"/>
      <c r="LB20" s="103"/>
      <c r="LC20" s="103"/>
      <c r="LD20" s="103"/>
      <c r="LE20" s="103"/>
      <c r="LF20" s="103"/>
      <c r="LG20" s="103"/>
      <c r="LH20" s="103"/>
      <c r="LI20" s="103"/>
      <c r="LJ20" s="103"/>
      <c r="LK20" s="103"/>
      <c r="LL20" s="103"/>
      <c r="LM20" s="103"/>
    </row>
    <row r="21" spans="2:325" hidden="1">
      <c r="B21" s="1079"/>
      <c r="C21" s="1078"/>
      <c r="D21" s="181"/>
      <c r="E21" s="181"/>
      <c r="F21" s="181"/>
      <c r="G21" s="181"/>
      <c r="H21" s="181"/>
      <c r="I21" s="181"/>
      <c r="J21" s="181"/>
      <c r="K21" s="181"/>
      <c r="L21" s="181"/>
      <c r="M21" s="181"/>
      <c r="N21" s="181"/>
      <c r="O21" s="181"/>
      <c r="P21" s="181"/>
      <c r="Q21" s="181"/>
      <c r="R21" s="181"/>
      <c r="S21" s="181"/>
      <c r="T21" s="181"/>
      <c r="U21" s="181"/>
      <c r="V21" s="181"/>
      <c r="W21" s="162">
        <v>4.7E-2</v>
      </c>
      <c r="X21" s="162">
        <v>4.7E-2</v>
      </c>
      <c r="Y21" s="162">
        <v>4.7E-2</v>
      </c>
      <c r="Z21" s="162">
        <v>4.7E-2</v>
      </c>
      <c r="AA21" s="162">
        <v>4.7E-2</v>
      </c>
      <c r="AB21" s="162">
        <v>4.7E-2</v>
      </c>
      <c r="AC21" s="162">
        <v>4.7E-2</v>
      </c>
      <c r="AD21" s="162">
        <v>4.7E-2</v>
      </c>
      <c r="AE21" s="162">
        <v>4.7E-2</v>
      </c>
      <c r="AF21" s="164">
        <v>4.7E-2</v>
      </c>
      <c r="AG21" s="164">
        <v>4.7E-2</v>
      </c>
      <c r="AH21" s="164">
        <v>4.7E-2</v>
      </c>
      <c r="AI21" s="164">
        <v>4.7E-2</v>
      </c>
      <c r="AJ21" s="162">
        <v>4.7E-2</v>
      </c>
      <c r="AK21" s="164">
        <v>4.7E-2</v>
      </c>
      <c r="AL21" s="163">
        <v>4.7E-2</v>
      </c>
      <c r="AM21" s="162">
        <v>4.7E-2</v>
      </c>
      <c r="AN21" s="160">
        <v>4.7E-2</v>
      </c>
      <c r="AO21" s="160">
        <v>4.7E-2</v>
      </c>
      <c r="AP21" s="160">
        <v>4.7E-2</v>
      </c>
      <c r="AQ21" s="160">
        <v>4.7E-2</v>
      </c>
      <c r="AR21" s="160">
        <v>4.7E-2</v>
      </c>
      <c r="AS21" s="160">
        <v>4.7E-2</v>
      </c>
      <c r="AT21" s="160">
        <v>4.7E-2</v>
      </c>
      <c r="AU21" s="160">
        <v>4.7E-2</v>
      </c>
      <c r="AV21" s="160">
        <v>4.7E-2</v>
      </c>
      <c r="AW21" s="160">
        <v>4.7E-2</v>
      </c>
      <c r="AX21" s="160">
        <v>4.7E-2</v>
      </c>
      <c r="AY21" s="160">
        <v>4.7E-2</v>
      </c>
      <c r="AZ21" s="160">
        <v>4.7E-2</v>
      </c>
      <c r="BA21" s="160">
        <v>4.7E-2</v>
      </c>
      <c r="BB21" s="160">
        <v>4.7E-2</v>
      </c>
      <c r="BC21" s="160">
        <v>4.7E-2</v>
      </c>
      <c r="BD21" s="160">
        <v>4.7E-2</v>
      </c>
      <c r="BE21" s="160">
        <v>4.7E-2</v>
      </c>
      <c r="BF21" s="160">
        <v>4.7E-2</v>
      </c>
      <c r="BG21" s="160">
        <v>4.7E-2</v>
      </c>
      <c r="BH21" s="160">
        <v>4.7E-2</v>
      </c>
      <c r="BI21" s="160">
        <v>4.7E-2</v>
      </c>
      <c r="BJ21" s="160">
        <v>4.7E-2</v>
      </c>
      <c r="BK21" s="160">
        <v>4.7E-2</v>
      </c>
      <c r="BL21" s="160">
        <v>4.7E-2</v>
      </c>
      <c r="BM21" s="160">
        <v>4.7E-2</v>
      </c>
      <c r="BN21" s="160">
        <v>4.7E-2</v>
      </c>
      <c r="BO21" s="160">
        <v>4.7E-2</v>
      </c>
      <c r="BP21" s="160">
        <v>4.7E-2</v>
      </c>
      <c r="BQ21" s="160">
        <v>4.7E-2</v>
      </c>
      <c r="BR21" s="160">
        <v>4.7E-2</v>
      </c>
      <c r="BS21" s="160">
        <v>4.7E-2</v>
      </c>
      <c r="BT21" s="160">
        <v>4.7E-2</v>
      </c>
      <c r="BU21" s="160">
        <v>4.7E-2</v>
      </c>
      <c r="BV21" s="160">
        <v>4.7E-2</v>
      </c>
      <c r="BW21" s="160">
        <v>4.7E-2</v>
      </c>
      <c r="BX21" s="160">
        <v>4.7E-2</v>
      </c>
      <c r="BY21" s="160">
        <v>4.7E-2</v>
      </c>
      <c r="BZ21" s="160">
        <v>0.05</v>
      </c>
      <c r="CA21" s="160">
        <v>0.05</v>
      </c>
      <c r="CB21" s="160">
        <v>0.05</v>
      </c>
      <c r="CC21" s="160">
        <v>4.8000000000000001E-2</v>
      </c>
      <c r="CD21" s="160">
        <v>4.8000000000000001E-2</v>
      </c>
      <c r="CE21" s="160">
        <v>4.8000000000000001E-2</v>
      </c>
      <c r="CF21" s="160">
        <v>4.8000000000000001E-2</v>
      </c>
      <c r="CG21" s="160">
        <v>4.0834000000000002E-2</v>
      </c>
      <c r="CH21" s="160">
        <v>4.0857999999999998E-2</v>
      </c>
      <c r="CI21" s="160">
        <v>4.104E-2</v>
      </c>
      <c r="CJ21" s="160">
        <v>4.1182000000000003E-2</v>
      </c>
      <c r="CK21" s="160">
        <v>4.1394E-2</v>
      </c>
      <c r="CL21" s="160">
        <v>4.1436000000000001E-2</v>
      </c>
      <c r="CM21" s="160">
        <v>4.1431999999999997E-2</v>
      </c>
      <c r="CN21" s="160">
        <v>4.1429000000000001E-2</v>
      </c>
      <c r="CO21" s="160">
        <v>4.1429000000000001E-2</v>
      </c>
      <c r="CP21" s="160">
        <v>4.1266999999999998E-2</v>
      </c>
      <c r="CQ21" s="160">
        <v>4.1223999999999997E-2</v>
      </c>
      <c r="CR21" s="160">
        <v>4.1211999999999999E-2</v>
      </c>
      <c r="CS21" s="160">
        <v>4.1267999999999999E-2</v>
      </c>
      <c r="CT21" s="160">
        <v>4.1170999999999999E-2</v>
      </c>
      <c r="CU21" s="202">
        <v>4.1170999999999999E-2</v>
      </c>
      <c r="CV21" s="202">
        <v>4.0972000000000001E-2</v>
      </c>
      <c r="CW21" s="202">
        <v>4.1080999999999999E-2</v>
      </c>
      <c r="CX21" s="202">
        <v>4.1076000000000001E-2</v>
      </c>
      <c r="CY21" s="202">
        <v>4.1051999999999998E-2</v>
      </c>
      <c r="CZ21" s="202">
        <v>4.1051999999999998E-2</v>
      </c>
      <c r="DA21" s="202">
        <v>4.1264000000000002E-2</v>
      </c>
      <c r="DB21" s="202">
        <v>4.1431999999999997E-2</v>
      </c>
      <c r="DC21" s="202">
        <v>4.1070000000000002E-2</v>
      </c>
      <c r="DD21" s="202">
        <v>4.1070000000000002E-2</v>
      </c>
      <c r="DE21" s="202">
        <v>4.1161000000000003E-2</v>
      </c>
      <c r="DF21" s="202">
        <v>4.1064000000000003E-2</v>
      </c>
      <c r="DG21" s="202">
        <v>4.1246999999999999E-2</v>
      </c>
      <c r="DH21" s="202">
        <v>4.0979000000000002E-2</v>
      </c>
      <c r="DI21" s="202">
        <v>4.1234E-2</v>
      </c>
      <c r="DJ21" s="202">
        <v>4.1272999999999997E-2</v>
      </c>
      <c r="DK21" s="202">
        <v>4.1479000000000002E-2</v>
      </c>
      <c r="DL21" s="202">
        <v>4.1745999999999998E-2</v>
      </c>
      <c r="DM21" s="202">
        <v>4.1861000000000002E-2</v>
      </c>
      <c r="DN21" s="202">
        <v>4.1762000000000001E-2</v>
      </c>
      <c r="DO21" s="202">
        <v>4.1882000000000003E-2</v>
      </c>
      <c r="DP21" s="202">
        <v>4.1708000000000002E-2</v>
      </c>
      <c r="DQ21" s="202">
        <v>4.1902000000000002E-2</v>
      </c>
      <c r="DR21" s="202">
        <v>4.1657E-2</v>
      </c>
      <c r="DS21" s="202">
        <v>4.1827999999999997E-2</v>
      </c>
      <c r="DT21" s="202">
        <v>4.1796E-2</v>
      </c>
      <c r="DU21" s="202">
        <v>4.1967999999999998E-2</v>
      </c>
      <c r="DV21" s="202">
        <v>4.2257999999999997E-2</v>
      </c>
      <c r="DW21" s="202">
        <v>4.1998000000000001E-2</v>
      </c>
      <c r="DX21" s="202">
        <v>4.197E-2</v>
      </c>
      <c r="DY21" s="202">
        <v>4.2082000000000001E-2</v>
      </c>
      <c r="DZ21" s="202">
        <v>4.1910999999999997E-2</v>
      </c>
      <c r="EA21" s="202">
        <v>4.2174000000000003E-2</v>
      </c>
      <c r="EB21" s="202">
        <v>4.1772999999999998E-2</v>
      </c>
      <c r="EC21" s="202">
        <v>4.1717999999999998E-2</v>
      </c>
      <c r="ED21" s="202">
        <v>4.1699E-2</v>
      </c>
      <c r="EE21" s="202">
        <v>4.1664E-2</v>
      </c>
      <c r="EF21" s="202">
        <v>4.1574E-2</v>
      </c>
      <c r="EG21" s="202">
        <v>2.4473999999999999E-2</v>
      </c>
      <c r="EH21" s="202">
        <v>2.6190000000000001E-2</v>
      </c>
      <c r="EI21" s="202">
        <v>2.5672E-2</v>
      </c>
      <c r="EJ21" s="202">
        <v>2.0239E-2</v>
      </c>
      <c r="EK21" s="202">
        <v>2.5468999999999999E-2</v>
      </c>
      <c r="EL21" s="202">
        <v>3.9509000000000002E-2</v>
      </c>
      <c r="EM21" s="202">
        <v>3.8897000000000001E-2</v>
      </c>
      <c r="EN21" s="202">
        <v>3.8721999999999999E-2</v>
      </c>
      <c r="EO21" s="202">
        <v>3.9114000000000003E-2</v>
      </c>
      <c r="EP21" s="202">
        <v>3.8679999999999999E-2</v>
      </c>
      <c r="EQ21" s="202">
        <v>3.8279000000000001E-2</v>
      </c>
      <c r="ER21" s="202">
        <v>3.7587000000000002E-2</v>
      </c>
      <c r="ES21" s="202">
        <v>3.7086000000000001E-2</v>
      </c>
      <c r="ET21" s="202">
        <v>3.7012000000000003E-2</v>
      </c>
      <c r="EU21" s="202">
        <v>3.6854999999999999E-2</v>
      </c>
      <c r="EV21" s="160">
        <v>3.5299999999999998E-2</v>
      </c>
      <c r="EW21" s="160">
        <v>3.5799999999999998E-2</v>
      </c>
      <c r="EX21" s="202">
        <v>3.7416999999999999E-2</v>
      </c>
      <c r="EY21" s="202">
        <v>3.7062999999999999E-2</v>
      </c>
      <c r="EZ21" s="202">
        <v>3.6109000000000002E-2</v>
      </c>
      <c r="FA21" s="202">
        <v>3.6108000000000001E-2</v>
      </c>
      <c r="FB21" s="202">
        <v>3.5570999999999998E-2</v>
      </c>
      <c r="FC21" s="202">
        <v>3.5317000000000001E-2</v>
      </c>
      <c r="FD21" s="202">
        <v>3.5034999999999997E-2</v>
      </c>
      <c r="FE21" s="202">
        <v>3.8415999999999999E-2</v>
      </c>
      <c r="FF21" s="202">
        <v>3.4849999999999999E-2</v>
      </c>
      <c r="FG21" s="202">
        <v>3.4375000000000003E-2</v>
      </c>
      <c r="FH21" s="202">
        <v>3.3996999999999999E-2</v>
      </c>
      <c r="FI21" s="202">
        <v>3.3575000000000001E-2</v>
      </c>
      <c r="FJ21" s="202">
        <v>3.2318E-2</v>
      </c>
      <c r="FK21" s="202">
        <v>3.2985E-2</v>
      </c>
      <c r="FL21" s="202">
        <v>3.2489999999999998E-2</v>
      </c>
      <c r="FM21" s="202">
        <v>3.1697999999999997E-2</v>
      </c>
      <c r="FN21" s="202">
        <v>3.0754E-2</v>
      </c>
      <c r="FO21" s="202">
        <v>3.0603000000000002E-2</v>
      </c>
      <c r="FP21" s="202">
        <v>2.9909000000000002E-2</v>
      </c>
      <c r="FQ21" s="202">
        <v>2.8955000000000002E-2</v>
      </c>
      <c r="FR21" s="202">
        <v>2.8049999999999999E-2</v>
      </c>
      <c r="FS21" s="202">
        <v>2.589E-2</v>
      </c>
      <c r="FT21" s="202">
        <v>4.0531999999999999E-2</v>
      </c>
      <c r="FU21" s="202">
        <v>4.0637E-2</v>
      </c>
      <c r="FV21" s="202">
        <v>4.0994999999999997E-2</v>
      </c>
      <c r="FW21" s="202">
        <v>4.0994999999999997E-2</v>
      </c>
      <c r="FX21" s="202">
        <v>4.0687000000000001E-2</v>
      </c>
      <c r="FY21" s="202">
        <v>4.0386999999999999E-2</v>
      </c>
      <c r="FZ21" s="202">
        <v>4.0203000000000003E-2</v>
      </c>
      <c r="GA21" s="202">
        <v>4.0543000000000003E-2</v>
      </c>
      <c r="GB21" s="202">
        <v>2.5672E-2</v>
      </c>
      <c r="GC21" s="202">
        <v>2.5672E-2</v>
      </c>
      <c r="GD21" s="202">
        <v>2.5672E-2</v>
      </c>
      <c r="GE21" s="202">
        <v>2.5672E-2</v>
      </c>
      <c r="GF21" s="202">
        <v>2.5672E-2</v>
      </c>
      <c r="GG21" s="202">
        <v>2.5672E-2</v>
      </c>
      <c r="GH21" s="202">
        <v>2.5672E-2</v>
      </c>
      <c r="GI21" s="202">
        <v>2.5672E-2</v>
      </c>
      <c r="GJ21" s="202">
        <v>2.5672E-2</v>
      </c>
      <c r="GK21" s="202">
        <v>2.5672E-2</v>
      </c>
      <c r="GL21" s="202">
        <v>2.5672E-2</v>
      </c>
      <c r="GM21" s="202">
        <v>2.5672E-2</v>
      </c>
      <c r="GN21" s="202">
        <v>2.5672E-2</v>
      </c>
      <c r="GO21" s="202">
        <v>2.5672E-2</v>
      </c>
      <c r="GP21" s="202">
        <v>2.5672E-2</v>
      </c>
      <c r="GQ21" s="202">
        <v>2.5672E-2</v>
      </c>
      <c r="GR21" s="202">
        <v>2.5672E-2</v>
      </c>
      <c r="GS21" s="202">
        <v>2.5672E-2</v>
      </c>
      <c r="GT21" s="202">
        <v>2.5672E-2</v>
      </c>
      <c r="GU21" s="202">
        <v>2.5672E-2</v>
      </c>
      <c r="GV21" s="202">
        <v>2.5672E-2</v>
      </c>
      <c r="GW21" s="202">
        <v>2.5672E-2</v>
      </c>
      <c r="GX21" s="202">
        <v>2.5672E-2</v>
      </c>
      <c r="GY21" s="202">
        <v>2.5672E-2</v>
      </c>
      <c r="GZ21" s="202">
        <v>2.5672E-2</v>
      </c>
      <c r="HA21" s="202">
        <v>2.5672E-2</v>
      </c>
      <c r="HB21" s="202">
        <v>2.5672E-2</v>
      </c>
      <c r="HC21" s="202">
        <v>2.5672E-2</v>
      </c>
      <c r="HD21" s="202">
        <v>2.5672E-2</v>
      </c>
      <c r="HE21" s="202">
        <v>2.5672E-2</v>
      </c>
      <c r="HF21" s="202">
        <v>2.5672E-2</v>
      </c>
      <c r="HG21" s="202">
        <v>2.5672E-2</v>
      </c>
      <c r="HH21" s="202">
        <v>2.5672E-2</v>
      </c>
      <c r="HI21" s="202">
        <v>2.5672E-2</v>
      </c>
      <c r="HJ21" s="202">
        <v>2.5672E-2</v>
      </c>
      <c r="HK21" s="202">
        <v>2.5672E-2</v>
      </c>
      <c r="HL21" s="202">
        <v>2.5672E-2</v>
      </c>
      <c r="HM21" s="202">
        <v>2.5672E-2</v>
      </c>
      <c r="HN21" s="41">
        <f t="shared" si="5"/>
        <v>0</v>
      </c>
      <c r="HO21" s="201" t="s">
        <v>302</v>
      </c>
      <c r="HT21" s="103"/>
      <c r="HU21" s="103"/>
      <c r="HV21" s="103"/>
      <c r="HW21" s="103"/>
      <c r="HX21" s="103"/>
      <c r="HY21" s="103"/>
      <c r="HZ21" s="103"/>
      <c r="IA21" s="103"/>
      <c r="IB21" s="103"/>
      <c r="IC21" s="103"/>
      <c r="ID21" s="103"/>
      <c r="IE21" s="103"/>
      <c r="IF21" s="103"/>
      <c r="IG21" s="103"/>
      <c r="IH21" s="103"/>
      <c r="II21" s="103"/>
      <c r="IJ21" s="103"/>
      <c r="IK21" s="103"/>
      <c r="IL21" s="103"/>
      <c r="IM21" s="103"/>
      <c r="IN21" s="103"/>
      <c r="IO21" s="103"/>
      <c r="IP21" s="103"/>
      <c r="IQ21" s="103"/>
      <c r="IR21" s="103"/>
      <c r="IS21" s="103"/>
      <c r="IT21" s="103"/>
      <c r="IU21" s="103"/>
      <c r="IV21" s="103"/>
      <c r="IW21" s="103"/>
      <c r="IX21" s="103"/>
      <c r="IY21" s="103"/>
      <c r="IZ21" s="103"/>
      <c r="JA21" s="103"/>
      <c r="JB21" s="103"/>
      <c r="JC21" s="103"/>
      <c r="JD21" s="103"/>
      <c r="JE21" s="103"/>
      <c r="JF21" s="103"/>
      <c r="JG21" s="103"/>
      <c r="JH21" s="103"/>
      <c r="JI21" s="103"/>
      <c r="JJ21" s="103"/>
      <c r="JK21" s="103"/>
      <c r="JL21" s="103"/>
      <c r="JM21" s="103"/>
      <c r="JN21" s="103"/>
      <c r="JO21" s="103"/>
      <c r="JP21" s="103"/>
      <c r="JQ21" s="103"/>
      <c r="JR21" s="103"/>
      <c r="JS21" s="103"/>
      <c r="JT21" s="103"/>
      <c r="JU21" s="103"/>
      <c r="JV21" s="103"/>
      <c r="JW21" s="103"/>
      <c r="JX21" s="103"/>
      <c r="JY21" s="103"/>
      <c r="JZ21" s="103"/>
      <c r="KA21" s="103"/>
      <c r="KB21" s="103"/>
      <c r="KC21" s="103"/>
      <c r="KD21" s="103"/>
      <c r="KE21" s="103"/>
      <c r="KF21" s="103"/>
      <c r="KG21" s="103"/>
      <c r="KH21" s="103"/>
      <c r="KI21" s="103"/>
      <c r="KJ21" s="103"/>
      <c r="KK21" s="103"/>
      <c r="KL21" s="103"/>
      <c r="KM21" s="103"/>
      <c r="KN21" s="103"/>
      <c r="KO21" s="103"/>
      <c r="KP21" s="103"/>
      <c r="KQ21" s="103"/>
      <c r="KR21" s="103"/>
      <c r="KS21" s="103"/>
      <c r="KT21" s="103"/>
      <c r="KU21" s="103"/>
      <c r="KV21" s="103"/>
      <c r="KW21" s="103"/>
      <c r="KX21" s="103"/>
      <c r="KY21" s="103"/>
      <c r="KZ21" s="103"/>
      <c r="LA21" s="103"/>
      <c r="LB21" s="103"/>
      <c r="LC21" s="103"/>
      <c r="LD21" s="103"/>
      <c r="LE21" s="103"/>
      <c r="LF21" s="103"/>
      <c r="LG21" s="103"/>
      <c r="LH21" s="103"/>
      <c r="LI21" s="103"/>
      <c r="LJ21" s="103"/>
      <c r="LK21" s="103"/>
      <c r="LL21" s="103"/>
      <c r="LM21" s="103"/>
    </row>
    <row r="22" spans="2:325" s="788" customFormat="1">
      <c r="B22" s="695" t="s">
        <v>29</v>
      </c>
      <c r="C22" s="773" t="s">
        <v>777</v>
      </c>
      <c r="D22" s="181">
        <v>3.6499999999999998E-2</v>
      </c>
      <c r="E22" s="181">
        <v>3.6499999999999998E-2</v>
      </c>
      <c r="F22" s="181">
        <v>3.6499999999999998E-2</v>
      </c>
      <c r="G22" s="181">
        <v>3.6499999999999998E-2</v>
      </c>
      <c r="H22" s="557">
        <v>3.6499999999999998E-2</v>
      </c>
      <c r="I22" s="181"/>
      <c r="J22" s="181"/>
      <c r="K22" s="181"/>
      <c r="L22" s="181"/>
      <c r="M22" s="181"/>
      <c r="N22" s="181"/>
      <c r="O22" s="181"/>
      <c r="P22" s="181"/>
      <c r="Q22" s="181"/>
      <c r="R22" s="181"/>
      <c r="S22" s="181"/>
      <c r="T22" s="181"/>
      <c r="U22" s="181"/>
      <c r="V22" s="181"/>
      <c r="W22" s="167"/>
      <c r="X22" s="167"/>
      <c r="Y22" s="167"/>
      <c r="Z22" s="167"/>
      <c r="AA22" s="167"/>
      <c r="AB22" s="167"/>
      <c r="AC22" s="167"/>
      <c r="AD22" s="167"/>
      <c r="AE22" s="167"/>
      <c r="AF22" s="63"/>
      <c r="AG22" s="63"/>
      <c r="AH22" s="63"/>
      <c r="AI22" s="63"/>
      <c r="AJ22" s="167"/>
      <c r="AK22" s="63"/>
      <c r="AL22" s="790"/>
      <c r="AM22" s="167"/>
      <c r="AN22" s="791"/>
      <c r="AO22" s="791"/>
      <c r="AP22" s="791"/>
      <c r="AQ22" s="791"/>
      <c r="AR22" s="791"/>
      <c r="AS22" s="791"/>
      <c r="AT22" s="791"/>
      <c r="AU22" s="791"/>
      <c r="AV22" s="791"/>
      <c r="AW22" s="791"/>
      <c r="AX22" s="791"/>
      <c r="AY22" s="791"/>
      <c r="AZ22" s="791"/>
      <c r="BA22" s="791"/>
      <c r="BB22" s="791"/>
      <c r="BC22" s="791"/>
      <c r="BD22" s="791"/>
      <c r="BE22" s="791"/>
      <c r="BF22" s="791"/>
      <c r="BG22" s="791"/>
      <c r="BH22" s="791"/>
      <c r="BI22" s="791"/>
      <c r="BJ22" s="791"/>
      <c r="BK22" s="791"/>
      <c r="BL22" s="791"/>
      <c r="BM22" s="791"/>
      <c r="BN22" s="791"/>
      <c r="BO22" s="791"/>
      <c r="BP22" s="791"/>
      <c r="BQ22" s="791"/>
      <c r="BR22" s="791"/>
      <c r="BS22" s="791"/>
      <c r="BT22" s="791"/>
      <c r="BU22" s="791"/>
      <c r="BV22" s="791"/>
      <c r="BW22" s="791"/>
      <c r="BX22" s="791"/>
      <c r="BY22" s="791"/>
      <c r="BZ22" s="791"/>
      <c r="CA22" s="791"/>
      <c r="CB22" s="791"/>
      <c r="CC22" s="791"/>
      <c r="CD22" s="791"/>
      <c r="CE22" s="791"/>
      <c r="CF22" s="791"/>
      <c r="CG22" s="791"/>
      <c r="CH22" s="791"/>
      <c r="CI22" s="791"/>
      <c r="CJ22" s="791"/>
      <c r="CK22" s="791"/>
      <c r="CL22" s="791"/>
      <c r="CM22" s="791"/>
      <c r="CN22" s="791"/>
      <c r="CO22" s="791"/>
      <c r="CP22" s="791"/>
      <c r="CQ22" s="791"/>
      <c r="CR22" s="791"/>
      <c r="CS22" s="791"/>
      <c r="CT22" s="791"/>
      <c r="CU22" s="792"/>
      <c r="CV22" s="792"/>
      <c r="CW22" s="792"/>
      <c r="CX22" s="792"/>
      <c r="CY22" s="792"/>
      <c r="CZ22" s="792"/>
      <c r="DA22" s="792"/>
      <c r="DB22" s="792"/>
      <c r="DC22" s="792"/>
      <c r="DD22" s="792"/>
      <c r="DE22" s="792"/>
      <c r="DF22" s="792"/>
      <c r="DG22" s="792"/>
      <c r="DH22" s="792"/>
      <c r="DI22" s="792"/>
      <c r="DJ22" s="792"/>
      <c r="DK22" s="792"/>
      <c r="DL22" s="792"/>
      <c r="DM22" s="792"/>
      <c r="DN22" s="792"/>
      <c r="DO22" s="792"/>
      <c r="DP22" s="792"/>
      <c r="DQ22" s="792"/>
      <c r="DR22" s="792"/>
      <c r="DS22" s="792"/>
      <c r="DT22" s="792"/>
      <c r="DU22" s="792"/>
      <c r="DV22" s="792"/>
      <c r="DW22" s="792"/>
      <c r="DX22" s="792"/>
      <c r="DY22" s="792"/>
      <c r="DZ22" s="792"/>
      <c r="EA22" s="792"/>
      <c r="EB22" s="792"/>
      <c r="EC22" s="792"/>
      <c r="ED22" s="792"/>
      <c r="EE22" s="792"/>
      <c r="EF22" s="792"/>
      <c r="EG22" s="792"/>
      <c r="EH22" s="792"/>
      <c r="EI22" s="792"/>
      <c r="EJ22" s="792"/>
      <c r="EK22" s="792"/>
      <c r="EL22" s="792"/>
      <c r="EM22" s="792"/>
      <c r="EN22" s="792"/>
      <c r="EO22" s="792"/>
      <c r="EP22" s="792"/>
      <c r="EQ22" s="792"/>
      <c r="ER22" s="792"/>
      <c r="ES22" s="792"/>
      <c r="ET22" s="792"/>
      <c r="EU22" s="792"/>
      <c r="EV22" s="791"/>
      <c r="EW22" s="791"/>
      <c r="EX22" s="792"/>
      <c r="EY22" s="792"/>
      <c r="EZ22" s="792"/>
      <c r="FA22" s="792"/>
      <c r="FB22" s="792"/>
      <c r="FC22" s="792"/>
      <c r="FD22" s="792"/>
      <c r="FE22" s="792"/>
      <c r="FF22" s="792"/>
      <c r="FG22" s="792"/>
      <c r="FH22" s="792"/>
      <c r="FI22" s="792"/>
      <c r="FJ22" s="792"/>
      <c r="FK22" s="792"/>
      <c r="FL22" s="792"/>
      <c r="FM22" s="792"/>
      <c r="FN22" s="792"/>
      <c r="FO22" s="792"/>
      <c r="FP22" s="792"/>
      <c r="FQ22" s="792"/>
      <c r="FR22" s="792"/>
      <c r="FS22" s="792"/>
      <c r="FT22" s="792"/>
      <c r="FU22" s="792"/>
      <c r="FV22" s="792"/>
      <c r="FW22" s="792"/>
      <c r="FX22" s="792"/>
      <c r="FY22" s="792"/>
      <c r="FZ22" s="792"/>
      <c r="GA22" s="792"/>
      <c r="GB22" s="792"/>
      <c r="GC22" s="792"/>
      <c r="GD22" s="792"/>
      <c r="GE22" s="792"/>
      <c r="GF22" s="792"/>
      <c r="GG22" s="792"/>
      <c r="GH22" s="792"/>
      <c r="GI22" s="792"/>
      <c r="GJ22" s="792"/>
      <c r="GK22" s="792"/>
      <c r="GL22" s="792"/>
      <c r="GM22" s="792"/>
      <c r="GN22" s="792"/>
      <c r="GO22" s="792"/>
      <c r="GP22" s="792"/>
      <c r="GQ22" s="792"/>
      <c r="GR22" s="792"/>
      <c r="GS22" s="792"/>
      <c r="GT22" s="792"/>
      <c r="GU22" s="792"/>
      <c r="GV22" s="792"/>
      <c r="GW22" s="792"/>
      <c r="GX22" s="792"/>
      <c r="GY22" s="792"/>
      <c r="GZ22" s="792"/>
      <c r="HA22" s="792"/>
      <c r="HB22" s="792"/>
      <c r="HC22" s="792"/>
      <c r="HD22" s="792"/>
      <c r="HE22" s="792"/>
      <c r="HF22" s="792"/>
      <c r="HG22" s="792"/>
      <c r="HH22" s="792"/>
      <c r="HI22" s="792"/>
      <c r="HJ22" s="792"/>
      <c r="HK22" s="792"/>
      <c r="HL22" s="792"/>
      <c r="HM22" s="792"/>
      <c r="HN22" s="41">
        <f t="shared" si="5"/>
        <v>0</v>
      </c>
      <c r="HO22" s="793" t="s">
        <v>778</v>
      </c>
    </row>
    <row r="23" spans="2:325" hidden="1">
      <c r="B23" s="1077" t="s">
        <v>33</v>
      </c>
      <c r="C23" s="165" t="s">
        <v>307</v>
      </c>
      <c r="D23" s="181"/>
      <c r="E23" s="181"/>
      <c r="F23" s="181"/>
      <c r="G23" s="181"/>
      <c r="H23" s="181"/>
      <c r="I23" s="181"/>
      <c r="J23" s="181"/>
      <c r="K23" s="181"/>
      <c r="L23" s="181"/>
      <c r="M23" s="181"/>
      <c r="N23" s="181"/>
      <c r="O23" s="181"/>
      <c r="P23" s="181"/>
      <c r="Q23" s="181"/>
      <c r="R23" s="181"/>
      <c r="S23" s="181"/>
      <c r="T23" s="181"/>
      <c r="U23" s="181"/>
      <c r="V23" s="181"/>
      <c r="W23" s="162">
        <v>4.2000000000000003E-2</v>
      </c>
      <c r="X23" s="162">
        <v>4.2000000000000003E-2</v>
      </c>
      <c r="Y23" s="162">
        <v>4.2000000000000003E-2</v>
      </c>
      <c r="Z23" s="162">
        <v>4.2000000000000003E-2</v>
      </c>
      <c r="AA23" s="162">
        <v>4.2000000000000003E-2</v>
      </c>
      <c r="AB23" s="162">
        <v>4.2000000000000003E-2</v>
      </c>
      <c r="AC23" s="162">
        <v>4.2000000000000003E-2</v>
      </c>
      <c r="AD23" s="162">
        <v>4.2000000000000003E-2</v>
      </c>
      <c r="AE23" s="162">
        <v>4.2000000000000003E-2</v>
      </c>
      <c r="AF23" s="164">
        <v>4.2000000000000003E-2</v>
      </c>
      <c r="AG23" s="164">
        <v>4.2000000000000003E-2</v>
      </c>
      <c r="AH23" s="164">
        <v>4.2000000000000003E-2</v>
      </c>
      <c r="AI23" s="164">
        <v>4.2000000000000003E-2</v>
      </c>
      <c r="AJ23" s="162">
        <v>4.2000000000000003E-2</v>
      </c>
      <c r="AK23" s="164">
        <v>4.2000000000000003E-2</v>
      </c>
      <c r="AL23" s="163">
        <v>4.2000000000000003E-2</v>
      </c>
      <c r="AM23" s="162">
        <v>4.2000000000000003E-2</v>
      </c>
      <c r="AN23" s="160">
        <v>4.2000000000000003E-2</v>
      </c>
      <c r="AO23" s="160">
        <v>4.2000000000000003E-2</v>
      </c>
      <c r="AP23" s="160">
        <v>4.2000000000000003E-2</v>
      </c>
      <c r="AQ23" s="160">
        <v>4.2000000000000003E-2</v>
      </c>
      <c r="AR23" s="160">
        <v>4.2000000000000003E-2</v>
      </c>
      <c r="AS23" s="160">
        <v>4.2000000000000003E-2</v>
      </c>
      <c r="AT23" s="160">
        <v>4.2000000000000003E-2</v>
      </c>
      <c r="AU23" s="160">
        <v>4.2000000000000003E-2</v>
      </c>
      <c r="AV23" s="160">
        <v>4.2000000000000003E-2</v>
      </c>
      <c r="AW23" s="160">
        <v>4.2000000000000003E-2</v>
      </c>
      <c r="AX23" s="160">
        <v>4.2000000000000003E-2</v>
      </c>
      <c r="AY23" s="160">
        <v>4.2000000000000003E-2</v>
      </c>
      <c r="AZ23" s="160">
        <v>4.2000000000000003E-2</v>
      </c>
      <c r="BA23" s="160">
        <v>4.2000000000000003E-2</v>
      </c>
      <c r="BB23" s="161">
        <v>4.2000000000000003E-2</v>
      </c>
      <c r="BC23" s="160">
        <v>4.2000000000000003E-2</v>
      </c>
      <c r="BD23" s="160">
        <v>4.2000000000000003E-2</v>
      </c>
      <c r="BE23" s="160">
        <v>4.2000000000000003E-2</v>
      </c>
      <c r="BF23" s="160">
        <v>4.2000000000000003E-2</v>
      </c>
      <c r="BG23" s="160">
        <v>4.2000000000000003E-2</v>
      </c>
      <c r="BH23" s="160">
        <v>4.2000000000000003E-2</v>
      </c>
      <c r="BI23" s="160">
        <v>4.2000000000000003E-2</v>
      </c>
      <c r="BJ23" s="160">
        <v>4.2000000000000003E-2</v>
      </c>
      <c r="BK23" s="160">
        <v>4.2000000000000003E-2</v>
      </c>
      <c r="BL23" s="160">
        <v>4.2000000000000003E-2</v>
      </c>
      <c r="BM23" s="160">
        <v>4.2000000000000003E-2</v>
      </c>
      <c r="BN23" s="160">
        <v>4.2000000000000003E-2</v>
      </c>
      <c r="BO23" s="160">
        <v>4.2000000000000003E-2</v>
      </c>
      <c r="BP23" s="160">
        <v>4.2000000000000003E-2</v>
      </c>
      <c r="BQ23" s="152">
        <v>4.2000000000000003E-2</v>
      </c>
      <c r="BR23" s="152">
        <v>4.2000000000000003E-2</v>
      </c>
      <c r="BS23" s="152">
        <v>4.2000000000000003E-2</v>
      </c>
      <c r="BT23" s="152">
        <v>4.2000000000000003E-2</v>
      </c>
      <c r="BU23" s="152">
        <v>4.2000000000000003E-2</v>
      </c>
      <c r="BV23" s="152">
        <v>4.2000000000000003E-2</v>
      </c>
      <c r="BW23" s="152">
        <v>4.3999999999999997E-2</v>
      </c>
      <c r="BX23" s="152">
        <v>4.3999999999999997E-2</v>
      </c>
      <c r="BY23" s="152">
        <v>4.3999999999999997E-2</v>
      </c>
      <c r="BZ23" s="152">
        <v>4.7E-2</v>
      </c>
      <c r="CA23" s="152">
        <v>4.65E-2</v>
      </c>
      <c r="CB23" s="152">
        <v>4.65E-2</v>
      </c>
      <c r="CC23" s="152">
        <v>4.8500000000000001E-2</v>
      </c>
      <c r="CD23" s="152">
        <v>4.8500000000000001E-2</v>
      </c>
      <c r="CE23" s="152">
        <v>4.8500000000000001E-2</v>
      </c>
      <c r="CF23" s="152">
        <v>4.8500000000000001E-2</v>
      </c>
      <c r="CG23" s="152"/>
      <c r="CH23" s="152"/>
      <c r="CI23" s="152"/>
      <c r="CJ23" s="152"/>
      <c r="CK23" s="152"/>
      <c r="CL23" s="152"/>
      <c r="CM23" s="152"/>
      <c r="CN23" s="152"/>
      <c r="CO23" s="152"/>
      <c r="CP23" s="152"/>
      <c r="CQ23" s="152"/>
      <c r="CR23" s="152"/>
      <c r="CS23" s="152"/>
      <c r="CT23" s="152"/>
      <c r="CU23" s="110"/>
      <c r="CV23" s="110"/>
      <c r="CW23" s="110"/>
      <c r="CX23" s="110"/>
      <c r="CY23" s="110"/>
      <c r="CZ23" s="110"/>
      <c r="DA23" s="110"/>
      <c r="DB23" s="110"/>
      <c r="DC23" s="110"/>
      <c r="DD23" s="110"/>
      <c r="DE23" s="110"/>
      <c r="DF23" s="110"/>
      <c r="DG23" s="110"/>
      <c r="DH23" s="110"/>
      <c r="DI23" s="110"/>
      <c r="DJ23" s="110"/>
      <c r="DK23" s="110"/>
      <c r="DL23" s="110"/>
      <c r="DM23" s="110"/>
      <c r="DN23" s="110"/>
      <c r="DO23" s="110"/>
      <c r="DP23" s="110"/>
      <c r="DQ23" s="110"/>
      <c r="DR23" s="110"/>
      <c r="DS23" s="110"/>
      <c r="DT23" s="110"/>
      <c r="DU23" s="110"/>
      <c r="DV23" s="110"/>
      <c r="DW23" s="110"/>
      <c r="DX23" s="110"/>
      <c r="DY23" s="110"/>
      <c r="DZ23" s="110"/>
      <c r="EA23" s="110"/>
      <c r="EB23" s="110"/>
      <c r="EC23" s="110"/>
      <c r="ED23" s="110"/>
      <c r="EE23" s="110"/>
      <c r="EF23" s="110"/>
      <c r="EG23" s="110"/>
      <c r="EH23" s="110"/>
      <c r="EI23" s="110"/>
      <c r="EJ23" s="110"/>
      <c r="EK23" s="110"/>
      <c r="EL23" s="110"/>
      <c r="EM23" s="110"/>
      <c r="EN23" s="110"/>
      <c r="EO23" s="110"/>
      <c r="EP23" s="110"/>
      <c r="EQ23" s="110"/>
      <c r="ER23" s="110"/>
      <c r="ES23" s="110"/>
      <c r="ET23" s="110"/>
      <c r="EU23" s="110"/>
      <c r="EV23" s="110"/>
      <c r="EW23" s="110"/>
      <c r="EX23" s="110"/>
      <c r="EY23" s="110"/>
      <c r="EZ23" s="110"/>
      <c r="FA23" s="110"/>
      <c r="FB23" s="110"/>
      <c r="FC23" s="110"/>
      <c r="FD23" s="110"/>
      <c r="FE23" s="110"/>
      <c r="FF23" s="110"/>
      <c r="FG23" s="110"/>
      <c r="FH23" s="110"/>
      <c r="FI23" s="110"/>
      <c r="FJ23" s="110"/>
      <c r="FK23" s="110"/>
      <c r="FL23" s="110"/>
      <c r="FM23" s="110"/>
      <c r="FN23" s="110"/>
      <c r="FO23" s="110"/>
      <c r="FP23" s="110"/>
      <c r="FQ23" s="110"/>
      <c r="FR23" s="110"/>
      <c r="FS23" s="110"/>
      <c r="FT23" s="110"/>
      <c r="FU23" s="110"/>
      <c r="FV23" s="110"/>
      <c r="FW23" s="110"/>
      <c r="FX23" s="110"/>
      <c r="FY23" s="110"/>
      <c r="FZ23" s="110"/>
      <c r="GA23" s="110"/>
      <c r="GB23" s="159"/>
      <c r="GC23" s="159"/>
      <c r="GD23" s="159"/>
      <c r="GE23" s="159"/>
      <c r="GF23" s="159"/>
      <c r="GG23" s="159"/>
      <c r="GH23" s="159"/>
      <c r="GI23" s="159"/>
      <c r="GJ23" s="159"/>
      <c r="GK23" s="159"/>
      <c r="GL23" s="159"/>
      <c r="GM23" s="159"/>
      <c r="GN23" s="159"/>
      <c r="GO23" s="159"/>
      <c r="GP23" s="159"/>
      <c r="GQ23" s="159"/>
      <c r="GR23" s="159"/>
      <c r="GS23" s="159"/>
      <c r="GT23" s="159"/>
      <c r="GU23" s="159"/>
      <c r="GV23" s="159"/>
      <c r="GW23" s="159"/>
      <c r="GX23" s="159"/>
      <c r="GY23" s="159"/>
      <c r="GZ23" s="159"/>
      <c r="HA23" s="159"/>
      <c r="HB23" s="159"/>
      <c r="HC23" s="159"/>
      <c r="HD23" s="159"/>
      <c r="HE23" s="159"/>
      <c r="HF23" s="159"/>
      <c r="HG23" s="159"/>
      <c r="HH23" s="159"/>
      <c r="HI23" s="159"/>
      <c r="HJ23" s="159"/>
      <c r="HK23" s="159"/>
      <c r="HL23" s="159"/>
      <c r="HM23" s="159"/>
      <c r="HN23" s="41">
        <f t="shared" si="5"/>
        <v>0</v>
      </c>
      <c r="HO23" s="112"/>
      <c r="HT23" s="103"/>
      <c r="HU23" s="103"/>
      <c r="HV23" s="103"/>
      <c r="HW23" s="103"/>
      <c r="HX23" s="103"/>
      <c r="HY23" s="103"/>
      <c r="HZ23" s="103"/>
      <c r="IA23" s="103"/>
      <c r="IB23" s="103"/>
      <c r="IC23" s="103"/>
      <c r="ID23" s="103"/>
      <c r="IE23" s="103"/>
      <c r="IF23" s="103"/>
      <c r="IG23" s="103"/>
      <c r="IH23" s="103"/>
      <c r="II23" s="103"/>
      <c r="IJ23" s="103"/>
      <c r="IK23" s="103"/>
      <c r="IL23" s="103"/>
      <c r="IM23" s="103"/>
      <c r="IN23" s="103"/>
      <c r="IO23" s="103"/>
      <c r="IP23" s="103"/>
      <c r="IQ23" s="103"/>
      <c r="IR23" s="103"/>
      <c r="IS23" s="103"/>
      <c r="IT23" s="103"/>
      <c r="IU23" s="103"/>
      <c r="IV23" s="103"/>
      <c r="IW23" s="103"/>
      <c r="IX23" s="103"/>
      <c r="IY23" s="103"/>
      <c r="IZ23" s="103"/>
      <c r="JA23" s="103"/>
      <c r="JB23" s="103"/>
      <c r="JC23" s="103"/>
      <c r="JD23" s="103"/>
      <c r="JE23" s="103"/>
      <c r="JF23" s="103"/>
      <c r="JG23" s="103"/>
      <c r="JH23" s="103"/>
      <c r="JI23" s="103"/>
      <c r="JJ23" s="103"/>
      <c r="JK23" s="103"/>
      <c r="JL23" s="103"/>
      <c r="JM23" s="103"/>
      <c r="JN23" s="103"/>
      <c r="JO23" s="103"/>
      <c r="JP23" s="103"/>
      <c r="JQ23" s="103"/>
      <c r="JR23" s="103"/>
      <c r="JS23" s="103"/>
      <c r="JT23" s="103"/>
      <c r="JU23" s="103"/>
      <c r="JV23" s="103"/>
      <c r="JW23" s="103"/>
      <c r="JX23" s="103"/>
      <c r="JY23" s="103"/>
      <c r="JZ23" s="103"/>
      <c r="KA23" s="103"/>
      <c r="KB23" s="103"/>
      <c r="KC23" s="103"/>
      <c r="KD23" s="103"/>
      <c r="KE23" s="103"/>
      <c r="KF23" s="103"/>
      <c r="KG23" s="103"/>
      <c r="KH23" s="103"/>
      <c r="KI23" s="103"/>
      <c r="KJ23" s="103"/>
      <c r="KK23" s="103"/>
      <c r="KL23" s="103"/>
      <c r="KM23" s="103"/>
      <c r="KN23" s="103"/>
      <c r="KO23" s="103"/>
      <c r="KP23" s="103"/>
      <c r="KQ23" s="103"/>
      <c r="KR23" s="103"/>
      <c r="KS23" s="103"/>
      <c r="KT23" s="103"/>
      <c r="KU23" s="103"/>
      <c r="KV23" s="103"/>
      <c r="KW23" s="103"/>
      <c r="KX23" s="103"/>
      <c r="KY23" s="103"/>
      <c r="KZ23" s="103"/>
      <c r="LA23" s="103"/>
      <c r="LB23" s="103"/>
      <c r="LC23" s="103"/>
      <c r="LD23" s="103"/>
      <c r="LE23" s="103"/>
      <c r="LF23" s="103"/>
      <c r="LG23" s="103"/>
      <c r="LH23" s="103"/>
      <c r="LI23" s="103"/>
      <c r="LJ23" s="103"/>
      <c r="LK23" s="103"/>
      <c r="LL23" s="103"/>
      <c r="LM23" s="103"/>
    </row>
    <row r="24" spans="2:325">
      <c r="B24" s="1077"/>
      <c r="C24" s="169" t="s">
        <v>683</v>
      </c>
      <c r="D24" s="181">
        <v>0.03</v>
      </c>
      <c r="E24" s="181">
        <v>0.03</v>
      </c>
      <c r="F24" s="181">
        <v>0.03</v>
      </c>
      <c r="G24" s="181">
        <v>0.03</v>
      </c>
      <c r="H24" s="181">
        <v>0.03</v>
      </c>
      <c r="I24" s="181">
        <v>0.03</v>
      </c>
      <c r="J24" s="181">
        <v>0.03</v>
      </c>
      <c r="K24" s="181">
        <v>0.03</v>
      </c>
      <c r="L24" s="181">
        <v>0.03</v>
      </c>
      <c r="M24" s="181">
        <v>0.03</v>
      </c>
      <c r="N24" s="181">
        <v>0.03</v>
      </c>
      <c r="O24" s="181">
        <v>0.03</v>
      </c>
      <c r="P24" s="181">
        <v>0.03</v>
      </c>
      <c r="Q24" s="181">
        <v>0.03</v>
      </c>
      <c r="R24" s="181">
        <v>0.03</v>
      </c>
      <c r="S24" s="181">
        <v>3.1E-2</v>
      </c>
      <c r="T24" s="181">
        <v>3.1E-2</v>
      </c>
      <c r="U24" s="181">
        <v>3.1E-2</v>
      </c>
      <c r="V24" s="181">
        <v>3.1E-2</v>
      </c>
      <c r="W24" s="167">
        <v>3.1E-2</v>
      </c>
      <c r="X24" s="167">
        <v>3.1E-2</v>
      </c>
      <c r="Y24" s="167">
        <v>3.1E-2</v>
      </c>
      <c r="Z24" s="168">
        <v>3.1E-2</v>
      </c>
      <c r="AA24" s="167">
        <v>3.3000000000000002E-2</v>
      </c>
      <c r="AB24" s="167">
        <v>3.3000000000000002E-2</v>
      </c>
      <c r="AC24" s="167">
        <v>3.3000000000000002E-2</v>
      </c>
      <c r="AD24" s="167">
        <v>3.3000000000000002E-2</v>
      </c>
      <c r="AE24" s="167">
        <v>3.3000000000000002E-2</v>
      </c>
      <c r="AF24" s="63">
        <v>3.3000000000000002E-2</v>
      </c>
      <c r="AG24" s="63">
        <v>3.3000000000000002E-2</v>
      </c>
      <c r="AH24" s="63">
        <v>3.3000000000000002E-2</v>
      </c>
      <c r="AI24" s="63">
        <v>3.3000000000000002E-2</v>
      </c>
      <c r="AJ24" s="168">
        <v>3.3000000000000002E-2</v>
      </c>
      <c r="AK24" s="63">
        <v>3.2000000000000001E-2</v>
      </c>
      <c r="AL24" s="108">
        <v>3.2000000000000001E-2</v>
      </c>
      <c r="AM24" s="167">
        <v>3.2000000000000001E-2</v>
      </c>
      <c r="AN24" s="166">
        <v>3.2000000000000001E-2</v>
      </c>
      <c r="AO24" s="152">
        <v>3.2500000000000001E-2</v>
      </c>
      <c r="AP24" s="152">
        <v>3.2500000000000001E-2</v>
      </c>
      <c r="AQ24" s="152">
        <v>3.2500000000000001E-2</v>
      </c>
      <c r="AR24" s="107">
        <v>3.2500000000000001E-2</v>
      </c>
      <c r="AS24" s="152">
        <v>3.3500000000000002E-2</v>
      </c>
      <c r="AT24" s="152">
        <v>3.3500000000000002E-2</v>
      </c>
      <c r="AU24" s="152">
        <v>3.3500000000000002E-2</v>
      </c>
      <c r="AV24" s="107">
        <v>3.3500000000000002E-2</v>
      </c>
      <c r="AW24" s="152">
        <v>3.4500000000000003E-2</v>
      </c>
      <c r="AX24" s="152">
        <v>3.5999999999999997E-2</v>
      </c>
      <c r="AY24" s="152">
        <v>3.5999999999999997E-2</v>
      </c>
      <c r="AZ24" s="152">
        <v>3.5999999999999997E-2</v>
      </c>
      <c r="BA24" s="152">
        <v>3.95E-2</v>
      </c>
      <c r="BB24" s="107">
        <v>3.95E-2</v>
      </c>
      <c r="BC24" s="152">
        <v>0.04</v>
      </c>
      <c r="BD24" s="152">
        <v>0.04</v>
      </c>
      <c r="BE24" s="152">
        <v>0.04</v>
      </c>
      <c r="BF24" s="152">
        <v>0.04</v>
      </c>
      <c r="BG24" s="152">
        <v>3.6999999999999998E-2</v>
      </c>
      <c r="BH24" s="152">
        <v>4.0800000000000003E-2</v>
      </c>
      <c r="BI24" s="152">
        <v>4.0800000000000003E-2</v>
      </c>
      <c r="BJ24" s="152">
        <v>4.0800000000000003E-2</v>
      </c>
      <c r="BK24" s="152">
        <v>4.0800000000000003E-2</v>
      </c>
      <c r="BL24" s="152">
        <v>4.1000000000000002E-2</v>
      </c>
      <c r="BM24" s="152">
        <v>4.1000000000000002E-2</v>
      </c>
      <c r="BN24" s="152">
        <v>4.1000000000000002E-2</v>
      </c>
      <c r="BO24" s="152">
        <v>4.1000000000000002E-2</v>
      </c>
      <c r="BP24" s="152">
        <v>4.1000000000000002E-2</v>
      </c>
      <c r="BQ24" s="152">
        <v>4.1000000000000002E-2</v>
      </c>
      <c r="BR24" s="152">
        <v>4.1000000000000002E-2</v>
      </c>
      <c r="BS24" s="152">
        <v>4.1000000000000002E-2</v>
      </c>
      <c r="BT24" s="152">
        <v>4.1000000000000002E-2</v>
      </c>
      <c r="BU24" s="152">
        <v>4.1000000000000002E-2</v>
      </c>
      <c r="BV24" s="152">
        <v>4.1000000000000002E-2</v>
      </c>
      <c r="BW24" s="152">
        <v>4.2999999999999997E-2</v>
      </c>
      <c r="BX24" s="152">
        <v>4.2999999999999997E-2</v>
      </c>
      <c r="BY24" s="152">
        <v>4.2999999999999997E-2</v>
      </c>
      <c r="BZ24" s="152" t="s">
        <v>124</v>
      </c>
      <c r="CA24" s="152"/>
      <c r="CB24" s="152"/>
      <c r="CC24" s="152"/>
      <c r="CD24" s="152"/>
      <c r="CE24" s="152"/>
      <c r="CF24" s="152"/>
      <c r="CG24" s="152"/>
      <c r="CH24" s="152"/>
      <c r="CI24" s="152"/>
      <c r="CJ24" s="152"/>
      <c r="CK24" s="152"/>
      <c r="CL24" s="152"/>
      <c r="CM24" s="152"/>
      <c r="CN24" s="152"/>
      <c r="CO24" s="152"/>
      <c r="CP24" s="152"/>
      <c r="CQ24" s="152"/>
      <c r="CR24" s="152"/>
      <c r="CS24" s="152"/>
      <c r="CT24" s="152"/>
      <c r="CU24" s="110"/>
      <c r="CV24" s="110"/>
      <c r="CW24" s="110"/>
      <c r="CX24" s="110"/>
      <c r="CY24" s="110"/>
      <c r="CZ24" s="110"/>
      <c r="DA24" s="110"/>
      <c r="DB24" s="110"/>
      <c r="DC24" s="110"/>
      <c r="DD24" s="110"/>
      <c r="DE24" s="110"/>
      <c r="DF24" s="110"/>
      <c r="DG24" s="110"/>
      <c r="DH24" s="110"/>
      <c r="DI24" s="110"/>
      <c r="DJ24" s="110"/>
      <c r="DK24" s="110"/>
      <c r="DL24" s="110"/>
      <c r="DM24" s="110"/>
      <c r="DN24" s="110"/>
      <c r="DO24" s="110"/>
      <c r="DP24" s="110"/>
      <c r="DQ24" s="110"/>
      <c r="DR24" s="110"/>
      <c r="DS24" s="110"/>
      <c r="DT24" s="110"/>
      <c r="DU24" s="110"/>
      <c r="DV24" s="110"/>
      <c r="DW24" s="110"/>
      <c r="DX24" s="110"/>
      <c r="DY24" s="110"/>
      <c r="DZ24" s="110"/>
      <c r="EA24" s="110"/>
      <c r="EB24" s="110"/>
      <c r="EC24" s="110"/>
      <c r="ED24" s="110"/>
      <c r="EE24" s="110"/>
      <c r="EF24" s="110"/>
      <c r="EG24" s="110"/>
      <c r="EH24" s="110"/>
      <c r="EI24" s="110"/>
      <c r="EJ24" s="110"/>
      <c r="EK24" s="110"/>
      <c r="EL24" s="110"/>
      <c r="EM24" s="110"/>
      <c r="EN24" s="110"/>
      <c r="EO24" s="110"/>
      <c r="EP24" s="110"/>
      <c r="EQ24" s="110"/>
      <c r="ER24" s="110"/>
      <c r="ES24" s="110"/>
      <c r="ET24" s="110"/>
      <c r="EU24" s="110"/>
      <c r="EV24" s="110"/>
      <c r="EW24" s="110"/>
      <c r="EX24" s="110"/>
      <c r="EY24" s="110"/>
      <c r="EZ24" s="110"/>
      <c r="FA24" s="110"/>
      <c r="FB24" s="110"/>
      <c r="FC24" s="110"/>
      <c r="FD24" s="110"/>
      <c r="FE24" s="110"/>
      <c r="FF24" s="110"/>
      <c r="FG24" s="110"/>
      <c r="FH24" s="110"/>
      <c r="FI24" s="110"/>
      <c r="FJ24" s="110"/>
      <c r="FK24" s="110"/>
      <c r="FL24" s="110"/>
      <c r="FM24" s="110"/>
      <c r="FN24" s="110"/>
      <c r="FO24" s="110"/>
      <c r="FP24" s="110"/>
      <c r="FQ24" s="110"/>
      <c r="FR24" s="110"/>
      <c r="FS24" s="110"/>
      <c r="FT24" s="110"/>
      <c r="FU24" s="110"/>
      <c r="FV24" s="110"/>
      <c r="FW24" s="110"/>
      <c r="FX24" s="110"/>
      <c r="FY24" s="110"/>
      <c r="FZ24" s="110"/>
      <c r="GA24" s="110"/>
      <c r="GB24" s="110"/>
      <c r="GC24" s="110"/>
      <c r="GD24" s="110"/>
      <c r="GE24" s="110"/>
      <c r="GF24" s="110"/>
      <c r="GG24" s="110"/>
      <c r="GH24" s="110"/>
      <c r="GI24" s="110"/>
      <c r="GJ24" s="110"/>
      <c r="GK24" s="110"/>
      <c r="GL24" s="110"/>
      <c r="GM24" s="110"/>
      <c r="GN24" s="110"/>
      <c r="GO24" s="110"/>
      <c r="GP24" s="110"/>
      <c r="GQ24" s="110"/>
      <c r="GR24" s="110"/>
      <c r="GS24" s="110"/>
      <c r="GT24" s="110"/>
      <c r="GU24" s="110"/>
      <c r="GV24" s="110"/>
      <c r="GW24" s="110"/>
      <c r="GX24" s="110"/>
      <c r="GY24" s="110"/>
      <c r="GZ24" s="110"/>
      <c r="HA24" s="110"/>
      <c r="HB24" s="110"/>
      <c r="HC24" s="110"/>
      <c r="HD24" s="110"/>
      <c r="HE24" s="110"/>
      <c r="HF24" s="110"/>
      <c r="HG24" s="110"/>
      <c r="HH24" s="110"/>
      <c r="HI24" s="110"/>
      <c r="HJ24" s="110"/>
      <c r="HK24" s="110"/>
      <c r="HL24" s="110"/>
      <c r="HM24" s="110"/>
      <c r="HN24" s="41">
        <f t="shared" si="5"/>
        <v>0</v>
      </c>
      <c r="HO24" s="195" t="s">
        <v>304</v>
      </c>
      <c r="HT24" s="103"/>
      <c r="HU24" s="103"/>
      <c r="HV24" s="103"/>
      <c r="HW24" s="103"/>
      <c r="HX24" s="103"/>
      <c r="HY24" s="103"/>
      <c r="HZ24" s="103"/>
      <c r="IA24" s="103"/>
      <c r="IB24" s="103"/>
      <c r="IC24" s="103"/>
      <c r="ID24" s="103"/>
      <c r="IE24" s="103"/>
      <c r="IF24" s="103"/>
      <c r="IG24" s="103"/>
      <c r="IH24" s="103"/>
      <c r="II24" s="103"/>
      <c r="IJ24" s="103"/>
      <c r="IK24" s="103"/>
      <c r="IL24" s="103"/>
      <c r="IM24" s="103"/>
      <c r="IN24" s="103"/>
      <c r="IO24" s="103"/>
      <c r="IP24" s="103"/>
      <c r="IQ24" s="103"/>
      <c r="IR24" s="103"/>
      <c r="IS24" s="103"/>
      <c r="IT24" s="103"/>
      <c r="IU24" s="103"/>
      <c r="IV24" s="103"/>
      <c r="IW24" s="103"/>
      <c r="IX24" s="103"/>
      <c r="IY24" s="103"/>
      <c r="IZ24" s="103"/>
      <c r="JA24" s="103"/>
      <c r="JB24" s="103"/>
      <c r="JC24" s="103"/>
      <c r="JD24" s="103"/>
      <c r="JE24" s="103"/>
      <c r="JF24" s="103"/>
      <c r="JG24" s="103"/>
      <c r="JH24" s="103"/>
      <c r="JI24" s="103"/>
      <c r="JJ24" s="103"/>
      <c r="JK24" s="103"/>
      <c r="JL24" s="103"/>
      <c r="JM24" s="103"/>
      <c r="JN24" s="103"/>
      <c r="JO24" s="103"/>
      <c r="JP24" s="103"/>
      <c r="JQ24" s="103"/>
      <c r="JR24" s="103"/>
      <c r="JS24" s="103"/>
      <c r="JT24" s="103"/>
      <c r="JU24" s="103"/>
      <c r="JV24" s="103"/>
      <c r="JW24" s="103"/>
      <c r="JX24" s="103"/>
      <c r="JY24" s="103"/>
      <c r="JZ24" s="103"/>
      <c r="KA24" s="103"/>
      <c r="KB24" s="103"/>
      <c r="KC24" s="103"/>
      <c r="KD24" s="103"/>
      <c r="KE24" s="103"/>
      <c r="KF24" s="103"/>
      <c r="KG24" s="103"/>
      <c r="KH24" s="103"/>
      <c r="KI24" s="103"/>
      <c r="KJ24" s="103"/>
      <c r="KK24" s="103"/>
      <c r="KL24" s="103"/>
      <c r="KM24" s="103"/>
      <c r="KN24" s="103"/>
      <c r="KO24" s="103"/>
      <c r="KP24" s="103"/>
      <c r="KQ24" s="103"/>
      <c r="KR24" s="103"/>
      <c r="KS24" s="103"/>
      <c r="KT24" s="103"/>
      <c r="KU24" s="103"/>
      <c r="KV24" s="103"/>
      <c r="KW24" s="103"/>
      <c r="KX24" s="103"/>
      <c r="KY24" s="103"/>
      <c r="KZ24" s="103"/>
      <c r="LA24" s="103"/>
      <c r="LB24" s="103"/>
      <c r="LC24" s="103"/>
      <c r="LD24" s="103"/>
      <c r="LE24" s="103"/>
      <c r="LF24" s="103"/>
      <c r="LG24" s="103"/>
      <c r="LH24" s="103"/>
      <c r="LI24" s="103"/>
      <c r="LJ24" s="103"/>
      <c r="LK24" s="103"/>
      <c r="LL24" s="103"/>
      <c r="LM24" s="103"/>
    </row>
    <row r="25" spans="2:325" hidden="1">
      <c r="B25" s="193" t="s">
        <v>44</v>
      </c>
      <c r="C25" s="158" t="s">
        <v>259</v>
      </c>
      <c r="D25" s="181"/>
      <c r="E25" s="181"/>
      <c r="F25" s="181"/>
      <c r="G25" s="181"/>
      <c r="H25" s="181"/>
      <c r="I25" s="181"/>
      <c r="J25" s="181"/>
      <c r="K25" s="181"/>
      <c r="L25" s="181"/>
      <c r="M25" s="181"/>
      <c r="N25" s="181"/>
      <c r="O25" s="181"/>
      <c r="P25" s="181"/>
      <c r="Q25" s="181"/>
      <c r="R25" s="181"/>
      <c r="S25" s="181"/>
      <c r="T25" s="181"/>
      <c r="U25" s="181"/>
      <c r="V25" s="181" t="s">
        <v>599</v>
      </c>
      <c r="W25" s="380" t="s">
        <v>124</v>
      </c>
      <c r="X25" s="167" t="s">
        <v>124</v>
      </c>
      <c r="Y25" s="167" t="s">
        <v>124</v>
      </c>
      <c r="Z25" s="167" t="s">
        <v>124</v>
      </c>
      <c r="AA25" s="167" t="s">
        <v>124</v>
      </c>
      <c r="AB25" s="167" t="s">
        <v>124</v>
      </c>
      <c r="AC25" s="167" t="s">
        <v>124</v>
      </c>
      <c r="AD25" s="167" t="s">
        <v>124</v>
      </c>
      <c r="AE25" s="167" t="s">
        <v>124</v>
      </c>
      <c r="AF25" s="63" t="s">
        <v>124</v>
      </c>
      <c r="AG25" s="63" t="s">
        <v>124</v>
      </c>
      <c r="AH25" s="63" t="s">
        <v>124</v>
      </c>
      <c r="AI25" s="63" t="s">
        <v>124</v>
      </c>
      <c r="AJ25" s="167" t="s">
        <v>124</v>
      </c>
      <c r="AK25" s="63" t="s">
        <v>124</v>
      </c>
      <c r="AL25" s="108" t="s">
        <v>124</v>
      </c>
      <c r="AM25" s="167" t="s">
        <v>124</v>
      </c>
      <c r="AN25" s="152" t="s">
        <v>124</v>
      </c>
      <c r="AO25" s="152" t="s">
        <v>124</v>
      </c>
      <c r="AP25" s="152" t="s">
        <v>124</v>
      </c>
      <c r="AQ25" s="152" t="s">
        <v>124</v>
      </c>
      <c r="AR25" s="152" t="s">
        <v>124</v>
      </c>
      <c r="AS25" s="152" t="s">
        <v>124</v>
      </c>
      <c r="AT25" s="152" t="s">
        <v>124</v>
      </c>
      <c r="AU25" s="152" t="s">
        <v>124</v>
      </c>
      <c r="AV25" s="152" t="s">
        <v>124</v>
      </c>
      <c r="AW25" s="152" t="s">
        <v>124</v>
      </c>
      <c r="AX25" s="152" t="s">
        <v>124</v>
      </c>
      <c r="AY25" s="152" t="s">
        <v>124</v>
      </c>
      <c r="AZ25" s="152" t="s">
        <v>124</v>
      </c>
      <c r="BA25" s="152" t="s">
        <v>124</v>
      </c>
      <c r="BB25" s="152" t="s">
        <v>124</v>
      </c>
      <c r="BC25" s="152" t="s">
        <v>124</v>
      </c>
      <c r="BD25" s="152" t="s">
        <v>124</v>
      </c>
      <c r="BE25" s="152" t="s">
        <v>124</v>
      </c>
      <c r="BF25" s="152" t="s">
        <v>124</v>
      </c>
      <c r="BG25" s="152" t="s">
        <v>124</v>
      </c>
      <c r="BH25" s="152" t="s">
        <v>124</v>
      </c>
      <c r="BI25" s="152" t="s">
        <v>124</v>
      </c>
      <c r="BJ25" s="152" t="s">
        <v>124</v>
      </c>
      <c r="BK25" s="152" t="s">
        <v>124</v>
      </c>
      <c r="BL25" s="152" t="s">
        <v>124</v>
      </c>
      <c r="BM25" s="152" t="s">
        <v>124</v>
      </c>
      <c r="BN25" s="152" t="s">
        <v>124</v>
      </c>
      <c r="BO25" s="152" t="s">
        <v>124</v>
      </c>
      <c r="BP25" s="152" t="s">
        <v>124</v>
      </c>
      <c r="BQ25" s="152" t="s">
        <v>124</v>
      </c>
      <c r="BR25" s="152" t="s">
        <v>124</v>
      </c>
      <c r="BS25" s="152" t="s">
        <v>124</v>
      </c>
      <c r="BT25" s="152" t="s">
        <v>124</v>
      </c>
      <c r="BU25" s="152" t="s">
        <v>124</v>
      </c>
      <c r="BV25" s="152" t="s">
        <v>124</v>
      </c>
      <c r="BW25" s="152" t="s">
        <v>124</v>
      </c>
      <c r="BX25" s="152" t="s">
        <v>124</v>
      </c>
      <c r="BY25" s="152" t="s">
        <v>124</v>
      </c>
      <c r="BZ25" s="152" t="s">
        <v>124</v>
      </c>
      <c r="CA25" s="152" t="s">
        <v>124</v>
      </c>
      <c r="CB25" s="152" t="s">
        <v>124</v>
      </c>
      <c r="CC25" s="152" t="s">
        <v>124</v>
      </c>
      <c r="CD25" s="152" t="s">
        <v>124</v>
      </c>
      <c r="CE25" s="152" t="s">
        <v>124</v>
      </c>
      <c r="CF25" s="152" t="s">
        <v>124</v>
      </c>
      <c r="CG25" s="152" t="s">
        <v>124</v>
      </c>
      <c r="CH25" s="152" t="s">
        <v>124</v>
      </c>
      <c r="CI25" s="152" t="s">
        <v>124</v>
      </c>
      <c r="CJ25" s="152" t="s">
        <v>124</v>
      </c>
      <c r="CK25" s="152" t="s">
        <v>124</v>
      </c>
      <c r="CL25" s="152" t="s">
        <v>124</v>
      </c>
      <c r="CM25" s="152" t="s">
        <v>124</v>
      </c>
      <c r="CN25" s="152" t="s">
        <v>124</v>
      </c>
      <c r="CO25" s="152" t="s">
        <v>124</v>
      </c>
      <c r="CP25" s="152" t="s">
        <v>124</v>
      </c>
      <c r="CQ25" s="152" t="s">
        <v>124</v>
      </c>
      <c r="CR25" s="152" t="s">
        <v>124</v>
      </c>
      <c r="CS25" s="152" t="s">
        <v>124</v>
      </c>
      <c r="CT25" s="152" t="s">
        <v>124</v>
      </c>
      <c r="CU25" s="152" t="s">
        <v>124</v>
      </c>
      <c r="CV25" s="152" t="s">
        <v>124</v>
      </c>
      <c r="CW25" s="152" t="s">
        <v>124</v>
      </c>
      <c r="CX25" s="152" t="s">
        <v>124</v>
      </c>
      <c r="CY25" s="152" t="s">
        <v>124</v>
      </c>
      <c r="CZ25" s="152" t="s">
        <v>124</v>
      </c>
      <c r="DA25" s="152" t="s">
        <v>124</v>
      </c>
      <c r="DB25" s="152" t="s">
        <v>124</v>
      </c>
      <c r="DC25" s="152" t="s">
        <v>124</v>
      </c>
      <c r="DD25" s="152" t="s">
        <v>124</v>
      </c>
      <c r="DE25" s="152" t="s">
        <v>124</v>
      </c>
      <c r="DF25" s="152" t="s">
        <v>124</v>
      </c>
      <c r="DG25" s="152" t="s">
        <v>124</v>
      </c>
      <c r="DH25" s="152" t="s">
        <v>124</v>
      </c>
      <c r="DI25" s="152" t="s">
        <v>124</v>
      </c>
      <c r="DJ25" s="152" t="s">
        <v>124</v>
      </c>
      <c r="DK25" s="152" t="s">
        <v>124</v>
      </c>
      <c r="DL25" s="152" t="s">
        <v>124</v>
      </c>
      <c r="DM25" s="152" t="s">
        <v>124</v>
      </c>
      <c r="DN25" s="152" t="s">
        <v>124</v>
      </c>
      <c r="DO25" s="152" t="s">
        <v>124</v>
      </c>
      <c r="DP25" s="152" t="s">
        <v>124</v>
      </c>
      <c r="DQ25" s="152" t="s">
        <v>124</v>
      </c>
      <c r="DR25" s="152" t="s">
        <v>124</v>
      </c>
      <c r="DS25" s="152" t="s">
        <v>124</v>
      </c>
      <c r="DT25" s="152" t="s">
        <v>124</v>
      </c>
      <c r="DU25" s="152" t="s">
        <v>124</v>
      </c>
      <c r="DV25" s="152" t="s">
        <v>124</v>
      </c>
      <c r="DW25" s="152" t="s">
        <v>124</v>
      </c>
      <c r="DX25" s="152" t="s">
        <v>124</v>
      </c>
      <c r="DY25" s="152" t="s">
        <v>124</v>
      </c>
      <c r="DZ25" s="152" t="s">
        <v>124</v>
      </c>
      <c r="EA25" s="152" t="s">
        <v>124</v>
      </c>
      <c r="EB25" s="152" t="s">
        <v>124</v>
      </c>
      <c r="EC25" s="152" t="s">
        <v>124</v>
      </c>
      <c r="ED25" s="152" t="s">
        <v>124</v>
      </c>
      <c r="EE25" s="152" t="s">
        <v>124</v>
      </c>
      <c r="EF25" s="152" t="s">
        <v>124</v>
      </c>
      <c r="EG25" s="152" t="s">
        <v>124</v>
      </c>
      <c r="EH25" s="152" t="s">
        <v>124</v>
      </c>
      <c r="EI25" s="152" t="s">
        <v>124</v>
      </c>
      <c r="EJ25" s="152" t="s">
        <v>124</v>
      </c>
      <c r="EK25" s="152" t="s">
        <v>124</v>
      </c>
      <c r="EL25" s="152" t="s">
        <v>124</v>
      </c>
      <c r="EM25" s="152" t="s">
        <v>124</v>
      </c>
      <c r="EN25" s="152" t="s">
        <v>124</v>
      </c>
      <c r="EO25" s="152" t="s">
        <v>124</v>
      </c>
      <c r="EP25" s="152" t="s">
        <v>124</v>
      </c>
      <c r="EQ25" s="152" t="s">
        <v>124</v>
      </c>
      <c r="ER25" s="152" t="s">
        <v>124</v>
      </c>
      <c r="ES25" s="152" t="s">
        <v>124</v>
      </c>
      <c r="ET25" s="152" t="s">
        <v>124</v>
      </c>
      <c r="EU25" s="152" t="s">
        <v>124</v>
      </c>
      <c r="EV25" s="152" t="s">
        <v>124</v>
      </c>
      <c r="EW25" s="152" t="s">
        <v>124</v>
      </c>
      <c r="EX25" s="152" t="s">
        <v>124</v>
      </c>
      <c r="EY25" s="152" t="s">
        <v>124</v>
      </c>
      <c r="EZ25" s="152" t="s">
        <v>124</v>
      </c>
      <c r="FA25" s="152" t="s">
        <v>124</v>
      </c>
      <c r="FB25" s="152" t="s">
        <v>124</v>
      </c>
      <c r="FC25" s="152" t="s">
        <v>124</v>
      </c>
      <c r="FD25" s="152" t="s">
        <v>124</v>
      </c>
      <c r="FE25" s="152" t="s">
        <v>124</v>
      </c>
      <c r="FF25" s="152" t="s">
        <v>124</v>
      </c>
      <c r="FG25" s="152" t="s">
        <v>124</v>
      </c>
      <c r="FH25" s="152" t="s">
        <v>124</v>
      </c>
      <c r="FI25" s="152" t="s">
        <v>124</v>
      </c>
      <c r="FJ25" s="152" t="s">
        <v>124</v>
      </c>
      <c r="FK25" s="152" t="s">
        <v>124</v>
      </c>
      <c r="FL25" s="152" t="s">
        <v>124</v>
      </c>
      <c r="FM25" s="152" t="s">
        <v>124</v>
      </c>
      <c r="FN25" s="152" t="s">
        <v>124</v>
      </c>
      <c r="FO25" s="152" t="s">
        <v>124</v>
      </c>
      <c r="FP25" s="152" t="s">
        <v>124</v>
      </c>
      <c r="FQ25" s="152" t="s">
        <v>124</v>
      </c>
      <c r="FR25" s="152" t="s">
        <v>124</v>
      </c>
      <c r="FS25" s="152" t="s">
        <v>124</v>
      </c>
      <c r="FT25" s="152" t="s">
        <v>124</v>
      </c>
      <c r="FU25" s="152" t="s">
        <v>124</v>
      </c>
      <c r="FV25" s="152" t="s">
        <v>124</v>
      </c>
      <c r="FW25" s="152" t="s">
        <v>124</v>
      </c>
      <c r="FX25" s="152" t="s">
        <v>124</v>
      </c>
      <c r="FY25" s="152" t="s">
        <v>124</v>
      </c>
      <c r="FZ25" s="152" t="s">
        <v>124</v>
      </c>
      <c r="GA25" s="152" t="s">
        <v>124</v>
      </c>
      <c r="GB25" s="152" t="s">
        <v>124</v>
      </c>
      <c r="GC25" s="152" t="s">
        <v>124</v>
      </c>
      <c r="GD25" s="152" t="s">
        <v>124</v>
      </c>
      <c r="GE25" s="152" t="s">
        <v>124</v>
      </c>
      <c r="GF25" s="152" t="s">
        <v>124</v>
      </c>
      <c r="GG25" s="152" t="s">
        <v>124</v>
      </c>
      <c r="GH25" s="152" t="s">
        <v>124</v>
      </c>
      <c r="GI25" s="152" t="s">
        <v>124</v>
      </c>
      <c r="GJ25" s="152" t="s">
        <v>124</v>
      </c>
      <c r="GK25" s="152" t="s">
        <v>124</v>
      </c>
      <c r="GL25" s="152" t="s">
        <v>124</v>
      </c>
      <c r="GM25" s="152" t="s">
        <v>124</v>
      </c>
      <c r="GN25" s="152" t="s">
        <v>124</v>
      </c>
      <c r="GO25" s="152" t="s">
        <v>124</v>
      </c>
      <c r="GP25" s="152" t="s">
        <v>124</v>
      </c>
      <c r="GQ25" s="152" t="s">
        <v>124</v>
      </c>
      <c r="GR25" s="152" t="s">
        <v>124</v>
      </c>
      <c r="GS25" s="152" t="s">
        <v>124</v>
      </c>
      <c r="GT25" s="152" t="s">
        <v>124</v>
      </c>
      <c r="GU25" s="152" t="s">
        <v>124</v>
      </c>
      <c r="GV25" s="152" t="s">
        <v>124</v>
      </c>
      <c r="GW25" s="152" t="s">
        <v>124</v>
      </c>
      <c r="GX25" s="152" t="s">
        <v>124</v>
      </c>
      <c r="GY25" s="152" t="s">
        <v>124</v>
      </c>
      <c r="GZ25" s="152" t="s">
        <v>124</v>
      </c>
      <c r="HA25" s="152" t="s">
        <v>124</v>
      </c>
      <c r="HB25" s="152" t="s">
        <v>124</v>
      </c>
      <c r="HC25" s="152" t="s">
        <v>124</v>
      </c>
      <c r="HD25" s="152" t="s">
        <v>124</v>
      </c>
      <c r="HE25" s="152" t="s">
        <v>124</v>
      </c>
      <c r="HF25" s="152" t="s">
        <v>124</v>
      </c>
      <c r="HG25" s="152" t="s">
        <v>124</v>
      </c>
      <c r="HH25" s="152" t="s">
        <v>124</v>
      </c>
      <c r="HI25" s="152" t="s">
        <v>124</v>
      </c>
      <c r="HJ25" s="152" t="s">
        <v>124</v>
      </c>
      <c r="HK25" s="152" t="s">
        <v>124</v>
      </c>
      <c r="HL25" s="152" t="s">
        <v>124</v>
      </c>
      <c r="HM25" s="152" t="s">
        <v>124</v>
      </c>
      <c r="HN25" s="41"/>
      <c r="HO25" s="170" t="s">
        <v>296</v>
      </c>
      <c r="HT25" s="103"/>
      <c r="HU25" s="103"/>
      <c r="HV25" s="103"/>
      <c r="HW25" s="103"/>
      <c r="HX25" s="103"/>
      <c r="HY25" s="103"/>
      <c r="HZ25" s="103"/>
      <c r="IA25" s="103"/>
      <c r="IB25" s="103"/>
      <c r="IC25" s="103"/>
      <c r="ID25" s="103"/>
      <c r="IE25" s="103"/>
      <c r="IF25" s="103"/>
      <c r="IG25" s="103"/>
      <c r="IH25" s="103"/>
      <c r="II25" s="103"/>
      <c r="IJ25" s="103"/>
      <c r="IK25" s="103"/>
      <c r="IL25" s="103"/>
      <c r="IM25" s="103"/>
      <c r="IN25" s="103"/>
      <c r="IO25" s="103"/>
      <c r="IP25" s="103"/>
      <c r="IQ25" s="103"/>
      <c r="IR25" s="103"/>
      <c r="IS25" s="103"/>
      <c r="IT25" s="103"/>
      <c r="IU25" s="103"/>
      <c r="IV25" s="103"/>
      <c r="IW25" s="103"/>
      <c r="IX25" s="103"/>
      <c r="IY25" s="103"/>
      <c r="IZ25" s="103"/>
      <c r="JA25" s="103"/>
      <c r="JB25" s="103"/>
      <c r="JC25" s="103"/>
      <c r="JD25" s="103"/>
      <c r="JE25" s="103"/>
      <c r="JF25" s="103"/>
      <c r="JG25" s="103"/>
      <c r="JH25" s="103"/>
      <c r="JI25" s="103"/>
      <c r="JJ25" s="103"/>
      <c r="JK25" s="103"/>
      <c r="JL25" s="103"/>
      <c r="JM25" s="103"/>
      <c r="JN25" s="103"/>
      <c r="JO25" s="103"/>
      <c r="JP25" s="103"/>
      <c r="JQ25" s="103"/>
      <c r="JR25" s="103"/>
      <c r="JS25" s="103"/>
      <c r="JT25" s="103"/>
      <c r="JU25" s="103"/>
      <c r="JV25" s="103"/>
      <c r="JW25" s="103"/>
      <c r="JX25" s="103"/>
      <c r="JY25" s="103"/>
      <c r="JZ25" s="103"/>
      <c r="KA25" s="103"/>
      <c r="KB25" s="103"/>
      <c r="KC25" s="103"/>
      <c r="KD25" s="103"/>
      <c r="KE25" s="103"/>
      <c r="KF25" s="103"/>
      <c r="KG25" s="103"/>
      <c r="KH25" s="103"/>
      <c r="KI25" s="103"/>
      <c r="KJ25" s="103"/>
      <c r="KK25" s="103"/>
      <c r="KL25" s="103"/>
      <c r="KM25" s="103"/>
      <c r="KN25" s="103"/>
      <c r="KO25" s="103"/>
      <c r="KP25" s="103"/>
      <c r="KQ25" s="103"/>
      <c r="KR25" s="103"/>
      <c r="KS25" s="103"/>
      <c r="KT25" s="103"/>
      <c r="KU25" s="103"/>
      <c r="KV25" s="103"/>
      <c r="KW25" s="103"/>
      <c r="KX25" s="103"/>
      <c r="KY25" s="103"/>
      <c r="KZ25" s="103"/>
      <c r="LA25" s="103"/>
      <c r="LB25" s="103"/>
      <c r="LC25" s="103"/>
      <c r="LD25" s="103"/>
      <c r="LE25" s="103"/>
      <c r="LF25" s="103"/>
      <c r="LG25" s="103"/>
      <c r="LH25" s="103"/>
      <c r="LI25" s="103"/>
      <c r="LJ25" s="103"/>
      <c r="LK25" s="103"/>
      <c r="LL25" s="103"/>
      <c r="LM25" s="103"/>
    </row>
    <row r="26" spans="2:325">
      <c r="B26" s="761" t="s">
        <v>12</v>
      </c>
      <c r="C26" s="158" t="s">
        <v>293</v>
      </c>
      <c r="D26" s="844">
        <v>3.4500000000000003E-2</v>
      </c>
      <c r="E26" s="844">
        <v>3.4500000000000003E-2</v>
      </c>
      <c r="F26" s="844">
        <v>3.3500000000000002E-2</v>
      </c>
      <c r="G26" s="691">
        <v>3.3500000000000002E-2</v>
      </c>
      <c r="H26" s="691">
        <v>3.3500000000000002E-2</v>
      </c>
      <c r="I26" s="691">
        <v>3.3500000000000002E-2</v>
      </c>
      <c r="J26" s="680">
        <v>3.3500000000000002E-2</v>
      </c>
      <c r="K26" s="680">
        <v>3.3000000000000002E-2</v>
      </c>
      <c r="L26" s="680">
        <v>3.2500000000000001E-2</v>
      </c>
      <c r="M26" s="680">
        <v>3.3500000000000002E-2</v>
      </c>
      <c r="N26" s="691">
        <v>3.4000000000000002E-2</v>
      </c>
      <c r="O26" s="691">
        <v>3.4000000000000002E-2</v>
      </c>
      <c r="P26" s="680">
        <v>3.4000000000000002E-2</v>
      </c>
      <c r="Q26" s="181">
        <v>3.4500000000000003E-2</v>
      </c>
      <c r="R26" s="181">
        <v>3.4500000000000003E-2</v>
      </c>
      <c r="S26" s="557">
        <v>3.5499999999999997E-2</v>
      </c>
      <c r="T26" s="557">
        <v>3.4200000000000001E-2</v>
      </c>
      <c r="U26" s="557">
        <v>3.32E-2</v>
      </c>
      <c r="V26" s="557">
        <v>3.4500000000000003E-2</v>
      </c>
      <c r="W26" s="156">
        <v>3.5000000000000003E-2</v>
      </c>
      <c r="X26" s="154">
        <v>3.5499999999999997E-2</v>
      </c>
      <c r="Y26" s="154">
        <v>3.5499999999999997E-2</v>
      </c>
      <c r="Z26" s="156">
        <v>3.5499999999999997E-2</v>
      </c>
      <c r="AA26" s="154">
        <v>3.5999999999999997E-2</v>
      </c>
      <c r="AB26" s="156">
        <v>3.5999999999999997E-2</v>
      </c>
      <c r="AC26" s="156">
        <v>3.6999999999999998E-2</v>
      </c>
      <c r="AD26" s="156">
        <v>3.7499999999999999E-2</v>
      </c>
      <c r="AE26" s="156">
        <v>3.85E-2</v>
      </c>
      <c r="AF26" s="157">
        <v>3.9E-2</v>
      </c>
      <c r="AG26" s="157">
        <v>3.9E-2</v>
      </c>
      <c r="AH26" s="156">
        <v>3.9E-2</v>
      </c>
      <c r="AI26" s="157">
        <v>3.95E-2</v>
      </c>
      <c r="AJ26" s="154">
        <v>3.95E-2</v>
      </c>
      <c r="AK26" s="157">
        <v>3.95E-2</v>
      </c>
      <c r="AL26" s="155">
        <v>3.95E-2</v>
      </c>
      <c r="AM26" s="154">
        <v>3.95E-2</v>
      </c>
      <c r="AN26" s="152">
        <v>3.95E-2</v>
      </c>
      <c r="AO26" s="152">
        <v>3.95E-2</v>
      </c>
      <c r="AP26" s="152">
        <v>3.95E-2</v>
      </c>
      <c r="AQ26" s="152">
        <v>3.95E-2</v>
      </c>
      <c r="AR26" s="152">
        <v>3.95E-2</v>
      </c>
      <c r="AS26" s="152">
        <v>3.95E-2</v>
      </c>
      <c r="AT26" s="152">
        <v>3.95E-2</v>
      </c>
      <c r="AU26" s="152">
        <v>3.95E-2</v>
      </c>
      <c r="AV26" s="152">
        <v>3.95E-2</v>
      </c>
      <c r="AW26" s="152"/>
      <c r="AX26" s="152"/>
      <c r="AY26" s="153"/>
      <c r="AZ26" s="153"/>
      <c r="BA26" s="153"/>
      <c r="BB26" s="153"/>
      <c r="BC26" s="153"/>
      <c r="BD26" s="153"/>
      <c r="BE26" s="153"/>
      <c r="BF26" s="153"/>
      <c r="BG26" s="153"/>
      <c r="BH26" s="153"/>
      <c r="BI26" s="153"/>
      <c r="BJ26" s="153"/>
      <c r="BK26" s="153"/>
      <c r="BL26" s="153"/>
      <c r="BM26" s="153"/>
      <c r="BN26" s="153"/>
      <c r="BO26" s="153"/>
      <c r="BP26" s="153"/>
      <c r="BQ26" s="152"/>
      <c r="BR26" s="152"/>
      <c r="BS26" s="152"/>
      <c r="BT26" s="152"/>
      <c r="BU26" s="152"/>
      <c r="BV26" s="152"/>
      <c r="BW26" s="152"/>
      <c r="BX26" s="152"/>
      <c r="BY26" s="152"/>
      <c r="BZ26" s="152"/>
      <c r="CA26" s="152"/>
      <c r="CB26" s="152"/>
      <c r="CC26" s="152"/>
      <c r="CD26" s="152"/>
      <c r="CE26" s="152"/>
      <c r="CF26" s="152"/>
      <c r="CG26" s="152"/>
      <c r="CH26" s="152"/>
      <c r="CI26" s="152"/>
      <c r="CJ26" s="152"/>
      <c r="CK26" s="152"/>
      <c r="CL26" s="152"/>
      <c r="CM26" s="152"/>
      <c r="CN26" s="152"/>
      <c r="CO26" s="152"/>
      <c r="CP26" s="152"/>
      <c r="CQ26" s="152"/>
      <c r="CR26" s="152"/>
      <c r="CS26" s="109"/>
      <c r="CT26" s="109"/>
      <c r="CU26" s="109"/>
      <c r="CV26" s="109"/>
      <c r="CW26" s="109"/>
      <c r="CX26" s="109"/>
      <c r="CY26" s="109"/>
      <c r="CZ26" s="109"/>
      <c r="DA26" s="109"/>
      <c r="DB26" s="109"/>
      <c r="DC26" s="109"/>
      <c r="DD26" s="109"/>
      <c r="DE26" s="109"/>
      <c r="DF26" s="109"/>
      <c r="DG26" s="109"/>
      <c r="DH26" s="109"/>
      <c r="DI26" s="109"/>
      <c r="DJ26" s="109"/>
      <c r="DK26" s="109"/>
      <c r="DL26" s="109"/>
      <c r="DM26" s="109"/>
      <c r="DN26" s="109"/>
      <c r="DO26" s="109"/>
      <c r="DP26" s="109"/>
      <c r="DQ26" s="109"/>
      <c r="DR26" s="109"/>
      <c r="DS26" s="109"/>
      <c r="DT26" s="109"/>
      <c r="DU26" s="109"/>
      <c r="DV26" s="109"/>
      <c r="DW26" s="109"/>
      <c r="DX26" s="109"/>
      <c r="DY26" s="109"/>
      <c r="DZ26" s="109"/>
      <c r="EA26" s="109"/>
      <c r="EB26" s="109"/>
      <c r="EC26" s="109"/>
      <c r="ED26" s="109"/>
      <c r="EE26" s="109"/>
      <c r="EF26" s="109"/>
      <c r="EG26" s="109"/>
      <c r="EH26" s="109"/>
      <c r="EI26" s="109"/>
      <c r="EJ26" s="109"/>
      <c r="EK26" s="109"/>
      <c r="EL26" s="109"/>
      <c r="EM26" s="109"/>
      <c r="EN26" s="109"/>
      <c r="EO26" s="109"/>
      <c r="EP26" s="109"/>
      <c r="EQ26" s="109"/>
      <c r="ER26" s="109"/>
      <c r="ES26" s="109"/>
      <c r="ET26" s="109"/>
      <c r="EU26" s="109"/>
      <c r="EV26" s="109"/>
      <c r="EW26" s="109"/>
      <c r="EX26" s="109"/>
      <c r="EY26" s="109"/>
      <c r="EZ26" s="109"/>
      <c r="FA26" s="109"/>
      <c r="FB26" s="109"/>
      <c r="FC26" s="109"/>
      <c r="FD26" s="109"/>
      <c r="FE26" s="109"/>
      <c r="FF26" s="109"/>
      <c r="FG26" s="109"/>
      <c r="FH26" s="109"/>
      <c r="FI26" s="109"/>
      <c r="FJ26" s="109"/>
      <c r="FK26" s="109"/>
      <c r="FL26" s="109"/>
      <c r="FM26" s="109"/>
      <c r="FN26" s="109"/>
      <c r="FO26" s="109"/>
      <c r="FP26" s="109"/>
      <c r="FQ26" s="109"/>
      <c r="FR26" s="109"/>
      <c r="FS26" s="109"/>
      <c r="FT26" s="109"/>
      <c r="FU26" s="109"/>
      <c r="FV26" s="109"/>
      <c r="FW26" s="109"/>
      <c r="FX26" s="109"/>
      <c r="FY26" s="109"/>
      <c r="FZ26" s="109"/>
      <c r="GA26" s="109"/>
      <c r="GB26" s="109"/>
      <c r="GC26" s="109"/>
      <c r="GD26" s="109"/>
      <c r="GE26" s="109"/>
      <c r="GF26" s="109"/>
      <c r="GG26" s="109"/>
      <c r="GH26" s="109"/>
      <c r="GI26" s="109"/>
      <c r="GJ26" s="109"/>
      <c r="GK26" s="109"/>
      <c r="GL26" s="109"/>
      <c r="GM26" s="109"/>
      <c r="GN26" s="109"/>
      <c r="GO26" s="109"/>
      <c r="GP26" s="109"/>
      <c r="GQ26" s="109"/>
      <c r="GR26" s="109"/>
      <c r="GS26" s="109"/>
      <c r="GT26" s="109"/>
      <c r="GU26" s="109"/>
      <c r="GV26" s="109"/>
      <c r="GW26" s="109"/>
      <c r="GX26" s="109"/>
      <c r="GY26" s="109"/>
      <c r="GZ26" s="109"/>
      <c r="HA26" s="109"/>
      <c r="HB26" s="109"/>
      <c r="HC26" s="109"/>
      <c r="HD26" s="109"/>
      <c r="HE26" s="109"/>
      <c r="HF26" s="109"/>
      <c r="HG26" s="109"/>
      <c r="HH26" s="109"/>
      <c r="HI26" s="109"/>
      <c r="HJ26" s="109"/>
      <c r="HK26" s="109"/>
      <c r="HL26" s="109"/>
      <c r="HM26" s="109"/>
      <c r="HN26" s="41">
        <f>$D26-$E26</f>
        <v>0</v>
      </c>
      <c r="HO26" s="810" t="s">
        <v>805</v>
      </c>
      <c r="HT26" s="103"/>
      <c r="HU26" s="103"/>
      <c r="HV26" s="103"/>
      <c r="HW26" s="103"/>
      <c r="HX26" s="103"/>
      <c r="HY26" s="103"/>
      <c r="HZ26" s="103"/>
      <c r="IA26" s="103"/>
      <c r="IB26" s="103"/>
      <c r="IC26" s="103"/>
      <c r="ID26" s="103"/>
      <c r="IE26" s="103"/>
      <c r="IF26" s="103"/>
      <c r="IG26" s="103"/>
      <c r="IH26" s="103"/>
      <c r="II26" s="103"/>
      <c r="IJ26" s="103"/>
      <c r="IK26" s="103"/>
      <c r="IL26" s="103"/>
      <c r="IM26" s="103"/>
      <c r="IN26" s="103"/>
      <c r="IO26" s="103"/>
      <c r="IP26" s="103"/>
      <c r="IQ26" s="103"/>
      <c r="IR26" s="103"/>
      <c r="IS26" s="103"/>
      <c r="IT26" s="103"/>
      <c r="IU26" s="103"/>
      <c r="IV26" s="103"/>
      <c r="IW26" s="103"/>
      <c r="IX26" s="103"/>
      <c r="IY26" s="103"/>
      <c r="IZ26" s="103"/>
      <c r="JA26" s="103"/>
      <c r="JB26" s="103"/>
      <c r="JC26" s="103"/>
      <c r="JD26" s="103"/>
      <c r="JE26" s="103"/>
      <c r="JF26" s="103"/>
      <c r="JG26" s="103"/>
      <c r="JH26" s="103"/>
      <c r="JI26" s="103"/>
      <c r="JJ26" s="103"/>
      <c r="JK26" s="103"/>
      <c r="JL26" s="103"/>
      <c r="JM26" s="103"/>
      <c r="JN26" s="103"/>
      <c r="JO26" s="103"/>
      <c r="JP26" s="103"/>
      <c r="JQ26" s="103"/>
      <c r="JR26" s="103"/>
      <c r="JS26" s="103"/>
      <c r="JT26" s="103"/>
      <c r="JU26" s="103"/>
      <c r="JV26" s="103"/>
      <c r="JW26" s="103"/>
      <c r="JX26" s="103"/>
      <c r="JY26" s="103"/>
      <c r="JZ26" s="103"/>
      <c r="KA26" s="103"/>
      <c r="KB26" s="103"/>
      <c r="KC26" s="103"/>
      <c r="KD26" s="103"/>
      <c r="KE26" s="103"/>
      <c r="KF26" s="103"/>
      <c r="KG26" s="103"/>
      <c r="KH26" s="103"/>
      <c r="KI26" s="103"/>
      <c r="KJ26" s="103"/>
      <c r="KK26" s="103"/>
      <c r="KL26" s="103"/>
      <c r="KM26" s="103"/>
      <c r="KN26" s="103"/>
      <c r="KO26" s="103"/>
      <c r="KP26" s="103"/>
      <c r="KQ26" s="103"/>
      <c r="KR26" s="103"/>
      <c r="KS26" s="103"/>
      <c r="KT26" s="103"/>
      <c r="KU26" s="103"/>
      <c r="KV26" s="103"/>
      <c r="KW26" s="103"/>
      <c r="KX26" s="103"/>
      <c r="KY26" s="103"/>
      <c r="KZ26" s="103"/>
      <c r="LA26" s="103"/>
      <c r="LB26" s="103"/>
      <c r="LC26" s="103"/>
      <c r="LD26" s="103"/>
      <c r="LE26" s="103"/>
      <c r="LF26" s="103"/>
      <c r="LG26" s="103"/>
      <c r="LH26" s="103"/>
      <c r="LI26" s="103"/>
      <c r="LJ26" s="103"/>
      <c r="LK26" s="103"/>
      <c r="LL26" s="103"/>
      <c r="LM26" s="103"/>
    </row>
    <row r="27" spans="2:325">
      <c r="B27" s="760" t="s">
        <v>42</v>
      </c>
      <c r="C27" s="177" t="s">
        <v>798</v>
      </c>
      <c r="D27" s="167">
        <v>3.4000000000000002E-2</v>
      </c>
      <c r="E27" s="167">
        <v>3.4000000000000002E-2</v>
      </c>
      <c r="F27" s="167">
        <v>3.4000000000000002E-2</v>
      </c>
      <c r="G27" s="167">
        <v>3.4000000000000002E-2</v>
      </c>
      <c r="H27" s="167"/>
      <c r="I27" s="167"/>
      <c r="J27" s="167"/>
      <c r="K27" s="167"/>
      <c r="L27" s="167"/>
      <c r="M27" s="167"/>
      <c r="N27" s="167"/>
      <c r="O27" s="167"/>
      <c r="P27" s="167"/>
      <c r="Q27" s="167"/>
      <c r="R27" s="167"/>
      <c r="S27" s="167"/>
      <c r="T27" s="167"/>
      <c r="U27" s="167"/>
      <c r="V27" s="167"/>
      <c r="W27" s="167"/>
      <c r="X27" s="167"/>
      <c r="Y27" s="167"/>
      <c r="Z27" s="167"/>
      <c r="AA27" s="167"/>
      <c r="AB27" s="167"/>
      <c r="AC27" s="167"/>
      <c r="AD27" s="167"/>
      <c r="AE27" s="167"/>
      <c r="AF27" s="167"/>
      <c r="AG27" s="167"/>
      <c r="AH27" s="167"/>
      <c r="AI27" s="167"/>
      <c r="AJ27" s="167"/>
      <c r="AK27" s="167"/>
      <c r="AL27" s="167"/>
      <c r="AM27" s="167"/>
      <c r="AN27" s="167"/>
      <c r="AO27" s="167"/>
      <c r="AP27" s="167"/>
      <c r="AQ27" s="167"/>
      <c r="AR27" s="167"/>
      <c r="AS27" s="167"/>
      <c r="AT27" s="167"/>
      <c r="AU27" s="167"/>
      <c r="AV27" s="167"/>
      <c r="AW27" s="167"/>
      <c r="AX27" s="167"/>
      <c r="AY27" s="167"/>
      <c r="AZ27" s="167"/>
      <c r="BA27" s="167"/>
      <c r="BB27" s="167"/>
      <c r="BC27" s="167"/>
      <c r="BD27" s="167"/>
      <c r="BE27" s="167"/>
      <c r="BF27" s="167"/>
      <c r="BG27" s="167"/>
      <c r="BH27" s="167"/>
      <c r="BI27" s="167"/>
      <c r="BJ27" s="167"/>
      <c r="BK27" s="167"/>
      <c r="BL27" s="167"/>
      <c r="BM27" s="167"/>
      <c r="BN27" s="167"/>
      <c r="BO27" s="167"/>
      <c r="BP27" s="167"/>
      <c r="BQ27" s="167"/>
      <c r="BR27" s="167"/>
      <c r="BS27" s="167"/>
      <c r="BT27" s="167"/>
      <c r="BU27" s="167"/>
      <c r="BV27" s="167"/>
      <c r="BW27" s="167"/>
      <c r="BX27" s="167"/>
      <c r="BY27" s="167"/>
      <c r="BZ27" s="167"/>
      <c r="CA27" s="167"/>
      <c r="CB27" s="167"/>
      <c r="CC27" s="167"/>
      <c r="CD27" s="167"/>
      <c r="CE27" s="167"/>
      <c r="CF27" s="167"/>
      <c r="CG27" s="167"/>
      <c r="CH27" s="167"/>
      <c r="CI27" s="167"/>
      <c r="CJ27" s="167"/>
      <c r="CK27" s="167"/>
      <c r="CL27" s="167"/>
      <c r="CM27" s="167"/>
      <c r="CN27" s="167"/>
      <c r="CO27" s="167"/>
      <c r="CP27" s="167"/>
      <c r="CQ27" s="167"/>
      <c r="CR27" s="167"/>
      <c r="CS27" s="167"/>
      <c r="CT27" s="167"/>
      <c r="CU27" s="167"/>
      <c r="CV27" s="167"/>
      <c r="CW27" s="167"/>
      <c r="CX27" s="167"/>
      <c r="CY27" s="167"/>
      <c r="CZ27" s="167"/>
      <c r="DA27" s="167"/>
      <c r="DB27" s="167"/>
      <c r="DC27" s="167"/>
      <c r="DD27" s="167"/>
      <c r="DE27" s="167"/>
      <c r="DF27" s="167"/>
      <c r="DG27" s="167"/>
      <c r="DH27" s="167"/>
      <c r="DI27" s="167"/>
      <c r="DJ27" s="167"/>
      <c r="DK27" s="167"/>
      <c r="DL27" s="167"/>
      <c r="DM27" s="167"/>
      <c r="DN27" s="167"/>
      <c r="DO27" s="167"/>
      <c r="DP27" s="167"/>
      <c r="DQ27" s="167"/>
      <c r="DR27" s="167"/>
      <c r="DS27" s="167"/>
      <c r="DT27" s="167"/>
      <c r="DU27" s="167"/>
      <c r="DV27" s="167"/>
      <c r="DW27" s="167"/>
      <c r="DX27" s="167"/>
      <c r="DY27" s="167"/>
      <c r="DZ27" s="167"/>
      <c r="EA27" s="167"/>
      <c r="EB27" s="167"/>
      <c r="EC27" s="167"/>
      <c r="ED27" s="167"/>
      <c r="EE27" s="167"/>
      <c r="EF27" s="167"/>
      <c r="EG27" s="167"/>
      <c r="EH27" s="167"/>
      <c r="EI27" s="167"/>
      <c r="EJ27" s="167"/>
      <c r="EK27" s="167"/>
      <c r="EL27" s="167"/>
      <c r="EM27" s="167"/>
      <c r="EN27" s="167"/>
      <c r="EO27" s="167"/>
      <c r="EP27" s="167"/>
      <c r="EQ27" s="167"/>
      <c r="ER27" s="167"/>
      <c r="ES27" s="167"/>
      <c r="ET27" s="167"/>
      <c r="EU27" s="167"/>
      <c r="EV27" s="167"/>
      <c r="EW27" s="167"/>
      <c r="EX27" s="167"/>
      <c r="EY27" s="167"/>
      <c r="EZ27" s="167"/>
      <c r="FA27" s="167"/>
      <c r="FB27" s="167"/>
      <c r="FC27" s="167"/>
      <c r="FD27" s="167"/>
      <c r="FE27" s="167"/>
      <c r="FF27" s="167"/>
      <c r="FG27" s="167"/>
      <c r="FH27" s="167"/>
      <c r="FI27" s="167"/>
      <c r="FJ27" s="167"/>
      <c r="FK27" s="167"/>
      <c r="FL27" s="167"/>
      <c r="FM27" s="167"/>
      <c r="FN27" s="167"/>
      <c r="FO27" s="167"/>
      <c r="FP27" s="167"/>
      <c r="FQ27" s="167"/>
      <c r="FR27" s="167"/>
      <c r="FS27" s="167"/>
      <c r="FT27" s="167"/>
      <c r="FU27" s="167"/>
      <c r="FV27" s="167"/>
      <c r="FW27" s="167"/>
      <c r="FX27" s="167"/>
      <c r="FY27" s="167"/>
      <c r="FZ27" s="167"/>
      <c r="GA27" s="167"/>
      <c r="GB27" s="167"/>
      <c r="GC27" s="167"/>
      <c r="GD27" s="167"/>
      <c r="GE27" s="167"/>
      <c r="GF27" s="167"/>
      <c r="GG27" s="167"/>
      <c r="GH27" s="167"/>
      <c r="GI27" s="167"/>
      <c r="GJ27" s="167"/>
      <c r="GK27" s="167"/>
      <c r="GL27" s="167"/>
      <c r="GM27" s="167"/>
      <c r="GN27" s="167"/>
      <c r="GO27" s="167"/>
      <c r="GP27" s="167"/>
      <c r="GQ27" s="167"/>
      <c r="GR27" s="167"/>
      <c r="GS27" s="167"/>
      <c r="GT27" s="167"/>
      <c r="GU27" s="167"/>
      <c r="GV27" s="167"/>
      <c r="GW27" s="167"/>
      <c r="GX27" s="167"/>
      <c r="GY27" s="167"/>
      <c r="GZ27" s="167"/>
      <c r="HA27" s="167"/>
      <c r="HB27" s="167"/>
      <c r="HC27" s="167"/>
      <c r="HD27" s="167"/>
      <c r="HE27" s="167"/>
      <c r="HF27" s="167"/>
      <c r="HG27" s="167"/>
      <c r="HH27" s="167"/>
      <c r="HI27" s="167"/>
      <c r="HJ27" s="167"/>
      <c r="HK27" s="167"/>
      <c r="HL27" s="167"/>
      <c r="HM27" s="167"/>
      <c r="HN27" s="41">
        <f>$D27-$E27</f>
        <v>0</v>
      </c>
      <c r="HO27" s="112"/>
      <c r="HT27" s="103"/>
      <c r="HU27" s="103"/>
      <c r="HV27" s="103"/>
      <c r="HW27" s="103"/>
      <c r="HX27" s="103"/>
      <c r="HY27" s="103"/>
      <c r="HZ27" s="103"/>
      <c r="IA27" s="103"/>
      <c r="IB27" s="103"/>
      <c r="IC27" s="103"/>
      <c r="ID27" s="103"/>
      <c r="IE27" s="103"/>
      <c r="IF27" s="103"/>
      <c r="IG27" s="103"/>
      <c r="IH27" s="103"/>
      <c r="II27" s="103"/>
      <c r="IJ27" s="103"/>
      <c r="IK27" s="103"/>
      <c r="IL27" s="103"/>
      <c r="IM27" s="103"/>
      <c r="IN27" s="103"/>
      <c r="IO27" s="103"/>
      <c r="IP27" s="103"/>
      <c r="IQ27" s="103"/>
      <c r="IR27" s="103"/>
      <c r="IS27" s="103"/>
      <c r="IT27" s="103"/>
      <c r="IU27" s="103"/>
      <c r="IV27" s="103"/>
      <c r="IW27" s="103"/>
      <c r="IX27" s="103"/>
      <c r="IY27" s="103"/>
      <c r="IZ27" s="103"/>
      <c r="JA27" s="103"/>
      <c r="JB27" s="103"/>
      <c r="JC27" s="103"/>
      <c r="JD27" s="103"/>
      <c r="JE27" s="103"/>
      <c r="JF27" s="103"/>
      <c r="JG27" s="103"/>
      <c r="JH27" s="103"/>
      <c r="JI27" s="103"/>
      <c r="JJ27" s="103"/>
      <c r="JK27" s="103"/>
      <c r="JL27" s="103"/>
      <c r="JM27" s="103"/>
      <c r="JN27" s="103"/>
      <c r="JO27" s="103"/>
      <c r="JP27" s="103"/>
      <c r="JQ27" s="103"/>
      <c r="JR27" s="103"/>
      <c r="JS27" s="103"/>
      <c r="JT27" s="103"/>
      <c r="JU27" s="103"/>
      <c r="JV27" s="103"/>
      <c r="JW27" s="103"/>
      <c r="JX27" s="103"/>
      <c r="JY27" s="103"/>
      <c r="JZ27" s="103"/>
      <c r="KA27" s="103"/>
      <c r="KB27" s="103"/>
      <c r="KC27" s="103"/>
      <c r="KD27" s="103"/>
      <c r="KE27" s="103"/>
      <c r="KF27" s="103"/>
      <c r="KG27" s="103"/>
      <c r="KH27" s="103"/>
      <c r="KI27" s="103"/>
      <c r="KJ27" s="103"/>
      <c r="KK27" s="103"/>
      <c r="KL27" s="103"/>
      <c r="KM27" s="103"/>
      <c r="KN27" s="103"/>
      <c r="KO27" s="103"/>
      <c r="KP27" s="103"/>
      <c r="KQ27" s="103"/>
      <c r="KR27" s="103"/>
      <c r="KS27" s="103"/>
      <c r="KT27" s="103"/>
      <c r="KU27" s="103"/>
      <c r="KV27" s="103"/>
      <c r="KW27" s="103"/>
      <c r="KX27" s="103"/>
      <c r="KY27" s="103"/>
      <c r="KZ27" s="103"/>
      <c r="LA27" s="103"/>
      <c r="LB27" s="103"/>
      <c r="LC27" s="103"/>
      <c r="LD27" s="103"/>
      <c r="LE27" s="103"/>
      <c r="LF27" s="103"/>
      <c r="LG27" s="103"/>
      <c r="LH27" s="103"/>
      <c r="LI27" s="103"/>
      <c r="LJ27" s="103"/>
      <c r="LK27" s="103"/>
      <c r="LL27" s="103"/>
      <c r="LM27" s="103"/>
    </row>
    <row r="28" spans="2:325" hidden="1">
      <c r="B28" s="1074" t="s">
        <v>46</v>
      </c>
      <c r="C28" s="165" t="s">
        <v>788</v>
      </c>
      <c r="D28" s="167"/>
      <c r="E28" s="167"/>
      <c r="F28" s="167"/>
      <c r="G28" s="167"/>
      <c r="H28" s="168"/>
      <c r="I28" s="167">
        <v>3.95E-2</v>
      </c>
      <c r="J28" s="168">
        <v>3.95E-2</v>
      </c>
      <c r="K28" s="167"/>
      <c r="L28" s="168">
        <v>3.5999999999999997E-2</v>
      </c>
      <c r="M28" s="167">
        <v>3.6999999999999998E-2</v>
      </c>
      <c r="N28" s="168">
        <v>3.6999999999999998E-2</v>
      </c>
      <c r="O28" s="167">
        <v>3.7999999999999999E-2</v>
      </c>
      <c r="P28" s="167">
        <v>3.7999999999999999E-2</v>
      </c>
      <c r="Q28" s="167">
        <v>3.7999999999999999E-2</v>
      </c>
      <c r="R28" s="167">
        <v>3.7999999999999999E-2</v>
      </c>
      <c r="S28" s="167">
        <v>3.5000000000000003E-2</v>
      </c>
      <c r="T28" s="167">
        <v>3.5000000000000003E-2</v>
      </c>
      <c r="U28" s="167">
        <v>3.5000000000000003E-2</v>
      </c>
      <c r="V28" s="167">
        <v>3.5000000000000003E-2</v>
      </c>
      <c r="W28" s="168">
        <v>3.5000000000000003E-2</v>
      </c>
      <c r="X28" s="168">
        <v>3.5999999999999997E-2</v>
      </c>
      <c r="Y28" s="168">
        <v>3.6999999999999998E-2</v>
      </c>
      <c r="Z28" s="167">
        <v>3.7999999999999999E-2</v>
      </c>
      <c r="AA28" s="167">
        <v>3.7999999999999999E-2</v>
      </c>
      <c r="AB28" s="168">
        <v>3.7999999999999999E-2</v>
      </c>
      <c r="AC28" s="167">
        <v>3.9E-2</v>
      </c>
      <c r="AD28" s="167">
        <v>3.9E-2</v>
      </c>
      <c r="AE28" s="167">
        <v>3.9E-2</v>
      </c>
      <c r="AF28" s="63">
        <v>3.9E-2</v>
      </c>
      <c r="AG28" s="63">
        <v>3.9E-2</v>
      </c>
      <c r="AH28" s="168">
        <v>3.9E-2</v>
      </c>
      <c r="AI28" s="63">
        <v>0.04</v>
      </c>
      <c r="AJ28" s="167">
        <v>0.04</v>
      </c>
      <c r="AK28" s="63">
        <v>0.04</v>
      </c>
      <c r="AL28" s="108">
        <v>0.04</v>
      </c>
      <c r="AM28" s="167">
        <v>0.04</v>
      </c>
      <c r="AN28" s="152">
        <v>0.04</v>
      </c>
      <c r="AO28" s="152">
        <v>0.04</v>
      </c>
      <c r="AP28" s="152">
        <v>0.04</v>
      </c>
      <c r="AQ28" s="152">
        <v>0.04</v>
      </c>
      <c r="AR28" s="152">
        <v>0.04</v>
      </c>
      <c r="AS28" s="152">
        <v>0.04</v>
      </c>
      <c r="AT28" s="152">
        <v>0.04</v>
      </c>
      <c r="AU28" s="152">
        <v>0.04</v>
      </c>
      <c r="AV28" s="152">
        <v>0.04</v>
      </c>
      <c r="AW28" s="152">
        <v>0.04</v>
      </c>
      <c r="AX28" s="152">
        <v>3.9E-2</v>
      </c>
      <c r="AY28" s="152">
        <v>3.9E-2</v>
      </c>
      <c r="AZ28" s="152">
        <v>3.9E-2</v>
      </c>
      <c r="BA28" s="152">
        <v>3.9E-2</v>
      </c>
      <c r="BB28" s="107">
        <v>3.9E-2</v>
      </c>
      <c r="BC28" s="152">
        <v>4.2000000000000003E-2</v>
      </c>
      <c r="BD28" s="152">
        <v>4.2000000000000003E-2</v>
      </c>
      <c r="BE28" s="152">
        <v>4.2000000000000003E-2</v>
      </c>
      <c r="BF28" s="152">
        <v>4.1000000000000002E-2</v>
      </c>
      <c r="BG28" s="152">
        <v>4.1000000000000002E-2</v>
      </c>
      <c r="BH28" s="152">
        <v>4.1000000000000002E-2</v>
      </c>
      <c r="BI28" s="152">
        <v>4.1000000000000002E-2</v>
      </c>
      <c r="BJ28" s="152">
        <v>4.1000000000000002E-2</v>
      </c>
      <c r="BK28" s="152">
        <v>4.1000000000000002E-2</v>
      </c>
      <c r="BL28" s="152">
        <v>4.1000000000000002E-2</v>
      </c>
      <c r="BM28" s="152">
        <v>4.2999999999999997E-2</v>
      </c>
      <c r="BN28" s="152">
        <v>4.2999999999999997E-2</v>
      </c>
      <c r="BO28" s="152">
        <v>4.2999999999999997E-2</v>
      </c>
      <c r="BP28" s="152">
        <v>4.2999999999999997E-2</v>
      </c>
      <c r="BQ28" s="152">
        <v>4.2999999999999997E-2</v>
      </c>
      <c r="BR28" s="152">
        <v>4.2999999999999997E-2</v>
      </c>
      <c r="BS28" s="152">
        <v>4.2999999999999997E-2</v>
      </c>
      <c r="BT28" s="152">
        <v>4.2999999999999997E-2</v>
      </c>
      <c r="BU28" s="152"/>
      <c r="BV28" s="152">
        <v>4.4999999999999998E-2</v>
      </c>
      <c r="BW28" s="152">
        <v>4.4999999999999998E-2</v>
      </c>
      <c r="BX28" s="152">
        <v>4.4999999999999998E-2</v>
      </c>
      <c r="BY28" s="152">
        <v>4.4999999999999998E-2</v>
      </c>
      <c r="BZ28" s="152">
        <v>4.8000000000000001E-2</v>
      </c>
      <c r="CA28" s="152">
        <v>4.8000000000000001E-2</v>
      </c>
      <c r="CB28" s="152">
        <v>4.8000000000000001E-2</v>
      </c>
      <c r="CC28" s="152">
        <v>4.5999999999999999E-2</v>
      </c>
      <c r="CD28" s="152">
        <v>4.5999999999999999E-2</v>
      </c>
      <c r="CE28" s="152">
        <v>4.5999999999999999E-2</v>
      </c>
      <c r="CF28" s="152">
        <v>4.5999999999999999E-2</v>
      </c>
      <c r="CG28" s="152">
        <v>3.8834E-2</v>
      </c>
      <c r="CH28" s="152">
        <v>3.8857999999999997E-2</v>
      </c>
      <c r="CI28" s="152">
        <v>3.9039999999999998E-2</v>
      </c>
      <c r="CJ28" s="152">
        <v>3.9182000000000002E-2</v>
      </c>
      <c r="CK28" s="152">
        <v>3.9393999999999998E-2</v>
      </c>
      <c r="CL28" s="152">
        <v>3.9435999999999999E-2</v>
      </c>
      <c r="CM28" s="152">
        <v>3.9432000000000002E-2</v>
      </c>
      <c r="CN28" s="152">
        <v>3.9428999999999999E-2</v>
      </c>
      <c r="CO28" s="152">
        <v>3.9428999999999999E-2</v>
      </c>
      <c r="CP28" s="152">
        <v>3.9267000000000003E-2</v>
      </c>
      <c r="CQ28" s="152">
        <v>3.9224000000000002E-2</v>
      </c>
      <c r="CR28" s="152">
        <v>3.9211999999999997E-2</v>
      </c>
      <c r="CS28" s="152">
        <v>3.9267999999999997E-2</v>
      </c>
      <c r="CT28" s="152">
        <v>3.9170999999999997E-2</v>
      </c>
      <c r="CU28" s="196">
        <v>3.9170999999999997E-2</v>
      </c>
      <c r="CV28" s="196">
        <v>3.8972E-2</v>
      </c>
      <c r="CW28" s="196">
        <v>3.9080999999999998E-2</v>
      </c>
      <c r="CX28" s="196">
        <v>3.9076E-2</v>
      </c>
      <c r="CY28" s="196">
        <v>3.9052000000000003E-2</v>
      </c>
      <c r="CZ28" s="196">
        <v>3.9052000000000003E-2</v>
      </c>
      <c r="DA28" s="196">
        <v>3.9264E-2</v>
      </c>
      <c r="DB28" s="196">
        <v>3.9432000000000002E-2</v>
      </c>
      <c r="DC28" s="196">
        <v>3.9070000000000001E-2</v>
      </c>
      <c r="DD28" s="196">
        <v>3.9070000000000001E-2</v>
      </c>
      <c r="DE28" s="196">
        <v>3.9161000000000001E-2</v>
      </c>
      <c r="DF28" s="196">
        <v>3.9064000000000002E-2</v>
      </c>
      <c r="DG28" s="196">
        <v>3.9246999999999997E-2</v>
      </c>
      <c r="DH28" s="196">
        <v>3.8199999999999998E-2</v>
      </c>
      <c r="DI28" s="196">
        <v>3.9233999999999998E-2</v>
      </c>
      <c r="DJ28" s="196">
        <v>3.9273000000000002E-2</v>
      </c>
      <c r="DK28" s="196">
        <v>3.9479E-2</v>
      </c>
      <c r="DL28" s="196">
        <v>3.9745999999999997E-2</v>
      </c>
      <c r="DM28" s="196">
        <v>3.9861000000000001E-2</v>
      </c>
      <c r="DN28" s="196">
        <v>3.9761999999999999E-2</v>
      </c>
      <c r="DO28" s="196">
        <v>3.9882000000000001E-2</v>
      </c>
      <c r="DP28" s="196">
        <v>3.9708E-2</v>
      </c>
      <c r="DQ28" s="196">
        <v>3.9902E-2</v>
      </c>
      <c r="DR28" s="196">
        <v>3.9656999999999998E-2</v>
      </c>
      <c r="DS28" s="196">
        <v>3.9828000000000002E-2</v>
      </c>
      <c r="DT28" s="196">
        <v>3.9795999999999998E-2</v>
      </c>
      <c r="DU28" s="196">
        <v>3.9967999999999997E-2</v>
      </c>
      <c r="DV28" s="196">
        <v>4.0245799999999998E-2</v>
      </c>
      <c r="DW28" s="196">
        <v>3.9997999999999999E-2</v>
      </c>
      <c r="DX28" s="196">
        <v>3.9969999999999999E-2</v>
      </c>
      <c r="DY28" s="196">
        <v>4.0082E-2</v>
      </c>
      <c r="DZ28" s="196">
        <v>3.9911000000000002E-2</v>
      </c>
      <c r="EA28" s="196">
        <v>4.0174000000000001E-2</v>
      </c>
      <c r="EB28" s="196">
        <v>3.9773000000000003E-2</v>
      </c>
      <c r="EC28" s="196">
        <v>3.9718000000000003E-2</v>
      </c>
      <c r="ED28" s="196">
        <v>3.9698999999999998E-2</v>
      </c>
      <c r="EE28" s="196">
        <v>3.9663999999999998E-2</v>
      </c>
      <c r="EF28" s="196">
        <v>3.9573999999999998E-2</v>
      </c>
      <c r="EG28" s="196">
        <v>2.2474000000000001E-2</v>
      </c>
      <c r="EH28" s="196">
        <v>2.419E-2</v>
      </c>
      <c r="EI28" s="196">
        <v>2.3671999999999999E-2</v>
      </c>
      <c r="EJ28" s="196">
        <v>1.8238999999999998E-2</v>
      </c>
      <c r="EK28" s="196">
        <v>2.2468999999999999E-2</v>
      </c>
      <c r="EL28" s="196">
        <v>3.7509000000000001E-2</v>
      </c>
      <c r="EM28" s="196">
        <v>3.6896999999999999E-2</v>
      </c>
      <c r="EN28" s="196">
        <v>3.6721999999999998E-2</v>
      </c>
      <c r="EO28" s="196">
        <v>3.7114000000000001E-2</v>
      </c>
      <c r="EP28" s="196">
        <v>3.6679999999999997E-2</v>
      </c>
      <c r="EQ28" s="196">
        <v>3.6278999999999999E-2</v>
      </c>
      <c r="ER28" s="196">
        <v>3.5587000000000001E-2</v>
      </c>
      <c r="ES28" s="196">
        <v>3.5085999999999999E-2</v>
      </c>
      <c r="ET28" s="196">
        <v>3.5012000000000001E-2</v>
      </c>
      <c r="EU28" s="196">
        <v>3.4854999999999997E-2</v>
      </c>
      <c r="EV28" s="152">
        <v>3.3300000000000003E-2</v>
      </c>
      <c r="EW28" s="152">
        <v>3.3799999999999997E-2</v>
      </c>
      <c r="EX28" s="196">
        <v>3.5416999999999997E-2</v>
      </c>
      <c r="EY28" s="196">
        <v>3.5062999999999997E-2</v>
      </c>
      <c r="EZ28" s="196">
        <v>3.4109E-2</v>
      </c>
      <c r="FA28" s="196">
        <v>3.4107999999999999E-2</v>
      </c>
      <c r="FB28" s="196">
        <v>3.3570999999999997E-2</v>
      </c>
      <c r="FC28" s="196">
        <v>3.3316999999999999E-2</v>
      </c>
      <c r="FD28" s="196">
        <v>3.3035000000000002E-2</v>
      </c>
      <c r="FE28" s="196">
        <v>3.6415999999999997E-2</v>
      </c>
      <c r="FF28" s="196">
        <v>3.2849999999999997E-2</v>
      </c>
      <c r="FG28" s="196">
        <v>3.2375000000000001E-2</v>
      </c>
      <c r="FH28" s="196">
        <v>3.1996999999999998E-2</v>
      </c>
      <c r="FI28" s="196">
        <v>3.1574999999999999E-2</v>
      </c>
      <c r="FJ28" s="196">
        <v>3.0318000000000001E-2</v>
      </c>
      <c r="FK28" s="196">
        <v>3.0984999999999999E-2</v>
      </c>
      <c r="FL28" s="196">
        <v>3.049E-2</v>
      </c>
      <c r="FM28" s="196">
        <v>2.9697999999999999E-2</v>
      </c>
      <c r="FN28" s="196">
        <v>2.8753999999999998E-2</v>
      </c>
      <c r="FO28" s="196">
        <v>2.8603E-2</v>
      </c>
      <c r="FP28" s="196">
        <v>2.7909E-2</v>
      </c>
      <c r="FQ28" s="196">
        <v>2.6955E-2</v>
      </c>
      <c r="FR28" s="196">
        <v>2.605E-2</v>
      </c>
      <c r="FS28" s="196">
        <v>2.3890000000000002E-2</v>
      </c>
      <c r="FT28" s="196">
        <v>3.8531999999999997E-2</v>
      </c>
      <c r="FU28" s="196">
        <v>3.8636999999999998E-2</v>
      </c>
      <c r="FV28" s="196">
        <v>3.8995000000000002E-2</v>
      </c>
      <c r="FW28" s="196">
        <v>3.8995000000000002E-2</v>
      </c>
      <c r="FX28" s="196">
        <v>3.8686999999999999E-2</v>
      </c>
      <c r="FY28" s="196">
        <v>3.8386999999999998E-2</v>
      </c>
      <c r="FZ28" s="196">
        <v>3.8203000000000001E-2</v>
      </c>
      <c r="GA28" s="196">
        <v>3.8543000000000001E-2</v>
      </c>
      <c r="GB28" s="196">
        <v>2.3671999999999999E-2</v>
      </c>
      <c r="GC28" s="196">
        <v>2.3671999999999999E-2</v>
      </c>
      <c r="GD28" s="196">
        <v>2.3671999999999999E-2</v>
      </c>
      <c r="GE28" s="196">
        <v>2.3671999999999999E-2</v>
      </c>
      <c r="GF28" s="196">
        <v>2.3671999999999999E-2</v>
      </c>
      <c r="GG28" s="196">
        <v>2.3671999999999999E-2</v>
      </c>
      <c r="GH28" s="196">
        <v>2.3671999999999999E-2</v>
      </c>
      <c r="GI28" s="196">
        <v>2.3671999999999999E-2</v>
      </c>
      <c r="GJ28" s="196">
        <v>2.3671999999999999E-2</v>
      </c>
      <c r="GK28" s="196">
        <v>2.3671999999999999E-2</v>
      </c>
      <c r="GL28" s="196">
        <v>2.3671999999999999E-2</v>
      </c>
      <c r="GM28" s="196">
        <v>2.3671999999999999E-2</v>
      </c>
      <c r="GN28" s="196">
        <v>2.3671999999999999E-2</v>
      </c>
      <c r="GO28" s="196">
        <v>2.3671999999999999E-2</v>
      </c>
      <c r="GP28" s="196">
        <v>2.3671999999999999E-2</v>
      </c>
      <c r="GQ28" s="196">
        <v>2.3671999999999999E-2</v>
      </c>
      <c r="GR28" s="196">
        <v>2.3671999999999999E-2</v>
      </c>
      <c r="GS28" s="196">
        <v>2.3671999999999999E-2</v>
      </c>
      <c r="GT28" s="196">
        <v>2.3671999999999999E-2</v>
      </c>
      <c r="GU28" s="196">
        <v>2.3671999999999999E-2</v>
      </c>
      <c r="GV28" s="196">
        <v>2.3671999999999999E-2</v>
      </c>
      <c r="GW28" s="196">
        <v>2.3671999999999999E-2</v>
      </c>
      <c r="GX28" s="196">
        <v>2.3671999999999999E-2</v>
      </c>
      <c r="GY28" s="196">
        <v>2.3671999999999999E-2</v>
      </c>
      <c r="GZ28" s="196">
        <v>2.3671999999999999E-2</v>
      </c>
      <c r="HA28" s="196">
        <v>2.3671999999999999E-2</v>
      </c>
      <c r="HB28" s="196">
        <v>2.3671999999999999E-2</v>
      </c>
      <c r="HC28" s="196">
        <v>2.3671999999999999E-2</v>
      </c>
      <c r="HD28" s="196">
        <v>2.3671999999999999E-2</v>
      </c>
      <c r="HE28" s="196">
        <v>2.3671999999999999E-2</v>
      </c>
      <c r="HF28" s="196">
        <v>2.3671999999999999E-2</v>
      </c>
      <c r="HG28" s="196">
        <v>2.3671999999999999E-2</v>
      </c>
      <c r="HH28" s="196">
        <v>2.3671999999999999E-2</v>
      </c>
      <c r="HI28" s="196">
        <v>2.3671999999999999E-2</v>
      </c>
      <c r="HJ28" s="196">
        <v>2.3671999999999999E-2</v>
      </c>
      <c r="HK28" s="196">
        <v>2.3671999999999999E-2</v>
      </c>
      <c r="HL28" s="196">
        <v>2.3671999999999999E-2</v>
      </c>
      <c r="HM28" s="196">
        <v>2.3671999999999999E-2</v>
      </c>
      <c r="HN28" s="41">
        <f>$D28-$E28</f>
        <v>0</v>
      </c>
      <c r="HO28" s="195" t="s">
        <v>304</v>
      </c>
      <c r="HT28" s="103"/>
      <c r="HU28" s="103"/>
      <c r="HV28" s="103"/>
      <c r="HW28" s="103"/>
      <c r="HX28" s="103"/>
      <c r="HY28" s="103"/>
      <c r="HZ28" s="103"/>
      <c r="IA28" s="103"/>
      <c r="IB28" s="103"/>
      <c r="IC28" s="103"/>
      <c r="ID28" s="103"/>
      <c r="IE28" s="103"/>
      <c r="IF28" s="103"/>
      <c r="IG28" s="103"/>
      <c r="IH28" s="103"/>
      <c r="II28" s="103"/>
      <c r="IJ28" s="103"/>
      <c r="IK28" s="103"/>
      <c r="IL28" s="103"/>
      <c r="IM28" s="103"/>
      <c r="IN28" s="103"/>
      <c r="IO28" s="103"/>
      <c r="IP28" s="103"/>
      <c r="IQ28" s="103"/>
      <c r="IR28" s="103"/>
      <c r="IS28" s="103"/>
      <c r="IT28" s="103"/>
      <c r="IU28" s="103"/>
      <c r="IV28" s="103"/>
      <c r="IW28" s="103"/>
      <c r="IX28" s="103"/>
      <c r="IY28" s="103"/>
      <c r="IZ28" s="103"/>
      <c r="JA28" s="103"/>
      <c r="JB28" s="103"/>
      <c r="JC28" s="103"/>
      <c r="JD28" s="103"/>
      <c r="JE28" s="103"/>
      <c r="JF28" s="103"/>
      <c r="JG28" s="103"/>
      <c r="JH28" s="103"/>
      <c r="JI28" s="103"/>
      <c r="JJ28" s="103"/>
      <c r="JK28" s="103"/>
      <c r="JL28" s="103"/>
      <c r="JM28" s="103"/>
      <c r="JN28" s="103"/>
      <c r="JO28" s="103"/>
      <c r="JP28" s="103"/>
      <c r="JQ28" s="103"/>
      <c r="JR28" s="103"/>
      <c r="JS28" s="103"/>
      <c r="JT28" s="103"/>
      <c r="JU28" s="103"/>
      <c r="JV28" s="103"/>
      <c r="JW28" s="103"/>
      <c r="JX28" s="103"/>
      <c r="JY28" s="103"/>
      <c r="JZ28" s="103"/>
      <c r="KA28" s="103"/>
      <c r="KB28" s="103"/>
      <c r="KC28" s="103"/>
      <c r="KD28" s="103"/>
      <c r="KE28" s="103"/>
      <c r="KF28" s="103"/>
      <c r="KG28" s="103"/>
      <c r="KH28" s="103"/>
      <c r="KI28" s="103"/>
      <c r="KJ28" s="103"/>
      <c r="KK28" s="103"/>
      <c r="KL28" s="103"/>
      <c r="KM28" s="103"/>
      <c r="KN28" s="103"/>
      <c r="KO28" s="103"/>
      <c r="KP28" s="103"/>
      <c r="KQ28" s="103"/>
      <c r="KR28" s="103"/>
      <c r="KS28" s="103"/>
      <c r="KT28" s="103"/>
      <c r="KU28" s="103"/>
      <c r="KV28" s="103"/>
      <c r="KW28" s="103"/>
      <c r="KX28" s="103"/>
      <c r="KY28" s="103"/>
      <c r="KZ28" s="103"/>
      <c r="LA28" s="103"/>
      <c r="LB28" s="103"/>
      <c r="LC28" s="103"/>
      <c r="LD28" s="103"/>
      <c r="LE28" s="103"/>
      <c r="LF28" s="103"/>
      <c r="LG28" s="103"/>
      <c r="LH28" s="103"/>
      <c r="LI28" s="103"/>
      <c r="LJ28" s="103"/>
      <c r="LK28" s="103"/>
      <c r="LL28" s="103"/>
      <c r="LM28" s="103"/>
    </row>
    <row r="29" spans="2:325" hidden="1">
      <c r="B29" s="1074"/>
      <c r="C29" s="165" t="s">
        <v>789</v>
      </c>
      <c r="D29" s="167"/>
      <c r="E29" s="167"/>
      <c r="F29" s="167"/>
      <c r="G29" s="167"/>
      <c r="H29" s="168"/>
      <c r="I29" s="167">
        <v>0.04</v>
      </c>
      <c r="J29" s="168">
        <v>0.04</v>
      </c>
      <c r="K29" s="167"/>
      <c r="L29" s="168">
        <v>3.6999999999999998E-2</v>
      </c>
      <c r="M29" s="167">
        <v>3.7999999999999999E-2</v>
      </c>
      <c r="N29" s="168">
        <v>3.7999999999999999E-2</v>
      </c>
      <c r="O29" s="167">
        <v>3.9E-2</v>
      </c>
      <c r="P29" s="167">
        <v>3.9E-2</v>
      </c>
      <c r="Q29" s="167">
        <v>3.9E-2</v>
      </c>
      <c r="R29" s="167">
        <v>3.9E-2</v>
      </c>
      <c r="S29" s="167">
        <v>3.5999999999999997E-2</v>
      </c>
      <c r="T29" s="167">
        <v>3.5999999999999997E-2</v>
      </c>
      <c r="U29" s="167">
        <v>3.5999999999999997E-2</v>
      </c>
      <c r="V29" s="167">
        <v>3.5999999999999997E-2</v>
      </c>
      <c r="W29" s="168">
        <v>3.5999999999999997E-2</v>
      </c>
      <c r="X29" s="168">
        <v>3.6999999999999998E-2</v>
      </c>
      <c r="Y29" s="168">
        <v>3.7999999999999999E-2</v>
      </c>
      <c r="Z29" s="167">
        <v>3.9E-2</v>
      </c>
      <c r="AA29" s="167">
        <v>3.9E-2</v>
      </c>
      <c r="AB29" s="168">
        <v>3.9E-2</v>
      </c>
      <c r="AC29" s="167">
        <v>0.04</v>
      </c>
      <c r="AD29" s="167">
        <v>0.04</v>
      </c>
      <c r="AE29" s="167">
        <v>0.04</v>
      </c>
      <c r="AF29" s="63">
        <v>0.04</v>
      </c>
      <c r="AG29" s="63">
        <v>0.04</v>
      </c>
      <c r="AH29" s="168">
        <v>0.04</v>
      </c>
      <c r="AI29" s="63">
        <v>4.1000000000000002E-2</v>
      </c>
      <c r="AJ29" s="167">
        <v>4.1000000000000002E-2</v>
      </c>
      <c r="AK29" s="63">
        <v>4.1000000000000002E-2</v>
      </c>
      <c r="AL29" s="108">
        <v>4.1000000000000002E-2</v>
      </c>
      <c r="AM29" s="167">
        <v>4.1000000000000002E-2</v>
      </c>
      <c r="AN29" s="152">
        <v>4.1000000000000002E-2</v>
      </c>
      <c r="AO29" s="152">
        <v>4.1000000000000002E-2</v>
      </c>
      <c r="AP29" s="152">
        <v>4.1000000000000002E-2</v>
      </c>
      <c r="AQ29" s="152">
        <v>4.1000000000000002E-2</v>
      </c>
      <c r="AR29" s="152">
        <v>4.1000000000000002E-2</v>
      </c>
      <c r="AS29" s="152">
        <v>4.1000000000000002E-2</v>
      </c>
      <c r="AT29" s="152">
        <v>4.1000000000000002E-2</v>
      </c>
      <c r="AU29" s="152">
        <v>4.1000000000000002E-2</v>
      </c>
      <c r="AV29" s="152">
        <v>4.1000000000000002E-2</v>
      </c>
      <c r="AW29" s="152">
        <v>4.1000000000000002E-2</v>
      </c>
      <c r="AX29" s="152">
        <v>0.04</v>
      </c>
      <c r="AY29" s="152">
        <v>0.04</v>
      </c>
      <c r="AZ29" s="152">
        <v>0.04</v>
      </c>
      <c r="BA29" s="152">
        <v>0.04</v>
      </c>
      <c r="BB29" s="107">
        <v>0.04</v>
      </c>
      <c r="BC29" s="152">
        <v>4.2999999999999997E-2</v>
      </c>
      <c r="BD29" s="152">
        <v>4.2999999999999997E-2</v>
      </c>
      <c r="BE29" s="152">
        <v>4.2999999999999997E-2</v>
      </c>
      <c r="BF29" s="152">
        <v>4.2000000000000003E-2</v>
      </c>
      <c r="BG29" s="152">
        <v>4.2000000000000003E-2</v>
      </c>
      <c r="BH29" s="152">
        <v>4.2000000000000003E-2</v>
      </c>
      <c r="BI29" s="152">
        <v>4.2000000000000003E-2</v>
      </c>
      <c r="BJ29" s="152">
        <v>4.2000000000000003E-2</v>
      </c>
      <c r="BK29" s="152">
        <v>4.2000000000000003E-2</v>
      </c>
      <c r="BL29" s="152">
        <v>4.2000000000000003E-2</v>
      </c>
      <c r="BM29" s="152">
        <v>4.3999999999999997E-2</v>
      </c>
      <c r="BN29" s="152">
        <v>4.3999999999999997E-2</v>
      </c>
      <c r="BO29" s="152">
        <v>4.3999999999999997E-2</v>
      </c>
      <c r="BP29" s="152">
        <v>4.3999999999999997E-2</v>
      </c>
      <c r="BQ29" s="152">
        <v>4.3999999999999997E-2</v>
      </c>
      <c r="BR29" s="152">
        <v>4.3999999999999997E-2</v>
      </c>
      <c r="BS29" s="152">
        <v>4.3999999999999997E-2</v>
      </c>
      <c r="BT29" s="152">
        <v>4.3999999999999997E-2</v>
      </c>
      <c r="BU29" s="152"/>
      <c r="BV29" s="152">
        <v>4.5999999999999999E-2</v>
      </c>
      <c r="BW29" s="152">
        <v>4.5999999999999999E-2</v>
      </c>
      <c r="BX29" s="152">
        <v>4.5999999999999999E-2</v>
      </c>
      <c r="BY29" s="152">
        <v>4.5999999999999999E-2</v>
      </c>
      <c r="BZ29" s="152">
        <v>4.9000000000000002E-2</v>
      </c>
      <c r="CA29" s="152">
        <v>4.9000000000000002E-2</v>
      </c>
      <c r="CB29" s="152">
        <v>4.9000000000000002E-2</v>
      </c>
      <c r="CC29" s="152">
        <v>4.7E-2</v>
      </c>
      <c r="CD29" s="152">
        <v>4.7E-2</v>
      </c>
      <c r="CE29" s="152">
        <v>4.7E-2</v>
      </c>
      <c r="CF29" s="152">
        <v>4.7E-2</v>
      </c>
      <c r="CG29" s="152">
        <v>3.9834000000000001E-2</v>
      </c>
      <c r="CH29" s="152">
        <v>3.9857999999999998E-2</v>
      </c>
      <c r="CI29" s="152">
        <v>4.0039999999999999E-2</v>
      </c>
      <c r="CJ29" s="152">
        <v>4.0182000000000002E-2</v>
      </c>
      <c r="CK29" s="152">
        <v>4.0393999999999999E-2</v>
      </c>
      <c r="CL29" s="152">
        <v>4.0436E-2</v>
      </c>
      <c r="CM29" s="152">
        <v>4.0432000000000003E-2</v>
      </c>
      <c r="CN29" s="152">
        <v>4.0429E-2</v>
      </c>
      <c r="CO29" s="152">
        <v>4.0429E-2</v>
      </c>
      <c r="CP29" s="152">
        <v>4.0266999999999997E-2</v>
      </c>
      <c r="CQ29" s="152">
        <v>4.0224000000000003E-2</v>
      </c>
      <c r="CR29" s="152">
        <v>4.0211999999999998E-2</v>
      </c>
      <c r="CS29" s="152">
        <v>4.0268999999999999E-2</v>
      </c>
      <c r="CT29" s="152">
        <v>4.0170999999999998E-2</v>
      </c>
      <c r="CU29" s="196">
        <v>4.0170999999999998E-2</v>
      </c>
      <c r="CV29" s="196">
        <v>3.9972000000000001E-2</v>
      </c>
      <c r="CW29" s="196">
        <v>4.0080999999999999E-2</v>
      </c>
      <c r="CX29" s="196">
        <v>4.0076000000000001E-2</v>
      </c>
      <c r="CY29" s="196">
        <v>4.0051999999999997E-2</v>
      </c>
      <c r="CZ29" s="196">
        <v>4.0051999999999997E-2</v>
      </c>
      <c r="DA29" s="196">
        <v>4.0264000000000001E-2</v>
      </c>
      <c r="DB29" s="196">
        <v>4.0432000000000003E-2</v>
      </c>
      <c r="DC29" s="196">
        <v>4.0070000000000001E-2</v>
      </c>
      <c r="DD29" s="196">
        <v>4.0070000000000001E-2</v>
      </c>
      <c r="DE29" s="196">
        <v>4.0161000000000002E-2</v>
      </c>
      <c r="DF29" s="196">
        <v>4.0064000000000002E-2</v>
      </c>
      <c r="DG29" s="196">
        <v>4.0246999999999998E-2</v>
      </c>
      <c r="DH29" s="196">
        <v>3.9979000000000001E-2</v>
      </c>
      <c r="DI29" s="196">
        <v>4.0233999999999999E-2</v>
      </c>
      <c r="DJ29" s="196">
        <v>4.0273000000000003E-2</v>
      </c>
      <c r="DK29" s="196">
        <v>4.0479000000000001E-2</v>
      </c>
      <c r="DL29" s="196">
        <v>4.0745999999999997E-2</v>
      </c>
      <c r="DM29" s="196">
        <v>4.0861000000000001E-2</v>
      </c>
      <c r="DN29" s="196">
        <v>4.0762E-2</v>
      </c>
      <c r="DO29" s="196">
        <v>4.0882000000000002E-2</v>
      </c>
      <c r="DP29" s="196">
        <v>4.0708000000000001E-2</v>
      </c>
      <c r="DQ29" s="196">
        <v>4.0902000000000001E-2</v>
      </c>
      <c r="DR29" s="196">
        <v>4.0656999999999999E-2</v>
      </c>
      <c r="DS29" s="196">
        <v>4.0828000000000003E-2</v>
      </c>
      <c r="DT29" s="196">
        <v>4.0795999999999999E-2</v>
      </c>
      <c r="DU29" s="196">
        <v>4.0967999999999997E-2</v>
      </c>
      <c r="DV29" s="196">
        <v>4.1258000000000003E-2</v>
      </c>
      <c r="DW29" s="196">
        <v>4.0998E-2</v>
      </c>
      <c r="DX29" s="196">
        <v>4.0969999999999999E-2</v>
      </c>
      <c r="DY29" s="196">
        <v>4.1082E-2</v>
      </c>
      <c r="DZ29" s="196">
        <v>4.0911000000000003E-2</v>
      </c>
      <c r="EA29" s="196">
        <v>4.1174000000000002E-2</v>
      </c>
      <c r="EB29" s="196">
        <v>4.0772999999999997E-2</v>
      </c>
      <c r="EC29" s="196">
        <v>4.0717999999999997E-2</v>
      </c>
      <c r="ED29" s="196">
        <v>4.0698999999999999E-2</v>
      </c>
      <c r="EE29" s="196">
        <v>4.0663999999999999E-2</v>
      </c>
      <c r="EF29" s="196">
        <v>4.0573999999999999E-2</v>
      </c>
      <c r="EG29" s="196">
        <v>2.3473999999999998E-2</v>
      </c>
      <c r="EH29" s="196">
        <v>2.5189E-2</v>
      </c>
      <c r="EI29" s="196">
        <v>2.4671999999999999E-2</v>
      </c>
      <c r="EJ29" s="196">
        <v>1.9238999999999999E-2</v>
      </c>
      <c r="EK29" s="196">
        <v>2.4469000000000001E-2</v>
      </c>
      <c r="EL29" s="196">
        <v>3.8509000000000002E-2</v>
      </c>
      <c r="EM29" s="196">
        <v>3.7898000000000001E-2</v>
      </c>
      <c r="EN29" s="196">
        <v>3.7721999999999999E-2</v>
      </c>
      <c r="EO29" s="196">
        <v>3.8114000000000002E-2</v>
      </c>
      <c r="EP29" s="196">
        <v>3.7679999999999998E-2</v>
      </c>
      <c r="EQ29" s="196">
        <v>3.7279E-2</v>
      </c>
      <c r="ER29" s="196">
        <v>3.6587000000000001E-2</v>
      </c>
      <c r="ES29" s="196">
        <v>3.6086E-2</v>
      </c>
      <c r="ET29" s="196">
        <v>3.6012000000000002E-2</v>
      </c>
      <c r="EU29" s="196">
        <v>3.5854999999999998E-2</v>
      </c>
      <c r="EV29" s="152">
        <v>3.4299999999999997E-2</v>
      </c>
      <c r="EW29" s="152">
        <v>3.4799999999999998E-2</v>
      </c>
      <c r="EX29" s="196">
        <v>3.6416999999999998E-2</v>
      </c>
      <c r="EY29" s="196">
        <v>3.6062999999999998E-2</v>
      </c>
      <c r="EZ29" s="196">
        <v>3.5109000000000001E-2</v>
      </c>
      <c r="FA29" s="196">
        <v>3.5108E-2</v>
      </c>
      <c r="FB29" s="196">
        <v>3.4570999999999998E-2</v>
      </c>
      <c r="FC29" s="196">
        <v>3.4317E-2</v>
      </c>
      <c r="FD29" s="196">
        <v>3.4035000000000003E-2</v>
      </c>
      <c r="FE29" s="196">
        <v>3.7415999999999998E-2</v>
      </c>
      <c r="FF29" s="196">
        <v>3.3849999999999998E-2</v>
      </c>
      <c r="FG29" s="196">
        <v>3.3375000000000002E-2</v>
      </c>
      <c r="FH29" s="196">
        <v>3.2996999999999999E-2</v>
      </c>
      <c r="FI29" s="196">
        <v>3.2575E-2</v>
      </c>
      <c r="FJ29" s="196">
        <v>3.1317999999999999E-2</v>
      </c>
      <c r="FK29" s="196">
        <v>3.1985E-2</v>
      </c>
      <c r="FL29" s="196">
        <v>3.1489999999999997E-2</v>
      </c>
      <c r="FM29" s="196">
        <v>3.0698E-2</v>
      </c>
      <c r="FN29" s="196">
        <v>2.9753999999999999E-2</v>
      </c>
      <c r="FO29" s="196">
        <v>2.9603000000000001E-2</v>
      </c>
      <c r="FP29" s="196">
        <v>2.8909000000000001E-2</v>
      </c>
      <c r="FQ29" s="196">
        <v>2.7955000000000001E-2</v>
      </c>
      <c r="FR29" s="196">
        <v>2.7050000000000001E-2</v>
      </c>
      <c r="FS29" s="196">
        <v>2.4889999999999999E-2</v>
      </c>
      <c r="FT29" s="196">
        <v>3.9531999999999998E-2</v>
      </c>
      <c r="FU29" s="196">
        <v>3.9636999999999999E-2</v>
      </c>
      <c r="FV29" s="196">
        <v>3.9995000000000003E-2</v>
      </c>
      <c r="FW29" s="196">
        <v>3.9995000000000003E-2</v>
      </c>
      <c r="FX29" s="196">
        <v>3.9687E-2</v>
      </c>
      <c r="FY29" s="196">
        <v>3.9386999999999998E-2</v>
      </c>
      <c r="FZ29" s="196">
        <v>3.9203000000000002E-2</v>
      </c>
      <c r="GA29" s="196">
        <v>3.9543000000000002E-2</v>
      </c>
      <c r="GB29" s="196">
        <v>2.4671999999999999E-2</v>
      </c>
      <c r="GC29" s="196">
        <v>2.4671999999999999E-2</v>
      </c>
      <c r="GD29" s="196">
        <v>2.4671999999999999E-2</v>
      </c>
      <c r="GE29" s="196">
        <v>2.4671999999999999E-2</v>
      </c>
      <c r="GF29" s="196">
        <v>2.4671999999999999E-2</v>
      </c>
      <c r="GG29" s="196">
        <v>2.4671999999999999E-2</v>
      </c>
      <c r="GH29" s="196">
        <v>2.4671999999999999E-2</v>
      </c>
      <c r="GI29" s="196">
        <v>2.4671999999999999E-2</v>
      </c>
      <c r="GJ29" s="196">
        <v>2.4671999999999999E-2</v>
      </c>
      <c r="GK29" s="196">
        <v>2.4671999999999999E-2</v>
      </c>
      <c r="GL29" s="196">
        <v>2.4671999999999999E-2</v>
      </c>
      <c r="GM29" s="196">
        <v>2.4671999999999999E-2</v>
      </c>
      <c r="GN29" s="196">
        <v>2.4671999999999999E-2</v>
      </c>
      <c r="GO29" s="196">
        <v>2.4671999999999999E-2</v>
      </c>
      <c r="GP29" s="196">
        <v>2.4671999999999999E-2</v>
      </c>
      <c r="GQ29" s="196">
        <v>2.4671999999999999E-2</v>
      </c>
      <c r="GR29" s="196">
        <v>2.4671999999999999E-2</v>
      </c>
      <c r="GS29" s="196">
        <v>2.4671999999999999E-2</v>
      </c>
      <c r="GT29" s="196">
        <v>2.4671999999999999E-2</v>
      </c>
      <c r="GU29" s="196">
        <v>2.4671999999999999E-2</v>
      </c>
      <c r="GV29" s="196">
        <v>2.4671999999999999E-2</v>
      </c>
      <c r="GW29" s="196">
        <v>2.4671999999999999E-2</v>
      </c>
      <c r="GX29" s="196">
        <v>2.4671999999999999E-2</v>
      </c>
      <c r="GY29" s="196">
        <v>2.4671999999999999E-2</v>
      </c>
      <c r="GZ29" s="196">
        <v>2.4671999999999999E-2</v>
      </c>
      <c r="HA29" s="196">
        <v>2.4671999999999999E-2</v>
      </c>
      <c r="HB29" s="196">
        <v>2.4671999999999999E-2</v>
      </c>
      <c r="HC29" s="196">
        <v>2.4671999999999999E-2</v>
      </c>
      <c r="HD29" s="196">
        <v>2.4671999999999999E-2</v>
      </c>
      <c r="HE29" s="196">
        <v>2.4671999999999999E-2</v>
      </c>
      <c r="HF29" s="196">
        <v>2.4671999999999999E-2</v>
      </c>
      <c r="HG29" s="196">
        <v>2.4671999999999999E-2</v>
      </c>
      <c r="HH29" s="196">
        <v>2.4671999999999999E-2</v>
      </c>
      <c r="HI29" s="196">
        <v>2.4671999999999999E-2</v>
      </c>
      <c r="HJ29" s="196">
        <v>2.4671999999999999E-2</v>
      </c>
      <c r="HK29" s="196">
        <v>2.4671999999999999E-2</v>
      </c>
      <c r="HL29" s="196">
        <v>2.4671999999999999E-2</v>
      </c>
      <c r="HM29" s="196">
        <v>2.4671999999999999E-2</v>
      </c>
      <c r="HN29" s="41">
        <f>$D29-$E29</f>
        <v>0</v>
      </c>
      <c r="HO29" s="195" t="s">
        <v>303</v>
      </c>
      <c r="HT29" s="103"/>
      <c r="HU29" s="103"/>
      <c r="HV29" s="103"/>
      <c r="HW29" s="103"/>
      <c r="HX29" s="103"/>
      <c r="HY29" s="103"/>
      <c r="HZ29" s="103"/>
      <c r="IA29" s="103"/>
      <c r="IB29" s="103"/>
      <c r="IC29" s="103"/>
      <c r="ID29" s="103"/>
      <c r="IE29" s="103"/>
      <c r="IF29" s="103"/>
      <c r="IG29" s="103"/>
      <c r="IH29" s="103"/>
      <c r="II29" s="103"/>
      <c r="IJ29" s="103"/>
      <c r="IK29" s="103"/>
      <c r="IL29" s="103"/>
      <c r="IM29" s="103"/>
      <c r="IN29" s="103"/>
      <c r="IO29" s="103"/>
      <c r="IP29" s="103"/>
      <c r="IQ29" s="103"/>
      <c r="IR29" s="103"/>
      <c r="IS29" s="103"/>
      <c r="IT29" s="103"/>
      <c r="IU29" s="103"/>
      <c r="IV29" s="103"/>
      <c r="IW29" s="103"/>
      <c r="IX29" s="103"/>
      <c r="IY29" s="103"/>
      <c r="IZ29" s="103"/>
      <c r="JA29" s="103"/>
      <c r="JB29" s="103"/>
      <c r="JC29" s="103"/>
      <c r="JD29" s="103"/>
      <c r="JE29" s="103"/>
      <c r="JF29" s="103"/>
      <c r="JG29" s="103"/>
      <c r="JH29" s="103"/>
      <c r="JI29" s="103"/>
      <c r="JJ29" s="103"/>
      <c r="JK29" s="103"/>
      <c r="JL29" s="103"/>
      <c r="JM29" s="103"/>
      <c r="JN29" s="103"/>
      <c r="JO29" s="103"/>
      <c r="JP29" s="103"/>
      <c r="JQ29" s="103"/>
      <c r="JR29" s="103"/>
      <c r="JS29" s="103"/>
      <c r="JT29" s="103"/>
      <c r="JU29" s="103"/>
      <c r="JV29" s="103"/>
      <c r="JW29" s="103"/>
      <c r="JX29" s="103"/>
      <c r="JY29" s="103"/>
      <c r="JZ29" s="103"/>
      <c r="KA29" s="103"/>
      <c r="KB29" s="103"/>
      <c r="KC29" s="103"/>
      <c r="KD29" s="103"/>
      <c r="KE29" s="103"/>
      <c r="KF29" s="103"/>
      <c r="KG29" s="103"/>
      <c r="KH29" s="103"/>
      <c r="KI29" s="103"/>
      <c r="KJ29" s="103"/>
      <c r="KK29" s="103"/>
      <c r="KL29" s="103"/>
      <c r="KM29" s="103"/>
      <c r="KN29" s="103"/>
      <c r="KO29" s="103"/>
      <c r="KP29" s="103"/>
      <c r="KQ29" s="103"/>
      <c r="KR29" s="103"/>
      <c r="KS29" s="103"/>
      <c r="KT29" s="103"/>
      <c r="KU29" s="103"/>
      <c r="KV29" s="103"/>
      <c r="KW29" s="103"/>
      <c r="KX29" s="103"/>
      <c r="KY29" s="103"/>
      <c r="KZ29" s="103"/>
      <c r="LA29" s="103"/>
      <c r="LB29" s="103"/>
      <c r="LC29" s="103"/>
      <c r="LD29" s="103"/>
      <c r="LE29" s="103"/>
      <c r="LF29" s="103"/>
      <c r="LG29" s="103"/>
      <c r="LH29" s="103"/>
      <c r="LI29" s="103"/>
      <c r="LJ29" s="103"/>
      <c r="LK29" s="103"/>
      <c r="LL29" s="103"/>
      <c r="LM29" s="103"/>
    </row>
    <row r="30" spans="2:325" hidden="1">
      <c r="B30" s="1074"/>
      <c r="C30" s="165" t="s">
        <v>790</v>
      </c>
      <c r="D30" s="167"/>
      <c r="E30" s="167"/>
      <c r="F30" s="167"/>
      <c r="G30" s="167"/>
      <c r="H30" s="168"/>
      <c r="I30" s="167">
        <v>4.0500000000000001E-2</v>
      </c>
      <c r="J30" s="168">
        <v>4.0500000000000001E-2</v>
      </c>
      <c r="K30" s="167"/>
      <c r="L30" s="168">
        <v>3.7999999999999999E-2</v>
      </c>
      <c r="M30" s="167">
        <v>3.9E-2</v>
      </c>
      <c r="N30" s="168">
        <v>3.9E-2</v>
      </c>
      <c r="O30" s="167">
        <v>0.04</v>
      </c>
      <c r="P30" s="167">
        <v>0.04</v>
      </c>
      <c r="Q30" s="167">
        <v>0.04</v>
      </c>
      <c r="R30" s="167">
        <v>0.04</v>
      </c>
      <c r="S30" s="167">
        <v>3.6999999999999998E-2</v>
      </c>
      <c r="T30" s="167">
        <v>3.6999999999999998E-2</v>
      </c>
      <c r="U30" s="167">
        <v>3.6999999999999998E-2</v>
      </c>
      <c r="V30" s="167">
        <v>3.6999999999999998E-2</v>
      </c>
      <c r="W30" s="168">
        <v>3.6999999999999998E-2</v>
      </c>
      <c r="X30" s="168">
        <v>3.7999999999999999E-2</v>
      </c>
      <c r="Y30" s="168">
        <v>3.9E-2</v>
      </c>
      <c r="Z30" s="167">
        <v>0.04</v>
      </c>
      <c r="AA30" s="167">
        <v>0.04</v>
      </c>
      <c r="AB30" s="168">
        <v>0.04</v>
      </c>
      <c r="AC30" s="167">
        <v>4.1000000000000002E-2</v>
      </c>
      <c r="AD30" s="167">
        <v>4.1000000000000002E-2</v>
      </c>
      <c r="AE30" s="167">
        <v>4.1000000000000002E-2</v>
      </c>
      <c r="AF30" s="63">
        <v>4.1000000000000002E-2</v>
      </c>
      <c r="AG30" s="63">
        <v>4.1000000000000002E-2</v>
      </c>
      <c r="AH30" s="168">
        <v>4.1000000000000002E-2</v>
      </c>
      <c r="AI30" s="63">
        <v>4.2000000000000003E-2</v>
      </c>
      <c r="AJ30" s="167">
        <v>4.2000000000000003E-2</v>
      </c>
      <c r="AK30" s="63">
        <v>4.2000000000000003E-2</v>
      </c>
      <c r="AL30" s="108">
        <v>4.2000000000000003E-2</v>
      </c>
      <c r="AM30" s="167">
        <v>4.2000000000000003E-2</v>
      </c>
      <c r="AN30" s="152">
        <v>4.2000000000000003E-2</v>
      </c>
      <c r="AO30" s="152">
        <v>4.2000000000000003E-2</v>
      </c>
      <c r="AP30" s="152">
        <v>4.2000000000000003E-2</v>
      </c>
      <c r="AQ30" s="152">
        <v>4.2000000000000003E-2</v>
      </c>
      <c r="AR30" s="152">
        <v>4.2000000000000003E-2</v>
      </c>
      <c r="AS30" s="152">
        <v>4.2000000000000003E-2</v>
      </c>
      <c r="AT30" s="152">
        <v>4.2000000000000003E-2</v>
      </c>
      <c r="AU30" s="152">
        <v>4.2000000000000003E-2</v>
      </c>
      <c r="AV30" s="152">
        <v>4.2000000000000003E-2</v>
      </c>
      <c r="AW30" s="152">
        <v>4.2000000000000003E-2</v>
      </c>
      <c r="AX30" s="152">
        <v>4.1000000000000002E-2</v>
      </c>
      <c r="AY30" s="152">
        <v>4.1000000000000002E-2</v>
      </c>
      <c r="AZ30" s="152">
        <v>4.1000000000000002E-2</v>
      </c>
      <c r="BA30" s="152">
        <v>4.1000000000000002E-2</v>
      </c>
      <c r="BB30" s="107">
        <v>4.1000000000000002E-2</v>
      </c>
      <c r="BC30" s="152">
        <v>4.3999999999999997E-2</v>
      </c>
      <c r="BD30" s="152">
        <v>4.3999999999999997E-2</v>
      </c>
      <c r="BE30" s="152">
        <v>4.3999999999999997E-2</v>
      </c>
      <c r="BF30" s="152">
        <v>4.2999999999999997E-2</v>
      </c>
      <c r="BG30" s="152">
        <v>4.2999999999999997E-2</v>
      </c>
      <c r="BH30" s="152">
        <v>4.2999999999999997E-2</v>
      </c>
      <c r="BI30" s="152">
        <v>4.2999999999999997E-2</v>
      </c>
      <c r="BJ30" s="152">
        <v>4.2999999999999997E-2</v>
      </c>
      <c r="BK30" s="152">
        <v>4.2999999999999997E-2</v>
      </c>
      <c r="BL30" s="152">
        <v>4.2999999999999997E-2</v>
      </c>
      <c r="BM30" s="152">
        <v>4.4999999999999998E-2</v>
      </c>
      <c r="BN30" s="152">
        <v>4.4999999999999998E-2</v>
      </c>
      <c r="BO30" s="152">
        <v>4.4999999999999998E-2</v>
      </c>
      <c r="BP30" s="152">
        <v>4.4999999999999998E-2</v>
      </c>
      <c r="BQ30" s="152">
        <v>4.4999999999999998E-2</v>
      </c>
      <c r="BR30" s="152">
        <v>4.4999999999999998E-2</v>
      </c>
      <c r="BS30" s="152">
        <v>4.4999999999999998E-2</v>
      </c>
      <c r="BT30" s="152">
        <v>4.4999999999999998E-2</v>
      </c>
      <c r="BU30" s="152"/>
      <c r="BV30" s="152">
        <v>4.7E-2</v>
      </c>
      <c r="BW30" s="152">
        <v>4.7E-2</v>
      </c>
      <c r="BX30" s="152">
        <v>4.7E-2</v>
      </c>
      <c r="BY30" s="152">
        <v>4.7E-2</v>
      </c>
      <c r="BZ30" s="152">
        <v>0.05</v>
      </c>
      <c r="CA30" s="152">
        <v>0.05</v>
      </c>
      <c r="CB30" s="152">
        <v>0.05</v>
      </c>
      <c r="CC30" s="152">
        <v>4.8000000000000001E-2</v>
      </c>
      <c r="CD30" s="152">
        <v>4.8000000000000001E-2</v>
      </c>
      <c r="CE30" s="152">
        <v>4.8000000000000001E-2</v>
      </c>
      <c r="CF30" s="152">
        <v>4.8000000000000001E-2</v>
      </c>
      <c r="CG30" s="152">
        <v>4.0834000000000002E-2</v>
      </c>
      <c r="CH30" s="152">
        <v>4.0857999999999998E-2</v>
      </c>
      <c r="CI30" s="152">
        <v>4.104E-2</v>
      </c>
      <c r="CJ30" s="152">
        <v>4.1182000000000003E-2</v>
      </c>
      <c r="CK30" s="152">
        <v>4.1394E-2</v>
      </c>
      <c r="CL30" s="152">
        <v>4.1436000000000001E-2</v>
      </c>
      <c r="CM30" s="152">
        <v>4.1431999999999997E-2</v>
      </c>
      <c r="CN30" s="152">
        <v>4.1429000000000001E-2</v>
      </c>
      <c r="CO30" s="152">
        <v>4.1429000000000001E-2</v>
      </c>
      <c r="CP30" s="152">
        <v>4.1266999999999998E-2</v>
      </c>
      <c r="CQ30" s="152">
        <v>4.1223999999999997E-2</v>
      </c>
      <c r="CR30" s="152">
        <v>4.1211999999999999E-2</v>
      </c>
      <c r="CS30" s="152">
        <v>4.1267999999999999E-2</v>
      </c>
      <c r="CT30" s="152">
        <v>4.1170999999999999E-2</v>
      </c>
      <c r="CU30" s="196">
        <v>4.1170999999999999E-2</v>
      </c>
      <c r="CV30" s="196">
        <v>4.0972000000000001E-2</v>
      </c>
      <c r="CW30" s="196">
        <v>4.1080999999999999E-2</v>
      </c>
      <c r="CX30" s="196">
        <v>4.1076000000000001E-2</v>
      </c>
      <c r="CY30" s="196">
        <v>4.1051999999999998E-2</v>
      </c>
      <c r="CZ30" s="196">
        <v>4.1051999999999998E-2</v>
      </c>
      <c r="DA30" s="196">
        <v>4.1264000000000002E-2</v>
      </c>
      <c r="DB30" s="196">
        <v>4.1431999999999997E-2</v>
      </c>
      <c r="DC30" s="196">
        <v>4.1070000000000002E-2</v>
      </c>
      <c r="DD30" s="196">
        <v>4.1070000000000002E-2</v>
      </c>
      <c r="DE30" s="196">
        <v>4.1161000000000003E-2</v>
      </c>
      <c r="DF30" s="196">
        <v>4.1064000000000003E-2</v>
      </c>
      <c r="DG30" s="196">
        <v>4.1246999999999999E-2</v>
      </c>
      <c r="DH30" s="196">
        <v>4.0979000000000002E-2</v>
      </c>
      <c r="DI30" s="196">
        <v>4.1234E-2</v>
      </c>
      <c r="DJ30" s="196">
        <v>4.1272999999999997E-2</v>
      </c>
      <c r="DK30" s="196">
        <v>4.1479000000000002E-2</v>
      </c>
      <c r="DL30" s="196">
        <v>4.1745999999999998E-2</v>
      </c>
      <c r="DM30" s="196">
        <v>4.1861000000000002E-2</v>
      </c>
      <c r="DN30" s="196">
        <v>4.1762000000000001E-2</v>
      </c>
      <c r="DO30" s="196">
        <v>4.1882000000000003E-2</v>
      </c>
      <c r="DP30" s="196">
        <v>4.1708000000000002E-2</v>
      </c>
      <c r="DQ30" s="196">
        <v>4.1902000000000002E-2</v>
      </c>
      <c r="DR30" s="196">
        <v>4.1657E-2</v>
      </c>
      <c r="DS30" s="196">
        <v>4.1827999999999997E-2</v>
      </c>
      <c r="DT30" s="196">
        <v>4.1796E-2</v>
      </c>
      <c r="DU30" s="196">
        <v>4.1967999999999998E-2</v>
      </c>
      <c r="DV30" s="196">
        <v>4.2257999999999997E-2</v>
      </c>
      <c r="DW30" s="196">
        <v>4.1998000000000001E-2</v>
      </c>
      <c r="DX30" s="196">
        <v>4.197E-2</v>
      </c>
      <c r="DY30" s="196">
        <v>4.2082000000000001E-2</v>
      </c>
      <c r="DZ30" s="196">
        <v>4.1910999999999997E-2</v>
      </c>
      <c r="EA30" s="196">
        <v>4.2174000000000003E-2</v>
      </c>
      <c r="EB30" s="196">
        <v>4.1772999999999998E-2</v>
      </c>
      <c r="EC30" s="196">
        <v>4.1717999999999998E-2</v>
      </c>
      <c r="ED30" s="196">
        <v>4.1699E-2</v>
      </c>
      <c r="EE30" s="196">
        <v>4.1664E-2</v>
      </c>
      <c r="EF30" s="196">
        <v>4.1574E-2</v>
      </c>
      <c r="EG30" s="196">
        <v>2.4473999999999999E-2</v>
      </c>
      <c r="EH30" s="196">
        <v>2.6190000000000001E-2</v>
      </c>
      <c r="EI30" s="196">
        <v>2.5672E-2</v>
      </c>
      <c r="EJ30" s="196">
        <v>2.0239E-2</v>
      </c>
      <c r="EK30" s="196">
        <v>2.5468999999999999E-2</v>
      </c>
      <c r="EL30" s="196">
        <v>3.9509000000000002E-2</v>
      </c>
      <c r="EM30" s="196">
        <v>3.8897000000000001E-2</v>
      </c>
      <c r="EN30" s="196">
        <v>3.8721999999999999E-2</v>
      </c>
      <c r="EO30" s="196">
        <v>3.9114000000000003E-2</v>
      </c>
      <c r="EP30" s="196">
        <v>3.8679999999999999E-2</v>
      </c>
      <c r="EQ30" s="196">
        <v>3.8279000000000001E-2</v>
      </c>
      <c r="ER30" s="196">
        <v>3.7587000000000002E-2</v>
      </c>
      <c r="ES30" s="196">
        <v>3.7086000000000001E-2</v>
      </c>
      <c r="ET30" s="196">
        <v>3.7012000000000003E-2</v>
      </c>
      <c r="EU30" s="196">
        <v>3.6854999999999999E-2</v>
      </c>
      <c r="EV30" s="152">
        <v>3.5299999999999998E-2</v>
      </c>
      <c r="EW30" s="152">
        <v>3.5799999999999998E-2</v>
      </c>
      <c r="EX30" s="196">
        <v>3.7416999999999999E-2</v>
      </c>
      <c r="EY30" s="196">
        <v>3.7062999999999999E-2</v>
      </c>
      <c r="EZ30" s="196">
        <v>3.6109000000000002E-2</v>
      </c>
      <c r="FA30" s="196">
        <v>3.6108000000000001E-2</v>
      </c>
      <c r="FB30" s="196">
        <v>3.5570999999999998E-2</v>
      </c>
      <c r="FC30" s="196">
        <v>3.5317000000000001E-2</v>
      </c>
      <c r="FD30" s="196">
        <v>3.5034999999999997E-2</v>
      </c>
      <c r="FE30" s="196">
        <v>3.8415999999999999E-2</v>
      </c>
      <c r="FF30" s="196">
        <v>3.4849999999999999E-2</v>
      </c>
      <c r="FG30" s="196">
        <v>3.4375000000000003E-2</v>
      </c>
      <c r="FH30" s="196">
        <v>3.3996999999999999E-2</v>
      </c>
      <c r="FI30" s="196">
        <v>3.3575000000000001E-2</v>
      </c>
      <c r="FJ30" s="196">
        <v>3.2318E-2</v>
      </c>
      <c r="FK30" s="196">
        <v>3.2985E-2</v>
      </c>
      <c r="FL30" s="196">
        <v>3.2489999999999998E-2</v>
      </c>
      <c r="FM30" s="196">
        <v>3.1697999999999997E-2</v>
      </c>
      <c r="FN30" s="196">
        <v>3.0754E-2</v>
      </c>
      <c r="FO30" s="196">
        <v>3.0603000000000002E-2</v>
      </c>
      <c r="FP30" s="196">
        <v>2.9909000000000002E-2</v>
      </c>
      <c r="FQ30" s="196">
        <v>2.8955000000000002E-2</v>
      </c>
      <c r="FR30" s="196">
        <v>2.8049999999999999E-2</v>
      </c>
      <c r="FS30" s="196">
        <v>2.589E-2</v>
      </c>
      <c r="FT30" s="196">
        <v>4.0531999999999999E-2</v>
      </c>
      <c r="FU30" s="196">
        <v>4.0637E-2</v>
      </c>
      <c r="FV30" s="196">
        <v>4.0994999999999997E-2</v>
      </c>
      <c r="FW30" s="196">
        <v>4.0994999999999997E-2</v>
      </c>
      <c r="FX30" s="196">
        <v>4.0687000000000001E-2</v>
      </c>
      <c r="FY30" s="196">
        <v>4.0386999999999999E-2</v>
      </c>
      <c r="FZ30" s="196">
        <v>4.0203000000000003E-2</v>
      </c>
      <c r="GA30" s="196">
        <v>4.0543000000000003E-2</v>
      </c>
      <c r="GB30" s="196">
        <v>2.5672E-2</v>
      </c>
      <c r="GC30" s="196">
        <v>2.5672E-2</v>
      </c>
      <c r="GD30" s="196">
        <v>2.5672E-2</v>
      </c>
      <c r="GE30" s="196">
        <v>2.5672E-2</v>
      </c>
      <c r="GF30" s="196">
        <v>2.5672E-2</v>
      </c>
      <c r="GG30" s="196">
        <v>2.5672E-2</v>
      </c>
      <c r="GH30" s="196">
        <v>2.5672E-2</v>
      </c>
      <c r="GI30" s="196">
        <v>2.5672E-2</v>
      </c>
      <c r="GJ30" s="196">
        <v>2.5672E-2</v>
      </c>
      <c r="GK30" s="196">
        <v>2.5672E-2</v>
      </c>
      <c r="GL30" s="196">
        <v>2.5672E-2</v>
      </c>
      <c r="GM30" s="196">
        <v>2.5672E-2</v>
      </c>
      <c r="GN30" s="196">
        <v>2.5672E-2</v>
      </c>
      <c r="GO30" s="196">
        <v>2.5672E-2</v>
      </c>
      <c r="GP30" s="196">
        <v>2.5672E-2</v>
      </c>
      <c r="GQ30" s="196">
        <v>2.5672E-2</v>
      </c>
      <c r="GR30" s="196">
        <v>2.5672E-2</v>
      </c>
      <c r="GS30" s="196">
        <v>2.5672E-2</v>
      </c>
      <c r="GT30" s="196">
        <v>2.5672E-2</v>
      </c>
      <c r="GU30" s="196">
        <v>2.5672E-2</v>
      </c>
      <c r="GV30" s="196">
        <v>2.5672E-2</v>
      </c>
      <c r="GW30" s="196">
        <v>2.5672E-2</v>
      </c>
      <c r="GX30" s="196">
        <v>2.5672E-2</v>
      </c>
      <c r="GY30" s="196">
        <v>2.5672E-2</v>
      </c>
      <c r="GZ30" s="196">
        <v>2.5672E-2</v>
      </c>
      <c r="HA30" s="196">
        <v>2.5672E-2</v>
      </c>
      <c r="HB30" s="196">
        <v>2.5672E-2</v>
      </c>
      <c r="HC30" s="196">
        <v>2.5672E-2</v>
      </c>
      <c r="HD30" s="196">
        <v>2.5672E-2</v>
      </c>
      <c r="HE30" s="196">
        <v>2.5672E-2</v>
      </c>
      <c r="HF30" s="196">
        <v>2.5672E-2</v>
      </c>
      <c r="HG30" s="196">
        <v>2.5672E-2</v>
      </c>
      <c r="HH30" s="196">
        <v>2.5672E-2</v>
      </c>
      <c r="HI30" s="196">
        <v>2.5672E-2</v>
      </c>
      <c r="HJ30" s="196">
        <v>2.5672E-2</v>
      </c>
      <c r="HK30" s="196">
        <v>2.5672E-2</v>
      </c>
      <c r="HL30" s="196">
        <v>2.5672E-2</v>
      </c>
      <c r="HM30" s="196">
        <v>2.5672E-2</v>
      </c>
      <c r="HN30" s="41">
        <f>$D30-$E30</f>
        <v>0</v>
      </c>
      <c r="HO30" s="195" t="s">
        <v>302</v>
      </c>
      <c r="HT30" s="103"/>
      <c r="HU30" s="103"/>
      <c r="HV30" s="103"/>
      <c r="HW30" s="103"/>
      <c r="HX30" s="103"/>
      <c r="HY30" s="103"/>
      <c r="HZ30" s="103"/>
      <c r="IA30" s="103"/>
      <c r="IB30" s="103"/>
      <c r="IC30" s="103"/>
      <c r="ID30" s="103"/>
      <c r="IE30" s="103"/>
      <c r="IF30" s="103"/>
      <c r="IG30" s="103"/>
      <c r="IH30" s="103"/>
      <c r="II30" s="103"/>
      <c r="IJ30" s="103"/>
      <c r="IK30" s="103"/>
      <c r="IL30" s="103"/>
      <c r="IM30" s="103"/>
      <c r="IN30" s="103"/>
      <c r="IO30" s="103"/>
      <c r="IP30" s="103"/>
      <c r="IQ30" s="103"/>
      <c r="IR30" s="103"/>
      <c r="IS30" s="103"/>
      <c r="IT30" s="103"/>
      <c r="IU30" s="103"/>
      <c r="IV30" s="103"/>
      <c r="IW30" s="103"/>
      <c r="IX30" s="103"/>
      <c r="IY30" s="103"/>
      <c r="IZ30" s="103"/>
      <c r="JA30" s="103"/>
      <c r="JB30" s="103"/>
      <c r="JC30" s="103"/>
      <c r="JD30" s="103"/>
      <c r="JE30" s="103"/>
      <c r="JF30" s="103"/>
      <c r="JG30" s="103"/>
      <c r="JH30" s="103"/>
      <c r="JI30" s="103"/>
      <c r="JJ30" s="103"/>
      <c r="JK30" s="103"/>
      <c r="JL30" s="103"/>
      <c r="JM30" s="103"/>
      <c r="JN30" s="103"/>
      <c r="JO30" s="103"/>
      <c r="JP30" s="103"/>
      <c r="JQ30" s="103"/>
      <c r="JR30" s="103"/>
      <c r="JS30" s="103"/>
      <c r="JT30" s="103"/>
      <c r="JU30" s="103"/>
      <c r="JV30" s="103"/>
      <c r="JW30" s="103"/>
      <c r="JX30" s="103"/>
      <c r="JY30" s="103"/>
      <c r="JZ30" s="103"/>
      <c r="KA30" s="103"/>
      <c r="KB30" s="103"/>
      <c r="KC30" s="103"/>
      <c r="KD30" s="103"/>
      <c r="KE30" s="103"/>
      <c r="KF30" s="103"/>
      <c r="KG30" s="103"/>
      <c r="KH30" s="103"/>
      <c r="KI30" s="103"/>
      <c r="KJ30" s="103"/>
      <c r="KK30" s="103"/>
      <c r="KL30" s="103"/>
      <c r="KM30" s="103"/>
      <c r="KN30" s="103"/>
      <c r="KO30" s="103"/>
      <c r="KP30" s="103"/>
      <c r="KQ30" s="103"/>
      <c r="KR30" s="103"/>
      <c r="KS30" s="103"/>
      <c r="KT30" s="103"/>
      <c r="KU30" s="103"/>
      <c r="KV30" s="103"/>
      <c r="KW30" s="103"/>
      <c r="KX30" s="103"/>
      <c r="KY30" s="103"/>
      <c r="KZ30" s="103"/>
      <c r="LA30" s="103"/>
      <c r="LB30" s="103"/>
      <c r="LC30" s="103"/>
      <c r="LD30" s="103"/>
      <c r="LE30" s="103"/>
      <c r="LF30" s="103"/>
      <c r="LG30" s="103"/>
      <c r="LH30" s="103"/>
      <c r="LI30" s="103"/>
      <c r="LJ30" s="103"/>
      <c r="LK30" s="103"/>
      <c r="LL30" s="103"/>
      <c r="LM30" s="103"/>
    </row>
    <row r="31" spans="2:325">
      <c r="B31" s="75"/>
      <c r="C31" s="151"/>
      <c r="D31" s="151"/>
      <c r="E31" s="151"/>
      <c r="F31" s="151"/>
      <c r="G31" s="151"/>
      <c r="H31" s="151"/>
      <c r="I31" s="151"/>
      <c r="J31" s="151"/>
      <c r="K31" s="151"/>
      <c r="L31" s="151"/>
      <c r="M31" s="151"/>
      <c r="N31" s="151"/>
      <c r="O31" s="151"/>
      <c r="P31" s="151"/>
      <c r="Q31" s="151"/>
      <c r="R31" s="151"/>
      <c r="S31" s="151"/>
      <c r="T31" s="151"/>
      <c r="U31" s="151"/>
      <c r="V31" s="151"/>
      <c r="W31" s="148"/>
      <c r="X31" s="148"/>
      <c r="Y31" s="148"/>
      <c r="Z31" s="148"/>
      <c r="AA31" s="148"/>
      <c r="AB31" s="148"/>
      <c r="AC31" s="148"/>
      <c r="AD31" s="148"/>
      <c r="AE31" s="148"/>
      <c r="AF31" s="150"/>
      <c r="AG31" s="150"/>
      <c r="AH31" s="150"/>
      <c r="AI31" s="150"/>
      <c r="AJ31" s="148"/>
      <c r="AK31" s="150"/>
      <c r="AL31" s="149"/>
      <c r="AM31" s="148"/>
      <c r="AN31" s="146"/>
      <c r="AO31" s="146"/>
      <c r="AP31" s="146"/>
      <c r="AQ31" s="146"/>
      <c r="AR31" s="146"/>
      <c r="AS31" s="146"/>
      <c r="AT31" s="146"/>
      <c r="AU31" s="146"/>
      <c r="AV31" s="146"/>
      <c r="AW31" s="146"/>
      <c r="AX31" s="146"/>
      <c r="AY31" s="147"/>
      <c r="AZ31" s="147"/>
      <c r="BA31" s="147"/>
      <c r="BB31" s="147"/>
      <c r="BC31" s="147"/>
      <c r="BD31" s="147"/>
      <c r="BE31" s="147"/>
      <c r="BF31" s="147"/>
      <c r="BG31" s="147"/>
      <c r="BH31" s="147"/>
      <c r="BI31" s="147"/>
      <c r="BJ31" s="147"/>
      <c r="BK31" s="147"/>
      <c r="BL31" s="147"/>
      <c r="BM31" s="147"/>
      <c r="BN31" s="147"/>
      <c r="BO31" s="147"/>
      <c r="BP31" s="147"/>
      <c r="BQ31" s="146"/>
      <c r="BR31" s="146"/>
      <c r="BS31" s="146"/>
      <c r="BT31" s="146"/>
      <c r="BU31" s="146"/>
      <c r="BV31" s="146"/>
      <c r="BW31" s="146"/>
      <c r="BX31" s="146"/>
      <c r="BY31" s="146"/>
      <c r="BZ31" s="146"/>
      <c r="CA31" s="146"/>
      <c r="CB31" s="146"/>
      <c r="CC31" s="146"/>
      <c r="CD31" s="146"/>
      <c r="CE31" s="146"/>
      <c r="CF31" s="146"/>
      <c r="CG31" s="146"/>
      <c r="CH31" s="146"/>
      <c r="CI31" s="146"/>
      <c r="CJ31" s="146"/>
      <c r="CK31" s="146"/>
      <c r="CL31" s="146"/>
      <c r="CM31" s="146"/>
      <c r="CN31" s="146"/>
      <c r="CO31" s="146"/>
      <c r="CP31" s="146"/>
      <c r="CQ31" s="146"/>
      <c r="CR31" s="146"/>
      <c r="CS31" s="145"/>
      <c r="CT31" s="145"/>
      <c r="CU31" s="145"/>
      <c r="CV31" s="145"/>
      <c r="CW31" s="145"/>
      <c r="CX31" s="145"/>
      <c r="CY31" s="145"/>
      <c r="CZ31" s="145"/>
      <c r="DA31" s="145"/>
      <c r="DB31" s="145"/>
      <c r="DC31" s="145"/>
      <c r="DD31" s="145"/>
      <c r="DE31" s="145"/>
      <c r="DF31" s="145"/>
      <c r="DG31" s="145"/>
      <c r="DH31" s="145"/>
      <c r="DI31" s="145"/>
      <c r="DJ31" s="145"/>
      <c r="DK31" s="145"/>
      <c r="DL31" s="145"/>
      <c r="DM31" s="145"/>
      <c r="DN31" s="145"/>
      <c r="DO31" s="145"/>
      <c r="DP31" s="145"/>
      <c r="DQ31" s="145"/>
      <c r="DR31" s="145"/>
      <c r="DS31" s="145"/>
      <c r="DT31" s="145"/>
      <c r="DU31" s="145"/>
      <c r="DV31" s="145"/>
      <c r="DW31" s="145"/>
      <c r="DX31" s="145"/>
      <c r="DY31" s="145"/>
      <c r="DZ31" s="145"/>
      <c r="EA31" s="145"/>
      <c r="EB31" s="145"/>
      <c r="EC31" s="145"/>
      <c r="ED31" s="145"/>
      <c r="EE31" s="145"/>
      <c r="EF31" s="145"/>
      <c r="EG31" s="145"/>
      <c r="EH31" s="145"/>
      <c r="EI31" s="145"/>
      <c r="EJ31" s="145"/>
      <c r="EK31" s="145"/>
      <c r="EL31" s="145"/>
      <c r="EM31" s="145"/>
      <c r="EN31" s="145"/>
      <c r="EO31" s="145"/>
      <c r="EP31" s="145"/>
      <c r="EQ31" s="145"/>
      <c r="ER31" s="145"/>
      <c r="ES31" s="145"/>
      <c r="ET31" s="145"/>
      <c r="EU31" s="145"/>
      <c r="EV31" s="145"/>
      <c r="EW31" s="145"/>
      <c r="EX31" s="145"/>
      <c r="EY31" s="145"/>
      <c r="EZ31" s="145"/>
      <c r="FA31" s="145"/>
      <c r="FB31" s="145"/>
      <c r="FC31" s="145"/>
      <c r="FD31" s="145"/>
      <c r="FE31" s="145"/>
      <c r="FF31" s="145"/>
      <c r="FG31" s="145"/>
      <c r="FH31" s="145"/>
      <c r="FI31" s="145"/>
      <c r="FJ31" s="145"/>
      <c r="FK31" s="145"/>
      <c r="FL31" s="145"/>
      <c r="FM31" s="145"/>
      <c r="FN31" s="145"/>
      <c r="FO31" s="145"/>
      <c r="FP31" s="145"/>
      <c r="FQ31" s="145"/>
      <c r="FR31" s="145"/>
      <c r="FS31" s="145"/>
      <c r="FT31" s="145"/>
      <c r="FU31" s="145"/>
      <c r="FV31" s="145"/>
      <c r="FW31" s="145"/>
      <c r="FX31" s="145"/>
      <c r="FY31" s="145"/>
      <c r="FZ31" s="145"/>
      <c r="GA31" s="145"/>
      <c r="GB31" s="145"/>
      <c r="GC31" s="145"/>
      <c r="GD31" s="145"/>
      <c r="GE31" s="145"/>
      <c r="GF31" s="145"/>
      <c r="GG31" s="145"/>
      <c r="GH31" s="145"/>
      <c r="GI31" s="145"/>
      <c r="GJ31" s="145"/>
      <c r="GK31" s="145"/>
      <c r="GL31" s="145"/>
      <c r="GM31" s="145"/>
      <c r="GN31" s="145"/>
      <c r="GO31" s="145"/>
      <c r="GP31" s="145"/>
      <c r="GQ31" s="145"/>
      <c r="GR31" s="145"/>
      <c r="GS31" s="145"/>
      <c r="GT31" s="145"/>
      <c r="GU31" s="145"/>
      <c r="GV31" s="145"/>
      <c r="GW31" s="145"/>
      <c r="GX31" s="145"/>
      <c r="GY31" s="145"/>
      <c r="GZ31" s="145"/>
      <c r="HA31" s="145"/>
      <c r="HB31" s="145"/>
      <c r="HC31" s="145"/>
      <c r="HD31" s="145"/>
      <c r="HE31" s="145"/>
      <c r="HF31" s="145"/>
      <c r="HG31" s="145"/>
      <c r="HH31" s="145"/>
      <c r="HI31" s="145"/>
      <c r="HJ31" s="145"/>
      <c r="HK31" s="145"/>
      <c r="HL31" s="145"/>
      <c r="HM31" s="145"/>
      <c r="HN31" s="21"/>
      <c r="HO31" s="145"/>
      <c r="HT31" s="103"/>
      <c r="HU31" s="103"/>
      <c r="HV31" s="103"/>
      <c r="HW31" s="103"/>
      <c r="HX31" s="103"/>
      <c r="HY31" s="103"/>
      <c r="HZ31" s="103"/>
      <c r="IA31" s="103"/>
      <c r="IB31" s="103"/>
      <c r="IC31" s="103"/>
      <c r="ID31" s="103"/>
      <c r="IE31" s="103"/>
      <c r="IF31" s="103"/>
      <c r="IG31" s="103"/>
      <c r="IH31" s="103"/>
      <c r="II31" s="103"/>
      <c r="IJ31" s="103"/>
      <c r="IK31" s="103"/>
      <c r="IL31" s="103"/>
      <c r="IM31" s="103"/>
      <c r="IN31" s="103"/>
      <c r="IO31" s="103"/>
      <c r="IP31" s="103"/>
      <c r="IQ31" s="103"/>
      <c r="IR31" s="103"/>
      <c r="IS31" s="103"/>
      <c r="IT31" s="103"/>
      <c r="IU31" s="103"/>
      <c r="IV31" s="103"/>
      <c r="IW31" s="103"/>
      <c r="IX31" s="103"/>
      <c r="IY31" s="103"/>
      <c r="IZ31" s="103"/>
      <c r="JA31" s="103"/>
      <c r="JB31" s="103"/>
      <c r="JC31" s="103"/>
      <c r="JD31" s="103"/>
      <c r="JE31" s="103"/>
      <c r="JF31" s="103"/>
      <c r="JG31" s="103"/>
      <c r="JH31" s="103"/>
      <c r="JI31" s="103"/>
      <c r="JJ31" s="103"/>
      <c r="JK31" s="103"/>
      <c r="JL31" s="103"/>
      <c r="JM31" s="103"/>
      <c r="JN31" s="103"/>
      <c r="JO31" s="103"/>
      <c r="JP31" s="103"/>
      <c r="JQ31" s="103"/>
      <c r="JR31" s="103"/>
      <c r="JS31" s="103"/>
      <c r="JT31" s="103"/>
      <c r="JU31" s="103"/>
      <c r="JV31" s="103"/>
      <c r="JW31" s="103"/>
      <c r="JX31" s="103"/>
      <c r="JY31" s="103"/>
      <c r="JZ31" s="103"/>
      <c r="KA31" s="103"/>
      <c r="KB31" s="103"/>
      <c r="KC31" s="103"/>
      <c r="KD31" s="103"/>
      <c r="KE31" s="103"/>
      <c r="KF31" s="103"/>
      <c r="KG31" s="103"/>
      <c r="KH31" s="103"/>
      <c r="KI31" s="103"/>
      <c r="KJ31" s="103"/>
      <c r="KK31" s="103"/>
      <c r="KL31" s="103"/>
      <c r="KM31" s="103"/>
      <c r="KN31" s="103"/>
      <c r="KO31" s="103"/>
      <c r="KP31" s="103"/>
      <c r="KQ31" s="103"/>
      <c r="KR31" s="103"/>
      <c r="KS31" s="103"/>
      <c r="KT31" s="103"/>
      <c r="KU31" s="103"/>
      <c r="KV31" s="103"/>
      <c r="KW31" s="103"/>
      <c r="KX31" s="103"/>
      <c r="KY31" s="103"/>
      <c r="KZ31" s="103"/>
      <c r="LA31" s="103"/>
      <c r="LB31" s="103"/>
      <c r="LC31" s="103"/>
      <c r="LD31" s="103"/>
      <c r="LE31" s="103"/>
      <c r="LF31" s="103"/>
      <c r="LG31" s="103"/>
      <c r="LH31" s="103"/>
      <c r="LI31" s="103"/>
      <c r="LJ31" s="103"/>
      <c r="LK31" s="103"/>
      <c r="LL31" s="103"/>
      <c r="LM31" s="103"/>
    </row>
    <row r="32" spans="2:325">
      <c r="C32" s="200"/>
      <c r="D32" s="200"/>
      <c r="E32" s="200"/>
      <c r="F32" s="200"/>
      <c r="G32" s="200"/>
      <c r="H32" s="200"/>
      <c r="I32" s="200"/>
      <c r="J32" s="200"/>
      <c r="K32" s="200"/>
      <c r="L32" s="200"/>
      <c r="M32" s="200"/>
      <c r="N32" s="200"/>
      <c r="O32" s="200"/>
      <c r="P32" s="200"/>
      <c r="Q32" s="200"/>
      <c r="R32" s="200"/>
      <c r="S32" s="200"/>
      <c r="T32" s="200"/>
      <c r="U32" s="200"/>
      <c r="V32" s="200"/>
      <c r="W32" s="106"/>
      <c r="X32" s="106"/>
      <c r="Y32" s="106"/>
      <c r="Z32" s="106"/>
      <c r="AA32" s="106"/>
      <c r="AB32" s="106"/>
      <c r="AC32" s="106"/>
      <c r="AD32" s="106"/>
      <c r="AE32" s="106"/>
      <c r="AF32" s="199"/>
      <c r="AG32" s="199"/>
      <c r="AH32" s="199"/>
      <c r="AI32" s="199"/>
      <c r="AJ32" s="106"/>
      <c r="AK32" s="199"/>
      <c r="AL32" s="198"/>
      <c r="AM32" s="106"/>
      <c r="AN32" s="105"/>
      <c r="AO32" s="105"/>
      <c r="AP32" s="105"/>
      <c r="AQ32" s="105"/>
      <c r="AR32" s="105"/>
      <c r="AS32" s="105"/>
      <c r="AT32" s="105"/>
      <c r="AU32" s="105"/>
      <c r="AV32" s="105"/>
      <c r="AW32" s="105"/>
      <c r="AX32" s="105"/>
      <c r="AY32" s="105"/>
      <c r="AZ32" s="105"/>
      <c r="BA32" s="105"/>
      <c r="BB32" s="105"/>
      <c r="BC32" s="105"/>
      <c r="BD32" s="105"/>
      <c r="BE32" s="105"/>
      <c r="BF32" s="105"/>
      <c r="BG32" s="105"/>
      <c r="BH32" s="105"/>
      <c r="BI32" s="105"/>
      <c r="BJ32" s="105"/>
      <c r="BK32" s="105"/>
      <c r="BL32" s="105"/>
      <c r="BM32" s="105"/>
      <c r="BN32" s="105"/>
      <c r="BO32" s="105"/>
      <c r="BP32" s="105"/>
      <c r="BQ32" s="105"/>
      <c r="BR32" s="105"/>
      <c r="BS32" s="105"/>
      <c r="BT32" s="105"/>
      <c r="BU32" s="105"/>
      <c r="BV32" s="105"/>
      <c r="BW32" s="105"/>
      <c r="BX32" s="105"/>
      <c r="BY32" s="105"/>
      <c r="BZ32" s="105"/>
      <c r="CA32" s="105"/>
      <c r="CB32" s="105"/>
      <c r="CC32" s="105"/>
      <c r="CD32" s="105"/>
      <c r="CE32" s="105"/>
      <c r="CF32" s="105"/>
      <c r="CG32" s="105"/>
      <c r="CH32" s="105"/>
      <c r="CI32" s="105"/>
      <c r="CJ32" s="105"/>
      <c r="CK32" s="105"/>
      <c r="CL32" s="105"/>
      <c r="CM32" s="105"/>
      <c r="CN32" s="105"/>
      <c r="CO32" s="105"/>
      <c r="CP32" s="105"/>
      <c r="CQ32" s="105"/>
      <c r="CR32" s="105"/>
      <c r="CS32" s="105"/>
      <c r="CT32" s="105"/>
      <c r="CU32" s="105"/>
      <c r="CV32" s="105"/>
      <c r="CW32" s="105"/>
      <c r="CX32" s="105"/>
      <c r="CY32" s="105"/>
      <c r="CZ32" s="105"/>
      <c r="DA32" s="105"/>
      <c r="DB32" s="105"/>
      <c r="DC32" s="105"/>
      <c r="DD32" s="105"/>
      <c r="DE32" s="105"/>
      <c r="DF32" s="105"/>
      <c r="DG32" s="105"/>
      <c r="DH32" s="105"/>
      <c r="DI32" s="105"/>
      <c r="DJ32" s="105"/>
      <c r="DK32" s="105"/>
      <c r="DL32" s="105"/>
      <c r="DM32" s="105"/>
      <c r="DN32" s="105"/>
      <c r="DO32" s="105"/>
      <c r="DP32" s="105"/>
      <c r="DQ32" s="105"/>
      <c r="DR32" s="105"/>
      <c r="DS32" s="105"/>
      <c r="DT32" s="105"/>
      <c r="DU32" s="105"/>
      <c r="DV32" s="105"/>
      <c r="DW32" s="105"/>
      <c r="DX32" s="105"/>
      <c r="DY32" s="105"/>
      <c r="DZ32" s="105"/>
      <c r="EA32" s="105"/>
      <c r="EB32" s="105"/>
      <c r="EC32" s="105"/>
      <c r="ED32" s="105"/>
      <c r="EE32" s="105"/>
      <c r="EF32" s="105"/>
      <c r="EG32" s="105"/>
      <c r="EH32" s="105"/>
      <c r="EI32" s="105"/>
      <c r="EJ32" s="105"/>
      <c r="EK32" s="105"/>
      <c r="EL32" s="105"/>
      <c r="EM32" s="105"/>
      <c r="EN32" s="105"/>
      <c r="EO32" s="105"/>
      <c r="EP32" s="105"/>
      <c r="EQ32" s="105"/>
      <c r="ER32" s="105"/>
      <c r="ES32" s="105"/>
      <c r="ET32" s="105"/>
      <c r="EU32" s="105"/>
      <c r="EV32" s="105"/>
      <c r="EW32" s="105"/>
      <c r="EX32" s="105"/>
      <c r="EY32" s="105"/>
      <c r="EZ32" s="105"/>
      <c r="FA32" s="105"/>
      <c r="FB32" s="105"/>
      <c r="FC32" s="105"/>
      <c r="FD32" s="105"/>
      <c r="FE32" s="105"/>
      <c r="FF32" s="105"/>
      <c r="FG32" s="105"/>
      <c r="FH32" s="105"/>
      <c r="FI32" s="105"/>
      <c r="FJ32" s="105"/>
      <c r="FK32" s="105"/>
      <c r="FL32" s="105"/>
      <c r="FM32" s="105"/>
      <c r="FN32" s="105"/>
      <c r="FO32" s="105"/>
      <c r="FP32" s="105"/>
      <c r="FQ32" s="105"/>
      <c r="FR32" s="105"/>
      <c r="FS32" s="105"/>
      <c r="FT32" s="105"/>
      <c r="FU32" s="105"/>
      <c r="FV32" s="105"/>
      <c r="FW32" s="105"/>
      <c r="FX32" s="105"/>
      <c r="FY32" s="105"/>
      <c r="FZ32" s="105"/>
      <c r="GA32" s="105"/>
      <c r="GB32" s="105"/>
      <c r="GC32" s="105"/>
      <c r="GD32" s="105"/>
      <c r="GE32" s="105"/>
      <c r="GF32" s="105"/>
      <c r="GG32" s="105"/>
      <c r="GH32" s="105"/>
      <c r="GI32" s="105"/>
      <c r="GJ32" s="105"/>
      <c r="GK32" s="105"/>
      <c r="GL32" s="105"/>
      <c r="GM32" s="105"/>
      <c r="GN32" s="105"/>
      <c r="GO32" s="105"/>
      <c r="GP32" s="105"/>
      <c r="GQ32" s="105"/>
      <c r="GR32" s="105"/>
      <c r="GS32" s="105"/>
      <c r="GT32" s="105"/>
      <c r="GU32" s="105"/>
      <c r="GV32" s="105"/>
      <c r="GW32" s="105"/>
      <c r="GX32" s="105"/>
      <c r="GY32" s="105"/>
      <c r="GZ32" s="105"/>
      <c r="HA32" s="105"/>
      <c r="HB32" s="105"/>
      <c r="HC32" s="105"/>
      <c r="HD32" s="105"/>
      <c r="HE32" s="105"/>
      <c r="HF32" s="105"/>
      <c r="HG32" s="105"/>
      <c r="HH32" s="105"/>
      <c r="HI32" s="105"/>
      <c r="HJ32" s="105"/>
      <c r="HK32" s="105"/>
      <c r="HL32" s="105"/>
      <c r="HM32" s="105"/>
      <c r="HN32" s="21"/>
      <c r="HO32" s="114"/>
      <c r="HT32" s="103"/>
      <c r="HU32" s="103"/>
      <c r="HV32" s="103"/>
      <c r="HW32" s="103"/>
      <c r="HX32" s="103"/>
      <c r="HY32" s="103"/>
      <c r="HZ32" s="103"/>
      <c r="IA32" s="103"/>
      <c r="IB32" s="103"/>
      <c r="IC32" s="103"/>
      <c r="ID32" s="103"/>
      <c r="IE32" s="103"/>
      <c r="IF32" s="103"/>
      <c r="IG32" s="103"/>
      <c r="IH32" s="103"/>
      <c r="II32" s="103"/>
      <c r="IJ32" s="103"/>
      <c r="IK32" s="103"/>
      <c r="IL32" s="103"/>
      <c r="IM32" s="103"/>
      <c r="IN32" s="103"/>
      <c r="IO32" s="103"/>
      <c r="IP32" s="103"/>
      <c r="IQ32" s="103"/>
      <c r="IR32" s="103"/>
      <c r="IS32" s="103"/>
      <c r="IT32" s="103"/>
      <c r="IU32" s="103"/>
      <c r="IV32" s="103"/>
      <c r="IW32" s="103"/>
      <c r="IX32" s="103"/>
      <c r="IY32" s="103"/>
      <c r="IZ32" s="103"/>
      <c r="JA32" s="103"/>
      <c r="JB32" s="103"/>
      <c r="JC32" s="103"/>
      <c r="JD32" s="103"/>
      <c r="JE32" s="103"/>
      <c r="JF32" s="103"/>
      <c r="JG32" s="103"/>
      <c r="JH32" s="103"/>
      <c r="JI32" s="103"/>
      <c r="JJ32" s="103"/>
      <c r="JK32" s="103"/>
      <c r="JL32" s="103"/>
      <c r="JM32" s="103"/>
      <c r="JN32" s="103"/>
      <c r="JO32" s="103"/>
      <c r="JP32" s="103"/>
      <c r="JQ32" s="103"/>
      <c r="JR32" s="103"/>
      <c r="JS32" s="103"/>
      <c r="JT32" s="103"/>
      <c r="JU32" s="103"/>
      <c r="JV32" s="103"/>
      <c r="JW32" s="103"/>
      <c r="JX32" s="103"/>
      <c r="JY32" s="103"/>
      <c r="JZ32" s="103"/>
      <c r="KA32" s="103"/>
      <c r="KB32" s="103"/>
      <c r="KC32" s="103"/>
      <c r="KD32" s="103"/>
      <c r="KE32" s="103"/>
      <c r="KF32" s="103"/>
      <c r="KG32" s="103"/>
      <c r="KH32" s="103"/>
      <c r="KI32" s="103"/>
      <c r="KJ32" s="103"/>
      <c r="KK32" s="103"/>
      <c r="KL32" s="103"/>
      <c r="KM32" s="103"/>
      <c r="KN32" s="103"/>
      <c r="KO32" s="103"/>
      <c r="KP32" s="103"/>
      <c r="KQ32" s="103"/>
      <c r="KR32" s="103"/>
      <c r="KS32" s="103"/>
      <c r="KT32" s="103"/>
      <c r="KU32" s="103"/>
      <c r="KV32" s="103"/>
      <c r="KW32" s="103"/>
      <c r="KX32" s="103"/>
      <c r="KY32" s="103"/>
      <c r="KZ32" s="103"/>
      <c r="LA32" s="103"/>
      <c r="LB32" s="103"/>
      <c r="LC32" s="103"/>
      <c r="LD32" s="103"/>
      <c r="LE32" s="103"/>
      <c r="LF32" s="103"/>
      <c r="LG32" s="103"/>
      <c r="LH32" s="103"/>
      <c r="LI32" s="103"/>
      <c r="LJ32" s="103"/>
      <c r="LK32" s="103"/>
      <c r="LL32" s="103"/>
      <c r="LM32" s="103"/>
    </row>
    <row r="33" spans="2:325" ht="14.4">
      <c r="B33" s="1071" t="s">
        <v>210</v>
      </c>
      <c r="C33" s="1072"/>
      <c r="D33" s="1072"/>
      <c r="E33" s="1072"/>
      <c r="F33" s="1072"/>
      <c r="G33" s="1072"/>
      <c r="H33" s="1072"/>
      <c r="I33" s="1072"/>
      <c r="J33" s="1072"/>
      <c r="K33" s="1072"/>
      <c r="L33" s="1072"/>
      <c r="M33" s="1072"/>
      <c r="N33" s="1072"/>
      <c r="O33" s="1072"/>
      <c r="P33" s="1072"/>
      <c r="Q33" s="1072"/>
      <c r="R33" s="1072"/>
      <c r="S33" s="1072"/>
      <c r="T33" s="1072"/>
      <c r="U33" s="1072"/>
      <c r="V33" s="1072"/>
      <c r="W33" s="1072"/>
      <c r="X33" s="1072"/>
      <c r="Y33" s="1072"/>
      <c r="Z33" s="1072"/>
      <c r="AA33" s="1072"/>
      <c r="AB33" s="1072"/>
      <c r="AC33" s="1072"/>
      <c r="AD33" s="1072"/>
      <c r="AE33" s="1072"/>
      <c r="AF33" s="1072"/>
      <c r="AG33" s="1072"/>
      <c r="AH33" s="1072"/>
      <c r="AI33" s="1072"/>
      <c r="AJ33" s="1072"/>
      <c r="AK33" s="1072"/>
      <c r="AL33" s="1072"/>
      <c r="AM33" s="1072"/>
      <c r="AN33" s="1072"/>
      <c r="AO33" s="1072"/>
      <c r="AP33" s="1072"/>
      <c r="AQ33" s="1072"/>
      <c r="AR33" s="1072"/>
      <c r="AS33" s="1072"/>
      <c r="AT33" s="1072"/>
      <c r="AU33" s="1072"/>
      <c r="AV33" s="1072"/>
      <c r="AW33" s="1072"/>
      <c r="AX33" s="1072"/>
      <c r="AY33" s="1072"/>
      <c r="AZ33" s="1072"/>
      <c r="BA33" s="1072"/>
      <c r="BB33" s="1072"/>
      <c r="BC33" s="1072"/>
      <c r="BD33" s="1072"/>
      <c r="BE33" s="1072"/>
      <c r="BF33" s="1072"/>
      <c r="BG33" s="1072"/>
      <c r="BH33" s="1072"/>
      <c r="BI33" s="1072"/>
      <c r="BJ33" s="1072"/>
      <c r="BK33" s="1072"/>
      <c r="BL33" s="1072"/>
      <c r="BM33" s="1072"/>
      <c r="BN33" s="1072"/>
      <c r="BO33" s="1072"/>
      <c r="BP33" s="1072"/>
      <c r="BQ33" s="1072"/>
      <c r="BR33" s="1072"/>
      <c r="BS33" s="1072"/>
      <c r="BT33" s="1072"/>
      <c r="BU33" s="1072"/>
      <c r="BV33" s="1072"/>
      <c r="BW33" s="1072"/>
      <c r="BX33" s="1072"/>
      <c r="BY33" s="1072"/>
      <c r="BZ33" s="1072"/>
      <c r="CA33" s="1072"/>
      <c r="CB33" s="1072"/>
      <c r="CC33" s="1072"/>
      <c r="CD33" s="1072"/>
      <c r="CE33" s="1072"/>
      <c r="CF33" s="1072"/>
      <c r="CG33" s="1072"/>
      <c r="CH33" s="1072"/>
      <c r="CI33" s="1072"/>
      <c r="CJ33" s="1072"/>
      <c r="CK33" s="1072"/>
      <c r="CL33" s="1072"/>
      <c r="CM33" s="1072"/>
      <c r="CN33" s="1072"/>
      <c r="CO33" s="1072"/>
      <c r="CP33" s="1072"/>
      <c r="CQ33" s="1072"/>
      <c r="CR33" s="1072"/>
      <c r="CS33" s="1072"/>
      <c r="CT33" s="1072"/>
      <c r="CU33" s="1072"/>
      <c r="CV33" s="1072"/>
      <c r="CW33" s="1072"/>
      <c r="CX33" s="1072"/>
      <c r="CY33" s="1072"/>
      <c r="CZ33" s="1072"/>
      <c r="DA33" s="1072"/>
      <c r="DB33" s="1072"/>
      <c r="DC33" s="1072"/>
      <c r="DD33" s="1072"/>
      <c r="DE33" s="1072"/>
      <c r="DF33" s="1072"/>
      <c r="DG33" s="1072"/>
      <c r="DH33" s="1072"/>
      <c r="DI33" s="1072"/>
      <c r="DJ33" s="1072"/>
      <c r="DK33" s="1072"/>
      <c r="DL33" s="1072"/>
      <c r="DM33" s="1072"/>
      <c r="DN33" s="1072"/>
      <c r="DO33" s="1072"/>
      <c r="DP33" s="1072"/>
      <c r="DQ33" s="1072"/>
      <c r="DR33" s="1072"/>
      <c r="DS33" s="1072"/>
      <c r="DT33" s="1072"/>
      <c r="DU33" s="1072"/>
      <c r="DV33" s="1072"/>
      <c r="DW33" s="1072"/>
      <c r="DX33" s="1072"/>
      <c r="DY33" s="1072"/>
      <c r="DZ33" s="1072"/>
      <c r="EA33" s="1072"/>
      <c r="EB33" s="1072"/>
      <c r="EC33" s="1072"/>
      <c r="ED33" s="1072"/>
      <c r="EE33" s="1072"/>
      <c r="EF33" s="1072"/>
      <c r="EG33" s="1072"/>
      <c r="EH33" s="1072"/>
      <c r="EI33" s="1072"/>
      <c r="EJ33" s="1072"/>
      <c r="EK33" s="1072"/>
      <c r="EL33" s="1072"/>
      <c r="EM33" s="1072"/>
      <c r="EN33" s="1072"/>
      <c r="EO33" s="1072"/>
      <c r="EP33" s="1072"/>
      <c r="EQ33" s="1072"/>
      <c r="ER33" s="1072"/>
      <c r="ES33" s="1072"/>
      <c r="ET33" s="1072"/>
      <c r="EU33" s="1072"/>
      <c r="EV33" s="1072"/>
      <c r="EW33" s="1072"/>
      <c r="EX33" s="1072"/>
      <c r="EY33" s="1072"/>
      <c r="EZ33" s="1072"/>
      <c r="FA33" s="1072"/>
      <c r="FB33" s="1072"/>
      <c r="FC33" s="1072"/>
      <c r="FD33" s="1072"/>
      <c r="FE33" s="1072"/>
      <c r="FF33" s="1072"/>
      <c r="FG33" s="1072"/>
      <c r="FH33" s="1072"/>
      <c r="FI33" s="1072"/>
      <c r="FJ33" s="1072"/>
      <c r="FK33" s="1072"/>
      <c r="FL33" s="1072"/>
      <c r="FM33" s="1072"/>
      <c r="FN33" s="1072"/>
      <c r="FO33" s="1072"/>
      <c r="FP33" s="1072"/>
      <c r="FQ33" s="1072"/>
      <c r="FR33" s="1072"/>
      <c r="FS33" s="1072"/>
      <c r="FT33" s="1072"/>
      <c r="FU33" s="1072"/>
      <c r="FV33" s="1072"/>
      <c r="FW33" s="1072"/>
      <c r="FX33" s="1072"/>
      <c r="FY33" s="1072"/>
      <c r="FZ33" s="1072"/>
      <c r="GA33" s="1072"/>
      <c r="GB33" s="1072"/>
      <c r="GC33" s="1072"/>
      <c r="GD33" s="1072"/>
      <c r="GE33" s="1072"/>
      <c r="GF33" s="1072"/>
      <c r="GG33" s="1072"/>
      <c r="GH33" s="1072"/>
      <c r="GI33" s="1072"/>
      <c r="GJ33" s="1072"/>
      <c r="GK33" s="1072"/>
      <c r="GL33" s="1072"/>
      <c r="GM33" s="1072"/>
      <c r="GN33" s="1072"/>
      <c r="GO33" s="1072"/>
      <c r="GP33" s="1072"/>
      <c r="GQ33" s="1072"/>
      <c r="GR33" s="1072"/>
      <c r="GS33" s="1072"/>
      <c r="GT33" s="1072"/>
      <c r="GU33" s="1072"/>
      <c r="GV33" s="1072"/>
      <c r="GW33" s="1072"/>
      <c r="GX33" s="1072"/>
      <c r="GY33" s="1072"/>
      <c r="GZ33" s="1072"/>
      <c r="HA33" s="1072"/>
      <c r="HB33" s="1072"/>
      <c r="HC33" s="1072"/>
      <c r="HD33" s="1072"/>
      <c r="HE33" s="1072"/>
      <c r="HF33" s="1072"/>
      <c r="HG33" s="1072"/>
      <c r="HH33" s="1072"/>
      <c r="HI33" s="1072"/>
      <c r="HJ33" s="1072"/>
      <c r="HK33" s="1072"/>
      <c r="HL33" s="1072"/>
      <c r="HM33" s="1072"/>
      <c r="HN33" s="1072"/>
      <c r="HO33" s="1073"/>
      <c r="HT33" s="103"/>
      <c r="HU33" s="103"/>
      <c r="HV33" s="103"/>
      <c r="HW33" s="103"/>
      <c r="HX33" s="103"/>
      <c r="HY33" s="103"/>
      <c r="HZ33" s="103"/>
      <c r="IA33" s="103"/>
      <c r="IB33" s="103"/>
      <c r="IC33" s="103"/>
      <c r="ID33" s="103"/>
      <c r="IE33" s="103"/>
      <c r="IF33" s="103"/>
      <c r="IG33" s="103"/>
      <c r="IH33" s="103"/>
      <c r="II33" s="103"/>
      <c r="IJ33" s="103"/>
      <c r="IK33" s="103"/>
      <c r="IL33" s="103"/>
      <c r="IM33" s="103"/>
      <c r="IN33" s="103"/>
      <c r="IO33" s="103"/>
      <c r="IP33" s="103"/>
      <c r="IQ33" s="103"/>
      <c r="IR33" s="103"/>
      <c r="IS33" s="103"/>
      <c r="IT33" s="103"/>
      <c r="IU33" s="103"/>
      <c r="IV33" s="103"/>
      <c r="IW33" s="103"/>
      <c r="IX33" s="103"/>
      <c r="IY33" s="103"/>
      <c r="IZ33" s="103"/>
      <c r="JA33" s="103"/>
      <c r="JB33" s="103"/>
      <c r="JC33" s="103"/>
      <c r="JD33" s="103"/>
      <c r="JE33" s="103"/>
      <c r="JF33" s="103"/>
      <c r="JG33" s="103"/>
      <c r="JH33" s="103"/>
      <c r="JI33" s="103"/>
      <c r="JJ33" s="103"/>
      <c r="JK33" s="103"/>
      <c r="JL33" s="103"/>
      <c r="JM33" s="103"/>
      <c r="JN33" s="103"/>
      <c r="JO33" s="103"/>
      <c r="JP33" s="103"/>
      <c r="JQ33" s="103"/>
      <c r="JR33" s="103"/>
      <c r="JS33" s="103"/>
      <c r="JT33" s="103"/>
      <c r="JU33" s="103"/>
      <c r="JV33" s="103"/>
      <c r="JW33" s="103"/>
      <c r="JX33" s="103"/>
      <c r="JY33" s="103"/>
      <c r="JZ33" s="103"/>
      <c r="KA33" s="103"/>
      <c r="KB33" s="103"/>
      <c r="KC33" s="103"/>
      <c r="KD33" s="103"/>
      <c r="KE33" s="103"/>
      <c r="KF33" s="103"/>
      <c r="KG33" s="103"/>
      <c r="KH33" s="103"/>
      <c r="KI33" s="103"/>
      <c r="KJ33" s="103"/>
      <c r="KK33" s="103"/>
      <c r="KL33" s="103"/>
      <c r="KM33" s="103"/>
      <c r="KN33" s="103"/>
      <c r="KO33" s="103"/>
      <c r="KP33" s="103"/>
      <c r="KQ33" s="103"/>
      <c r="KR33" s="103"/>
      <c r="KS33" s="103"/>
      <c r="KT33" s="103"/>
      <c r="KU33" s="103"/>
      <c r="KV33" s="103"/>
      <c r="KW33" s="103"/>
      <c r="KX33" s="103"/>
      <c r="KY33" s="103"/>
      <c r="KZ33" s="103"/>
      <c r="LA33" s="103"/>
      <c r="LB33" s="103"/>
      <c r="LC33" s="103"/>
      <c r="LD33" s="103"/>
      <c r="LE33" s="103"/>
      <c r="LF33" s="103"/>
      <c r="LG33" s="103"/>
      <c r="LH33" s="103"/>
      <c r="LI33" s="103"/>
      <c r="LJ33" s="103"/>
      <c r="LK33" s="103"/>
      <c r="LL33" s="197"/>
      <c r="LM33" s="103"/>
    </row>
    <row r="34" spans="2:325" ht="15">
      <c r="B34" s="187" t="s">
        <v>121</v>
      </c>
      <c r="C34" s="187" t="s">
        <v>120</v>
      </c>
      <c r="D34" s="190">
        <f t="shared" ref="D34:F34" si="6">D4</f>
        <v>46099</v>
      </c>
      <c r="E34" s="190">
        <f t="shared" ref="E34" si="7">E4</f>
        <v>46092</v>
      </c>
      <c r="F34" s="190">
        <f t="shared" si="6"/>
        <v>46085</v>
      </c>
      <c r="G34" s="190">
        <f t="shared" ref="G34:O34" si="8">G4</f>
        <v>46078</v>
      </c>
      <c r="H34" s="190">
        <v>46071</v>
      </c>
      <c r="I34" s="190">
        <f>I4</f>
        <v>46057</v>
      </c>
      <c r="J34" s="190">
        <f t="shared" si="8"/>
        <v>46050</v>
      </c>
      <c r="K34" s="190">
        <f t="shared" si="8"/>
        <v>46043</v>
      </c>
      <c r="L34" s="190">
        <f t="shared" si="8"/>
        <v>46036</v>
      </c>
      <c r="M34" s="190">
        <f t="shared" si="8"/>
        <v>46029</v>
      </c>
      <c r="N34" s="190">
        <f t="shared" si="8"/>
        <v>46022</v>
      </c>
      <c r="O34" s="190">
        <f t="shared" si="8"/>
        <v>46015</v>
      </c>
      <c r="P34" s="190">
        <f t="shared" ref="P34:AF34" si="9">P4</f>
        <v>46008</v>
      </c>
      <c r="Q34" s="190">
        <f>Q4</f>
        <v>46092</v>
      </c>
      <c r="R34" s="190">
        <f t="shared" si="9"/>
        <v>45994</v>
      </c>
      <c r="S34" s="190">
        <f t="shared" si="9"/>
        <v>45987</v>
      </c>
      <c r="T34" s="190">
        <f t="shared" si="9"/>
        <v>45980</v>
      </c>
      <c r="U34" s="190">
        <f t="shared" si="9"/>
        <v>45973</v>
      </c>
      <c r="V34" s="190">
        <f t="shared" si="9"/>
        <v>45966</v>
      </c>
      <c r="W34" s="190">
        <f t="shared" si="9"/>
        <v>45959</v>
      </c>
      <c r="X34" s="190">
        <f t="shared" si="9"/>
        <v>45952</v>
      </c>
      <c r="Y34" s="190">
        <f t="shared" si="9"/>
        <v>45945</v>
      </c>
      <c r="Z34" s="190">
        <f t="shared" si="9"/>
        <v>45938</v>
      </c>
      <c r="AA34" s="190">
        <f t="shared" si="9"/>
        <v>45931</v>
      </c>
      <c r="AB34" s="190">
        <f t="shared" si="9"/>
        <v>45924</v>
      </c>
      <c r="AC34" s="190">
        <f t="shared" si="9"/>
        <v>45917</v>
      </c>
      <c r="AD34" s="190">
        <f t="shared" si="9"/>
        <v>45910</v>
      </c>
      <c r="AE34" s="190">
        <f t="shared" si="9"/>
        <v>45959</v>
      </c>
      <c r="AF34" s="192">
        <f t="shared" si="9"/>
        <v>45896</v>
      </c>
      <c r="AG34" s="192">
        <v>45889</v>
      </c>
      <c r="AH34" s="192">
        <v>45882</v>
      </c>
      <c r="AI34" s="192">
        <v>45875</v>
      </c>
      <c r="AJ34" s="190">
        <v>45868</v>
      </c>
      <c r="AK34" s="192">
        <v>45861</v>
      </c>
      <c r="AL34" s="191">
        <v>45854</v>
      </c>
      <c r="AM34" s="190">
        <v>45847</v>
      </c>
      <c r="AN34" s="190">
        <v>45840</v>
      </c>
      <c r="AO34" s="190">
        <f>AO4</f>
        <v>45833</v>
      </c>
      <c r="AP34" s="190">
        <v>45826</v>
      </c>
      <c r="AQ34" s="190">
        <f t="shared" ref="AQ34:CF34" si="10">AQ4</f>
        <v>45819</v>
      </c>
      <c r="AR34" s="190">
        <f t="shared" si="10"/>
        <v>45812</v>
      </c>
      <c r="AS34" s="190">
        <f t="shared" si="10"/>
        <v>45805</v>
      </c>
      <c r="AT34" s="190">
        <f t="shared" si="10"/>
        <v>45798</v>
      </c>
      <c r="AU34" s="190">
        <f t="shared" si="10"/>
        <v>45792</v>
      </c>
      <c r="AV34" s="190">
        <f t="shared" si="10"/>
        <v>45785</v>
      </c>
      <c r="AW34" s="190">
        <f t="shared" si="10"/>
        <v>45777</v>
      </c>
      <c r="AX34" s="190">
        <f t="shared" si="10"/>
        <v>45763</v>
      </c>
      <c r="AY34" s="190">
        <f t="shared" si="10"/>
        <v>45757</v>
      </c>
      <c r="AZ34" s="190">
        <f t="shared" si="10"/>
        <v>45750</v>
      </c>
      <c r="BA34" s="190">
        <f t="shared" si="10"/>
        <v>45742</v>
      </c>
      <c r="BB34" s="190">
        <f t="shared" si="10"/>
        <v>45729</v>
      </c>
      <c r="BC34" s="190">
        <f t="shared" si="10"/>
        <v>45722</v>
      </c>
      <c r="BD34" s="190">
        <f t="shared" si="10"/>
        <v>45715</v>
      </c>
      <c r="BE34" s="190">
        <f t="shared" si="10"/>
        <v>45708</v>
      </c>
      <c r="BF34" s="190">
        <f t="shared" si="10"/>
        <v>45701</v>
      </c>
      <c r="BG34" s="190">
        <f t="shared" si="10"/>
        <v>45694</v>
      </c>
      <c r="BH34" s="190">
        <f t="shared" si="10"/>
        <v>45688</v>
      </c>
      <c r="BI34" s="190">
        <f t="shared" si="10"/>
        <v>45681</v>
      </c>
      <c r="BJ34" s="190">
        <f t="shared" si="10"/>
        <v>45673</v>
      </c>
      <c r="BK34" s="190">
        <f t="shared" si="10"/>
        <v>45666</v>
      </c>
      <c r="BL34" s="190">
        <f t="shared" si="10"/>
        <v>45659</v>
      </c>
      <c r="BM34" s="190">
        <f t="shared" si="10"/>
        <v>45652</v>
      </c>
      <c r="BN34" s="190">
        <f t="shared" si="10"/>
        <v>45645</v>
      </c>
      <c r="BO34" s="190">
        <f t="shared" si="10"/>
        <v>45638</v>
      </c>
      <c r="BP34" s="190">
        <f t="shared" si="10"/>
        <v>45631</v>
      </c>
      <c r="BQ34" s="190">
        <f t="shared" si="10"/>
        <v>45625</v>
      </c>
      <c r="BR34" s="190">
        <f t="shared" si="10"/>
        <v>45617</v>
      </c>
      <c r="BS34" s="190">
        <f t="shared" si="10"/>
        <v>45610</v>
      </c>
      <c r="BT34" s="190">
        <f t="shared" si="10"/>
        <v>45603</v>
      </c>
      <c r="BU34" s="190">
        <f t="shared" si="10"/>
        <v>45595</v>
      </c>
      <c r="BV34" s="190">
        <f t="shared" si="10"/>
        <v>45591</v>
      </c>
      <c r="BW34" s="190">
        <f t="shared" si="10"/>
        <v>45582</v>
      </c>
      <c r="BX34" s="190">
        <f t="shared" si="10"/>
        <v>45575</v>
      </c>
      <c r="BY34" s="190">
        <f t="shared" si="10"/>
        <v>45568</v>
      </c>
      <c r="BZ34" s="190">
        <f t="shared" si="10"/>
        <v>45561</v>
      </c>
      <c r="CA34" s="190">
        <f t="shared" si="10"/>
        <v>45547</v>
      </c>
      <c r="CB34" s="190">
        <f t="shared" si="10"/>
        <v>45540</v>
      </c>
      <c r="CC34" s="190">
        <f t="shared" si="10"/>
        <v>45533</v>
      </c>
      <c r="CD34" s="190">
        <f t="shared" si="10"/>
        <v>45526</v>
      </c>
      <c r="CE34" s="190">
        <f t="shared" si="10"/>
        <v>45517</v>
      </c>
      <c r="CF34" s="190">
        <f t="shared" si="10"/>
        <v>45511</v>
      </c>
      <c r="CG34" s="190" t="e">
        <f>#REF!</f>
        <v>#REF!</v>
      </c>
      <c r="CH34" s="190" t="e">
        <f>#REF!</f>
        <v>#REF!</v>
      </c>
      <c r="CI34" s="190" t="e">
        <f>#REF!</f>
        <v>#REF!</v>
      </c>
      <c r="CJ34" s="190" t="e">
        <f>#REF!</f>
        <v>#REF!</v>
      </c>
      <c r="CK34" s="190" t="e">
        <f>#REF!</f>
        <v>#REF!</v>
      </c>
      <c r="CL34" s="190" t="e">
        <f>#REF!</f>
        <v>#REF!</v>
      </c>
      <c r="CM34" s="190" t="e">
        <f>#REF!</f>
        <v>#REF!</v>
      </c>
      <c r="CN34" s="190" t="e">
        <f>#REF!</f>
        <v>#REF!</v>
      </c>
      <c r="CO34" s="190" t="e">
        <f>#REF!</f>
        <v>#REF!</v>
      </c>
      <c r="CP34" s="190" t="e">
        <f>#REF!</f>
        <v>#REF!</v>
      </c>
      <c r="CQ34" s="190" t="e">
        <f>#REF!</f>
        <v>#REF!</v>
      </c>
      <c r="CR34" s="190" t="e">
        <f>#REF!</f>
        <v>#REF!</v>
      </c>
      <c r="CS34" s="190" t="e">
        <f>#REF!</f>
        <v>#REF!</v>
      </c>
      <c r="CT34" s="190" t="e">
        <f>#REF!</f>
        <v>#REF!</v>
      </c>
      <c r="CU34" s="190" t="e">
        <f>#REF!</f>
        <v>#REF!</v>
      </c>
      <c r="CV34" s="190" t="e">
        <f>#REF!</f>
        <v>#REF!</v>
      </c>
      <c r="CW34" s="190" t="e">
        <f>#REF!</f>
        <v>#REF!</v>
      </c>
      <c r="CX34" s="190" t="e">
        <f>#REF!</f>
        <v>#REF!</v>
      </c>
      <c r="CY34" s="190" t="e">
        <f>#REF!</f>
        <v>#REF!</v>
      </c>
      <c r="CZ34" s="190" t="e">
        <f>#REF!</f>
        <v>#REF!</v>
      </c>
      <c r="DA34" s="190" t="e">
        <f>#REF!</f>
        <v>#REF!</v>
      </c>
      <c r="DB34" s="190" t="e">
        <f>#REF!</f>
        <v>#REF!</v>
      </c>
      <c r="DC34" s="190" t="e">
        <f>#REF!</f>
        <v>#REF!</v>
      </c>
      <c r="DD34" s="190" t="e">
        <f>#REF!</f>
        <v>#REF!</v>
      </c>
      <c r="DE34" s="190" t="e">
        <f>#REF!</f>
        <v>#REF!</v>
      </c>
      <c r="DF34" s="190" t="e">
        <f>#REF!</f>
        <v>#REF!</v>
      </c>
      <c r="DG34" s="190" t="e">
        <f>#REF!</f>
        <v>#REF!</v>
      </c>
      <c r="DH34" s="190" t="e">
        <f>#REF!</f>
        <v>#REF!</v>
      </c>
      <c r="DI34" s="190" t="e">
        <f>#REF!</f>
        <v>#REF!</v>
      </c>
      <c r="DJ34" s="190" t="e">
        <f>#REF!</f>
        <v>#REF!</v>
      </c>
      <c r="DK34" s="190" t="e">
        <f>#REF!</f>
        <v>#REF!</v>
      </c>
      <c r="DL34" s="190" t="e">
        <f>#REF!</f>
        <v>#REF!</v>
      </c>
      <c r="DM34" s="190">
        <v>45274</v>
      </c>
      <c r="DN34" s="190">
        <v>45148</v>
      </c>
      <c r="DO34" s="190">
        <v>45148</v>
      </c>
      <c r="DP34" s="190">
        <v>45148</v>
      </c>
      <c r="DQ34" s="190">
        <v>45148</v>
      </c>
      <c r="DR34" s="190">
        <v>45148</v>
      </c>
      <c r="DS34" s="190">
        <v>45148</v>
      </c>
      <c r="DT34" s="190">
        <v>45148</v>
      </c>
      <c r="DU34" s="190">
        <v>45148</v>
      </c>
      <c r="DV34" s="190">
        <v>45148</v>
      </c>
      <c r="DW34" s="190">
        <v>45148</v>
      </c>
      <c r="DX34" s="190" t="e">
        <f>#REF!</f>
        <v>#REF!</v>
      </c>
      <c r="DY34" s="190">
        <v>45148</v>
      </c>
      <c r="DZ34" s="190">
        <v>45148</v>
      </c>
      <c r="EA34" s="190">
        <v>45148</v>
      </c>
      <c r="EB34" s="190">
        <v>45148</v>
      </c>
      <c r="EC34" s="190">
        <v>45148</v>
      </c>
      <c r="ED34" s="190">
        <v>45148</v>
      </c>
      <c r="EE34" s="190">
        <v>45141</v>
      </c>
      <c r="EF34" s="190">
        <v>45134</v>
      </c>
      <c r="EG34" s="190">
        <v>44839</v>
      </c>
      <c r="EH34" s="190">
        <v>44831</v>
      </c>
      <c r="EI34" s="190">
        <v>44826</v>
      </c>
      <c r="EJ34" s="190">
        <v>44818</v>
      </c>
      <c r="EK34" s="190">
        <v>44811</v>
      </c>
      <c r="EL34" s="190">
        <v>45070</v>
      </c>
      <c r="EM34" s="190">
        <v>45063</v>
      </c>
      <c r="EN34" s="190">
        <v>45056</v>
      </c>
      <c r="EO34" s="190">
        <v>45050</v>
      </c>
      <c r="EP34" s="190">
        <v>45042</v>
      </c>
      <c r="EQ34" s="190">
        <v>45035</v>
      </c>
      <c r="ER34" s="190">
        <v>45028</v>
      </c>
      <c r="ES34" s="190">
        <v>45020</v>
      </c>
      <c r="ET34" s="190">
        <v>45014</v>
      </c>
      <c r="EU34" s="190">
        <v>45008</v>
      </c>
      <c r="EV34" s="190">
        <v>45002</v>
      </c>
      <c r="EW34" s="190">
        <v>45000</v>
      </c>
      <c r="EX34" s="190">
        <v>44993</v>
      </c>
      <c r="EY34" s="190">
        <v>44986</v>
      </c>
      <c r="EZ34" s="190">
        <v>44979</v>
      </c>
      <c r="FA34" s="190">
        <v>44972</v>
      </c>
      <c r="FB34" s="190">
        <v>44965</v>
      </c>
      <c r="FC34" s="190">
        <v>44958</v>
      </c>
      <c r="FD34" s="190">
        <v>44951</v>
      </c>
      <c r="FE34" s="190">
        <v>44944</v>
      </c>
      <c r="FF34" s="190">
        <v>44937</v>
      </c>
      <c r="FG34" s="190">
        <v>44930</v>
      </c>
      <c r="FH34" s="190">
        <v>44923</v>
      </c>
      <c r="FI34" s="190">
        <v>44916</v>
      </c>
      <c r="FJ34" s="190">
        <v>44910</v>
      </c>
      <c r="FK34" s="190">
        <v>44902</v>
      </c>
      <c r="FL34" s="190">
        <v>44896</v>
      </c>
      <c r="FM34" s="190">
        <v>44888</v>
      </c>
      <c r="FN34" s="190">
        <v>44881</v>
      </c>
      <c r="FO34" s="190">
        <v>44874</v>
      </c>
      <c r="FP34" s="190">
        <v>44868</v>
      </c>
      <c r="FQ34" s="190">
        <v>44860</v>
      </c>
      <c r="FR34" s="190">
        <v>44853</v>
      </c>
      <c r="FS34" s="190">
        <v>44846</v>
      </c>
      <c r="FT34" s="190">
        <v>45085</v>
      </c>
      <c r="FU34" s="190">
        <v>45076</v>
      </c>
      <c r="FV34" s="190">
        <v>45127</v>
      </c>
      <c r="FW34" s="190">
        <v>45120</v>
      </c>
      <c r="FX34" s="190">
        <v>45113</v>
      </c>
      <c r="FY34" s="190">
        <v>45105</v>
      </c>
      <c r="FZ34" s="190">
        <v>45099</v>
      </c>
      <c r="GA34" s="190">
        <v>45092</v>
      </c>
      <c r="GB34" s="190">
        <v>44803</v>
      </c>
      <c r="GC34" s="190">
        <v>44797</v>
      </c>
      <c r="GD34" s="190">
        <v>44790</v>
      </c>
      <c r="GE34" s="190">
        <v>44783</v>
      </c>
      <c r="GF34" s="190">
        <v>44776</v>
      </c>
      <c r="GG34" s="190">
        <v>44769</v>
      </c>
      <c r="GH34" s="190">
        <v>44762</v>
      </c>
      <c r="GI34" s="190">
        <v>44755</v>
      </c>
      <c r="GJ34" s="190">
        <v>44748</v>
      </c>
      <c r="GK34" s="190">
        <v>44741</v>
      </c>
      <c r="GL34" s="189">
        <v>44733</v>
      </c>
      <c r="GM34" s="189">
        <v>44727</v>
      </c>
      <c r="GN34" s="189">
        <v>44720</v>
      </c>
      <c r="GO34" s="189">
        <v>44713</v>
      </c>
      <c r="GP34" s="189">
        <v>44706</v>
      </c>
      <c r="GQ34" s="189">
        <v>44699</v>
      </c>
      <c r="GR34" s="189">
        <v>44690</v>
      </c>
      <c r="GS34" s="188" t="s">
        <v>118</v>
      </c>
      <c r="GT34" s="188" t="s">
        <v>117</v>
      </c>
      <c r="GU34" s="187" t="s">
        <v>116</v>
      </c>
      <c r="GV34" s="187" t="s">
        <v>115</v>
      </c>
      <c r="GW34" s="187" t="s">
        <v>114</v>
      </c>
      <c r="GX34" s="187" t="s">
        <v>224</v>
      </c>
      <c r="GY34" s="187" t="s">
        <v>112</v>
      </c>
      <c r="GZ34" s="187" t="s">
        <v>111</v>
      </c>
      <c r="HA34" s="187" t="s">
        <v>110</v>
      </c>
      <c r="HB34" s="187" t="s">
        <v>109</v>
      </c>
      <c r="HC34" s="187" t="s">
        <v>108</v>
      </c>
      <c r="HD34" s="187" t="s">
        <v>107</v>
      </c>
      <c r="HE34" s="187" t="s">
        <v>106</v>
      </c>
      <c r="HF34" s="187" t="s">
        <v>105</v>
      </c>
      <c r="HG34" s="187" t="s">
        <v>104</v>
      </c>
      <c r="HH34" s="187" t="s">
        <v>103</v>
      </c>
      <c r="HI34" s="187" t="s">
        <v>102</v>
      </c>
      <c r="HJ34" s="187" t="s">
        <v>101</v>
      </c>
      <c r="HK34" s="187" t="s">
        <v>100</v>
      </c>
      <c r="HL34" s="188" t="s">
        <v>99</v>
      </c>
      <c r="HM34" s="187" t="s">
        <v>98</v>
      </c>
      <c r="HN34" s="186" t="s">
        <v>113</v>
      </c>
      <c r="HO34" s="185" t="s">
        <v>223</v>
      </c>
      <c r="HT34" s="103"/>
      <c r="HU34" s="103"/>
      <c r="HV34" s="103"/>
      <c r="HW34" s="103"/>
      <c r="HX34" s="103"/>
      <c r="HY34" s="103"/>
      <c r="HZ34" s="103"/>
      <c r="IA34" s="103"/>
      <c r="IB34" s="103"/>
      <c r="IC34" s="103"/>
      <c r="ID34" s="103"/>
      <c r="IE34" s="103"/>
      <c r="IF34" s="103"/>
      <c r="IG34" s="103"/>
      <c r="IH34" s="103"/>
      <c r="II34" s="103"/>
      <c r="IJ34" s="103"/>
      <c r="IK34" s="103"/>
      <c r="IL34" s="103"/>
      <c r="IM34" s="103"/>
      <c r="IN34" s="103"/>
      <c r="IO34" s="103"/>
      <c r="IP34" s="103"/>
      <c r="IQ34" s="103"/>
      <c r="IR34" s="103"/>
      <c r="IS34" s="103"/>
      <c r="IT34" s="103"/>
      <c r="IU34" s="103"/>
      <c r="IV34" s="103"/>
      <c r="IW34" s="103"/>
      <c r="IX34" s="103"/>
      <c r="IY34" s="103"/>
      <c r="IZ34" s="103"/>
      <c r="JA34" s="103"/>
      <c r="JB34" s="103"/>
      <c r="JC34" s="103"/>
      <c r="JD34" s="103"/>
      <c r="JE34" s="103"/>
      <c r="JF34" s="103"/>
      <c r="JG34" s="103"/>
      <c r="JH34" s="103"/>
      <c r="JI34" s="103"/>
      <c r="JJ34" s="103"/>
      <c r="JK34" s="103"/>
      <c r="JL34" s="103"/>
      <c r="JM34" s="103"/>
      <c r="JN34" s="103"/>
      <c r="JO34" s="103"/>
      <c r="JP34" s="103"/>
      <c r="JQ34" s="103"/>
      <c r="JR34" s="103"/>
      <c r="JS34" s="103"/>
      <c r="JT34" s="103"/>
      <c r="JU34" s="103"/>
      <c r="JV34" s="103"/>
      <c r="JW34" s="103"/>
      <c r="JX34" s="103"/>
      <c r="JY34" s="103"/>
      <c r="JZ34" s="103"/>
      <c r="KA34" s="103"/>
      <c r="KB34" s="103"/>
      <c r="KC34" s="103"/>
      <c r="KD34" s="103"/>
      <c r="KE34" s="103"/>
      <c r="KF34" s="103"/>
      <c r="KG34" s="103"/>
      <c r="KH34" s="103"/>
      <c r="KI34" s="103"/>
      <c r="KJ34" s="103"/>
      <c r="KK34" s="103"/>
      <c r="KL34" s="103"/>
      <c r="KM34" s="103"/>
      <c r="KN34" s="103"/>
      <c r="KO34" s="103"/>
      <c r="KP34" s="103"/>
      <c r="KQ34" s="103"/>
      <c r="KR34" s="103"/>
      <c r="KS34" s="103"/>
      <c r="KT34" s="103"/>
      <c r="KU34" s="103"/>
      <c r="KV34" s="103"/>
      <c r="KW34" s="103"/>
      <c r="KX34" s="103"/>
      <c r="KY34" s="103"/>
      <c r="KZ34" s="103"/>
      <c r="LA34" s="103"/>
      <c r="LB34" s="103"/>
      <c r="LC34" s="103"/>
      <c r="LD34" s="103"/>
      <c r="LE34" s="103"/>
      <c r="LF34" s="103"/>
      <c r="LG34" s="103"/>
      <c r="LH34" s="103"/>
      <c r="LI34" s="103"/>
      <c r="LJ34" s="103"/>
      <c r="LK34" s="103"/>
      <c r="LL34" s="719"/>
      <c r="LM34" s="103"/>
    </row>
    <row r="35" spans="2:325" ht="15">
      <c r="B35" s="193" t="s">
        <v>16</v>
      </c>
      <c r="C35" s="158" t="s">
        <v>306</v>
      </c>
      <c r="D35" s="809">
        <v>3.5999999999999997E-2</v>
      </c>
      <c r="E35" s="809">
        <v>3.5999999999999997E-2</v>
      </c>
      <c r="F35" s="809">
        <v>3.5499999999999997E-2</v>
      </c>
      <c r="G35" s="167">
        <v>3.5499999999999997E-2</v>
      </c>
      <c r="H35" s="167">
        <v>3.5499999999999997E-2</v>
      </c>
      <c r="I35" s="167">
        <v>3.5499999999999997E-2</v>
      </c>
      <c r="J35" s="167">
        <v>3.5499999999999997E-2</v>
      </c>
      <c r="K35" s="167">
        <v>3.5499999999999997E-2</v>
      </c>
      <c r="L35" s="168">
        <v>3.5499999999999997E-2</v>
      </c>
      <c r="M35" s="168">
        <v>3.5999999999999997E-2</v>
      </c>
      <c r="N35" s="167">
        <v>3.7499999999999999E-2</v>
      </c>
      <c r="O35" s="167">
        <v>3.7499999999999999E-2</v>
      </c>
      <c r="P35" s="167">
        <v>3.7499999999999999E-2</v>
      </c>
      <c r="Q35" s="167">
        <v>3.7499999999999999E-2</v>
      </c>
      <c r="R35" s="167">
        <v>3.7499999999999999E-2</v>
      </c>
      <c r="S35" s="167">
        <v>3.7499999999999999E-2</v>
      </c>
      <c r="T35" s="167">
        <v>3.7499999999999999E-2</v>
      </c>
      <c r="U35" s="167">
        <v>3.7499999999999999E-2</v>
      </c>
      <c r="V35" s="168">
        <v>3.7499999999999999E-2</v>
      </c>
      <c r="W35" s="168">
        <v>3.7999999999999999E-2</v>
      </c>
      <c r="X35" s="167">
        <v>3.9E-2</v>
      </c>
      <c r="Y35" s="167">
        <v>3.9E-2</v>
      </c>
      <c r="Z35" s="167">
        <v>3.9E-2</v>
      </c>
      <c r="AA35" s="167">
        <v>3.9E-2</v>
      </c>
      <c r="AB35" s="168">
        <v>3.9E-2</v>
      </c>
      <c r="AC35" s="168">
        <v>3.95E-2</v>
      </c>
      <c r="AD35" s="168">
        <v>0.04</v>
      </c>
      <c r="AE35" s="167">
        <v>4.0500000000000001E-2</v>
      </c>
      <c r="AF35" s="168">
        <v>4.0500000000000001E-2</v>
      </c>
      <c r="AG35" s="63">
        <v>4.1000000000000002E-2</v>
      </c>
      <c r="AH35" s="168">
        <v>4.1000000000000002E-2</v>
      </c>
      <c r="AI35" s="63">
        <v>4.1799999999999997E-2</v>
      </c>
      <c r="AJ35" s="167">
        <v>4.1799999999999997E-2</v>
      </c>
      <c r="AK35" s="63">
        <v>4.1799999999999997E-2</v>
      </c>
      <c r="AL35" s="168">
        <v>4.1799999999999997E-2</v>
      </c>
      <c r="AM35" s="167">
        <v>4.2000000000000003E-2</v>
      </c>
      <c r="AN35" s="152">
        <v>4.2000000000000003E-2</v>
      </c>
      <c r="AO35" s="152">
        <v>4.2000000000000003E-2</v>
      </c>
      <c r="AP35" s="152">
        <v>4.2000000000000003E-2</v>
      </c>
      <c r="AQ35" s="152">
        <v>4.2000000000000003E-2</v>
      </c>
      <c r="AR35" s="152">
        <v>4.2000000000000003E-2</v>
      </c>
      <c r="AS35" s="152">
        <v>4.2000000000000003E-2</v>
      </c>
      <c r="AT35" s="152">
        <v>4.2000000000000003E-2</v>
      </c>
      <c r="AU35" s="152">
        <v>4.2000000000000003E-2</v>
      </c>
      <c r="AV35" s="152">
        <v>4.2000000000000003E-2</v>
      </c>
      <c r="AW35" s="152">
        <v>4.2000000000000003E-2</v>
      </c>
      <c r="AX35" s="152">
        <v>4.2000000000000003E-2</v>
      </c>
      <c r="AY35" s="152">
        <v>4.2000000000000003E-2</v>
      </c>
      <c r="AZ35" s="152">
        <v>4.2000000000000003E-2</v>
      </c>
      <c r="BA35" s="152">
        <v>4.2000000000000003E-2</v>
      </c>
      <c r="BB35" s="152">
        <v>4.2000000000000003E-2</v>
      </c>
      <c r="BC35" s="152">
        <v>4.2000000000000003E-2</v>
      </c>
      <c r="BD35" s="152">
        <v>4.2000000000000003E-2</v>
      </c>
      <c r="BE35" s="152">
        <v>4.2000000000000003E-2</v>
      </c>
      <c r="BF35" s="152">
        <v>4.2000000000000003E-2</v>
      </c>
      <c r="BG35" s="152">
        <v>4.2000000000000003E-2</v>
      </c>
      <c r="BH35" s="152">
        <v>4.2000000000000003E-2</v>
      </c>
      <c r="BI35" s="152">
        <v>4.2000000000000003E-2</v>
      </c>
      <c r="BJ35" s="152">
        <v>4.2000000000000003E-2</v>
      </c>
      <c r="BK35" s="152">
        <v>4.2999999999999997E-2</v>
      </c>
      <c r="BL35" s="152">
        <v>4.3999999999999997E-2</v>
      </c>
      <c r="BM35" s="152">
        <v>4.3999999999999997E-2</v>
      </c>
      <c r="BN35" s="152">
        <v>4.3999999999999997E-2</v>
      </c>
      <c r="BO35" s="152">
        <v>4.3999999999999997E-2</v>
      </c>
      <c r="BP35" s="152">
        <v>4.3999999999999997E-2</v>
      </c>
      <c r="BQ35" s="152">
        <v>4.3999999999999997E-2</v>
      </c>
      <c r="BR35" s="152">
        <v>4.3999999999999997E-2</v>
      </c>
      <c r="BS35" s="152">
        <v>4.3999999999999997E-2</v>
      </c>
      <c r="BT35" s="152">
        <v>4.4999999999999998E-2</v>
      </c>
      <c r="BU35" s="152">
        <v>4.4999999999999998E-2</v>
      </c>
      <c r="BV35" s="152">
        <v>4.4999999999999998E-2</v>
      </c>
      <c r="BW35" s="152">
        <v>4.4999999999999998E-2</v>
      </c>
      <c r="BX35" s="152">
        <v>4.4999999999999998E-2</v>
      </c>
      <c r="BY35" s="152">
        <v>4.5999999999999999E-2</v>
      </c>
      <c r="BZ35" s="152" t="s">
        <v>124</v>
      </c>
      <c r="CA35" s="190"/>
      <c r="CB35" s="190"/>
      <c r="CC35" s="190"/>
      <c r="CD35" s="190"/>
      <c r="CE35" s="190"/>
      <c r="CF35" s="190"/>
      <c r="CG35" s="190"/>
      <c r="CH35" s="190"/>
      <c r="CI35" s="190"/>
      <c r="CJ35" s="190"/>
      <c r="CK35" s="190"/>
      <c r="CL35" s="190"/>
      <c r="CM35" s="190"/>
      <c r="CN35" s="190"/>
      <c r="CO35" s="190"/>
      <c r="CP35" s="190"/>
      <c r="CQ35" s="190"/>
      <c r="CR35" s="190"/>
      <c r="CS35" s="190"/>
      <c r="CT35" s="190"/>
      <c r="CU35" s="190"/>
      <c r="CV35" s="190"/>
      <c r="CW35" s="190"/>
      <c r="CX35" s="190"/>
      <c r="CY35" s="190"/>
      <c r="CZ35" s="190"/>
      <c r="DA35" s="190"/>
      <c r="DB35" s="190"/>
      <c r="DC35" s="190"/>
      <c r="DD35" s="190"/>
      <c r="DE35" s="190"/>
      <c r="DF35" s="190"/>
      <c r="DG35" s="190"/>
      <c r="DH35" s="190"/>
      <c r="DI35" s="190"/>
      <c r="DJ35" s="190"/>
      <c r="DK35" s="190"/>
      <c r="DL35" s="190"/>
      <c r="DM35" s="190"/>
      <c r="DN35" s="190"/>
      <c r="DO35" s="190"/>
      <c r="DP35" s="190"/>
      <c r="DQ35" s="190"/>
      <c r="DR35" s="190"/>
      <c r="DS35" s="190"/>
      <c r="DT35" s="190"/>
      <c r="DU35" s="190"/>
      <c r="DV35" s="190"/>
      <c r="DW35" s="190"/>
      <c r="DX35" s="190"/>
      <c r="DY35" s="190"/>
      <c r="DZ35" s="190"/>
      <c r="EA35" s="190"/>
      <c r="EB35" s="190"/>
      <c r="EC35" s="190"/>
      <c r="ED35" s="190"/>
      <c r="EE35" s="190"/>
      <c r="EF35" s="190"/>
      <c r="EG35" s="190"/>
      <c r="EH35" s="190"/>
      <c r="EI35" s="190"/>
      <c r="EJ35" s="190"/>
      <c r="EK35" s="190"/>
      <c r="EL35" s="190"/>
      <c r="EM35" s="190"/>
      <c r="EN35" s="190"/>
      <c r="EO35" s="190"/>
      <c r="EP35" s="190"/>
      <c r="EQ35" s="190"/>
      <c r="ER35" s="190"/>
      <c r="ES35" s="190"/>
      <c r="ET35" s="190"/>
      <c r="EU35" s="190"/>
      <c r="EV35" s="190"/>
      <c r="EW35" s="190"/>
      <c r="EX35" s="190"/>
      <c r="EY35" s="190"/>
      <c r="EZ35" s="190"/>
      <c r="FA35" s="190"/>
      <c r="FB35" s="190"/>
      <c r="FC35" s="190"/>
      <c r="FD35" s="190"/>
      <c r="FE35" s="190"/>
      <c r="FF35" s="190"/>
      <c r="FG35" s="190"/>
      <c r="FH35" s="190"/>
      <c r="FI35" s="190"/>
      <c r="FJ35" s="190"/>
      <c r="FK35" s="190"/>
      <c r="FL35" s="190"/>
      <c r="FM35" s="190"/>
      <c r="FN35" s="190"/>
      <c r="FO35" s="190"/>
      <c r="FP35" s="190"/>
      <c r="FQ35" s="190"/>
      <c r="FR35" s="190"/>
      <c r="FS35" s="190"/>
      <c r="FT35" s="190"/>
      <c r="FU35" s="190"/>
      <c r="FV35" s="190"/>
      <c r="FW35" s="190"/>
      <c r="FX35" s="190"/>
      <c r="FY35" s="190"/>
      <c r="FZ35" s="190"/>
      <c r="GA35" s="190"/>
      <c r="GB35" s="152">
        <v>2.5000000000000001E-2</v>
      </c>
      <c r="GC35" s="152">
        <v>2.5000000000000001E-2</v>
      </c>
      <c r="GD35" s="152">
        <v>2.5000000000000001E-2</v>
      </c>
      <c r="GE35" s="152">
        <v>2.5000000000000001E-2</v>
      </c>
      <c r="GF35" s="152">
        <v>2.5000000000000001E-2</v>
      </c>
      <c r="GG35" s="152">
        <v>2.5000000000000001E-2</v>
      </c>
      <c r="GH35" s="152">
        <v>2.5000000000000001E-2</v>
      </c>
      <c r="GI35" s="152">
        <v>2.5000000000000001E-2</v>
      </c>
      <c r="GJ35" s="152">
        <v>2.5000000000000001E-2</v>
      </c>
      <c r="GK35" s="152">
        <v>2.5000000000000001E-2</v>
      </c>
      <c r="GL35" s="152">
        <v>2.5000000000000001E-2</v>
      </c>
      <c r="GM35" s="152">
        <v>2.5000000000000001E-2</v>
      </c>
      <c r="GN35" s="152">
        <v>2.5000000000000001E-2</v>
      </c>
      <c r="GO35" s="152">
        <v>2.5000000000000001E-2</v>
      </c>
      <c r="GP35" s="152">
        <v>2.5000000000000001E-2</v>
      </c>
      <c r="GQ35" s="152">
        <v>2.5000000000000001E-2</v>
      </c>
      <c r="GR35" s="152">
        <v>2.5000000000000001E-2</v>
      </c>
      <c r="GS35" s="152">
        <v>2.5000000000000001E-2</v>
      </c>
      <c r="GT35" s="152">
        <v>2.5000000000000001E-2</v>
      </c>
      <c r="GU35" s="152">
        <v>2.5000000000000001E-2</v>
      </c>
      <c r="GV35" s="152">
        <v>2.5000000000000001E-2</v>
      </c>
      <c r="GW35" s="152">
        <v>2.5000000000000001E-2</v>
      </c>
      <c r="GX35" s="152">
        <v>2.5000000000000001E-2</v>
      </c>
      <c r="GY35" s="152">
        <v>2.5000000000000001E-2</v>
      </c>
      <c r="GZ35" s="152">
        <v>2.5000000000000001E-2</v>
      </c>
      <c r="HA35" s="152">
        <v>2.5000000000000001E-2</v>
      </c>
      <c r="HB35" s="152">
        <v>2.5000000000000001E-2</v>
      </c>
      <c r="HC35" s="152">
        <v>2.5000000000000001E-2</v>
      </c>
      <c r="HD35" s="152">
        <v>2.5000000000000001E-2</v>
      </c>
      <c r="HE35" s="152">
        <v>2.5000000000000001E-2</v>
      </c>
      <c r="HF35" s="152">
        <v>2.5000000000000001E-2</v>
      </c>
      <c r="HG35" s="152">
        <v>2.5000000000000001E-2</v>
      </c>
      <c r="HH35" s="152">
        <v>2.5000000000000001E-2</v>
      </c>
      <c r="HI35" s="152">
        <v>2.5000000000000001E-2</v>
      </c>
      <c r="HJ35" s="152">
        <v>2.5000000000000001E-2</v>
      </c>
      <c r="HK35" s="152">
        <v>2.5000000000000001E-2</v>
      </c>
      <c r="HL35" s="152">
        <v>2.5000000000000001E-2</v>
      </c>
      <c r="HM35" s="152">
        <v>2.5000000000000001E-2</v>
      </c>
      <c r="HN35" s="41">
        <f t="shared" ref="HN35:HN46" si="11">$D35-$E35</f>
        <v>0</v>
      </c>
      <c r="HO35" s="109" t="s">
        <v>298</v>
      </c>
      <c r="HT35" s="103"/>
      <c r="HU35" s="103"/>
      <c r="HV35" s="103"/>
      <c r="HW35" s="103"/>
      <c r="HX35" s="103"/>
      <c r="HY35" s="103"/>
      <c r="HZ35" s="103"/>
      <c r="IA35" s="103"/>
      <c r="IB35" s="103"/>
      <c r="IC35" s="103"/>
      <c r="ID35" s="103"/>
      <c r="IE35" s="103"/>
      <c r="IF35" s="103"/>
      <c r="IG35" s="103"/>
      <c r="IH35" s="103"/>
      <c r="II35" s="103"/>
      <c r="IJ35" s="103"/>
      <c r="IK35" s="103"/>
      <c r="IL35" s="103"/>
      <c r="IM35" s="103"/>
      <c r="IN35" s="103"/>
      <c r="IO35" s="103"/>
      <c r="IP35" s="103"/>
      <c r="IQ35" s="103"/>
      <c r="IR35" s="103"/>
      <c r="IS35" s="103"/>
      <c r="IT35" s="103"/>
      <c r="IU35" s="103"/>
      <c r="IV35" s="103"/>
      <c r="IW35" s="103"/>
      <c r="IX35" s="103"/>
      <c r="IY35" s="103"/>
      <c r="IZ35" s="103"/>
      <c r="JA35" s="103"/>
      <c r="JB35" s="103"/>
      <c r="JC35" s="103"/>
      <c r="JD35" s="103"/>
      <c r="JE35" s="103"/>
      <c r="JF35" s="103"/>
      <c r="JG35" s="103"/>
      <c r="JH35" s="103"/>
      <c r="JI35" s="103"/>
      <c r="JJ35" s="103"/>
      <c r="JK35" s="103"/>
      <c r="JL35" s="103"/>
      <c r="JM35" s="103"/>
      <c r="JN35" s="103"/>
      <c r="JO35" s="103"/>
      <c r="JP35" s="103"/>
      <c r="JQ35" s="103"/>
      <c r="JR35" s="103"/>
      <c r="JS35" s="103"/>
      <c r="JT35" s="103"/>
      <c r="JU35" s="103"/>
      <c r="JV35" s="103"/>
      <c r="JW35" s="103"/>
      <c r="JX35" s="103"/>
      <c r="JY35" s="103"/>
      <c r="JZ35" s="103"/>
      <c r="KA35" s="103"/>
      <c r="KB35" s="103"/>
      <c r="KC35" s="103"/>
      <c r="KD35" s="103"/>
      <c r="KE35" s="103"/>
      <c r="KF35" s="103"/>
      <c r="KG35" s="103"/>
      <c r="KH35" s="103"/>
      <c r="KI35" s="103"/>
      <c r="KJ35" s="103"/>
      <c r="KK35" s="103"/>
      <c r="KL35" s="103"/>
      <c r="KM35" s="103"/>
      <c r="KN35" s="103"/>
      <c r="KO35" s="103"/>
      <c r="KP35" s="103"/>
      <c r="KQ35" s="103"/>
      <c r="KR35" s="103"/>
      <c r="KS35" s="103"/>
      <c r="KT35" s="103"/>
      <c r="KU35" s="103"/>
      <c r="KV35" s="103"/>
      <c r="KW35" s="103"/>
      <c r="KX35" s="103"/>
      <c r="KY35" s="103"/>
      <c r="KZ35" s="103"/>
      <c r="LA35" s="103"/>
      <c r="LB35" s="103"/>
      <c r="LC35" s="103"/>
      <c r="LD35" s="103"/>
      <c r="LE35" s="103"/>
      <c r="LF35" s="103"/>
      <c r="LG35" s="103"/>
      <c r="LH35" s="103"/>
      <c r="LI35" s="103"/>
      <c r="LJ35" s="103"/>
      <c r="LK35" s="103"/>
      <c r="LL35" s="103"/>
      <c r="LM35" s="103"/>
    </row>
    <row r="36" spans="2:325" hidden="1">
      <c r="B36" s="1074" t="s">
        <v>46</v>
      </c>
      <c r="C36" s="165" t="s">
        <v>788</v>
      </c>
      <c r="D36" s="813"/>
      <c r="E36" s="813"/>
      <c r="F36" s="813"/>
      <c r="G36" s="813"/>
      <c r="H36" s="168">
        <v>3.6499999999999998E-2</v>
      </c>
      <c r="I36" s="167"/>
      <c r="J36" s="168"/>
      <c r="K36" s="168">
        <v>3.6999999999999998E-2</v>
      </c>
      <c r="L36" s="168">
        <v>3.5999999999999997E-2</v>
      </c>
      <c r="M36" s="167">
        <v>3.6999999999999998E-2</v>
      </c>
      <c r="N36" s="168">
        <v>3.6999999999999998E-2</v>
      </c>
      <c r="O36" s="167">
        <v>3.7999999999999999E-2</v>
      </c>
      <c r="P36" s="167">
        <v>3.7999999999999999E-2</v>
      </c>
      <c r="Q36" s="167">
        <v>3.7999999999999999E-2</v>
      </c>
      <c r="R36" s="167">
        <v>3.7999999999999999E-2</v>
      </c>
      <c r="S36" s="167">
        <v>3.5000000000000003E-2</v>
      </c>
      <c r="T36" s="167">
        <v>3.5000000000000003E-2</v>
      </c>
      <c r="U36" s="167">
        <v>3.5000000000000003E-2</v>
      </c>
      <c r="V36" s="167">
        <v>3.5000000000000003E-2</v>
      </c>
      <c r="W36" s="168">
        <v>3.5000000000000003E-2</v>
      </c>
      <c r="X36" s="168">
        <v>3.5999999999999997E-2</v>
      </c>
      <c r="Y36" s="168">
        <v>3.6999999999999998E-2</v>
      </c>
      <c r="Z36" s="167">
        <v>3.7999999999999999E-2</v>
      </c>
      <c r="AA36" s="167">
        <v>3.7999999999999999E-2</v>
      </c>
      <c r="AB36" s="168">
        <v>3.7999999999999999E-2</v>
      </c>
      <c r="AC36" s="167">
        <v>3.9E-2</v>
      </c>
      <c r="AD36" s="167">
        <v>3.9E-2</v>
      </c>
      <c r="AE36" s="167">
        <v>3.9E-2</v>
      </c>
      <c r="AF36" s="63">
        <v>3.9E-2</v>
      </c>
      <c r="AG36" s="63">
        <v>3.9E-2</v>
      </c>
      <c r="AH36" s="168">
        <v>3.9E-2</v>
      </c>
      <c r="AI36" s="63">
        <v>0.04</v>
      </c>
      <c r="AJ36" s="167">
        <v>0.04</v>
      </c>
      <c r="AK36" s="63">
        <v>0.04</v>
      </c>
      <c r="AL36" s="108">
        <v>0.04</v>
      </c>
      <c r="AM36" s="167">
        <v>0.04</v>
      </c>
      <c r="AN36" s="152">
        <v>0.04</v>
      </c>
      <c r="AO36" s="152">
        <v>0.04</v>
      </c>
      <c r="AP36" s="152">
        <v>0.04</v>
      </c>
      <c r="AQ36" s="152">
        <v>0.04</v>
      </c>
      <c r="AR36" s="152">
        <v>0.04</v>
      </c>
      <c r="AS36" s="152">
        <v>0.04</v>
      </c>
      <c r="AT36" s="152">
        <v>0.04</v>
      </c>
      <c r="AU36" s="152">
        <v>0.04</v>
      </c>
      <c r="AV36" s="152">
        <v>0.04</v>
      </c>
      <c r="AW36" s="152">
        <v>0.04</v>
      </c>
      <c r="AX36" s="152">
        <v>3.9E-2</v>
      </c>
      <c r="AY36" s="152">
        <v>3.9E-2</v>
      </c>
      <c r="AZ36" s="152">
        <v>3.9E-2</v>
      </c>
      <c r="BA36" s="152">
        <v>3.9E-2</v>
      </c>
      <c r="BB36" s="107">
        <v>3.9E-2</v>
      </c>
      <c r="BC36" s="152">
        <v>4.2000000000000003E-2</v>
      </c>
      <c r="BD36" s="152">
        <v>4.2000000000000003E-2</v>
      </c>
      <c r="BE36" s="152">
        <v>4.2000000000000003E-2</v>
      </c>
      <c r="BF36" s="152">
        <v>4.1000000000000002E-2</v>
      </c>
      <c r="BG36" s="152">
        <v>4.1000000000000002E-2</v>
      </c>
      <c r="BH36" s="152">
        <v>4.1000000000000002E-2</v>
      </c>
      <c r="BI36" s="152">
        <v>4.1000000000000002E-2</v>
      </c>
      <c r="BJ36" s="152">
        <v>4.1000000000000002E-2</v>
      </c>
      <c r="BK36" s="152">
        <v>4.1000000000000002E-2</v>
      </c>
      <c r="BL36" s="152">
        <v>4.1000000000000002E-2</v>
      </c>
      <c r="BM36" s="152">
        <v>4.2999999999999997E-2</v>
      </c>
      <c r="BN36" s="152">
        <v>4.2999999999999997E-2</v>
      </c>
      <c r="BO36" s="152">
        <v>4.2999999999999997E-2</v>
      </c>
      <c r="BP36" s="152">
        <v>4.2999999999999997E-2</v>
      </c>
      <c r="BQ36" s="152">
        <v>4.2999999999999997E-2</v>
      </c>
      <c r="BR36" s="152">
        <v>4.2999999999999997E-2</v>
      </c>
      <c r="BS36" s="152">
        <v>4.2999999999999997E-2</v>
      </c>
      <c r="BT36" s="152">
        <v>4.2999999999999997E-2</v>
      </c>
      <c r="BU36" s="152"/>
      <c r="BV36" s="152">
        <v>4.4999999999999998E-2</v>
      </c>
      <c r="BW36" s="152">
        <v>4.4999999999999998E-2</v>
      </c>
      <c r="BX36" s="152">
        <v>4.4999999999999998E-2</v>
      </c>
      <c r="BY36" s="152">
        <v>4.4999999999999998E-2</v>
      </c>
      <c r="BZ36" s="152">
        <v>4.8000000000000001E-2</v>
      </c>
      <c r="CA36" s="152">
        <v>4.8000000000000001E-2</v>
      </c>
      <c r="CB36" s="152">
        <v>4.8000000000000001E-2</v>
      </c>
      <c r="CC36" s="152">
        <v>4.5999999999999999E-2</v>
      </c>
      <c r="CD36" s="152">
        <v>4.5999999999999999E-2</v>
      </c>
      <c r="CE36" s="152">
        <v>4.5999999999999999E-2</v>
      </c>
      <c r="CF36" s="152">
        <v>4.5999999999999999E-2</v>
      </c>
      <c r="CG36" s="152">
        <v>3.8834E-2</v>
      </c>
      <c r="CH36" s="152">
        <v>3.8857999999999997E-2</v>
      </c>
      <c r="CI36" s="152">
        <v>3.9039999999999998E-2</v>
      </c>
      <c r="CJ36" s="152">
        <v>3.9182000000000002E-2</v>
      </c>
      <c r="CK36" s="152">
        <v>3.9393999999999998E-2</v>
      </c>
      <c r="CL36" s="152">
        <v>3.9435999999999999E-2</v>
      </c>
      <c r="CM36" s="152">
        <v>3.9432000000000002E-2</v>
      </c>
      <c r="CN36" s="152">
        <v>3.9428999999999999E-2</v>
      </c>
      <c r="CO36" s="152">
        <v>3.9428999999999999E-2</v>
      </c>
      <c r="CP36" s="152">
        <v>3.9267000000000003E-2</v>
      </c>
      <c r="CQ36" s="152">
        <v>3.9224000000000002E-2</v>
      </c>
      <c r="CR36" s="152">
        <v>3.9211999999999997E-2</v>
      </c>
      <c r="CS36" s="152">
        <v>3.9267999999999997E-2</v>
      </c>
      <c r="CT36" s="152">
        <v>3.9170999999999997E-2</v>
      </c>
      <c r="CU36" s="196">
        <v>3.9170999999999997E-2</v>
      </c>
      <c r="CV36" s="196">
        <v>3.8972E-2</v>
      </c>
      <c r="CW36" s="196">
        <v>3.9080999999999998E-2</v>
      </c>
      <c r="CX36" s="196">
        <v>3.9076E-2</v>
      </c>
      <c r="CY36" s="196">
        <v>3.9052000000000003E-2</v>
      </c>
      <c r="CZ36" s="196">
        <v>3.9052000000000003E-2</v>
      </c>
      <c r="DA36" s="196">
        <v>3.9264E-2</v>
      </c>
      <c r="DB36" s="196">
        <v>3.9432000000000002E-2</v>
      </c>
      <c r="DC36" s="196">
        <v>3.9070000000000001E-2</v>
      </c>
      <c r="DD36" s="196">
        <v>3.9070000000000001E-2</v>
      </c>
      <c r="DE36" s="196">
        <v>3.9161000000000001E-2</v>
      </c>
      <c r="DF36" s="196">
        <v>3.9064000000000002E-2</v>
      </c>
      <c r="DG36" s="196">
        <v>3.9246999999999997E-2</v>
      </c>
      <c r="DH36" s="196">
        <v>3.8199999999999998E-2</v>
      </c>
      <c r="DI36" s="196">
        <v>3.9233999999999998E-2</v>
      </c>
      <c r="DJ36" s="196">
        <v>3.9273000000000002E-2</v>
      </c>
      <c r="DK36" s="196">
        <v>3.9479E-2</v>
      </c>
      <c r="DL36" s="196">
        <v>3.9745999999999997E-2</v>
      </c>
      <c r="DM36" s="196">
        <v>3.9861000000000001E-2</v>
      </c>
      <c r="DN36" s="196">
        <v>3.9761999999999999E-2</v>
      </c>
      <c r="DO36" s="196">
        <v>3.9882000000000001E-2</v>
      </c>
      <c r="DP36" s="196">
        <v>3.9708E-2</v>
      </c>
      <c r="DQ36" s="196">
        <v>3.9902E-2</v>
      </c>
      <c r="DR36" s="196">
        <v>3.9656999999999998E-2</v>
      </c>
      <c r="DS36" s="196">
        <v>3.9828000000000002E-2</v>
      </c>
      <c r="DT36" s="196">
        <v>3.9795999999999998E-2</v>
      </c>
      <c r="DU36" s="196">
        <v>3.9967999999999997E-2</v>
      </c>
      <c r="DV36" s="196">
        <v>4.0245799999999998E-2</v>
      </c>
      <c r="DW36" s="196">
        <v>3.9997999999999999E-2</v>
      </c>
      <c r="DX36" s="196">
        <v>3.9969999999999999E-2</v>
      </c>
      <c r="DY36" s="196">
        <v>4.0082E-2</v>
      </c>
      <c r="DZ36" s="196">
        <v>3.9911000000000002E-2</v>
      </c>
      <c r="EA36" s="196">
        <v>4.0174000000000001E-2</v>
      </c>
      <c r="EB36" s="196">
        <v>3.9773000000000003E-2</v>
      </c>
      <c r="EC36" s="196">
        <v>3.9718000000000003E-2</v>
      </c>
      <c r="ED36" s="196">
        <v>3.9698999999999998E-2</v>
      </c>
      <c r="EE36" s="196">
        <v>3.9663999999999998E-2</v>
      </c>
      <c r="EF36" s="196">
        <v>3.9573999999999998E-2</v>
      </c>
      <c r="EG36" s="196">
        <v>2.2474000000000001E-2</v>
      </c>
      <c r="EH36" s="196">
        <v>2.419E-2</v>
      </c>
      <c r="EI36" s="196">
        <v>2.3671999999999999E-2</v>
      </c>
      <c r="EJ36" s="196">
        <v>1.8238999999999998E-2</v>
      </c>
      <c r="EK36" s="196">
        <v>2.2468999999999999E-2</v>
      </c>
      <c r="EL36" s="196">
        <v>3.7509000000000001E-2</v>
      </c>
      <c r="EM36" s="196">
        <v>3.6896999999999999E-2</v>
      </c>
      <c r="EN36" s="196">
        <v>3.6721999999999998E-2</v>
      </c>
      <c r="EO36" s="196">
        <v>3.7114000000000001E-2</v>
      </c>
      <c r="EP36" s="196">
        <v>3.6679999999999997E-2</v>
      </c>
      <c r="EQ36" s="196">
        <v>3.6278999999999999E-2</v>
      </c>
      <c r="ER36" s="196">
        <v>3.5587000000000001E-2</v>
      </c>
      <c r="ES36" s="196">
        <v>3.5085999999999999E-2</v>
      </c>
      <c r="ET36" s="196">
        <v>3.5012000000000001E-2</v>
      </c>
      <c r="EU36" s="196">
        <v>3.4854999999999997E-2</v>
      </c>
      <c r="EV36" s="152">
        <v>3.3300000000000003E-2</v>
      </c>
      <c r="EW36" s="152">
        <v>3.3799999999999997E-2</v>
      </c>
      <c r="EX36" s="196">
        <v>3.5416999999999997E-2</v>
      </c>
      <c r="EY36" s="196">
        <v>3.5062999999999997E-2</v>
      </c>
      <c r="EZ36" s="196">
        <v>3.4109E-2</v>
      </c>
      <c r="FA36" s="196">
        <v>3.4107999999999999E-2</v>
      </c>
      <c r="FB36" s="196">
        <v>3.3570999999999997E-2</v>
      </c>
      <c r="FC36" s="196">
        <v>3.3316999999999999E-2</v>
      </c>
      <c r="FD36" s="196">
        <v>3.3035000000000002E-2</v>
      </c>
      <c r="FE36" s="196">
        <v>3.6415999999999997E-2</v>
      </c>
      <c r="FF36" s="196">
        <v>3.2849999999999997E-2</v>
      </c>
      <c r="FG36" s="196">
        <v>3.2375000000000001E-2</v>
      </c>
      <c r="FH36" s="196">
        <v>3.1996999999999998E-2</v>
      </c>
      <c r="FI36" s="196">
        <v>3.1574999999999999E-2</v>
      </c>
      <c r="FJ36" s="196">
        <v>3.0318000000000001E-2</v>
      </c>
      <c r="FK36" s="196">
        <v>3.0984999999999999E-2</v>
      </c>
      <c r="FL36" s="196">
        <v>3.049E-2</v>
      </c>
      <c r="FM36" s="196">
        <v>2.9697999999999999E-2</v>
      </c>
      <c r="FN36" s="196">
        <v>2.8753999999999998E-2</v>
      </c>
      <c r="FO36" s="196">
        <v>2.8603E-2</v>
      </c>
      <c r="FP36" s="196">
        <v>2.7909E-2</v>
      </c>
      <c r="FQ36" s="196">
        <v>2.6955E-2</v>
      </c>
      <c r="FR36" s="196">
        <v>2.605E-2</v>
      </c>
      <c r="FS36" s="196">
        <v>2.3890000000000002E-2</v>
      </c>
      <c r="FT36" s="196">
        <v>3.8531999999999997E-2</v>
      </c>
      <c r="FU36" s="196">
        <v>3.8636999999999998E-2</v>
      </c>
      <c r="FV36" s="196">
        <v>3.8995000000000002E-2</v>
      </c>
      <c r="FW36" s="196">
        <v>3.8995000000000002E-2</v>
      </c>
      <c r="FX36" s="196">
        <v>3.8686999999999999E-2</v>
      </c>
      <c r="FY36" s="196">
        <v>3.8386999999999998E-2</v>
      </c>
      <c r="FZ36" s="196">
        <v>3.8203000000000001E-2</v>
      </c>
      <c r="GA36" s="196">
        <v>3.8543000000000001E-2</v>
      </c>
      <c r="GB36" s="196">
        <v>2.3671999999999999E-2</v>
      </c>
      <c r="GC36" s="196">
        <v>2.3671999999999999E-2</v>
      </c>
      <c r="GD36" s="196">
        <v>2.3671999999999999E-2</v>
      </c>
      <c r="GE36" s="196">
        <v>2.3671999999999999E-2</v>
      </c>
      <c r="GF36" s="196">
        <v>2.3671999999999999E-2</v>
      </c>
      <c r="GG36" s="196">
        <v>2.3671999999999999E-2</v>
      </c>
      <c r="GH36" s="196">
        <v>2.3671999999999999E-2</v>
      </c>
      <c r="GI36" s="196">
        <v>2.3671999999999999E-2</v>
      </c>
      <c r="GJ36" s="196">
        <v>2.3671999999999999E-2</v>
      </c>
      <c r="GK36" s="196">
        <v>2.3671999999999999E-2</v>
      </c>
      <c r="GL36" s="196">
        <v>2.3671999999999999E-2</v>
      </c>
      <c r="GM36" s="196">
        <v>2.3671999999999999E-2</v>
      </c>
      <c r="GN36" s="196">
        <v>2.3671999999999999E-2</v>
      </c>
      <c r="GO36" s="196">
        <v>2.3671999999999999E-2</v>
      </c>
      <c r="GP36" s="196">
        <v>2.3671999999999999E-2</v>
      </c>
      <c r="GQ36" s="196">
        <v>2.3671999999999999E-2</v>
      </c>
      <c r="GR36" s="196">
        <v>2.3671999999999999E-2</v>
      </c>
      <c r="GS36" s="196">
        <v>2.3671999999999999E-2</v>
      </c>
      <c r="GT36" s="196">
        <v>2.3671999999999999E-2</v>
      </c>
      <c r="GU36" s="196">
        <v>2.3671999999999999E-2</v>
      </c>
      <c r="GV36" s="196">
        <v>2.3671999999999999E-2</v>
      </c>
      <c r="GW36" s="196">
        <v>2.3671999999999999E-2</v>
      </c>
      <c r="GX36" s="196">
        <v>2.3671999999999999E-2</v>
      </c>
      <c r="GY36" s="196">
        <v>2.3671999999999999E-2</v>
      </c>
      <c r="GZ36" s="196">
        <v>2.3671999999999999E-2</v>
      </c>
      <c r="HA36" s="196">
        <v>2.3671999999999999E-2</v>
      </c>
      <c r="HB36" s="196">
        <v>2.3671999999999999E-2</v>
      </c>
      <c r="HC36" s="196">
        <v>2.3671999999999999E-2</v>
      </c>
      <c r="HD36" s="196">
        <v>2.3671999999999999E-2</v>
      </c>
      <c r="HE36" s="196">
        <v>2.3671999999999999E-2</v>
      </c>
      <c r="HF36" s="196">
        <v>2.3671999999999999E-2</v>
      </c>
      <c r="HG36" s="196">
        <v>2.3671999999999999E-2</v>
      </c>
      <c r="HH36" s="196">
        <v>2.3671999999999999E-2</v>
      </c>
      <c r="HI36" s="196">
        <v>2.3671999999999999E-2</v>
      </c>
      <c r="HJ36" s="196">
        <v>2.3671999999999999E-2</v>
      </c>
      <c r="HK36" s="196">
        <v>2.3671999999999999E-2</v>
      </c>
      <c r="HL36" s="196">
        <v>2.3671999999999999E-2</v>
      </c>
      <c r="HM36" s="196">
        <v>2.3671999999999999E-2</v>
      </c>
      <c r="HN36" s="41">
        <f t="shared" si="11"/>
        <v>0</v>
      </c>
      <c r="HO36" s="195" t="s">
        <v>304</v>
      </c>
      <c r="HT36" s="103"/>
      <c r="HU36" s="103"/>
      <c r="HV36" s="103"/>
      <c r="HW36" s="103"/>
      <c r="HX36" s="103"/>
      <c r="HY36" s="103"/>
      <c r="HZ36" s="103"/>
      <c r="IA36" s="103"/>
      <c r="IB36" s="103"/>
      <c r="IC36" s="103"/>
      <c r="ID36" s="103"/>
      <c r="IE36" s="103"/>
      <c r="IF36" s="103"/>
      <c r="IG36" s="103"/>
      <c r="IH36" s="103"/>
      <c r="II36" s="103"/>
      <c r="IJ36" s="103"/>
      <c r="IK36" s="103"/>
      <c r="IL36" s="103"/>
      <c r="IM36" s="103"/>
      <c r="IN36" s="103"/>
      <c r="IO36" s="103"/>
      <c r="IP36" s="103"/>
      <c r="IQ36" s="103"/>
      <c r="IR36" s="103"/>
      <c r="IS36" s="103"/>
      <c r="IT36" s="103"/>
      <c r="IU36" s="103"/>
      <c r="IV36" s="103"/>
      <c r="IW36" s="103"/>
      <c r="IX36" s="103"/>
      <c r="IY36" s="103"/>
      <c r="IZ36" s="103"/>
      <c r="JA36" s="103"/>
      <c r="JB36" s="103"/>
      <c r="JC36" s="103"/>
      <c r="JD36" s="103"/>
      <c r="JE36" s="103"/>
      <c r="JF36" s="103"/>
      <c r="JG36" s="103"/>
      <c r="JH36" s="103"/>
      <c r="JI36" s="103"/>
      <c r="JJ36" s="103"/>
      <c r="JK36" s="103"/>
      <c r="JL36" s="103"/>
      <c r="JM36" s="103"/>
      <c r="JN36" s="103"/>
      <c r="JO36" s="103"/>
      <c r="JP36" s="103"/>
      <c r="JQ36" s="103"/>
      <c r="JR36" s="103"/>
      <c r="JS36" s="103"/>
      <c r="JT36" s="103"/>
      <c r="JU36" s="103"/>
      <c r="JV36" s="103"/>
      <c r="JW36" s="103"/>
      <c r="JX36" s="103"/>
      <c r="JY36" s="103"/>
      <c r="JZ36" s="103"/>
      <c r="KA36" s="103"/>
      <c r="KB36" s="103"/>
      <c r="KC36" s="103"/>
      <c r="KD36" s="103"/>
      <c r="KE36" s="103"/>
      <c r="KF36" s="103"/>
      <c r="KG36" s="103"/>
      <c r="KH36" s="103"/>
      <c r="KI36" s="103"/>
      <c r="KJ36" s="103"/>
      <c r="KK36" s="103"/>
      <c r="KL36" s="103"/>
      <c r="KM36" s="103"/>
      <c r="KN36" s="103"/>
      <c r="KO36" s="103"/>
      <c r="KP36" s="103"/>
      <c r="KQ36" s="103"/>
      <c r="KR36" s="103"/>
      <c r="KS36" s="103"/>
      <c r="KT36" s="103"/>
      <c r="KU36" s="103"/>
      <c r="KV36" s="103"/>
      <c r="KW36" s="103"/>
      <c r="KX36" s="103"/>
      <c r="KY36" s="103"/>
      <c r="KZ36" s="103"/>
      <c r="LA36" s="103"/>
      <c r="LB36" s="103"/>
      <c r="LC36" s="103"/>
      <c r="LD36" s="103"/>
      <c r="LE36" s="103"/>
      <c r="LF36" s="103"/>
      <c r="LG36" s="103"/>
      <c r="LH36" s="103"/>
      <c r="LI36" s="103"/>
      <c r="LJ36" s="103"/>
      <c r="LK36" s="103"/>
      <c r="LL36" s="788" t="s">
        <v>786</v>
      </c>
      <c r="LM36" s="103"/>
    </row>
    <row r="37" spans="2:325" hidden="1">
      <c r="B37" s="1074"/>
      <c r="C37" s="165" t="s">
        <v>789</v>
      </c>
      <c r="D37" s="813"/>
      <c r="E37" s="813"/>
      <c r="F37" s="813"/>
      <c r="G37" s="813"/>
      <c r="H37" s="168">
        <v>3.6999999999999998E-2</v>
      </c>
      <c r="I37" s="167"/>
      <c r="J37" s="168"/>
      <c r="K37" s="168">
        <v>3.7999999999999999E-2</v>
      </c>
      <c r="L37" s="168">
        <v>3.6999999999999998E-2</v>
      </c>
      <c r="M37" s="167">
        <v>3.7999999999999999E-2</v>
      </c>
      <c r="N37" s="168">
        <v>3.7999999999999999E-2</v>
      </c>
      <c r="O37" s="167">
        <v>3.9E-2</v>
      </c>
      <c r="P37" s="167">
        <v>3.9E-2</v>
      </c>
      <c r="Q37" s="167">
        <v>3.9E-2</v>
      </c>
      <c r="R37" s="167">
        <v>3.9E-2</v>
      </c>
      <c r="S37" s="167">
        <v>3.5999999999999997E-2</v>
      </c>
      <c r="T37" s="167">
        <v>3.5999999999999997E-2</v>
      </c>
      <c r="U37" s="167">
        <v>3.5999999999999997E-2</v>
      </c>
      <c r="V37" s="167">
        <v>3.5999999999999997E-2</v>
      </c>
      <c r="W37" s="168">
        <v>3.5999999999999997E-2</v>
      </c>
      <c r="X37" s="168">
        <v>3.6999999999999998E-2</v>
      </c>
      <c r="Y37" s="168">
        <v>3.7999999999999999E-2</v>
      </c>
      <c r="Z37" s="167">
        <v>3.9E-2</v>
      </c>
      <c r="AA37" s="167">
        <v>3.9E-2</v>
      </c>
      <c r="AB37" s="168">
        <v>3.9E-2</v>
      </c>
      <c r="AC37" s="167">
        <v>0.04</v>
      </c>
      <c r="AD37" s="167">
        <v>0.04</v>
      </c>
      <c r="AE37" s="167">
        <v>0.04</v>
      </c>
      <c r="AF37" s="63">
        <v>0.04</v>
      </c>
      <c r="AG37" s="63">
        <v>0.04</v>
      </c>
      <c r="AH37" s="168">
        <v>0.04</v>
      </c>
      <c r="AI37" s="63">
        <v>4.1000000000000002E-2</v>
      </c>
      <c r="AJ37" s="167">
        <v>4.1000000000000002E-2</v>
      </c>
      <c r="AK37" s="63">
        <v>4.1000000000000002E-2</v>
      </c>
      <c r="AL37" s="108">
        <v>4.1000000000000002E-2</v>
      </c>
      <c r="AM37" s="167">
        <v>4.1000000000000002E-2</v>
      </c>
      <c r="AN37" s="152">
        <v>4.1000000000000002E-2</v>
      </c>
      <c r="AO37" s="152">
        <v>4.1000000000000002E-2</v>
      </c>
      <c r="AP37" s="152">
        <v>4.1000000000000002E-2</v>
      </c>
      <c r="AQ37" s="152">
        <v>4.1000000000000002E-2</v>
      </c>
      <c r="AR37" s="152">
        <v>4.1000000000000002E-2</v>
      </c>
      <c r="AS37" s="152">
        <v>4.1000000000000002E-2</v>
      </c>
      <c r="AT37" s="152">
        <v>4.1000000000000002E-2</v>
      </c>
      <c r="AU37" s="152">
        <v>4.1000000000000002E-2</v>
      </c>
      <c r="AV37" s="152">
        <v>4.1000000000000002E-2</v>
      </c>
      <c r="AW37" s="152">
        <v>4.1000000000000002E-2</v>
      </c>
      <c r="AX37" s="152">
        <v>0.04</v>
      </c>
      <c r="AY37" s="152">
        <v>0.04</v>
      </c>
      <c r="AZ37" s="152">
        <v>0.04</v>
      </c>
      <c r="BA37" s="152">
        <v>0.04</v>
      </c>
      <c r="BB37" s="107">
        <v>0.04</v>
      </c>
      <c r="BC37" s="152">
        <v>4.2999999999999997E-2</v>
      </c>
      <c r="BD37" s="152">
        <v>4.2999999999999997E-2</v>
      </c>
      <c r="BE37" s="152">
        <v>4.2999999999999997E-2</v>
      </c>
      <c r="BF37" s="152">
        <v>4.2000000000000003E-2</v>
      </c>
      <c r="BG37" s="152">
        <v>4.2000000000000003E-2</v>
      </c>
      <c r="BH37" s="152">
        <v>4.2000000000000003E-2</v>
      </c>
      <c r="BI37" s="152">
        <v>4.2000000000000003E-2</v>
      </c>
      <c r="BJ37" s="152">
        <v>4.2000000000000003E-2</v>
      </c>
      <c r="BK37" s="152">
        <v>4.2000000000000003E-2</v>
      </c>
      <c r="BL37" s="152">
        <v>4.2000000000000003E-2</v>
      </c>
      <c r="BM37" s="152">
        <v>4.3999999999999997E-2</v>
      </c>
      <c r="BN37" s="152">
        <v>4.3999999999999997E-2</v>
      </c>
      <c r="BO37" s="152">
        <v>4.3999999999999997E-2</v>
      </c>
      <c r="BP37" s="152">
        <v>4.3999999999999997E-2</v>
      </c>
      <c r="BQ37" s="152">
        <v>4.3999999999999997E-2</v>
      </c>
      <c r="BR37" s="152">
        <v>4.3999999999999997E-2</v>
      </c>
      <c r="BS37" s="152">
        <v>4.3999999999999997E-2</v>
      </c>
      <c r="BT37" s="152">
        <v>4.3999999999999997E-2</v>
      </c>
      <c r="BU37" s="152"/>
      <c r="BV37" s="152">
        <v>4.5999999999999999E-2</v>
      </c>
      <c r="BW37" s="152">
        <v>4.5999999999999999E-2</v>
      </c>
      <c r="BX37" s="152">
        <v>4.5999999999999999E-2</v>
      </c>
      <c r="BY37" s="152">
        <v>4.5999999999999999E-2</v>
      </c>
      <c r="BZ37" s="152">
        <v>4.9000000000000002E-2</v>
      </c>
      <c r="CA37" s="152">
        <v>4.9000000000000002E-2</v>
      </c>
      <c r="CB37" s="152">
        <v>4.9000000000000002E-2</v>
      </c>
      <c r="CC37" s="152">
        <v>4.7E-2</v>
      </c>
      <c r="CD37" s="152">
        <v>4.7E-2</v>
      </c>
      <c r="CE37" s="152">
        <v>4.7E-2</v>
      </c>
      <c r="CF37" s="152">
        <v>4.7E-2</v>
      </c>
      <c r="CG37" s="152">
        <v>3.9834000000000001E-2</v>
      </c>
      <c r="CH37" s="152">
        <v>3.9857999999999998E-2</v>
      </c>
      <c r="CI37" s="152">
        <v>4.0039999999999999E-2</v>
      </c>
      <c r="CJ37" s="152">
        <v>4.0182000000000002E-2</v>
      </c>
      <c r="CK37" s="152">
        <v>4.0393999999999999E-2</v>
      </c>
      <c r="CL37" s="152">
        <v>4.0436E-2</v>
      </c>
      <c r="CM37" s="152">
        <v>4.0432000000000003E-2</v>
      </c>
      <c r="CN37" s="152">
        <v>4.0429E-2</v>
      </c>
      <c r="CO37" s="152">
        <v>4.0429E-2</v>
      </c>
      <c r="CP37" s="152">
        <v>4.0266999999999997E-2</v>
      </c>
      <c r="CQ37" s="152">
        <v>4.0224000000000003E-2</v>
      </c>
      <c r="CR37" s="152">
        <v>4.0211999999999998E-2</v>
      </c>
      <c r="CS37" s="152">
        <v>4.0268999999999999E-2</v>
      </c>
      <c r="CT37" s="152">
        <v>4.0170999999999998E-2</v>
      </c>
      <c r="CU37" s="196">
        <v>4.0170999999999998E-2</v>
      </c>
      <c r="CV37" s="196">
        <v>3.9972000000000001E-2</v>
      </c>
      <c r="CW37" s="196">
        <v>4.0080999999999999E-2</v>
      </c>
      <c r="CX37" s="196">
        <v>4.0076000000000001E-2</v>
      </c>
      <c r="CY37" s="196">
        <v>4.0051999999999997E-2</v>
      </c>
      <c r="CZ37" s="196">
        <v>4.0051999999999997E-2</v>
      </c>
      <c r="DA37" s="196">
        <v>4.0264000000000001E-2</v>
      </c>
      <c r="DB37" s="196">
        <v>4.0432000000000003E-2</v>
      </c>
      <c r="DC37" s="196">
        <v>4.0070000000000001E-2</v>
      </c>
      <c r="DD37" s="196">
        <v>4.0070000000000001E-2</v>
      </c>
      <c r="DE37" s="196">
        <v>4.0161000000000002E-2</v>
      </c>
      <c r="DF37" s="196">
        <v>4.0064000000000002E-2</v>
      </c>
      <c r="DG37" s="196">
        <v>4.0246999999999998E-2</v>
      </c>
      <c r="DH37" s="196">
        <v>3.9979000000000001E-2</v>
      </c>
      <c r="DI37" s="196">
        <v>4.0233999999999999E-2</v>
      </c>
      <c r="DJ37" s="196">
        <v>4.0273000000000003E-2</v>
      </c>
      <c r="DK37" s="196">
        <v>4.0479000000000001E-2</v>
      </c>
      <c r="DL37" s="196">
        <v>4.0745999999999997E-2</v>
      </c>
      <c r="DM37" s="196">
        <v>4.0861000000000001E-2</v>
      </c>
      <c r="DN37" s="196">
        <v>4.0762E-2</v>
      </c>
      <c r="DO37" s="196">
        <v>4.0882000000000002E-2</v>
      </c>
      <c r="DP37" s="196">
        <v>4.0708000000000001E-2</v>
      </c>
      <c r="DQ37" s="196">
        <v>4.0902000000000001E-2</v>
      </c>
      <c r="DR37" s="196">
        <v>4.0656999999999999E-2</v>
      </c>
      <c r="DS37" s="196">
        <v>4.0828000000000003E-2</v>
      </c>
      <c r="DT37" s="196">
        <v>4.0795999999999999E-2</v>
      </c>
      <c r="DU37" s="196">
        <v>4.0967999999999997E-2</v>
      </c>
      <c r="DV37" s="196">
        <v>4.1258000000000003E-2</v>
      </c>
      <c r="DW37" s="196">
        <v>4.0998E-2</v>
      </c>
      <c r="DX37" s="196">
        <v>4.0969999999999999E-2</v>
      </c>
      <c r="DY37" s="196">
        <v>4.1082E-2</v>
      </c>
      <c r="DZ37" s="196">
        <v>4.0911000000000003E-2</v>
      </c>
      <c r="EA37" s="196">
        <v>4.1174000000000002E-2</v>
      </c>
      <c r="EB37" s="196">
        <v>4.0772999999999997E-2</v>
      </c>
      <c r="EC37" s="196">
        <v>4.0717999999999997E-2</v>
      </c>
      <c r="ED37" s="196">
        <v>4.0698999999999999E-2</v>
      </c>
      <c r="EE37" s="196">
        <v>4.0663999999999999E-2</v>
      </c>
      <c r="EF37" s="196">
        <v>4.0573999999999999E-2</v>
      </c>
      <c r="EG37" s="196">
        <v>2.3473999999999998E-2</v>
      </c>
      <c r="EH37" s="196">
        <v>2.5189E-2</v>
      </c>
      <c r="EI37" s="196">
        <v>2.4671999999999999E-2</v>
      </c>
      <c r="EJ37" s="196">
        <v>1.9238999999999999E-2</v>
      </c>
      <c r="EK37" s="196">
        <v>2.4469000000000001E-2</v>
      </c>
      <c r="EL37" s="196">
        <v>3.8509000000000002E-2</v>
      </c>
      <c r="EM37" s="196">
        <v>3.7898000000000001E-2</v>
      </c>
      <c r="EN37" s="196">
        <v>3.7721999999999999E-2</v>
      </c>
      <c r="EO37" s="196">
        <v>3.8114000000000002E-2</v>
      </c>
      <c r="EP37" s="196">
        <v>3.7679999999999998E-2</v>
      </c>
      <c r="EQ37" s="196">
        <v>3.7279E-2</v>
      </c>
      <c r="ER37" s="196">
        <v>3.6587000000000001E-2</v>
      </c>
      <c r="ES37" s="196">
        <v>3.6086E-2</v>
      </c>
      <c r="ET37" s="196">
        <v>3.6012000000000002E-2</v>
      </c>
      <c r="EU37" s="196">
        <v>3.5854999999999998E-2</v>
      </c>
      <c r="EV37" s="152">
        <v>3.4299999999999997E-2</v>
      </c>
      <c r="EW37" s="152">
        <v>3.4799999999999998E-2</v>
      </c>
      <c r="EX37" s="196">
        <v>3.6416999999999998E-2</v>
      </c>
      <c r="EY37" s="196">
        <v>3.6062999999999998E-2</v>
      </c>
      <c r="EZ37" s="196">
        <v>3.5109000000000001E-2</v>
      </c>
      <c r="FA37" s="196">
        <v>3.5108E-2</v>
      </c>
      <c r="FB37" s="196">
        <v>3.4570999999999998E-2</v>
      </c>
      <c r="FC37" s="196">
        <v>3.4317E-2</v>
      </c>
      <c r="FD37" s="196">
        <v>3.4035000000000003E-2</v>
      </c>
      <c r="FE37" s="196">
        <v>3.7415999999999998E-2</v>
      </c>
      <c r="FF37" s="196">
        <v>3.3849999999999998E-2</v>
      </c>
      <c r="FG37" s="196">
        <v>3.3375000000000002E-2</v>
      </c>
      <c r="FH37" s="196">
        <v>3.2996999999999999E-2</v>
      </c>
      <c r="FI37" s="196">
        <v>3.2575E-2</v>
      </c>
      <c r="FJ37" s="196">
        <v>3.1317999999999999E-2</v>
      </c>
      <c r="FK37" s="196">
        <v>3.1985E-2</v>
      </c>
      <c r="FL37" s="196">
        <v>3.1489999999999997E-2</v>
      </c>
      <c r="FM37" s="196">
        <v>3.0698E-2</v>
      </c>
      <c r="FN37" s="196">
        <v>2.9753999999999999E-2</v>
      </c>
      <c r="FO37" s="196">
        <v>2.9603000000000001E-2</v>
      </c>
      <c r="FP37" s="196">
        <v>2.8909000000000001E-2</v>
      </c>
      <c r="FQ37" s="196">
        <v>2.7955000000000001E-2</v>
      </c>
      <c r="FR37" s="196">
        <v>2.7050000000000001E-2</v>
      </c>
      <c r="FS37" s="196">
        <v>2.4889999999999999E-2</v>
      </c>
      <c r="FT37" s="196">
        <v>3.9531999999999998E-2</v>
      </c>
      <c r="FU37" s="196">
        <v>3.9636999999999999E-2</v>
      </c>
      <c r="FV37" s="196">
        <v>3.9995000000000003E-2</v>
      </c>
      <c r="FW37" s="196">
        <v>3.9995000000000003E-2</v>
      </c>
      <c r="FX37" s="196">
        <v>3.9687E-2</v>
      </c>
      <c r="FY37" s="196">
        <v>3.9386999999999998E-2</v>
      </c>
      <c r="FZ37" s="196">
        <v>3.9203000000000002E-2</v>
      </c>
      <c r="GA37" s="196">
        <v>3.9543000000000002E-2</v>
      </c>
      <c r="GB37" s="196">
        <v>2.4671999999999999E-2</v>
      </c>
      <c r="GC37" s="196">
        <v>2.4671999999999999E-2</v>
      </c>
      <c r="GD37" s="196">
        <v>2.4671999999999999E-2</v>
      </c>
      <c r="GE37" s="196">
        <v>2.4671999999999999E-2</v>
      </c>
      <c r="GF37" s="196">
        <v>2.4671999999999999E-2</v>
      </c>
      <c r="GG37" s="196">
        <v>2.4671999999999999E-2</v>
      </c>
      <c r="GH37" s="196">
        <v>2.4671999999999999E-2</v>
      </c>
      <c r="GI37" s="196">
        <v>2.4671999999999999E-2</v>
      </c>
      <c r="GJ37" s="196">
        <v>2.4671999999999999E-2</v>
      </c>
      <c r="GK37" s="196">
        <v>2.4671999999999999E-2</v>
      </c>
      <c r="GL37" s="196">
        <v>2.4671999999999999E-2</v>
      </c>
      <c r="GM37" s="196">
        <v>2.4671999999999999E-2</v>
      </c>
      <c r="GN37" s="196">
        <v>2.4671999999999999E-2</v>
      </c>
      <c r="GO37" s="196">
        <v>2.4671999999999999E-2</v>
      </c>
      <c r="GP37" s="196">
        <v>2.4671999999999999E-2</v>
      </c>
      <c r="GQ37" s="196">
        <v>2.4671999999999999E-2</v>
      </c>
      <c r="GR37" s="196">
        <v>2.4671999999999999E-2</v>
      </c>
      <c r="GS37" s="196">
        <v>2.4671999999999999E-2</v>
      </c>
      <c r="GT37" s="196">
        <v>2.4671999999999999E-2</v>
      </c>
      <c r="GU37" s="196">
        <v>2.4671999999999999E-2</v>
      </c>
      <c r="GV37" s="196">
        <v>2.4671999999999999E-2</v>
      </c>
      <c r="GW37" s="196">
        <v>2.4671999999999999E-2</v>
      </c>
      <c r="GX37" s="196">
        <v>2.4671999999999999E-2</v>
      </c>
      <c r="GY37" s="196">
        <v>2.4671999999999999E-2</v>
      </c>
      <c r="GZ37" s="196">
        <v>2.4671999999999999E-2</v>
      </c>
      <c r="HA37" s="196">
        <v>2.4671999999999999E-2</v>
      </c>
      <c r="HB37" s="196">
        <v>2.4671999999999999E-2</v>
      </c>
      <c r="HC37" s="196">
        <v>2.4671999999999999E-2</v>
      </c>
      <c r="HD37" s="196">
        <v>2.4671999999999999E-2</v>
      </c>
      <c r="HE37" s="196">
        <v>2.4671999999999999E-2</v>
      </c>
      <c r="HF37" s="196">
        <v>2.4671999999999999E-2</v>
      </c>
      <c r="HG37" s="196">
        <v>2.4671999999999999E-2</v>
      </c>
      <c r="HH37" s="196">
        <v>2.4671999999999999E-2</v>
      </c>
      <c r="HI37" s="196">
        <v>2.4671999999999999E-2</v>
      </c>
      <c r="HJ37" s="196">
        <v>2.4671999999999999E-2</v>
      </c>
      <c r="HK37" s="196">
        <v>2.4671999999999999E-2</v>
      </c>
      <c r="HL37" s="196">
        <v>2.4671999999999999E-2</v>
      </c>
      <c r="HM37" s="196">
        <v>2.4671999999999999E-2</v>
      </c>
      <c r="HN37" s="41">
        <f t="shared" si="11"/>
        <v>0</v>
      </c>
      <c r="HO37" s="195" t="s">
        <v>303</v>
      </c>
      <c r="HT37" s="103"/>
      <c r="HU37" s="103"/>
      <c r="HV37" s="103"/>
      <c r="HW37" s="103"/>
      <c r="HX37" s="103"/>
      <c r="HY37" s="103"/>
      <c r="HZ37" s="103"/>
      <c r="IA37" s="103"/>
      <c r="IB37" s="103"/>
      <c r="IC37" s="103"/>
      <c r="ID37" s="103"/>
      <c r="IE37" s="103"/>
      <c r="IF37" s="103"/>
      <c r="IG37" s="103"/>
      <c r="IH37" s="103"/>
      <c r="II37" s="103"/>
      <c r="IJ37" s="103"/>
      <c r="IK37" s="103"/>
      <c r="IL37" s="103"/>
      <c r="IM37" s="103"/>
      <c r="IN37" s="103"/>
      <c r="IO37" s="103"/>
      <c r="IP37" s="103"/>
      <c r="IQ37" s="103"/>
      <c r="IR37" s="103"/>
      <c r="IS37" s="103"/>
      <c r="IT37" s="103"/>
      <c r="IU37" s="103"/>
      <c r="IV37" s="103"/>
      <c r="IW37" s="103"/>
      <c r="IX37" s="103"/>
      <c r="IY37" s="103"/>
      <c r="IZ37" s="103"/>
      <c r="JA37" s="103"/>
      <c r="JB37" s="103"/>
      <c r="JC37" s="103"/>
      <c r="JD37" s="103"/>
      <c r="JE37" s="103"/>
      <c r="JF37" s="103"/>
      <c r="JG37" s="103"/>
      <c r="JH37" s="103"/>
      <c r="JI37" s="103"/>
      <c r="JJ37" s="103"/>
      <c r="JK37" s="103"/>
      <c r="JL37" s="103"/>
      <c r="JM37" s="103"/>
      <c r="JN37" s="103"/>
      <c r="JO37" s="103"/>
      <c r="JP37" s="103"/>
      <c r="JQ37" s="103"/>
      <c r="JR37" s="103"/>
      <c r="JS37" s="103"/>
      <c r="JT37" s="103"/>
      <c r="JU37" s="103"/>
      <c r="JV37" s="103"/>
      <c r="JW37" s="103"/>
      <c r="JX37" s="103"/>
      <c r="JY37" s="103"/>
      <c r="JZ37" s="103"/>
      <c r="KA37" s="103"/>
      <c r="KB37" s="103"/>
      <c r="KC37" s="103"/>
      <c r="KD37" s="103"/>
      <c r="KE37" s="103"/>
      <c r="KF37" s="103"/>
      <c r="KG37" s="103"/>
      <c r="KH37" s="103"/>
      <c r="KI37" s="103"/>
      <c r="KJ37" s="103"/>
      <c r="KK37" s="103"/>
      <c r="KL37" s="103"/>
      <c r="KM37" s="103"/>
      <c r="KN37" s="103"/>
      <c r="KO37" s="103"/>
      <c r="KP37" s="103"/>
      <c r="KQ37" s="103"/>
      <c r="KR37" s="103"/>
      <c r="KS37" s="103"/>
      <c r="KT37" s="103"/>
      <c r="KU37" s="103"/>
      <c r="KV37" s="103"/>
      <c r="KW37" s="103"/>
      <c r="KX37" s="103"/>
      <c r="KY37" s="103"/>
      <c r="KZ37" s="103"/>
      <c r="LA37" s="103"/>
      <c r="LB37" s="103"/>
      <c r="LC37" s="103"/>
      <c r="LD37" s="103"/>
      <c r="LE37" s="103"/>
      <c r="LF37" s="103"/>
      <c r="LG37" s="103"/>
      <c r="LH37" s="103"/>
      <c r="LI37" s="103"/>
      <c r="LJ37" s="103"/>
      <c r="LK37" s="103"/>
      <c r="LL37" s="788" t="s">
        <v>787</v>
      </c>
      <c r="LM37" s="103"/>
    </row>
    <row r="38" spans="2:325" hidden="1">
      <c r="B38" s="1074"/>
      <c r="C38" s="165" t="s">
        <v>790</v>
      </c>
      <c r="D38" s="813"/>
      <c r="E38" s="813"/>
      <c r="F38" s="813"/>
      <c r="G38" s="813"/>
      <c r="H38" s="168">
        <v>3.7499999999999999E-2</v>
      </c>
      <c r="I38" s="167"/>
      <c r="J38" s="168"/>
      <c r="K38" s="168">
        <v>3.9E-2</v>
      </c>
      <c r="L38" s="168">
        <v>3.7999999999999999E-2</v>
      </c>
      <c r="M38" s="167">
        <v>3.9E-2</v>
      </c>
      <c r="N38" s="168">
        <v>3.9E-2</v>
      </c>
      <c r="O38" s="167">
        <v>0.04</v>
      </c>
      <c r="P38" s="167">
        <v>0.04</v>
      </c>
      <c r="Q38" s="167">
        <v>0.04</v>
      </c>
      <c r="R38" s="167">
        <v>0.04</v>
      </c>
      <c r="S38" s="167">
        <v>3.6999999999999998E-2</v>
      </c>
      <c r="T38" s="167">
        <v>3.6999999999999998E-2</v>
      </c>
      <c r="U38" s="167">
        <v>3.6999999999999998E-2</v>
      </c>
      <c r="V38" s="167">
        <v>3.6999999999999998E-2</v>
      </c>
      <c r="W38" s="168">
        <v>3.6999999999999998E-2</v>
      </c>
      <c r="X38" s="168">
        <v>3.7999999999999999E-2</v>
      </c>
      <c r="Y38" s="168">
        <v>3.9E-2</v>
      </c>
      <c r="Z38" s="167">
        <v>0.04</v>
      </c>
      <c r="AA38" s="167">
        <v>0.04</v>
      </c>
      <c r="AB38" s="168">
        <v>0.04</v>
      </c>
      <c r="AC38" s="167">
        <v>4.1000000000000002E-2</v>
      </c>
      <c r="AD38" s="167">
        <v>4.1000000000000002E-2</v>
      </c>
      <c r="AE38" s="167">
        <v>4.1000000000000002E-2</v>
      </c>
      <c r="AF38" s="63">
        <v>4.1000000000000002E-2</v>
      </c>
      <c r="AG38" s="63">
        <v>4.1000000000000002E-2</v>
      </c>
      <c r="AH38" s="168">
        <v>4.1000000000000002E-2</v>
      </c>
      <c r="AI38" s="63">
        <v>4.2000000000000003E-2</v>
      </c>
      <c r="AJ38" s="167">
        <v>4.2000000000000003E-2</v>
      </c>
      <c r="AK38" s="63">
        <v>4.2000000000000003E-2</v>
      </c>
      <c r="AL38" s="108">
        <v>4.2000000000000003E-2</v>
      </c>
      <c r="AM38" s="167">
        <v>4.2000000000000003E-2</v>
      </c>
      <c r="AN38" s="152">
        <v>4.2000000000000003E-2</v>
      </c>
      <c r="AO38" s="152">
        <v>4.2000000000000003E-2</v>
      </c>
      <c r="AP38" s="152">
        <v>4.2000000000000003E-2</v>
      </c>
      <c r="AQ38" s="152">
        <v>4.2000000000000003E-2</v>
      </c>
      <c r="AR38" s="152">
        <v>4.2000000000000003E-2</v>
      </c>
      <c r="AS38" s="152">
        <v>4.2000000000000003E-2</v>
      </c>
      <c r="AT38" s="152">
        <v>4.2000000000000003E-2</v>
      </c>
      <c r="AU38" s="152">
        <v>4.2000000000000003E-2</v>
      </c>
      <c r="AV38" s="152">
        <v>4.2000000000000003E-2</v>
      </c>
      <c r="AW38" s="152">
        <v>4.2000000000000003E-2</v>
      </c>
      <c r="AX38" s="152">
        <v>4.1000000000000002E-2</v>
      </c>
      <c r="AY38" s="152">
        <v>4.1000000000000002E-2</v>
      </c>
      <c r="AZ38" s="152">
        <v>4.1000000000000002E-2</v>
      </c>
      <c r="BA38" s="152">
        <v>4.1000000000000002E-2</v>
      </c>
      <c r="BB38" s="107">
        <v>4.1000000000000002E-2</v>
      </c>
      <c r="BC38" s="152">
        <v>4.3999999999999997E-2</v>
      </c>
      <c r="BD38" s="152">
        <v>4.3999999999999997E-2</v>
      </c>
      <c r="BE38" s="152">
        <v>4.3999999999999997E-2</v>
      </c>
      <c r="BF38" s="152">
        <v>4.2999999999999997E-2</v>
      </c>
      <c r="BG38" s="152">
        <v>4.2999999999999997E-2</v>
      </c>
      <c r="BH38" s="152">
        <v>4.2999999999999997E-2</v>
      </c>
      <c r="BI38" s="152">
        <v>4.2999999999999997E-2</v>
      </c>
      <c r="BJ38" s="152">
        <v>4.2999999999999997E-2</v>
      </c>
      <c r="BK38" s="152">
        <v>4.2999999999999997E-2</v>
      </c>
      <c r="BL38" s="152">
        <v>4.2999999999999997E-2</v>
      </c>
      <c r="BM38" s="152">
        <v>4.4999999999999998E-2</v>
      </c>
      <c r="BN38" s="152">
        <v>4.4999999999999998E-2</v>
      </c>
      <c r="BO38" s="152">
        <v>4.4999999999999998E-2</v>
      </c>
      <c r="BP38" s="152">
        <v>4.4999999999999998E-2</v>
      </c>
      <c r="BQ38" s="152">
        <v>4.4999999999999998E-2</v>
      </c>
      <c r="BR38" s="152">
        <v>4.4999999999999998E-2</v>
      </c>
      <c r="BS38" s="152">
        <v>4.4999999999999998E-2</v>
      </c>
      <c r="BT38" s="152">
        <v>4.4999999999999998E-2</v>
      </c>
      <c r="BU38" s="152"/>
      <c r="BV38" s="152">
        <v>4.7E-2</v>
      </c>
      <c r="BW38" s="152">
        <v>4.7E-2</v>
      </c>
      <c r="BX38" s="152">
        <v>4.7E-2</v>
      </c>
      <c r="BY38" s="152">
        <v>4.7E-2</v>
      </c>
      <c r="BZ38" s="152">
        <v>0.05</v>
      </c>
      <c r="CA38" s="152">
        <v>0.05</v>
      </c>
      <c r="CB38" s="152">
        <v>0.05</v>
      </c>
      <c r="CC38" s="152">
        <v>4.8000000000000001E-2</v>
      </c>
      <c r="CD38" s="152">
        <v>4.8000000000000001E-2</v>
      </c>
      <c r="CE38" s="152">
        <v>4.8000000000000001E-2</v>
      </c>
      <c r="CF38" s="152">
        <v>4.8000000000000001E-2</v>
      </c>
      <c r="CG38" s="152">
        <v>4.0834000000000002E-2</v>
      </c>
      <c r="CH38" s="152">
        <v>4.0857999999999998E-2</v>
      </c>
      <c r="CI38" s="152">
        <v>4.104E-2</v>
      </c>
      <c r="CJ38" s="152">
        <v>4.1182000000000003E-2</v>
      </c>
      <c r="CK38" s="152">
        <v>4.1394E-2</v>
      </c>
      <c r="CL38" s="152">
        <v>4.1436000000000001E-2</v>
      </c>
      <c r="CM38" s="152">
        <v>4.1431999999999997E-2</v>
      </c>
      <c r="CN38" s="152">
        <v>4.1429000000000001E-2</v>
      </c>
      <c r="CO38" s="152">
        <v>4.1429000000000001E-2</v>
      </c>
      <c r="CP38" s="152">
        <v>4.1266999999999998E-2</v>
      </c>
      <c r="CQ38" s="152">
        <v>4.1223999999999997E-2</v>
      </c>
      <c r="CR38" s="152">
        <v>4.1211999999999999E-2</v>
      </c>
      <c r="CS38" s="152">
        <v>4.1267999999999999E-2</v>
      </c>
      <c r="CT38" s="152">
        <v>4.1170999999999999E-2</v>
      </c>
      <c r="CU38" s="196">
        <v>4.1170999999999999E-2</v>
      </c>
      <c r="CV38" s="196">
        <v>4.0972000000000001E-2</v>
      </c>
      <c r="CW38" s="196">
        <v>4.1080999999999999E-2</v>
      </c>
      <c r="CX38" s="196">
        <v>4.1076000000000001E-2</v>
      </c>
      <c r="CY38" s="196">
        <v>4.1051999999999998E-2</v>
      </c>
      <c r="CZ38" s="196">
        <v>4.1051999999999998E-2</v>
      </c>
      <c r="DA38" s="196">
        <v>4.1264000000000002E-2</v>
      </c>
      <c r="DB38" s="196">
        <v>4.1431999999999997E-2</v>
      </c>
      <c r="DC38" s="196">
        <v>4.1070000000000002E-2</v>
      </c>
      <c r="DD38" s="196">
        <v>4.1070000000000002E-2</v>
      </c>
      <c r="DE38" s="196">
        <v>4.1161000000000003E-2</v>
      </c>
      <c r="DF38" s="196">
        <v>4.1064000000000003E-2</v>
      </c>
      <c r="DG38" s="196">
        <v>4.1246999999999999E-2</v>
      </c>
      <c r="DH38" s="196">
        <v>4.0979000000000002E-2</v>
      </c>
      <c r="DI38" s="196">
        <v>4.1234E-2</v>
      </c>
      <c r="DJ38" s="196">
        <v>4.1272999999999997E-2</v>
      </c>
      <c r="DK38" s="196">
        <v>4.1479000000000002E-2</v>
      </c>
      <c r="DL38" s="196">
        <v>4.1745999999999998E-2</v>
      </c>
      <c r="DM38" s="196">
        <v>4.1861000000000002E-2</v>
      </c>
      <c r="DN38" s="196">
        <v>4.1762000000000001E-2</v>
      </c>
      <c r="DO38" s="196">
        <v>4.1882000000000003E-2</v>
      </c>
      <c r="DP38" s="196">
        <v>4.1708000000000002E-2</v>
      </c>
      <c r="DQ38" s="196">
        <v>4.1902000000000002E-2</v>
      </c>
      <c r="DR38" s="196">
        <v>4.1657E-2</v>
      </c>
      <c r="DS38" s="196">
        <v>4.1827999999999997E-2</v>
      </c>
      <c r="DT38" s="196">
        <v>4.1796E-2</v>
      </c>
      <c r="DU38" s="196">
        <v>4.1967999999999998E-2</v>
      </c>
      <c r="DV38" s="196">
        <v>4.2257999999999997E-2</v>
      </c>
      <c r="DW38" s="196">
        <v>4.1998000000000001E-2</v>
      </c>
      <c r="DX38" s="196">
        <v>4.197E-2</v>
      </c>
      <c r="DY38" s="196">
        <v>4.2082000000000001E-2</v>
      </c>
      <c r="DZ38" s="196">
        <v>4.1910999999999997E-2</v>
      </c>
      <c r="EA38" s="196">
        <v>4.2174000000000003E-2</v>
      </c>
      <c r="EB38" s="196">
        <v>4.1772999999999998E-2</v>
      </c>
      <c r="EC38" s="196">
        <v>4.1717999999999998E-2</v>
      </c>
      <c r="ED38" s="196">
        <v>4.1699E-2</v>
      </c>
      <c r="EE38" s="196">
        <v>4.1664E-2</v>
      </c>
      <c r="EF38" s="196">
        <v>4.1574E-2</v>
      </c>
      <c r="EG38" s="196">
        <v>2.4473999999999999E-2</v>
      </c>
      <c r="EH38" s="196">
        <v>2.6190000000000001E-2</v>
      </c>
      <c r="EI38" s="196">
        <v>2.5672E-2</v>
      </c>
      <c r="EJ38" s="196">
        <v>2.0239E-2</v>
      </c>
      <c r="EK38" s="196">
        <v>2.5468999999999999E-2</v>
      </c>
      <c r="EL38" s="196">
        <v>3.9509000000000002E-2</v>
      </c>
      <c r="EM38" s="196">
        <v>3.8897000000000001E-2</v>
      </c>
      <c r="EN38" s="196">
        <v>3.8721999999999999E-2</v>
      </c>
      <c r="EO38" s="196">
        <v>3.9114000000000003E-2</v>
      </c>
      <c r="EP38" s="196">
        <v>3.8679999999999999E-2</v>
      </c>
      <c r="EQ38" s="196">
        <v>3.8279000000000001E-2</v>
      </c>
      <c r="ER38" s="196">
        <v>3.7587000000000002E-2</v>
      </c>
      <c r="ES38" s="196">
        <v>3.7086000000000001E-2</v>
      </c>
      <c r="ET38" s="196">
        <v>3.7012000000000003E-2</v>
      </c>
      <c r="EU38" s="196">
        <v>3.6854999999999999E-2</v>
      </c>
      <c r="EV38" s="152">
        <v>3.5299999999999998E-2</v>
      </c>
      <c r="EW38" s="152">
        <v>3.5799999999999998E-2</v>
      </c>
      <c r="EX38" s="196">
        <v>3.7416999999999999E-2</v>
      </c>
      <c r="EY38" s="196">
        <v>3.7062999999999999E-2</v>
      </c>
      <c r="EZ38" s="196">
        <v>3.6109000000000002E-2</v>
      </c>
      <c r="FA38" s="196">
        <v>3.6108000000000001E-2</v>
      </c>
      <c r="FB38" s="196">
        <v>3.5570999999999998E-2</v>
      </c>
      <c r="FC38" s="196">
        <v>3.5317000000000001E-2</v>
      </c>
      <c r="FD38" s="196">
        <v>3.5034999999999997E-2</v>
      </c>
      <c r="FE38" s="196">
        <v>3.8415999999999999E-2</v>
      </c>
      <c r="FF38" s="196">
        <v>3.4849999999999999E-2</v>
      </c>
      <c r="FG38" s="196">
        <v>3.4375000000000003E-2</v>
      </c>
      <c r="FH38" s="196">
        <v>3.3996999999999999E-2</v>
      </c>
      <c r="FI38" s="196">
        <v>3.3575000000000001E-2</v>
      </c>
      <c r="FJ38" s="196">
        <v>3.2318E-2</v>
      </c>
      <c r="FK38" s="196">
        <v>3.2985E-2</v>
      </c>
      <c r="FL38" s="196">
        <v>3.2489999999999998E-2</v>
      </c>
      <c r="FM38" s="196">
        <v>3.1697999999999997E-2</v>
      </c>
      <c r="FN38" s="196">
        <v>3.0754E-2</v>
      </c>
      <c r="FO38" s="196">
        <v>3.0603000000000002E-2</v>
      </c>
      <c r="FP38" s="196">
        <v>2.9909000000000002E-2</v>
      </c>
      <c r="FQ38" s="196">
        <v>2.8955000000000002E-2</v>
      </c>
      <c r="FR38" s="196">
        <v>2.8049999999999999E-2</v>
      </c>
      <c r="FS38" s="196">
        <v>2.589E-2</v>
      </c>
      <c r="FT38" s="196">
        <v>4.0531999999999999E-2</v>
      </c>
      <c r="FU38" s="196">
        <v>4.0637E-2</v>
      </c>
      <c r="FV38" s="196">
        <v>4.0994999999999997E-2</v>
      </c>
      <c r="FW38" s="196">
        <v>4.0994999999999997E-2</v>
      </c>
      <c r="FX38" s="196">
        <v>4.0687000000000001E-2</v>
      </c>
      <c r="FY38" s="196">
        <v>4.0386999999999999E-2</v>
      </c>
      <c r="FZ38" s="196">
        <v>4.0203000000000003E-2</v>
      </c>
      <c r="GA38" s="196">
        <v>4.0543000000000003E-2</v>
      </c>
      <c r="GB38" s="196">
        <v>2.5672E-2</v>
      </c>
      <c r="GC38" s="196">
        <v>2.5672E-2</v>
      </c>
      <c r="GD38" s="196">
        <v>2.5672E-2</v>
      </c>
      <c r="GE38" s="196">
        <v>2.5672E-2</v>
      </c>
      <c r="GF38" s="196">
        <v>2.5672E-2</v>
      </c>
      <c r="GG38" s="196">
        <v>2.5672E-2</v>
      </c>
      <c r="GH38" s="196">
        <v>2.5672E-2</v>
      </c>
      <c r="GI38" s="196">
        <v>2.5672E-2</v>
      </c>
      <c r="GJ38" s="196">
        <v>2.5672E-2</v>
      </c>
      <c r="GK38" s="196">
        <v>2.5672E-2</v>
      </c>
      <c r="GL38" s="196">
        <v>2.5672E-2</v>
      </c>
      <c r="GM38" s="196">
        <v>2.5672E-2</v>
      </c>
      <c r="GN38" s="196">
        <v>2.5672E-2</v>
      </c>
      <c r="GO38" s="196">
        <v>2.5672E-2</v>
      </c>
      <c r="GP38" s="196">
        <v>2.5672E-2</v>
      </c>
      <c r="GQ38" s="196">
        <v>2.5672E-2</v>
      </c>
      <c r="GR38" s="196">
        <v>2.5672E-2</v>
      </c>
      <c r="GS38" s="196">
        <v>2.5672E-2</v>
      </c>
      <c r="GT38" s="196">
        <v>2.5672E-2</v>
      </c>
      <c r="GU38" s="196">
        <v>2.5672E-2</v>
      </c>
      <c r="GV38" s="196">
        <v>2.5672E-2</v>
      </c>
      <c r="GW38" s="196">
        <v>2.5672E-2</v>
      </c>
      <c r="GX38" s="196">
        <v>2.5672E-2</v>
      </c>
      <c r="GY38" s="196">
        <v>2.5672E-2</v>
      </c>
      <c r="GZ38" s="196">
        <v>2.5672E-2</v>
      </c>
      <c r="HA38" s="196">
        <v>2.5672E-2</v>
      </c>
      <c r="HB38" s="196">
        <v>2.5672E-2</v>
      </c>
      <c r="HC38" s="196">
        <v>2.5672E-2</v>
      </c>
      <c r="HD38" s="196">
        <v>2.5672E-2</v>
      </c>
      <c r="HE38" s="196">
        <v>2.5672E-2</v>
      </c>
      <c r="HF38" s="196">
        <v>2.5672E-2</v>
      </c>
      <c r="HG38" s="196">
        <v>2.5672E-2</v>
      </c>
      <c r="HH38" s="196">
        <v>2.5672E-2</v>
      </c>
      <c r="HI38" s="196">
        <v>2.5672E-2</v>
      </c>
      <c r="HJ38" s="196">
        <v>2.5672E-2</v>
      </c>
      <c r="HK38" s="196">
        <v>2.5672E-2</v>
      </c>
      <c r="HL38" s="196">
        <v>2.5672E-2</v>
      </c>
      <c r="HM38" s="196">
        <v>2.5672E-2</v>
      </c>
      <c r="HN38" s="41">
        <f t="shared" si="11"/>
        <v>0</v>
      </c>
      <c r="HO38" s="195" t="s">
        <v>302</v>
      </c>
      <c r="HT38" s="103"/>
      <c r="HU38" s="103"/>
      <c r="HV38" s="103"/>
      <c r="HW38" s="103"/>
      <c r="HX38" s="103"/>
      <c r="HY38" s="103"/>
      <c r="HZ38" s="103"/>
      <c r="IA38" s="103"/>
      <c r="IB38" s="103"/>
      <c r="IC38" s="103"/>
      <c r="ID38" s="103"/>
      <c r="IE38" s="103"/>
      <c r="IF38" s="103"/>
      <c r="IG38" s="103"/>
      <c r="IH38" s="103"/>
      <c r="II38" s="103"/>
      <c r="IJ38" s="103"/>
      <c r="IK38" s="103"/>
      <c r="IL38" s="103"/>
      <c r="IM38" s="103"/>
      <c r="IN38" s="103"/>
      <c r="IO38" s="103"/>
      <c r="IP38" s="103"/>
      <c r="IQ38" s="103"/>
      <c r="IR38" s="103"/>
      <c r="IS38" s="103"/>
      <c r="IT38" s="103"/>
      <c r="IU38" s="103"/>
      <c r="IV38" s="103"/>
      <c r="IW38" s="103"/>
      <c r="IX38" s="103"/>
      <c r="IY38" s="103"/>
      <c r="IZ38" s="103"/>
      <c r="JA38" s="103"/>
      <c r="JB38" s="103"/>
      <c r="JC38" s="103"/>
      <c r="JD38" s="103"/>
      <c r="JE38" s="103"/>
      <c r="JF38" s="103"/>
      <c r="JG38" s="103"/>
      <c r="JH38" s="103"/>
      <c r="JI38" s="103"/>
      <c r="JJ38" s="103"/>
      <c r="JK38" s="103"/>
      <c r="JL38" s="103"/>
      <c r="JM38" s="103"/>
      <c r="JN38" s="103"/>
      <c r="JO38" s="103"/>
      <c r="JP38" s="103"/>
      <c r="JQ38" s="103"/>
      <c r="JR38" s="103"/>
      <c r="JS38" s="103"/>
      <c r="JT38" s="103"/>
      <c r="JU38" s="103"/>
      <c r="JV38" s="103"/>
      <c r="JW38" s="103"/>
      <c r="JX38" s="103"/>
      <c r="JY38" s="103"/>
      <c r="JZ38" s="103"/>
      <c r="KA38" s="103"/>
      <c r="KB38" s="103"/>
      <c r="KC38" s="103"/>
      <c r="KD38" s="103"/>
      <c r="KE38" s="103"/>
      <c r="KF38" s="103"/>
      <c r="KG38" s="103"/>
      <c r="KH38" s="103"/>
      <c r="KI38" s="103"/>
      <c r="KJ38" s="103"/>
      <c r="KK38" s="103"/>
      <c r="KL38" s="103"/>
      <c r="KM38" s="103"/>
      <c r="KN38" s="103"/>
      <c r="KO38" s="103"/>
      <c r="KP38" s="103"/>
      <c r="KQ38" s="103"/>
      <c r="KR38" s="103"/>
      <c r="KS38" s="103"/>
      <c r="KT38" s="103"/>
      <c r="KU38" s="103"/>
      <c r="KV38" s="103"/>
      <c r="KW38" s="103"/>
      <c r="KX38" s="103"/>
      <c r="KY38" s="103"/>
      <c r="KZ38" s="103"/>
      <c r="LA38" s="103"/>
      <c r="LB38" s="103"/>
      <c r="LC38" s="103"/>
      <c r="LD38" s="103"/>
      <c r="LE38" s="103"/>
      <c r="LF38" s="103"/>
      <c r="LG38" s="103"/>
      <c r="LH38" s="103"/>
      <c r="LI38" s="103"/>
      <c r="LJ38" s="103"/>
      <c r="LK38" s="103"/>
      <c r="LM38" s="103"/>
    </row>
    <row r="39" spans="2:325">
      <c r="B39" s="194" t="s">
        <v>20</v>
      </c>
      <c r="C39" s="740" t="s">
        <v>751</v>
      </c>
      <c r="D39" s="744">
        <v>3.5000000000000003E-2</v>
      </c>
      <c r="E39" s="744">
        <v>3.5000000000000003E-2</v>
      </c>
      <c r="F39" s="744">
        <v>3.5000000000000003E-2</v>
      </c>
      <c r="G39" s="744">
        <v>3.5000000000000003E-2</v>
      </c>
      <c r="H39" s="744">
        <v>3.5000000000000003E-2</v>
      </c>
      <c r="I39" s="460">
        <v>3.5000000000000003E-2</v>
      </c>
      <c r="J39" s="744">
        <v>3.6499999999999998E-2</v>
      </c>
      <c r="K39" s="744">
        <v>3.6499999999999998E-2</v>
      </c>
      <c r="L39" s="744">
        <v>3.6499999999999998E-2</v>
      </c>
      <c r="M39" s="460">
        <v>3.6499999999999998E-2</v>
      </c>
      <c r="N39" s="167">
        <v>3.6999999999999998E-2</v>
      </c>
      <c r="O39" s="167">
        <v>3.6999999999999998E-2</v>
      </c>
      <c r="P39" s="167">
        <v>3.6999999999999998E-2</v>
      </c>
      <c r="Q39" s="167">
        <v>3.6999999999999998E-2</v>
      </c>
      <c r="R39" s="167">
        <v>3.6999999999999998E-2</v>
      </c>
      <c r="S39" s="167">
        <v>3.6999999999999998E-2</v>
      </c>
      <c r="T39" s="167">
        <v>3.6999999999999998E-2</v>
      </c>
      <c r="U39" s="167">
        <v>3.6999999999999998E-2</v>
      </c>
      <c r="V39" s="168">
        <v>3.6999999999999998E-2</v>
      </c>
      <c r="W39" s="167">
        <v>3.7499999999999999E-2</v>
      </c>
      <c r="X39" s="167">
        <v>3.7499999999999999E-2</v>
      </c>
      <c r="Y39" s="167">
        <v>3.7499999999999999E-2</v>
      </c>
      <c r="Z39" s="167">
        <v>3.7499999999999999E-2</v>
      </c>
      <c r="AA39" s="168">
        <v>3.7499999999999999E-2</v>
      </c>
      <c r="AB39" s="167">
        <v>3.9E-2</v>
      </c>
      <c r="AC39" s="167">
        <v>3.9E-2</v>
      </c>
      <c r="AD39" s="167">
        <v>3.9E-2</v>
      </c>
      <c r="AE39" s="168">
        <v>3.9E-2</v>
      </c>
      <c r="AF39" s="63">
        <v>4.1500000000000002E-2</v>
      </c>
      <c r="AG39" s="63">
        <v>4.1500000000000002E-2</v>
      </c>
      <c r="AH39" s="63">
        <v>4.1500000000000002E-2</v>
      </c>
      <c r="AI39" s="63">
        <v>4.1500000000000002E-2</v>
      </c>
      <c r="AJ39" s="167">
        <v>4.1500000000000002E-2</v>
      </c>
      <c r="AK39" s="63">
        <v>4.1500000000000002E-2</v>
      </c>
      <c r="AL39" s="108">
        <v>4.1500000000000002E-2</v>
      </c>
      <c r="AM39" s="167">
        <v>4.1500000000000002E-2</v>
      </c>
      <c r="AN39" s="152">
        <v>4.1500000000000002E-2</v>
      </c>
      <c r="AO39" s="152">
        <v>4.1500000000000002E-2</v>
      </c>
      <c r="AP39" s="152">
        <v>4.1500000000000002E-2</v>
      </c>
      <c r="AQ39" s="152">
        <v>4.1500000000000002E-2</v>
      </c>
      <c r="AR39" s="152">
        <v>4.1500000000000002E-2</v>
      </c>
      <c r="AS39" s="152">
        <v>4.1500000000000002E-2</v>
      </c>
      <c r="AT39" s="107">
        <v>4.1500000000000002E-2</v>
      </c>
      <c r="AU39" s="152">
        <v>4.1500000000000002E-2</v>
      </c>
      <c r="AV39" s="152">
        <v>4.1500000000000002E-2</v>
      </c>
      <c r="AW39" s="152">
        <v>4.1500000000000002E-2</v>
      </c>
      <c r="AX39" s="152">
        <v>4.1500000000000002E-2</v>
      </c>
      <c r="AY39" s="152">
        <v>4.1500000000000002E-2</v>
      </c>
      <c r="AZ39" s="152">
        <v>4.1500000000000002E-2</v>
      </c>
      <c r="BA39" s="152">
        <v>4.1500000000000002E-2</v>
      </c>
      <c r="BB39" s="152">
        <v>4.1500000000000002E-2</v>
      </c>
      <c r="BC39" s="152">
        <v>4.1500000000000002E-2</v>
      </c>
      <c r="BD39" s="152">
        <v>4.1500000000000002E-2</v>
      </c>
      <c r="BE39" s="152">
        <v>4.1500000000000002E-2</v>
      </c>
      <c r="BF39" s="152">
        <v>4.1500000000000002E-2</v>
      </c>
      <c r="BG39" s="152">
        <v>4.1500000000000002E-2</v>
      </c>
      <c r="BH39" s="152">
        <v>4.2999999999999997E-2</v>
      </c>
      <c r="BI39" s="152">
        <v>4.2999999999999997E-2</v>
      </c>
      <c r="BJ39" s="152">
        <v>4.2999999999999997E-2</v>
      </c>
      <c r="BK39" s="152">
        <v>4.2999999999999997E-2</v>
      </c>
      <c r="BL39" s="152">
        <v>4.2999999999999997E-2</v>
      </c>
      <c r="BM39" s="152">
        <v>4.2999999999999997E-2</v>
      </c>
      <c r="BN39" s="152">
        <v>4.2999999999999997E-2</v>
      </c>
      <c r="BO39" s="152">
        <v>4.2999999999999997E-2</v>
      </c>
      <c r="BP39" s="152">
        <v>4.2999999999999997E-2</v>
      </c>
      <c r="BQ39" s="152">
        <v>4.2999999999999997E-2</v>
      </c>
      <c r="BR39" s="152">
        <v>4.2999999999999997E-2</v>
      </c>
      <c r="BS39" s="152">
        <v>4.2999999999999997E-2</v>
      </c>
      <c r="BT39" s="152">
        <v>4.2999999999999997E-2</v>
      </c>
      <c r="BU39" s="152"/>
      <c r="BV39" s="152">
        <v>4.2000000000000003E-2</v>
      </c>
      <c r="BW39" s="152">
        <v>4.2000000000000003E-2</v>
      </c>
      <c r="BX39" s="152">
        <v>4.2000000000000003E-2</v>
      </c>
      <c r="BY39" s="152">
        <v>4.2000000000000003E-2</v>
      </c>
      <c r="BZ39" s="152">
        <v>4.8000000000000001E-2</v>
      </c>
      <c r="CA39" s="152">
        <v>4.8000000000000001E-2</v>
      </c>
      <c r="CB39" s="152">
        <v>4.8000000000000001E-2</v>
      </c>
      <c r="CC39" s="152">
        <v>0.05</v>
      </c>
      <c r="CD39" s="152">
        <v>0.05</v>
      </c>
      <c r="CE39" s="152">
        <v>0.05</v>
      </c>
      <c r="CF39" s="152">
        <v>0.05</v>
      </c>
      <c r="CG39" s="152">
        <v>0.05</v>
      </c>
      <c r="CH39" s="152">
        <v>0.05</v>
      </c>
      <c r="CI39" s="152">
        <v>0.05</v>
      </c>
      <c r="CJ39" s="152">
        <v>0.05</v>
      </c>
      <c r="CK39" s="152">
        <v>0.05</v>
      </c>
      <c r="CL39" s="152">
        <v>0.05</v>
      </c>
      <c r="CM39" s="152">
        <v>0.05</v>
      </c>
      <c r="CN39" s="152">
        <v>0.05</v>
      </c>
      <c r="CO39" s="152">
        <v>0.05</v>
      </c>
      <c r="CP39" s="152">
        <v>0.05</v>
      </c>
      <c r="CQ39" s="152">
        <v>0.05</v>
      </c>
      <c r="CR39" s="152">
        <v>0.05</v>
      </c>
      <c r="CS39" s="152">
        <v>0.05</v>
      </c>
      <c r="CT39" s="152">
        <v>0.05</v>
      </c>
      <c r="CU39" s="152">
        <v>0.05</v>
      </c>
      <c r="CV39" s="152">
        <v>0.05</v>
      </c>
      <c r="CW39" s="152">
        <v>0.05</v>
      </c>
      <c r="CX39" s="152">
        <v>0.05</v>
      </c>
      <c r="CY39" s="152">
        <v>0.05</v>
      </c>
      <c r="CZ39" s="152">
        <v>0.05</v>
      </c>
      <c r="DA39" s="152">
        <v>0.05</v>
      </c>
      <c r="DB39" s="152">
        <v>0.05</v>
      </c>
      <c r="DC39" s="152">
        <v>0.05</v>
      </c>
      <c r="DD39" s="152">
        <v>0.05</v>
      </c>
      <c r="DE39" s="152">
        <v>0.05</v>
      </c>
      <c r="DF39" s="152">
        <v>5.1999999999999998E-2</v>
      </c>
      <c r="DG39" s="152">
        <v>5.1999999999999998E-2</v>
      </c>
      <c r="DH39" s="152">
        <v>5.1999999999999998E-2</v>
      </c>
      <c r="DI39" s="152">
        <v>5.1999999999999998E-2</v>
      </c>
      <c r="DJ39" s="152">
        <v>5.1999999999999998E-2</v>
      </c>
      <c r="DK39" s="152">
        <v>5.1999999999999998E-2</v>
      </c>
      <c r="DL39" s="152">
        <v>5.1999999999999998E-2</v>
      </c>
      <c r="DM39" s="152">
        <v>5.1999999999999998E-2</v>
      </c>
      <c r="DN39" s="152">
        <v>5.2499999999999998E-2</v>
      </c>
      <c r="DO39" s="152">
        <v>5.2499999999999998E-2</v>
      </c>
      <c r="DP39" s="152">
        <v>5.2499999999999998E-2</v>
      </c>
      <c r="DQ39" s="152">
        <v>5.2499999999999998E-2</v>
      </c>
      <c r="DR39" s="152">
        <v>5.2499999999999998E-2</v>
      </c>
      <c r="DS39" s="152">
        <v>5.2499999999999998E-2</v>
      </c>
      <c r="DT39" s="152">
        <v>5.1999999999999998E-2</v>
      </c>
      <c r="DU39" s="152">
        <v>5.1999999999999998E-2</v>
      </c>
      <c r="DV39" s="152">
        <v>5.1999999999999998E-2</v>
      </c>
      <c r="DW39" s="152">
        <v>5.0500000000000003E-2</v>
      </c>
      <c r="DX39" s="152">
        <v>5.0500000000000003E-2</v>
      </c>
      <c r="DY39" s="152">
        <v>5.0500000000000003E-2</v>
      </c>
      <c r="DZ39" s="152">
        <v>5.0500000000000003E-2</v>
      </c>
      <c r="EA39" s="152">
        <v>5.1999999999999998E-2</v>
      </c>
      <c r="EB39" s="152">
        <v>5.1999999999999998E-2</v>
      </c>
      <c r="EC39" s="152">
        <v>5.1999999999999998E-2</v>
      </c>
      <c r="ED39" s="152">
        <v>5.1999999999999998E-2</v>
      </c>
      <c r="EE39" s="152">
        <v>5.1999999999999998E-2</v>
      </c>
      <c r="EF39" s="152">
        <v>0.05</v>
      </c>
      <c r="EG39" s="152">
        <v>3.4000000000000002E-2</v>
      </c>
      <c r="EH39" s="152">
        <v>3.2000000000000001E-2</v>
      </c>
      <c r="EI39" s="152">
        <v>3.2000000000000001E-2</v>
      </c>
      <c r="EJ39" s="152">
        <v>3.2000000000000001E-2</v>
      </c>
      <c r="EK39" s="152">
        <v>3.2000000000000001E-2</v>
      </c>
      <c r="EL39" s="152">
        <v>4.7500000000000001E-2</v>
      </c>
      <c r="EM39" s="152">
        <v>4.7500000000000001E-2</v>
      </c>
      <c r="EN39" s="152">
        <v>4.7500000000000001E-2</v>
      </c>
      <c r="EO39" s="152">
        <v>4.7500000000000001E-2</v>
      </c>
      <c r="EP39" s="152">
        <v>4.65E-2</v>
      </c>
      <c r="EQ39" s="152">
        <v>4.65E-2</v>
      </c>
      <c r="ER39" s="152">
        <v>4.65E-2</v>
      </c>
      <c r="ES39" s="152">
        <v>4.65E-2</v>
      </c>
      <c r="ET39" s="152">
        <v>4.9000000000000002E-2</v>
      </c>
      <c r="EU39" s="152">
        <v>4.9000000000000002E-2</v>
      </c>
      <c r="EV39" s="152">
        <v>4.9000000000000002E-2</v>
      </c>
      <c r="EW39" s="152">
        <v>4.9000000000000002E-2</v>
      </c>
      <c r="EX39" s="152">
        <v>4.9000000000000002E-2</v>
      </c>
      <c r="EY39" s="152">
        <v>4.9000000000000002E-2</v>
      </c>
      <c r="EZ39" s="152">
        <v>4.4999999999999998E-2</v>
      </c>
      <c r="FA39" s="152">
        <v>4.4999999999999998E-2</v>
      </c>
      <c r="FB39" s="152">
        <v>4.4999999999999998E-2</v>
      </c>
      <c r="FC39" s="152">
        <v>4.4999999999999998E-2</v>
      </c>
      <c r="FD39" s="152">
        <v>4.7E-2</v>
      </c>
      <c r="FE39" s="152">
        <v>4.7E-2</v>
      </c>
      <c r="FF39" s="152">
        <v>4.7E-2</v>
      </c>
      <c r="FG39" s="152">
        <v>4.7E-2</v>
      </c>
      <c r="FH39" s="152">
        <v>4.9000000000000002E-2</v>
      </c>
      <c r="FI39" s="152">
        <v>4.9000000000000002E-2</v>
      </c>
      <c r="FJ39" s="152">
        <v>4.9000000000000002E-2</v>
      </c>
      <c r="FK39" s="152">
        <v>4.9000000000000002E-2</v>
      </c>
      <c r="FL39" s="152">
        <v>4.9000000000000002E-2</v>
      </c>
      <c r="FM39" s="152">
        <v>4.3999999999999997E-2</v>
      </c>
      <c r="FN39" s="152">
        <v>4.3999999999999997E-2</v>
      </c>
      <c r="FO39" s="152">
        <v>4.3999999999999997E-2</v>
      </c>
      <c r="FP39" s="152">
        <v>4.3999999999999997E-2</v>
      </c>
      <c r="FQ39" s="152">
        <v>3.4000000000000002E-2</v>
      </c>
      <c r="FR39" s="152">
        <v>3.4000000000000002E-2</v>
      </c>
      <c r="FS39" s="152">
        <v>3.4000000000000002E-2</v>
      </c>
      <c r="FT39" s="152">
        <v>4.8000000000000001E-2</v>
      </c>
      <c r="FU39" s="152">
        <v>4.7500000000000001E-2</v>
      </c>
      <c r="FV39" s="152">
        <v>0.05</v>
      </c>
      <c r="FW39" s="152">
        <v>0.05</v>
      </c>
      <c r="FX39" s="152">
        <v>0.05</v>
      </c>
      <c r="FY39" s="152">
        <v>4.8000000000000001E-2</v>
      </c>
      <c r="FZ39" s="152">
        <v>4.8000000000000001E-2</v>
      </c>
      <c r="GA39" s="152">
        <v>4.8000000000000001E-2</v>
      </c>
      <c r="GB39" s="152">
        <v>3.2000000000000001E-2</v>
      </c>
      <c r="GC39" s="152">
        <v>3.2000000000000001E-2</v>
      </c>
      <c r="GD39" s="152">
        <v>3.2000000000000001E-2</v>
      </c>
      <c r="GE39" s="152">
        <v>3.2000000000000001E-2</v>
      </c>
      <c r="GF39" s="152">
        <v>3.2000000000000001E-2</v>
      </c>
      <c r="GG39" s="152">
        <v>3.2000000000000001E-2</v>
      </c>
      <c r="GH39" s="152">
        <v>3.2000000000000001E-2</v>
      </c>
      <c r="GI39" s="152">
        <v>3.2000000000000001E-2</v>
      </c>
      <c r="GJ39" s="152">
        <v>3.2000000000000001E-2</v>
      </c>
      <c r="GK39" s="152">
        <v>3.2000000000000001E-2</v>
      </c>
      <c r="GL39" s="152">
        <v>3.2000000000000001E-2</v>
      </c>
      <c r="GM39" s="152">
        <v>3.2000000000000001E-2</v>
      </c>
      <c r="GN39" s="152">
        <v>3.2000000000000001E-2</v>
      </c>
      <c r="GO39" s="152">
        <v>3.2000000000000001E-2</v>
      </c>
      <c r="GP39" s="152">
        <v>3.2000000000000001E-2</v>
      </c>
      <c r="GQ39" s="152">
        <v>3.2000000000000001E-2</v>
      </c>
      <c r="GR39" s="152">
        <v>3.2000000000000001E-2</v>
      </c>
      <c r="GS39" s="152">
        <v>3.2000000000000001E-2</v>
      </c>
      <c r="GT39" s="152">
        <v>3.2000000000000001E-2</v>
      </c>
      <c r="GU39" s="152">
        <v>3.2000000000000001E-2</v>
      </c>
      <c r="GV39" s="152">
        <v>3.2000000000000001E-2</v>
      </c>
      <c r="GW39" s="152">
        <v>3.2000000000000001E-2</v>
      </c>
      <c r="GX39" s="152">
        <v>3.2000000000000001E-2</v>
      </c>
      <c r="GY39" s="152">
        <v>3.2000000000000001E-2</v>
      </c>
      <c r="GZ39" s="152">
        <v>3.2000000000000001E-2</v>
      </c>
      <c r="HA39" s="152">
        <v>3.2000000000000001E-2</v>
      </c>
      <c r="HB39" s="152">
        <v>3.2000000000000001E-2</v>
      </c>
      <c r="HC39" s="152">
        <v>3.2000000000000001E-2</v>
      </c>
      <c r="HD39" s="152">
        <v>3.2000000000000001E-2</v>
      </c>
      <c r="HE39" s="152">
        <v>3.2000000000000001E-2</v>
      </c>
      <c r="HF39" s="152">
        <v>3.2000000000000001E-2</v>
      </c>
      <c r="HG39" s="152">
        <v>3.2000000000000001E-2</v>
      </c>
      <c r="HH39" s="152">
        <v>3.2000000000000001E-2</v>
      </c>
      <c r="HI39" s="152">
        <v>3.2000000000000001E-2</v>
      </c>
      <c r="HJ39" s="152">
        <v>3.2000000000000001E-2</v>
      </c>
      <c r="HK39" s="152">
        <v>3.2000000000000001E-2</v>
      </c>
      <c r="HL39" s="152">
        <v>3.2000000000000001E-2</v>
      </c>
      <c r="HM39" s="152">
        <v>3.2000000000000001E-2</v>
      </c>
      <c r="HN39" s="41">
        <f t="shared" si="11"/>
        <v>0</v>
      </c>
      <c r="HO39" s="109" t="s">
        <v>298</v>
      </c>
      <c r="HT39" s="103"/>
      <c r="HU39" s="103"/>
      <c r="HV39" s="103"/>
      <c r="HW39" s="103"/>
      <c r="HX39" s="103"/>
      <c r="HY39" s="103"/>
      <c r="HZ39" s="103"/>
      <c r="IA39" s="103"/>
      <c r="IB39" s="103"/>
      <c r="IC39" s="103"/>
      <c r="ID39" s="103"/>
      <c r="IE39" s="103"/>
      <c r="IF39" s="103"/>
      <c r="IG39" s="103"/>
      <c r="IH39" s="103"/>
      <c r="II39" s="103"/>
      <c r="IJ39" s="103"/>
      <c r="IK39" s="103"/>
      <c r="IL39" s="103"/>
      <c r="IM39" s="103"/>
      <c r="IN39" s="103"/>
      <c r="IO39" s="103"/>
      <c r="IP39" s="103"/>
      <c r="IQ39" s="103"/>
      <c r="IR39" s="103"/>
      <c r="IS39" s="103"/>
      <c r="IT39" s="103"/>
      <c r="IU39" s="103"/>
      <c r="IV39" s="103"/>
      <c r="IW39" s="103"/>
      <c r="IX39" s="103"/>
      <c r="IY39" s="103"/>
      <c r="IZ39" s="103"/>
      <c r="JA39" s="103"/>
      <c r="JB39" s="103"/>
      <c r="JC39" s="103"/>
      <c r="JD39" s="103"/>
      <c r="JE39" s="103"/>
      <c r="JF39" s="103"/>
      <c r="JG39" s="103"/>
      <c r="JH39" s="103"/>
      <c r="JI39" s="103"/>
      <c r="JJ39" s="103"/>
      <c r="JK39" s="103"/>
      <c r="JL39" s="103"/>
      <c r="JM39" s="103"/>
      <c r="JN39" s="103"/>
      <c r="JO39" s="103"/>
      <c r="JP39" s="103"/>
      <c r="JQ39" s="103"/>
      <c r="JR39" s="103"/>
      <c r="JS39" s="103"/>
      <c r="JT39" s="103"/>
      <c r="JU39" s="103"/>
      <c r="JV39" s="103"/>
      <c r="JW39" s="103"/>
      <c r="JX39" s="103"/>
      <c r="JY39" s="103"/>
      <c r="JZ39" s="103"/>
      <c r="KA39" s="103"/>
      <c r="KB39" s="103"/>
      <c r="KC39" s="103"/>
      <c r="KD39" s="103"/>
      <c r="KE39" s="103"/>
      <c r="KF39" s="103"/>
      <c r="KG39" s="103"/>
      <c r="KH39" s="103"/>
      <c r="KI39" s="103"/>
      <c r="KJ39" s="103"/>
      <c r="KK39" s="103"/>
      <c r="KL39" s="103"/>
      <c r="KM39" s="103"/>
      <c r="KN39" s="103"/>
      <c r="KO39" s="103"/>
      <c r="KP39" s="103"/>
      <c r="KQ39" s="103"/>
      <c r="KR39" s="103"/>
      <c r="KS39" s="103"/>
      <c r="KT39" s="103"/>
      <c r="KU39" s="103"/>
      <c r="KV39" s="103"/>
      <c r="KW39" s="103"/>
      <c r="KX39" s="103"/>
      <c r="KY39" s="103"/>
      <c r="KZ39" s="103"/>
      <c r="LA39" s="103"/>
      <c r="LB39" s="103"/>
      <c r="LC39" s="103"/>
      <c r="LD39" s="103"/>
      <c r="LE39" s="103"/>
      <c r="LF39" s="103"/>
      <c r="LG39" s="103"/>
      <c r="LH39" s="103"/>
      <c r="LI39" s="103"/>
      <c r="LJ39" s="103"/>
      <c r="LK39" s="103"/>
      <c r="LL39" s="103"/>
      <c r="LM39" s="103"/>
    </row>
    <row r="40" spans="2:325" s="788" customFormat="1">
      <c r="B40" s="789" t="s">
        <v>29</v>
      </c>
      <c r="C40" s="773" t="s">
        <v>777</v>
      </c>
      <c r="D40" s="848">
        <v>3.6999999999999998E-2</v>
      </c>
      <c r="E40" s="848">
        <v>3.6999999999999998E-2</v>
      </c>
      <c r="F40" s="848">
        <v>3.6999999999999998E-2</v>
      </c>
      <c r="G40" s="181">
        <v>3.6999999999999998E-2</v>
      </c>
      <c r="H40" s="557">
        <v>3.6999999999999998E-2</v>
      </c>
      <c r="I40" s="181"/>
      <c r="J40" s="181"/>
      <c r="K40" s="181"/>
      <c r="L40" s="181"/>
      <c r="M40" s="181"/>
      <c r="N40" s="181"/>
      <c r="O40" s="181"/>
      <c r="P40" s="181"/>
      <c r="Q40" s="181"/>
      <c r="R40" s="181"/>
      <c r="S40" s="181"/>
      <c r="T40" s="181"/>
      <c r="U40" s="181"/>
      <c r="V40" s="181"/>
      <c r="W40" s="167"/>
      <c r="X40" s="167"/>
      <c r="Y40" s="167"/>
      <c r="Z40" s="167"/>
      <c r="AA40" s="167"/>
      <c r="AB40" s="167"/>
      <c r="AC40" s="167"/>
      <c r="AD40" s="167"/>
      <c r="AE40" s="167"/>
      <c r="AF40" s="63"/>
      <c r="AG40" s="63"/>
      <c r="AH40" s="63"/>
      <c r="AI40" s="63"/>
      <c r="AJ40" s="167"/>
      <c r="AK40" s="63"/>
      <c r="AL40" s="790"/>
      <c r="AM40" s="167"/>
      <c r="AN40" s="791"/>
      <c r="AO40" s="791"/>
      <c r="AP40" s="791"/>
      <c r="AQ40" s="791"/>
      <c r="AR40" s="791"/>
      <c r="AS40" s="791"/>
      <c r="AT40" s="791"/>
      <c r="AU40" s="791"/>
      <c r="AV40" s="791"/>
      <c r="AW40" s="791"/>
      <c r="AX40" s="791"/>
      <c r="AY40" s="791"/>
      <c r="AZ40" s="791"/>
      <c r="BA40" s="791"/>
      <c r="BB40" s="791"/>
      <c r="BC40" s="791"/>
      <c r="BD40" s="791"/>
      <c r="BE40" s="791"/>
      <c r="BF40" s="791"/>
      <c r="BG40" s="791"/>
      <c r="BH40" s="791"/>
      <c r="BI40" s="791"/>
      <c r="BJ40" s="791"/>
      <c r="BK40" s="791"/>
      <c r="BL40" s="791"/>
      <c r="BM40" s="791"/>
      <c r="BN40" s="791"/>
      <c r="BO40" s="791"/>
      <c r="BP40" s="791"/>
      <c r="BQ40" s="791"/>
      <c r="BR40" s="791"/>
      <c r="BS40" s="791"/>
      <c r="BT40" s="791"/>
      <c r="BU40" s="791"/>
      <c r="BV40" s="791"/>
      <c r="BW40" s="791"/>
      <c r="BX40" s="791"/>
      <c r="BY40" s="791"/>
      <c r="BZ40" s="791"/>
      <c r="CA40" s="791"/>
      <c r="CB40" s="791"/>
      <c r="CC40" s="791"/>
      <c r="CD40" s="791"/>
      <c r="CE40" s="791"/>
      <c r="CF40" s="791"/>
      <c r="CG40" s="791"/>
      <c r="CH40" s="791"/>
      <c r="CI40" s="791"/>
      <c r="CJ40" s="791"/>
      <c r="CK40" s="791"/>
      <c r="CL40" s="791"/>
      <c r="CM40" s="791"/>
      <c r="CN40" s="791"/>
      <c r="CO40" s="791"/>
      <c r="CP40" s="791"/>
      <c r="CQ40" s="791"/>
      <c r="CR40" s="791"/>
      <c r="CS40" s="791"/>
      <c r="CT40" s="791"/>
      <c r="CU40" s="792"/>
      <c r="CV40" s="792"/>
      <c r="CW40" s="792"/>
      <c r="CX40" s="792"/>
      <c r="CY40" s="792"/>
      <c r="CZ40" s="792"/>
      <c r="DA40" s="792"/>
      <c r="DB40" s="792"/>
      <c r="DC40" s="792"/>
      <c r="DD40" s="792"/>
      <c r="DE40" s="792"/>
      <c r="DF40" s="792"/>
      <c r="DG40" s="792"/>
      <c r="DH40" s="792"/>
      <c r="DI40" s="792"/>
      <c r="DJ40" s="792"/>
      <c r="DK40" s="792"/>
      <c r="DL40" s="792"/>
      <c r="DM40" s="792"/>
      <c r="DN40" s="792"/>
      <c r="DO40" s="792"/>
      <c r="DP40" s="792"/>
      <c r="DQ40" s="792"/>
      <c r="DR40" s="792"/>
      <c r="DS40" s="792"/>
      <c r="DT40" s="792"/>
      <c r="DU40" s="792"/>
      <c r="DV40" s="792"/>
      <c r="DW40" s="792"/>
      <c r="DX40" s="792"/>
      <c r="DY40" s="792"/>
      <c r="DZ40" s="792"/>
      <c r="EA40" s="792"/>
      <c r="EB40" s="792"/>
      <c r="EC40" s="792"/>
      <c r="ED40" s="792"/>
      <c r="EE40" s="792"/>
      <c r="EF40" s="792"/>
      <c r="EG40" s="792"/>
      <c r="EH40" s="792"/>
      <c r="EI40" s="792"/>
      <c r="EJ40" s="792"/>
      <c r="EK40" s="792"/>
      <c r="EL40" s="792"/>
      <c r="EM40" s="792"/>
      <c r="EN40" s="792"/>
      <c r="EO40" s="792"/>
      <c r="EP40" s="792"/>
      <c r="EQ40" s="792"/>
      <c r="ER40" s="792"/>
      <c r="ES40" s="792"/>
      <c r="ET40" s="792"/>
      <c r="EU40" s="792"/>
      <c r="EV40" s="791"/>
      <c r="EW40" s="791"/>
      <c r="EX40" s="792"/>
      <c r="EY40" s="792"/>
      <c r="EZ40" s="792"/>
      <c r="FA40" s="792"/>
      <c r="FB40" s="792"/>
      <c r="FC40" s="792"/>
      <c r="FD40" s="792"/>
      <c r="FE40" s="792"/>
      <c r="FF40" s="792"/>
      <c r="FG40" s="792"/>
      <c r="FH40" s="792"/>
      <c r="FI40" s="792"/>
      <c r="FJ40" s="792"/>
      <c r="FK40" s="792"/>
      <c r="FL40" s="792"/>
      <c r="FM40" s="792"/>
      <c r="FN40" s="792"/>
      <c r="FO40" s="792"/>
      <c r="FP40" s="792"/>
      <c r="FQ40" s="792"/>
      <c r="FR40" s="792"/>
      <c r="FS40" s="792"/>
      <c r="FT40" s="792"/>
      <c r="FU40" s="792"/>
      <c r="FV40" s="792"/>
      <c r="FW40" s="792"/>
      <c r="FX40" s="792"/>
      <c r="FY40" s="792"/>
      <c r="FZ40" s="792"/>
      <c r="GA40" s="792"/>
      <c r="GB40" s="792"/>
      <c r="GC40" s="792"/>
      <c r="GD40" s="792"/>
      <c r="GE40" s="792"/>
      <c r="GF40" s="792"/>
      <c r="GG40" s="792"/>
      <c r="GH40" s="792"/>
      <c r="GI40" s="792"/>
      <c r="GJ40" s="792"/>
      <c r="GK40" s="792"/>
      <c r="GL40" s="792"/>
      <c r="GM40" s="792"/>
      <c r="GN40" s="792"/>
      <c r="GO40" s="792"/>
      <c r="GP40" s="792"/>
      <c r="GQ40" s="792"/>
      <c r="GR40" s="792"/>
      <c r="GS40" s="792"/>
      <c r="GT40" s="792"/>
      <c r="GU40" s="792"/>
      <c r="GV40" s="792"/>
      <c r="GW40" s="792"/>
      <c r="GX40" s="792"/>
      <c r="GY40" s="792"/>
      <c r="GZ40" s="792"/>
      <c r="HA40" s="792"/>
      <c r="HB40" s="792"/>
      <c r="HC40" s="792"/>
      <c r="HD40" s="792"/>
      <c r="HE40" s="792"/>
      <c r="HF40" s="792"/>
      <c r="HG40" s="792"/>
      <c r="HH40" s="792"/>
      <c r="HI40" s="792"/>
      <c r="HJ40" s="792"/>
      <c r="HK40" s="792"/>
      <c r="HL40" s="792"/>
      <c r="HM40" s="792"/>
      <c r="HN40" s="41">
        <f t="shared" si="11"/>
        <v>0</v>
      </c>
      <c r="HO40" s="793" t="s">
        <v>778</v>
      </c>
    </row>
    <row r="41" spans="2:325">
      <c r="B41" s="760" t="s">
        <v>35</v>
      </c>
      <c r="C41" s="184" t="s">
        <v>301</v>
      </c>
      <c r="D41" s="167">
        <v>3.5999999999999997E-2</v>
      </c>
      <c r="E41" s="167">
        <v>3.5999999999999997E-2</v>
      </c>
      <c r="F41" s="167">
        <v>3.5999999999999997E-2</v>
      </c>
      <c r="G41" s="167">
        <v>3.5999999999999997E-2</v>
      </c>
      <c r="H41" s="167">
        <v>3.5999999999999997E-2</v>
      </c>
      <c r="I41" s="167">
        <v>3.5999999999999997E-2</v>
      </c>
      <c r="J41" s="167">
        <v>3.5999999999999997E-2</v>
      </c>
      <c r="K41" s="167">
        <v>3.5999999999999997E-2</v>
      </c>
      <c r="L41" s="167">
        <v>3.5999999999999997E-2</v>
      </c>
      <c r="M41" s="167">
        <v>3.5999999999999997E-2</v>
      </c>
      <c r="N41" s="167">
        <v>3.5999999999999997E-2</v>
      </c>
      <c r="O41" s="168">
        <v>3.5999999999999997E-2</v>
      </c>
      <c r="P41" s="167">
        <v>3.6999999999999998E-2</v>
      </c>
      <c r="Q41" s="167">
        <v>3.6999999999999998E-2</v>
      </c>
      <c r="R41" s="167">
        <v>3.6999999999999998E-2</v>
      </c>
      <c r="S41" s="167">
        <v>3.6999999999999998E-2</v>
      </c>
      <c r="T41" s="168">
        <v>3.6999999999999998E-2</v>
      </c>
      <c r="U41" s="167">
        <v>3.85E-2</v>
      </c>
      <c r="V41" s="167">
        <v>3.85E-2</v>
      </c>
      <c r="W41" s="168">
        <v>3.85E-2</v>
      </c>
      <c r="X41" s="167">
        <v>4.1000000000000002E-2</v>
      </c>
      <c r="Y41" s="167">
        <v>4.1000000000000002E-2</v>
      </c>
      <c r="Z41" s="167">
        <v>4.1000000000000002E-2</v>
      </c>
      <c r="AA41" s="167">
        <v>4.1000000000000002E-2</v>
      </c>
      <c r="AB41" s="167">
        <v>4.1000000000000002E-2</v>
      </c>
      <c r="AC41" s="167">
        <v>4.1000000000000002E-2</v>
      </c>
      <c r="AD41" s="167">
        <v>4.1000000000000002E-2</v>
      </c>
      <c r="AE41" s="168">
        <v>4.1000000000000002E-2</v>
      </c>
      <c r="AF41" s="63">
        <v>4.1500000000000002E-2</v>
      </c>
      <c r="AG41" s="63">
        <v>4.1500000000000002E-2</v>
      </c>
      <c r="AH41" s="168">
        <v>4.1500000000000002E-2</v>
      </c>
      <c r="AI41" s="63">
        <v>4.2000000000000003E-2</v>
      </c>
      <c r="AJ41" s="167">
        <v>4.2000000000000003E-2</v>
      </c>
      <c r="AK41" s="63">
        <v>4.2000000000000003E-2</v>
      </c>
      <c r="AL41" s="108">
        <v>4.2000000000000003E-2</v>
      </c>
      <c r="AM41" s="167">
        <v>4.2000000000000003E-2</v>
      </c>
      <c r="AN41" s="152">
        <v>4.2000000000000003E-2</v>
      </c>
      <c r="AO41" s="152">
        <v>4.2000000000000003E-2</v>
      </c>
      <c r="AP41" s="152">
        <v>4.2000000000000003E-2</v>
      </c>
      <c r="AQ41" s="152">
        <v>4.2000000000000003E-2</v>
      </c>
      <c r="AR41" s="152">
        <v>4.2000000000000003E-2</v>
      </c>
      <c r="AS41" s="152">
        <v>4.2000000000000003E-2</v>
      </c>
      <c r="AT41" s="152">
        <v>4.2000000000000003E-2</v>
      </c>
      <c r="AU41" s="152">
        <v>4.2000000000000003E-2</v>
      </c>
      <c r="AV41" s="152">
        <v>4.2000000000000003E-2</v>
      </c>
      <c r="AW41" s="152">
        <v>4.2000000000000003E-2</v>
      </c>
      <c r="AX41" s="152">
        <v>4.2000000000000003E-2</v>
      </c>
      <c r="AY41" s="152">
        <v>4.2000000000000003E-2</v>
      </c>
      <c r="AZ41" s="152">
        <v>4.2000000000000003E-2</v>
      </c>
      <c r="BA41" s="152">
        <v>4.2000000000000003E-2</v>
      </c>
      <c r="BB41" s="152">
        <v>4.2000000000000003E-2</v>
      </c>
      <c r="BC41" s="152">
        <v>4.2000000000000003E-2</v>
      </c>
      <c r="BD41" s="152">
        <v>4.2000000000000003E-2</v>
      </c>
      <c r="BE41" s="152">
        <v>4.2000000000000003E-2</v>
      </c>
      <c r="BF41" s="152">
        <v>4.2000000000000003E-2</v>
      </c>
      <c r="BG41" s="152">
        <v>4.2000000000000003E-2</v>
      </c>
      <c r="BH41" s="152">
        <v>4.2000000000000003E-2</v>
      </c>
      <c r="BI41" s="152">
        <v>4.2000000000000003E-2</v>
      </c>
      <c r="BJ41" s="152">
        <v>4.2000000000000003E-2</v>
      </c>
      <c r="BK41" s="152">
        <v>4.2000000000000003E-2</v>
      </c>
      <c r="BL41" s="152">
        <v>4.2000000000000003E-2</v>
      </c>
      <c r="BM41" s="152">
        <v>4.2000000000000003E-2</v>
      </c>
      <c r="BN41" s="152">
        <v>4.2000000000000003E-2</v>
      </c>
      <c r="BO41" s="152">
        <v>4.2000000000000003E-2</v>
      </c>
      <c r="BP41" s="152">
        <v>4.2000000000000003E-2</v>
      </c>
      <c r="BQ41" s="152">
        <v>4.2000000000000003E-2</v>
      </c>
      <c r="BR41" s="152">
        <v>4.2000000000000003E-2</v>
      </c>
      <c r="BS41" s="152">
        <v>4.2000000000000003E-2</v>
      </c>
      <c r="BT41" s="152">
        <v>4.2000000000000003E-2</v>
      </c>
      <c r="BU41" s="152">
        <v>4.2000000000000003E-2</v>
      </c>
      <c r="BV41" s="152">
        <v>4.2000000000000003E-2</v>
      </c>
      <c r="BW41" s="152">
        <v>4.2000000000000003E-2</v>
      </c>
      <c r="BX41" s="152">
        <v>4.2000000000000003E-2</v>
      </c>
      <c r="BY41" s="152">
        <v>4.2999999999999997E-2</v>
      </c>
      <c r="BZ41" s="152">
        <v>4.4999999999999998E-2</v>
      </c>
      <c r="CA41" s="152">
        <v>4.5999999999999999E-2</v>
      </c>
      <c r="CB41" s="152">
        <v>4.7E-2</v>
      </c>
      <c r="CC41" s="152">
        <v>4.8500000000000001E-2</v>
      </c>
      <c r="CD41" s="152">
        <v>4.8500000000000001E-2</v>
      </c>
      <c r="CE41" s="152">
        <v>4.8500000000000001E-2</v>
      </c>
      <c r="CF41" s="152">
        <v>4.8500000000000001E-2</v>
      </c>
      <c r="CG41" s="152">
        <v>4.8500000000000001E-2</v>
      </c>
      <c r="CH41" s="152">
        <v>4.8500000000000001E-2</v>
      </c>
      <c r="CI41" s="152">
        <v>4.8500000000000001E-2</v>
      </c>
      <c r="CJ41" s="152">
        <v>4.8500000000000001E-2</v>
      </c>
      <c r="CK41" s="152">
        <v>4.8500000000000001E-2</v>
      </c>
      <c r="CL41" s="152">
        <v>4.8500000000000001E-2</v>
      </c>
      <c r="CM41" s="152">
        <v>4.8500000000000001E-2</v>
      </c>
      <c r="CN41" s="152">
        <v>4.8500000000000001E-2</v>
      </c>
      <c r="CO41" s="152">
        <v>4.8500000000000001E-2</v>
      </c>
      <c r="CP41" s="152">
        <v>4.8500000000000001E-2</v>
      </c>
      <c r="CQ41" s="152">
        <v>4.8500000000000001E-2</v>
      </c>
      <c r="CR41" s="152">
        <v>4.8500000000000001E-2</v>
      </c>
      <c r="CS41" s="109">
        <v>4.8500000000000001E-2</v>
      </c>
      <c r="CT41" s="109">
        <v>4.8500000000000001E-2</v>
      </c>
      <c r="CU41" s="109">
        <v>4.8500000000000001E-2</v>
      </c>
      <c r="CV41" s="109">
        <v>4.8500000000000001E-2</v>
      </c>
      <c r="CW41" s="109">
        <v>4.8500000000000001E-2</v>
      </c>
      <c r="CX41" s="109">
        <v>4.8500000000000001E-2</v>
      </c>
      <c r="CY41" s="109">
        <v>4.8500000000000001E-2</v>
      </c>
      <c r="CZ41" s="109">
        <v>4.8500000000000001E-2</v>
      </c>
      <c r="DA41" s="109">
        <v>4.8500000000000001E-2</v>
      </c>
      <c r="DB41" s="109">
        <v>4.8500000000000001E-2</v>
      </c>
      <c r="DC41" s="109">
        <v>4.8500000000000001E-2</v>
      </c>
      <c r="DD41" s="109">
        <v>4.8500000000000001E-2</v>
      </c>
      <c r="DE41" s="109">
        <v>4.8500000000000001E-2</v>
      </c>
      <c r="DF41" s="109">
        <v>4.8500000000000001E-2</v>
      </c>
      <c r="DG41" s="109">
        <v>4.8500000000000001E-2</v>
      </c>
      <c r="DH41" s="109">
        <v>4.8500000000000001E-2</v>
      </c>
      <c r="DI41" s="109">
        <v>4.8500000000000001E-2</v>
      </c>
      <c r="DJ41" s="109">
        <v>4.8500000000000001E-2</v>
      </c>
      <c r="DK41" s="109">
        <v>4.8500000000000001E-2</v>
      </c>
      <c r="DL41" s="109">
        <v>4.8500000000000001E-2</v>
      </c>
      <c r="DM41" s="109">
        <v>4.8500000000000001E-2</v>
      </c>
      <c r="DN41" s="109">
        <v>4.8500000000000001E-2</v>
      </c>
      <c r="DO41" s="109">
        <v>4.8500000000000001E-2</v>
      </c>
      <c r="DP41" s="109">
        <v>4.8500000000000001E-2</v>
      </c>
      <c r="DQ41" s="109">
        <v>4.8500000000000001E-2</v>
      </c>
      <c r="DR41" s="109">
        <v>4.8500000000000001E-2</v>
      </c>
      <c r="DS41" s="109">
        <v>4.8500000000000001E-2</v>
      </c>
      <c r="DT41" s="109">
        <v>4.8500000000000001E-2</v>
      </c>
      <c r="DU41" s="109">
        <v>4.8500000000000001E-2</v>
      </c>
      <c r="DV41" s="109">
        <v>4.8500000000000001E-2</v>
      </c>
      <c r="DW41" s="109">
        <v>4.8500000000000001E-2</v>
      </c>
      <c r="DX41" s="109">
        <v>4.8500000000000001E-2</v>
      </c>
      <c r="DY41" s="109">
        <v>4.8500000000000001E-2</v>
      </c>
      <c r="DZ41" s="109">
        <v>4.8500000000000001E-2</v>
      </c>
      <c r="EA41" s="109">
        <v>4.8500000000000001E-2</v>
      </c>
      <c r="EB41" s="109">
        <v>4.8500000000000001E-2</v>
      </c>
      <c r="EC41" s="109">
        <v>4.8500000000000001E-2</v>
      </c>
      <c r="ED41" s="109">
        <v>4.8500000000000001E-2</v>
      </c>
      <c r="EE41" s="109">
        <v>4.8500000000000001E-2</v>
      </c>
      <c r="EF41" s="109">
        <v>4.8500000000000001E-2</v>
      </c>
      <c r="EG41" s="109">
        <v>4.8500000000000001E-2</v>
      </c>
      <c r="EH41" s="109">
        <v>4.8500000000000001E-2</v>
      </c>
      <c r="EI41" s="109">
        <v>4.8500000000000001E-2</v>
      </c>
      <c r="EJ41" s="109">
        <v>4.8500000000000001E-2</v>
      </c>
      <c r="EK41" s="109">
        <v>4.8500000000000001E-2</v>
      </c>
      <c r="EL41" s="109">
        <v>4.8500000000000001E-2</v>
      </c>
      <c r="EM41" s="109">
        <v>4.8500000000000001E-2</v>
      </c>
      <c r="EN41" s="109">
        <v>4.8500000000000001E-2</v>
      </c>
      <c r="EO41" s="109">
        <v>4.8500000000000001E-2</v>
      </c>
      <c r="EP41" s="109">
        <v>4.8500000000000001E-2</v>
      </c>
      <c r="EQ41" s="109">
        <v>4.8500000000000001E-2</v>
      </c>
      <c r="ER41" s="109">
        <v>4.8500000000000001E-2</v>
      </c>
      <c r="ES41" s="109">
        <v>4.8500000000000001E-2</v>
      </c>
      <c r="ET41" s="109">
        <v>4.8500000000000001E-2</v>
      </c>
      <c r="EU41" s="109">
        <v>4.8500000000000001E-2</v>
      </c>
      <c r="EV41" s="109">
        <v>4.8500000000000001E-2</v>
      </c>
      <c r="EW41" s="109">
        <v>4.8500000000000001E-2</v>
      </c>
      <c r="EX41" s="109">
        <v>4.8500000000000001E-2</v>
      </c>
      <c r="EY41" s="109">
        <v>4.8500000000000001E-2</v>
      </c>
      <c r="EZ41" s="109">
        <v>4.8500000000000001E-2</v>
      </c>
      <c r="FA41" s="109">
        <v>4.8500000000000001E-2</v>
      </c>
      <c r="FB41" s="109">
        <v>4.8500000000000001E-2</v>
      </c>
      <c r="FC41" s="109">
        <v>4.8500000000000001E-2</v>
      </c>
      <c r="FD41" s="109">
        <v>4.8500000000000001E-2</v>
      </c>
      <c r="FE41" s="109">
        <v>4.8500000000000001E-2</v>
      </c>
      <c r="FF41" s="109">
        <v>4.8500000000000001E-2</v>
      </c>
      <c r="FG41" s="109">
        <v>4.8500000000000001E-2</v>
      </c>
      <c r="FH41" s="109">
        <v>4.8500000000000001E-2</v>
      </c>
      <c r="FI41" s="109">
        <v>4.8500000000000001E-2</v>
      </c>
      <c r="FJ41" s="109">
        <v>4.8500000000000001E-2</v>
      </c>
      <c r="FK41" s="109">
        <v>4.8500000000000001E-2</v>
      </c>
      <c r="FL41" s="109">
        <v>4.8500000000000001E-2</v>
      </c>
      <c r="FM41" s="109">
        <v>4.8500000000000001E-2</v>
      </c>
      <c r="FN41" s="109">
        <v>4.8500000000000001E-2</v>
      </c>
      <c r="FO41" s="109">
        <v>4.8500000000000001E-2</v>
      </c>
      <c r="FP41" s="109">
        <v>4.8500000000000001E-2</v>
      </c>
      <c r="FQ41" s="109">
        <v>4.8500000000000001E-2</v>
      </c>
      <c r="FR41" s="109">
        <v>4.8500000000000001E-2</v>
      </c>
      <c r="FS41" s="109">
        <v>4.8500000000000001E-2</v>
      </c>
      <c r="FT41" s="109">
        <v>4.8500000000000001E-2</v>
      </c>
      <c r="FU41" s="109">
        <v>4.8500000000000001E-2</v>
      </c>
      <c r="FV41" s="109">
        <v>4.8500000000000001E-2</v>
      </c>
      <c r="FW41" s="109">
        <v>4.8500000000000001E-2</v>
      </c>
      <c r="FX41" s="109">
        <v>4.8500000000000001E-2</v>
      </c>
      <c r="FY41" s="109">
        <v>4.8500000000000001E-2</v>
      </c>
      <c r="FZ41" s="109">
        <v>4.8500000000000001E-2</v>
      </c>
      <c r="GA41" s="109">
        <v>4.8500000000000001E-2</v>
      </c>
      <c r="GB41" s="109"/>
      <c r="GC41" s="109"/>
      <c r="GD41" s="109"/>
      <c r="GE41" s="109"/>
      <c r="GF41" s="109"/>
      <c r="GG41" s="109"/>
      <c r="GH41" s="109"/>
      <c r="GI41" s="109"/>
      <c r="GJ41" s="109"/>
      <c r="GK41" s="109"/>
      <c r="GL41" s="109"/>
      <c r="GM41" s="109"/>
      <c r="GN41" s="109"/>
      <c r="GO41" s="109"/>
      <c r="GP41" s="109"/>
      <c r="GQ41" s="109"/>
      <c r="GR41" s="109"/>
      <c r="GS41" s="109"/>
      <c r="GT41" s="109"/>
      <c r="GU41" s="109"/>
      <c r="GV41" s="109"/>
      <c r="GW41" s="109"/>
      <c r="GX41" s="109"/>
      <c r="GY41" s="109"/>
      <c r="GZ41" s="109"/>
      <c r="HA41" s="109"/>
      <c r="HB41" s="109"/>
      <c r="HC41" s="109"/>
      <c r="HD41" s="109"/>
      <c r="HE41" s="109"/>
      <c r="HF41" s="109"/>
      <c r="HG41" s="109"/>
      <c r="HH41" s="109"/>
      <c r="HI41" s="109"/>
      <c r="HJ41" s="109"/>
      <c r="HK41" s="109"/>
      <c r="HL41" s="109"/>
      <c r="HM41" s="109"/>
      <c r="HN41" s="41">
        <f t="shared" si="11"/>
        <v>0</v>
      </c>
      <c r="HO41" s="113" t="s">
        <v>298</v>
      </c>
      <c r="HT41" s="103"/>
      <c r="HU41" s="103"/>
      <c r="HV41" s="103"/>
      <c r="HW41" s="103"/>
      <c r="HX41" s="103"/>
      <c r="HY41" s="103"/>
      <c r="HZ41" s="103"/>
      <c r="IA41" s="103"/>
      <c r="IB41" s="103"/>
      <c r="IC41" s="103"/>
      <c r="ID41" s="103"/>
      <c r="IE41" s="103"/>
      <c r="IF41" s="103"/>
      <c r="IG41" s="103"/>
      <c r="IH41" s="103"/>
      <c r="II41" s="103"/>
      <c r="IJ41" s="103"/>
      <c r="IK41" s="103"/>
      <c r="IL41" s="103"/>
      <c r="IM41" s="103"/>
      <c r="IN41" s="103"/>
      <c r="IO41" s="103"/>
      <c r="IP41" s="103"/>
      <c r="IQ41" s="103"/>
      <c r="IR41" s="103"/>
      <c r="IS41" s="103"/>
      <c r="IT41" s="103"/>
      <c r="IU41" s="103"/>
      <c r="IV41" s="103"/>
      <c r="IW41" s="103"/>
      <c r="IX41" s="103"/>
      <c r="IY41" s="103"/>
      <c r="IZ41" s="103"/>
      <c r="JA41" s="103"/>
      <c r="JB41" s="103"/>
      <c r="JC41" s="103"/>
      <c r="JD41" s="103"/>
      <c r="JE41" s="103"/>
      <c r="JF41" s="103"/>
      <c r="JG41" s="103"/>
      <c r="JH41" s="103"/>
      <c r="JI41" s="103"/>
      <c r="JJ41" s="103"/>
      <c r="JK41" s="103"/>
      <c r="JL41" s="103"/>
      <c r="JM41" s="103"/>
      <c r="JN41" s="103"/>
      <c r="JO41" s="103"/>
      <c r="JP41" s="103"/>
      <c r="JQ41" s="103"/>
      <c r="JR41" s="103"/>
      <c r="JS41" s="103"/>
      <c r="JT41" s="103"/>
      <c r="JU41" s="103"/>
      <c r="JV41" s="103"/>
      <c r="JW41" s="103"/>
      <c r="JX41" s="103"/>
      <c r="JY41" s="103"/>
      <c r="JZ41" s="103"/>
      <c r="KA41" s="103"/>
      <c r="KB41" s="103"/>
      <c r="KC41" s="103"/>
      <c r="KD41" s="103"/>
      <c r="KE41" s="103"/>
      <c r="KF41" s="103"/>
      <c r="KG41" s="103"/>
      <c r="KH41" s="103"/>
      <c r="KI41" s="103"/>
      <c r="KJ41" s="103"/>
      <c r="KK41" s="103"/>
      <c r="KL41" s="103"/>
      <c r="KM41" s="103"/>
      <c r="KN41" s="103"/>
      <c r="KO41" s="103"/>
      <c r="KP41" s="103"/>
      <c r="KQ41" s="103"/>
      <c r="KR41" s="103"/>
      <c r="KS41" s="103"/>
      <c r="KT41" s="103"/>
      <c r="KU41" s="103"/>
      <c r="KV41" s="103"/>
      <c r="KW41" s="103"/>
      <c r="KX41" s="103"/>
      <c r="KY41" s="103"/>
      <c r="KZ41" s="103"/>
      <c r="LA41" s="103"/>
      <c r="LB41" s="103"/>
      <c r="LC41" s="103"/>
      <c r="LD41" s="103"/>
      <c r="LE41" s="103"/>
      <c r="LF41" s="103"/>
      <c r="LG41" s="103"/>
      <c r="LH41" s="103"/>
      <c r="LI41" s="103"/>
      <c r="LJ41" s="103"/>
      <c r="LK41" s="103"/>
      <c r="LL41" s="103"/>
      <c r="LM41" s="103"/>
    </row>
    <row r="42" spans="2:325">
      <c r="B42" s="759" t="s">
        <v>42</v>
      </c>
      <c r="C42" s="177" t="s">
        <v>261</v>
      </c>
      <c r="D42" s="167">
        <v>3.4000000000000002E-2</v>
      </c>
      <c r="E42" s="167">
        <v>3.4000000000000002E-2</v>
      </c>
      <c r="F42" s="167">
        <v>3.4000000000000002E-2</v>
      </c>
      <c r="G42" s="167">
        <v>3.4000000000000002E-2</v>
      </c>
      <c r="H42" s="167">
        <v>3.6499999999999998E-2</v>
      </c>
      <c r="I42" s="167">
        <v>3.6499999999999998E-2</v>
      </c>
      <c r="J42" s="167">
        <v>3.6499999999999998E-2</v>
      </c>
      <c r="K42" s="167">
        <v>3.6499999999999998E-2</v>
      </c>
      <c r="L42" s="167">
        <v>3.6499999999999998E-2</v>
      </c>
      <c r="M42" s="167">
        <v>3.6499999999999998E-2</v>
      </c>
      <c r="N42" s="167">
        <v>3.6499999999999998E-2</v>
      </c>
      <c r="O42" s="168">
        <v>3.6499999999999998E-2</v>
      </c>
      <c r="P42" s="167">
        <v>3.9E-2</v>
      </c>
      <c r="Q42" s="167">
        <v>3.9E-2</v>
      </c>
      <c r="R42" s="167">
        <v>3.9E-2</v>
      </c>
      <c r="S42" s="167">
        <v>3.9E-2</v>
      </c>
      <c r="T42" s="167">
        <v>3.9E-2</v>
      </c>
      <c r="U42" s="167">
        <v>3.9E-2</v>
      </c>
      <c r="V42" s="167">
        <v>3.9E-2</v>
      </c>
      <c r="W42" s="167">
        <v>3.9E-2</v>
      </c>
      <c r="X42" s="167">
        <v>3.9E-2</v>
      </c>
      <c r="Y42" s="167">
        <v>3.9E-2</v>
      </c>
      <c r="Z42" s="167">
        <v>3.9E-2</v>
      </c>
      <c r="AA42" s="168">
        <v>3.9E-2</v>
      </c>
      <c r="AB42" s="167">
        <v>0.04</v>
      </c>
      <c r="AC42" s="167">
        <v>0.04</v>
      </c>
      <c r="AD42" s="167">
        <v>0.04</v>
      </c>
      <c r="AE42" s="167">
        <v>0.04</v>
      </c>
      <c r="AF42" s="63">
        <v>0.04</v>
      </c>
      <c r="AG42" s="63">
        <v>0.04</v>
      </c>
      <c r="AH42" s="63">
        <v>0.04</v>
      </c>
      <c r="AI42" s="63">
        <v>0.04</v>
      </c>
      <c r="AJ42" s="167">
        <v>0.04</v>
      </c>
      <c r="AK42" s="63">
        <v>0.04</v>
      </c>
      <c r="AL42" s="108">
        <v>0.04</v>
      </c>
      <c r="AM42" s="167">
        <v>0.04</v>
      </c>
      <c r="AN42" s="152">
        <v>0.04</v>
      </c>
      <c r="AO42" s="152">
        <v>0.04</v>
      </c>
      <c r="AP42" s="152">
        <v>0.04</v>
      </c>
      <c r="AQ42" s="152">
        <v>0.04</v>
      </c>
      <c r="AR42" s="152">
        <v>0.04</v>
      </c>
      <c r="AS42" s="152">
        <v>0.04</v>
      </c>
      <c r="AT42" s="152">
        <v>0.04</v>
      </c>
      <c r="AU42" s="152">
        <v>0.04</v>
      </c>
      <c r="AV42" s="152">
        <v>0.04</v>
      </c>
      <c r="AW42" s="152">
        <v>0.04</v>
      </c>
      <c r="AX42" s="152">
        <v>0.04</v>
      </c>
      <c r="AY42" s="152">
        <v>0.04</v>
      </c>
      <c r="AZ42" s="152">
        <v>0.04</v>
      </c>
      <c r="BA42" s="152">
        <v>0.04</v>
      </c>
      <c r="BB42" s="152">
        <v>0.04</v>
      </c>
      <c r="BC42" s="152">
        <v>0.04</v>
      </c>
      <c r="BD42" s="152">
        <v>0.04</v>
      </c>
      <c r="BE42" s="152">
        <v>0.04</v>
      </c>
      <c r="BF42" s="152">
        <v>0.04</v>
      </c>
      <c r="BG42" s="152">
        <v>0.04</v>
      </c>
      <c r="BH42" s="152">
        <v>0.04</v>
      </c>
      <c r="BI42" s="152">
        <v>0.04</v>
      </c>
      <c r="BJ42" s="152">
        <v>0.04</v>
      </c>
      <c r="BK42" s="160">
        <v>0.05</v>
      </c>
      <c r="BL42" s="160">
        <v>0.05</v>
      </c>
      <c r="BM42" s="160">
        <v>0.05</v>
      </c>
      <c r="BN42" s="160">
        <v>0.05</v>
      </c>
      <c r="BO42" s="160">
        <v>0.05</v>
      </c>
      <c r="BP42" s="160">
        <v>0.05</v>
      </c>
      <c r="BQ42" s="160">
        <v>0.05</v>
      </c>
      <c r="BR42" s="160">
        <v>0.05</v>
      </c>
      <c r="BS42" s="160">
        <v>0.05</v>
      </c>
      <c r="BT42" s="160">
        <v>0.05</v>
      </c>
      <c r="BU42" s="160">
        <v>0.05</v>
      </c>
      <c r="BV42" s="160">
        <v>0.05</v>
      </c>
      <c r="BW42" s="160">
        <v>0.05</v>
      </c>
      <c r="BX42" s="160">
        <v>0.05</v>
      </c>
      <c r="BY42" s="160">
        <v>0.05</v>
      </c>
      <c r="BZ42" s="160">
        <v>0.05</v>
      </c>
      <c r="CA42" s="160">
        <v>0.05</v>
      </c>
      <c r="CB42" s="160">
        <v>0.05</v>
      </c>
      <c r="CC42" s="152">
        <v>0.05</v>
      </c>
      <c r="CD42" s="152">
        <v>0.05</v>
      </c>
      <c r="CE42" s="152">
        <v>0.05</v>
      </c>
      <c r="CF42" s="152">
        <v>0.05</v>
      </c>
      <c r="CG42" s="152">
        <v>0.05</v>
      </c>
      <c r="CH42" s="152">
        <v>0.05</v>
      </c>
      <c r="CI42" s="152">
        <v>0.05</v>
      </c>
      <c r="CJ42" s="152">
        <v>0.05</v>
      </c>
      <c r="CK42" s="152">
        <v>0.05</v>
      </c>
      <c r="CL42" s="152">
        <v>0.05</v>
      </c>
      <c r="CM42" s="152">
        <v>0.05</v>
      </c>
      <c r="CN42" s="152">
        <v>0.05</v>
      </c>
      <c r="CO42" s="152">
        <v>0.05</v>
      </c>
      <c r="CP42" s="152">
        <v>0.05</v>
      </c>
      <c r="CQ42" s="152">
        <v>0.05</v>
      </c>
      <c r="CR42" s="152">
        <v>0.05</v>
      </c>
      <c r="CS42" s="152">
        <v>0.05</v>
      </c>
      <c r="CT42" s="152">
        <v>0.05</v>
      </c>
      <c r="CU42" s="110">
        <v>0.05</v>
      </c>
      <c r="CV42" s="110">
        <v>0.05</v>
      </c>
      <c r="CW42" s="110">
        <v>0.05</v>
      </c>
      <c r="CX42" s="110">
        <v>0.05</v>
      </c>
      <c r="CY42" s="110">
        <v>0.05</v>
      </c>
      <c r="CZ42" s="110">
        <v>0.05</v>
      </c>
      <c r="DA42" s="110">
        <v>0.05</v>
      </c>
      <c r="DB42" s="110">
        <v>0.05</v>
      </c>
      <c r="DC42" s="110">
        <v>0.05</v>
      </c>
      <c r="DD42" s="110">
        <v>0.05</v>
      </c>
      <c r="DE42" s="110">
        <v>0.05</v>
      </c>
      <c r="DF42" s="110">
        <v>0.05</v>
      </c>
      <c r="DG42" s="110">
        <v>0.05</v>
      </c>
      <c r="DH42" s="110">
        <v>0.05</v>
      </c>
      <c r="DI42" s="110">
        <v>0.05</v>
      </c>
      <c r="DJ42" s="110">
        <v>0.05</v>
      </c>
      <c r="DK42" s="110">
        <v>5.2499999999999998E-2</v>
      </c>
      <c r="DL42" s="110">
        <v>5.2499999999999998E-2</v>
      </c>
      <c r="DM42" s="110">
        <v>5.2499999999999998E-2</v>
      </c>
      <c r="DN42" s="110">
        <v>5.2499999999999998E-2</v>
      </c>
      <c r="DO42" s="110">
        <v>5.2499999999999998E-2</v>
      </c>
      <c r="DP42" s="110">
        <v>5.2499999999999998E-2</v>
      </c>
      <c r="DQ42" s="110">
        <v>5.2499999999999998E-2</v>
      </c>
      <c r="DR42" s="110">
        <v>5.2499999999999998E-2</v>
      </c>
      <c r="DS42" s="110">
        <v>5.2499999999999998E-2</v>
      </c>
      <c r="DT42" s="110">
        <v>5.2499999999999998E-2</v>
      </c>
      <c r="DU42" s="110">
        <v>5.2499999999999998E-2</v>
      </c>
      <c r="DV42" s="110">
        <v>5.2499999999999998E-2</v>
      </c>
      <c r="DW42" s="110">
        <v>5.2499999999999998E-2</v>
      </c>
      <c r="DX42" s="110">
        <v>5.2499999999999998E-2</v>
      </c>
      <c r="DY42" s="110">
        <v>5.2499999999999998E-2</v>
      </c>
      <c r="DZ42" s="110">
        <v>5.2499999999999998E-2</v>
      </c>
      <c r="EA42" s="110">
        <v>5.2499999999999998E-2</v>
      </c>
      <c r="EB42" s="110">
        <v>5.2499999999999998E-2</v>
      </c>
      <c r="EC42" s="110">
        <v>5.2499999999999998E-2</v>
      </c>
      <c r="ED42" s="110">
        <v>0.05</v>
      </c>
      <c r="EE42" s="110">
        <v>0.05</v>
      </c>
      <c r="EF42" s="110">
        <v>0.05</v>
      </c>
      <c r="EG42" s="110"/>
      <c r="EH42" s="110"/>
      <c r="EI42" s="110"/>
      <c r="EJ42" s="110"/>
      <c r="EK42" s="110"/>
      <c r="EL42" s="110">
        <v>4.5999999999999999E-2</v>
      </c>
      <c r="EM42" s="110">
        <v>4.5999999999999999E-2</v>
      </c>
      <c r="EN42" s="110">
        <v>4.5999999999999999E-2</v>
      </c>
      <c r="EO42" s="110">
        <v>4.5999999999999999E-2</v>
      </c>
      <c r="EP42" s="110">
        <v>4.5999999999999999E-2</v>
      </c>
      <c r="EQ42" s="110"/>
      <c r="ER42" s="110"/>
      <c r="ES42" s="110"/>
      <c r="ET42" s="110"/>
      <c r="EU42" s="110"/>
      <c r="EV42" s="110"/>
      <c r="EW42" s="110"/>
      <c r="EX42" s="110"/>
      <c r="EY42" s="110"/>
      <c r="EZ42" s="110"/>
      <c r="FA42" s="110"/>
      <c r="FB42" s="110"/>
      <c r="FC42" s="110"/>
      <c r="FD42" s="110"/>
      <c r="FE42" s="110"/>
      <c r="FF42" s="110"/>
      <c r="FG42" s="110"/>
      <c r="FH42" s="110"/>
      <c r="FI42" s="110"/>
      <c r="FJ42" s="110"/>
      <c r="FK42" s="110"/>
      <c r="FL42" s="110"/>
      <c r="FM42" s="110"/>
      <c r="FN42" s="110"/>
      <c r="FO42" s="110"/>
      <c r="FP42" s="110"/>
      <c r="FQ42" s="110"/>
      <c r="FR42" s="110"/>
      <c r="FS42" s="110"/>
      <c r="FT42" s="110">
        <v>4.5999999999999999E-2</v>
      </c>
      <c r="FU42" s="110">
        <v>4.5999999999999999E-2</v>
      </c>
      <c r="FV42" s="110">
        <v>0.05</v>
      </c>
      <c r="FW42" s="110">
        <v>0.05</v>
      </c>
      <c r="FX42" s="110">
        <v>0.05</v>
      </c>
      <c r="FY42" s="110">
        <v>0.05</v>
      </c>
      <c r="FZ42" s="110">
        <v>4.5999999999999999E-2</v>
      </c>
      <c r="GA42" s="110">
        <v>4.5999999999999999E-2</v>
      </c>
      <c r="GB42" s="110"/>
      <c r="GC42" s="110"/>
      <c r="GD42" s="110"/>
      <c r="GE42" s="110"/>
      <c r="GF42" s="110"/>
      <c r="GG42" s="110"/>
      <c r="GH42" s="110"/>
      <c r="GI42" s="110"/>
      <c r="GJ42" s="110"/>
      <c r="GK42" s="110"/>
      <c r="GL42" s="110"/>
      <c r="GM42" s="110"/>
      <c r="GN42" s="110"/>
      <c r="GO42" s="110"/>
      <c r="GP42" s="110"/>
      <c r="GQ42" s="110"/>
      <c r="GR42" s="110"/>
      <c r="GS42" s="110"/>
      <c r="GT42" s="110"/>
      <c r="GU42" s="110"/>
      <c r="GV42" s="110"/>
      <c r="GW42" s="110"/>
      <c r="GX42" s="110"/>
      <c r="GY42" s="110"/>
      <c r="GZ42" s="110"/>
      <c r="HA42" s="110"/>
      <c r="HB42" s="110"/>
      <c r="HC42" s="110"/>
      <c r="HD42" s="110"/>
      <c r="HE42" s="110"/>
      <c r="HF42" s="110"/>
      <c r="HG42" s="110"/>
      <c r="HH42" s="110"/>
      <c r="HI42" s="110"/>
      <c r="HJ42" s="110"/>
      <c r="HK42" s="110"/>
      <c r="HL42" s="110"/>
      <c r="HM42" s="110"/>
      <c r="HN42" s="41">
        <f t="shared" si="11"/>
        <v>0</v>
      </c>
      <c r="HO42" s="112"/>
      <c r="HT42" s="103"/>
      <c r="HU42" s="103"/>
      <c r="HV42" s="103"/>
      <c r="HW42" s="103"/>
      <c r="HX42" s="103"/>
      <c r="HY42" s="103"/>
      <c r="HZ42" s="103"/>
      <c r="IA42" s="103"/>
      <c r="IB42" s="103"/>
      <c r="IC42" s="103"/>
      <c r="ID42" s="103"/>
      <c r="IE42" s="103"/>
      <c r="IF42" s="103"/>
      <c r="IG42" s="103"/>
      <c r="IH42" s="103"/>
      <c r="II42" s="103"/>
      <c r="IJ42" s="103"/>
      <c r="IK42" s="103"/>
      <c r="IL42" s="103"/>
      <c r="IM42" s="103"/>
      <c r="IN42" s="103"/>
      <c r="IO42" s="103"/>
      <c r="IP42" s="103"/>
      <c r="IQ42" s="103"/>
      <c r="IR42" s="103"/>
      <c r="IS42" s="103"/>
      <c r="IT42" s="103"/>
      <c r="IU42" s="103"/>
      <c r="IV42" s="103"/>
      <c r="IW42" s="103"/>
      <c r="IX42" s="103"/>
      <c r="IY42" s="103"/>
      <c r="IZ42" s="103"/>
      <c r="JA42" s="103"/>
      <c r="JB42" s="103"/>
      <c r="JC42" s="103"/>
      <c r="JD42" s="103"/>
      <c r="JE42" s="103"/>
      <c r="JF42" s="103"/>
      <c r="JG42" s="103"/>
      <c r="JH42" s="103"/>
      <c r="JI42" s="103"/>
      <c r="JJ42" s="103"/>
      <c r="JK42" s="103"/>
      <c r="JL42" s="103"/>
      <c r="JM42" s="103"/>
      <c r="JN42" s="103"/>
      <c r="JO42" s="103"/>
      <c r="JP42" s="103"/>
      <c r="JQ42" s="103"/>
      <c r="JR42" s="103"/>
      <c r="JS42" s="103"/>
      <c r="JT42" s="103"/>
      <c r="JU42" s="103"/>
      <c r="JV42" s="103"/>
      <c r="JW42" s="103"/>
      <c r="JX42" s="103"/>
      <c r="JY42" s="103"/>
      <c r="JZ42" s="103"/>
      <c r="KA42" s="103"/>
      <c r="KB42" s="103"/>
      <c r="KC42" s="103"/>
      <c r="KD42" s="103"/>
      <c r="KE42" s="103"/>
      <c r="KF42" s="103"/>
      <c r="KG42" s="103"/>
      <c r="KH42" s="103"/>
      <c r="KI42" s="103"/>
      <c r="KJ42" s="103"/>
      <c r="KK42" s="103"/>
      <c r="KL42" s="103"/>
      <c r="KM42" s="103"/>
      <c r="KN42" s="103"/>
      <c r="KO42" s="103"/>
      <c r="KP42" s="103"/>
      <c r="KQ42" s="103"/>
      <c r="KR42" s="103"/>
      <c r="KS42" s="103"/>
      <c r="KT42" s="103"/>
      <c r="KU42" s="103"/>
      <c r="KV42" s="103"/>
      <c r="KW42" s="103"/>
      <c r="KX42" s="103"/>
      <c r="KY42" s="103"/>
      <c r="KZ42" s="103"/>
      <c r="LA42" s="103"/>
      <c r="LB42" s="103"/>
      <c r="LC42" s="103"/>
      <c r="LD42" s="103"/>
      <c r="LE42" s="103"/>
      <c r="LF42" s="103"/>
      <c r="LG42" s="103"/>
      <c r="LH42" s="103"/>
      <c r="LI42" s="103"/>
      <c r="LJ42" s="103"/>
      <c r="LK42" s="103"/>
      <c r="LL42" s="103"/>
      <c r="LM42" s="103"/>
    </row>
    <row r="43" spans="2:325">
      <c r="B43" s="193" t="s">
        <v>44</v>
      </c>
      <c r="C43" s="158" t="s">
        <v>800</v>
      </c>
      <c r="D43" s="167">
        <v>3.7999999999999999E-2</v>
      </c>
      <c r="E43" s="167">
        <v>3.7999999999999999E-2</v>
      </c>
      <c r="F43" s="167">
        <v>3.7999999999999999E-2</v>
      </c>
      <c r="G43" s="167">
        <v>3.7999999999999999E-2</v>
      </c>
      <c r="H43" s="167">
        <v>3.7999999999999999E-2</v>
      </c>
      <c r="I43" s="167">
        <v>3.7999999999999999E-2</v>
      </c>
      <c r="J43" s="167">
        <v>3.7999999999999999E-2</v>
      </c>
      <c r="K43" s="167">
        <v>3.7999999999999999E-2</v>
      </c>
      <c r="L43" s="167">
        <v>3.7999999999999999E-2</v>
      </c>
      <c r="M43" s="167">
        <v>3.7999999999999999E-2</v>
      </c>
      <c r="N43" s="167">
        <v>3.7999999999999999E-2</v>
      </c>
      <c r="O43" s="168">
        <v>3.7999999999999999E-2</v>
      </c>
      <c r="P43" s="167">
        <v>0.04</v>
      </c>
      <c r="Q43" s="167">
        <v>0.04</v>
      </c>
      <c r="R43" s="167">
        <v>0.04</v>
      </c>
      <c r="S43" s="167">
        <v>0.04</v>
      </c>
      <c r="T43" s="167">
        <v>0.04</v>
      </c>
      <c r="U43" s="167">
        <v>0.04</v>
      </c>
      <c r="V43" s="167">
        <v>0.04</v>
      </c>
      <c r="W43" s="167">
        <v>0.04</v>
      </c>
      <c r="X43" s="167">
        <v>0.04</v>
      </c>
      <c r="Y43" s="167">
        <v>0.04</v>
      </c>
      <c r="Z43" s="167">
        <v>0.04</v>
      </c>
      <c r="AA43" s="168">
        <v>0.04</v>
      </c>
      <c r="AB43" s="567">
        <v>4.2999999999999997E-2</v>
      </c>
      <c r="AC43" s="167">
        <v>4.2999999999999997E-2</v>
      </c>
      <c r="AD43" s="167">
        <v>4.2999999999999997E-2</v>
      </c>
      <c r="AE43" s="167">
        <v>4.2999999999999997E-2</v>
      </c>
      <c r="AF43" s="63">
        <v>4.2999999999999997E-2</v>
      </c>
      <c r="AG43" s="63">
        <v>4.2999999999999997E-2</v>
      </c>
      <c r="AH43" s="63">
        <v>4.2999999999999997E-2</v>
      </c>
      <c r="AI43" s="63">
        <v>4.2999999999999997E-2</v>
      </c>
      <c r="AJ43" s="167">
        <v>4.2999999999999997E-2</v>
      </c>
      <c r="AK43" s="63">
        <v>4.2999999999999997E-2</v>
      </c>
      <c r="AL43" s="108">
        <v>4.2999999999999997E-2</v>
      </c>
      <c r="AM43" s="167">
        <v>4.2999999999999997E-2</v>
      </c>
      <c r="AN43" s="152">
        <v>4.2999999999999997E-2</v>
      </c>
      <c r="AO43" s="152">
        <v>4.2999999999999997E-2</v>
      </c>
      <c r="AP43" s="152">
        <v>4.2999999999999997E-2</v>
      </c>
      <c r="AQ43" s="152">
        <v>4.2999999999999997E-2</v>
      </c>
      <c r="AR43" s="152">
        <v>4.2999999999999997E-2</v>
      </c>
      <c r="AS43" s="107">
        <v>4.2999999999999997E-2</v>
      </c>
      <c r="AT43" s="152">
        <v>4.4999999999999998E-2</v>
      </c>
      <c r="AU43" s="152">
        <v>4.4999999999999998E-2</v>
      </c>
      <c r="AV43" s="152">
        <v>4.4999999999999998E-2</v>
      </c>
      <c r="AW43" s="152">
        <v>4.4999999999999998E-2</v>
      </c>
      <c r="AX43" s="152">
        <v>4.4999999999999998E-2</v>
      </c>
      <c r="AY43" s="152">
        <v>4.4999999999999998E-2</v>
      </c>
      <c r="AZ43" s="152">
        <v>4.4999999999999998E-2</v>
      </c>
      <c r="BA43" s="152">
        <v>4.4999999999999998E-2</v>
      </c>
      <c r="BB43" s="152">
        <v>4.4999999999999998E-2</v>
      </c>
      <c r="BC43" s="152">
        <v>4.4999999999999998E-2</v>
      </c>
      <c r="BD43" s="152">
        <v>4.4999999999999998E-2</v>
      </c>
      <c r="BE43" s="152">
        <v>4.4999999999999998E-2</v>
      </c>
      <c r="BF43" s="152">
        <v>4.4999999999999998E-2</v>
      </c>
      <c r="BG43" s="152">
        <v>4.4999999999999998E-2</v>
      </c>
      <c r="BH43" s="152">
        <v>4.4999999999999998E-2</v>
      </c>
      <c r="BI43" s="152">
        <v>4.4999999999999998E-2</v>
      </c>
      <c r="BJ43" s="152">
        <v>4.4999999999999998E-2</v>
      </c>
      <c r="BK43" s="152">
        <v>4.4999999999999998E-2</v>
      </c>
      <c r="BL43" s="152">
        <v>4.65E-2</v>
      </c>
      <c r="BM43" s="152">
        <v>4.65E-2</v>
      </c>
      <c r="BN43" s="152">
        <v>4.65E-2</v>
      </c>
      <c r="BO43" s="152">
        <v>4.65E-2</v>
      </c>
      <c r="BP43" s="152">
        <v>4.65E-2</v>
      </c>
      <c r="BQ43" s="152">
        <v>4.65E-2</v>
      </c>
      <c r="BR43" s="152">
        <v>4.65E-2</v>
      </c>
      <c r="BS43" s="152">
        <v>4.65E-2</v>
      </c>
      <c r="BT43" s="152">
        <v>4.65E-2</v>
      </c>
      <c r="BU43" s="152">
        <v>4.65E-2</v>
      </c>
      <c r="BV43" s="152">
        <v>4.65E-2</v>
      </c>
      <c r="BW43" s="152">
        <v>4.65E-2</v>
      </c>
      <c r="BX43" s="152">
        <v>4.65E-2</v>
      </c>
      <c r="BY43" s="152">
        <v>4.7500000000000001E-2</v>
      </c>
      <c r="BZ43" s="152">
        <v>4.7500000000000001E-2</v>
      </c>
      <c r="CA43" s="152">
        <v>4.7500000000000001E-2</v>
      </c>
      <c r="CB43" s="152">
        <v>4.7500000000000001E-2</v>
      </c>
      <c r="CC43" s="152">
        <v>4.7500000000000001E-2</v>
      </c>
      <c r="CD43" s="152">
        <v>4.7500000000000001E-2</v>
      </c>
      <c r="CE43" s="152">
        <v>5.2499999999999998E-2</v>
      </c>
      <c r="CF43" s="152">
        <v>5.2499999999999998E-2</v>
      </c>
      <c r="CG43" s="152">
        <v>5.2499999999999998E-2</v>
      </c>
      <c r="CH43" s="152">
        <v>5.2499999999999998E-2</v>
      </c>
      <c r="CI43" s="152">
        <v>5.2499999999999998E-2</v>
      </c>
      <c r="CJ43" s="152">
        <v>5.2499999999999998E-2</v>
      </c>
      <c r="CK43" s="152">
        <v>5.2499999999999998E-2</v>
      </c>
      <c r="CL43" s="152">
        <v>5.2499999999999998E-2</v>
      </c>
      <c r="CM43" s="152">
        <v>5.2499999999999998E-2</v>
      </c>
      <c r="CN43" s="152">
        <v>5.2499999999999998E-2</v>
      </c>
      <c r="CO43" s="152">
        <v>5.2499999999999998E-2</v>
      </c>
      <c r="CP43" s="152">
        <v>5.2499999999999998E-2</v>
      </c>
      <c r="CQ43" s="152">
        <v>5.2499999999999998E-2</v>
      </c>
      <c r="CR43" s="152">
        <v>5.2499999999999998E-2</v>
      </c>
      <c r="CS43" s="152">
        <v>5.2499999999999998E-2</v>
      </c>
      <c r="CT43" s="152">
        <v>5.2499999999999998E-2</v>
      </c>
      <c r="CU43" s="152">
        <v>5.2499999999999998E-2</v>
      </c>
      <c r="CV43" s="152">
        <v>5.2499999999999998E-2</v>
      </c>
      <c r="CW43" s="152">
        <v>5.2499999999999998E-2</v>
      </c>
      <c r="CX43" s="152">
        <v>4.7500000000000001E-2</v>
      </c>
      <c r="CY43" s="152">
        <v>4.7500000000000001E-2</v>
      </c>
      <c r="CZ43" s="152">
        <v>5.2499999999999998E-2</v>
      </c>
      <c r="DA43" s="152">
        <v>5.2499999999999998E-2</v>
      </c>
      <c r="DB43" s="152">
        <v>5.2499999999999998E-2</v>
      </c>
      <c r="DC43" s="152">
        <v>5.2499999999999998E-2</v>
      </c>
      <c r="DD43" s="152">
        <v>5.2499999999999998E-2</v>
      </c>
      <c r="DE43" s="152">
        <v>5.2499999999999998E-2</v>
      </c>
      <c r="DF43" s="152">
        <v>4.7500000000000001E-2</v>
      </c>
      <c r="DG43" s="152">
        <v>0.05</v>
      </c>
      <c r="DH43" s="152">
        <v>0.05</v>
      </c>
      <c r="DI43" s="152">
        <v>0.05</v>
      </c>
      <c r="DJ43" s="152">
        <v>0.05</v>
      </c>
      <c r="DK43" s="152">
        <v>0.05</v>
      </c>
      <c r="DL43" s="152">
        <v>0.05</v>
      </c>
      <c r="DM43" s="152">
        <v>0.05</v>
      </c>
      <c r="DN43" s="152">
        <v>0.05</v>
      </c>
      <c r="DO43" s="152">
        <v>0.05</v>
      </c>
      <c r="DP43" s="152">
        <v>0.05</v>
      </c>
      <c r="DQ43" s="152">
        <v>0.05</v>
      </c>
      <c r="DR43" s="152">
        <v>0.05</v>
      </c>
      <c r="DS43" s="152">
        <v>0.05</v>
      </c>
      <c r="DT43" s="152">
        <v>0.05</v>
      </c>
      <c r="DU43" s="152">
        <v>0.05</v>
      </c>
      <c r="DV43" s="152">
        <v>0.05</v>
      </c>
      <c r="DW43" s="152">
        <v>0.05</v>
      </c>
      <c r="DX43" s="152">
        <v>0.05</v>
      </c>
      <c r="DY43" s="152">
        <v>0.05</v>
      </c>
      <c r="DZ43" s="152">
        <v>0.05</v>
      </c>
      <c r="EA43" s="152">
        <v>0.05</v>
      </c>
      <c r="EB43" s="152">
        <v>0.05</v>
      </c>
      <c r="EC43" s="152">
        <v>0.05</v>
      </c>
      <c r="ED43" s="152">
        <v>0.05</v>
      </c>
      <c r="EE43" s="152">
        <v>0.05</v>
      </c>
      <c r="EF43" s="152">
        <v>0.05</v>
      </c>
      <c r="EG43" s="152">
        <v>3.7499999999999999E-2</v>
      </c>
      <c r="EH43" s="152">
        <v>0.03</v>
      </c>
      <c r="EI43" s="152">
        <v>0.03</v>
      </c>
      <c r="EJ43" s="152">
        <v>0.03</v>
      </c>
      <c r="EK43" s="152">
        <v>0.03</v>
      </c>
      <c r="EL43" s="152">
        <v>4.2500000000000003E-2</v>
      </c>
      <c r="EM43" s="152">
        <v>4.2500000000000003E-2</v>
      </c>
      <c r="EN43" s="152">
        <v>4.2500000000000003E-2</v>
      </c>
      <c r="EO43" s="152">
        <v>4.2500000000000003E-2</v>
      </c>
      <c r="EP43" s="152">
        <v>4.2500000000000003E-2</v>
      </c>
      <c r="EQ43" s="152">
        <v>4.2500000000000003E-2</v>
      </c>
      <c r="ER43" s="152">
        <v>4.2500000000000003E-2</v>
      </c>
      <c r="ES43" s="152">
        <v>4.2500000000000003E-2</v>
      </c>
      <c r="ET43" s="152">
        <v>4.2500000000000003E-2</v>
      </c>
      <c r="EU43" s="152">
        <v>4.2500000000000003E-2</v>
      </c>
      <c r="EV43" s="152">
        <v>4.2500000000000003E-2</v>
      </c>
      <c r="EW43" s="152">
        <v>4.2500000000000003E-2</v>
      </c>
      <c r="EX43" s="152">
        <v>4.2500000000000003E-2</v>
      </c>
      <c r="EY43" s="152">
        <v>4.2500000000000003E-2</v>
      </c>
      <c r="EZ43" s="152">
        <v>4.2500000000000003E-2</v>
      </c>
      <c r="FA43" s="152">
        <v>4.2500000000000003E-2</v>
      </c>
      <c r="FB43" s="152">
        <v>4.4999999999999998E-2</v>
      </c>
      <c r="FC43" s="152">
        <v>4.4999999999999998E-2</v>
      </c>
      <c r="FD43" s="152">
        <v>4.4999999999999998E-2</v>
      </c>
      <c r="FE43" s="152">
        <v>4.4999999999999998E-2</v>
      </c>
      <c r="FF43" s="152">
        <v>4.4999999999999998E-2</v>
      </c>
      <c r="FG43" s="152">
        <v>4.4999999999999998E-2</v>
      </c>
      <c r="FH43" s="152">
        <v>4.4999999999999998E-2</v>
      </c>
      <c r="FI43" s="152">
        <v>4.2500000000000003E-2</v>
      </c>
      <c r="FJ43" s="152">
        <v>4.2500000000000003E-2</v>
      </c>
      <c r="FK43" s="152">
        <v>4.2500000000000003E-2</v>
      </c>
      <c r="FL43" s="152">
        <v>4.2500000000000003E-2</v>
      </c>
      <c r="FM43" s="152">
        <v>4.2500000000000003E-2</v>
      </c>
      <c r="FN43" s="152">
        <v>4.2500000000000003E-2</v>
      </c>
      <c r="FO43" s="152">
        <v>3.7499999999999999E-2</v>
      </c>
      <c r="FP43" s="152">
        <v>3.7499999999999999E-2</v>
      </c>
      <c r="FQ43" s="152">
        <v>3.7499999999999999E-2</v>
      </c>
      <c r="FR43" s="152">
        <v>3.7499999999999999E-2</v>
      </c>
      <c r="FS43" s="152">
        <v>3.7499999999999999E-2</v>
      </c>
      <c r="FT43" s="152">
        <v>4.2500000000000003E-2</v>
      </c>
      <c r="FU43" s="152">
        <v>4.2500000000000003E-2</v>
      </c>
      <c r="FV43" s="152">
        <v>4.2500000000000003E-2</v>
      </c>
      <c r="FW43" s="152">
        <v>4.2500000000000003E-2</v>
      </c>
      <c r="FX43" s="152">
        <v>4.2500000000000003E-2</v>
      </c>
      <c r="FY43" s="152">
        <v>4.2500000000000003E-2</v>
      </c>
      <c r="FZ43" s="152">
        <v>4.2500000000000003E-2</v>
      </c>
      <c r="GA43" s="152">
        <v>4.2500000000000003E-2</v>
      </c>
      <c r="GB43" s="152">
        <v>2.5000000000000001E-2</v>
      </c>
      <c r="GC43" s="152">
        <v>2.5000000000000001E-2</v>
      </c>
      <c r="GD43" s="152">
        <v>2.5000000000000001E-2</v>
      </c>
      <c r="GE43" s="152">
        <v>2.5000000000000001E-2</v>
      </c>
      <c r="GF43" s="152">
        <v>2.5000000000000001E-2</v>
      </c>
      <c r="GG43" s="152">
        <v>2.5000000000000001E-2</v>
      </c>
      <c r="GH43" s="152">
        <v>2.5000000000000001E-2</v>
      </c>
      <c r="GI43" s="152">
        <v>2.5000000000000001E-2</v>
      </c>
      <c r="GJ43" s="152">
        <v>2.5000000000000001E-2</v>
      </c>
      <c r="GK43" s="152">
        <v>2.5000000000000001E-2</v>
      </c>
      <c r="GL43" s="152">
        <v>2.5000000000000001E-2</v>
      </c>
      <c r="GM43" s="152">
        <v>2.5000000000000001E-2</v>
      </c>
      <c r="GN43" s="152">
        <v>2.5000000000000001E-2</v>
      </c>
      <c r="GO43" s="152">
        <v>2.5000000000000001E-2</v>
      </c>
      <c r="GP43" s="152">
        <v>2.5000000000000001E-2</v>
      </c>
      <c r="GQ43" s="152">
        <v>2.5000000000000001E-2</v>
      </c>
      <c r="GR43" s="152">
        <v>2.5000000000000001E-2</v>
      </c>
      <c r="GS43" s="152">
        <v>2.5000000000000001E-2</v>
      </c>
      <c r="GT43" s="152">
        <v>2.5000000000000001E-2</v>
      </c>
      <c r="GU43" s="152">
        <v>2.5000000000000001E-2</v>
      </c>
      <c r="GV43" s="152">
        <v>2.5000000000000001E-2</v>
      </c>
      <c r="GW43" s="152">
        <v>2.5000000000000001E-2</v>
      </c>
      <c r="GX43" s="152">
        <v>2.5000000000000001E-2</v>
      </c>
      <c r="GY43" s="152">
        <v>2.5000000000000001E-2</v>
      </c>
      <c r="GZ43" s="152">
        <v>2.5000000000000001E-2</v>
      </c>
      <c r="HA43" s="152">
        <v>2.5000000000000001E-2</v>
      </c>
      <c r="HB43" s="152">
        <v>2.5000000000000001E-2</v>
      </c>
      <c r="HC43" s="152">
        <v>2.5000000000000001E-2</v>
      </c>
      <c r="HD43" s="152">
        <v>2.5000000000000001E-2</v>
      </c>
      <c r="HE43" s="152">
        <v>2.5000000000000001E-2</v>
      </c>
      <c r="HF43" s="152">
        <v>2.5000000000000001E-2</v>
      </c>
      <c r="HG43" s="152">
        <v>2.5000000000000001E-2</v>
      </c>
      <c r="HH43" s="152">
        <v>2.5000000000000001E-2</v>
      </c>
      <c r="HI43" s="152">
        <v>2.5000000000000001E-2</v>
      </c>
      <c r="HJ43" s="152">
        <v>2.5000000000000001E-2</v>
      </c>
      <c r="HK43" s="152">
        <v>2.5000000000000001E-2</v>
      </c>
      <c r="HL43" s="152">
        <v>2.5000000000000001E-2</v>
      </c>
      <c r="HM43" s="152">
        <v>2.5000000000000001E-2</v>
      </c>
      <c r="HN43" s="41">
        <f t="shared" si="11"/>
        <v>0</v>
      </c>
      <c r="HO43" s="580"/>
      <c r="HT43" s="103"/>
      <c r="HU43" s="103"/>
      <c r="HV43" s="103"/>
      <c r="HW43" s="103"/>
      <c r="HX43" s="103"/>
      <c r="HY43" s="103"/>
      <c r="HZ43" s="103"/>
      <c r="IA43" s="103"/>
      <c r="IB43" s="103"/>
      <c r="IC43" s="103"/>
      <c r="ID43" s="103"/>
      <c r="IE43" s="103"/>
      <c r="IF43" s="103"/>
      <c r="IG43" s="103"/>
      <c r="IH43" s="103"/>
      <c r="II43" s="103"/>
      <c r="IJ43" s="103"/>
      <c r="IK43" s="103"/>
      <c r="IL43" s="103"/>
      <c r="IM43" s="103"/>
      <c r="IN43" s="103"/>
      <c r="IO43" s="103"/>
      <c r="IP43" s="103"/>
      <c r="IQ43" s="103"/>
      <c r="IR43" s="103"/>
      <c r="IS43" s="103"/>
      <c r="IT43" s="103"/>
      <c r="IU43" s="103"/>
      <c r="IV43" s="103"/>
      <c r="IW43" s="103"/>
      <c r="IX43" s="103"/>
      <c r="IY43" s="103"/>
      <c r="IZ43" s="103"/>
      <c r="JA43" s="103"/>
      <c r="JB43" s="103"/>
      <c r="JC43" s="103"/>
      <c r="JD43" s="103"/>
      <c r="JE43" s="103"/>
      <c r="JF43" s="103"/>
      <c r="JG43" s="103"/>
      <c r="JH43" s="103"/>
      <c r="JI43" s="103"/>
      <c r="JJ43" s="103"/>
      <c r="JK43" s="103"/>
      <c r="JL43" s="103"/>
      <c r="JM43" s="103"/>
      <c r="JN43" s="103"/>
      <c r="JO43" s="103"/>
      <c r="JP43" s="103"/>
      <c r="JQ43" s="103"/>
      <c r="JR43" s="103"/>
      <c r="JS43" s="103"/>
      <c r="JT43" s="103"/>
      <c r="JU43" s="103"/>
      <c r="JV43" s="103"/>
      <c r="JW43" s="103"/>
      <c r="JX43" s="103"/>
      <c r="JY43" s="103"/>
      <c r="JZ43" s="103"/>
      <c r="KA43" s="103"/>
      <c r="KB43" s="103"/>
      <c r="KC43" s="103"/>
      <c r="KD43" s="103"/>
      <c r="KE43" s="103"/>
      <c r="KF43" s="103"/>
      <c r="KG43" s="103"/>
      <c r="KH43" s="103"/>
      <c r="KI43" s="103"/>
      <c r="KJ43" s="103"/>
      <c r="KK43" s="103"/>
      <c r="KL43" s="103"/>
      <c r="KM43" s="103"/>
      <c r="KN43" s="103"/>
      <c r="KO43" s="103"/>
      <c r="KP43" s="103"/>
      <c r="KQ43" s="103"/>
      <c r="KR43" s="103"/>
      <c r="KS43" s="103"/>
      <c r="KT43" s="103"/>
      <c r="KU43" s="103"/>
      <c r="KV43" s="103"/>
      <c r="KW43" s="103"/>
      <c r="KX43" s="103"/>
      <c r="KY43" s="103"/>
      <c r="KZ43" s="103"/>
      <c r="LA43" s="103"/>
      <c r="LB43" s="103"/>
      <c r="LC43" s="103"/>
      <c r="LD43" s="103"/>
      <c r="LE43" s="103"/>
      <c r="LF43" s="103"/>
      <c r="LG43" s="103"/>
      <c r="LH43" s="103"/>
      <c r="LI43" s="103"/>
      <c r="LJ43" s="103"/>
      <c r="LK43" s="103"/>
      <c r="LL43" s="103"/>
      <c r="LM43" s="103"/>
    </row>
    <row r="44" spans="2:325">
      <c r="B44" s="1075" t="s">
        <v>33</v>
      </c>
      <c r="C44" s="169" t="s">
        <v>683</v>
      </c>
      <c r="D44" s="167">
        <v>2.8500000000000001E-2</v>
      </c>
      <c r="E44" s="167">
        <v>2.8500000000000001E-2</v>
      </c>
      <c r="F44" s="167">
        <v>2.8500000000000001E-2</v>
      </c>
      <c r="G44" s="167">
        <v>2.8500000000000001E-2</v>
      </c>
      <c r="H44" s="167">
        <v>2.8500000000000001E-2</v>
      </c>
      <c r="I44" s="167">
        <v>2.8500000000000001E-2</v>
      </c>
      <c r="J44" s="167">
        <v>2.8500000000000001E-2</v>
      </c>
      <c r="K44" s="167">
        <v>2.8500000000000001E-2</v>
      </c>
      <c r="L44" s="167">
        <v>2.8500000000000001E-2</v>
      </c>
      <c r="M44" s="167">
        <v>2.8500000000000001E-2</v>
      </c>
      <c r="N44" s="167">
        <v>2.8500000000000001E-2</v>
      </c>
      <c r="O44" s="167">
        <v>2.8500000000000001E-2</v>
      </c>
      <c r="P44" s="167">
        <v>2.8500000000000001E-2</v>
      </c>
      <c r="Q44" s="167">
        <v>2.8500000000000001E-2</v>
      </c>
      <c r="R44" s="167">
        <v>2.8500000000000001E-2</v>
      </c>
      <c r="S44" s="167">
        <v>2.9499999999999998E-2</v>
      </c>
      <c r="T44" s="167">
        <v>2.9499999999999998E-2</v>
      </c>
      <c r="U44" s="167">
        <v>2.9499999999999998E-2</v>
      </c>
      <c r="V44" s="167">
        <v>2.9499999999999998E-2</v>
      </c>
      <c r="W44" s="167">
        <v>2.9499999999999998E-2</v>
      </c>
      <c r="X44" s="167">
        <v>2.9499999999999998E-2</v>
      </c>
      <c r="Y44" s="167">
        <v>2.9499999999999998E-2</v>
      </c>
      <c r="Z44" s="168">
        <v>2.9499999999999998E-2</v>
      </c>
      <c r="AA44" s="168">
        <v>3.15E-2</v>
      </c>
      <c r="AB44" s="167">
        <v>3.2500000000000001E-2</v>
      </c>
      <c r="AC44" s="167">
        <v>3.2500000000000001E-2</v>
      </c>
      <c r="AD44" s="167">
        <v>3.2500000000000001E-2</v>
      </c>
      <c r="AE44" s="167">
        <v>3.2500000000000001E-2</v>
      </c>
      <c r="AF44" s="63">
        <v>3.2500000000000001E-2</v>
      </c>
      <c r="AG44" s="63">
        <v>3.2500000000000001E-2</v>
      </c>
      <c r="AH44" s="63">
        <v>3.2500000000000001E-2</v>
      </c>
      <c r="AI44" s="63">
        <v>3.2500000000000001E-2</v>
      </c>
      <c r="AJ44" s="168">
        <v>3.2500000000000001E-2</v>
      </c>
      <c r="AK44" s="63">
        <v>3.15E-2</v>
      </c>
      <c r="AL44" s="108">
        <v>3.15E-2</v>
      </c>
      <c r="AM44" s="167">
        <v>3.15E-2</v>
      </c>
      <c r="AN44" s="166">
        <v>3.15E-2</v>
      </c>
      <c r="AO44" s="152">
        <v>3.2500000000000001E-2</v>
      </c>
      <c r="AP44" s="152">
        <v>3.2500000000000001E-2</v>
      </c>
      <c r="AQ44" s="152">
        <v>3.2500000000000001E-2</v>
      </c>
      <c r="AR44" s="107">
        <v>3.2500000000000001E-2</v>
      </c>
      <c r="AS44" s="152">
        <v>3.3500000000000002E-2</v>
      </c>
      <c r="AT44" s="152">
        <v>3.3500000000000002E-2</v>
      </c>
      <c r="AU44" s="152">
        <v>3.3500000000000002E-2</v>
      </c>
      <c r="AV44" s="107">
        <v>3.3500000000000002E-2</v>
      </c>
      <c r="AW44" s="152">
        <v>3.4500000000000003E-2</v>
      </c>
      <c r="AX44" s="152">
        <v>3.6999999999999998E-2</v>
      </c>
      <c r="AY44" s="152">
        <v>3.6999999999999998E-2</v>
      </c>
      <c r="AZ44" s="152">
        <v>3.6999999999999998E-2</v>
      </c>
      <c r="BA44" s="152">
        <v>3.9E-2</v>
      </c>
      <c r="BB44" s="107">
        <v>3.9E-2</v>
      </c>
      <c r="BC44" s="152">
        <v>0.04</v>
      </c>
      <c r="BD44" s="152">
        <v>0.04</v>
      </c>
      <c r="BE44" s="152">
        <v>0.04</v>
      </c>
      <c r="BF44" s="152">
        <v>0.04</v>
      </c>
      <c r="BG44" s="152">
        <v>0.04</v>
      </c>
      <c r="BH44" s="152">
        <v>3.6799999999999999E-2</v>
      </c>
      <c r="BI44" s="152">
        <v>3.6799999999999999E-2</v>
      </c>
      <c r="BJ44" s="152">
        <v>3.6799999999999999E-2</v>
      </c>
      <c r="BK44" s="152">
        <v>3.6799999999999999E-2</v>
      </c>
      <c r="BL44" s="152">
        <v>3.6999999999999998E-2</v>
      </c>
      <c r="BM44" s="152">
        <v>3.6999999999999998E-2</v>
      </c>
      <c r="BN44" s="152">
        <v>3.6999999999999998E-2</v>
      </c>
      <c r="BO44" s="152">
        <v>3.6999999999999998E-2</v>
      </c>
      <c r="BP44" s="152">
        <v>3.6999999999999998E-2</v>
      </c>
      <c r="BQ44" s="152">
        <v>3.6999999999999998E-2</v>
      </c>
      <c r="BR44" s="152">
        <v>3.6999999999999998E-2</v>
      </c>
      <c r="BS44" s="152">
        <v>3.6999999999999998E-2</v>
      </c>
      <c r="BT44" s="152">
        <v>3.6999999999999998E-2</v>
      </c>
      <c r="BU44" s="152">
        <v>3.6999999999999998E-2</v>
      </c>
      <c r="BV44" s="152">
        <v>3.6999999999999998E-2</v>
      </c>
      <c r="BW44" s="152">
        <v>3.6999999999999998E-2</v>
      </c>
      <c r="BX44" s="152">
        <v>3.6999999999999998E-2</v>
      </c>
      <c r="BY44" s="152">
        <v>3.6999999999999998E-2</v>
      </c>
      <c r="BZ44" s="152">
        <v>4.2500000000000003E-2</v>
      </c>
      <c r="CA44" s="152">
        <v>4.5999999999999999E-2</v>
      </c>
      <c r="CB44" s="152">
        <v>4.5999999999999999E-2</v>
      </c>
      <c r="CC44" s="152">
        <v>0.05</v>
      </c>
      <c r="CD44" s="152">
        <v>0.05</v>
      </c>
      <c r="CE44" s="152">
        <v>0.05</v>
      </c>
      <c r="CF44" s="152">
        <v>0.05</v>
      </c>
      <c r="CG44" s="152"/>
      <c r="CH44" s="152"/>
      <c r="CI44" s="152"/>
      <c r="CJ44" s="152"/>
      <c r="CK44" s="152"/>
      <c r="CL44" s="152"/>
      <c r="CM44" s="152"/>
      <c r="CN44" s="152"/>
      <c r="CO44" s="152"/>
      <c r="CP44" s="152"/>
      <c r="CQ44" s="152"/>
      <c r="CR44" s="152"/>
      <c r="CS44" s="152"/>
      <c r="CT44" s="152"/>
      <c r="CU44" s="110"/>
      <c r="CV44" s="110"/>
      <c r="CW44" s="110"/>
      <c r="CX44" s="110"/>
      <c r="CY44" s="110"/>
      <c r="CZ44" s="110"/>
      <c r="DA44" s="110"/>
      <c r="DB44" s="110"/>
      <c r="DC44" s="110"/>
      <c r="DD44" s="110"/>
      <c r="DE44" s="110"/>
      <c r="DF44" s="110"/>
      <c r="DG44" s="110"/>
      <c r="DH44" s="110"/>
      <c r="DI44" s="110"/>
      <c r="DJ44" s="110"/>
      <c r="DK44" s="110"/>
      <c r="DL44" s="110"/>
      <c r="DM44" s="110"/>
      <c r="DN44" s="110"/>
      <c r="DO44" s="110"/>
      <c r="DP44" s="110"/>
      <c r="DQ44" s="110"/>
      <c r="DR44" s="110"/>
      <c r="DS44" s="110"/>
      <c r="DT44" s="110"/>
      <c r="DU44" s="110"/>
      <c r="DV44" s="110"/>
      <c r="DW44" s="110"/>
      <c r="DX44" s="110"/>
      <c r="DY44" s="110"/>
      <c r="DZ44" s="110"/>
      <c r="EA44" s="110"/>
      <c r="EB44" s="110"/>
      <c r="EC44" s="110"/>
      <c r="ED44" s="110"/>
      <c r="EE44" s="110"/>
      <c r="EF44" s="110"/>
      <c r="EG44" s="110"/>
      <c r="EH44" s="110"/>
      <c r="EI44" s="110"/>
      <c r="EJ44" s="110"/>
      <c r="EK44" s="110"/>
      <c r="EL44" s="110"/>
      <c r="EM44" s="110"/>
      <c r="EN44" s="110"/>
      <c r="EO44" s="110"/>
      <c r="EP44" s="110"/>
      <c r="EQ44" s="110"/>
      <c r="ER44" s="110"/>
      <c r="ES44" s="110"/>
      <c r="ET44" s="110"/>
      <c r="EU44" s="110"/>
      <c r="EV44" s="110"/>
      <c r="EW44" s="110"/>
      <c r="EX44" s="110"/>
      <c r="EY44" s="110"/>
      <c r="EZ44" s="110"/>
      <c r="FA44" s="110"/>
      <c r="FB44" s="110"/>
      <c r="FC44" s="110"/>
      <c r="FD44" s="110"/>
      <c r="FE44" s="110"/>
      <c r="FF44" s="110"/>
      <c r="FG44" s="110"/>
      <c r="FH44" s="110"/>
      <c r="FI44" s="110"/>
      <c r="FJ44" s="110"/>
      <c r="FK44" s="110"/>
      <c r="FL44" s="110"/>
      <c r="FM44" s="110"/>
      <c r="FN44" s="110"/>
      <c r="FO44" s="110"/>
      <c r="FP44" s="110"/>
      <c r="FQ44" s="110"/>
      <c r="FR44" s="110"/>
      <c r="FS44" s="110"/>
      <c r="FT44" s="110"/>
      <c r="FU44" s="110"/>
      <c r="FV44" s="110"/>
      <c r="FW44" s="110"/>
      <c r="FX44" s="110"/>
      <c r="FY44" s="110"/>
      <c r="FZ44" s="110"/>
      <c r="GA44" s="110"/>
      <c r="GB44" s="110"/>
      <c r="GC44" s="110"/>
      <c r="GD44" s="110"/>
      <c r="GE44" s="110"/>
      <c r="GF44" s="110"/>
      <c r="GG44" s="110"/>
      <c r="GH44" s="110"/>
      <c r="GI44" s="110"/>
      <c r="GJ44" s="110"/>
      <c r="GK44" s="110"/>
      <c r="GL44" s="110"/>
      <c r="GM44" s="110"/>
      <c r="GN44" s="110"/>
      <c r="GO44" s="110"/>
      <c r="GP44" s="110"/>
      <c r="GQ44" s="110"/>
      <c r="GR44" s="110"/>
      <c r="GS44" s="110"/>
      <c r="GT44" s="110"/>
      <c r="GU44" s="110"/>
      <c r="GV44" s="110"/>
      <c r="GW44" s="110"/>
      <c r="GX44" s="110"/>
      <c r="GY44" s="110"/>
      <c r="GZ44" s="110"/>
      <c r="HA44" s="110"/>
      <c r="HB44" s="110"/>
      <c r="HC44" s="110"/>
      <c r="HD44" s="110"/>
      <c r="HE44" s="110"/>
      <c r="HF44" s="110"/>
      <c r="HG44" s="110"/>
      <c r="HH44" s="110"/>
      <c r="HI44" s="110"/>
      <c r="HJ44" s="110"/>
      <c r="HK44" s="110"/>
      <c r="HL44" s="110"/>
      <c r="HM44" s="110"/>
      <c r="HN44" s="41">
        <f t="shared" si="11"/>
        <v>0</v>
      </c>
      <c r="HO44" s="112"/>
      <c r="HT44" s="103"/>
      <c r="HU44" s="103"/>
      <c r="HV44" s="103"/>
      <c r="HW44" s="103"/>
      <c r="HX44" s="103"/>
      <c r="HY44" s="103"/>
      <c r="HZ44" s="103"/>
      <c r="IA44" s="103"/>
      <c r="IB44" s="103"/>
      <c r="IC44" s="103"/>
      <c r="ID44" s="103"/>
      <c r="IE44" s="103"/>
      <c r="IF44" s="103"/>
      <c r="IG44" s="103"/>
      <c r="IH44" s="103"/>
      <c r="II44" s="103"/>
      <c r="IJ44" s="103"/>
      <c r="IK44" s="103"/>
      <c r="IL44" s="103"/>
      <c r="IM44" s="103"/>
      <c r="IN44" s="103"/>
      <c r="IO44" s="103"/>
      <c r="IP44" s="103"/>
      <c r="IQ44" s="103"/>
      <c r="IR44" s="103"/>
      <c r="IS44" s="103"/>
      <c r="IT44" s="103"/>
      <c r="IU44" s="103"/>
      <c r="IV44" s="103"/>
      <c r="IW44" s="103"/>
      <c r="IX44" s="103"/>
      <c r="IY44" s="103"/>
      <c r="IZ44" s="103"/>
      <c r="JA44" s="103"/>
      <c r="JB44" s="103"/>
      <c r="JC44" s="103"/>
      <c r="JD44" s="103"/>
      <c r="JE44" s="103"/>
      <c r="JF44" s="103"/>
      <c r="JG44" s="103"/>
      <c r="JH44" s="103"/>
      <c r="JI44" s="103"/>
      <c r="JJ44" s="103"/>
      <c r="JK44" s="103"/>
      <c r="JL44" s="103"/>
      <c r="JM44" s="103"/>
      <c r="JN44" s="103"/>
      <c r="JO44" s="103"/>
      <c r="JP44" s="103"/>
      <c r="JQ44" s="103"/>
      <c r="JR44" s="103"/>
      <c r="JS44" s="103"/>
      <c r="JT44" s="103"/>
      <c r="JU44" s="103"/>
      <c r="JV44" s="103"/>
      <c r="JW44" s="103"/>
      <c r="JX44" s="103"/>
      <c r="JY44" s="103"/>
      <c r="JZ44" s="103"/>
      <c r="KA44" s="103"/>
      <c r="KB44" s="103"/>
      <c r="KC44" s="103"/>
      <c r="KD44" s="103"/>
      <c r="KE44" s="103"/>
      <c r="KF44" s="103"/>
      <c r="KG44" s="103"/>
      <c r="KH44" s="103"/>
      <c r="KI44" s="103"/>
      <c r="KJ44" s="103"/>
      <c r="KK44" s="103"/>
      <c r="KL44" s="103"/>
      <c r="KM44" s="103"/>
      <c r="KN44" s="103"/>
      <c r="KO44" s="103"/>
      <c r="KP44" s="103"/>
      <c r="KQ44" s="103"/>
      <c r="KR44" s="103"/>
      <c r="KS44" s="103"/>
      <c r="KT44" s="103"/>
      <c r="KU44" s="103"/>
      <c r="KV44" s="103"/>
      <c r="KW44" s="103"/>
      <c r="KX44" s="103"/>
      <c r="KY44" s="103"/>
      <c r="KZ44" s="103"/>
      <c r="LA44" s="103"/>
      <c r="LB44" s="103"/>
      <c r="LC44" s="103"/>
      <c r="LD44" s="103"/>
      <c r="LE44" s="103"/>
      <c r="LF44" s="103"/>
      <c r="LG44" s="103"/>
      <c r="LH44" s="103"/>
      <c r="LI44" s="103"/>
      <c r="LJ44" s="103"/>
      <c r="LK44" s="103"/>
      <c r="LL44" s="103"/>
      <c r="LM44" s="103"/>
    </row>
    <row r="45" spans="2:325" hidden="1">
      <c r="B45" s="1076"/>
      <c r="C45" s="165" t="s">
        <v>295</v>
      </c>
      <c r="D45" s="167"/>
      <c r="E45" s="167"/>
      <c r="F45" s="167"/>
      <c r="G45" s="167"/>
      <c r="H45" s="167"/>
      <c r="I45" s="167"/>
      <c r="J45" s="167"/>
      <c r="K45" s="167"/>
      <c r="L45" s="167"/>
      <c r="M45" s="167"/>
      <c r="N45" s="167"/>
      <c r="O45" s="167"/>
      <c r="P45" s="167"/>
      <c r="Q45" s="167"/>
      <c r="R45" s="167"/>
      <c r="S45" s="167"/>
      <c r="T45" s="167"/>
      <c r="U45" s="167"/>
      <c r="V45" s="167"/>
      <c r="W45" s="162">
        <v>3.5999999999999997E-2</v>
      </c>
      <c r="X45" s="162">
        <v>3.5999999999999997E-2</v>
      </c>
      <c r="Y45" s="162">
        <v>3.5999999999999997E-2</v>
      </c>
      <c r="Z45" s="162">
        <v>3.5999999999999997E-2</v>
      </c>
      <c r="AA45" s="162">
        <v>3.5999999999999997E-2</v>
      </c>
      <c r="AB45" s="162">
        <v>3.5999999999999997E-2</v>
      </c>
      <c r="AC45" s="162">
        <v>3.5999999999999997E-2</v>
      </c>
      <c r="AD45" s="162">
        <v>3.5999999999999997E-2</v>
      </c>
      <c r="AE45" s="162">
        <v>3.5999999999999997E-2</v>
      </c>
      <c r="AF45" s="164">
        <v>3.5999999999999997E-2</v>
      </c>
      <c r="AG45" s="164">
        <v>3.5999999999999997E-2</v>
      </c>
      <c r="AH45" s="164">
        <v>3.5999999999999997E-2</v>
      </c>
      <c r="AI45" s="164">
        <v>3.5999999999999997E-2</v>
      </c>
      <c r="AJ45" s="162">
        <v>3.5999999999999997E-2</v>
      </c>
      <c r="AK45" s="164">
        <v>3.5999999999999997E-2</v>
      </c>
      <c r="AL45" s="163">
        <v>3.5999999999999997E-2</v>
      </c>
      <c r="AM45" s="162">
        <v>3.5999999999999997E-2</v>
      </c>
      <c r="AN45" s="160">
        <v>3.5999999999999997E-2</v>
      </c>
      <c r="AO45" s="160">
        <v>3.5999999999999997E-2</v>
      </c>
      <c r="AP45" s="160">
        <v>3.5999999999999997E-2</v>
      </c>
      <c r="AQ45" s="160">
        <v>3.5999999999999997E-2</v>
      </c>
      <c r="AR45" s="160">
        <v>3.5999999999999997E-2</v>
      </c>
      <c r="AS45" s="160">
        <v>3.5999999999999997E-2</v>
      </c>
      <c r="AT45" s="160">
        <v>3.5999999999999997E-2</v>
      </c>
      <c r="AU45" s="160">
        <v>3.5999999999999997E-2</v>
      </c>
      <c r="AV45" s="160">
        <v>3.5999999999999997E-2</v>
      </c>
      <c r="AW45" s="160">
        <v>3.5999999999999997E-2</v>
      </c>
      <c r="AX45" s="160">
        <v>3.5999999999999997E-2</v>
      </c>
      <c r="AY45" s="160">
        <v>3.5999999999999997E-2</v>
      </c>
      <c r="AZ45" s="160">
        <v>3.5999999999999997E-2</v>
      </c>
      <c r="BA45" s="160">
        <v>3.5999999999999997E-2</v>
      </c>
      <c r="BB45" s="161">
        <v>3.5999999999999997E-2</v>
      </c>
      <c r="BC45" s="160">
        <v>3.5999999999999997E-2</v>
      </c>
      <c r="BD45" s="160">
        <v>3.5999999999999997E-2</v>
      </c>
      <c r="BE45" s="160">
        <v>3.5999999999999997E-2</v>
      </c>
      <c r="BF45" s="160">
        <v>3.5999999999999997E-2</v>
      </c>
      <c r="BG45" s="160">
        <v>3.5999999999999997E-2</v>
      </c>
      <c r="BH45" s="160">
        <v>3.5999999999999997E-2</v>
      </c>
      <c r="BI45" s="160">
        <v>3.5999999999999997E-2</v>
      </c>
      <c r="BJ45" s="160">
        <v>3.5999999999999997E-2</v>
      </c>
      <c r="BK45" s="160">
        <v>3.5999999999999997E-2</v>
      </c>
      <c r="BL45" s="160">
        <v>3.5999999999999997E-2</v>
      </c>
      <c r="BM45" s="160">
        <v>3.5999999999999997E-2</v>
      </c>
      <c r="BN45" s="160">
        <v>3.5999999999999997E-2</v>
      </c>
      <c r="BO45" s="160">
        <v>3.5999999999999997E-2</v>
      </c>
      <c r="BP45" s="160">
        <v>3.5999999999999997E-2</v>
      </c>
      <c r="BQ45" s="152">
        <v>3.5999999999999997E-2</v>
      </c>
      <c r="BR45" s="152">
        <v>3.5999999999999997E-2</v>
      </c>
      <c r="BS45" s="152">
        <v>3.5999999999999997E-2</v>
      </c>
      <c r="BT45" s="152">
        <v>3.5999999999999997E-2</v>
      </c>
      <c r="BU45" s="152">
        <v>3.5999999999999997E-2</v>
      </c>
      <c r="BV45" s="152">
        <v>3.5999999999999997E-2</v>
      </c>
      <c r="BW45" s="152">
        <v>3.5999999999999997E-2</v>
      </c>
      <c r="BX45" s="152">
        <v>3.5999999999999997E-2</v>
      </c>
      <c r="BY45" s="152">
        <v>3.5999999999999997E-2</v>
      </c>
      <c r="BZ45" s="152" t="s">
        <v>124</v>
      </c>
      <c r="CA45" s="152"/>
      <c r="CB45" s="152"/>
      <c r="CC45" s="152"/>
      <c r="CD45" s="152"/>
      <c r="CE45" s="152"/>
      <c r="CF45" s="152"/>
      <c r="CG45" s="152"/>
      <c r="CH45" s="152"/>
      <c r="CI45" s="152"/>
      <c r="CJ45" s="152"/>
      <c r="CK45" s="152"/>
      <c r="CL45" s="152"/>
      <c r="CM45" s="152"/>
      <c r="CN45" s="152"/>
      <c r="CO45" s="152"/>
      <c r="CP45" s="152"/>
      <c r="CQ45" s="152"/>
      <c r="CR45" s="152"/>
      <c r="CS45" s="152"/>
      <c r="CT45" s="152"/>
      <c r="CU45" s="110"/>
      <c r="CV45" s="110"/>
      <c r="CW45" s="110"/>
      <c r="CX45" s="110"/>
      <c r="CY45" s="110"/>
      <c r="CZ45" s="110"/>
      <c r="DA45" s="110"/>
      <c r="DB45" s="110"/>
      <c r="DC45" s="110"/>
      <c r="DD45" s="110"/>
      <c r="DE45" s="110"/>
      <c r="DF45" s="110"/>
      <c r="DG45" s="110"/>
      <c r="DH45" s="110"/>
      <c r="DI45" s="110"/>
      <c r="DJ45" s="110"/>
      <c r="DK45" s="110"/>
      <c r="DL45" s="110"/>
      <c r="DM45" s="110"/>
      <c r="DN45" s="110"/>
      <c r="DO45" s="110"/>
      <c r="DP45" s="110"/>
      <c r="DQ45" s="110"/>
      <c r="DR45" s="110"/>
      <c r="DS45" s="110"/>
      <c r="DT45" s="110"/>
      <c r="DU45" s="110"/>
      <c r="DV45" s="110"/>
      <c r="DW45" s="110"/>
      <c r="DX45" s="110"/>
      <c r="DY45" s="110"/>
      <c r="DZ45" s="110"/>
      <c r="EA45" s="110"/>
      <c r="EB45" s="110"/>
      <c r="EC45" s="110"/>
      <c r="ED45" s="110"/>
      <c r="EE45" s="110"/>
      <c r="EF45" s="110"/>
      <c r="EG45" s="110"/>
      <c r="EH45" s="110"/>
      <c r="EI45" s="110"/>
      <c r="EJ45" s="110"/>
      <c r="EK45" s="110"/>
      <c r="EL45" s="110"/>
      <c r="EM45" s="110"/>
      <c r="EN45" s="110"/>
      <c r="EO45" s="110"/>
      <c r="EP45" s="110"/>
      <c r="EQ45" s="110"/>
      <c r="ER45" s="110"/>
      <c r="ES45" s="110"/>
      <c r="ET45" s="110"/>
      <c r="EU45" s="110"/>
      <c r="EV45" s="110"/>
      <c r="EW45" s="110"/>
      <c r="EX45" s="110"/>
      <c r="EY45" s="110"/>
      <c r="EZ45" s="110"/>
      <c r="FA45" s="110"/>
      <c r="FB45" s="110"/>
      <c r="FC45" s="110"/>
      <c r="FD45" s="110"/>
      <c r="FE45" s="110"/>
      <c r="FF45" s="110"/>
      <c r="FG45" s="110"/>
      <c r="FH45" s="110"/>
      <c r="FI45" s="110"/>
      <c r="FJ45" s="110"/>
      <c r="FK45" s="110"/>
      <c r="FL45" s="110"/>
      <c r="FM45" s="110"/>
      <c r="FN45" s="110"/>
      <c r="FO45" s="110"/>
      <c r="FP45" s="110"/>
      <c r="FQ45" s="110"/>
      <c r="FR45" s="110"/>
      <c r="FS45" s="110"/>
      <c r="FT45" s="110"/>
      <c r="FU45" s="110"/>
      <c r="FV45" s="110"/>
      <c r="FW45" s="110"/>
      <c r="FX45" s="110"/>
      <c r="FY45" s="110"/>
      <c r="FZ45" s="110"/>
      <c r="GA45" s="110"/>
      <c r="GB45" s="159"/>
      <c r="GC45" s="159"/>
      <c r="GD45" s="159"/>
      <c r="GE45" s="159"/>
      <c r="GF45" s="159"/>
      <c r="GG45" s="159"/>
      <c r="GH45" s="159"/>
      <c r="GI45" s="159"/>
      <c r="GJ45" s="159"/>
      <c r="GK45" s="159"/>
      <c r="GL45" s="159"/>
      <c r="GM45" s="159"/>
      <c r="GN45" s="159"/>
      <c r="GO45" s="159"/>
      <c r="GP45" s="159"/>
      <c r="GQ45" s="159"/>
      <c r="GR45" s="159"/>
      <c r="GS45" s="159"/>
      <c r="GT45" s="159"/>
      <c r="GU45" s="159"/>
      <c r="GV45" s="159"/>
      <c r="GW45" s="159"/>
      <c r="GX45" s="159"/>
      <c r="GY45" s="159"/>
      <c r="GZ45" s="159"/>
      <c r="HA45" s="159"/>
      <c r="HB45" s="159"/>
      <c r="HC45" s="159"/>
      <c r="HD45" s="159"/>
      <c r="HE45" s="159"/>
      <c r="HF45" s="159"/>
      <c r="HG45" s="159"/>
      <c r="HH45" s="159"/>
      <c r="HI45" s="159"/>
      <c r="HJ45" s="159"/>
      <c r="HK45" s="159"/>
      <c r="HL45" s="159"/>
      <c r="HM45" s="159"/>
      <c r="HN45" s="41">
        <f t="shared" si="11"/>
        <v>0</v>
      </c>
      <c r="HO45" s="112"/>
      <c r="HT45" s="103"/>
      <c r="HU45" s="103"/>
      <c r="HV45" s="103"/>
      <c r="HW45" s="103"/>
      <c r="HX45" s="103"/>
      <c r="HY45" s="103"/>
      <c r="HZ45" s="103"/>
      <c r="IA45" s="103"/>
      <c r="IB45" s="103"/>
      <c r="IC45" s="103"/>
      <c r="ID45" s="103"/>
      <c r="IE45" s="103"/>
      <c r="IF45" s="103"/>
      <c r="IG45" s="103"/>
      <c r="IH45" s="103"/>
      <c r="II45" s="103"/>
      <c r="IJ45" s="103"/>
      <c r="IK45" s="103"/>
      <c r="IL45" s="103"/>
      <c r="IM45" s="103"/>
      <c r="IN45" s="103"/>
      <c r="IO45" s="103"/>
      <c r="IP45" s="103"/>
      <c r="IQ45" s="103"/>
      <c r="IR45" s="103"/>
      <c r="IS45" s="103"/>
      <c r="IT45" s="103"/>
      <c r="IU45" s="103"/>
      <c r="IV45" s="103"/>
      <c r="IW45" s="103"/>
      <c r="IX45" s="103"/>
      <c r="IY45" s="103"/>
      <c r="IZ45" s="103"/>
      <c r="JA45" s="103"/>
      <c r="JB45" s="103"/>
      <c r="JC45" s="103"/>
      <c r="JD45" s="103"/>
      <c r="JE45" s="103"/>
      <c r="JF45" s="103"/>
      <c r="JG45" s="103"/>
      <c r="JH45" s="103"/>
      <c r="JI45" s="103"/>
      <c r="JJ45" s="103"/>
      <c r="JK45" s="103"/>
      <c r="JL45" s="103"/>
      <c r="JM45" s="103"/>
      <c r="JN45" s="103"/>
      <c r="JO45" s="103"/>
      <c r="JP45" s="103"/>
      <c r="JQ45" s="103"/>
      <c r="JR45" s="103"/>
      <c r="JS45" s="103"/>
      <c r="JT45" s="103"/>
      <c r="JU45" s="103"/>
      <c r="JV45" s="103"/>
      <c r="JW45" s="103"/>
      <c r="JX45" s="103"/>
      <c r="JY45" s="103"/>
      <c r="JZ45" s="103"/>
      <c r="KA45" s="103"/>
      <c r="KB45" s="103"/>
      <c r="KC45" s="103"/>
      <c r="KD45" s="103"/>
      <c r="KE45" s="103"/>
      <c r="KF45" s="103"/>
      <c r="KG45" s="103"/>
      <c r="KH45" s="103"/>
      <c r="KI45" s="103"/>
      <c r="KJ45" s="103"/>
      <c r="KK45" s="103"/>
      <c r="KL45" s="103"/>
      <c r="KM45" s="103"/>
      <c r="KN45" s="103"/>
      <c r="KO45" s="103"/>
      <c r="KP45" s="103"/>
      <c r="KQ45" s="103"/>
      <c r="KR45" s="103"/>
      <c r="KS45" s="103"/>
      <c r="KT45" s="103"/>
      <c r="KU45" s="103"/>
      <c r="KV45" s="103"/>
      <c r="KW45" s="103"/>
      <c r="KX45" s="103"/>
      <c r="KY45" s="103"/>
      <c r="KZ45" s="103"/>
      <c r="LA45" s="103"/>
      <c r="LB45" s="103"/>
      <c r="LC45" s="103"/>
      <c r="LD45" s="103"/>
      <c r="LE45" s="103"/>
      <c r="LF45" s="103"/>
      <c r="LG45" s="103"/>
      <c r="LH45" s="103"/>
      <c r="LI45" s="103"/>
      <c r="LJ45" s="103"/>
      <c r="LK45" s="103"/>
      <c r="LL45" s="103"/>
      <c r="LM45" s="103"/>
    </row>
    <row r="46" spans="2:325">
      <c r="B46" s="761" t="s">
        <v>12</v>
      </c>
      <c r="C46" s="158" t="s">
        <v>293</v>
      </c>
      <c r="D46" s="845">
        <v>3.4000000000000002E-2</v>
      </c>
      <c r="E46" s="845">
        <v>3.4000000000000002E-2</v>
      </c>
      <c r="F46" s="845">
        <v>3.3500000000000002E-2</v>
      </c>
      <c r="G46" s="812">
        <v>3.3500000000000002E-2</v>
      </c>
      <c r="H46" s="154">
        <v>3.3500000000000002E-2</v>
      </c>
      <c r="I46" s="154">
        <v>3.3500000000000002E-2</v>
      </c>
      <c r="J46" s="156">
        <v>3.3500000000000002E-2</v>
      </c>
      <c r="K46" s="154">
        <v>3.3000000000000002E-2</v>
      </c>
      <c r="L46" s="156">
        <v>3.3000000000000002E-2</v>
      </c>
      <c r="M46" s="156">
        <v>3.3500000000000002E-2</v>
      </c>
      <c r="N46" s="154">
        <v>3.4000000000000002E-2</v>
      </c>
      <c r="O46" s="154">
        <v>3.4000000000000002E-2</v>
      </c>
      <c r="P46" s="156">
        <v>3.4000000000000002E-2</v>
      </c>
      <c r="Q46" s="167">
        <v>3.4500000000000003E-2</v>
      </c>
      <c r="R46" s="167">
        <v>3.4500000000000003E-2</v>
      </c>
      <c r="S46" s="168">
        <v>3.5000000000000003E-2</v>
      </c>
      <c r="T46" s="168">
        <v>3.3700000000000001E-2</v>
      </c>
      <c r="U46" s="168">
        <v>3.32E-2</v>
      </c>
      <c r="V46" s="168">
        <v>3.4500000000000003E-2</v>
      </c>
      <c r="W46" s="156">
        <v>3.5000000000000003E-2</v>
      </c>
      <c r="X46" s="154">
        <v>3.4500000000000003E-2</v>
      </c>
      <c r="Y46" s="154">
        <v>3.4500000000000003E-2</v>
      </c>
      <c r="Z46" s="156">
        <v>3.4500000000000003E-2</v>
      </c>
      <c r="AA46" s="154">
        <v>3.5000000000000003E-2</v>
      </c>
      <c r="AB46" s="156">
        <v>3.5000000000000003E-2</v>
      </c>
      <c r="AC46" s="156">
        <v>3.5999999999999997E-2</v>
      </c>
      <c r="AD46" s="156">
        <v>3.6499999999999998E-2</v>
      </c>
      <c r="AE46" s="156">
        <v>3.7999999999999999E-2</v>
      </c>
      <c r="AF46" s="157">
        <v>3.9E-2</v>
      </c>
      <c r="AG46" s="157">
        <v>3.9E-2</v>
      </c>
      <c r="AH46" s="156">
        <v>3.9E-2</v>
      </c>
      <c r="AI46" s="157">
        <v>3.95E-2</v>
      </c>
      <c r="AJ46" s="154">
        <v>3.95E-2</v>
      </c>
      <c r="AK46" s="157">
        <v>3.95E-2</v>
      </c>
      <c r="AL46" s="155">
        <v>3.95E-2</v>
      </c>
      <c r="AM46" s="154">
        <v>3.95E-2</v>
      </c>
      <c r="AN46" s="152">
        <v>3.95E-2</v>
      </c>
      <c r="AO46" s="152">
        <v>3.95E-2</v>
      </c>
      <c r="AP46" s="152">
        <v>3.95E-2</v>
      </c>
      <c r="AQ46" s="152">
        <v>3.95E-2</v>
      </c>
      <c r="AR46" s="152">
        <v>3.95E-2</v>
      </c>
      <c r="AS46" s="152">
        <v>3.95E-2</v>
      </c>
      <c r="AT46" s="152">
        <v>3.95E-2</v>
      </c>
      <c r="AU46" s="152">
        <v>3.95E-2</v>
      </c>
      <c r="AV46" s="152">
        <v>3.95E-2</v>
      </c>
      <c r="AW46" s="152"/>
      <c r="AX46" s="152"/>
      <c r="AY46" s="153"/>
      <c r="AZ46" s="153"/>
      <c r="BA46" s="153"/>
      <c r="BB46" s="153"/>
      <c r="BC46" s="153"/>
      <c r="BD46" s="153"/>
      <c r="BE46" s="153"/>
      <c r="BF46" s="153"/>
      <c r="BG46" s="153"/>
      <c r="BH46" s="153"/>
      <c r="BI46" s="153"/>
      <c r="BJ46" s="153"/>
      <c r="BK46" s="153"/>
      <c r="BL46" s="153"/>
      <c r="BM46" s="153"/>
      <c r="BN46" s="153"/>
      <c r="BO46" s="153"/>
      <c r="BP46" s="153"/>
      <c r="BQ46" s="152"/>
      <c r="BR46" s="152"/>
      <c r="BS46" s="152"/>
      <c r="BT46" s="152"/>
      <c r="BU46" s="152"/>
      <c r="BV46" s="152"/>
      <c r="BW46" s="152"/>
      <c r="BX46" s="152"/>
      <c r="BY46" s="152"/>
      <c r="BZ46" s="152"/>
      <c r="CA46" s="152"/>
      <c r="CB46" s="152"/>
      <c r="CC46" s="152"/>
      <c r="CD46" s="152"/>
      <c r="CE46" s="152"/>
      <c r="CF46" s="152"/>
      <c r="CG46" s="152"/>
      <c r="CH46" s="152"/>
      <c r="CI46" s="152"/>
      <c r="CJ46" s="152"/>
      <c r="CK46" s="152"/>
      <c r="CL46" s="152"/>
      <c r="CM46" s="152"/>
      <c r="CN46" s="152"/>
      <c r="CO46" s="152"/>
      <c r="CP46" s="152"/>
      <c r="CQ46" s="152"/>
      <c r="CR46" s="152"/>
      <c r="CS46" s="109"/>
      <c r="CT46" s="109"/>
      <c r="CU46" s="109"/>
      <c r="CV46" s="109"/>
      <c r="CW46" s="109"/>
      <c r="CX46" s="109"/>
      <c r="CY46" s="109"/>
      <c r="CZ46" s="109"/>
      <c r="DA46" s="109"/>
      <c r="DB46" s="109"/>
      <c r="DC46" s="109"/>
      <c r="DD46" s="109"/>
      <c r="DE46" s="109"/>
      <c r="DF46" s="109"/>
      <c r="DG46" s="109"/>
      <c r="DH46" s="109"/>
      <c r="DI46" s="109"/>
      <c r="DJ46" s="109"/>
      <c r="DK46" s="109"/>
      <c r="DL46" s="109"/>
      <c r="DM46" s="109"/>
      <c r="DN46" s="109"/>
      <c r="DO46" s="109"/>
      <c r="DP46" s="109"/>
      <c r="DQ46" s="109"/>
      <c r="DR46" s="109"/>
      <c r="DS46" s="109"/>
      <c r="DT46" s="109"/>
      <c r="DU46" s="109"/>
      <c r="DV46" s="109"/>
      <c r="DW46" s="109"/>
      <c r="DX46" s="109"/>
      <c r="DY46" s="109"/>
      <c r="DZ46" s="109"/>
      <c r="EA46" s="109"/>
      <c r="EB46" s="109"/>
      <c r="EC46" s="109"/>
      <c r="ED46" s="109"/>
      <c r="EE46" s="109"/>
      <c r="EF46" s="109"/>
      <c r="EG46" s="109"/>
      <c r="EH46" s="109"/>
      <c r="EI46" s="109"/>
      <c r="EJ46" s="109"/>
      <c r="EK46" s="109"/>
      <c r="EL46" s="109"/>
      <c r="EM46" s="109"/>
      <c r="EN46" s="109"/>
      <c r="EO46" s="109"/>
      <c r="EP46" s="109"/>
      <c r="EQ46" s="109"/>
      <c r="ER46" s="109"/>
      <c r="ES46" s="109"/>
      <c r="ET46" s="109"/>
      <c r="EU46" s="109"/>
      <c r="EV46" s="109"/>
      <c r="EW46" s="109"/>
      <c r="EX46" s="109"/>
      <c r="EY46" s="109"/>
      <c r="EZ46" s="109"/>
      <c r="FA46" s="109"/>
      <c r="FB46" s="109"/>
      <c r="FC46" s="109"/>
      <c r="FD46" s="109"/>
      <c r="FE46" s="109"/>
      <c r="FF46" s="109"/>
      <c r="FG46" s="109"/>
      <c r="FH46" s="109"/>
      <c r="FI46" s="109"/>
      <c r="FJ46" s="109"/>
      <c r="FK46" s="109"/>
      <c r="FL46" s="109"/>
      <c r="FM46" s="109"/>
      <c r="FN46" s="109"/>
      <c r="FO46" s="109"/>
      <c r="FP46" s="109"/>
      <c r="FQ46" s="109"/>
      <c r="FR46" s="109"/>
      <c r="FS46" s="109"/>
      <c r="FT46" s="109"/>
      <c r="FU46" s="109"/>
      <c r="FV46" s="109"/>
      <c r="FW46" s="109"/>
      <c r="FX46" s="109"/>
      <c r="FY46" s="109"/>
      <c r="FZ46" s="109"/>
      <c r="GA46" s="109"/>
      <c r="GB46" s="109"/>
      <c r="GC46" s="109"/>
      <c r="GD46" s="109"/>
      <c r="GE46" s="109"/>
      <c r="GF46" s="109"/>
      <c r="GG46" s="109"/>
      <c r="GH46" s="109"/>
      <c r="GI46" s="109"/>
      <c r="GJ46" s="109"/>
      <c r="GK46" s="109"/>
      <c r="GL46" s="109"/>
      <c r="GM46" s="109"/>
      <c r="GN46" s="109"/>
      <c r="GO46" s="109"/>
      <c r="GP46" s="109"/>
      <c r="GQ46" s="109"/>
      <c r="GR46" s="109"/>
      <c r="GS46" s="109"/>
      <c r="GT46" s="109"/>
      <c r="GU46" s="109"/>
      <c r="GV46" s="109"/>
      <c r="GW46" s="109"/>
      <c r="GX46" s="109"/>
      <c r="GY46" s="109"/>
      <c r="GZ46" s="109"/>
      <c r="HA46" s="109"/>
      <c r="HB46" s="109"/>
      <c r="HC46" s="109"/>
      <c r="HD46" s="109"/>
      <c r="HE46" s="109"/>
      <c r="HF46" s="109"/>
      <c r="HG46" s="109"/>
      <c r="HH46" s="109"/>
      <c r="HI46" s="109"/>
      <c r="HJ46" s="109"/>
      <c r="HK46" s="109"/>
      <c r="HL46" s="109"/>
      <c r="HM46" s="109"/>
      <c r="HN46" s="41">
        <f t="shared" si="11"/>
        <v>0</v>
      </c>
      <c r="HO46" s="810" t="s">
        <v>805</v>
      </c>
      <c r="HT46" s="103"/>
      <c r="HU46" s="103"/>
      <c r="HV46" s="103"/>
      <c r="HW46" s="103"/>
      <c r="HX46" s="103"/>
      <c r="HY46" s="103"/>
      <c r="HZ46" s="103"/>
      <c r="IA46" s="103"/>
      <c r="IB46" s="103"/>
      <c r="IC46" s="103"/>
      <c r="ID46" s="103"/>
      <c r="IE46" s="103"/>
      <c r="IF46" s="103"/>
      <c r="IG46" s="103"/>
      <c r="IH46" s="103"/>
      <c r="II46" s="103"/>
      <c r="IJ46" s="103"/>
      <c r="IK46" s="103"/>
      <c r="IL46" s="103"/>
      <c r="IM46" s="103"/>
      <c r="IN46" s="103"/>
      <c r="IO46" s="103"/>
      <c r="IP46" s="103"/>
      <c r="IQ46" s="103"/>
      <c r="IR46" s="103"/>
      <c r="IS46" s="103"/>
      <c r="IT46" s="103"/>
      <c r="IU46" s="103"/>
      <c r="IV46" s="103"/>
      <c r="IW46" s="103"/>
      <c r="IX46" s="103"/>
      <c r="IY46" s="103"/>
      <c r="IZ46" s="103"/>
      <c r="JA46" s="103"/>
      <c r="JB46" s="103"/>
      <c r="JC46" s="103"/>
      <c r="JD46" s="103"/>
      <c r="JE46" s="103"/>
      <c r="JF46" s="103"/>
      <c r="JG46" s="103"/>
      <c r="JH46" s="103"/>
      <c r="JI46" s="103"/>
      <c r="JJ46" s="103"/>
      <c r="JK46" s="103"/>
      <c r="JL46" s="103"/>
      <c r="JM46" s="103"/>
      <c r="JN46" s="103"/>
      <c r="JO46" s="103"/>
      <c r="JP46" s="103"/>
      <c r="JQ46" s="103"/>
      <c r="JR46" s="103"/>
      <c r="JS46" s="103"/>
      <c r="JT46" s="103"/>
      <c r="JU46" s="103"/>
      <c r="JV46" s="103"/>
      <c r="JW46" s="103"/>
      <c r="JX46" s="103"/>
      <c r="JY46" s="103"/>
      <c r="JZ46" s="103"/>
      <c r="KA46" s="103"/>
      <c r="KB46" s="103"/>
      <c r="KC46" s="103"/>
      <c r="KD46" s="103"/>
      <c r="KE46" s="103"/>
      <c r="KF46" s="103"/>
      <c r="KG46" s="103"/>
      <c r="KH46" s="103"/>
      <c r="KI46" s="103"/>
      <c r="KJ46" s="103"/>
      <c r="KK46" s="103"/>
      <c r="KL46" s="103"/>
      <c r="KM46" s="103"/>
      <c r="KN46" s="103"/>
      <c r="KO46" s="103"/>
      <c r="KP46" s="103"/>
      <c r="KQ46" s="103"/>
      <c r="KR46" s="103"/>
      <c r="KS46" s="103"/>
      <c r="KT46" s="103"/>
      <c r="KU46" s="103"/>
      <c r="KV46" s="103"/>
      <c r="KW46" s="103"/>
      <c r="KX46" s="103"/>
      <c r="KY46" s="103"/>
      <c r="KZ46" s="103"/>
      <c r="LA46" s="103"/>
      <c r="LB46" s="103"/>
      <c r="LC46" s="103"/>
      <c r="LD46" s="103"/>
      <c r="LE46" s="103"/>
      <c r="LF46" s="103"/>
      <c r="LG46" s="103"/>
      <c r="LH46" s="103"/>
      <c r="LI46" s="103"/>
      <c r="LJ46" s="103"/>
      <c r="LK46" s="103"/>
      <c r="LL46" s="103"/>
      <c r="LM46" s="103"/>
    </row>
    <row r="47" spans="2:325">
      <c r="B47" s="75"/>
      <c r="C47" s="151"/>
      <c r="D47" s="151"/>
      <c r="E47" s="151"/>
      <c r="F47" s="151"/>
      <c r="G47" s="151"/>
      <c r="H47" s="151"/>
      <c r="I47" s="151"/>
      <c r="J47" s="151"/>
      <c r="K47" s="151"/>
      <c r="L47" s="151"/>
      <c r="M47" s="151"/>
      <c r="N47" s="151"/>
      <c r="O47" s="151"/>
      <c r="P47" s="151"/>
      <c r="Q47" s="151"/>
      <c r="R47" s="151"/>
      <c r="S47" s="151"/>
      <c r="T47" s="151"/>
      <c r="U47" s="151"/>
      <c r="V47" s="151"/>
      <c r="W47" s="148"/>
      <c r="X47" s="148"/>
      <c r="Y47" s="148"/>
      <c r="Z47" s="148"/>
      <c r="AA47" s="148"/>
      <c r="AB47" s="148"/>
      <c r="AC47" s="148"/>
      <c r="AD47" s="148"/>
      <c r="AE47" s="148"/>
      <c r="AF47" s="150"/>
      <c r="AG47" s="150"/>
      <c r="AH47" s="150"/>
      <c r="AI47" s="150"/>
      <c r="AJ47" s="148"/>
      <c r="AK47" s="150"/>
      <c r="AL47" s="149"/>
      <c r="AM47" s="148"/>
      <c r="AN47" s="146"/>
      <c r="AO47" s="146"/>
      <c r="AP47" s="146"/>
      <c r="AQ47" s="146"/>
      <c r="AR47" s="146"/>
      <c r="AS47" s="146"/>
      <c r="AT47" s="146"/>
      <c r="AU47" s="146"/>
      <c r="AV47" s="146"/>
      <c r="AW47" s="146"/>
      <c r="AX47" s="146"/>
      <c r="AY47" s="147"/>
      <c r="AZ47" s="147"/>
      <c r="BA47" s="147"/>
      <c r="BB47" s="147"/>
      <c r="BC47" s="147"/>
      <c r="BD47" s="147"/>
      <c r="BE47" s="147"/>
      <c r="BF47" s="147"/>
      <c r="BG47" s="147"/>
      <c r="BH47" s="147"/>
      <c r="BI47" s="147"/>
      <c r="BJ47" s="147"/>
      <c r="BK47" s="147"/>
      <c r="BL47" s="147"/>
      <c r="BM47" s="147"/>
      <c r="BN47" s="147"/>
      <c r="BO47" s="147"/>
      <c r="BP47" s="147"/>
      <c r="BQ47" s="146"/>
      <c r="BR47" s="146"/>
      <c r="BS47" s="146"/>
      <c r="BT47" s="146"/>
      <c r="BU47" s="146"/>
      <c r="BV47" s="146"/>
      <c r="BW47" s="146"/>
      <c r="BX47" s="146"/>
      <c r="BY47" s="146"/>
      <c r="BZ47" s="146"/>
      <c r="CA47" s="146"/>
      <c r="CB47" s="146"/>
      <c r="CC47" s="146"/>
      <c r="CD47" s="146"/>
      <c r="CE47" s="146"/>
      <c r="CF47" s="146"/>
      <c r="CG47" s="146"/>
      <c r="CH47" s="146"/>
      <c r="CI47" s="146"/>
      <c r="CJ47" s="146"/>
      <c r="CK47" s="146"/>
      <c r="CL47" s="146"/>
      <c r="CM47" s="146"/>
      <c r="CN47" s="146"/>
      <c r="CO47" s="146"/>
      <c r="CP47" s="146"/>
      <c r="CQ47" s="146"/>
      <c r="CR47" s="146"/>
      <c r="CS47" s="145"/>
      <c r="CT47" s="145"/>
      <c r="CU47" s="145"/>
      <c r="CV47" s="145"/>
      <c r="CW47" s="145"/>
      <c r="CX47" s="145"/>
      <c r="CY47" s="145"/>
      <c r="CZ47" s="145"/>
      <c r="DA47" s="145"/>
      <c r="DB47" s="145"/>
      <c r="DC47" s="145"/>
      <c r="DD47" s="145"/>
      <c r="DE47" s="145"/>
      <c r="DF47" s="145"/>
      <c r="DG47" s="145"/>
      <c r="DH47" s="145"/>
      <c r="DI47" s="145"/>
      <c r="DJ47" s="145"/>
      <c r="DK47" s="145"/>
      <c r="DL47" s="145"/>
      <c r="DM47" s="145"/>
      <c r="DN47" s="145"/>
      <c r="DO47" s="145"/>
      <c r="DP47" s="145"/>
      <c r="DQ47" s="145"/>
      <c r="DR47" s="145"/>
      <c r="DS47" s="145"/>
      <c r="DT47" s="145"/>
      <c r="DU47" s="145"/>
      <c r="DV47" s="145"/>
      <c r="DW47" s="145"/>
      <c r="DX47" s="145"/>
      <c r="DY47" s="145"/>
      <c r="DZ47" s="145"/>
      <c r="EA47" s="145"/>
      <c r="EB47" s="145"/>
      <c r="EC47" s="145"/>
      <c r="ED47" s="145"/>
      <c r="EE47" s="145"/>
      <c r="EF47" s="145"/>
      <c r="EG47" s="145"/>
      <c r="EH47" s="145"/>
      <c r="EI47" s="145"/>
      <c r="EJ47" s="145"/>
      <c r="EK47" s="145"/>
      <c r="EL47" s="145"/>
      <c r="EM47" s="145"/>
      <c r="EN47" s="145"/>
      <c r="EO47" s="145"/>
      <c r="EP47" s="145"/>
      <c r="EQ47" s="145"/>
      <c r="ER47" s="145"/>
      <c r="ES47" s="145"/>
      <c r="ET47" s="145"/>
      <c r="EU47" s="145"/>
      <c r="EV47" s="145"/>
      <c r="EW47" s="145"/>
      <c r="EX47" s="145"/>
      <c r="EY47" s="145"/>
      <c r="EZ47" s="145"/>
      <c r="FA47" s="145"/>
      <c r="FB47" s="145"/>
      <c r="FC47" s="145"/>
      <c r="FD47" s="145"/>
      <c r="FE47" s="145"/>
      <c r="FF47" s="145"/>
      <c r="FG47" s="145"/>
      <c r="FH47" s="145"/>
      <c r="FI47" s="145"/>
      <c r="FJ47" s="145"/>
      <c r="FK47" s="145"/>
      <c r="FL47" s="145"/>
      <c r="FM47" s="145"/>
      <c r="FN47" s="145"/>
      <c r="FO47" s="145"/>
      <c r="FP47" s="145"/>
      <c r="FQ47" s="145"/>
      <c r="FR47" s="145"/>
      <c r="FS47" s="145"/>
      <c r="FT47" s="145"/>
      <c r="FU47" s="145"/>
      <c r="FV47" s="145"/>
      <c r="FW47" s="145"/>
      <c r="FX47" s="145"/>
      <c r="FY47" s="145"/>
      <c r="FZ47" s="145"/>
      <c r="GA47" s="145"/>
      <c r="GB47" s="145"/>
      <c r="GC47" s="145"/>
      <c r="GD47" s="145"/>
      <c r="GE47" s="145"/>
      <c r="GF47" s="145"/>
      <c r="GG47" s="145"/>
      <c r="GH47" s="145"/>
      <c r="GI47" s="145"/>
      <c r="GJ47" s="145"/>
      <c r="GK47" s="145"/>
      <c r="GL47" s="145"/>
      <c r="GM47" s="145"/>
      <c r="GN47" s="145"/>
      <c r="GO47" s="145"/>
      <c r="GP47" s="145"/>
      <c r="GQ47" s="145"/>
      <c r="GR47" s="145"/>
      <c r="GS47" s="145"/>
      <c r="GT47" s="145"/>
      <c r="GU47" s="145"/>
      <c r="GV47" s="145"/>
      <c r="GW47" s="145"/>
      <c r="GX47" s="145"/>
      <c r="GY47" s="145"/>
      <c r="GZ47" s="145"/>
      <c r="HA47" s="145"/>
      <c r="HB47" s="145"/>
      <c r="HC47" s="145"/>
      <c r="HD47" s="145"/>
      <c r="HE47" s="145"/>
      <c r="HF47" s="145"/>
      <c r="HG47" s="145"/>
      <c r="HH47" s="145"/>
      <c r="HI47" s="145"/>
      <c r="HJ47" s="145"/>
      <c r="HK47" s="145"/>
      <c r="HL47" s="145"/>
      <c r="HM47" s="145"/>
      <c r="HN47" s="21"/>
      <c r="HO47" s="145"/>
      <c r="HT47" s="103"/>
      <c r="HU47" s="103"/>
      <c r="HV47" s="103"/>
      <c r="HW47" s="103"/>
      <c r="HX47" s="103"/>
      <c r="HY47" s="103"/>
      <c r="HZ47" s="103"/>
      <c r="IA47" s="103"/>
      <c r="IB47" s="103"/>
      <c r="IC47" s="103"/>
      <c r="ID47" s="103"/>
      <c r="IE47" s="103"/>
      <c r="IF47" s="103"/>
      <c r="IG47" s="103"/>
      <c r="IH47" s="103"/>
      <c r="II47" s="103"/>
      <c r="IJ47" s="103"/>
      <c r="IK47" s="103"/>
      <c r="IL47" s="103"/>
      <c r="IM47" s="103"/>
      <c r="IN47" s="103"/>
      <c r="IO47" s="103"/>
      <c r="IP47" s="103"/>
      <c r="IQ47" s="103"/>
      <c r="IR47" s="103"/>
      <c r="IS47" s="103"/>
      <c r="IT47" s="103"/>
      <c r="IU47" s="103"/>
      <c r="IV47" s="103"/>
      <c r="IW47" s="103"/>
      <c r="IX47" s="103"/>
      <c r="IY47" s="103"/>
      <c r="IZ47" s="103"/>
      <c r="JA47" s="103"/>
      <c r="JB47" s="103"/>
      <c r="JC47" s="103"/>
      <c r="JD47" s="103"/>
      <c r="JE47" s="103"/>
      <c r="JF47" s="103"/>
      <c r="JG47" s="103"/>
      <c r="JH47" s="103"/>
      <c r="JI47" s="103"/>
      <c r="JJ47" s="103"/>
      <c r="JK47" s="103"/>
      <c r="JL47" s="103"/>
      <c r="JM47" s="103"/>
      <c r="JN47" s="103"/>
      <c r="JO47" s="103"/>
      <c r="JP47" s="103"/>
      <c r="JQ47" s="103"/>
      <c r="JR47" s="103"/>
      <c r="JS47" s="103"/>
      <c r="JT47" s="103"/>
      <c r="JU47" s="103"/>
      <c r="JV47" s="103"/>
      <c r="JW47" s="103"/>
      <c r="JX47" s="103"/>
      <c r="JY47" s="103"/>
      <c r="JZ47" s="103"/>
      <c r="KA47" s="103"/>
      <c r="KB47" s="103"/>
      <c r="KC47" s="103"/>
      <c r="KD47" s="103"/>
      <c r="KE47" s="103"/>
      <c r="KF47" s="103"/>
      <c r="KG47" s="103"/>
      <c r="KH47" s="103"/>
      <c r="KI47" s="103"/>
      <c r="KJ47" s="103"/>
      <c r="KK47" s="103"/>
      <c r="KL47" s="103"/>
      <c r="KM47" s="103"/>
      <c r="KN47" s="103"/>
      <c r="KO47" s="103"/>
      <c r="KP47" s="103"/>
      <c r="KQ47" s="103"/>
      <c r="KR47" s="103"/>
      <c r="KS47" s="103"/>
      <c r="KT47" s="103"/>
      <c r="KU47" s="103"/>
      <c r="KV47" s="103"/>
      <c r="KW47" s="103"/>
      <c r="KX47" s="103"/>
      <c r="KY47" s="103"/>
      <c r="KZ47" s="103"/>
      <c r="LA47" s="103"/>
      <c r="LB47" s="103"/>
      <c r="LC47" s="103"/>
      <c r="LD47" s="103"/>
      <c r="LE47" s="103"/>
      <c r="LF47" s="103"/>
      <c r="LG47" s="103"/>
      <c r="LH47" s="103"/>
      <c r="LI47" s="103"/>
      <c r="LJ47" s="103"/>
      <c r="LK47" s="103"/>
      <c r="LL47" s="103"/>
      <c r="LM47" s="103"/>
    </row>
    <row r="48" spans="2:325" ht="14.4">
      <c r="B48" s="1071" t="s">
        <v>209</v>
      </c>
      <c r="C48" s="1072"/>
      <c r="D48" s="1072"/>
      <c r="E48" s="1072"/>
      <c r="F48" s="1072"/>
      <c r="G48" s="1072"/>
      <c r="H48" s="1072"/>
      <c r="I48" s="1072"/>
      <c r="J48" s="1072"/>
      <c r="K48" s="1072"/>
      <c r="L48" s="1072"/>
      <c r="M48" s="1072"/>
      <c r="N48" s="1072"/>
      <c r="O48" s="1072"/>
      <c r="P48" s="1072"/>
      <c r="Q48" s="1072"/>
      <c r="R48" s="1072"/>
      <c r="S48" s="1072"/>
      <c r="T48" s="1072"/>
      <c r="U48" s="1072"/>
      <c r="V48" s="1072"/>
      <c r="W48" s="1072"/>
      <c r="X48" s="1072"/>
      <c r="Y48" s="1072"/>
      <c r="Z48" s="1072"/>
      <c r="AA48" s="1072"/>
      <c r="AB48" s="1072"/>
      <c r="AC48" s="1072"/>
      <c r="AD48" s="1072"/>
      <c r="AE48" s="1072"/>
      <c r="AF48" s="1072"/>
      <c r="AG48" s="1072"/>
      <c r="AH48" s="1072"/>
      <c r="AI48" s="1072"/>
      <c r="AJ48" s="1072"/>
      <c r="AK48" s="1072"/>
      <c r="AL48" s="1072"/>
      <c r="AM48" s="1072"/>
      <c r="AN48" s="1072"/>
      <c r="AO48" s="1072"/>
      <c r="AP48" s="1072"/>
      <c r="AQ48" s="1072"/>
      <c r="AR48" s="1072"/>
      <c r="AS48" s="1072"/>
      <c r="AT48" s="1072"/>
      <c r="AU48" s="1072"/>
      <c r="AV48" s="1072"/>
      <c r="AW48" s="1072"/>
      <c r="AX48" s="1072"/>
      <c r="AY48" s="1072"/>
      <c r="AZ48" s="1072"/>
      <c r="BA48" s="1072"/>
      <c r="BB48" s="1072"/>
      <c r="BC48" s="1072"/>
      <c r="BD48" s="1072"/>
      <c r="BE48" s="1072"/>
      <c r="BF48" s="1072"/>
      <c r="BG48" s="1072"/>
      <c r="BH48" s="1072"/>
      <c r="BI48" s="1072"/>
      <c r="BJ48" s="1072"/>
      <c r="BK48" s="1072"/>
      <c r="BL48" s="1072"/>
      <c r="BM48" s="1072"/>
      <c r="BN48" s="1072"/>
      <c r="BO48" s="1072"/>
      <c r="BP48" s="1072"/>
      <c r="BQ48" s="1072"/>
      <c r="BR48" s="1072"/>
      <c r="BS48" s="1072"/>
      <c r="BT48" s="1072"/>
      <c r="BU48" s="1072"/>
      <c r="BV48" s="1072"/>
      <c r="BW48" s="1072"/>
      <c r="BX48" s="1072"/>
      <c r="BY48" s="1072"/>
      <c r="BZ48" s="1072"/>
      <c r="CA48" s="1072"/>
      <c r="CB48" s="1072"/>
      <c r="CC48" s="1072"/>
      <c r="CD48" s="1072"/>
      <c r="CE48" s="1072"/>
      <c r="CF48" s="1072"/>
      <c r="CG48" s="1072"/>
      <c r="CH48" s="1072"/>
      <c r="CI48" s="1072"/>
      <c r="CJ48" s="1072"/>
      <c r="CK48" s="1072"/>
      <c r="CL48" s="1072"/>
      <c r="CM48" s="1072"/>
      <c r="CN48" s="1072"/>
      <c r="CO48" s="1072"/>
      <c r="CP48" s="1072"/>
      <c r="CQ48" s="1072"/>
      <c r="CR48" s="1072"/>
      <c r="CS48" s="1072"/>
      <c r="CT48" s="1072"/>
      <c r="CU48" s="1072"/>
      <c r="CV48" s="1072"/>
      <c r="CW48" s="1072"/>
      <c r="CX48" s="1072"/>
      <c r="CY48" s="1072"/>
      <c r="CZ48" s="1072"/>
      <c r="DA48" s="1072"/>
      <c r="DB48" s="1072"/>
      <c r="DC48" s="1072"/>
      <c r="DD48" s="1072"/>
      <c r="DE48" s="1072"/>
      <c r="DF48" s="1072"/>
      <c r="DG48" s="1072"/>
      <c r="DH48" s="1072"/>
      <c r="DI48" s="1072"/>
      <c r="DJ48" s="1072"/>
      <c r="DK48" s="1072"/>
      <c r="DL48" s="1072"/>
      <c r="DM48" s="1072"/>
      <c r="DN48" s="1072"/>
      <c r="DO48" s="1072"/>
      <c r="DP48" s="1072"/>
      <c r="DQ48" s="1072"/>
      <c r="DR48" s="1072"/>
      <c r="DS48" s="1072"/>
      <c r="DT48" s="1072"/>
      <c r="DU48" s="1072"/>
      <c r="DV48" s="1072"/>
      <c r="DW48" s="1072"/>
      <c r="DX48" s="1072"/>
      <c r="DY48" s="1072"/>
      <c r="DZ48" s="1072"/>
      <c r="EA48" s="1072"/>
      <c r="EB48" s="1072"/>
      <c r="EC48" s="1072"/>
      <c r="ED48" s="1072"/>
      <c r="EE48" s="1072"/>
      <c r="EF48" s="1072"/>
      <c r="EG48" s="1072"/>
      <c r="EH48" s="1072"/>
      <c r="EI48" s="1072"/>
      <c r="EJ48" s="1072"/>
      <c r="EK48" s="1072"/>
      <c r="EL48" s="1072"/>
      <c r="EM48" s="1072"/>
      <c r="EN48" s="1072"/>
      <c r="EO48" s="1072"/>
      <c r="EP48" s="1072"/>
      <c r="EQ48" s="1072"/>
      <c r="ER48" s="1072"/>
      <c r="ES48" s="1072"/>
      <c r="ET48" s="1072"/>
      <c r="EU48" s="1072"/>
      <c r="EV48" s="1072"/>
      <c r="EW48" s="1072"/>
      <c r="EX48" s="1072"/>
      <c r="EY48" s="1072"/>
      <c r="EZ48" s="1072"/>
      <c r="FA48" s="1072"/>
      <c r="FB48" s="1072"/>
      <c r="FC48" s="1072"/>
      <c r="FD48" s="1072"/>
      <c r="FE48" s="1072"/>
      <c r="FF48" s="1072"/>
      <c r="FG48" s="1072"/>
      <c r="FH48" s="1072"/>
      <c r="FI48" s="1072"/>
      <c r="FJ48" s="1072"/>
      <c r="FK48" s="1072"/>
      <c r="FL48" s="1072"/>
      <c r="FM48" s="1072"/>
      <c r="FN48" s="1072"/>
      <c r="FO48" s="1072"/>
      <c r="FP48" s="1072"/>
      <c r="FQ48" s="1072"/>
      <c r="FR48" s="1072"/>
      <c r="FS48" s="1072"/>
      <c r="FT48" s="1072"/>
      <c r="FU48" s="1072"/>
      <c r="FV48" s="1072"/>
      <c r="FW48" s="1072"/>
      <c r="FX48" s="1072"/>
      <c r="FY48" s="1072"/>
      <c r="FZ48" s="1072"/>
      <c r="GA48" s="1072"/>
      <c r="GB48" s="1072"/>
      <c r="GC48" s="1072"/>
      <c r="GD48" s="1072"/>
      <c r="GE48" s="1072"/>
      <c r="GF48" s="1072"/>
      <c r="GG48" s="1072"/>
      <c r="GH48" s="1072"/>
      <c r="GI48" s="1072"/>
      <c r="GJ48" s="1072"/>
      <c r="GK48" s="1072"/>
      <c r="GL48" s="1072"/>
      <c r="GM48" s="1072"/>
      <c r="GN48" s="1072"/>
      <c r="GO48" s="1072"/>
      <c r="GP48" s="1072"/>
      <c r="GQ48" s="1072"/>
      <c r="GR48" s="1072"/>
      <c r="GS48" s="1072"/>
      <c r="GT48" s="1072"/>
      <c r="GU48" s="1072"/>
      <c r="GV48" s="1072"/>
      <c r="GW48" s="1072"/>
      <c r="GX48" s="1072"/>
      <c r="GY48" s="1072"/>
      <c r="GZ48" s="1072"/>
      <c r="HA48" s="1072"/>
      <c r="HB48" s="1072"/>
      <c r="HC48" s="1072"/>
      <c r="HD48" s="1072"/>
      <c r="HE48" s="1072"/>
      <c r="HF48" s="1072"/>
      <c r="HG48" s="1072"/>
      <c r="HH48" s="1072"/>
      <c r="HI48" s="1072"/>
      <c r="HJ48" s="1072"/>
      <c r="HK48" s="1072"/>
      <c r="HL48" s="1072"/>
      <c r="HM48" s="1072"/>
      <c r="HN48" s="1072"/>
      <c r="HO48" s="1073"/>
      <c r="HT48" s="103"/>
      <c r="HU48" s="103"/>
      <c r="HV48" s="103"/>
      <c r="HW48" s="103"/>
      <c r="HX48" s="103"/>
      <c r="HY48" s="103"/>
      <c r="HZ48" s="103"/>
      <c r="IA48" s="103"/>
      <c r="IB48" s="103"/>
      <c r="IC48" s="103"/>
      <c r="ID48" s="103"/>
      <c r="IE48" s="103"/>
      <c r="IF48" s="103"/>
      <c r="IG48" s="103"/>
      <c r="IH48" s="103"/>
      <c r="II48" s="103"/>
      <c r="IJ48" s="103"/>
      <c r="IK48" s="103"/>
      <c r="IL48" s="103"/>
      <c r="IM48" s="103"/>
      <c r="IN48" s="103"/>
      <c r="IO48" s="103"/>
      <c r="IP48" s="103"/>
      <c r="IQ48" s="103"/>
      <c r="IR48" s="103"/>
      <c r="IS48" s="103"/>
      <c r="IT48" s="103"/>
      <c r="IU48" s="103"/>
      <c r="IV48" s="103"/>
      <c r="IW48" s="103"/>
      <c r="IX48" s="103"/>
      <c r="IY48" s="103"/>
      <c r="IZ48" s="103"/>
      <c r="JA48" s="103"/>
      <c r="JB48" s="103"/>
      <c r="JC48" s="103"/>
      <c r="JD48" s="103"/>
      <c r="JE48" s="103"/>
      <c r="JF48" s="103"/>
      <c r="JG48" s="103"/>
      <c r="JH48" s="103"/>
      <c r="JI48" s="103"/>
      <c r="JJ48" s="103"/>
      <c r="JK48" s="103"/>
      <c r="JL48" s="103"/>
      <c r="JM48" s="103"/>
      <c r="JN48" s="103"/>
      <c r="JO48" s="103"/>
      <c r="JP48" s="103"/>
      <c r="JQ48" s="103"/>
      <c r="JR48" s="103"/>
      <c r="JS48" s="103"/>
      <c r="JT48" s="103"/>
      <c r="JU48" s="103"/>
      <c r="JV48" s="103"/>
      <c r="JW48" s="103"/>
      <c r="JX48" s="103"/>
      <c r="JY48" s="103"/>
      <c r="JZ48" s="103"/>
      <c r="KA48" s="103"/>
      <c r="KB48" s="103"/>
      <c r="KC48" s="103"/>
      <c r="KD48" s="103"/>
      <c r="KE48" s="103"/>
      <c r="KF48" s="103"/>
      <c r="KG48" s="103"/>
      <c r="KH48" s="103"/>
      <c r="KI48" s="103"/>
      <c r="KJ48" s="103"/>
      <c r="KK48" s="103"/>
      <c r="KL48" s="103"/>
      <c r="KM48" s="103"/>
      <c r="KN48" s="103"/>
      <c r="KO48" s="103"/>
      <c r="KP48" s="103"/>
      <c r="KQ48" s="103"/>
      <c r="KR48" s="103"/>
      <c r="KS48" s="103"/>
      <c r="KT48" s="103"/>
      <c r="KU48" s="103"/>
      <c r="KV48" s="103"/>
      <c r="KW48" s="103"/>
      <c r="KX48" s="103"/>
      <c r="KY48" s="103"/>
      <c r="KZ48" s="103"/>
      <c r="LA48" s="103"/>
      <c r="LB48" s="103"/>
      <c r="LC48" s="103"/>
      <c r="LD48" s="103"/>
      <c r="LE48" s="103"/>
      <c r="LF48" s="103"/>
      <c r="LG48" s="103"/>
      <c r="LH48" s="103"/>
      <c r="LI48" s="103"/>
      <c r="LJ48" s="103"/>
      <c r="LK48" s="103"/>
      <c r="LL48" s="103"/>
      <c r="LM48" s="103"/>
    </row>
    <row r="49" spans="2:325">
      <c r="B49" s="1074" t="s">
        <v>46</v>
      </c>
      <c r="C49" s="169" t="s">
        <v>788</v>
      </c>
      <c r="D49" s="809">
        <v>3.5999999999999997E-2</v>
      </c>
      <c r="E49" s="809">
        <v>3.5999999999999997E-2</v>
      </c>
      <c r="F49" s="809">
        <v>3.5499999999999997E-2</v>
      </c>
      <c r="G49" s="809"/>
      <c r="H49" s="168">
        <v>3.6499999999999998E-2</v>
      </c>
      <c r="I49" s="167"/>
      <c r="J49" s="168"/>
      <c r="K49" s="168">
        <v>3.6999999999999998E-2</v>
      </c>
      <c r="L49" s="168">
        <v>3.5999999999999997E-2</v>
      </c>
      <c r="M49" s="167">
        <v>3.6999999999999998E-2</v>
      </c>
      <c r="N49" s="168">
        <v>3.6999999999999998E-2</v>
      </c>
      <c r="O49" s="167">
        <v>3.7999999999999999E-2</v>
      </c>
      <c r="P49" s="167">
        <v>3.7999999999999999E-2</v>
      </c>
      <c r="Q49" s="167">
        <v>3.7999999999999999E-2</v>
      </c>
      <c r="R49" s="167">
        <v>3.7999999999999999E-2</v>
      </c>
      <c r="S49" s="167">
        <v>3.5000000000000003E-2</v>
      </c>
      <c r="T49" s="167">
        <v>3.5000000000000003E-2</v>
      </c>
      <c r="U49" s="167">
        <v>3.5000000000000003E-2</v>
      </c>
      <c r="V49" s="167">
        <v>3.5000000000000003E-2</v>
      </c>
      <c r="W49" s="168">
        <v>3.5000000000000003E-2</v>
      </c>
      <c r="X49" s="168">
        <v>3.5999999999999997E-2</v>
      </c>
      <c r="Y49" s="168">
        <v>3.6999999999999998E-2</v>
      </c>
      <c r="Z49" s="167">
        <v>3.7999999999999999E-2</v>
      </c>
      <c r="AA49" s="167">
        <v>3.7999999999999999E-2</v>
      </c>
      <c r="AB49" s="168">
        <v>3.7999999999999999E-2</v>
      </c>
      <c r="AC49" s="167">
        <v>3.9E-2</v>
      </c>
      <c r="AD49" s="167">
        <v>3.9E-2</v>
      </c>
      <c r="AE49" s="167">
        <v>3.9E-2</v>
      </c>
      <c r="AF49" s="63">
        <v>3.9E-2</v>
      </c>
      <c r="AG49" s="63">
        <v>3.9E-2</v>
      </c>
      <c r="AH49" s="168">
        <v>3.9E-2</v>
      </c>
      <c r="AI49" s="63">
        <v>0.04</v>
      </c>
      <c r="AJ49" s="167">
        <v>0.04</v>
      </c>
      <c r="AK49" s="63">
        <v>0.04</v>
      </c>
      <c r="AL49" s="108">
        <v>0.04</v>
      </c>
      <c r="AM49" s="167">
        <v>0.04</v>
      </c>
      <c r="AN49" s="152">
        <v>0.04</v>
      </c>
      <c r="AO49" s="152">
        <v>0.04</v>
      </c>
      <c r="AP49" s="152">
        <v>0.04</v>
      </c>
      <c r="AQ49" s="152">
        <v>0.04</v>
      </c>
      <c r="AR49" s="152">
        <v>0.04</v>
      </c>
      <c r="AS49" s="152">
        <v>0.04</v>
      </c>
      <c r="AT49" s="152">
        <v>0.04</v>
      </c>
      <c r="AU49" s="152">
        <v>0.04</v>
      </c>
      <c r="AV49" s="152">
        <v>0.04</v>
      </c>
      <c r="AW49" s="152">
        <v>0.04</v>
      </c>
      <c r="AX49" s="152">
        <v>3.9E-2</v>
      </c>
      <c r="AY49" s="152">
        <v>3.9E-2</v>
      </c>
      <c r="AZ49" s="152">
        <v>3.9E-2</v>
      </c>
      <c r="BA49" s="152">
        <v>3.9E-2</v>
      </c>
      <c r="BB49" s="107">
        <v>3.9E-2</v>
      </c>
      <c r="BC49" s="152">
        <v>4.2000000000000003E-2</v>
      </c>
      <c r="BD49" s="152">
        <v>4.2000000000000003E-2</v>
      </c>
      <c r="BE49" s="152">
        <v>4.2000000000000003E-2</v>
      </c>
      <c r="BF49" s="152">
        <v>4.1000000000000002E-2</v>
      </c>
      <c r="BG49" s="152">
        <v>4.1000000000000002E-2</v>
      </c>
      <c r="BH49" s="152">
        <v>4.1000000000000002E-2</v>
      </c>
      <c r="BI49" s="152">
        <v>4.1000000000000002E-2</v>
      </c>
      <c r="BJ49" s="152">
        <v>4.1000000000000002E-2</v>
      </c>
      <c r="BK49" s="152">
        <v>4.1000000000000002E-2</v>
      </c>
      <c r="BL49" s="152">
        <v>4.1000000000000002E-2</v>
      </c>
      <c r="BM49" s="152">
        <v>4.2999999999999997E-2</v>
      </c>
      <c r="BN49" s="152">
        <v>4.2999999999999997E-2</v>
      </c>
      <c r="BO49" s="152">
        <v>4.2999999999999997E-2</v>
      </c>
      <c r="BP49" s="152">
        <v>4.2999999999999997E-2</v>
      </c>
      <c r="BQ49" s="152">
        <v>4.2999999999999997E-2</v>
      </c>
      <c r="BR49" s="152">
        <v>4.2999999999999997E-2</v>
      </c>
      <c r="BS49" s="152">
        <v>4.2999999999999997E-2</v>
      </c>
      <c r="BT49" s="152">
        <v>4.2999999999999997E-2</v>
      </c>
      <c r="BU49" s="152"/>
      <c r="BV49" s="152">
        <v>4.4999999999999998E-2</v>
      </c>
      <c r="BW49" s="152">
        <v>4.4999999999999998E-2</v>
      </c>
      <c r="BX49" s="152">
        <v>4.4999999999999998E-2</v>
      </c>
      <c r="BY49" s="152">
        <v>4.4999999999999998E-2</v>
      </c>
      <c r="BZ49" s="152">
        <v>4.8000000000000001E-2</v>
      </c>
      <c r="CA49" s="152">
        <v>4.8000000000000001E-2</v>
      </c>
      <c r="CB49" s="152">
        <v>4.8000000000000001E-2</v>
      </c>
      <c r="CC49" s="152">
        <v>4.5999999999999999E-2</v>
      </c>
      <c r="CD49" s="152">
        <v>4.5999999999999999E-2</v>
      </c>
      <c r="CE49" s="152">
        <v>4.5999999999999999E-2</v>
      </c>
      <c r="CF49" s="152">
        <v>4.5999999999999999E-2</v>
      </c>
      <c r="CG49" s="152">
        <v>3.8834E-2</v>
      </c>
      <c r="CH49" s="152">
        <v>3.8857999999999997E-2</v>
      </c>
      <c r="CI49" s="152">
        <v>3.9039999999999998E-2</v>
      </c>
      <c r="CJ49" s="152">
        <v>3.9182000000000002E-2</v>
      </c>
      <c r="CK49" s="152">
        <v>3.9393999999999998E-2</v>
      </c>
      <c r="CL49" s="152">
        <v>3.9435999999999999E-2</v>
      </c>
      <c r="CM49" s="152">
        <v>3.9432000000000002E-2</v>
      </c>
      <c r="CN49" s="152">
        <v>3.9428999999999999E-2</v>
      </c>
      <c r="CO49" s="152">
        <v>3.9428999999999999E-2</v>
      </c>
      <c r="CP49" s="152">
        <v>3.9267000000000003E-2</v>
      </c>
      <c r="CQ49" s="152">
        <v>3.9224000000000002E-2</v>
      </c>
      <c r="CR49" s="152">
        <v>3.9211999999999997E-2</v>
      </c>
      <c r="CS49" s="152">
        <v>3.9267999999999997E-2</v>
      </c>
      <c r="CT49" s="152">
        <v>3.9170999999999997E-2</v>
      </c>
      <c r="CU49" s="196">
        <v>3.9170999999999997E-2</v>
      </c>
      <c r="CV49" s="196">
        <v>3.8972E-2</v>
      </c>
      <c r="CW49" s="196">
        <v>3.9080999999999998E-2</v>
      </c>
      <c r="CX49" s="196">
        <v>3.9076E-2</v>
      </c>
      <c r="CY49" s="196">
        <v>3.9052000000000003E-2</v>
      </c>
      <c r="CZ49" s="196">
        <v>3.9052000000000003E-2</v>
      </c>
      <c r="DA49" s="196">
        <v>3.9264E-2</v>
      </c>
      <c r="DB49" s="196">
        <v>3.9432000000000002E-2</v>
      </c>
      <c r="DC49" s="196">
        <v>3.9070000000000001E-2</v>
      </c>
      <c r="DD49" s="196">
        <v>3.9070000000000001E-2</v>
      </c>
      <c r="DE49" s="196">
        <v>3.9161000000000001E-2</v>
      </c>
      <c r="DF49" s="196">
        <v>3.9064000000000002E-2</v>
      </c>
      <c r="DG49" s="196">
        <v>3.9246999999999997E-2</v>
      </c>
      <c r="DH49" s="196">
        <v>3.8199999999999998E-2</v>
      </c>
      <c r="DI49" s="196">
        <v>3.9233999999999998E-2</v>
      </c>
      <c r="DJ49" s="196">
        <v>3.9273000000000002E-2</v>
      </c>
      <c r="DK49" s="196">
        <v>3.9479E-2</v>
      </c>
      <c r="DL49" s="196">
        <v>3.9745999999999997E-2</v>
      </c>
      <c r="DM49" s="196">
        <v>3.9861000000000001E-2</v>
      </c>
      <c r="DN49" s="196">
        <v>3.9761999999999999E-2</v>
      </c>
      <c r="DO49" s="196">
        <v>3.9882000000000001E-2</v>
      </c>
      <c r="DP49" s="196">
        <v>3.9708E-2</v>
      </c>
      <c r="DQ49" s="196">
        <v>3.9902E-2</v>
      </c>
      <c r="DR49" s="196">
        <v>3.9656999999999998E-2</v>
      </c>
      <c r="DS49" s="196">
        <v>3.9828000000000002E-2</v>
      </c>
      <c r="DT49" s="196">
        <v>3.9795999999999998E-2</v>
      </c>
      <c r="DU49" s="196">
        <v>3.9967999999999997E-2</v>
      </c>
      <c r="DV49" s="196">
        <v>4.0245799999999998E-2</v>
      </c>
      <c r="DW49" s="196">
        <v>3.9997999999999999E-2</v>
      </c>
      <c r="DX49" s="196">
        <v>3.9969999999999999E-2</v>
      </c>
      <c r="DY49" s="196">
        <v>4.0082E-2</v>
      </c>
      <c r="DZ49" s="196">
        <v>3.9911000000000002E-2</v>
      </c>
      <c r="EA49" s="196">
        <v>4.0174000000000001E-2</v>
      </c>
      <c r="EB49" s="196">
        <v>3.9773000000000003E-2</v>
      </c>
      <c r="EC49" s="196">
        <v>3.9718000000000003E-2</v>
      </c>
      <c r="ED49" s="196">
        <v>3.9698999999999998E-2</v>
      </c>
      <c r="EE49" s="196">
        <v>3.9663999999999998E-2</v>
      </c>
      <c r="EF49" s="196">
        <v>3.9573999999999998E-2</v>
      </c>
      <c r="EG49" s="196">
        <v>2.2474000000000001E-2</v>
      </c>
      <c r="EH49" s="196">
        <v>2.419E-2</v>
      </c>
      <c r="EI49" s="196">
        <v>2.3671999999999999E-2</v>
      </c>
      <c r="EJ49" s="196">
        <v>1.8238999999999998E-2</v>
      </c>
      <c r="EK49" s="196">
        <v>2.2468999999999999E-2</v>
      </c>
      <c r="EL49" s="196">
        <v>3.7509000000000001E-2</v>
      </c>
      <c r="EM49" s="196">
        <v>3.6896999999999999E-2</v>
      </c>
      <c r="EN49" s="196">
        <v>3.6721999999999998E-2</v>
      </c>
      <c r="EO49" s="196">
        <v>3.7114000000000001E-2</v>
      </c>
      <c r="EP49" s="196">
        <v>3.6679999999999997E-2</v>
      </c>
      <c r="EQ49" s="196">
        <v>3.6278999999999999E-2</v>
      </c>
      <c r="ER49" s="196">
        <v>3.5587000000000001E-2</v>
      </c>
      <c r="ES49" s="196">
        <v>3.5085999999999999E-2</v>
      </c>
      <c r="ET49" s="196">
        <v>3.5012000000000001E-2</v>
      </c>
      <c r="EU49" s="196">
        <v>3.4854999999999997E-2</v>
      </c>
      <c r="EV49" s="152">
        <v>3.3300000000000003E-2</v>
      </c>
      <c r="EW49" s="152">
        <v>3.3799999999999997E-2</v>
      </c>
      <c r="EX49" s="196">
        <v>3.5416999999999997E-2</v>
      </c>
      <c r="EY49" s="196">
        <v>3.5062999999999997E-2</v>
      </c>
      <c r="EZ49" s="196">
        <v>3.4109E-2</v>
      </c>
      <c r="FA49" s="196">
        <v>3.4107999999999999E-2</v>
      </c>
      <c r="FB49" s="196">
        <v>3.3570999999999997E-2</v>
      </c>
      <c r="FC49" s="196">
        <v>3.3316999999999999E-2</v>
      </c>
      <c r="FD49" s="196">
        <v>3.3035000000000002E-2</v>
      </c>
      <c r="FE49" s="196">
        <v>3.6415999999999997E-2</v>
      </c>
      <c r="FF49" s="196">
        <v>3.2849999999999997E-2</v>
      </c>
      <c r="FG49" s="196">
        <v>3.2375000000000001E-2</v>
      </c>
      <c r="FH49" s="196">
        <v>3.1996999999999998E-2</v>
      </c>
      <c r="FI49" s="196">
        <v>3.1574999999999999E-2</v>
      </c>
      <c r="FJ49" s="196">
        <v>3.0318000000000001E-2</v>
      </c>
      <c r="FK49" s="196">
        <v>3.0984999999999999E-2</v>
      </c>
      <c r="FL49" s="196">
        <v>3.049E-2</v>
      </c>
      <c r="FM49" s="196">
        <v>2.9697999999999999E-2</v>
      </c>
      <c r="FN49" s="196">
        <v>2.8753999999999998E-2</v>
      </c>
      <c r="FO49" s="196">
        <v>2.8603E-2</v>
      </c>
      <c r="FP49" s="196">
        <v>2.7909E-2</v>
      </c>
      <c r="FQ49" s="196">
        <v>2.6955E-2</v>
      </c>
      <c r="FR49" s="196">
        <v>2.605E-2</v>
      </c>
      <c r="FS49" s="196">
        <v>2.3890000000000002E-2</v>
      </c>
      <c r="FT49" s="196">
        <v>3.8531999999999997E-2</v>
      </c>
      <c r="FU49" s="196">
        <v>3.8636999999999998E-2</v>
      </c>
      <c r="FV49" s="196">
        <v>3.8995000000000002E-2</v>
      </c>
      <c r="FW49" s="196">
        <v>3.8995000000000002E-2</v>
      </c>
      <c r="FX49" s="196">
        <v>3.8686999999999999E-2</v>
      </c>
      <c r="FY49" s="196">
        <v>3.8386999999999998E-2</v>
      </c>
      <c r="FZ49" s="196">
        <v>3.8203000000000001E-2</v>
      </c>
      <c r="GA49" s="196">
        <v>3.8543000000000001E-2</v>
      </c>
      <c r="GB49" s="196">
        <v>2.3671999999999999E-2</v>
      </c>
      <c r="GC49" s="196">
        <v>2.3671999999999999E-2</v>
      </c>
      <c r="GD49" s="196">
        <v>2.3671999999999999E-2</v>
      </c>
      <c r="GE49" s="196">
        <v>2.3671999999999999E-2</v>
      </c>
      <c r="GF49" s="196">
        <v>2.3671999999999999E-2</v>
      </c>
      <c r="GG49" s="196">
        <v>2.3671999999999999E-2</v>
      </c>
      <c r="GH49" s="196">
        <v>2.3671999999999999E-2</v>
      </c>
      <c r="GI49" s="196">
        <v>2.3671999999999999E-2</v>
      </c>
      <c r="GJ49" s="196">
        <v>2.3671999999999999E-2</v>
      </c>
      <c r="GK49" s="196">
        <v>2.3671999999999999E-2</v>
      </c>
      <c r="GL49" s="196">
        <v>2.3671999999999999E-2</v>
      </c>
      <c r="GM49" s="196">
        <v>2.3671999999999999E-2</v>
      </c>
      <c r="GN49" s="196">
        <v>2.3671999999999999E-2</v>
      </c>
      <c r="GO49" s="196">
        <v>2.3671999999999999E-2</v>
      </c>
      <c r="GP49" s="196">
        <v>2.3671999999999999E-2</v>
      </c>
      <c r="GQ49" s="196">
        <v>2.3671999999999999E-2</v>
      </c>
      <c r="GR49" s="196">
        <v>2.3671999999999999E-2</v>
      </c>
      <c r="GS49" s="196">
        <v>2.3671999999999999E-2</v>
      </c>
      <c r="GT49" s="196">
        <v>2.3671999999999999E-2</v>
      </c>
      <c r="GU49" s="196">
        <v>2.3671999999999999E-2</v>
      </c>
      <c r="GV49" s="196">
        <v>2.3671999999999999E-2</v>
      </c>
      <c r="GW49" s="196">
        <v>2.3671999999999999E-2</v>
      </c>
      <c r="GX49" s="196">
        <v>2.3671999999999999E-2</v>
      </c>
      <c r="GY49" s="196">
        <v>2.3671999999999999E-2</v>
      </c>
      <c r="GZ49" s="196">
        <v>2.3671999999999999E-2</v>
      </c>
      <c r="HA49" s="196">
        <v>2.3671999999999999E-2</v>
      </c>
      <c r="HB49" s="196">
        <v>2.3671999999999999E-2</v>
      </c>
      <c r="HC49" s="196">
        <v>2.3671999999999999E-2</v>
      </c>
      <c r="HD49" s="196">
        <v>2.3671999999999999E-2</v>
      </c>
      <c r="HE49" s="196">
        <v>2.3671999999999999E-2</v>
      </c>
      <c r="HF49" s="196">
        <v>2.3671999999999999E-2</v>
      </c>
      <c r="HG49" s="196">
        <v>2.3671999999999999E-2</v>
      </c>
      <c r="HH49" s="196">
        <v>2.3671999999999999E-2</v>
      </c>
      <c r="HI49" s="196">
        <v>2.3671999999999999E-2</v>
      </c>
      <c r="HJ49" s="196">
        <v>2.3671999999999999E-2</v>
      </c>
      <c r="HK49" s="196">
        <v>2.3671999999999999E-2</v>
      </c>
      <c r="HL49" s="196">
        <v>2.3671999999999999E-2</v>
      </c>
      <c r="HM49" s="196">
        <v>2.3671999999999999E-2</v>
      </c>
      <c r="HN49" s="41">
        <f>$D49-$E49</f>
        <v>0</v>
      </c>
      <c r="HO49" s="195" t="s">
        <v>304</v>
      </c>
      <c r="HT49" s="103"/>
      <c r="HU49" s="103"/>
      <c r="HV49" s="103"/>
      <c r="HW49" s="103"/>
      <c r="HX49" s="103"/>
      <c r="HY49" s="103"/>
      <c r="HZ49" s="103"/>
      <c r="IA49" s="103"/>
      <c r="IB49" s="103"/>
      <c r="IC49" s="103"/>
      <c r="ID49" s="103"/>
      <c r="IE49" s="103"/>
      <c r="IF49" s="103"/>
      <c r="IG49" s="103"/>
      <c r="IH49" s="103"/>
      <c r="II49" s="103"/>
      <c r="IJ49" s="103"/>
      <c r="IK49" s="103"/>
      <c r="IL49" s="103"/>
      <c r="IM49" s="103"/>
      <c r="IN49" s="103"/>
      <c r="IO49" s="103"/>
      <c r="IP49" s="103"/>
      <c r="IQ49" s="103"/>
      <c r="IR49" s="103"/>
      <c r="IS49" s="103"/>
      <c r="IT49" s="103"/>
      <c r="IU49" s="103"/>
      <c r="IV49" s="103"/>
      <c r="IW49" s="103"/>
      <c r="IX49" s="103"/>
      <c r="IY49" s="103"/>
      <c r="IZ49" s="103"/>
      <c r="JA49" s="103"/>
      <c r="JB49" s="103"/>
      <c r="JC49" s="103"/>
      <c r="JD49" s="103"/>
      <c r="JE49" s="103"/>
      <c r="JF49" s="103"/>
      <c r="JG49" s="103"/>
      <c r="JH49" s="103"/>
      <c r="JI49" s="103"/>
      <c r="JJ49" s="103"/>
      <c r="JK49" s="103"/>
      <c r="JL49" s="103"/>
      <c r="JM49" s="103"/>
      <c r="JN49" s="103"/>
      <c r="JO49" s="103"/>
      <c r="JP49" s="103"/>
      <c r="JQ49" s="103"/>
      <c r="JR49" s="103"/>
      <c r="JS49" s="103"/>
      <c r="JT49" s="103"/>
      <c r="JU49" s="103"/>
      <c r="JV49" s="103"/>
      <c r="JW49" s="103"/>
      <c r="JX49" s="103"/>
      <c r="JY49" s="103"/>
      <c r="JZ49" s="103"/>
      <c r="KA49" s="103"/>
      <c r="KB49" s="103"/>
      <c r="KC49" s="103"/>
      <c r="KD49" s="103"/>
      <c r="KE49" s="103"/>
      <c r="KF49" s="103"/>
      <c r="KG49" s="103"/>
      <c r="KH49" s="103"/>
      <c r="KI49" s="103"/>
      <c r="KJ49" s="103"/>
      <c r="KK49" s="103"/>
      <c r="KL49" s="103"/>
      <c r="KM49" s="103"/>
      <c r="KN49" s="103"/>
      <c r="KO49" s="103"/>
      <c r="KP49" s="103"/>
      <c r="KQ49" s="103"/>
      <c r="KR49" s="103"/>
      <c r="KS49" s="103"/>
      <c r="KT49" s="103"/>
      <c r="KU49" s="103"/>
      <c r="KV49" s="103"/>
      <c r="KW49" s="103"/>
      <c r="KX49" s="103"/>
      <c r="KY49" s="103"/>
      <c r="KZ49" s="103"/>
      <c r="LA49" s="103"/>
      <c r="LB49" s="103"/>
      <c r="LC49" s="103"/>
      <c r="LD49" s="103"/>
      <c r="LE49" s="103"/>
      <c r="LF49" s="103"/>
      <c r="LG49" s="103"/>
      <c r="LH49" s="103"/>
      <c r="LI49" s="103"/>
      <c r="LJ49" s="103"/>
      <c r="LK49" s="103"/>
      <c r="LL49" s="103"/>
      <c r="LM49" s="103"/>
    </row>
    <row r="50" spans="2:325">
      <c r="B50" s="1074"/>
      <c r="C50" s="169" t="s">
        <v>789</v>
      </c>
      <c r="D50" s="809">
        <v>3.6499999999999998E-2</v>
      </c>
      <c r="E50" s="809">
        <v>3.6499999999999998E-2</v>
      </c>
      <c r="F50" s="809">
        <v>3.5999999999999997E-2</v>
      </c>
      <c r="G50" s="809"/>
      <c r="H50" s="168">
        <v>3.6999999999999998E-2</v>
      </c>
      <c r="I50" s="167"/>
      <c r="J50" s="168"/>
      <c r="K50" s="168">
        <v>3.7999999999999999E-2</v>
      </c>
      <c r="L50" s="168">
        <v>3.6999999999999998E-2</v>
      </c>
      <c r="M50" s="167">
        <v>3.7999999999999999E-2</v>
      </c>
      <c r="N50" s="168">
        <v>3.7999999999999999E-2</v>
      </c>
      <c r="O50" s="167">
        <v>3.9E-2</v>
      </c>
      <c r="P50" s="167">
        <v>3.9E-2</v>
      </c>
      <c r="Q50" s="167">
        <v>3.9E-2</v>
      </c>
      <c r="R50" s="167">
        <v>3.9E-2</v>
      </c>
      <c r="S50" s="167">
        <v>3.5999999999999997E-2</v>
      </c>
      <c r="T50" s="167">
        <v>3.5999999999999997E-2</v>
      </c>
      <c r="U50" s="167">
        <v>3.5999999999999997E-2</v>
      </c>
      <c r="V50" s="167">
        <v>3.5999999999999997E-2</v>
      </c>
      <c r="W50" s="168">
        <v>3.5999999999999997E-2</v>
      </c>
      <c r="X50" s="168">
        <v>3.6999999999999998E-2</v>
      </c>
      <c r="Y50" s="168">
        <v>3.7999999999999999E-2</v>
      </c>
      <c r="Z50" s="167">
        <v>3.9E-2</v>
      </c>
      <c r="AA50" s="167">
        <v>3.9E-2</v>
      </c>
      <c r="AB50" s="168">
        <v>3.9E-2</v>
      </c>
      <c r="AC50" s="167">
        <v>0.04</v>
      </c>
      <c r="AD50" s="167">
        <v>0.04</v>
      </c>
      <c r="AE50" s="167">
        <v>0.04</v>
      </c>
      <c r="AF50" s="63">
        <v>0.04</v>
      </c>
      <c r="AG50" s="63">
        <v>0.04</v>
      </c>
      <c r="AH50" s="168">
        <v>0.04</v>
      </c>
      <c r="AI50" s="63">
        <v>4.1000000000000002E-2</v>
      </c>
      <c r="AJ50" s="167">
        <v>4.1000000000000002E-2</v>
      </c>
      <c r="AK50" s="63">
        <v>4.1000000000000002E-2</v>
      </c>
      <c r="AL50" s="108">
        <v>4.1000000000000002E-2</v>
      </c>
      <c r="AM50" s="167">
        <v>4.1000000000000002E-2</v>
      </c>
      <c r="AN50" s="152">
        <v>4.1000000000000002E-2</v>
      </c>
      <c r="AO50" s="152">
        <v>4.1000000000000002E-2</v>
      </c>
      <c r="AP50" s="152">
        <v>4.1000000000000002E-2</v>
      </c>
      <c r="AQ50" s="152">
        <v>4.1000000000000002E-2</v>
      </c>
      <c r="AR50" s="152">
        <v>4.1000000000000002E-2</v>
      </c>
      <c r="AS50" s="152">
        <v>4.1000000000000002E-2</v>
      </c>
      <c r="AT50" s="152">
        <v>4.1000000000000002E-2</v>
      </c>
      <c r="AU50" s="152">
        <v>4.1000000000000002E-2</v>
      </c>
      <c r="AV50" s="152">
        <v>4.1000000000000002E-2</v>
      </c>
      <c r="AW50" s="152">
        <v>4.1000000000000002E-2</v>
      </c>
      <c r="AX50" s="152">
        <v>0.04</v>
      </c>
      <c r="AY50" s="152">
        <v>0.04</v>
      </c>
      <c r="AZ50" s="152">
        <v>0.04</v>
      </c>
      <c r="BA50" s="152">
        <v>0.04</v>
      </c>
      <c r="BB50" s="107">
        <v>0.04</v>
      </c>
      <c r="BC50" s="152">
        <v>4.2999999999999997E-2</v>
      </c>
      <c r="BD50" s="152">
        <v>4.2999999999999997E-2</v>
      </c>
      <c r="BE50" s="152">
        <v>4.2999999999999997E-2</v>
      </c>
      <c r="BF50" s="152">
        <v>4.2000000000000003E-2</v>
      </c>
      <c r="BG50" s="152">
        <v>4.2000000000000003E-2</v>
      </c>
      <c r="BH50" s="152">
        <v>4.2000000000000003E-2</v>
      </c>
      <c r="BI50" s="152">
        <v>4.2000000000000003E-2</v>
      </c>
      <c r="BJ50" s="152">
        <v>4.2000000000000003E-2</v>
      </c>
      <c r="BK50" s="152">
        <v>4.2000000000000003E-2</v>
      </c>
      <c r="BL50" s="152">
        <v>4.2000000000000003E-2</v>
      </c>
      <c r="BM50" s="152">
        <v>4.3999999999999997E-2</v>
      </c>
      <c r="BN50" s="152">
        <v>4.3999999999999997E-2</v>
      </c>
      <c r="BO50" s="152">
        <v>4.3999999999999997E-2</v>
      </c>
      <c r="BP50" s="152">
        <v>4.3999999999999997E-2</v>
      </c>
      <c r="BQ50" s="152">
        <v>4.3999999999999997E-2</v>
      </c>
      <c r="BR50" s="152">
        <v>4.3999999999999997E-2</v>
      </c>
      <c r="BS50" s="152">
        <v>4.3999999999999997E-2</v>
      </c>
      <c r="BT50" s="152">
        <v>4.3999999999999997E-2</v>
      </c>
      <c r="BU50" s="152"/>
      <c r="BV50" s="152">
        <v>4.5999999999999999E-2</v>
      </c>
      <c r="BW50" s="152">
        <v>4.5999999999999999E-2</v>
      </c>
      <c r="BX50" s="152">
        <v>4.5999999999999999E-2</v>
      </c>
      <c r="BY50" s="152">
        <v>4.5999999999999999E-2</v>
      </c>
      <c r="BZ50" s="152">
        <v>4.9000000000000002E-2</v>
      </c>
      <c r="CA50" s="152">
        <v>4.9000000000000002E-2</v>
      </c>
      <c r="CB50" s="152">
        <v>4.9000000000000002E-2</v>
      </c>
      <c r="CC50" s="152">
        <v>4.7E-2</v>
      </c>
      <c r="CD50" s="152">
        <v>4.7E-2</v>
      </c>
      <c r="CE50" s="152">
        <v>4.7E-2</v>
      </c>
      <c r="CF50" s="152">
        <v>4.7E-2</v>
      </c>
      <c r="CG50" s="152">
        <v>3.9834000000000001E-2</v>
      </c>
      <c r="CH50" s="152">
        <v>3.9857999999999998E-2</v>
      </c>
      <c r="CI50" s="152">
        <v>4.0039999999999999E-2</v>
      </c>
      <c r="CJ50" s="152">
        <v>4.0182000000000002E-2</v>
      </c>
      <c r="CK50" s="152">
        <v>4.0393999999999999E-2</v>
      </c>
      <c r="CL50" s="152">
        <v>4.0436E-2</v>
      </c>
      <c r="CM50" s="152">
        <v>4.0432000000000003E-2</v>
      </c>
      <c r="CN50" s="152">
        <v>4.0429E-2</v>
      </c>
      <c r="CO50" s="152">
        <v>4.0429E-2</v>
      </c>
      <c r="CP50" s="152">
        <v>4.0266999999999997E-2</v>
      </c>
      <c r="CQ50" s="152">
        <v>4.0224000000000003E-2</v>
      </c>
      <c r="CR50" s="152">
        <v>4.0211999999999998E-2</v>
      </c>
      <c r="CS50" s="152">
        <v>4.0268999999999999E-2</v>
      </c>
      <c r="CT50" s="152">
        <v>4.0170999999999998E-2</v>
      </c>
      <c r="CU50" s="196">
        <v>4.0170999999999998E-2</v>
      </c>
      <c r="CV50" s="196">
        <v>3.9972000000000001E-2</v>
      </c>
      <c r="CW50" s="196">
        <v>4.0080999999999999E-2</v>
      </c>
      <c r="CX50" s="196">
        <v>4.0076000000000001E-2</v>
      </c>
      <c r="CY50" s="196">
        <v>4.0051999999999997E-2</v>
      </c>
      <c r="CZ50" s="196">
        <v>4.0051999999999997E-2</v>
      </c>
      <c r="DA50" s="196">
        <v>4.0264000000000001E-2</v>
      </c>
      <c r="DB50" s="196">
        <v>4.0432000000000003E-2</v>
      </c>
      <c r="DC50" s="196">
        <v>4.0070000000000001E-2</v>
      </c>
      <c r="DD50" s="196">
        <v>4.0070000000000001E-2</v>
      </c>
      <c r="DE50" s="196">
        <v>4.0161000000000002E-2</v>
      </c>
      <c r="DF50" s="196">
        <v>4.0064000000000002E-2</v>
      </c>
      <c r="DG50" s="196">
        <v>4.0246999999999998E-2</v>
      </c>
      <c r="DH50" s="196">
        <v>3.9979000000000001E-2</v>
      </c>
      <c r="DI50" s="196">
        <v>4.0233999999999999E-2</v>
      </c>
      <c r="DJ50" s="196">
        <v>4.0273000000000003E-2</v>
      </c>
      <c r="DK50" s="196">
        <v>4.0479000000000001E-2</v>
      </c>
      <c r="DL50" s="196">
        <v>4.0745999999999997E-2</v>
      </c>
      <c r="DM50" s="196">
        <v>4.0861000000000001E-2</v>
      </c>
      <c r="DN50" s="196">
        <v>4.0762E-2</v>
      </c>
      <c r="DO50" s="196">
        <v>4.0882000000000002E-2</v>
      </c>
      <c r="DP50" s="196">
        <v>4.0708000000000001E-2</v>
      </c>
      <c r="DQ50" s="196">
        <v>4.0902000000000001E-2</v>
      </c>
      <c r="DR50" s="196">
        <v>4.0656999999999999E-2</v>
      </c>
      <c r="DS50" s="196">
        <v>4.0828000000000003E-2</v>
      </c>
      <c r="DT50" s="196">
        <v>4.0795999999999999E-2</v>
      </c>
      <c r="DU50" s="196">
        <v>4.0967999999999997E-2</v>
      </c>
      <c r="DV50" s="196">
        <v>4.1258000000000003E-2</v>
      </c>
      <c r="DW50" s="196">
        <v>4.0998E-2</v>
      </c>
      <c r="DX50" s="196">
        <v>4.0969999999999999E-2</v>
      </c>
      <c r="DY50" s="196">
        <v>4.1082E-2</v>
      </c>
      <c r="DZ50" s="196">
        <v>4.0911000000000003E-2</v>
      </c>
      <c r="EA50" s="196">
        <v>4.1174000000000002E-2</v>
      </c>
      <c r="EB50" s="196">
        <v>4.0772999999999997E-2</v>
      </c>
      <c r="EC50" s="196">
        <v>4.0717999999999997E-2</v>
      </c>
      <c r="ED50" s="196">
        <v>4.0698999999999999E-2</v>
      </c>
      <c r="EE50" s="196">
        <v>4.0663999999999999E-2</v>
      </c>
      <c r="EF50" s="196">
        <v>4.0573999999999999E-2</v>
      </c>
      <c r="EG50" s="196">
        <v>2.3473999999999998E-2</v>
      </c>
      <c r="EH50" s="196">
        <v>2.5189E-2</v>
      </c>
      <c r="EI50" s="196">
        <v>2.4671999999999999E-2</v>
      </c>
      <c r="EJ50" s="196">
        <v>1.9238999999999999E-2</v>
      </c>
      <c r="EK50" s="196">
        <v>2.4469000000000001E-2</v>
      </c>
      <c r="EL50" s="196">
        <v>3.8509000000000002E-2</v>
      </c>
      <c r="EM50" s="196">
        <v>3.7898000000000001E-2</v>
      </c>
      <c r="EN50" s="196">
        <v>3.7721999999999999E-2</v>
      </c>
      <c r="EO50" s="196">
        <v>3.8114000000000002E-2</v>
      </c>
      <c r="EP50" s="196">
        <v>3.7679999999999998E-2</v>
      </c>
      <c r="EQ50" s="196">
        <v>3.7279E-2</v>
      </c>
      <c r="ER50" s="196">
        <v>3.6587000000000001E-2</v>
      </c>
      <c r="ES50" s="196">
        <v>3.6086E-2</v>
      </c>
      <c r="ET50" s="196">
        <v>3.6012000000000002E-2</v>
      </c>
      <c r="EU50" s="196">
        <v>3.5854999999999998E-2</v>
      </c>
      <c r="EV50" s="152">
        <v>3.4299999999999997E-2</v>
      </c>
      <c r="EW50" s="152">
        <v>3.4799999999999998E-2</v>
      </c>
      <c r="EX50" s="196">
        <v>3.6416999999999998E-2</v>
      </c>
      <c r="EY50" s="196">
        <v>3.6062999999999998E-2</v>
      </c>
      <c r="EZ50" s="196">
        <v>3.5109000000000001E-2</v>
      </c>
      <c r="FA50" s="196">
        <v>3.5108E-2</v>
      </c>
      <c r="FB50" s="196">
        <v>3.4570999999999998E-2</v>
      </c>
      <c r="FC50" s="196">
        <v>3.4317E-2</v>
      </c>
      <c r="FD50" s="196">
        <v>3.4035000000000003E-2</v>
      </c>
      <c r="FE50" s="196">
        <v>3.7415999999999998E-2</v>
      </c>
      <c r="FF50" s="196">
        <v>3.3849999999999998E-2</v>
      </c>
      <c r="FG50" s="196">
        <v>3.3375000000000002E-2</v>
      </c>
      <c r="FH50" s="196">
        <v>3.2996999999999999E-2</v>
      </c>
      <c r="FI50" s="196">
        <v>3.2575E-2</v>
      </c>
      <c r="FJ50" s="196">
        <v>3.1317999999999999E-2</v>
      </c>
      <c r="FK50" s="196">
        <v>3.1985E-2</v>
      </c>
      <c r="FL50" s="196">
        <v>3.1489999999999997E-2</v>
      </c>
      <c r="FM50" s="196">
        <v>3.0698E-2</v>
      </c>
      <c r="FN50" s="196">
        <v>2.9753999999999999E-2</v>
      </c>
      <c r="FO50" s="196">
        <v>2.9603000000000001E-2</v>
      </c>
      <c r="FP50" s="196">
        <v>2.8909000000000001E-2</v>
      </c>
      <c r="FQ50" s="196">
        <v>2.7955000000000001E-2</v>
      </c>
      <c r="FR50" s="196">
        <v>2.7050000000000001E-2</v>
      </c>
      <c r="FS50" s="196">
        <v>2.4889999999999999E-2</v>
      </c>
      <c r="FT50" s="196">
        <v>3.9531999999999998E-2</v>
      </c>
      <c r="FU50" s="196">
        <v>3.9636999999999999E-2</v>
      </c>
      <c r="FV50" s="196">
        <v>3.9995000000000003E-2</v>
      </c>
      <c r="FW50" s="196">
        <v>3.9995000000000003E-2</v>
      </c>
      <c r="FX50" s="196">
        <v>3.9687E-2</v>
      </c>
      <c r="FY50" s="196">
        <v>3.9386999999999998E-2</v>
      </c>
      <c r="FZ50" s="196">
        <v>3.9203000000000002E-2</v>
      </c>
      <c r="GA50" s="196">
        <v>3.9543000000000002E-2</v>
      </c>
      <c r="GB50" s="196">
        <v>2.4671999999999999E-2</v>
      </c>
      <c r="GC50" s="196">
        <v>2.4671999999999999E-2</v>
      </c>
      <c r="GD50" s="196">
        <v>2.4671999999999999E-2</v>
      </c>
      <c r="GE50" s="196">
        <v>2.4671999999999999E-2</v>
      </c>
      <c r="GF50" s="196">
        <v>2.4671999999999999E-2</v>
      </c>
      <c r="GG50" s="196">
        <v>2.4671999999999999E-2</v>
      </c>
      <c r="GH50" s="196">
        <v>2.4671999999999999E-2</v>
      </c>
      <c r="GI50" s="196">
        <v>2.4671999999999999E-2</v>
      </c>
      <c r="GJ50" s="196">
        <v>2.4671999999999999E-2</v>
      </c>
      <c r="GK50" s="196">
        <v>2.4671999999999999E-2</v>
      </c>
      <c r="GL50" s="196">
        <v>2.4671999999999999E-2</v>
      </c>
      <c r="GM50" s="196">
        <v>2.4671999999999999E-2</v>
      </c>
      <c r="GN50" s="196">
        <v>2.4671999999999999E-2</v>
      </c>
      <c r="GO50" s="196">
        <v>2.4671999999999999E-2</v>
      </c>
      <c r="GP50" s="196">
        <v>2.4671999999999999E-2</v>
      </c>
      <c r="GQ50" s="196">
        <v>2.4671999999999999E-2</v>
      </c>
      <c r="GR50" s="196">
        <v>2.4671999999999999E-2</v>
      </c>
      <c r="GS50" s="196">
        <v>2.4671999999999999E-2</v>
      </c>
      <c r="GT50" s="196">
        <v>2.4671999999999999E-2</v>
      </c>
      <c r="GU50" s="196">
        <v>2.4671999999999999E-2</v>
      </c>
      <c r="GV50" s="196">
        <v>2.4671999999999999E-2</v>
      </c>
      <c r="GW50" s="196">
        <v>2.4671999999999999E-2</v>
      </c>
      <c r="GX50" s="196">
        <v>2.4671999999999999E-2</v>
      </c>
      <c r="GY50" s="196">
        <v>2.4671999999999999E-2</v>
      </c>
      <c r="GZ50" s="196">
        <v>2.4671999999999999E-2</v>
      </c>
      <c r="HA50" s="196">
        <v>2.4671999999999999E-2</v>
      </c>
      <c r="HB50" s="196">
        <v>2.4671999999999999E-2</v>
      </c>
      <c r="HC50" s="196">
        <v>2.4671999999999999E-2</v>
      </c>
      <c r="HD50" s="196">
        <v>2.4671999999999999E-2</v>
      </c>
      <c r="HE50" s="196">
        <v>2.4671999999999999E-2</v>
      </c>
      <c r="HF50" s="196">
        <v>2.4671999999999999E-2</v>
      </c>
      <c r="HG50" s="196">
        <v>2.4671999999999999E-2</v>
      </c>
      <c r="HH50" s="196">
        <v>2.4671999999999999E-2</v>
      </c>
      <c r="HI50" s="196">
        <v>2.4671999999999999E-2</v>
      </c>
      <c r="HJ50" s="196">
        <v>2.4671999999999999E-2</v>
      </c>
      <c r="HK50" s="196">
        <v>2.4671999999999999E-2</v>
      </c>
      <c r="HL50" s="196">
        <v>2.4671999999999999E-2</v>
      </c>
      <c r="HM50" s="196">
        <v>2.4671999999999999E-2</v>
      </c>
      <c r="HN50" s="41">
        <f>$D50-$E50</f>
        <v>0</v>
      </c>
      <c r="HO50" s="195" t="s">
        <v>303</v>
      </c>
      <c r="HT50" s="103"/>
      <c r="HU50" s="103"/>
      <c r="HV50" s="103"/>
      <c r="HW50" s="103"/>
      <c r="HX50" s="103"/>
      <c r="HY50" s="103"/>
      <c r="HZ50" s="103"/>
      <c r="IA50" s="103"/>
      <c r="IB50" s="103"/>
      <c r="IC50" s="103"/>
      <c r="ID50" s="103"/>
      <c r="IE50" s="103"/>
      <c r="IF50" s="103"/>
      <c r="IG50" s="103"/>
      <c r="IH50" s="103"/>
      <c r="II50" s="103"/>
      <c r="IJ50" s="103"/>
      <c r="IK50" s="103"/>
      <c r="IL50" s="103"/>
      <c r="IM50" s="103"/>
      <c r="IN50" s="103"/>
      <c r="IO50" s="103"/>
      <c r="IP50" s="103"/>
      <c r="IQ50" s="103"/>
      <c r="IR50" s="103"/>
      <c r="IS50" s="103"/>
      <c r="IT50" s="103"/>
      <c r="IU50" s="103"/>
      <c r="IV50" s="103"/>
      <c r="IW50" s="103"/>
      <c r="IX50" s="103"/>
      <c r="IY50" s="103"/>
      <c r="IZ50" s="103"/>
      <c r="JA50" s="103"/>
      <c r="JB50" s="103"/>
      <c r="JC50" s="103"/>
      <c r="JD50" s="103"/>
      <c r="JE50" s="103"/>
      <c r="JF50" s="103"/>
      <c r="JG50" s="103"/>
      <c r="JH50" s="103"/>
      <c r="JI50" s="103"/>
      <c r="JJ50" s="103"/>
      <c r="JK50" s="103"/>
      <c r="JL50" s="103"/>
      <c r="JM50" s="103"/>
      <c r="JN50" s="103"/>
      <c r="JO50" s="103"/>
      <c r="JP50" s="103"/>
      <c r="JQ50" s="103"/>
      <c r="JR50" s="103"/>
      <c r="JS50" s="103"/>
      <c r="JT50" s="103"/>
      <c r="JU50" s="103"/>
      <c r="JV50" s="103"/>
      <c r="JW50" s="103"/>
      <c r="JX50" s="103"/>
      <c r="JY50" s="103"/>
      <c r="JZ50" s="103"/>
      <c r="KA50" s="103"/>
      <c r="KB50" s="103"/>
      <c r="KC50" s="103"/>
      <c r="KD50" s="103"/>
      <c r="KE50" s="103"/>
      <c r="KF50" s="103"/>
      <c r="KG50" s="103"/>
      <c r="KH50" s="103"/>
      <c r="KI50" s="103"/>
      <c r="KJ50" s="103"/>
      <c r="KK50" s="103"/>
      <c r="KL50" s="103"/>
      <c r="KM50" s="103"/>
      <c r="KN50" s="103"/>
      <c r="KO50" s="103"/>
      <c r="KP50" s="103"/>
      <c r="KQ50" s="103"/>
      <c r="KR50" s="103"/>
      <c r="KS50" s="103"/>
      <c r="KT50" s="103"/>
      <c r="KU50" s="103"/>
      <c r="KV50" s="103"/>
      <c r="KW50" s="103"/>
      <c r="KX50" s="103"/>
      <c r="KY50" s="103"/>
      <c r="KZ50" s="103"/>
      <c r="LA50" s="103"/>
      <c r="LB50" s="103"/>
      <c r="LC50" s="103"/>
      <c r="LD50" s="103"/>
      <c r="LE50" s="103"/>
      <c r="LF50" s="103"/>
      <c r="LG50" s="103"/>
      <c r="LH50" s="103"/>
      <c r="LI50" s="103"/>
      <c r="LJ50" s="103"/>
      <c r="LK50" s="103"/>
      <c r="LL50" s="103"/>
      <c r="LM50" s="103"/>
    </row>
    <row r="51" spans="2:325">
      <c r="B51" s="1074"/>
      <c r="C51" s="169" t="s">
        <v>790</v>
      </c>
      <c r="D51" s="809">
        <v>3.6999999999999998E-2</v>
      </c>
      <c r="E51" s="809">
        <v>3.6999999999999998E-2</v>
      </c>
      <c r="F51" s="809">
        <v>3.6499999999999998E-2</v>
      </c>
      <c r="G51" s="809"/>
      <c r="H51" s="168">
        <v>3.7499999999999999E-2</v>
      </c>
      <c r="I51" s="167"/>
      <c r="J51" s="168"/>
      <c r="K51" s="168">
        <v>3.9E-2</v>
      </c>
      <c r="L51" s="168">
        <v>3.7999999999999999E-2</v>
      </c>
      <c r="M51" s="167">
        <v>3.9E-2</v>
      </c>
      <c r="N51" s="168">
        <v>3.9E-2</v>
      </c>
      <c r="O51" s="167">
        <v>0.04</v>
      </c>
      <c r="P51" s="167">
        <v>0.04</v>
      </c>
      <c r="Q51" s="167">
        <v>0.04</v>
      </c>
      <c r="R51" s="167">
        <v>0.04</v>
      </c>
      <c r="S51" s="167">
        <v>3.6999999999999998E-2</v>
      </c>
      <c r="T51" s="167">
        <v>3.6999999999999998E-2</v>
      </c>
      <c r="U51" s="167">
        <v>3.6999999999999998E-2</v>
      </c>
      <c r="V51" s="167">
        <v>3.6999999999999998E-2</v>
      </c>
      <c r="W51" s="168">
        <v>3.6999999999999998E-2</v>
      </c>
      <c r="X51" s="168">
        <v>3.7999999999999999E-2</v>
      </c>
      <c r="Y51" s="168">
        <v>3.9E-2</v>
      </c>
      <c r="Z51" s="167">
        <v>0.04</v>
      </c>
      <c r="AA51" s="167">
        <v>0.04</v>
      </c>
      <c r="AB51" s="168">
        <v>0.04</v>
      </c>
      <c r="AC51" s="167">
        <v>4.1000000000000002E-2</v>
      </c>
      <c r="AD51" s="167">
        <v>4.1000000000000002E-2</v>
      </c>
      <c r="AE51" s="167">
        <v>4.1000000000000002E-2</v>
      </c>
      <c r="AF51" s="63">
        <v>4.1000000000000002E-2</v>
      </c>
      <c r="AG51" s="63">
        <v>4.1000000000000002E-2</v>
      </c>
      <c r="AH51" s="168">
        <v>4.1000000000000002E-2</v>
      </c>
      <c r="AI51" s="63">
        <v>4.2000000000000003E-2</v>
      </c>
      <c r="AJ51" s="167">
        <v>4.2000000000000003E-2</v>
      </c>
      <c r="AK51" s="63">
        <v>4.2000000000000003E-2</v>
      </c>
      <c r="AL51" s="108">
        <v>4.2000000000000003E-2</v>
      </c>
      <c r="AM51" s="167">
        <v>4.2000000000000003E-2</v>
      </c>
      <c r="AN51" s="152">
        <v>4.2000000000000003E-2</v>
      </c>
      <c r="AO51" s="152">
        <v>4.2000000000000003E-2</v>
      </c>
      <c r="AP51" s="152">
        <v>4.2000000000000003E-2</v>
      </c>
      <c r="AQ51" s="152">
        <v>4.2000000000000003E-2</v>
      </c>
      <c r="AR51" s="152">
        <v>4.2000000000000003E-2</v>
      </c>
      <c r="AS51" s="152">
        <v>4.2000000000000003E-2</v>
      </c>
      <c r="AT51" s="152">
        <v>4.2000000000000003E-2</v>
      </c>
      <c r="AU51" s="152">
        <v>4.2000000000000003E-2</v>
      </c>
      <c r="AV51" s="152">
        <v>4.2000000000000003E-2</v>
      </c>
      <c r="AW51" s="152">
        <v>4.2000000000000003E-2</v>
      </c>
      <c r="AX51" s="152">
        <v>4.1000000000000002E-2</v>
      </c>
      <c r="AY51" s="152">
        <v>4.1000000000000002E-2</v>
      </c>
      <c r="AZ51" s="152">
        <v>4.1000000000000002E-2</v>
      </c>
      <c r="BA51" s="152">
        <v>4.1000000000000002E-2</v>
      </c>
      <c r="BB51" s="107">
        <v>4.1000000000000002E-2</v>
      </c>
      <c r="BC51" s="152">
        <v>4.3999999999999997E-2</v>
      </c>
      <c r="BD51" s="152">
        <v>4.3999999999999997E-2</v>
      </c>
      <c r="BE51" s="152">
        <v>4.3999999999999997E-2</v>
      </c>
      <c r="BF51" s="152">
        <v>4.2999999999999997E-2</v>
      </c>
      <c r="BG51" s="152">
        <v>4.2999999999999997E-2</v>
      </c>
      <c r="BH51" s="152">
        <v>4.2999999999999997E-2</v>
      </c>
      <c r="BI51" s="152">
        <v>4.2999999999999997E-2</v>
      </c>
      <c r="BJ51" s="152">
        <v>4.2999999999999997E-2</v>
      </c>
      <c r="BK51" s="152">
        <v>4.2999999999999997E-2</v>
      </c>
      <c r="BL51" s="152">
        <v>4.2999999999999997E-2</v>
      </c>
      <c r="BM51" s="152">
        <v>4.4999999999999998E-2</v>
      </c>
      <c r="BN51" s="152">
        <v>4.4999999999999998E-2</v>
      </c>
      <c r="BO51" s="152">
        <v>4.4999999999999998E-2</v>
      </c>
      <c r="BP51" s="152">
        <v>4.4999999999999998E-2</v>
      </c>
      <c r="BQ51" s="152">
        <v>4.4999999999999998E-2</v>
      </c>
      <c r="BR51" s="152">
        <v>4.4999999999999998E-2</v>
      </c>
      <c r="BS51" s="152">
        <v>4.4999999999999998E-2</v>
      </c>
      <c r="BT51" s="152">
        <v>4.4999999999999998E-2</v>
      </c>
      <c r="BU51" s="152"/>
      <c r="BV51" s="152">
        <v>4.7E-2</v>
      </c>
      <c r="BW51" s="152">
        <v>4.7E-2</v>
      </c>
      <c r="BX51" s="152">
        <v>4.7E-2</v>
      </c>
      <c r="BY51" s="152">
        <v>4.7E-2</v>
      </c>
      <c r="BZ51" s="152">
        <v>0.05</v>
      </c>
      <c r="CA51" s="152">
        <v>0.05</v>
      </c>
      <c r="CB51" s="152">
        <v>0.05</v>
      </c>
      <c r="CC51" s="152">
        <v>4.8000000000000001E-2</v>
      </c>
      <c r="CD51" s="152">
        <v>4.8000000000000001E-2</v>
      </c>
      <c r="CE51" s="152">
        <v>4.8000000000000001E-2</v>
      </c>
      <c r="CF51" s="152">
        <v>4.8000000000000001E-2</v>
      </c>
      <c r="CG51" s="152">
        <v>4.0834000000000002E-2</v>
      </c>
      <c r="CH51" s="152">
        <v>4.0857999999999998E-2</v>
      </c>
      <c r="CI51" s="152">
        <v>4.104E-2</v>
      </c>
      <c r="CJ51" s="152">
        <v>4.1182000000000003E-2</v>
      </c>
      <c r="CK51" s="152">
        <v>4.1394E-2</v>
      </c>
      <c r="CL51" s="152">
        <v>4.1436000000000001E-2</v>
      </c>
      <c r="CM51" s="152">
        <v>4.1431999999999997E-2</v>
      </c>
      <c r="CN51" s="152">
        <v>4.1429000000000001E-2</v>
      </c>
      <c r="CO51" s="152">
        <v>4.1429000000000001E-2</v>
      </c>
      <c r="CP51" s="152">
        <v>4.1266999999999998E-2</v>
      </c>
      <c r="CQ51" s="152">
        <v>4.1223999999999997E-2</v>
      </c>
      <c r="CR51" s="152">
        <v>4.1211999999999999E-2</v>
      </c>
      <c r="CS51" s="152">
        <v>4.1267999999999999E-2</v>
      </c>
      <c r="CT51" s="152">
        <v>4.1170999999999999E-2</v>
      </c>
      <c r="CU51" s="196">
        <v>4.1170999999999999E-2</v>
      </c>
      <c r="CV51" s="196">
        <v>4.0972000000000001E-2</v>
      </c>
      <c r="CW51" s="196">
        <v>4.1080999999999999E-2</v>
      </c>
      <c r="CX51" s="196">
        <v>4.1076000000000001E-2</v>
      </c>
      <c r="CY51" s="196">
        <v>4.1051999999999998E-2</v>
      </c>
      <c r="CZ51" s="196">
        <v>4.1051999999999998E-2</v>
      </c>
      <c r="DA51" s="196">
        <v>4.1264000000000002E-2</v>
      </c>
      <c r="DB51" s="196">
        <v>4.1431999999999997E-2</v>
      </c>
      <c r="DC51" s="196">
        <v>4.1070000000000002E-2</v>
      </c>
      <c r="DD51" s="196">
        <v>4.1070000000000002E-2</v>
      </c>
      <c r="DE51" s="196">
        <v>4.1161000000000003E-2</v>
      </c>
      <c r="DF51" s="196">
        <v>4.1064000000000003E-2</v>
      </c>
      <c r="DG51" s="196">
        <v>4.1246999999999999E-2</v>
      </c>
      <c r="DH51" s="196">
        <v>4.0979000000000002E-2</v>
      </c>
      <c r="DI51" s="196">
        <v>4.1234E-2</v>
      </c>
      <c r="DJ51" s="196">
        <v>4.1272999999999997E-2</v>
      </c>
      <c r="DK51" s="196">
        <v>4.1479000000000002E-2</v>
      </c>
      <c r="DL51" s="196">
        <v>4.1745999999999998E-2</v>
      </c>
      <c r="DM51" s="196">
        <v>4.1861000000000002E-2</v>
      </c>
      <c r="DN51" s="196">
        <v>4.1762000000000001E-2</v>
      </c>
      <c r="DO51" s="196">
        <v>4.1882000000000003E-2</v>
      </c>
      <c r="DP51" s="196">
        <v>4.1708000000000002E-2</v>
      </c>
      <c r="DQ51" s="196">
        <v>4.1902000000000002E-2</v>
      </c>
      <c r="DR51" s="196">
        <v>4.1657E-2</v>
      </c>
      <c r="DS51" s="196">
        <v>4.1827999999999997E-2</v>
      </c>
      <c r="DT51" s="196">
        <v>4.1796E-2</v>
      </c>
      <c r="DU51" s="196">
        <v>4.1967999999999998E-2</v>
      </c>
      <c r="DV51" s="196">
        <v>4.2257999999999997E-2</v>
      </c>
      <c r="DW51" s="196">
        <v>4.1998000000000001E-2</v>
      </c>
      <c r="DX51" s="196">
        <v>4.197E-2</v>
      </c>
      <c r="DY51" s="196">
        <v>4.2082000000000001E-2</v>
      </c>
      <c r="DZ51" s="196">
        <v>4.1910999999999997E-2</v>
      </c>
      <c r="EA51" s="196">
        <v>4.2174000000000003E-2</v>
      </c>
      <c r="EB51" s="196">
        <v>4.1772999999999998E-2</v>
      </c>
      <c r="EC51" s="196">
        <v>4.1717999999999998E-2</v>
      </c>
      <c r="ED51" s="196">
        <v>4.1699E-2</v>
      </c>
      <c r="EE51" s="196">
        <v>4.1664E-2</v>
      </c>
      <c r="EF51" s="196">
        <v>4.1574E-2</v>
      </c>
      <c r="EG51" s="196">
        <v>2.4473999999999999E-2</v>
      </c>
      <c r="EH51" s="196">
        <v>2.6190000000000001E-2</v>
      </c>
      <c r="EI51" s="196">
        <v>2.5672E-2</v>
      </c>
      <c r="EJ51" s="196">
        <v>2.0239E-2</v>
      </c>
      <c r="EK51" s="196">
        <v>2.5468999999999999E-2</v>
      </c>
      <c r="EL51" s="196">
        <v>3.9509000000000002E-2</v>
      </c>
      <c r="EM51" s="196">
        <v>3.8897000000000001E-2</v>
      </c>
      <c r="EN51" s="196">
        <v>3.8721999999999999E-2</v>
      </c>
      <c r="EO51" s="196">
        <v>3.9114000000000003E-2</v>
      </c>
      <c r="EP51" s="196">
        <v>3.8679999999999999E-2</v>
      </c>
      <c r="EQ51" s="196">
        <v>3.8279000000000001E-2</v>
      </c>
      <c r="ER51" s="196">
        <v>3.7587000000000002E-2</v>
      </c>
      <c r="ES51" s="196">
        <v>3.7086000000000001E-2</v>
      </c>
      <c r="ET51" s="196">
        <v>3.7012000000000003E-2</v>
      </c>
      <c r="EU51" s="196">
        <v>3.6854999999999999E-2</v>
      </c>
      <c r="EV51" s="152">
        <v>3.5299999999999998E-2</v>
      </c>
      <c r="EW51" s="152">
        <v>3.5799999999999998E-2</v>
      </c>
      <c r="EX51" s="196">
        <v>3.7416999999999999E-2</v>
      </c>
      <c r="EY51" s="196">
        <v>3.7062999999999999E-2</v>
      </c>
      <c r="EZ51" s="196">
        <v>3.6109000000000002E-2</v>
      </c>
      <c r="FA51" s="196">
        <v>3.6108000000000001E-2</v>
      </c>
      <c r="FB51" s="196">
        <v>3.5570999999999998E-2</v>
      </c>
      <c r="FC51" s="196">
        <v>3.5317000000000001E-2</v>
      </c>
      <c r="FD51" s="196">
        <v>3.5034999999999997E-2</v>
      </c>
      <c r="FE51" s="196">
        <v>3.8415999999999999E-2</v>
      </c>
      <c r="FF51" s="196">
        <v>3.4849999999999999E-2</v>
      </c>
      <c r="FG51" s="196">
        <v>3.4375000000000003E-2</v>
      </c>
      <c r="FH51" s="196">
        <v>3.3996999999999999E-2</v>
      </c>
      <c r="FI51" s="196">
        <v>3.3575000000000001E-2</v>
      </c>
      <c r="FJ51" s="196">
        <v>3.2318E-2</v>
      </c>
      <c r="FK51" s="196">
        <v>3.2985E-2</v>
      </c>
      <c r="FL51" s="196">
        <v>3.2489999999999998E-2</v>
      </c>
      <c r="FM51" s="196">
        <v>3.1697999999999997E-2</v>
      </c>
      <c r="FN51" s="196">
        <v>3.0754E-2</v>
      </c>
      <c r="FO51" s="196">
        <v>3.0603000000000002E-2</v>
      </c>
      <c r="FP51" s="196">
        <v>2.9909000000000002E-2</v>
      </c>
      <c r="FQ51" s="196">
        <v>2.8955000000000002E-2</v>
      </c>
      <c r="FR51" s="196">
        <v>2.8049999999999999E-2</v>
      </c>
      <c r="FS51" s="196">
        <v>2.589E-2</v>
      </c>
      <c r="FT51" s="196">
        <v>4.0531999999999999E-2</v>
      </c>
      <c r="FU51" s="196">
        <v>4.0637E-2</v>
      </c>
      <c r="FV51" s="196">
        <v>4.0994999999999997E-2</v>
      </c>
      <c r="FW51" s="196">
        <v>4.0994999999999997E-2</v>
      </c>
      <c r="FX51" s="196">
        <v>4.0687000000000001E-2</v>
      </c>
      <c r="FY51" s="196">
        <v>4.0386999999999999E-2</v>
      </c>
      <c r="FZ51" s="196">
        <v>4.0203000000000003E-2</v>
      </c>
      <c r="GA51" s="196">
        <v>4.0543000000000003E-2</v>
      </c>
      <c r="GB51" s="196">
        <v>2.5672E-2</v>
      </c>
      <c r="GC51" s="196">
        <v>2.5672E-2</v>
      </c>
      <c r="GD51" s="196">
        <v>2.5672E-2</v>
      </c>
      <c r="GE51" s="196">
        <v>2.5672E-2</v>
      </c>
      <c r="GF51" s="196">
        <v>2.5672E-2</v>
      </c>
      <c r="GG51" s="196">
        <v>2.5672E-2</v>
      </c>
      <c r="GH51" s="196">
        <v>2.5672E-2</v>
      </c>
      <c r="GI51" s="196">
        <v>2.5672E-2</v>
      </c>
      <c r="GJ51" s="196">
        <v>2.5672E-2</v>
      </c>
      <c r="GK51" s="196">
        <v>2.5672E-2</v>
      </c>
      <c r="GL51" s="196">
        <v>2.5672E-2</v>
      </c>
      <c r="GM51" s="196">
        <v>2.5672E-2</v>
      </c>
      <c r="GN51" s="196">
        <v>2.5672E-2</v>
      </c>
      <c r="GO51" s="196">
        <v>2.5672E-2</v>
      </c>
      <c r="GP51" s="196">
        <v>2.5672E-2</v>
      </c>
      <c r="GQ51" s="196">
        <v>2.5672E-2</v>
      </c>
      <c r="GR51" s="196">
        <v>2.5672E-2</v>
      </c>
      <c r="GS51" s="196">
        <v>2.5672E-2</v>
      </c>
      <c r="GT51" s="196">
        <v>2.5672E-2</v>
      </c>
      <c r="GU51" s="196">
        <v>2.5672E-2</v>
      </c>
      <c r="GV51" s="196">
        <v>2.5672E-2</v>
      </c>
      <c r="GW51" s="196">
        <v>2.5672E-2</v>
      </c>
      <c r="GX51" s="196">
        <v>2.5672E-2</v>
      </c>
      <c r="GY51" s="196">
        <v>2.5672E-2</v>
      </c>
      <c r="GZ51" s="196">
        <v>2.5672E-2</v>
      </c>
      <c r="HA51" s="196">
        <v>2.5672E-2</v>
      </c>
      <c r="HB51" s="196">
        <v>2.5672E-2</v>
      </c>
      <c r="HC51" s="196">
        <v>2.5672E-2</v>
      </c>
      <c r="HD51" s="196">
        <v>2.5672E-2</v>
      </c>
      <c r="HE51" s="196">
        <v>2.5672E-2</v>
      </c>
      <c r="HF51" s="196">
        <v>2.5672E-2</v>
      </c>
      <c r="HG51" s="196">
        <v>2.5672E-2</v>
      </c>
      <c r="HH51" s="196">
        <v>2.5672E-2</v>
      </c>
      <c r="HI51" s="196">
        <v>2.5672E-2</v>
      </c>
      <c r="HJ51" s="196">
        <v>2.5672E-2</v>
      </c>
      <c r="HK51" s="196">
        <v>2.5672E-2</v>
      </c>
      <c r="HL51" s="196">
        <v>2.5672E-2</v>
      </c>
      <c r="HM51" s="196">
        <v>2.5672E-2</v>
      </c>
      <c r="HN51" s="41">
        <f>$D51-$E51</f>
        <v>0</v>
      </c>
      <c r="HO51" s="195" t="s">
        <v>302</v>
      </c>
      <c r="HT51" s="103"/>
      <c r="HU51" s="103"/>
      <c r="HV51" s="103"/>
      <c r="HW51" s="103"/>
      <c r="HX51" s="103"/>
      <c r="HY51" s="103"/>
      <c r="HZ51" s="103"/>
      <c r="IA51" s="103"/>
      <c r="IB51" s="103"/>
      <c r="IC51" s="103"/>
      <c r="ID51" s="103"/>
      <c r="IE51" s="103"/>
      <c r="IF51" s="103"/>
      <c r="IG51" s="103"/>
      <c r="IH51" s="103"/>
      <c r="II51" s="103"/>
      <c r="IJ51" s="103"/>
      <c r="IK51" s="103"/>
      <c r="IL51" s="103"/>
      <c r="IM51" s="103"/>
      <c r="IN51" s="103"/>
      <c r="IO51" s="103"/>
      <c r="IP51" s="103"/>
      <c r="IQ51" s="103"/>
      <c r="IR51" s="103"/>
      <c r="IS51" s="103"/>
      <c r="IT51" s="103"/>
      <c r="IU51" s="103"/>
      <c r="IV51" s="103"/>
      <c r="IW51" s="103"/>
      <c r="IX51" s="103"/>
      <c r="IY51" s="103"/>
      <c r="IZ51" s="103"/>
      <c r="JA51" s="103"/>
      <c r="JB51" s="103"/>
      <c r="JC51" s="103"/>
      <c r="JD51" s="103"/>
      <c r="JE51" s="103"/>
      <c r="JF51" s="103"/>
      <c r="JG51" s="103"/>
      <c r="JH51" s="103"/>
      <c r="JI51" s="103"/>
      <c r="JJ51" s="103"/>
      <c r="JK51" s="103"/>
      <c r="JL51" s="103"/>
      <c r="JM51" s="103"/>
      <c r="JN51" s="103"/>
      <c r="JO51" s="103"/>
      <c r="JP51" s="103"/>
      <c r="JQ51" s="103"/>
      <c r="JR51" s="103"/>
      <c r="JS51" s="103"/>
      <c r="JT51" s="103"/>
      <c r="JU51" s="103"/>
      <c r="JV51" s="103"/>
      <c r="JW51" s="103"/>
      <c r="JX51" s="103"/>
      <c r="JY51" s="103"/>
      <c r="JZ51" s="103"/>
      <c r="KA51" s="103"/>
      <c r="KB51" s="103"/>
      <c r="KC51" s="103"/>
      <c r="KD51" s="103"/>
      <c r="KE51" s="103"/>
      <c r="KF51" s="103"/>
      <c r="KG51" s="103"/>
      <c r="KH51" s="103"/>
      <c r="KI51" s="103"/>
      <c r="KJ51" s="103"/>
      <c r="KK51" s="103"/>
      <c r="KL51" s="103"/>
      <c r="KM51" s="103"/>
      <c r="KN51" s="103"/>
      <c r="KO51" s="103"/>
      <c r="KP51" s="103"/>
      <c r="KQ51" s="103"/>
      <c r="KR51" s="103"/>
      <c r="KS51" s="103"/>
      <c r="KT51" s="103"/>
      <c r="KU51" s="103"/>
      <c r="KV51" s="103"/>
      <c r="KW51" s="103"/>
      <c r="KX51" s="103"/>
      <c r="KY51" s="103"/>
      <c r="KZ51" s="103"/>
      <c r="LA51" s="103"/>
      <c r="LB51" s="103"/>
      <c r="LC51" s="103"/>
      <c r="LD51" s="103"/>
      <c r="LE51" s="103"/>
      <c r="LF51" s="103"/>
      <c r="LG51" s="103"/>
      <c r="LH51" s="103"/>
      <c r="LI51" s="103"/>
      <c r="LJ51" s="103"/>
      <c r="LK51" s="103"/>
      <c r="LL51" s="103"/>
      <c r="LM51" s="103"/>
    </row>
    <row r="52" spans="2:325">
      <c r="B52" s="103"/>
      <c r="C52" s="103"/>
      <c r="D52" s="103"/>
      <c r="E52" s="103"/>
      <c r="F52" s="103"/>
      <c r="G52" s="103"/>
      <c r="H52" s="103"/>
      <c r="I52" s="103"/>
      <c r="J52" s="103"/>
      <c r="K52" s="103"/>
      <c r="L52" s="103"/>
      <c r="M52" s="103"/>
      <c r="N52" s="103"/>
      <c r="O52" s="103"/>
      <c r="P52" s="103"/>
      <c r="Q52" s="103"/>
      <c r="R52" s="103"/>
      <c r="S52" s="103"/>
      <c r="T52" s="103"/>
      <c r="U52" s="103"/>
      <c r="V52" s="103"/>
      <c r="W52" s="103"/>
      <c r="X52" s="103"/>
      <c r="Y52" s="103"/>
      <c r="Z52" s="103"/>
      <c r="AA52" s="103"/>
      <c r="AB52" s="103"/>
      <c r="AC52" s="103"/>
      <c r="AD52" s="103"/>
      <c r="AE52" s="103"/>
      <c r="AF52" s="103"/>
      <c r="AG52" s="103"/>
      <c r="AH52" s="103"/>
      <c r="AI52" s="103"/>
      <c r="AJ52" s="103"/>
      <c r="AK52" s="103"/>
      <c r="AL52" s="103"/>
      <c r="AM52" s="103"/>
      <c r="AN52" s="103"/>
      <c r="AO52" s="103"/>
      <c r="AP52" s="103"/>
      <c r="AQ52" s="103"/>
      <c r="AR52" s="103"/>
      <c r="AS52" s="103"/>
      <c r="AT52" s="103"/>
      <c r="AU52" s="103"/>
      <c r="AV52" s="103"/>
      <c r="AW52" s="103"/>
      <c r="AX52" s="103"/>
      <c r="AY52" s="103"/>
      <c r="AZ52" s="103"/>
      <c r="BA52" s="103"/>
      <c r="BB52" s="103"/>
      <c r="BC52" s="103"/>
      <c r="BD52" s="103"/>
      <c r="BE52" s="103"/>
      <c r="BF52" s="103"/>
      <c r="BG52" s="103"/>
      <c r="BH52" s="103"/>
      <c r="BI52" s="103"/>
      <c r="BJ52" s="103"/>
      <c r="BK52" s="103"/>
      <c r="BL52" s="103"/>
      <c r="BM52" s="103"/>
      <c r="BN52" s="103"/>
      <c r="BO52" s="103"/>
      <c r="BP52" s="103"/>
      <c r="BQ52" s="103"/>
      <c r="BR52" s="103"/>
      <c r="BS52" s="103"/>
      <c r="BT52" s="103"/>
      <c r="BU52" s="103"/>
      <c r="BV52" s="103"/>
      <c r="BW52" s="103"/>
      <c r="BX52" s="103"/>
      <c r="BY52" s="103"/>
      <c r="BZ52" s="103"/>
      <c r="CA52" s="103"/>
      <c r="CB52" s="103"/>
      <c r="CC52" s="103"/>
      <c r="CD52" s="103"/>
      <c r="CE52" s="103"/>
      <c r="CF52" s="103"/>
      <c r="CG52" s="103"/>
      <c r="CH52" s="103"/>
      <c r="CI52" s="103"/>
      <c r="CJ52" s="103"/>
      <c r="CK52" s="103"/>
      <c r="CL52" s="103"/>
      <c r="CM52" s="103"/>
      <c r="CN52" s="103"/>
      <c r="CO52" s="103"/>
      <c r="CP52" s="103"/>
      <c r="CQ52" s="103"/>
      <c r="CR52" s="103"/>
      <c r="CS52" s="103"/>
      <c r="CT52" s="103"/>
      <c r="CU52" s="103"/>
      <c r="CV52" s="103"/>
      <c r="CW52" s="103"/>
      <c r="CX52" s="103"/>
      <c r="CY52" s="103"/>
      <c r="CZ52" s="103"/>
      <c r="DA52" s="103"/>
      <c r="DB52" s="103"/>
      <c r="DC52" s="103"/>
      <c r="DD52" s="103"/>
      <c r="DE52" s="103"/>
      <c r="DF52" s="103"/>
      <c r="DG52" s="103"/>
      <c r="DH52" s="103"/>
      <c r="DI52" s="103"/>
      <c r="DJ52" s="103"/>
      <c r="DK52" s="103"/>
      <c r="DL52" s="103"/>
      <c r="DM52" s="103"/>
      <c r="DN52" s="103"/>
      <c r="DO52" s="103"/>
      <c r="DP52" s="103"/>
      <c r="DQ52" s="103"/>
      <c r="DR52" s="103"/>
      <c r="DS52" s="103"/>
      <c r="DT52" s="103"/>
      <c r="DU52" s="103"/>
      <c r="DV52" s="103"/>
      <c r="DW52" s="103"/>
      <c r="DX52" s="103"/>
      <c r="DY52" s="103"/>
      <c r="DZ52" s="103"/>
      <c r="EA52" s="103"/>
      <c r="EB52" s="103"/>
      <c r="EC52" s="103"/>
      <c r="ED52" s="103"/>
      <c r="EE52" s="103"/>
      <c r="EF52" s="103"/>
      <c r="EG52" s="103"/>
      <c r="EH52" s="103"/>
      <c r="EI52" s="103"/>
      <c r="EJ52" s="103"/>
      <c r="EK52" s="103"/>
      <c r="EL52" s="103"/>
      <c r="EM52" s="103"/>
      <c r="EN52" s="103"/>
      <c r="EO52" s="103"/>
      <c r="EP52" s="103"/>
      <c r="EQ52" s="103"/>
      <c r="ER52" s="103"/>
      <c r="ES52" s="103"/>
      <c r="ET52" s="103"/>
      <c r="EU52" s="103"/>
      <c r="EV52" s="103"/>
      <c r="EW52" s="103"/>
      <c r="EX52" s="103"/>
      <c r="EY52" s="103"/>
      <c r="EZ52" s="103"/>
      <c r="FA52" s="103"/>
      <c r="FB52" s="103"/>
      <c r="FC52" s="103"/>
      <c r="FD52" s="103"/>
      <c r="FE52" s="103"/>
      <c r="FF52" s="103"/>
      <c r="FG52" s="103"/>
      <c r="FH52" s="103"/>
      <c r="FI52" s="103"/>
      <c r="FJ52" s="103"/>
      <c r="FK52" s="103"/>
      <c r="FL52" s="103"/>
      <c r="FM52" s="103"/>
      <c r="FN52" s="103"/>
      <c r="FO52" s="103"/>
      <c r="FP52" s="103"/>
      <c r="FQ52" s="103"/>
      <c r="FR52" s="103"/>
      <c r="FS52" s="103"/>
      <c r="FT52" s="103"/>
      <c r="FU52" s="103"/>
      <c r="FV52" s="103"/>
      <c r="FW52" s="103"/>
      <c r="FX52" s="103"/>
      <c r="FY52" s="103"/>
      <c r="FZ52" s="103"/>
      <c r="GA52" s="103"/>
      <c r="GB52" s="103"/>
      <c r="GC52" s="103"/>
      <c r="GD52" s="103"/>
      <c r="GE52" s="103"/>
      <c r="GF52" s="103"/>
      <c r="GG52" s="103"/>
      <c r="GH52" s="103"/>
      <c r="GI52" s="103"/>
      <c r="GJ52" s="103"/>
      <c r="GK52" s="103"/>
      <c r="GL52" s="103"/>
      <c r="GM52" s="103"/>
      <c r="GN52" s="103"/>
      <c r="GO52" s="103"/>
      <c r="GP52" s="103"/>
      <c r="GQ52" s="103"/>
      <c r="GR52" s="103"/>
      <c r="GS52" s="103"/>
      <c r="GT52" s="103"/>
      <c r="GU52" s="103"/>
      <c r="GV52" s="103"/>
      <c r="GW52" s="103"/>
      <c r="GX52" s="103"/>
      <c r="GY52" s="103"/>
      <c r="GZ52" s="103"/>
      <c r="HA52" s="103"/>
      <c r="HB52" s="103"/>
      <c r="HC52" s="103"/>
      <c r="HD52" s="103"/>
      <c r="HE52" s="103"/>
      <c r="HF52" s="103"/>
      <c r="HG52" s="103"/>
      <c r="HH52" s="103"/>
      <c r="HI52" s="103"/>
      <c r="HJ52" s="103"/>
      <c r="HK52" s="103"/>
      <c r="HL52" s="103"/>
      <c r="HM52" s="103"/>
      <c r="HN52" s="103"/>
      <c r="HT52" s="103"/>
      <c r="HU52" s="103"/>
      <c r="HV52" s="103"/>
      <c r="HW52" s="103"/>
      <c r="HX52" s="103"/>
      <c r="HY52" s="103"/>
      <c r="HZ52" s="103"/>
      <c r="IA52" s="103"/>
      <c r="IB52" s="103"/>
      <c r="IC52" s="103"/>
      <c r="ID52" s="103"/>
      <c r="IE52" s="103"/>
      <c r="IF52" s="103"/>
      <c r="IG52" s="103"/>
      <c r="IH52" s="103"/>
      <c r="II52" s="103"/>
      <c r="IJ52" s="103"/>
      <c r="IK52" s="103"/>
      <c r="IL52" s="103"/>
      <c r="IM52" s="103"/>
      <c r="IN52" s="103"/>
      <c r="IO52" s="103"/>
      <c r="IP52" s="103"/>
      <c r="IQ52" s="103"/>
      <c r="IR52" s="103"/>
      <c r="IS52" s="103"/>
      <c r="IT52" s="103"/>
      <c r="IU52" s="103"/>
      <c r="IV52" s="103"/>
      <c r="IW52" s="103"/>
      <c r="IX52" s="103"/>
      <c r="IY52" s="103"/>
      <c r="IZ52" s="103"/>
      <c r="JA52" s="103"/>
      <c r="JB52" s="103"/>
      <c r="JC52" s="103"/>
      <c r="JD52" s="103"/>
      <c r="JE52" s="103"/>
      <c r="JF52" s="103"/>
      <c r="JG52" s="103"/>
      <c r="JH52" s="103"/>
      <c r="JI52" s="103"/>
      <c r="JJ52" s="103"/>
      <c r="JK52" s="103"/>
      <c r="JL52" s="103"/>
      <c r="JM52" s="103"/>
      <c r="JN52" s="103"/>
      <c r="JO52" s="103"/>
      <c r="JP52" s="103"/>
      <c r="JQ52" s="103"/>
      <c r="JR52" s="103"/>
      <c r="JS52" s="103"/>
      <c r="JT52" s="103"/>
      <c r="JU52" s="103"/>
      <c r="JV52" s="103"/>
      <c r="JW52" s="103"/>
      <c r="JX52" s="103"/>
      <c r="JY52" s="103"/>
      <c r="JZ52" s="103"/>
      <c r="KA52" s="103"/>
      <c r="KB52" s="103"/>
      <c r="KC52" s="103"/>
      <c r="KD52" s="103"/>
      <c r="KE52" s="103"/>
      <c r="KF52" s="103"/>
      <c r="KG52" s="103"/>
      <c r="KH52" s="103"/>
      <c r="KI52" s="103"/>
      <c r="KJ52" s="103"/>
      <c r="KK52" s="103"/>
      <c r="KL52" s="103"/>
      <c r="KM52" s="103"/>
      <c r="KN52" s="103"/>
      <c r="KO52" s="103"/>
      <c r="KP52" s="103"/>
      <c r="KQ52" s="103"/>
      <c r="KR52" s="103"/>
      <c r="KS52" s="103"/>
      <c r="KT52" s="103"/>
      <c r="KU52" s="103"/>
      <c r="KV52" s="103"/>
      <c r="KW52" s="103"/>
      <c r="KX52" s="103"/>
      <c r="KY52" s="103"/>
      <c r="KZ52" s="103"/>
      <c r="LA52" s="103"/>
      <c r="LB52" s="103"/>
      <c r="LC52" s="103"/>
      <c r="LD52" s="103"/>
      <c r="LE52" s="103"/>
      <c r="LF52" s="103"/>
      <c r="LG52" s="103"/>
      <c r="LH52" s="103"/>
      <c r="LI52" s="103"/>
      <c r="LJ52" s="103"/>
      <c r="LK52" s="103"/>
      <c r="LL52" s="103"/>
      <c r="LM52" s="103"/>
    </row>
    <row r="53" spans="2:325" ht="14.4">
      <c r="B53" s="1071" t="s">
        <v>122</v>
      </c>
      <c r="C53" s="1072"/>
      <c r="D53" s="1072"/>
      <c r="E53" s="1072"/>
      <c r="F53" s="1072"/>
      <c r="G53" s="1072"/>
      <c r="H53" s="1072"/>
      <c r="I53" s="1072"/>
      <c r="J53" s="1072"/>
      <c r="K53" s="1072"/>
      <c r="L53" s="1072"/>
      <c r="M53" s="1072"/>
      <c r="N53" s="1072"/>
      <c r="O53" s="1072"/>
      <c r="P53" s="1072"/>
      <c r="Q53" s="1072"/>
      <c r="R53" s="1072"/>
      <c r="S53" s="1072"/>
      <c r="T53" s="1072"/>
      <c r="U53" s="1072"/>
      <c r="V53" s="1072"/>
      <c r="W53" s="1072"/>
      <c r="X53" s="1072"/>
      <c r="Y53" s="1072"/>
      <c r="Z53" s="1072"/>
      <c r="AA53" s="1072"/>
      <c r="AB53" s="1072"/>
      <c r="AC53" s="1072"/>
      <c r="AD53" s="1072"/>
      <c r="AE53" s="1072"/>
      <c r="AF53" s="1072"/>
      <c r="AG53" s="1072"/>
      <c r="AH53" s="1072"/>
      <c r="AI53" s="1072"/>
      <c r="AJ53" s="1072"/>
      <c r="AK53" s="1072"/>
      <c r="AL53" s="1072"/>
      <c r="AM53" s="1072"/>
      <c r="AN53" s="1072"/>
      <c r="AO53" s="1072"/>
      <c r="AP53" s="1072"/>
      <c r="AQ53" s="1072"/>
      <c r="AR53" s="1072"/>
      <c r="AS53" s="1072"/>
      <c r="AT53" s="1072"/>
      <c r="AU53" s="1072"/>
      <c r="AV53" s="1072"/>
      <c r="AW53" s="1072"/>
      <c r="AX53" s="1072"/>
      <c r="AY53" s="1072"/>
      <c r="AZ53" s="1072"/>
      <c r="BA53" s="1072"/>
      <c r="BB53" s="1072"/>
      <c r="BC53" s="1072"/>
      <c r="BD53" s="1072"/>
      <c r="BE53" s="1072"/>
      <c r="BF53" s="1072"/>
      <c r="BG53" s="1072"/>
      <c r="BH53" s="1072"/>
      <c r="BI53" s="1072"/>
      <c r="BJ53" s="1072"/>
      <c r="BK53" s="1072"/>
      <c r="BL53" s="1072"/>
      <c r="BM53" s="1072"/>
      <c r="BN53" s="1072"/>
      <c r="BO53" s="1072"/>
      <c r="BP53" s="1072"/>
      <c r="BQ53" s="1072"/>
      <c r="BR53" s="1072"/>
      <c r="BS53" s="1072"/>
      <c r="BT53" s="1072"/>
      <c r="BU53" s="1072"/>
      <c r="BV53" s="1072"/>
      <c r="BW53" s="1072"/>
      <c r="BX53" s="1072"/>
      <c r="BY53" s="1072"/>
      <c r="BZ53" s="1072"/>
      <c r="CA53" s="1072"/>
      <c r="CB53" s="1072"/>
      <c r="CC53" s="1072"/>
      <c r="CD53" s="1072"/>
      <c r="CE53" s="1072"/>
      <c r="CF53" s="1072"/>
      <c r="CG53" s="1072"/>
      <c r="CH53" s="1072"/>
      <c r="CI53" s="1072"/>
      <c r="CJ53" s="1072"/>
      <c r="CK53" s="1072"/>
      <c r="CL53" s="1072"/>
      <c r="CM53" s="1072"/>
      <c r="CN53" s="1072"/>
      <c r="CO53" s="1072"/>
      <c r="CP53" s="1072"/>
      <c r="CQ53" s="1072"/>
      <c r="CR53" s="1072"/>
      <c r="CS53" s="1072"/>
      <c r="CT53" s="1072"/>
      <c r="CU53" s="1072"/>
      <c r="CV53" s="1072"/>
      <c r="CW53" s="1072"/>
      <c r="CX53" s="1072"/>
      <c r="CY53" s="1072"/>
      <c r="CZ53" s="1072"/>
      <c r="DA53" s="1072"/>
      <c r="DB53" s="1072"/>
      <c r="DC53" s="1072"/>
      <c r="DD53" s="1072"/>
      <c r="DE53" s="1072"/>
      <c r="DF53" s="1072"/>
      <c r="DG53" s="1072"/>
      <c r="DH53" s="1072"/>
      <c r="DI53" s="1072"/>
      <c r="DJ53" s="1072"/>
      <c r="DK53" s="1072"/>
      <c r="DL53" s="1072"/>
      <c r="DM53" s="1072"/>
      <c r="DN53" s="1072"/>
      <c r="DO53" s="1072"/>
      <c r="DP53" s="1072"/>
      <c r="DQ53" s="1072"/>
      <c r="DR53" s="1072"/>
      <c r="DS53" s="1072"/>
      <c r="DT53" s="1072"/>
      <c r="DU53" s="1072"/>
      <c r="DV53" s="1072"/>
      <c r="DW53" s="1072"/>
      <c r="DX53" s="1072"/>
      <c r="DY53" s="1072"/>
      <c r="DZ53" s="1072"/>
      <c r="EA53" s="1072"/>
      <c r="EB53" s="1072"/>
      <c r="EC53" s="1072"/>
      <c r="ED53" s="1072"/>
      <c r="EE53" s="1072"/>
      <c r="EF53" s="1072"/>
      <c r="EG53" s="1072"/>
      <c r="EH53" s="1072"/>
      <c r="EI53" s="1072"/>
      <c r="EJ53" s="1072"/>
      <c r="EK53" s="1072"/>
      <c r="EL53" s="1072"/>
      <c r="EM53" s="1072"/>
      <c r="EN53" s="1072"/>
      <c r="EO53" s="1072"/>
      <c r="EP53" s="1072"/>
      <c r="EQ53" s="1072"/>
      <c r="ER53" s="1072"/>
      <c r="ES53" s="1072"/>
      <c r="ET53" s="1072"/>
      <c r="EU53" s="1072"/>
      <c r="EV53" s="1072"/>
      <c r="EW53" s="1072"/>
      <c r="EX53" s="1072"/>
      <c r="EY53" s="1072"/>
      <c r="EZ53" s="1072"/>
      <c r="FA53" s="1072"/>
      <c r="FB53" s="1072"/>
      <c r="FC53" s="1072"/>
      <c r="FD53" s="1072"/>
      <c r="FE53" s="1072"/>
      <c r="FF53" s="1072"/>
      <c r="FG53" s="1072"/>
      <c r="FH53" s="1072"/>
      <c r="FI53" s="1072"/>
      <c r="FJ53" s="1072"/>
      <c r="FK53" s="1072"/>
      <c r="FL53" s="1072"/>
      <c r="FM53" s="1072"/>
      <c r="FN53" s="1072"/>
      <c r="FO53" s="1072"/>
      <c r="FP53" s="1072"/>
      <c r="FQ53" s="1072"/>
      <c r="FR53" s="1072"/>
      <c r="FS53" s="1072"/>
      <c r="FT53" s="1072"/>
      <c r="FU53" s="1072"/>
      <c r="FV53" s="1072"/>
      <c r="FW53" s="1072"/>
      <c r="FX53" s="1072"/>
      <c r="FY53" s="1072"/>
      <c r="FZ53" s="1072"/>
      <c r="GA53" s="1072"/>
      <c r="GB53" s="1072"/>
      <c r="GC53" s="1072"/>
      <c r="GD53" s="1072"/>
      <c r="GE53" s="1072"/>
      <c r="GF53" s="1072"/>
      <c r="GG53" s="1072"/>
      <c r="GH53" s="1072"/>
      <c r="GI53" s="1072"/>
      <c r="GJ53" s="1072"/>
      <c r="GK53" s="1072"/>
      <c r="GL53" s="1072"/>
      <c r="GM53" s="1072"/>
      <c r="GN53" s="1072"/>
      <c r="GO53" s="1072"/>
      <c r="GP53" s="1072"/>
      <c r="GQ53" s="1072"/>
      <c r="GR53" s="1072"/>
      <c r="GS53" s="1072"/>
      <c r="GT53" s="1072" t="s">
        <v>225</v>
      </c>
      <c r="GU53" s="1072"/>
      <c r="GV53" s="1072"/>
      <c r="GW53" s="1072"/>
      <c r="GX53" s="1072"/>
      <c r="GY53" s="1072"/>
      <c r="GZ53" s="1072"/>
      <c r="HA53" s="1072"/>
      <c r="HB53" s="1072"/>
      <c r="HC53" s="1072"/>
      <c r="HD53" s="1072"/>
      <c r="HE53" s="1072"/>
      <c r="HF53" s="1072"/>
      <c r="HG53" s="1072"/>
      <c r="HH53" s="1072"/>
      <c r="HI53" s="1072"/>
      <c r="HJ53" s="1072"/>
      <c r="HK53" s="1072"/>
      <c r="HL53" s="1072"/>
      <c r="HM53" s="1072"/>
      <c r="HN53" s="1072"/>
      <c r="HO53" s="1073"/>
      <c r="HT53" s="103"/>
      <c r="HU53" s="103"/>
      <c r="HV53" s="103"/>
      <c r="HW53" s="103"/>
      <c r="HX53" s="103"/>
      <c r="HY53" s="103"/>
      <c r="HZ53" s="103"/>
      <c r="IA53" s="103"/>
      <c r="IB53" s="103"/>
      <c r="IC53" s="103"/>
      <c r="ID53" s="103"/>
      <c r="IE53" s="103"/>
      <c r="IF53" s="103"/>
      <c r="IG53" s="103"/>
      <c r="IH53" s="103"/>
      <c r="II53" s="103"/>
      <c r="IJ53" s="103"/>
      <c r="IK53" s="103"/>
      <c r="IL53" s="103"/>
      <c r="IM53" s="103"/>
      <c r="IN53" s="103"/>
      <c r="IO53" s="103"/>
      <c r="IP53" s="103"/>
      <c r="IQ53" s="103"/>
      <c r="IR53" s="103"/>
      <c r="IS53" s="103"/>
      <c r="IT53" s="103"/>
      <c r="IU53" s="103"/>
      <c r="IV53" s="103"/>
      <c r="IW53" s="103"/>
      <c r="IX53" s="103"/>
      <c r="IY53" s="103"/>
      <c r="IZ53" s="103"/>
      <c r="JA53" s="103"/>
      <c r="JB53" s="103"/>
      <c r="JC53" s="103"/>
      <c r="JD53" s="103"/>
      <c r="JE53" s="103"/>
      <c r="JF53" s="103"/>
      <c r="JG53" s="103"/>
      <c r="JH53" s="103"/>
      <c r="JI53" s="103"/>
      <c r="JJ53" s="103"/>
      <c r="JK53" s="103"/>
      <c r="JL53" s="103"/>
      <c r="JM53" s="103"/>
      <c r="JN53" s="103"/>
      <c r="JO53" s="103"/>
      <c r="JP53" s="103"/>
      <c r="JQ53" s="103"/>
      <c r="JR53" s="103"/>
      <c r="JS53" s="103"/>
      <c r="JT53" s="103"/>
      <c r="JU53" s="103"/>
      <c r="JV53" s="103"/>
      <c r="JW53" s="103"/>
      <c r="JX53" s="103"/>
      <c r="JY53" s="103"/>
      <c r="JZ53" s="103"/>
      <c r="KA53" s="103"/>
      <c r="KB53" s="103"/>
      <c r="KC53" s="103"/>
      <c r="KD53" s="103"/>
      <c r="KE53" s="103"/>
      <c r="KF53" s="103"/>
      <c r="KG53" s="103"/>
      <c r="KH53" s="103"/>
      <c r="KI53" s="103"/>
      <c r="KJ53" s="103"/>
      <c r="KK53" s="103"/>
      <c r="KL53" s="103"/>
      <c r="KM53" s="103"/>
      <c r="KN53" s="103"/>
      <c r="KO53" s="103"/>
      <c r="KP53" s="103"/>
      <c r="KQ53" s="103"/>
      <c r="KR53" s="103"/>
      <c r="KS53" s="103"/>
      <c r="KT53" s="103"/>
      <c r="KU53" s="103"/>
      <c r="KV53" s="103"/>
      <c r="KW53" s="103"/>
      <c r="KX53" s="103"/>
      <c r="KY53" s="103"/>
      <c r="KZ53" s="103"/>
      <c r="LA53" s="103"/>
      <c r="LB53" s="103"/>
      <c r="LC53" s="103"/>
      <c r="LD53" s="103"/>
      <c r="LE53" s="103"/>
      <c r="LF53" s="103"/>
      <c r="LG53" s="103"/>
      <c r="LH53" s="103"/>
      <c r="LI53" s="103"/>
      <c r="LJ53" s="103"/>
      <c r="LK53" s="103"/>
      <c r="LL53" s="103"/>
      <c r="LM53" s="103"/>
    </row>
    <row r="54" spans="2:325" ht="15">
      <c r="B54" s="187" t="s">
        <v>121</v>
      </c>
      <c r="C54" s="187" t="s">
        <v>120</v>
      </c>
      <c r="D54" s="190">
        <f>D4</f>
        <v>46099</v>
      </c>
      <c r="E54" s="190">
        <f>E4</f>
        <v>46092</v>
      </c>
      <c r="F54" s="190">
        <f>F4</f>
        <v>46085</v>
      </c>
      <c r="G54" s="190">
        <f>G4</f>
        <v>46078</v>
      </c>
      <c r="H54" s="190">
        <v>46071</v>
      </c>
      <c r="I54" s="190">
        <f t="shared" ref="I54:AF54" si="12">I4</f>
        <v>46057</v>
      </c>
      <c r="J54" s="190">
        <f t="shared" si="12"/>
        <v>46050</v>
      </c>
      <c r="K54" s="190">
        <f t="shared" si="12"/>
        <v>46043</v>
      </c>
      <c r="L54" s="190">
        <f t="shared" si="12"/>
        <v>46036</v>
      </c>
      <c r="M54" s="190">
        <f t="shared" si="12"/>
        <v>46029</v>
      </c>
      <c r="N54" s="190">
        <f t="shared" si="12"/>
        <v>46022</v>
      </c>
      <c r="O54" s="190">
        <f t="shared" si="12"/>
        <v>46015</v>
      </c>
      <c r="P54" s="190">
        <f t="shared" si="12"/>
        <v>46008</v>
      </c>
      <c r="Q54" s="190">
        <f t="shared" si="12"/>
        <v>46092</v>
      </c>
      <c r="R54" s="190">
        <f t="shared" si="12"/>
        <v>45994</v>
      </c>
      <c r="S54" s="190">
        <f t="shared" si="12"/>
        <v>45987</v>
      </c>
      <c r="T54" s="190">
        <f t="shared" si="12"/>
        <v>45980</v>
      </c>
      <c r="U54" s="190">
        <f t="shared" si="12"/>
        <v>45973</v>
      </c>
      <c r="V54" s="190">
        <f t="shared" si="12"/>
        <v>45966</v>
      </c>
      <c r="W54" s="190">
        <f t="shared" si="12"/>
        <v>45959</v>
      </c>
      <c r="X54" s="190">
        <f t="shared" si="12"/>
        <v>45952</v>
      </c>
      <c r="Y54" s="190">
        <f t="shared" si="12"/>
        <v>45945</v>
      </c>
      <c r="Z54" s="190">
        <f t="shared" si="12"/>
        <v>45938</v>
      </c>
      <c r="AA54" s="190">
        <f t="shared" si="12"/>
        <v>45931</v>
      </c>
      <c r="AB54" s="190">
        <f t="shared" si="12"/>
        <v>45924</v>
      </c>
      <c r="AC54" s="190">
        <f t="shared" si="12"/>
        <v>45917</v>
      </c>
      <c r="AD54" s="190">
        <f t="shared" si="12"/>
        <v>45910</v>
      </c>
      <c r="AE54" s="190">
        <f t="shared" si="12"/>
        <v>45959</v>
      </c>
      <c r="AF54" s="192">
        <f t="shared" si="12"/>
        <v>45896</v>
      </c>
      <c r="AG54" s="192">
        <v>45889</v>
      </c>
      <c r="AH54" s="192">
        <v>45882</v>
      </c>
      <c r="AI54" s="192">
        <v>45875</v>
      </c>
      <c r="AJ54" s="190">
        <v>45868</v>
      </c>
      <c r="AK54" s="192">
        <v>45861</v>
      </c>
      <c r="AL54" s="191">
        <v>45854</v>
      </c>
      <c r="AM54" s="190">
        <v>45847</v>
      </c>
      <c r="AN54" s="190">
        <v>45840</v>
      </c>
      <c r="AO54" s="190">
        <f>AO4</f>
        <v>45833</v>
      </c>
      <c r="AP54" s="190">
        <v>45826</v>
      </c>
      <c r="AQ54" s="190">
        <f t="shared" ref="AQ54:CF54" si="13">AQ4</f>
        <v>45819</v>
      </c>
      <c r="AR54" s="190">
        <f t="shared" si="13"/>
        <v>45812</v>
      </c>
      <c r="AS54" s="190">
        <f t="shared" si="13"/>
        <v>45805</v>
      </c>
      <c r="AT54" s="190">
        <f t="shared" si="13"/>
        <v>45798</v>
      </c>
      <c r="AU54" s="190">
        <f t="shared" si="13"/>
        <v>45792</v>
      </c>
      <c r="AV54" s="190">
        <f t="shared" si="13"/>
        <v>45785</v>
      </c>
      <c r="AW54" s="190">
        <f t="shared" si="13"/>
        <v>45777</v>
      </c>
      <c r="AX54" s="190">
        <f t="shared" si="13"/>
        <v>45763</v>
      </c>
      <c r="AY54" s="190">
        <f t="shared" si="13"/>
        <v>45757</v>
      </c>
      <c r="AZ54" s="190">
        <f t="shared" si="13"/>
        <v>45750</v>
      </c>
      <c r="BA54" s="190">
        <f t="shared" si="13"/>
        <v>45742</v>
      </c>
      <c r="BB54" s="190">
        <f t="shared" si="13"/>
        <v>45729</v>
      </c>
      <c r="BC54" s="190">
        <f t="shared" si="13"/>
        <v>45722</v>
      </c>
      <c r="BD54" s="190">
        <f t="shared" si="13"/>
        <v>45715</v>
      </c>
      <c r="BE54" s="190">
        <f t="shared" si="13"/>
        <v>45708</v>
      </c>
      <c r="BF54" s="190">
        <f t="shared" si="13"/>
        <v>45701</v>
      </c>
      <c r="BG54" s="190">
        <f t="shared" si="13"/>
        <v>45694</v>
      </c>
      <c r="BH54" s="190">
        <f t="shared" si="13"/>
        <v>45688</v>
      </c>
      <c r="BI54" s="190">
        <f t="shared" si="13"/>
        <v>45681</v>
      </c>
      <c r="BJ54" s="190">
        <f t="shared" si="13"/>
        <v>45673</v>
      </c>
      <c r="BK54" s="190">
        <f t="shared" si="13"/>
        <v>45666</v>
      </c>
      <c r="BL54" s="190">
        <f t="shared" si="13"/>
        <v>45659</v>
      </c>
      <c r="BM54" s="190">
        <f t="shared" si="13"/>
        <v>45652</v>
      </c>
      <c r="BN54" s="190">
        <f t="shared" si="13"/>
        <v>45645</v>
      </c>
      <c r="BO54" s="190">
        <f t="shared" si="13"/>
        <v>45638</v>
      </c>
      <c r="BP54" s="190">
        <f t="shared" si="13"/>
        <v>45631</v>
      </c>
      <c r="BQ54" s="190">
        <f t="shared" si="13"/>
        <v>45625</v>
      </c>
      <c r="BR54" s="190">
        <f t="shared" si="13"/>
        <v>45617</v>
      </c>
      <c r="BS54" s="190">
        <f t="shared" si="13"/>
        <v>45610</v>
      </c>
      <c r="BT54" s="190">
        <f t="shared" si="13"/>
        <v>45603</v>
      </c>
      <c r="BU54" s="190">
        <f t="shared" si="13"/>
        <v>45595</v>
      </c>
      <c r="BV54" s="190">
        <f t="shared" si="13"/>
        <v>45591</v>
      </c>
      <c r="BW54" s="190">
        <f t="shared" si="13"/>
        <v>45582</v>
      </c>
      <c r="BX54" s="190">
        <f t="shared" si="13"/>
        <v>45575</v>
      </c>
      <c r="BY54" s="190">
        <f t="shared" si="13"/>
        <v>45568</v>
      </c>
      <c r="BZ54" s="190">
        <f t="shared" si="13"/>
        <v>45561</v>
      </c>
      <c r="CA54" s="190">
        <f t="shared" si="13"/>
        <v>45547</v>
      </c>
      <c r="CB54" s="190">
        <f t="shared" si="13"/>
        <v>45540</v>
      </c>
      <c r="CC54" s="190">
        <f t="shared" si="13"/>
        <v>45533</v>
      </c>
      <c r="CD54" s="190">
        <f t="shared" si="13"/>
        <v>45526</v>
      </c>
      <c r="CE54" s="190">
        <f t="shared" si="13"/>
        <v>45517</v>
      </c>
      <c r="CF54" s="190">
        <f t="shared" si="13"/>
        <v>45511</v>
      </c>
      <c r="CG54" s="190" t="e">
        <f>#REF!</f>
        <v>#REF!</v>
      </c>
      <c r="CH54" s="190" t="e">
        <f>#REF!</f>
        <v>#REF!</v>
      </c>
      <c r="CI54" s="190" t="e">
        <f>#REF!</f>
        <v>#REF!</v>
      </c>
      <c r="CJ54" s="190" t="e">
        <f>#REF!</f>
        <v>#REF!</v>
      </c>
      <c r="CK54" s="190" t="e">
        <f>#REF!</f>
        <v>#REF!</v>
      </c>
      <c r="CL54" s="190">
        <v>45464</v>
      </c>
      <c r="CM54" s="190" t="e">
        <f>#REF!</f>
        <v>#REF!</v>
      </c>
      <c r="CN54" s="190" t="e">
        <f>#REF!</f>
        <v>#REF!</v>
      </c>
      <c r="CO54" s="190" t="e">
        <f>#REF!</f>
        <v>#REF!</v>
      </c>
      <c r="CP54" s="190" t="e">
        <f>#REF!</f>
        <v>#REF!</v>
      </c>
      <c r="CQ54" s="190" t="e">
        <f>#REF!</f>
        <v>#REF!</v>
      </c>
      <c r="CR54" s="190" t="e">
        <f>#REF!</f>
        <v>#REF!</v>
      </c>
      <c r="CS54" s="190" t="e">
        <f>#REF!</f>
        <v>#REF!</v>
      </c>
      <c r="CT54" s="190" t="e">
        <f>#REF!</f>
        <v>#REF!</v>
      </c>
      <c r="CU54" s="190" t="e">
        <f>#REF!</f>
        <v>#REF!</v>
      </c>
      <c r="CV54" s="190" t="e">
        <f>#REF!</f>
        <v>#REF!</v>
      </c>
      <c r="CW54" s="190" t="e">
        <f>#REF!</f>
        <v>#REF!</v>
      </c>
      <c r="CX54" s="190" t="e">
        <f>#REF!</f>
        <v>#REF!</v>
      </c>
      <c r="CY54" s="190" t="e">
        <f>#REF!</f>
        <v>#REF!</v>
      </c>
      <c r="CZ54" s="190" t="e">
        <f>#REF!</f>
        <v>#REF!</v>
      </c>
      <c r="DA54" s="190" t="e">
        <f>#REF!</f>
        <v>#REF!</v>
      </c>
      <c r="DB54" s="190" t="e">
        <f>#REF!</f>
        <v>#REF!</v>
      </c>
      <c r="DC54" s="190" t="e">
        <f>#REF!</f>
        <v>#REF!</v>
      </c>
      <c r="DD54" s="190" t="e">
        <f>#REF!</f>
        <v>#REF!</v>
      </c>
      <c r="DE54" s="190" t="e">
        <f>#REF!</f>
        <v>#REF!</v>
      </c>
      <c r="DF54" s="190" t="e">
        <f>#REF!</f>
        <v>#REF!</v>
      </c>
      <c r="DG54" s="190" t="e">
        <f>#REF!</f>
        <v>#REF!</v>
      </c>
      <c r="DH54" s="190" t="e">
        <f>#REF!</f>
        <v>#REF!</v>
      </c>
      <c r="DI54" s="190" t="e">
        <f>#REF!</f>
        <v>#REF!</v>
      </c>
      <c r="DJ54" s="190" t="e">
        <f>#REF!</f>
        <v>#REF!</v>
      </c>
      <c r="DK54" s="190" t="e">
        <f>#REF!</f>
        <v>#REF!</v>
      </c>
      <c r="DL54" s="190" t="e">
        <f>#REF!</f>
        <v>#REF!</v>
      </c>
      <c r="DM54" s="190" t="e">
        <f>#REF!</f>
        <v>#REF!</v>
      </c>
      <c r="DN54" s="190" t="e">
        <f>#REF!</f>
        <v>#REF!</v>
      </c>
      <c r="DO54" s="190" t="e">
        <f>#REF!</f>
        <v>#REF!</v>
      </c>
      <c r="DP54" s="190" t="e">
        <f>#REF!</f>
        <v>#REF!</v>
      </c>
      <c r="DQ54" s="190" t="e">
        <f>#REF!</f>
        <v>#REF!</v>
      </c>
      <c r="DR54" s="190" t="e">
        <f>#REF!</f>
        <v>#REF!</v>
      </c>
      <c r="DS54" s="190" t="e">
        <f>#REF!</f>
        <v>#REF!</v>
      </c>
      <c r="DT54" s="190" t="e">
        <f>#REF!</f>
        <v>#REF!</v>
      </c>
      <c r="DU54" s="190" t="e">
        <f>#REF!</f>
        <v>#REF!</v>
      </c>
      <c r="DV54" s="190" t="e">
        <f>#REF!</f>
        <v>#REF!</v>
      </c>
      <c r="DW54" s="190" t="e">
        <f>#REF!</f>
        <v>#REF!</v>
      </c>
      <c r="DX54" s="190" t="e">
        <f>#REF!</f>
        <v>#REF!</v>
      </c>
      <c r="DY54" s="190" t="e">
        <f>#REF!</f>
        <v>#REF!</v>
      </c>
      <c r="DZ54" s="190" t="e">
        <f>#REF!</f>
        <v>#REF!</v>
      </c>
      <c r="EA54" s="190" t="e">
        <f>#REF!</f>
        <v>#REF!</v>
      </c>
      <c r="EB54" s="190" t="e">
        <f>#REF!</f>
        <v>#REF!</v>
      </c>
      <c r="EC54" s="190" t="e">
        <f>#REF!</f>
        <v>#REF!</v>
      </c>
      <c r="ED54" s="190" t="e">
        <f>#REF!</f>
        <v>#REF!</v>
      </c>
      <c r="EE54" s="190">
        <v>45141</v>
      </c>
      <c r="EF54" s="190">
        <v>45134</v>
      </c>
      <c r="EG54" s="190">
        <v>44839</v>
      </c>
      <c r="EH54" s="190">
        <v>44831</v>
      </c>
      <c r="EI54" s="190">
        <v>44826</v>
      </c>
      <c r="EJ54" s="190">
        <v>44818</v>
      </c>
      <c r="EK54" s="190">
        <v>44811</v>
      </c>
      <c r="EL54" s="190">
        <v>45063</v>
      </c>
      <c r="EM54" s="190">
        <v>45063</v>
      </c>
      <c r="EN54" s="190">
        <v>45056</v>
      </c>
      <c r="EO54" s="190">
        <v>45050</v>
      </c>
      <c r="EP54" s="190">
        <v>45042</v>
      </c>
      <c r="EQ54" s="190">
        <v>45035</v>
      </c>
      <c r="ER54" s="190">
        <v>45028</v>
      </c>
      <c r="ES54" s="190">
        <v>45020</v>
      </c>
      <c r="ET54" s="190">
        <v>45014</v>
      </c>
      <c r="EU54" s="190">
        <v>45008</v>
      </c>
      <c r="EV54" s="190">
        <v>45002</v>
      </c>
      <c r="EW54" s="190">
        <v>45000</v>
      </c>
      <c r="EX54" s="190">
        <v>44993</v>
      </c>
      <c r="EY54" s="190">
        <v>44986</v>
      </c>
      <c r="EZ54" s="190">
        <v>44979</v>
      </c>
      <c r="FA54" s="190">
        <v>44972</v>
      </c>
      <c r="FB54" s="190">
        <v>44965</v>
      </c>
      <c r="FC54" s="190">
        <v>44958</v>
      </c>
      <c r="FD54" s="190">
        <v>44951</v>
      </c>
      <c r="FE54" s="190">
        <v>44944</v>
      </c>
      <c r="FF54" s="190">
        <v>44930</v>
      </c>
      <c r="FG54" s="190">
        <v>44930</v>
      </c>
      <c r="FH54" s="190">
        <v>44923</v>
      </c>
      <c r="FI54" s="190">
        <v>44916</v>
      </c>
      <c r="FJ54" s="190">
        <v>44910</v>
      </c>
      <c r="FK54" s="190">
        <v>44902</v>
      </c>
      <c r="FL54" s="190">
        <v>44896</v>
      </c>
      <c r="FM54" s="190">
        <v>44888</v>
      </c>
      <c r="FN54" s="190">
        <v>44881</v>
      </c>
      <c r="FO54" s="190">
        <v>44874</v>
      </c>
      <c r="FP54" s="190">
        <v>44868</v>
      </c>
      <c r="FQ54" s="190">
        <v>44860</v>
      </c>
      <c r="FR54" s="190">
        <v>44853</v>
      </c>
      <c r="FS54" s="190">
        <v>44846</v>
      </c>
      <c r="FT54" s="190">
        <v>45085</v>
      </c>
      <c r="FU54" s="190">
        <v>45076</v>
      </c>
      <c r="FV54" s="190">
        <v>45127</v>
      </c>
      <c r="FW54" s="190">
        <v>45120</v>
      </c>
      <c r="FX54" s="190">
        <v>45113</v>
      </c>
      <c r="FY54" s="190">
        <v>45105</v>
      </c>
      <c r="FZ54" s="190">
        <v>45099</v>
      </c>
      <c r="GA54" s="190">
        <v>45092</v>
      </c>
      <c r="GB54" s="190">
        <v>44803</v>
      </c>
      <c r="GC54" s="190">
        <v>44797</v>
      </c>
      <c r="GD54" s="190">
        <v>44790</v>
      </c>
      <c r="GE54" s="190">
        <v>44783</v>
      </c>
      <c r="GF54" s="190">
        <v>44776</v>
      </c>
      <c r="GG54" s="190">
        <v>44769</v>
      </c>
      <c r="GH54" s="190">
        <v>44762</v>
      </c>
      <c r="GI54" s="190">
        <v>44755</v>
      </c>
      <c r="GJ54" s="190">
        <v>44748</v>
      </c>
      <c r="GK54" s="190">
        <v>44741</v>
      </c>
      <c r="GL54" s="189">
        <v>44733</v>
      </c>
      <c r="GM54" s="189">
        <v>44727</v>
      </c>
      <c r="GN54" s="189">
        <v>44720</v>
      </c>
      <c r="GO54" s="189">
        <v>44713</v>
      </c>
      <c r="GP54" s="189">
        <v>44706</v>
      </c>
      <c r="GQ54" s="189">
        <v>44699</v>
      </c>
      <c r="GR54" s="189">
        <v>44690</v>
      </c>
      <c r="GS54" s="188" t="s">
        <v>118</v>
      </c>
      <c r="GT54" s="188" t="s">
        <v>117</v>
      </c>
      <c r="GU54" s="187" t="s">
        <v>116</v>
      </c>
      <c r="GV54" s="187" t="s">
        <v>115</v>
      </c>
      <c r="GW54" s="187" t="s">
        <v>114</v>
      </c>
      <c r="GX54" s="187" t="s">
        <v>224</v>
      </c>
      <c r="GY54" s="187" t="s">
        <v>112</v>
      </c>
      <c r="GZ54" s="187" t="s">
        <v>111</v>
      </c>
      <c r="HA54" s="187" t="s">
        <v>110</v>
      </c>
      <c r="HB54" s="187" t="s">
        <v>109</v>
      </c>
      <c r="HC54" s="187" t="s">
        <v>108</v>
      </c>
      <c r="HD54" s="187" t="s">
        <v>107</v>
      </c>
      <c r="HE54" s="187" t="s">
        <v>106</v>
      </c>
      <c r="HF54" s="187" t="s">
        <v>105</v>
      </c>
      <c r="HG54" s="187" t="s">
        <v>104</v>
      </c>
      <c r="HH54" s="187" t="s">
        <v>103</v>
      </c>
      <c r="HI54" s="187" t="s">
        <v>102</v>
      </c>
      <c r="HJ54" s="187" t="s">
        <v>101</v>
      </c>
      <c r="HK54" s="187" t="s">
        <v>100</v>
      </c>
      <c r="HL54" s="188" t="s">
        <v>99</v>
      </c>
      <c r="HM54" s="187" t="s">
        <v>98</v>
      </c>
      <c r="HN54" s="186" t="s">
        <v>113</v>
      </c>
      <c r="HO54" s="185" t="s">
        <v>223</v>
      </c>
      <c r="HT54" s="103"/>
      <c r="HU54" s="103"/>
      <c r="HV54" s="103"/>
      <c r="HW54" s="103"/>
      <c r="HX54" s="103"/>
      <c r="HY54" s="103"/>
      <c r="HZ54" s="103"/>
      <c r="IA54" s="103"/>
      <c r="IB54" s="103"/>
      <c r="IC54" s="103"/>
      <c r="ID54" s="103"/>
      <c r="IE54" s="103"/>
      <c r="IF54" s="103"/>
      <c r="IG54" s="103"/>
      <c r="IH54" s="103"/>
      <c r="II54" s="103"/>
      <c r="IJ54" s="103"/>
      <c r="IK54" s="103"/>
      <c r="IL54" s="103"/>
      <c r="IM54" s="103"/>
      <c r="IN54" s="103"/>
      <c r="IO54" s="103"/>
      <c r="IP54" s="103"/>
      <c r="IQ54" s="103"/>
      <c r="IR54" s="103"/>
      <c r="IS54" s="103"/>
      <c r="IT54" s="103"/>
      <c r="IU54" s="103"/>
      <c r="IV54" s="103"/>
      <c r="IW54" s="103"/>
      <c r="IX54" s="103"/>
      <c r="IY54" s="103"/>
      <c r="IZ54" s="103"/>
      <c r="JA54" s="103"/>
      <c r="JB54" s="103"/>
      <c r="JC54" s="103"/>
      <c r="JD54" s="103"/>
      <c r="JE54" s="103"/>
      <c r="JF54" s="103"/>
      <c r="JG54" s="103"/>
      <c r="JH54" s="103"/>
      <c r="JI54" s="103"/>
      <c r="JJ54" s="103"/>
      <c r="JK54" s="103"/>
      <c r="JL54" s="103"/>
      <c r="JM54" s="103"/>
      <c r="JN54" s="103"/>
      <c r="JO54" s="103"/>
      <c r="JP54" s="103"/>
      <c r="JQ54" s="103"/>
      <c r="JR54" s="103"/>
      <c r="JS54" s="103"/>
      <c r="JT54" s="103"/>
      <c r="JU54" s="103"/>
      <c r="JV54" s="103"/>
      <c r="JW54" s="103"/>
      <c r="JX54" s="103"/>
      <c r="JY54" s="103"/>
      <c r="JZ54" s="103"/>
      <c r="KA54" s="103"/>
      <c r="KB54" s="103"/>
      <c r="KC54" s="103"/>
      <c r="KD54" s="103"/>
      <c r="KE54" s="103"/>
      <c r="KF54" s="103"/>
      <c r="KG54" s="103"/>
      <c r="KH54" s="103"/>
      <c r="KI54" s="103"/>
      <c r="KJ54" s="103"/>
      <c r="KK54" s="103"/>
      <c r="KL54" s="103"/>
      <c r="KM54" s="103"/>
      <c r="KN54" s="103"/>
      <c r="KO54" s="103"/>
      <c r="KP54" s="103"/>
      <c r="KQ54" s="103"/>
      <c r="KR54" s="103"/>
      <c r="KS54" s="103"/>
      <c r="KT54" s="103"/>
      <c r="KU54" s="103"/>
      <c r="KV54" s="103"/>
      <c r="KW54" s="103"/>
      <c r="KX54" s="103"/>
      <c r="KY54" s="103"/>
      <c r="KZ54" s="103"/>
      <c r="LA54" s="103"/>
      <c r="LB54" s="103"/>
      <c r="LC54" s="103"/>
      <c r="LD54" s="103"/>
      <c r="LE54" s="103"/>
      <c r="LF54" s="103"/>
      <c r="LG54" s="103"/>
      <c r="LH54" s="103"/>
      <c r="LI54" s="103"/>
      <c r="LJ54" s="103"/>
      <c r="LK54" s="103"/>
      <c r="LL54" s="103"/>
      <c r="LM54" s="103"/>
    </row>
    <row r="55" spans="2:325">
      <c r="B55" s="761" t="s">
        <v>294</v>
      </c>
      <c r="C55" s="158" t="s">
        <v>293</v>
      </c>
      <c r="D55" s="809">
        <v>3.3500000000000002E-2</v>
      </c>
      <c r="E55" s="809">
        <v>3.3500000000000002E-2</v>
      </c>
      <c r="F55" s="809">
        <v>3.3000000000000002E-2</v>
      </c>
      <c r="G55" s="813">
        <v>3.3000000000000002E-2</v>
      </c>
      <c r="H55" s="167">
        <v>3.3000000000000002E-2</v>
      </c>
      <c r="I55" s="168">
        <v>3.3000000000000002E-2</v>
      </c>
      <c r="J55" s="168">
        <v>3.3500000000000002E-2</v>
      </c>
      <c r="K55" s="168">
        <v>3.3000000000000002E-2</v>
      </c>
      <c r="L55" s="167">
        <v>3.2500000000000001E-2</v>
      </c>
      <c r="M55" s="168">
        <v>3.2500000000000001E-2</v>
      </c>
      <c r="N55" s="167">
        <v>3.3000000000000002E-2</v>
      </c>
      <c r="O55" s="168">
        <v>3.3000000000000002E-2</v>
      </c>
      <c r="P55" s="167">
        <v>3.4000000000000002E-2</v>
      </c>
      <c r="Q55" s="167">
        <v>3.4000000000000002E-2</v>
      </c>
      <c r="R55" s="167">
        <v>3.4000000000000002E-2</v>
      </c>
      <c r="S55" s="168">
        <v>3.4500000000000003E-2</v>
      </c>
      <c r="T55" s="168">
        <v>3.32E-2</v>
      </c>
      <c r="U55" s="168">
        <v>3.27E-2</v>
      </c>
      <c r="V55" s="167">
        <v>3.2500000000000001E-2</v>
      </c>
      <c r="W55" s="156">
        <v>3.2500000000000001E-2</v>
      </c>
      <c r="X55" s="154">
        <v>3.3000000000000002E-2</v>
      </c>
      <c r="Y55" s="154">
        <v>3.3000000000000002E-2</v>
      </c>
      <c r="Z55" s="154">
        <v>3.3000000000000002E-2</v>
      </c>
      <c r="AA55" s="156">
        <v>3.3000000000000002E-2</v>
      </c>
      <c r="AB55" s="156">
        <v>3.2500000000000001E-2</v>
      </c>
      <c r="AC55" s="156">
        <v>3.4000000000000002E-2</v>
      </c>
      <c r="AD55" s="156">
        <v>3.5000000000000003E-2</v>
      </c>
      <c r="AE55" s="156">
        <v>3.6999999999999998E-2</v>
      </c>
      <c r="AF55" s="157">
        <v>3.7999999999999999E-2</v>
      </c>
      <c r="AG55" s="157">
        <v>3.7999999999999999E-2</v>
      </c>
      <c r="AH55" s="156">
        <v>3.7999999999999999E-2</v>
      </c>
      <c r="AI55" s="157">
        <v>3.85E-2</v>
      </c>
      <c r="AJ55" s="154">
        <v>3.85E-2</v>
      </c>
      <c r="AK55" s="156">
        <v>3.85E-2</v>
      </c>
      <c r="AL55" s="155">
        <v>3.7999999999999999E-2</v>
      </c>
      <c r="AM55" s="154">
        <v>3.7999999999999999E-2</v>
      </c>
      <c r="AN55" s="152">
        <v>3.7999999999999999E-2</v>
      </c>
      <c r="AO55" s="152">
        <v>3.7999999999999999E-2</v>
      </c>
      <c r="AP55" s="152">
        <v>3.7999999999999999E-2</v>
      </c>
      <c r="AQ55" s="152">
        <v>3.7999999999999999E-2</v>
      </c>
      <c r="AR55" s="152">
        <v>3.7999999999999999E-2</v>
      </c>
      <c r="AS55" s="152">
        <v>3.7999999999999999E-2</v>
      </c>
      <c r="AT55" s="152">
        <v>3.7999999999999999E-2</v>
      </c>
      <c r="AU55" s="152">
        <v>3.7999999999999999E-2</v>
      </c>
      <c r="AV55" s="152">
        <v>3.7999999999999999E-2</v>
      </c>
      <c r="AW55" s="152"/>
      <c r="AX55" s="152"/>
      <c r="AY55" s="153"/>
      <c r="AZ55" s="153"/>
      <c r="BA55" s="153"/>
      <c r="BB55" s="153"/>
      <c r="BC55" s="153"/>
      <c r="BD55" s="153"/>
      <c r="BE55" s="153"/>
      <c r="BF55" s="153"/>
      <c r="BG55" s="153"/>
      <c r="BH55" s="153"/>
      <c r="BI55" s="153"/>
      <c r="BJ55" s="153"/>
      <c r="BK55" s="153"/>
      <c r="BL55" s="153"/>
      <c r="BM55" s="153"/>
      <c r="BN55" s="153"/>
      <c r="BO55" s="153"/>
      <c r="BP55" s="153"/>
      <c r="BQ55" s="152"/>
      <c r="BR55" s="152"/>
      <c r="BS55" s="152"/>
      <c r="BT55" s="152"/>
      <c r="BU55" s="152"/>
      <c r="BV55" s="152"/>
      <c r="BW55" s="152"/>
      <c r="BX55" s="152"/>
      <c r="BY55" s="152"/>
      <c r="BZ55" s="152"/>
      <c r="CA55" s="152"/>
      <c r="CB55" s="152"/>
      <c r="CC55" s="152"/>
      <c r="CD55" s="152"/>
      <c r="CE55" s="152"/>
      <c r="CF55" s="152"/>
      <c r="CG55" s="152"/>
      <c r="CH55" s="152"/>
      <c r="CI55" s="152"/>
      <c r="CJ55" s="152"/>
      <c r="CK55" s="152"/>
      <c r="CL55" s="152"/>
      <c r="CM55" s="152"/>
      <c r="CN55" s="152"/>
      <c r="CO55" s="152"/>
      <c r="CP55" s="152"/>
      <c r="CQ55" s="152"/>
      <c r="CR55" s="152"/>
      <c r="CS55" s="109"/>
      <c r="CT55" s="109"/>
      <c r="CU55" s="109"/>
      <c r="CV55" s="109"/>
      <c r="CW55" s="109"/>
      <c r="CX55" s="109"/>
      <c r="CY55" s="109"/>
      <c r="CZ55" s="109"/>
      <c r="DA55" s="109"/>
      <c r="DB55" s="109"/>
      <c r="DC55" s="109"/>
      <c r="DD55" s="109"/>
      <c r="DE55" s="109"/>
      <c r="DF55" s="109"/>
      <c r="DG55" s="109"/>
      <c r="DH55" s="109"/>
      <c r="DI55" s="109"/>
      <c r="DJ55" s="109"/>
      <c r="DK55" s="109"/>
      <c r="DL55" s="109"/>
      <c r="DM55" s="109"/>
      <c r="DN55" s="109"/>
      <c r="DO55" s="109"/>
      <c r="DP55" s="109"/>
      <c r="DQ55" s="109"/>
      <c r="DR55" s="109"/>
      <c r="DS55" s="109"/>
      <c r="DT55" s="109"/>
      <c r="DU55" s="109"/>
      <c r="DV55" s="109"/>
      <c r="DW55" s="109"/>
      <c r="DX55" s="109"/>
      <c r="DY55" s="109"/>
      <c r="DZ55" s="109"/>
      <c r="EA55" s="109"/>
      <c r="EB55" s="109"/>
      <c r="EC55" s="109"/>
      <c r="ED55" s="109"/>
      <c r="EE55" s="109"/>
      <c r="EF55" s="109"/>
      <c r="EG55" s="109"/>
      <c r="EH55" s="109"/>
      <c r="EI55" s="109"/>
      <c r="EJ55" s="109"/>
      <c r="EK55" s="109"/>
      <c r="EL55" s="109"/>
      <c r="EM55" s="109"/>
      <c r="EN55" s="109"/>
      <c r="EO55" s="109"/>
      <c r="EP55" s="109"/>
      <c r="EQ55" s="109"/>
      <c r="ER55" s="109"/>
      <c r="ES55" s="109"/>
      <c r="ET55" s="109"/>
      <c r="EU55" s="109"/>
      <c r="EV55" s="109"/>
      <c r="EW55" s="109"/>
      <c r="EX55" s="109"/>
      <c r="EY55" s="109"/>
      <c r="EZ55" s="109"/>
      <c r="FA55" s="109"/>
      <c r="FB55" s="109"/>
      <c r="FC55" s="109"/>
      <c r="FD55" s="109"/>
      <c r="FE55" s="109"/>
      <c r="FF55" s="109"/>
      <c r="FG55" s="109"/>
      <c r="FH55" s="109"/>
      <c r="FI55" s="109"/>
      <c r="FJ55" s="109"/>
      <c r="FK55" s="109"/>
      <c r="FL55" s="109"/>
      <c r="FM55" s="109"/>
      <c r="FN55" s="109"/>
      <c r="FO55" s="109"/>
      <c r="FP55" s="109"/>
      <c r="FQ55" s="109"/>
      <c r="FR55" s="109"/>
      <c r="FS55" s="109"/>
      <c r="FT55" s="109"/>
      <c r="FU55" s="109"/>
      <c r="FV55" s="109"/>
      <c r="FW55" s="109"/>
      <c r="FX55" s="109"/>
      <c r="FY55" s="109"/>
      <c r="FZ55" s="109"/>
      <c r="GA55" s="109"/>
      <c r="GB55" s="109"/>
      <c r="GC55" s="109"/>
      <c r="GD55" s="109"/>
      <c r="GE55" s="109"/>
      <c r="GF55" s="109"/>
      <c r="GG55" s="109"/>
      <c r="GH55" s="109"/>
      <c r="GI55" s="109"/>
      <c r="GJ55" s="109"/>
      <c r="GK55" s="109"/>
      <c r="GL55" s="109"/>
      <c r="GM55" s="109"/>
      <c r="GN55" s="109"/>
      <c r="GO55" s="109"/>
      <c r="GP55" s="109"/>
      <c r="GQ55" s="109"/>
      <c r="GR55" s="109"/>
      <c r="GS55" s="109"/>
      <c r="GT55" s="109"/>
      <c r="GU55" s="109"/>
      <c r="GV55" s="109"/>
      <c r="GW55" s="109"/>
      <c r="GX55" s="109"/>
      <c r="GY55" s="109"/>
      <c r="GZ55" s="109"/>
      <c r="HA55" s="109"/>
      <c r="HB55" s="109"/>
      <c r="HC55" s="109"/>
      <c r="HD55" s="109"/>
      <c r="HE55" s="109"/>
      <c r="HF55" s="109"/>
      <c r="HG55" s="109"/>
      <c r="HH55" s="109"/>
      <c r="HI55" s="109"/>
      <c r="HJ55" s="109"/>
      <c r="HK55" s="109"/>
      <c r="HL55" s="109"/>
      <c r="HM55" s="109"/>
      <c r="HN55" s="41">
        <f t="shared" ref="HN55:HN62" si="14">$D55-$E55</f>
        <v>0</v>
      </c>
      <c r="HO55" s="810" t="s">
        <v>805</v>
      </c>
    </row>
    <row r="56" spans="2:325">
      <c r="B56" s="672" t="s">
        <v>20</v>
      </c>
      <c r="C56" s="740" t="s">
        <v>751</v>
      </c>
      <c r="D56" s="813">
        <v>3.4000000000000002E-2</v>
      </c>
      <c r="E56" s="813">
        <v>3.4000000000000002E-2</v>
      </c>
      <c r="F56" s="813">
        <v>3.4000000000000002E-2</v>
      </c>
      <c r="G56" s="167">
        <v>3.4500000000000003E-2</v>
      </c>
      <c r="H56" s="167">
        <v>3.4500000000000003E-2</v>
      </c>
      <c r="I56" s="167">
        <v>3.4500000000000003E-2</v>
      </c>
      <c r="J56" s="167">
        <v>3.4500000000000003E-2</v>
      </c>
      <c r="K56" s="167">
        <v>3.4500000000000003E-2</v>
      </c>
      <c r="L56" s="167">
        <v>3.4500000000000003E-2</v>
      </c>
      <c r="M56" s="168">
        <v>3.4500000000000003E-2</v>
      </c>
      <c r="N56" s="167">
        <v>3.5000000000000003E-2</v>
      </c>
      <c r="O56" s="167">
        <v>3.5000000000000003E-2</v>
      </c>
      <c r="P56" s="167">
        <v>3.5000000000000003E-2</v>
      </c>
      <c r="Q56" s="167">
        <v>3.5000000000000003E-2</v>
      </c>
      <c r="R56" s="167">
        <v>3.5000000000000003E-2</v>
      </c>
      <c r="S56" s="167">
        <v>3.5000000000000003E-2</v>
      </c>
      <c r="T56" s="167">
        <v>3.5000000000000003E-2</v>
      </c>
      <c r="U56" s="167">
        <v>3.5000000000000003E-2</v>
      </c>
      <c r="V56" s="168">
        <v>3.5000000000000003E-2</v>
      </c>
      <c r="W56" s="181">
        <v>3.5999999999999997E-2</v>
      </c>
      <c r="X56" s="181">
        <v>3.5999999999999997E-2</v>
      </c>
      <c r="Y56" s="181">
        <v>3.5999999999999997E-2</v>
      </c>
      <c r="Z56" s="181">
        <v>3.5999999999999997E-2</v>
      </c>
      <c r="AA56" s="557">
        <v>3.5999999999999997E-2</v>
      </c>
      <c r="AB56" s="181">
        <v>3.7999999999999999E-2</v>
      </c>
      <c r="AC56" s="181">
        <v>3.7999999999999999E-2</v>
      </c>
      <c r="AD56" s="181">
        <v>3.7999999999999999E-2</v>
      </c>
      <c r="AE56" s="557">
        <v>3.7999999999999999E-2</v>
      </c>
      <c r="AF56" s="183">
        <v>0.04</v>
      </c>
      <c r="AG56" s="183">
        <v>0.04</v>
      </c>
      <c r="AH56" s="183">
        <v>0.04</v>
      </c>
      <c r="AI56" s="183">
        <v>0.04</v>
      </c>
      <c r="AJ56" s="181">
        <v>0.04</v>
      </c>
      <c r="AK56" s="183">
        <v>0.04</v>
      </c>
      <c r="AL56" s="182">
        <v>0.04</v>
      </c>
      <c r="AM56" s="181">
        <v>0.04</v>
      </c>
      <c r="AN56" s="180">
        <v>0.04</v>
      </c>
      <c r="AO56" s="180">
        <v>0.04</v>
      </c>
      <c r="AP56" s="180">
        <v>0.04</v>
      </c>
      <c r="AQ56" s="180">
        <v>0.04</v>
      </c>
      <c r="AR56" s="180">
        <v>0.04</v>
      </c>
      <c r="AS56" s="180">
        <v>0.04</v>
      </c>
      <c r="AT56" s="115">
        <v>0.04</v>
      </c>
      <c r="AU56" s="180">
        <v>0.04</v>
      </c>
      <c r="AV56" s="115">
        <v>0.04</v>
      </c>
      <c r="AW56" s="180">
        <v>4.1000000000000002E-2</v>
      </c>
      <c r="AX56" s="180">
        <v>4.1000000000000002E-2</v>
      </c>
      <c r="AY56" s="180">
        <v>4.1000000000000002E-2</v>
      </c>
      <c r="AZ56" s="180">
        <v>4.1000000000000002E-2</v>
      </c>
      <c r="BA56" s="180">
        <v>4.1000000000000002E-2</v>
      </c>
      <c r="BB56" s="180">
        <v>4.1000000000000002E-2</v>
      </c>
      <c r="BC56" s="180">
        <v>4.1000000000000002E-2</v>
      </c>
      <c r="BD56" s="180">
        <v>0.04</v>
      </c>
      <c r="BE56" s="180">
        <v>0.04</v>
      </c>
      <c r="BF56" s="180">
        <v>0.04</v>
      </c>
      <c r="BG56" s="180">
        <v>0.04</v>
      </c>
      <c r="BH56" s="180">
        <v>0.04</v>
      </c>
      <c r="BI56" s="180">
        <v>0.04</v>
      </c>
      <c r="BJ56" s="180">
        <v>0.04</v>
      </c>
      <c r="BK56" s="180">
        <v>0.04</v>
      </c>
      <c r="BL56" s="180">
        <v>0.04</v>
      </c>
      <c r="BM56" s="180">
        <v>0.04</v>
      </c>
      <c r="BN56" s="180">
        <v>0.04</v>
      </c>
      <c r="BO56" s="180">
        <v>0.04</v>
      </c>
      <c r="BP56" s="180">
        <v>0.04</v>
      </c>
      <c r="BQ56" s="180">
        <v>0.04</v>
      </c>
      <c r="BR56" s="180">
        <v>0.04</v>
      </c>
      <c r="BS56" s="180">
        <v>0.04</v>
      </c>
      <c r="BT56" s="180">
        <v>0.04</v>
      </c>
      <c r="BU56" s="180">
        <v>3.6999999999999998E-2</v>
      </c>
      <c r="BV56" s="180">
        <v>3.6999999999999998E-2</v>
      </c>
      <c r="BW56" s="180">
        <v>3.6999999999999998E-2</v>
      </c>
      <c r="BX56" s="180">
        <v>3.6999999999999998E-2</v>
      </c>
      <c r="BY56" s="180">
        <v>3.6999999999999998E-2</v>
      </c>
      <c r="BZ56" s="180">
        <v>4.2999999999999997E-2</v>
      </c>
      <c r="CA56" s="180">
        <v>4.2999999999999997E-2</v>
      </c>
      <c r="CB56" s="180">
        <v>4.2999999999999997E-2</v>
      </c>
      <c r="CC56" s="180">
        <v>4.5999999999999999E-2</v>
      </c>
      <c r="CD56" s="180">
        <v>4.5999999999999999E-2</v>
      </c>
      <c r="CE56" s="180">
        <v>4.5999999999999999E-2</v>
      </c>
      <c r="CF56" s="180">
        <v>4.5999999999999999E-2</v>
      </c>
      <c r="CG56" s="180">
        <v>4.8000000000000001E-2</v>
      </c>
      <c r="CH56" s="180">
        <v>4.8000000000000001E-2</v>
      </c>
      <c r="CI56" s="180">
        <v>4.8000000000000001E-2</v>
      </c>
      <c r="CJ56" s="180">
        <v>4.8000000000000001E-2</v>
      </c>
      <c r="CK56" s="180">
        <v>4.8000000000000001E-2</v>
      </c>
      <c r="CL56" s="180">
        <v>4.8000000000000001E-2</v>
      </c>
      <c r="CM56" s="180">
        <v>4.8000000000000001E-2</v>
      </c>
      <c r="CN56" s="180">
        <v>4.8000000000000001E-2</v>
      </c>
      <c r="CO56" s="180">
        <v>4.8000000000000001E-2</v>
      </c>
      <c r="CP56" s="180">
        <v>4.8000000000000001E-2</v>
      </c>
      <c r="CQ56" s="180">
        <v>4.8000000000000001E-2</v>
      </c>
      <c r="CR56" s="180">
        <v>4.8000000000000001E-2</v>
      </c>
      <c r="CS56" s="180">
        <v>4.5999999999999999E-2</v>
      </c>
      <c r="CT56" s="180">
        <v>4.5999999999999999E-2</v>
      </c>
      <c r="CU56" s="180">
        <v>4.5999999999999999E-2</v>
      </c>
      <c r="CV56" s="180">
        <v>4.5999999999999999E-2</v>
      </c>
      <c r="CW56" s="180">
        <v>4.5999999999999999E-2</v>
      </c>
      <c r="CX56" s="180">
        <v>4.5999999999999999E-2</v>
      </c>
      <c r="CY56" s="180">
        <v>4.5999999999999999E-2</v>
      </c>
      <c r="CZ56" s="180">
        <v>4.5999999999999999E-2</v>
      </c>
      <c r="DA56" s="180">
        <v>4.5999999999999999E-2</v>
      </c>
      <c r="DB56" s="180">
        <v>4.5999999999999999E-2</v>
      </c>
      <c r="DC56" s="180">
        <v>4.5999999999999999E-2</v>
      </c>
      <c r="DD56" s="180">
        <v>4.5999999999999999E-2</v>
      </c>
      <c r="DE56" s="180">
        <v>4.5999999999999999E-2</v>
      </c>
      <c r="DF56" s="180">
        <v>4.9000000000000002E-2</v>
      </c>
      <c r="DG56" s="180">
        <v>4.9000000000000002E-2</v>
      </c>
      <c r="DH56" s="180">
        <v>4.9000000000000002E-2</v>
      </c>
      <c r="DI56" s="180">
        <v>4.9000000000000002E-2</v>
      </c>
      <c r="DJ56" s="180">
        <v>4.9000000000000002E-2</v>
      </c>
      <c r="DK56" s="180">
        <v>4.9000000000000002E-2</v>
      </c>
      <c r="DL56" s="180">
        <v>4.9000000000000002E-2</v>
      </c>
      <c r="DM56" s="180">
        <v>4.9000000000000002E-2</v>
      </c>
      <c r="DN56" s="180">
        <v>4.9000000000000002E-2</v>
      </c>
      <c r="DO56" s="180">
        <v>5.2999999999999999E-2</v>
      </c>
      <c r="DP56" s="180">
        <v>5.2999999999999999E-2</v>
      </c>
      <c r="DQ56" s="180">
        <v>5.2999999999999999E-2</v>
      </c>
      <c r="DR56" s="180">
        <v>5.2999999999999999E-2</v>
      </c>
      <c r="DS56" s="180">
        <v>5.2999999999999999E-2</v>
      </c>
      <c r="DT56" s="180">
        <v>5.2999999999999999E-2</v>
      </c>
      <c r="DU56" s="180">
        <v>5.2999999999999999E-2</v>
      </c>
      <c r="DV56" s="180">
        <v>5.2999999999999999E-2</v>
      </c>
      <c r="DW56" s="180">
        <v>5.0999999999999997E-2</v>
      </c>
      <c r="DX56" s="180">
        <v>5.0999999999999997E-2</v>
      </c>
      <c r="DY56" s="180">
        <v>5.0999999999999997E-2</v>
      </c>
      <c r="DZ56" s="180">
        <v>5.0999999999999997E-2</v>
      </c>
      <c r="EA56" s="180">
        <v>5.1999999999999998E-2</v>
      </c>
      <c r="EB56" s="180">
        <v>5.1999999999999998E-2</v>
      </c>
      <c r="EC56" s="180">
        <v>5.1999999999999998E-2</v>
      </c>
      <c r="ED56" s="180">
        <v>5.1999999999999998E-2</v>
      </c>
      <c r="EE56" s="180">
        <v>5.1999999999999998E-2</v>
      </c>
      <c r="EF56" s="180">
        <v>0.05</v>
      </c>
      <c r="EG56" s="180">
        <v>3.6999999999999998E-2</v>
      </c>
      <c r="EH56" s="180">
        <v>3.5000000000000003E-2</v>
      </c>
      <c r="EI56" s="180">
        <v>3.5000000000000003E-2</v>
      </c>
      <c r="EJ56" s="180">
        <v>3.5000000000000003E-2</v>
      </c>
      <c r="EK56" s="180">
        <v>3.5000000000000003E-2</v>
      </c>
      <c r="EL56" s="180">
        <v>4.8000000000000001E-2</v>
      </c>
      <c r="EM56" s="180">
        <v>4.8000000000000001E-2</v>
      </c>
      <c r="EN56" s="180">
        <v>4.8000000000000001E-2</v>
      </c>
      <c r="EO56" s="180">
        <v>4.8000000000000001E-2</v>
      </c>
      <c r="EP56" s="180">
        <v>4.7E-2</v>
      </c>
      <c r="EQ56" s="180">
        <v>4.7E-2</v>
      </c>
      <c r="ER56" s="180">
        <v>4.7E-2</v>
      </c>
      <c r="ES56" s="180">
        <v>4.7E-2</v>
      </c>
      <c r="ET56" s="180">
        <v>0.05</v>
      </c>
      <c r="EU56" s="180">
        <v>0.05</v>
      </c>
      <c r="EV56" s="180">
        <v>0.05</v>
      </c>
      <c r="EW56" s="180">
        <v>0.05</v>
      </c>
      <c r="EX56" s="180">
        <v>0.05</v>
      </c>
      <c r="EY56" s="180">
        <v>0.05</v>
      </c>
      <c r="EZ56" s="180">
        <v>4.8000000000000001E-2</v>
      </c>
      <c r="FA56" s="180">
        <v>4.8000000000000001E-2</v>
      </c>
      <c r="FB56" s="180">
        <v>4.8000000000000001E-2</v>
      </c>
      <c r="FC56" s="180">
        <v>4.8000000000000001E-2</v>
      </c>
      <c r="FD56" s="180">
        <v>0.05</v>
      </c>
      <c r="FE56" s="180">
        <v>0.05</v>
      </c>
      <c r="FF56" s="180">
        <v>0.05</v>
      </c>
      <c r="FG56" s="180">
        <v>0.05</v>
      </c>
      <c r="FH56" s="180">
        <v>5.0999999999999997E-2</v>
      </c>
      <c r="FI56" s="180">
        <v>5.0999999999999997E-2</v>
      </c>
      <c r="FJ56" s="180">
        <v>5.0999999999999997E-2</v>
      </c>
      <c r="FK56" s="180">
        <v>5.0999999999999997E-2</v>
      </c>
      <c r="FL56" s="180">
        <v>5.0999999999999997E-2</v>
      </c>
      <c r="FM56" s="180">
        <v>4.4999999999999998E-2</v>
      </c>
      <c r="FN56" s="180">
        <v>4.4999999999999998E-2</v>
      </c>
      <c r="FO56" s="180">
        <v>4.4999999999999998E-2</v>
      </c>
      <c r="FP56" s="180">
        <v>4.4999999999999998E-2</v>
      </c>
      <c r="FQ56" s="180">
        <v>3.6999999999999998E-2</v>
      </c>
      <c r="FR56" s="180">
        <v>3.6999999999999998E-2</v>
      </c>
      <c r="FS56" s="180">
        <v>3.6999999999999998E-2</v>
      </c>
      <c r="FT56" s="180">
        <v>4.8000000000000001E-2</v>
      </c>
      <c r="FU56" s="180">
        <v>4.8000000000000001E-2</v>
      </c>
      <c r="FV56" s="180">
        <v>0.05</v>
      </c>
      <c r="FW56" s="180">
        <v>0.05</v>
      </c>
      <c r="FX56" s="180">
        <v>0.05</v>
      </c>
      <c r="FY56" s="180">
        <v>4.8000000000000001E-2</v>
      </c>
      <c r="FZ56" s="180">
        <v>4.8000000000000001E-2</v>
      </c>
      <c r="GA56" s="180">
        <v>4.8000000000000001E-2</v>
      </c>
      <c r="GB56" s="180">
        <v>3.5000000000000003E-2</v>
      </c>
      <c r="GC56" s="180">
        <v>3.5000000000000003E-2</v>
      </c>
      <c r="GD56" s="180">
        <v>3.5000000000000003E-2</v>
      </c>
      <c r="GE56" s="180">
        <v>3.5000000000000003E-2</v>
      </c>
      <c r="GF56" s="180">
        <v>3.5000000000000003E-2</v>
      </c>
      <c r="GG56" s="180">
        <v>3.5000000000000003E-2</v>
      </c>
      <c r="GH56" s="180">
        <v>3.5000000000000003E-2</v>
      </c>
      <c r="GI56" s="180">
        <v>3.5000000000000003E-2</v>
      </c>
      <c r="GJ56" s="180">
        <v>3.5000000000000003E-2</v>
      </c>
      <c r="GK56" s="180">
        <v>3.5000000000000003E-2</v>
      </c>
      <c r="GL56" s="180">
        <v>3.5000000000000003E-2</v>
      </c>
      <c r="GM56" s="180">
        <v>3.5000000000000003E-2</v>
      </c>
      <c r="GN56" s="180">
        <v>3.5000000000000003E-2</v>
      </c>
      <c r="GO56" s="180">
        <v>3.5000000000000003E-2</v>
      </c>
      <c r="GP56" s="180">
        <v>3.5000000000000003E-2</v>
      </c>
      <c r="GQ56" s="180">
        <v>3.5000000000000003E-2</v>
      </c>
      <c r="GR56" s="180">
        <v>3.5000000000000003E-2</v>
      </c>
      <c r="GS56" s="180">
        <v>3.5000000000000003E-2</v>
      </c>
      <c r="GT56" s="180">
        <v>3.5000000000000003E-2</v>
      </c>
      <c r="GU56" s="180">
        <v>3.5000000000000003E-2</v>
      </c>
      <c r="GV56" s="180">
        <v>3.5000000000000003E-2</v>
      </c>
      <c r="GW56" s="180">
        <v>3.5000000000000003E-2</v>
      </c>
      <c r="GX56" s="180">
        <v>3.5000000000000003E-2</v>
      </c>
      <c r="GY56" s="180">
        <v>3.5000000000000003E-2</v>
      </c>
      <c r="GZ56" s="180">
        <v>3.5000000000000003E-2</v>
      </c>
      <c r="HA56" s="180">
        <v>3.5000000000000003E-2</v>
      </c>
      <c r="HB56" s="180">
        <v>3.5000000000000003E-2</v>
      </c>
      <c r="HC56" s="180">
        <v>3.5000000000000003E-2</v>
      </c>
      <c r="HD56" s="180">
        <v>3.5000000000000003E-2</v>
      </c>
      <c r="HE56" s="180">
        <v>3.5000000000000003E-2</v>
      </c>
      <c r="HF56" s="180">
        <v>3.5000000000000003E-2</v>
      </c>
      <c r="HG56" s="180">
        <v>3.5000000000000003E-2</v>
      </c>
      <c r="HH56" s="180">
        <v>3.5000000000000003E-2</v>
      </c>
      <c r="HI56" s="180">
        <v>3.5000000000000003E-2</v>
      </c>
      <c r="HJ56" s="180">
        <v>3.5000000000000003E-2</v>
      </c>
      <c r="HK56" s="180">
        <v>3.5000000000000003E-2</v>
      </c>
      <c r="HL56" s="180">
        <v>3.5000000000000003E-2</v>
      </c>
      <c r="HM56" s="180">
        <v>3.5000000000000003E-2</v>
      </c>
      <c r="HN56" s="41">
        <f t="shared" si="14"/>
        <v>0</v>
      </c>
      <c r="HO56" s="109" t="s">
        <v>298</v>
      </c>
      <c r="HT56" s="103"/>
      <c r="HU56" s="103"/>
      <c r="HV56" s="103"/>
      <c r="HW56" s="103"/>
      <c r="HX56" s="103"/>
      <c r="HY56" s="103"/>
      <c r="HZ56" s="103"/>
      <c r="IA56" s="103"/>
      <c r="IB56" s="103"/>
      <c r="IC56" s="103"/>
      <c r="ID56" s="103"/>
      <c r="IE56" s="103"/>
      <c r="IF56" s="103"/>
      <c r="IG56" s="103"/>
      <c r="IH56" s="103"/>
      <c r="II56" s="103"/>
      <c r="IJ56" s="103"/>
      <c r="IK56" s="103"/>
      <c r="IL56" s="103"/>
      <c r="IM56" s="103"/>
      <c r="IN56" s="103"/>
      <c r="IO56" s="103"/>
      <c r="IP56" s="103"/>
      <c r="IQ56" s="103"/>
      <c r="IR56" s="103"/>
      <c r="IS56" s="103"/>
      <c r="IT56" s="103"/>
      <c r="IU56" s="103"/>
      <c r="IV56" s="103"/>
      <c r="IW56" s="103"/>
      <c r="IX56" s="103"/>
      <c r="IY56" s="103"/>
      <c r="IZ56" s="103"/>
      <c r="JA56" s="103"/>
      <c r="JB56" s="103"/>
      <c r="JC56" s="103"/>
      <c r="JD56" s="103"/>
      <c r="JE56" s="103"/>
      <c r="JF56" s="103"/>
      <c r="JG56" s="103"/>
      <c r="JH56" s="103"/>
      <c r="JI56" s="103"/>
      <c r="JJ56" s="103"/>
      <c r="JK56" s="103"/>
      <c r="JL56" s="103"/>
      <c r="JM56" s="103"/>
      <c r="JN56" s="103"/>
      <c r="JO56" s="103"/>
      <c r="JP56" s="103"/>
      <c r="JQ56" s="103"/>
      <c r="JR56" s="103"/>
      <c r="JS56" s="103"/>
      <c r="JT56" s="103"/>
      <c r="JU56" s="103"/>
      <c r="JV56" s="103"/>
      <c r="JW56" s="103"/>
      <c r="JX56" s="103"/>
      <c r="JY56" s="103"/>
      <c r="JZ56" s="103"/>
      <c r="KA56" s="103"/>
      <c r="KB56" s="103"/>
      <c r="KC56" s="103"/>
      <c r="KD56" s="103"/>
      <c r="KE56" s="103"/>
      <c r="KF56" s="103"/>
      <c r="KG56" s="103"/>
      <c r="KH56" s="103"/>
      <c r="KI56" s="103"/>
      <c r="KJ56" s="103"/>
      <c r="KK56" s="103"/>
      <c r="KL56" s="103"/>
      <c r="KM56" s="103"/>
      <c r="KN56" s="103"/>
      <c r="KO56" s="103"/>
      <c r="KP56" s="103"/>
      <c r="KQ56" s="103"/>
      <c r="KR56" s="103"/>
      <c r="KS56" s="103"/>
      <c r="KT56" s="103"/>
      <c r="KU56" s="103"/>
      <c r="KV56" s="103"/>
      <c r="KW56" s="103"/>
      <c r="KX56" s="103"/>
      <c r="KY56" s="103"/>
      <c r="KZ56" s="103"/>
      <c r="LA56" s="103"/>
      <c r="LB56" s="103"/>
      <c r="LC56" s="103"/>
      <c r="LD56" s="103"/>
      <c r="LE56" s="103"/>
      <c r="LF56" s="103"/>
      <c r="LG56" s="103"/>
      <c r="LH56" s="103"/>
      <c r="LI56" s="103"/>
      <c r="LJ56" s="103"/>
      <c r="LK56" s="103"/>
      <c r="LL56" s="582" t="s">
        <v>593</v>
      </c>
      <c r="LM56" s="103"/>
    </row>
    <row r="57" spans="2:325" s="788" customFormat="1">
      <c r="B57" s="789" t="s">
        <v>29</v>
      </c>
      <c r="C57" s="773" t="s">
        <v>777</v>
      </c>
      <c r="D57" s="181">
        <v>3.4000000000000002E-2</v>
      </c>
      <c r="E57" s="181">
        <v>3.4000000000000002E-2</v>
      </c>
      <c r="F57" s="181">
        <v>3.4000000000000002E-2</v>
      </c>
      <c r="G57" s="181">
        <v>3.4000000000000002E-2</v>
      </c>
      <c r="H57" s="557">
        <v>3.4000000000000002E-2</v>
      </c>
      <c r="I57" s="181"/>
      <c r="J57" s="181"/>
      <c r="K57" s="181"/>
      <c r="L57" s="181"/>
      <c r="M57" s="181"/>
      <c r="N57" s="181"/>
      <c r="O57" s="181"/>
      <c r="P57" s="181"/>
      <c r="Q57" s="181"/>
      <c r="R57" s="181"/>
      <c r="S57" s="181"/>
      <c r="T57" s="181"/>
      <c r="U57" s="181"/>
      <c r="V57" s="181"/>
      <c r="W57" s="167"/>
      <c r="X57" s="167"/>
      <c r="Y57" s="167"/>
      <c r="Z57" s="167"/>
      <c r="AA57" s="167"/>
      <c r="AB57" s="167"/>
      <c r="AC57" s="167"/>
      <c r="AD57" s="167"/>
      <c r="AE57" s="167"/>
      <c r="AF57" s="63"/>
      <c r="AG57" s="63"/>
      <c r="AH57" s="63"/>
      <c r="AI57" s="63"/>
      <c r="AJ57" s="167"/>
      <c r="AK57" s="63"/>
      <c r="AL57" s="790"/>
      <c r="AM57" s="167"/>
      <c r="AN57" s="791"/>
      <c r="AO57" s="791"/>
      <c r="AP57" s="791"/>
      <c r="AQ57" s="791"/>
      <c r="AR57" s="791"/>
      <c r="AS57" s="791"/>
      <c r="AT57" s="791"/>
      <c r="AU57" s="791"/>
      <c r="AV57" s="791"/>
      <c r="AW57" s="791"/>
      <c r="AX57" s="791"/>
      <c r="AY57" s="791"/>
      <c r="AZ57" s="791"/>
      <c r="BA57" s="791"/>
      <c r="BB57" s="791"/>
      <c r="BC57" s="791"/>
      <c r="BD57" s="791"/>
      <c r="BE57" s="791"/>
      <c r="BF57" s="791"/>
      <c r="BG57" s="791"/>
      <c r="BH57" s="791"/>
      <c r="BI57" s="791"/>
      <c r="BJ57" s="791"/>
      <c r="BK57" s="791"/>
      <c r="BL57" s="791"/>
      <c r="BM57" s="791"/>
      <c r="BN57" s="791"/>
      <c r="BO57" s="791"/>
      <c r="BP57" s="791"/>
      <c r="BQ57" s="791"/>
      <c r="BR57" s="791"/>
      <c r="BS57" s="791"/>
      <c r="BT57" s="791"/>
      <c r="BU57" s="791"/>
      <c r="BV57" s="791"/>
      <c r="BW57" s="791"/>
      <c r="BX57" s="791"/>
      <c r="BY57" s="791"/>
      <c r="BZ57" s="791"/>
      <c r="CA57" s="791"/>
      <c r="CB57" s="791"/>
      <c r="CC57" s="791"/>
      <c r="CD57" s="791"/>
      <c r="CE57" s="791"/>
      <c r="CF57" s="791"/>
      <c r="CG57" s="791"/>
      <c r="CH57" s="791"/>
      <c r="CI57" s="791"/>
      <c r="CJ57" s="791"/>
      <c r="CK57" s="791"/>
      <c r="CL57" s="791"/>
      <c r="CM57" s="791"/>
      <c r="CN57" s="791"/>
      <c r="CO57" s="791"/>
      <c r="CP57" s="791"/>
      <c r="CQ57" s="791"/>
      <c r="CR57" s="791"/>
      <c r="CS57" s="791"/>
      <c r="CT57" s="791"/>
      <c r="CU57" s="792"/>
      <c r="CV57" s="792"/>
      <c r="CW57" s="792"/>
      <c r="CX57" s="792"/>
      <c r="CY57" s="792"/>
      <c r="CZ57" s="792"/>
      <c r="DA57" s="792"/>
      <c r="DB57" s="792"/>
      <c r="DC57" s="792"/>
      <c r="DD57" s="792"/>
      <c r="DE57" s="792"/>
      <c r="DF57" s="792"/>
      <c r="DG57" s="792"/>
      <c r="DH57" s="792"/>
      <c r="DI57" s="792"/>
      <c r="DJ57" s="792"/>
      <c r="DK57" s="792"/>
      <c r="DL57" s="792"/>
      <c r="DM57" s="792"/>
      <c r="DN57" s="792"/>
      <c r="DO57" s="792"/>
      <c r="DP57" s="792"/>
      <c r="DQ57" s="792"/>
      <c r="DR57" s="792"/>
      <c r="DS57" s="792"/>
      <c r="DT57" s="792"/>
      <c r="DU57" s="792"/>
      <c r="DV57" s="792"/>
      <c r="DW57" s="792"/>
      <c r="DX57" s="792"/>
      <c r="DY57" s="792"/>
      <c r="DZ57" s="792"/>
      <c r="EA57" s="792"/>
      <c r="EB57" s="792"/>
      <c r="EC57" s="792"/>
      <c r="ED57" s="792"/>
      <c r="EE57" s="792"/>
      <c r="EF57" s="792"/>
      <c r="EG57" s="792"/>
      <c r="EH57" s="792"/>
      <c r="EI57" s="792"/>
      <c r="EJ57" s="792"/>
      <c r="EK57" s="792"/>
      <c r="EL57" s="792"/>
      <c r="EM57" s="792"/>
      <c r="EN57" s="792"/>
      <c r="EO57" s="792"/>
      <c r="EP57" s="792"/>
      <c r="EQ57" s="792"/>
      <c r="ER57" s="792"/>
      <c r="ES57" s="792"/>
      <c r="ET57" s="792"/>
      <c r="EU57" s="792"/>
      <c r="EV57" s="791"/>
      <c r="EW57" s="791"/>
      <c r="EX57" s="792"/>
      <c r="EY57" s="792"/>
      <c r="EZ57" s="792"/>
      <c r="FA57" s="792"/>
      <c r="FB57" s="792"/>
      <c r="FC57" s="792"/>
      <c r="FD57" s="792"/>
      <c r="FE57" s="792"/>
      <c r="FF57" s="792"/>
      <c r="FG57" s="792"/>
      <c r="FH57" s="792"/>
      <c r="FI57" s="792"/>
      <c r="FJ57" s="792"/>
      <c r="FK57" s="792"/>
      <c r="FL57" s="792"/>
      <c r="FM57" s="792"/>
      <c r="FN57" s="792"/>
      <c r="FO57" s="792"/>
      <c r="FP57" s="792"/>
      <c r="FQ57" s="792"/>
      <c r="FR57" s="792"/>
      <c r="FS57" s="792"/>
      <c r="FT57" s="792"/>
      <c r="FU57" s="792"/>
      <c r="FV57" s="792"/>
      <c r="FW57" s="792"/>
      <c r="FX57" s="792"/>
      <c r="FY57" s="792"/>
      <c r="FZ57" s="792"/>
      <c r="GA57" s="792"/>
      <c r="GB57" s="792"/>
      <c r="GC57" s="792"/>
      <c r="GD57" s="792"/>
      <c r="GE57" s="792"/>
      <c r="GF57" s="792"/>
      <c r="GG57" s="792"/>
      <c r="GH57" s="792"/>
      <c r="GI57" s="792"/>
      <c r="GJ57" s="792"/>
      <c r="GK57" s="792"/>
      <c r="GL57" s="792"/>
      <c r="GM57" s="792"/>
      <c r="GN57" s="792"/>
      <c r="GO57" s="792"/>
      <c r="GP57" s="792"/>
      <c r="GQ57" s="792"/>
      <c r="GR57" s="792"/>
      <c r="GS57" s="792"/>
      <c r="GT57" s="792"/>
      <c r="GU57" s="792"/>
      <c r="GV57" s="792"/>
      <c r="GW57" s="792"/>
      <c r="GX57" s="792"/>
      <c r="GY57" s="792"/>
      <c r="GZ57" s="792"/>
      <c r="HA57" s="792"/>
      <c r="HB57" s="792"/>
      <c r="HC57" s="792"/>
      <c r="HD57" s="792"/>
      <c r="HE57" s="792"/>
      <c r="HF57" s="792"/>
      <c r="HG57" s="792"/>
      <c r="HH57" s="792"/>
      <c r="HI57" s="792"/>
      <c r="HJ57" s="792"/>
      <c r="HK57" s="792"/>
      <c r="HL57" s="792"/>
      <c r="HM57" s="792"/>
      <c r="HN57" s="41">
        <f t="shared" si="14"/>
        <v>0</v>
      </c>
      <c r="HO57" s="793" t="s">
        <v>778</v>
      </c>
    </row>
    <row r="58" spans="2:325">
      <c r="B58" s="1075" t="s">
        <v>33</v>
      </c>
      <c r="C58" s="169" t="s">
        <v>683</v>
      </c>
      <c r="D58" s="167">
        <v>2.1499999999999998E-2</v>
      </c>
      <c r="E58" s="167">
        <v>2.1499999999999998E-2</v>
      </c>
      <c r="F58" s="167">
        <v>2.1499999999999998E-2</v>
      </c>
      <c r="G58" s="167">
        <v>2.1499999999999998E-2</v>
      </c>
      <c r="H58" s="167">
        <v>2.1499999999999998E-2</v>
      </c>
      <c r="I58" s="167">
        <v>2.1499999999999998E-2</v>
      </c>
      <c r="J58" s="167">
        <v>2.1499999999999998E-2</v>
      </c>
      <c r="K58" s="167">
        <v>2.1499999999999998E-2</v>
      </c>
      <c r="L58" s="167">
        <v>2.1499999999999998E-2</v>
      </c>
      <c r="M58" s="167">
        <v>2.1499999999999998E-2</v>
      </c>
      <c r="N58" s="167">
        <v>2.1499999999999998E-2</v>
      </c>
      <c r="O58" s="167">
        <v>2.1499999999999998E-2</v>
      </c>
      <c r="P58" s="167">
        <v>2.1499999999999998E-2</v>
      </c>
      <c r="Q58" s="167">
        <v>2.1499999999999998E-2</v>
      </c>
      <c r="R58" s="167">
        <v>2.1499999999999998E-2</v>
      </c>
      <c r="S58" s="167">
        <v>2.2499999999999999E-2</v>
      </c>
      <c r="T58" s="167">
        <v>2.2499999999999999E-2</v>
      </c>
      <c r="U58" s="167">
        <v>2.2499999999999999E-2</v>
      </c>
      <c r="V58" s="167">
        <v>2.2499999999999999E-2</v>
      </c>
      <c r="W58" s="167">
        <v>2.2499999999999999E-2</v>
      </c>
      <c r="X58" s="167">
        <v>2.2499999999999999E-2</v>
      </c>
      <c r="Y58" s="167">
        <v>2.2499999999999999E-2</v>
      </c>
      <c r="Z58" s="168">
        <v>2.2499999999999999E-2</v>
      </c>
      <c r="AA58" s="167">
        <v>2.4500000000000001E-2</v>
      </c>
      <c r="AB58" s="167">
        <v>2.4500000000000001E-2</v>
      </c>
      <c r="AC58" s="167">
        <v>2.4500000000000001E-2</v>
      </c>
      <c r="AD58" s="167">
        <v>2.4500000000000001E-2</v>
      </c>
      <c r="AE58" s="167">
        <v>2.4500000000000001E-2</v>
      </c>
      <c r="AF58" s="63">
        <v>2.4500000000000001E-2</v>
      </c>
      <c r="AG58" s="63">
        <v>2.4500000000000001E-2</v>
      </c>
      <c r="AH58" s="63">
        <v>2.4500000000000001E-2</v>
      </c>
      <c r="AI58" s="63">
        <v>2.4500000000000001E-2</v>
      </c>
      <c r="AJ58" s="168">
        <v>2.4500000000000001E-2</v>
      </c>
      <c r="AK58" s="63">
        <v>2.1999999999999999E-2</v>
      </c>
      <c r="AL58" s="108">
        <v>2.1999999999999999E-2</v>
      </c>
      <c r="AM58" s="167">
        <v>2.1999999999999999E-2</v>
      </c>
      <c r="AN58" s="166">
        <v>2.1999999999999999E-2</v>
      </c>
      <c r="AO58" s="152">
        <v>2.35E-2</v>
      </c>
      <c r="AP58" s="152">
        <v>2.35E-2</v>
      </c>
      <c r="AQ58" s="152">
        <v>2.35E-2</v>
      </c>
      <c r="AR58" s="107">
        <v>2.35E-2</v>
      </c>
      <c r="AS58" s="152">
        <v>2.4500000000000001E-2</v>
      </c>
      <c r="AT58" s="152">
        <v>2.4500000000000001E-2</v>
      </c>
      <c r="AU58" s="152">
        <v>2.4500000000000001E-2</v>
      </c>
      <c r="AV58" s="107">
        <v>2.4500000000000001E-2</v>
      </c>
      <c r="AW58" s="152">
        <v>2.5499999999999998E-2</v>
      </c>
      <c r="AX58" s="152">
        <v>2.9000000000000001E-2</v>
      </c>
      <c r="AY58" s="152">
        <v>2.9000000000000001E-2</v>
      </c>
      <c r="AZ58" s="152">
        <v>2.9000000000000001E-2</v>
      </c>
      <c r="BA58" s="152">
        <v>3.3000000000000002E-2</v>
      </c>
      <c r="BB58" s="107">
        <v>3.3000000000000002E-2</v>
      </c>
      <c r="BC58" s="152">
        <v>3.5000000000000003E-2</v>
      </c>
      <c r="BD58" s="152">
        <v>3.5000000000000003E-2</v>
      </c>
      <c r="BE58" s="152">
        <v>3.5000000000000003E-2</v>
      </c>
      <c r="BF58" s="152">
        <v>3.5000000000000003E-2</v>
      </c>
      <c r="BG58" s="152">
        <v>3.5000000000000003E-2</v>
      </c>
      <c r="BH58" s="152">
        <v>3.2800000000000003E-2</v>
      </c>
      <c r="BI58" s="152">
        <v>3.2800000000000003E-2</v>
      </c>
      <c r="BJ58" s="152">
        <v>3.2800000000000003E-2</v>
      </c>
      <c r="BK58" s="152">
        <v>3.2800000000000003E-2</v>
      </c>
      <c r="BL58" s="152">
        <v>3.3000000000000002E-2</v>
      </c>
      <c r="BM58" s="152">
        <v>3.3000000000000002E-2</v>
      </c>
      <c r="BN58" s="152">
        <v>3.3000000000000002E-2</v>
      </c>
      <c r="BO58" s="152">
        <v>3.3000000000000002E-2</v>
      </c>
      <c r="BP58" s="152">
        <v>3.3000000000000002E-2</v>
      </c>
      <c r="BQ58" s="152">
        <v>3.3000000000000002E-2</v>
      </c>
      <c r="BR58" s="152">
        <v>3.3000000000000002E-2</v>
      </c>
      <c r="BS58" s="152">
        <v>3.3000000000000002E-2</v>
      </c>
      <c r="BT58" s="152">
        <v>3.3000000000000002E-2</v>
      </c>
      <c r="BU58" s="152">
        <v>3.3000000000000002E-2</v>
      </c>
      <c r="BV58" s="152">
        <v>3.3000000000000002E-2</v>
      </c>
      <c r="BW58" s="152">
        <v>3.3000000000000002E-2</v>
      </c>
      <c r="BX58" s="152">
        <v>3.3000000000000002E-2</v>
      </c>
      <c r="BY58" s="152">
        <v>3.3000000000000002E-2</v>
      </c>
      <c r="BZ58" s="152">
        <v>3.4000000000000002E-2</v>
      </c>
      <c r="CA58" s="152">
        <v>3.5000000000000003E-2</v>
      </c>
      <c r="CB58" s="152">
        <v>3.5000000000000003E-2</v>
      </c>
      <c r="CC58" s="152">
        <v>4.1000000000000002E-2</v>
      </c>
      <c r="CD58" s="152">
        <v>4.1000000000000002E-2</v>
      </c>
      <c r="CE58" s="152">
        <v>4.1000000000000002E-2</v>
      </c>
      <c r="CF58" s="152">
        <v>4.1000000000000002E-2</v>
      </c>
      <c r="CG58" s="152"/>
      <c r="CH58" s="152"/>
      <c r="CI58" s="152"/>
      <c r="CJ58" s="152"/>
      <c r="CK58" s="152"/>
      <c r="CL58" s="152"/>
      <c r="CM58" s="152"/>
      <c r="CN58" s="152"/>
      <c r="CO58" s="152"/>
      <c r="CP58" s="152"/>
      <c r="CQ58" s="152"/>
      <c r="CR58" s="152"/>
      <c r="CS58" s="152"/>
      <c r="CT58" s="152"/>
      <c r="CU58" s="110"/>
      <c r="CV58" s="110"/>
      <c r="CW58" s="110"/>
      <c r="CX58" s="110"/>
      <c r="CY58" s="110"/>
      <c r="CZ58" s="110"/>
      <c r="DA58" s="110"/>
      <c r="DB58" s="110"/>
      <c r="DC58" s="110"/>
      <c r="DD58" s="110"/>
      <c r="DE58" s="110"/>
      <c r="DF58" s="110"/>
      <c r="DG58" s="110"/>
      <c r="DH58" s="110"/>
      <c r="DI58" s="110"/>
      <c r="DJ58" s="110"/>
      <c r="DK58" s="110"/>
      <c r="DL58" s="110"/>
      <c r="DM58" s="110"/>
      <c r="DN58" s="110"/>
      <c r="DO58" s="110"/>
      <c r="DP58" s="110"/>
      <c r="DQ58" s="110"/>
      <c r="DR58" s="110"/>
      <c r="DS58" s="110"/>
      <c r="DT58" s="110"/>
      <c r="DU58" s="110"/>
      <c r="DV58" s="110"/>
      <c r="DW58" s="110"/>
      <c r="DX58" s="110"/>
      <c r="DY58" s="110"/>
      <c r="DZ58" s="110"/>
      <c r="EA58" s="110"/>
      <c r="EB58" s="110"/>
      <c r="EC58" s="110"/>
      <c r="ED58" s="110"/>
      <c r="EE58" s="110"/>
      <c r="EF58" s="110"/>
      <c r="EG58" s="110"/>
      <c r="EH58" s="110"/>
      <c r="EI58" s="110"/>
      <c r="EJ58" s="110"/>
      <c r="EK58" s="110"/>
      <c r="EL58" s="110"/>
      <c r="EM58" s="110"/>
      <c r="EN58" s="110"/>
      <c r="EO58" s="110"/>
      <c r="EP58" s="110"/>
      <c r="EQ58" s="110"/>
      <c r="ER58" s="110"/>
      <c r="ES58" s="110"/>
      <c r="ET58" s="110"/>
      <c r="EU58" s="110"/>
      <c r="EV58" s="110"/>
      <c r="EW58" s="110"/>
      <c r="EX58" s="110"/>
      <c r="EY58" s="110"/>
      <c r="EZ58" s="110"/>
      <c r="FA58" s="110"/>
      <c r="FB58" s="110"/>
      <c r="FC58" s="110"/>
      <c r="FD58" s="110"/>
      <c r="FE58" s="110"/>
      <c r="FF58" s="110"/>
      <c r="FG58" s="110"/>
      <c r="FH58" s="110"/>
      <c r="FI58" s="110"/>
      <c r="FJ58" s="110"/>
      <c r="FK58" s="110"/>
      <c r="FL58" s="110"/>
      <c r="FM58" s="110"/>
      <c r="FN58" s="110"/>
      <c r="FO58" s="110"/>
      <c r="FP58" s="110"/>
      <c r="FQ58" s="110"/>
      <c r="FR58" s="110"/>
      <c r="FS58" s="110"/>
      <c r="FT58" s="110"/>
      <c r="FU58" s="110"/>
      <c r="FV58" s="110"/>
      <c r="FW58" s="110"/>
      <c r="FX58" s="110"/>
      <c r="FY58" s="110"/>
      <c r="FZ58" s="110"/>
      <c r="GA58" s="110"/>
      <c r="GB58" s="110"/>
      <c r="GC58" s="110"/>
      <c r="GD58" s="110"/>
      <c r="GE58" s="110"/>
      <c r="GF58" s="110"/>
      <c r="GG58" s="110"/>
      <c r="GH58" s="110"/>
      <c r="GI58" s="110"/>
      <c r="GJ58" s="110"/>
      <c r="GK58" s="110"/>
      <c r="GL58" s="110"/>
      <c r="GM58" s="110"/>
      <c r="GN58" s="110"/>
      <c r="GO58" s="110"/>
      <c r="GP58" s="110"/>
      <c r="GQ58" s="110"/>
      <c r="GR58" s="110"/>
      <c r="GS58" s="110"/>
      <c r="GT58" s="110"/>
      <c r="GU58" s="110"/>
      <c r="GV58" s="110"/>
      <c r="GW58" s="110"/>
      <c r="GX58" s="110"/>
      <c r="GY58" s="110"/>
      <c r="GZ58" s="110"/>
      <c r="HA58" s="110"/>
      <c r="HB58" s="110"/>
      <c r="HC58" s="110"/>
      <c r="HD58" s="110"/>
      <c r="HE58" s="110"/>
      <c r="HF58" s="110"/>
      <c r="HG58" s="110"/>
      <c r="HH58" s="110"/>
      <c r="HI58" s="110"/>
      <c r="HJ58" s="110"/>
      <c r="HK58" s="110"/>
      <c r="HL58" s="110"/>
      <c r="HM58" s="110"/>
      <c r="HN58" s="41">
        <f t="shared" si="14"/>
        <v>0</v>
      </c>
      <c r="HO58" s="112"/>
      <c r="HT58" s="103"/>
      <c r="HU58" s="103"/>
      <c r="HV58" s="103"/>
      <c r="HW58" s="103"/>
      <c r="HX58" s="103"/>
      <c r="HY58" s="103"/>
      <c r="HZ58" s="103"/>
      <c r="IA58" s="103"/>
      <c r="IB58" s="103"/>
      <c r="IC58" s="103"/>
      <c r="ID58" s="103"/>
      <c r="IE58" s="103"/>
      <c r="IF58" s="103"/>
      <c r="IG58" s="103"/>
      <c r="IH58" s="103"/>
      <c r="II58" s="103"/>
      <c r="IJ58" s="103"/>
      <c r="IK58" s="103"/>
      <c r="IL58" s="103"/>
      <c r="IM58" s="103"/>
      <c r="IN58" s="103"/>
      <c r="IO58" s="103"/>
      <c r="IP58" s="103"/>
      <c r="IQ58" s="103"/>
      <c r="IR58" s="103"/>
      <c r="IS58" s="103"/>
      <c r="IT58" s="103"/>
      <c r="IU58" s="103"/>
      <c r="IV58" s="103"/>
      <c r="IW58" s="103"/>
      <c r="IX58" s="103"/>
      <c r="IY58" s="103"/>
      <c r="IZ58" s="103"/>
      <c r="JA58" s="103"/>
      <c r="JB58" s="103"/>
      <c r="JC58" s="103"/>
      <c r="JD58" s="103"/>
      <c r="JE58" s="103"/>
      <c r="JF58" s="103"/>
      <c r="JG58" s="103"/>
      <c r="JH58" s="103"/>
      <c r="JI58" s="103"/>
      <c r="JJ58" s="103"/>
      <c r="JK58" s="103"/>
      <c r="JL58" s="103"/>
      <c r="JM58" s="103"/>
      <c r="JN58" s="103"/>
      <c r="JO58" s="103"/>
      <c r="JP58" s="103"/>
      <c r="JQ58" s="103"/>
      <c r="JR58" s="103"/>
      <c r="JS58" s="103"/>
      <c r="JT58" s="103"/>
      <c r="JU58" s="103"/>
      <c r="JV58" s="103"/>
      <c r="JW58" s="103"/>
      <c r="JX58" s="103"/>
      <c r="JY58" s="103"/>
      <c r="JZ58" s="103"/>
      <c r="KA58" s="103"/>
      <c r="KB58" s="103"/>
      <c r="KC58" s="103"/>
      <c r="KD58" s="103"/>
      <c r="KE58" s="103"/>
      <c r="KF58" s="103"/>
      <c r="KG58" s="103"/>
      <c r="KH58" s="103"/>
      <c r="KI58" s="103"/>
      <c r="KJ58" s="103"/>
      <c r="KK58" s="103"/>
      <c r="KL58" s="103"/>
      <c r="KM58" s="103"/>
      <c r="KN58" s="103"/>
      <c r="KO58" s="103"/>
      <c r="KP58" s="103"/>
      <c r="KQ58" s="103"/>
      <c r="KR58" s="103"/>
      <c r="KS58" s="103"/>
      <c r="KT58" s="103"/>
      <c r="KU58" s="103"/>
      <c r="KV58" s="103"/>
      <c r="KW58" s="103"/>
      <c r="KX58" s="103"/>
      <c r="KY58" s="103"/>
      <c r="KZ58" s="103"/>
      <c r="LA58" s="103"/>
      <c r="LB58" s="103"/>
      <c r="LC58" s="103"/>
      <c r="LD58" s="103"/>
      <c r="LE58" s="103"/>
      <c r="LF58" s="103"/>
      <c r="LG58" s="103"/>
      <c r="LH58" s="103"/>
      <c r="LI58" s="103"/>
      <c r="LJ58" s="103"/>
      <c r="LK58" s="103"/>
      <c r="LL58" s="103"/>
      <c r="LM58" s="103"/>
    </row>
    <row r="59" spans="2:325" hidden="1">
      <c r="B59" s="1076"/>
      <c r="C59" s="165" t="s">
        <v>295</v>
      </c>
      <c r="D59" s="167"/>
      <c r="E59" s="167"/>
      <c r="F59" s="167"/>
      <c r="G59" s="167"/>
      <c r="H59" s="167"/>
      <c r="I59" s="167"/>
      <c r="J59" s="167"/>
      <c r="K59" s="167"/>
      <c r="L59" s="167"/>
      <c r="M59" s="167"/>
      <c r="N59" s="167"/>
      <c r="O59" s="167"/>
      <c r="P59" s="167"/>
      <c r="Q59" s="167"/>
      <c r="R59" s="167"/>
      <c r="S59" s="167"/>
      <c r="T59" s="167"/>
      <c r="U59" s="167"/>
      <c r="V59" s="167"/>
      <c r="W59" s="162">
        <v>3.2000000000000001E-2</v>
      </c>
      <c r="X59" s="162">
        <v>3.2000000000000001E-2</v>
      </c>
      <c r="Y59" s="162">
        <v>3.2000000000000001E-2</v>
      </c>
      <c r="Z59" s="162">
        <v>3.2000000000000001E-2</v>
      </c>
      <c r="AA59" s="162">
        <v>3.2000000000000001E-2</v>
      </c>
      <c r="AB59" s="162">
        <v>3.2000000000000001E-2</v>
      </c>
      <c r="AC59" s="162">
        <v>3.2000000000000001E-2</v>
      </c>
      <c r="AD59" s="162">
        <v>3.2000000000000001E-2</v>
      </c>
      <c r="AE59" s="162">
        <v>3.2000000000000001E-2</v>
      </c>
      <c r="AF59" s="164">
        <v>3.2000000000000001E-2</v>
      </c>
      <c r="AG59" s="164">
        <v>3.2000000000000001E-2</v>
      </c>
      <c r="AH59" s="164">
        <v>3.2000000000000001E-2</v>
      </c>
      <c r="AI59" s="164">
        <v>3.2000000000000001E-2</v>
      </c>
      <c r="AJ59" s="162">
        <v>3.2000000000000001E-2</v>
      </c>
      <c r="AK59" s="164">
        <v>3.2000000000000001E-2</v>
      </c>
      <c r="AL59" s="163">
        <v>3.2000000000000001E-2</v>
      </c>
      <c r="AM59" s="162">
        <v>3.2000000000000001E-2</v>
      </c>
      <c r="AN59" s="160">
        <v>3.2000000000000001E-2</v>
      </c>
      <c r="AO59" s="160">
        <v>3.2000000000000001E-2</v>
      </c>
      <c r="AP59" s="160">
        <v>3.2000000000000001E-2</v>
      </c>
      <c r="AQ59" s="160">
        <v>3.2000000000000001E-2</v>
      </c>
      <c r="AR59" s="160">
        <v>3.2000000000000001E-2</v>
      </c>
      <c r="AS59" s="160">
        <v>3.2000000000000001E-2</v>
      </c>
      <c r="AT59" s="160">
        <v>3.2000000000000001E-2</v>
      </c>
      <c r="AU59" s="160">
        <v>3.2000000000000001E-2</v>
      </c>
      <c r="AV59" s="160">
        <v>3.2000000000000001E-2</v>
      </c>
      <c r="AW59" s="160">
        <v>3.2000000000000001E-2</v>
      </c>
      <c r="AX59" s="160">
        <v>3.2000000000000001E-2</v>
      </c>
      <c r="AY59" s="160">
        <v>3.2000000000000001E-2</v>
      </c>
      <c r="AZ59" s="160">
        <v>3.2000000000000001E-2</v>
      </c>
      <c r="BA59" s="160">
        <v>3.2000000000000001E-2</v>
      </c>
      <c r="BB59" s="161">
        <v>3.2000000000000001E-2</v>
      </c>
      <c r="BC59" s="160">
        <v>3.2000000000000001E-2</v>
      </c>
      <c r="BD59" s="160">
        <v>3.2000000000000001E-2</v>
      </c>
      <c r="BE59" s="160">
        <v>3.2000000000000001E-2</v>
      </c>
      <c r="BF59" s="160">
        <v>3.2000000000000001E-2</v>
      </c>
      <c r="BG59" s="160">
        <v>3.2000000000000001E-2</v>
      </c>
      <c r="BH59" s="160">
        <v>3.2000000000000001E-2</v>
      </c>
      <c r="BI59" s="160">
        <v>3.2000000000000001E-2</v>
      </c>
      <c r="BJ59" s="160">
        <v>3.2000000000000001E-2</v>
      </c>
      <c r="BK59" s="160">
        <v>3.2000000000000001E-2</v>
      </c>
      <c r="BL59" s="160">
        <v>3.2000000000000001E-2</v>
      </c>
      <c r="BM59" s="160">
        <v>3.2000000000000001E-2</v>
      </c>
      <c r="BN59" s="160">
        <v>3.2000000000000001E-2</v>
      </c>
      <c r="BO59" s="160">
        <v>3.2000000000000001E-2</v>
      </c>
      <c r="BP59" s="160">
        <v>3.2000000000000001E-2</v>
      </c>
      <c r="BQ59" s="152">
        <v>3.2000000000000001E-2</v>
      </c>
      <c r="BR59" s="152">
        <v>3.2000000000000001E-2</v>
      </c>
      <c r="BS59" s="152">
        <v>3.2000000000000001E-2</v>
      </c>
      <c r="BT59" s="152">
        <v>3.2000000000000001E-2</v>
      </c>
      <c r="BU59" s="152">
        <v>3.2000000000000001E-2</v>
      </c>
      <c r="BV59" s="152">
        <v>3.2000000000000001E-2</v>
      </c>
      <c r="BW59" s="152">
        <v>3.2000000000000001E-2</v>
      </c>
      <c r="BX59" s="152">
        <v>3.2000000000000001E-2</v>
      </c>
      <c r="BY59" s="152">
        <v>3.2000000000000001E-2</v>
      </c>
      <c r="BZ59" s="152" t="s">
        <v>124</v>
      </c>
      <c r="CA59" s="152"/>
      <c r="CB59" s="152"/>
      <c r="CC59" s="152"/>
      <c r="CD59" s="152"/>
      <c r="CE59" s="152"/>
      <c r="CF59" s="152"/>
      <c r="CG59" s="152"/>
      <c r="CH59" s="152"/>
      <c r="CI59" s="152"/>
      <c r="CJ59" s="152"/>
      <c r="CK59" s="152"/>
      <c r="CL59" s="152"/>
      <c r="CM59" s="152"/>
      <c r="CN59" s="152"/>
      <c r="CO59" s="152"/>
      <c r="CP59" s="152"/>
      <c r="CQ59" s="152"/>
      <c r="CR59" s="152"/>
      <c r="CS59" s="152"/>
      <c r="CT59" s="152"/>
      <c r="CU59" s="110"/>
      <c r="CV59" s="110"/>
      <c r="CW59" s="110"/>
      <c r="CX59" s="110"/>
      <c r="CY59" s="110"/>
      <c r="CZ59" s="110"/>
      <c r="DA59" s="110"/>
      <c r="DB59" s="110"/>
      <c r="DC59" s="110"/>
      <c r="DD59" s="110"/>
      <c r="DE59" s="110"/>
      <c r="DF59" s="110"/>
      <c r="DG59" s="110"/>
      <c r="DH59" s="110"/>
      <c r="DI59" s="110"/>
      <c r="DJ59" s="110"/>
      <c r="DK59" s="110"/>
      <c r="DL59" s="110"/>
      <c r="DM59" s="110"/>
      <c r="DN59" s="110"/>
      <c r="DO59" s="110"/>
      <c r="DP59" s="110"/>
      <c r="DQ59" s="110"/>
      <c r="DR59" s="110"/>
      <c r="DS59" s="110"/>
      <c r="DT59" s="110"/>
      <c r="DU59" s="110"/>
      <c r="DV59" s="110"/>
      <c r="DW59" s="110"/>
      <c r="DX59" s="110"/>
      <c r="DY59" s="110"/>
      <c r="DZ59" s="110"/>
      <c r="EA59" s="110"/>
      <c r="EB59" s="110"/>
      <c r="EC59" s="110"/>
      <c r="ED59" s="110"/>
      <c r="EE59" s="110"/>
      <c r="EF59" s="110"/>
      <c r="EG59" s="110"/>
      <c r="EH59" s="110"/>
      <c r="EI59" s="110"/>
      <c r="EJ59" s="110"/>
      <c r="EK59" s="110"/>
      <c r="EL59" s="110"/>
      <c r="EM59" s="110"/>
      <c r="EN59" s="110"/>
      <c r="EO59" s="110"/>
      <c r="EP59" s="110"/>
      <c r="EQ59" s="110"/>
      <c r="ER59" s="110"/>
      <c r="ES59" s="110"/>
      <c r="ET59" s="110"/>
      <c r="EU59" s="110"/>
      <c r="EV59" s="110"/>
      <c r="EW59" s="110"/>
      <c r="EX59" s="110"/>
      <c r="EY59" s="110"/>
      <c r="EZ59" s="110"/>
      <c r="FA59" s="110"/>
      <c r="FB59" s="110"/>
      <c r="FC59" s="110"/>
      <c r="FD59" s="110"/>
      <c r="FE59" s="110"/>
      <c r="FF59" s="110"/>
      <c r="FG59" s="110"/>
      <c r="FH59" s="110"/>
      <c r="FI59" s="110"/>
      <c r="FJ59" s="110"/>
      <c r="FK59" s="110"/>
      <c r="FL59" s="110"/>
      <c r="FM59" s="110"/>
      <c r="FN59" s="110"/>
      <c r="FO59" s="110"/>
      <c r="FP59" s="110"/>
      <c r="FQ59" s="110"/>
      <c r="FR59" s="110"/>
      <c r="FS59" s="110"/>
      <c r="FT59" s="110"/>
      <c r="FU59" s="110"/>
      <c r="FV59" s="110"/>
      <c r="FW59" s="110"/>
      <c r="FX59" s="110"/>
      <c r="FY59" s="110"/>
      <c r="FZ59" s="110"/>
      <c r="GA59" s="110"/>
      <c r="GB59" s="159"/>
      <c r="GC59" s="159"/>
      <c r="GD59" s="159"/>
      <c r="GE59" s="159"/>
      <c r="GF59" s="159"/>
      <c r="GG59" s="159"/>
      <c r="GH59" s="159"/>
      <c r="GI59" s="159"/>
      <c r="GJ59" s="159"/>
      <c r="GK59" s="159"/>
      <c r="GL59" s="159"/>
      <c r="GM59" s="159"/>
      <c r="GN59" s="159"/>
      <c r="GO59" s="159"/>
      <c r="GP59" s="159"/>
      <c r="GQ59" s="159"/>
      <c r="GR59" s="159"/>
      <c r="GS59" s="159"/>
      <c r="GT59" s="159"/>
      <c r="GU59" s="159"/>
      <c r="GV59" s="159"/>
      <c r="GW59" s="159"/>
      <c r="GX59" s="159"/>
      <c r="GY59" s="159"/>
      <c r="GZ59" s="159"/>
      <c r="HA59" s="159"/>
      <c r="HB59" s="159"/>
      <c r="HC59" s="159"/>
      <c r="HD59" s="159"/>
      <c r="HE59" s="159"/>
      <c r="HF59" s="159"/>
      <c r="HG59" s="159"/>
      <c r="HH59" s="159"/>
      <c r="HI59" s="159"/>
      <c r="HJ59" s="159"/>
      <c r="HK59" s="159"/>
      <c r="HL59" s="159"/>
      <c r="HM59" s="159"/>
      <c r="HN59" s="41">
        <f t="shared" si="14"/>
        <v>0</v>
      </c>
      <c r="HO59" s="112"/>
    </row>
    <row r="60" spans="2:325">
      <c r="B60" s="1075" t="s">
        <v>35</v>
      </c>
      <c r="C60" s="179" t="s">
        <v>299</v>
      </c>
      <c r="D60" s="167">
        <v>3.3500000000000002E-2</v>
      </c>
      <c r="E60" s="167">
        <v>3.3500000000000002E-2</v>
      </c>
      <c r="F60" s="167">
        <v>3.3500000000000002E-2</v>
      </c>
      <c r="G60" s="167">
        <v>3.3500000000000002E-2</v>
      </c>
      <c r="H60" s="167">
        <v>3.3500000000000002E-2</v>
      </c>
      <c r="I60" s="167">
        <v>3.3500000000000002E-2</v>
      </c>
      <c r="J60" s="167">
        <v>3.3500000000000002E-2</v>
      </c>
      <c r="K60" s="168">
        <v>3.3500000000000002E-2</v>
      </c>
      <c r="L60" s="167">
        <v>3.3000000000000002E-2</v>
      </c>
      <c r="M60" s="167">
        <v>3.4500000000000003E-2</v>
      </c>
      <c r="N60" s="167">
        <v>3.4500000000000003E-2</v>
      </c>
      <c r="O60" s="168">
        <v>3.4500000000000003E-2</v>
      </c>
      <c r="P60" s="167">
        <v>3.5499999999999997E-2</v>
      </c>
      <c r="Q60" s="167">
        <v>3.5499999999999997E-2</v>
      </c>
      <c r="R60" s="167">
        <v>3.5499999999999997E-2</v>
      </c>
      <c r="S60" s="167">
        <v>3.5499999999999997E-2</v>
      </c>
      <c r="T60" s="168">
        <v>3.5499999999999997E-2</v>
      </c>
      <c r="U60" s="167">
        <v>3.6499999999999998E-2</v>
      </c>
      <c r="V60" s="167">
        <v>3.6499999999999998E-2</v>
      </c>
      <c r="W60" s="168">
        <v>3.6499999999999998E-2</v>
      </c>
      <c r="X60" s="167">
        <v>3.6999999999999998E-2</v>
      </c>
      <c r="Y60" s="167">
        <v>3.6999999999999998E-2</v>
      </c>
      <c r="Z60" s="167">
        <v>3.6999999999999998E-2</v>
      </c>
      <c r="AA60" s="167">
        <v>3.6999999999999998E-2</v>
      </c>
      <c r="AB60" s="167">
        <v>3.6999999999999998E-2</v>
      </c>
      <c r="AC60" s="167">
        <v>3.6999999999999998E-2</v>
      </c>
      <c r="AD60" s="167">
        <v>3.6999999999999998E-2</v>
      </c>
      <c r="AE60" s="167">
        <v>3.6999999999999998E-2</v>
      </c>
      <c r="AF60" s="63">
        <v>3.6999999999999998E-2</v>
      </c>
      <c r="AG60" s="63">
        <v>3.6999999999999998E-2</v>
      </c>
      <c r="AH60" s="63">
        <v>3.6999999999999998E-2</v>
      </c>
      <c r="AI60" s="63">
        <v>3.6999999999999998E-2</v>
      </c>
      <c r="AJ60" s="167">
        <v>3.6999999999999998E-2</v>
      </c>
      <c r="AK60" s="63">
        <v>3.6999999999999998E-2</v>
      </c>
      <c r="AL60" s="108">
        <v>3.6999999999999998E-2</v>
      </c>
      <c r="AM60" s="167">
        <v>3.6999999999999998E-2</v>
      </c>
      <c r="AN60" s="152">
        <v>3.6999999999999998E-2</v>
      </c>
      <c r="AO60" s="152">
        <v>3.6999999999999998E-2</v>
      </c>
      <c r="AP60" s="152">
        <v>3.6999999999999998E-2</v>
      </c>
      <c r="AQ60" s="152">
        <v>3.6999999999999998E-2</v>
      </c>
      <c r="AR60" s="152">
        <v>3.6999999999999998E-2</v>
      </c>
      <c r="AS60" s="152">
        <v>3.6999999999999998E-2</v>
      </c>
      <c r="AT60" s="152">
        <v>3.6999999999999998E-2</v>
      </c>
      <c r="AU60" s="152">
        <v>3.6999999999999998E-2</v>
      </c>
      <c r="AV60" s="152">
        <v>3.6999999999999998E-2</v>
      </c>
      <c r="AW60" s="152">
        <v>3.6999999999999998E-2</v>
      </c>
      <c r="AX60" s="152">
        <v>3.6999999999999998E-2</v>
      </c>
      <c r="AY60" s="152">
        <v>3.6999999999999998E-2</v>
      </c>
      <c r="AZ60" s="152">
        <v>3.6999999999999998E-2</v>
      </c>
      <c r="BA60" s="152">
        <v>3.6999999999999998E-2</v>
      </c>
      <c r="BB60" s="152">
        <v>3.6999999999999998E-2</v>
      </c>
      <c r="BC60" s="152">
        <v>3.6999999999999998E-2</v>
      </c>
      <c r="BD60" s="152">
        <v>3.6999999999999998E-2</v>
      </c>
      <c r="BE60" s="152">
        <v>3.6999999999999998E-2</v>
      </c>
      <c r="BF60" s="152">
        <v>3.6999999999999998E-2</v>
      </c>
      <c r="BG60" s="152">
        <v>3.6999999999999998E-2</v>
      </c>
      <c r="BH60" s="152">
        <v>3.6999999999999998E-2</v>
      </c>
      <c r="BI60" s="152">
        <v>3.6999999999999998E-2</v>
      </c>
      <c r="BJ60" s="152">
        <v>3.6999999999999998E-2</v>
      </c>
      <c r="BK60" s="152">
        <v>3.6999999999999998E-2</v>
      </c>
      <c r="BL60" s="152">
        <v>3.6999999999999998E-2</v>
      </c>
      <c r="BM60" s="152">
        <v>3.6999999999999998E-2</v>
      </c>
      <c r="BN60" s="152">
        <v>3.6999999999999998E-2</v>
      </c>
      <c r="BO60" s="152">
        <v>3.6999999999999998E-2</v>
      </c>
      <c r="BP60" s="152">
        <v>3.6999999999999998E-2</v>
      </c>
      <c r="BQ60" s="152">
        <v>3.6999999999999998E-2</v>
      </c>
      <c r="BR60" s="152">
        <v>3.6999999999999998E-2</v>
      </c>
      <c r="BS60" s="152">
        <v>3.6999999999999998E-2</v>
      </c>
      <c r="BT60" s="152">
        <v>3.6999999999999998E-2</v>
      </c>
      <c r="BU60" s="152">
        <v>3.6999999999999998E-2</v>
      </c>
      <c r="BV60" s="152">
        <v>3.6999999999999998E-2</v>
      </c>
      <c r="BW60" s="152">
        <v>3.6999999999999998E-2</v>
      </c>
      <c r="BX60" s="152">
        <v>3.6999999999999998E-2</v>
      </c>
      <c r="BY60" s="152">
        <v>4.1000000000000002E-2</v>
      </c>
      <c r="BZ60" s="152">
        <v>4.2999999999999997E-2</v>
      </c>
      <c r="CA60" s="152">
        <v>4.3999999999999997E-2</v>
      </c>
      <c r="CB60" s="152">
        <v>4.5999999999999999E-2</v>
      </c>
      <c r="CC60" s="152">
        <v>4.5999999999999999E-2</v>
      </c>
      <c r="CD60" s="152">
        <v>4.5999999999999999E-2</v>
      </c>
      <c r="CE60" s="152">
        <v>4.5999999999999999E-2</v>
      </c>
      <c r="CF60" s="152">
        <v>4.5999999999999999E-2</v>
      </c>
      <c r="CG60" s="152">
        <v>4.5999999999999999E-2</v>
      </c>
      <c r="CH60" s="152">
        <v>4.5999999999999999E-2</v>
      </c>
      <c r="CI60" s="152">
        <v>4.5999999999999999E-2</v>
      </c>
      <c r="CJ60" s="152">
        <v>4.5999999999999999E-2</v>
      </c>
      <c r="CK60" s="152">
        <v>4.5999999999999999E-2</v>
      </c>
      <c r="CL60" s="152">
        <v>4.5999999999999999E-2</v>
      </c>
      <c r="CM60" s="152">
        <v>4.5999999999999999E-2</v>
      </c>
      <c r="CN60" s="152">
        <v>4.5999999999999999E-2</v>
      </c>
      <c r="CO60" s="152">
        <v>4.5999999999999999E-2</v>
      </c>
      <c r="CP60" s="152">
        <v>4.5999999999999999E-2</v>
      </c>
      <c r="CQ60" s="152">
        <v>4.5999999999999999E-2</v>
      </c>
      <c r="CR60" s="152">
        <v>4.5999999999999999E-2</v>
      </c>
      <c r="CS60" s="109">
        <v>4.5999999999999999E-2</v>
      </c>
      <c r="CT60" s="109">
        <v>4.65E-2</v>
      </c>
      <c r="CU60" s="109">
        <v>4.65E-2</v>
      </c>
      <c r="CV60" s="109">
        <v>4.65E-2</v>
      </c>
      <c r="CW60" s="109">
        <v>4.65E-2</v>
      </c>
      <c r="CX60" s="109">
        <v>4.65E-2</v>
      </c>
      <c r="CY60" s="109">
        <v>4.65E-2</v>
      </c>
      <c r="CZ60" s="109">
        <v>4.65E-2</v>
      </c>
      <c r="DA60" s="109">
        <v>4.65E-2</v>
      </c>
      <c r="DB60" s="109">
        <v>4.65E-2</v>
      </c>
      <c r="DC60" s="109">
        <v>4.65E-2</v>
      </c>
      <c r="DD60" s="109">
        <v>4.65E-2</v>
      </c>
      <c r="DE60" s="109">
        <v>4.65E-2</v>
      </c>
      <c r="DF60" s="109">
        <v>4.65E-2</v>
      </c>
      <c r="DG60" s="109">
        <v>4.65E-2</v>
      </c>
      <c r="DH60" s="109">
        <v>4.65E-2</v>
      </c>
      <c r="DI60" s="109">
        <v>4.65E-2</v>
      </c>
      <c r="DJ60" s="109">
        <v>4.65E-2</v>
      </c>
      <c r="DK60" s="109">
        <v>4.65E-2</v>
      </c>
      <c r="DL60" s="109">
        <v>4.8000000000000001E-2</v>
      </c>
      <c r="DM60" s="109">
        <v>4.8000000000000001E-2</v>
      </c>
      <c r="DN60" s="109">
        <v>4.8000000000000001E-2</v>
      </c>
      <c r="DO60" s="109">
        <v>4.8000000000000001E-2</v>
      </c>
      <c r="DP60" s="109">
        <v>4.8000000000000001E-2</v>
      </c>
      <c r="DQ60" s="109">
        <v>4.8000000000000001E-2</v>
      </c>
      <c r="DR60" s="109">
        <v>4.8000000000000001E-2</v>
      </c>
      <c r="DS60" s="109">
        <v>4.8000000000000001E-2</v>
      </c>
      <c r="DT60" s="109">
        <v>4.8000000000000001E-2</v>
      </c>
      <c r="DU60" s="109">
        <v>4.8000000000000001E-2</v>
      </c>
      <c r="DV60" s="109">
        <v>4.8000000000000001E-2</v>
      </c>
      <c r="DW60" s="109">
        <v>4.8000000000000001E-2</v>
      </c>
      <c r="DX60" s="109">
        <v>4.8000000000000001E-2</v>
      </c>
      <c r="DY60" s="109">
        <v>4.8000000000000001E-2</v>
      </c>
      <c r="DZ60" s="109">
        <v>4.8000000000000001E-2</v>
      </c>
      <c r="EA60" s="109">
        <v>4.8000000000000001E-2</v>
      </c>
      <c r="EB60" s="109">
        <v>4.8000000000000001E-2</v>
      </c>
      <c r="EC60" s="109">
        <v>4.8000000000000001E-2</v>
      </c>
      <c r="ED60" s="109">
        <v>4.8000000000000001E-2</v>
      </c>
      <c r="EE60" s="109">
        <v>4.8000000000000001E-2</v>
      </c>
      <c r="EF60" s="109">
        <v>4.8000000000000001E-2</v>
      </c>
      <c r="EG60" s="109">
        <v>4.8000000000000001E-2</v>
      </c>
      <c r="EH60" s="109">
        <v>4.8000000000000001E-2</v>
      </c>
      <c r="EI60" s="109">
        <v>4.8000000000000001E-2</v>
      </c>
      <c r="EJ60" s="109">
        <v>4.8000000000000001E-2</v>
      </c>
      <c r="EK60" s="109">
        <v>4.8000000000000001E-2</v>
      </c>
      <c r="EL60" s="109">
        <v>4.8000000000000001E-2</v>
      </c>
      <c r="EM60" s="109">
        <v>4.8000000000000001E-2</v>
      </c>
      <c r="EN60" s="109">
        <v>4.8000000000000001E-2</v>
      </c>
      <c r="EO60" s="109">
        <v>4.8000000000000001E-2</v>
      </c>
      <c r="EP60" s="109">
        <v>4.8000000000000001E-2</v>
      </c>
      <c r="EQ60" s="109">
        <v>4.8000000000000001E-2</v>
      </c>
      <c r="ER60" s="109">
        <v>4.8000000000000001E-2</v>
      </c>
      <c r="ES60" s="109">
        <v>4.8000000000000001E-2</v>
      </c>
      <c r="ET60" s="109">
        <v>4.8000000000000001E-2</v>
      </c>
      <c r="EU60" s="109">
        <v>4.8000000000000001E-2</v>
      </c>
      <c r="EV60" s="109">
        <v>4.8000000000000001E-2</v>
      </c>
      <c r="EW60" s="109">
        <v>4.8000000000000001E-2</v>
      </c>
      <c r="EX60" s="109">
        <v>4.8000000000000001E-2</v>
      </c>
      <c r="EY60" s="109">
        <v>4.8000000000000001E-2</v>
      </c>
      <c r="EZ60" s="109">
        <v>4.8000000000000001E-2</v>
      </c>
      <c r="FA60" s="109">
        <v>4.8000000000000001E-2</v>
      </c>
      <c r="FB60" s="109">
        <v>4.8000000000000001E-2</v>
      </c>
      <c r="FC60" s="109">
        <v>4.8000000000000001E-2</v>
      </c>
      <c r="FD60" s="109">
        <v>4.8000000000000001E-2</v>
      </c>
      <c r="FE60" s="109">
        <v>4.8000000000000001E-2</v>
      </c>
      <c r="FF60" s="109">
        <v>4.8000000000000001E-2</v>
      </c>
      <c r="FG60" s="109">
        <v>4.8000000000000001E-2</v>
      </c>
      <c r="FH60" s="109">
        <v>4.8000000000000001E-2</v>
      </c>
      <c r="FI60" s="109">
        <v>4.8000000000000001E-2</v>
      </c>
      <c r="FJ60" s="109">
        <v>4.8000000000000001E-2</v>
      </c>
      <c r="FK60" s="109">
        <v>4.8000000000000001E-2</v>
      </c>
      <c r="FL60" s="109">
        <v>4.8000000000000001E-2</v>
      </c>
      <c r="FM60" s="109">
        <v>4.8000000000000001E-2</v>
      </c>
      <c r="FN60" s="109">
        <v>4.8000000000000001E-2</v>
      </c>
      <c r="FO60" s="109">
        <v>4.8000000000000001E-2</v>
      </c>
      <c r="FP60" s="109">
        <v>4.8000000000000001E-2</v>
      </c>
      <c r="FQ60" s="109">
        <v>4.8000000000000001E-2</v>
      </c>
      <c r="FR60" s="109">
        <v>4.8000000000000001E-2</v>
      </c>
      <c r="FS60" s="109">
        <v>4.8000000000000001E-2</v>
      </c>
      <c r="FT60" s="109">
        <v>4.8000000000000001E-2</v>
      </c>
      <c r="FU60" s="109">
        <v>4.8000000000000001E-2</v>
      </c>
      <c r="FV60" s="109">
        <v>4.8000000000000001E-2</v>
      </c>
      <c r="FW60" s="109">
        <v>4.8000000000000001E-2</v>
      </c>
      <c r="FX60" s="109">
        <v>4.8000000000000001E-2</v>
      </c>
      <c r="FY60" s="109">
        <v>4.8000000000000001E-2</v>
      </c>
      <c r="FZ60" s="109">
        <v>4.8000000000000001E-2</v>
      </c>
      <c r="GA60" s="109">
        <v>4.8000000000000001E-2</v>
      </c>
      <c r="GB60" s="109"/>
      <c r="GC60" s="109"/>
      <c r="GD60" s="109"/>
      <c r="GE60" s="109"/>
      <c r="GF60" s="109"/>
      <c r="GG60" s="109"/>
      <c r="GH60" s="109"/>
      <c r="GI60" s="109"/>
      <c r="GJ60" s="109"/>
      <c r="GK60" s="109"/>
      <c r="GL60" s="109"/>
      <c r="GM60" s="109"/>
      <c r="GN60" s="109"/>
      <c r="GO60" s="109"/>
      <c r="GP60" s="109"/>
      <c r="GQ60" s="109"/>
      <c r="GR60" s="109"/>
      <c r="GS60" s="109"/>
      <c r="GT60" s="109"/>
      <c r="GU60" s="109"/>
      <c r="GV60" s="109"/>
      <c r="GW60" s="109"/>
      <c r="GX60" s="109"/>
      <c r="GY60" s="109"/>
      <c r="GZ60" s="109"/>
      <c r="HA60" s="109"/>
      <c r="HB60" s="109"/>
      <c r="HC60" s="109"/>
      <c r="HD60" s="109"/>
      <c r="HE60" s="109"/>
      <c r="HF60" s="109"/>
      <c r="HG60" s="109"/>
      <c r="HH60" s="109"/>
      <c r="HI60" s="109"/>
      <c r="HJ60" s="109"/>
      <c r="HK60" s="109"/>
      <c r="HL60" s="109"/>
      <c r="HM60" s="109"/>
      <c r="HN60" s="41">
        <f t="shared" si="14"/>
        <v>0</v>
      </c>
      <c r="HO60" s="109" t="s">
        <v>298</v>
      </c>
      <c r="HT60" s="103"/>
      <c r="HU60" s="103"/>
      <c r="HV60" s="103"/>
      <c r="HW60" s="103"/>
      <c r="HX60" s="103"/>
      <c r="HY60" s="103"/>
      <c r="HZ60" s="103"/>
      <c r="IA60" s="103"/>
      <c r="IB60" s="103"/>
      <c r="IC60" s="103"/>
      <c r="ID60" s="103"/>
      <c r="IE60" s="103"/>
      <c r="IF60" s="103"/>
      <c r="IG60" s="103"/>
      <c r="IH60" s="103"/>
      <c r="II60" s="103"/>
      <c r="IJ60" s="103"/>
      <c r="IK60" s="103"/>
      <c r="IL60" s="103"/>
      <c r="IM60" s="103"/>
      <c r="IN60" s="103"/>
      <c r="IO60" s="103"/>
      <c r="IP60" s="103"/>
      <c r="IQ60" s="103"/>
      <c r="IR60" s="103"/>
      <c r="IS60" s="103"/>
      <c r="IT60" s="103"/>
      <c r="IU60" s="103"/>
      <c r="IV60" s="103"/>
      <c r="IW60" s="103"/>
      <c r="IX60" s="103"/>
      <c r="IY60" s="103"/>
      <c r="IZ60" s="103"/>
      <c r="JA60" s="103"/>
      <c r="JB60" s="103"/>
      <c r="JC60" s="103"/>
      <c r="JD60" s="103"/>
      <c r="JE60" s="103"/>
      <c r="JF60" s="103"/>
      <c r="JG60" s="103"/>
      <c r="JH60" s="103"/>
      <c r="JI60" s="103"/>
      <c r="JJ60" s="103"/>
      <c r="JK60" s="103"/>
      <c r="JL60" s="103"/>
      <c r="JM60" s="103"/>
      <c r="JN60" s="103"/>
      <c r="JO60" s="103"/>
      <c r="JP60" s="103"/>
      <c r="JQ60" s="103"/>
      <c r="JR60" s="103"/>
      <c r="JS60" s="103"/>
      <c r="JT60" s="103"/>
      <c r="JU60" s="103"/>
      <c r="JV60" s="103"/>
      <c r="JW60" s="103"/>
      <c r="JX60" s="103"/>
      <c r="JY60" s="103"/>
      <c r="JZ60" s="103"/>
      <c r="KA60" s="103"/>
      <c r="KB60" s="103"/>
      <c r="KC60" s="103"/>
      <c r="KD60" s="103"/>
      <c r="KE60" s="103"/>
      <c r="KF60" s="103"/>
      <c r="KG60" s="103"/>
      <c r="KH60" s="103"/>
      <c r="KI60" s="103"/>
      <c r="KJ60" s="103"/>
      <c r="KK60" s="103"/>
      <c r="KL60" s="103"/>
      <c r="KM60" s="103"/>
      <c r="KN60" s="103"/>
      <c r="KO60" s="103"/>
      <c r="KP60" s="103"/>
      <c r="KQ60" s="103"/>
      <c r="KR60" s="103"/>
      <c r="KS60" s="103"/>
      <c r="KT60" s="103"/>
      <c r="KU60" s="103"/>
      <c r="KV60" s="103"/>
      <c r="KW60" s="103"/>
      <c r="KX60" s="103"/>
      <c r="KY60" s="103"/>
      <c r="KZ60" s="103"/>
      <c r="LA60" s="103"/>
      <c r="LB60" s="103"/>
      <c r="LC60" s="103"/>
      <c r="LD60" s="103"/>
      <c r="LE60" s="103"/>
      <c r="LF60" s="103"/>
      <c r="LG60" s="103"/>
      <c r="LH60" s="103"/>
      <c r="LI60" s="103"/>
      <c r="LJ60" s="103"/>
      <c r="LK60" s="103"/>
      <c r="LL60" s="103"/>
      <c r="LM60" s="103"/>
    </row>
    <row r="61" spans="2:325" ht="14.25" customHeight="1">
      <c r="B61" s="1076"/>
      <c r="C61" s="179" t="s">
        <v>297</v>
      </c>
      <c r="D61" s="167">
        <v>3.3000000000000002E-2</v>
      </c>
      <c r="E61" s="167">
        <v>3.3000000000000002E-2</v>
      </c>
      <c r="F61" s="167">
        <v>3.3000000000000002E-2</v>
      </c>
      <c r="G61" s="167">
        <v>3.3000000000000002E-2</v>
      </c>
      <c r="H61" s="167">
        <v>3.3000000000000002E-2</v>
      </c>
      <c r="I61" s="167">
        <v>3.3000000000000002E-2</v>
      </c>
      <c r="J61" s="167">
        <v>3.3000000000000002E-2</v>
      </c>
      <c r="K61" s="167">
        <v>3.3000000000000002E-2</v>
      </c>
      <c r="L61" s="167">
        <v>3.3000000000000002E-2</v>
      </c>
      <c r="M61" s="167">
        <v>3.4000000000000002E-2</v>
      </c>
      <c r="N61" s="167">
        <v>3.4000000000000002E-2</v>
      </c>
      <c r="O61" s="168">
        <v>3.4000000000000002E-2</v>
      </c>
      <c r="P61" s="167">
        <v>3.5000000000000003E-2</v>
      </c>
      <c r="Q61" s="167">
        <v>3.5000000000000003E-2</v>
      </c>
      <c r="R61" s="167">
        <v>3.5000000000000003E-2</v>
      </c>
      <c r="S61" s="167">
        <v>3.5000000000000003E-2</v>
      </c>
      <c r="T61" s="168">
        <v>3.5000000000000003E-2</v>
      </c>
      <c r="U61" s="167">
        <v>3.5999999999999997E-2</v>
      </c>
      <c r="V61" s="167">
        <v>3.5999999999999997E-2</v>
      </c>
      <c r="W61" s="168">
        <v>3.5999999999999997E-2</v>
      </c>
      <c r="X61" s="167">
        <v>3.6499999999999998E-2</v>
      </c>
      <c r="Y61" s="167">
        <v>3.6499999999999998E-2</v>
      </c>
      <c r="Z61" s="167">
        <v>3.6499999999999998E-2</v>
      </c>
      <c r="AA61" s="167">
        <v>3.6499999999999998E-2</v>
      </c>
      <c r="AB61" s="167">
        <v>3.6499999999999998E-2</v>
      </c>
      <c r="AC61" s="167">
        <v>3.6499999999999998E-2</v>
      </c>
      <c r="AD61" s="167">
        <v>3.6499999999999998E-2</v>
      </c>
      <c r="AE61" s="167">
        <v>3.6499999999999998E-2</v>
      </c>
      <c r="AF61" s="63">
        <v>3.6499999999999998E-2</v>
      </c>
      <c r="AG61" s="63">
        <v>3.6499999999999998E-2</v>
      </c>
      <c r="AH61" s="63">
        <v>3.6499999999999998E-2</v>
      </c>
      <c r="AI61" s="63">
        <v>3.6499999999999998E-2</v>
      </c>
      <c r="AJ61" s="167">
        <v>3.6499999999999998E-2</v>
      </c>
      <c r="AK61" s="63">
        <v>3.6499999999999998E-2</v>
      </c>
      <c r="AL61" s="108">
        <v>3.6499999999999998E-2</v>
      </c>
      <c r="AM61" s="167">
        <v>3.6499999999999998E-2</v>
      </c>
      <c r="AN61" s="152">
        <v>3.6499999999999998E-2</v>
      </c>
      <c r="AO61" s="152">
        <v>3.6499999999999998E-2</v>
      </c>
      <c r="AP61" s="152">
        <v>3.6499999999999998E-2</v>
      </c>
      <c r="AQ61" s="152">
        <v>3.6499999999999998E-2</v>
      </c>
      <c r="AR61" s="152">
        <v>3.6499999999999998E-2</v>
      </c>
      <c r="AS61" s="152">
        <v>3.6499999999999998E-2</v>
      </c>
      <c r="AT61" s="152">
        <v>3.6499999999999998E-2</v>
      </c>
      <c r="AU61" s="152">
        <v>3.6499999999999998E-2</v>
      </c>
      <c r="AV61" s="152">
        <v>3.6499999999999998E-2</v>
      </c>
      <c r="AW61" s="152">
        <v>3.6499999999999998E-2</v>
      </c>
      <c r="AX61" s="152">
        <v>3.6499999999999998E-2</v>
      </c>
      <c r="AY61" s="152">
        <v>3.6499999999999998E-2</v>
      </c>
      <c r="AZ61" s="152">
        <v>3.6499999999999998E-2</v>
      </c>
      <c r="BA61" s="152">
        <v>3.6499999999999998E-2</v>
      </c>
      <c r="BB61" s="152">
        <v>3.6499999999999998E-2</v>
      </c>
      <c r="BC61" s="152">
        <v>3.6499999999999998E-2</v>
      </c>
      <c r="BD61" s="152">
        <v>3.6499999999999998E-2</v>
      </c>
      <c r="BE61" s="152">
        <v>3.6499999999999998E-2</v>
      </c>
      <c r="BF61" s="152">
        <v>3.6499999999999998E-2</v>
      </c>
      <c r="BG61" s="152">
        <v>3.6499999999999998E-2</v>
      </c>
      <c r="BH61" s="152">
        <v>3.6499999999999998E-2</v>
      </c>
      <c r="BI61" s="152">
        <v>3.6499999999999998E-2</v>
      </c>
      <c r="BJ61" s="152">
        <v>3.6499999999999998E-2</v>
      </c>
      <c r="BK61" s="152">
        <v>3.6499999999999998E-2</v>
      </c>
      <c r="BL61" s="152">
        <v>3.6499999999999998E-2</v>
      </c>
      <c r="BM61" s="152">
        <v>3.6499999999999998E-2</v>
      </c>
      <c r="BN61" s="152">
        <v>3.6499999999999998E-2</v>
      </c>
      <c r="BO61" s="152">
        <v>3.6499999999999998E-2</v>
      </c>
      <c r="BP61" s="152">
        <v>3.6499999999999998E-2</v>
      </c>
      <c r="BQ61" s="152">
        <v>3.6499999999999998E-2</v>
      </c>
      <c r="BR61" s="152">
        <v>3.6499999999999998E-2</v>
      </c>
      <c r="BS61" s="152">
        <v>3.6499999999999998E-2</v>
      </c>
      <c r="BT61" s="152">
        <v>3.6499999999999998E-2</v>
      </c>
      <c r="BU61" s="152">
        <v>3.6499999999999998E-2</v>
      </c>
      <c r="BV61" s="152">
        <v>3.6499999999999998E-2</v>
      </c>
      <c r="BW61" s="152">
        <v>3.6499999999999998E-2</v>
      </c>
      <c r="BX61" s="152">
        <v>3.6499999999999998E-2</v>
      </c>
      <c r="BY61" s="152">
        <v>4.0500000000000001E-2</v>
      </c>
      <c r="BZ61" s="152">
        <v>4.2500000000000003E-2</v>
      </c>
      <c r="CA61" s="152">
        <v>4.3499999999999997E-2</v>
      </c>
      <c r="CB61" s="152">
        <v>4.5499999999999999E-2</v>
      </c>
      <c r="CC61" s="152">
        <v>4.5499999999999999E-2</v>
      </c>
      <c r="CD61" s="152">
        <v>4.5499999999999999E-2</v>
      </c>
      <c r="CE61" s="152">
        <v>4.5499999999999999E-2</v>
      </c>
      <c r="CF61" s="152">
        <v>4.5499999999999999E-2</v>
      </c>
      <c r="CG61" s="152">
        <v>4.5499999999999999E-2</v>
      </c>
      <c r="CH61" s="152">
        <v>4.5499999999999999E-2</v>
      </c>
      <c r="CI61" s="152">
        <v>4.5499999999999999E-2</v>
      </c>
      <c r="CJ61" s="152">
        <v>4.5499999999999999E-2</v>
      </c>
      <c r="CK61" s="152">
        <v>4.5499999999999999E-2</v>
      </c>
      <c r="CL61" s="152">
        <v>4.5499999999999999E-2</v>
      </c>
      <c r="CM61" s="152">
        <v>4.5499999999999999E-2</v>
      </c>
      <c r="CN61" s="152">
        <v>4.5499999999999999E-2</v>
      </c>
      <c r="CO61" s="152">
        <v>4.5499999999999999E-2</v>
      </c>
      <c r="CP61" s="152">
        <v>4.5499999999999999E-2</v>
      </c>
      <c r="CQ61" s="152">
        <v>4.5499999999999999E-2</v>
      </c>
      <c r="CR61" s="152">
        <v>4.5499999999999999E-2</v>
      </c>
      <c r="CS61" s="109">
        <v>4.5499999999999999E-2</v>
      </c>
      <c r="CT61" s="109">
        <v>4.5999999999999999E-2</v>
      </c>
      <c r="CU61" s="109">
        <v>4.5999999999999999E-2</v>
      </c>
      <c r="CV61" s="109">
        <v>4.5999999999999999E-2</v>
      </c>
      <c r="CW61" s="109">
        <v>4.5999999999999999E-2</v>
      </c>
      <c r="CX61" s="109">
        <v>4.5999999999999999E-2</v>
      </c>
      <c r="CY61" s="109">
        <v>4.5999999999999999E-2</v>
      </c>
      <c r="CZ61" s="109">
        <v>4.5999999999999999E-2</v>
      </c>
      <c r="DA61" s="109">
        <v>4.5999999999999999E-2</v>
      </c>
      <c r="DB61" s="109">
        <v>4.5999999999999999E-2</v>
      </c>
      <c r="DC61" s="109">
        <v>4.5999999999999999E-2</v>
      </c>
      <c r="DD61" s="109">
        <v>4.5999999999999999E-2</v>
      </c>
      <c r="DE61" s="109">
        <v>4.5999999999999999E-2</v>
      </c>
      <c r="DF61" s="109">
        <v>4.5999999999999999E-2</v>
      </c>
      <c r="DG61" s="109">
        <v>4.5999999999999999E-2</v>
      </c>
      <c r="DH61" s="109">
        <v>4.5999999999999999E-2</v>
      </c>
      <c r="DI61" s="109">
        <v>4.5999999999999999E-2</v>
      </c>
      <c r="DJ61" s="109">
        <v>4.5999999999999999E-2</v>
      </c>
      <c r="DK61" s="109">
        <v>4.5999999999999999E-2</v>
      </c>
      <c r="DL61" s="109">
        <v>4.8500000000000001E-2</v>
      </c>
      <c r="DM61" s="109">
        <v>4.8500000000000001E-2</v>
      </c>
      <c r="DN61" s="109">
        <v>4.8500000000000001E-2</v>
      </c>
      <c r="DO61" s="109">
        <v>4.8500000000000001E-2</v>
      </c>
      <c r="DP61" s="109">
        <v>4.8500000000000001E-2</v>
      </c>
      <c r="DQ61" s="109">
        <v>4.8500000000000001E-2</v>
      </c>
      <c r="DR61" s="109">
        <v>4.8500000000000001E-2</v>
      </c>
      <c r="DS61" s="109">
        <v>4.8500000000000001E-2</v>
      </c>
      <c r="DT61" s="109">
        <v>4.8500000000000001E-2</v>
      </c>
      <c r="DU61" s="109">
        <v>4.8500000000000001E-2</v>
      </c>
      <c r="DV61" s="109">
        <v>4.8500000000000001E-2</v>
      </c>
      <c r="DW61" s="109">
        <v>4.8500000000000001E-2</v>
      </c>
      <c r="DX61" s="109">
        <v>4.8500000000000001E-2</v>
      </c>
      <c r="DY61" s="109">
        <v>4.8500000000000001E-2</v>
      </c>
      <c r="DZ61" s="109">
        <v>4.8500000000000001E-2</v>
      </c>
      <c r="EA61" s="109">
        <v>4.8500000000000001E-2</v>
      </c>
      <c r="EB61" s="109">
        <v>4.8500000000000001E-2</v>
      </c>
      <c r="EC61" s="109">
        <v>4.8500000000000001E-2</v>
      </c>
      <c r="ED61" s="109">
        <v>4.8500000000000001E-2</v>
      </c>
      <c r="EE61" s="109">
        <v>4.8500000000000001E-2</v>
      </c>
      <c r="EF61" s="109">
        <v>4.8500000000000001E-2</v>
      </c>
      <c r="EG61" s="109"/>
      <c r="EH61" s="109"/>
      <c r="EI61" s="109"/>
      <c r="EJ61" s="109"/>
      <c r="EK61" s="109"/>
      <c r="EL61" s="109">
        <v>4.8500000000000001E-2</v>
      </c>
      <c r="EM61" s="109">
        <v>4.8500000000000001E-2</v>
      </c>
      <c r="EN61" s="109">
        <v>4.8500000000000001E-2</v>
      </c>
      <c r="EO61" s="109">
        <v>4.8500000000000001E-2</v>
      </c>
      <c r="EP61" s="109">
        <v>4.8500000000000001E-2</v>
      </c>
      <c r="EQ61" s="109">
        <v>4.8500000000000001E-2</v>
      </c>
      <c r="ER61" s="109">
        <v>4.8500000000000001E-2</v>
      </c>
      <c r="ES61" s="109">
        <v>4.8500000000000001E-2</v>
      </c>
      <c r="ET61" s="109">
        <v>4.8500000000000001E-2</v>
      </c>
      <c r="EU61" s="109">
        <v>4.8500000000000001E-2</v>
      </c>
      <c r="EV61" s="109">
        <v>4.8500000000000001E-2</v>
      </c>
      <c r="EW61" s="109">
        <v>4.8500000000000001E-2</v>
      </c>
      <c r="EX61" s="178" t="s">
        <v>124</v>
      </c>
      <c r="EY61" s="109"/>
      <c r="EZ61" s="109"/>
      <c r="FA61" s="109"/>
      <c r="FB61" s="109"/>
      <c r="FC61" s="109"/>
      <c r="FD61" s="109"/>
      <c r="FE61" s="109"/>
      <c r="FF61" s="109"/>
      <c r="FG61" s="109"/>
      <c r="FH61" s="109"/>
      <c r="FI61" s="109"/>
      <c r="FJ61" s="109"/>
      <c r="FK61" s="109"/>
      <c r="FL61" s="109"/>
      <c r="FM61" s="109"/>
      <c r="FN61" s="109"/>
      <c r="FO61" s="109"/>
      <c r="FP61" s="109"/>
      <c r="FQ61" s="109"/>
      <c r="FR61" s="109"/>
      <c r="FS61" s="109"/>
      <c r="FT61" s="109">
        <v>4.8500000000000001E-2</v>
      </c>
      <c r="FU61" s="109">
        <v>4.8500000000000001E-2</v>
      </c>
      <c r="FV61" s="109">
        <v>4.8500000000000001E-2</v>
      </c>
      <c r="FW61" s="109">
        <v>4.8500000000000001E-2</v>
      </c>
      <c r="FX61" s="109">
        <v>4.8500000000000001E-2</v>
      </c>
      <c r="FY61" s="109">
        <v>4.8500000000000001E-2</v>
      </c>
      <c r="FZ61" s="109">
        <v>4.8500000000000001E-2</v>
      </c>
      <c r="GA61" s="109">
        <v>4.8500000000000001E-2</v>
      </c>
      <c r="GB61" s="109"/>
      <c r="GC61" s="109"/>
      <c r="GD61" s="109"/>
      <c r="GE61" s="109"/>
      <c r="GF61" s="109"/>
      <c r="GG61" s="109"/>
      <c r="GH61" s="109"/>
      <c r="GI61" s="109"/>
      <c r="GJ61" s="109"/>
      <c r="GK61" s="109"/>
      <c r="GL61" s="109"/>
      <c r="GM61" s="109"/>
      <c r="GN61" s="109"/>
      <c r="GO61" s="109"/>
      <c r="GP61" s="109"/>
      <c r="GQ61" s="109"/>
      <c r="GR61" s="109"/>
      <c r="GS61" s="109"/>
      <c r="GT61" s="109"/>
      <c r="GU61" s="109"/>
      <c r="GV61" s="109"/>
      <c r="GW61" s="109"/>
      <c r="GX61" s="109"/>
      <c r="GY61" s="109"/>
      <c r="GZ61" s="109"/>
      <c r="HA61" s="109"/>
      <c r="HB61" s="109"/>
      <c r="HC61" s="109"/>
      <c r="HD61" s="109"/>
      <c r="HE61" s="109"/>
      <c r="HF61" s="109"/>
      <c r="HG61" s="109"/>
      <c r="HH61" s="109"/>
      <c r="HI61" s="109"/>
      <c r="HJ61" s="109"/>
      <c r="HK61" s="109"/>
      <c r="HL61" s="109"/>
      <c r="HM61" s="109"/>
      <c r="HN61" s="41">
        <f t="shared" si="14"/>
        <v>0</v>
      </c>
      <c r="HO61" s="109" t="s">
        <v>296</v>
      </c>
      <c r="HT61" s="103"/>
      <c r="HU61" s="103"/>
      <c r="HV61" s="103"/>
      <c r="HW61" s="103"/>
      <c r="HX61" s="103"/>
      <c r="HY61" s="103"/>
      <c r="HZ61" s="103"/>
      <c r="IA61" s="103"/>
      <c r="IB61" s="103"/>
      <c r="IC61" s="103"/>
      <c r="ID61" s="103"/>
      <c r="IE61" s="103"/>
      <c r="IF61" s="103"/>
      <c r="IG61" s="103"/>
      <c r="IH61" s="103"/>
      <c r="II61" s="103"/>
      <c r="IJ61" s="103"/>
      <c r="IK61" s="103"/>
      <c r="IL61" s="103"/>
      <c r="IM61" s="103"/>
      <c r="IN61" s="103"/>
      <c r="IO61" s="103"/>
      <c r="IP61" s="103"/>
      <c r="IQ61" s="103"/>
      <c r="IR61" s="103"/>
      <c r="IS61" s="103"/>
      <c r="IT61" s="103"/>
      <c r="IU61" s="103"/>
      <c r="IV61" s="103"/>
      <c r="IW61" s="103"/>
      <c r="IX61" s="103"/>
      <c r="IY61" s="103"/>
      <c r="IZ61" s="103"/>
      <c r="JA61" s="103"/>
      <c r="JB61" s="103"/>
      <c r="JC61" s="103"/>
      <c r="JD61" s="103"/>
      <c r="JE61" s="103"/>
      <c r="JF61" s="103"/>
      <c r="JG61" s="103"/>
      <c r="JH61" s="103"/>
      <c r="JI61" s="103"/>
      <c r="JJ61" s="103"/>
      <c r="JK61" s="103"/>
      <c r="JL61" s="103"/>
      <c r="JM61" s="103"/>
      <c r="JN61" s="103"/>
      <c r="JO61" s="103"/>
      <c r="JP61" s="103"/>
      <c r="JQ61" s="103"/>
      <c r="JR61" s="103"/>
      <c r="JS61" s="103"/>
      <c r="JT61" s="103"/>
      <c r="JU61" s="103"/>
      <c r="JV61" s="103"/>
      <c r="JW61" s="103"/>
      <c r="JX61" s="103"/>
      <c r="JY61" s="103"/>
      <c r="JZ61" s="103"/>
      <c r="KA61" s="103"/>
      <c r="KB61" s="103"/>
      <c r="KC61" s="103"/>
      <c r="KD61" s="103"/>
      <c r="KE61" s="103"/>
      <c r="KF61" s="103"/>
      <c r="KG61" s="103"/>
      <c r="KH61" s="103"/>
      <c r="KI61" s="103"/>
      <c r="KJ61" s="103"/>
      <c r="KK61" s="103"/>
      <c r="KL61" s="103"/>
      <c r="KM61" s="103"/>
      <c r="KN61" s="103"/>
      <c r="KO61" s="103"/>
      <c r="KP61" s="103"/>
      <c r="KQ61" s="103"/>
      <c r="KR61" s="103"/>
      <c r="KS61" s="103"/>
      <c r="KT61" s="103"/>
      <c r="KU61" s="103"/>
      <c r="KV61" s="103"/>
      <c r="KW61" s="103"/>
      <c r="KX61" s="103"/>
      <c r="KY61" s="103"/>
      <c r="KZ61" s="103"/>
      <c r="LA61" s="103"/>
      <c r="LB61" s="103"/>
      <c r="LC61" s="103"/>
      <c r="LD61" s="103"/>
      <c r="LE61" s="103"/>
      <c r="LF61" s="103"/>
      <c r="LG61" s="103"/>
      <c r="LH61" s="103"/>
      <c r="LI61" s="103"/>
      <c r="LJ61" s="103"/>
      <c r="LK61" s="103"/>
      <c r="LL61" s="103"/>
      <c r="LM61" s="103"/>
    </row>
    <row r="62" spans="2:325" ht="14.25" customHeight="1">
      <c r="B62" s="759" t="s">
        <v>42</v>
      </c>
      <c r="C62" s="177" t="s">
        <v>261</v>
      </c>
      <c r="D62" s="167">
        <v>3.4000000000000002E-2</v>
      </c>
      <c r="E62" s="167">
        <v>3.4000000000000002E-2</v>
      </c>
      <c r="F62" s="167">
        <v>3.4000000000000002E-2</v>
      </c>
      <c r="G62" s="167">
        <v>3.4000000000000002E-2</v>
      </c>
      <c r="H62" s="167">
        <v>3.4000000000000002E-2</v>
      </c>
      <c r="I62" s="167">
        <v>3.4000000000000002E-2</v>
      </c>
      <c r="J62" s="167">
        <v>3.4000000000000002E-2</v>
      </c>
      <c r="K62" s="167">
        <v>3.4000000000000002E-2</v>
      </c>
      <c r="L62" s="167">
        <v>3.4000000000000002E-2</v>
      </c>
      <c r="M62" s="167">
        <v>3.4000000000000002E-2</v>
      </c>
      <c r="N62" s="167">
        <v>3.4000000000000002E-2</v>
      </c>
      <c r="O62" s="168">
        <v>3.4000000000000002E-2</v>
      </c>
      <c r="P62" s="167">
        <v>3.7999999999999999E-2</v>
      </c>
      <c r="Q62" s="167">
        <v>3.7999999999999999E-2</v>
      </c>
      <c r="R62" s="167">
        <v>3.7999999999999999E-2</v>
      </c>
      <c r="S62" s="167">
        <v>3.7999999999999999E-2</v>
      </c>
      <c r="T62" s="167">
        <v>3.7999999999999999E-2</v>
      </c>
      <c r="U62" s="167">
        <v>3.7999999999999999E-2</v>
      </c>
      <c r="V62" s="167">
        <v>3.7999999999999999E-2</v>
      </c>
      <c r="W62" s="167">
        <v>3.7999999999999999E-2</v>
      </c>
      <c r="X62" s="167">
        <v>3.7999999999999999E-2</v>
      </c>
      <c r="Y62" s="167">
        <v>3.7999999999999999E-2</v>
      </c>
      <c r="Z62" s="167">
        <v>3.7999999999999999E-2</v>
      </c>
      <c r="AA62" s="168">
        <v>3.7999999999999999E-2</v>
      </c>
      <c r="AB62" s="167">
        <v>0.04</v>
      </c>
      <c r="AC62" s="167">
        <v>0.04</v>
      </c>
      <c r="AD62" s="167">
        <v>0.04</v>
      </c>
      <c r="AE62" s="167">
        <v>0.04</v>
      </c>
      <c r="AF62" s="63">
        <v>0.04</v>
      </c>
      <c r="AG62" s="63">
        <v>0.04</v>
      </c>
      <c r="AH62" s="63">
        <v>0.04</v>
      </c>
      <c r="AI62" s="63">
        <v>0.04</v>
      </c>
      <c r="AJ62" s="167">
        <v>0.04</v>
      </c>
      <c r="AK62" s="63">
        <v>0.04</v>
      </c>
      <c r="AL62" s="108">
        <v>0.04</v>
      </c>
      <c r="AM62" s="167">
        <v>0.04</v>
      </c>
      <c r="AN62" s="152">
        <v>0.04</v>
      </c>
      <c r="AO62" s="152">
        <v>0.04</v>
      </c>
      <c r="AP62" s="152">
        <v>0.04</v>
      </c>
      <c r="AQ62" s="152">
        <v>0.04</v>
      </c>
      <c r="AR62" s="152">
        <v>0.04</v>
      </c>
      <c r="AS62" s="152">
        <v>0.04</v>
      </c>
      <c r="AT62" s="152">
        <v>0.04</v>
      </c>
      <c r="AU62" s="152">
        <v>0.04</v>
      </c>
      <c r="AV62" s="107">
        <v>0.04</v>
      </c>
      <c r="AW62" s="152">
        <v>3.7999999999999999E-2</v>
      </c>
      <c r="AX62" s="152">
        <v>3.7999999999999999E-2</v>
      </c>
      <c r="AY62" s="152">
        <v>3.7999999999999999E-2</v>
      </c>
      <c r="AZ62" s="152">
        <v>3.7999999999999999E-2</v>
      </c>
      <c r="BA62" s="152">
        <v>3.7999999999999999E-2</v>
      </c>
      <c r="BB62" s="152">
        <v>3.7999999999999999E-2</v>
      </c>
      <c r="BC62" s="152">
        <v>3.7999999999999999E-2</v>
      </c>
      <c r="BD62" s="152">
        <v>3.7999999999999999E-2</v>
      </c>
      <c r="BE62" s="152">
        <v>3.7999999999999999E-2</v>
      </c>
      <c r="BF62" s="152">
        <v>3.7999999999999999E-2</v>
      </c>
      <c r="BG62" s="160">
        <v>0.05</v>
      </c>
      <c r="BH62" s="160">
        <v>0.05</v>
      </c>
      <c r="BI62" s="160">
        <v>0.05</v>
      </c>
      <c r="BJ62" s="160">
        <v>0.05</v>
      </c>
      <c r="BK62" s="160">
        <v>0.05</v>
      </c>
      <c r="BL62" s="160">
        <v>0.05</v>
      </c>
      <c r="BM62" s="160">
        <v>0.05</v>
      </c>
      <c r="BN62" s="160">
        <v>0.05</v>
      </c>
      <c r="BO62" s="160">
        <v>0.05</v>
      </c>
      <c r="BP62" s="160">
        <v>0.05</v>
      </c>
      <c r="BQ62" s="160">
        <v>0.05</v>
      </c>
      <c r="BR62" s="160">
        <v>0.05</v>
      </c>
      <c r="BS62" s="160">
        <v>0.05</v>
      </c>
      <c r="BT62" s="160">
        <v>0.05</v>
      </c>
      <c r="BU62" s="160">
        <v>0.05</v>
      </c>
      <c r="BV62" s="160">
        <v>0.05</v>
      </c>
      <c r="BW62" s="160">
        <v>0.05</v>
      </c>
      <c r="BX62" s="160">
        <v>0.05</v>
      </c>
      <c r="BY62" s="160">
        <v>0.05</v>
      </c>
      <c r="BZ62" s="160">
        <v>0.05</v>
      </c>
      <c r="CA62" s="160">
        <v>0.05</v>
      </c>
      <c r="CB62" s="160">
        <v>0.05</v>
      </c>
      <c r="CC62" s="152">
        <v>0.05</v>
      </c>
      <c r="CD62" s="152">
        <v>0.05</v>
      </c>
      <c r="CE62" s="152">
        <v>0.05</v>
      </c>
      <c r="CF62" s="152">
        <v>0.05</v>
      </c>
      <c r="CG62" s="152">
        <v>0.05</v>
      </c>
      <c r="CH62" s="152">
        <v>0.05</v>
      </c>
      <c r="CI62" s="152">
        <v>0.05</v>
      </c>
      <c r="CJ62" s="152">
        <v>0.05</v>
      </c>
      <c r="CK62" s="152">
        <v>0.05</v>
      </c>
      <c r="CL62" s="152">
        <v>0.05</v>
      </c>
      <c r="CM62" s="152">
        <v>0.05</v>
      </c>
      <c r="CN62" s="152">
        <v>0.05</v>
      </c>
      <c r="CO62" s="152">
        <v>0.05</v>
      </c>
      <c r="CP62" s="152">
        <v>0.05</v>
      </c>
      <c r="CQ62" s="152">
        <v>0.05</v>
      </c>
      <c r="CR62" s="152">
        <v>0.05</v>
      </c>
      <c r="CS62" s="152">
        <v>0.05</v>
      </c>
      <c r="CT62" s="152">
        <v>0.05</v>
      </c>
      <c r="CU62" s="110">
        <v>0.05</v>
      </c>
      <c r="CV62" s="110">
        <v>0.05</v>
      </c>
      <c r="CW62" s="110">
        <v>0.05</v>
      </c>
      <c r="CX62" s="110">
        <v>0.05</v>
      </c>
      <c r="CY62" s="110">
        <v>0.05</v>
      </c>
      <c r="CZ62" s="110">
        <v>0.05</v>
      </c>
      <c r="DA62" s="110">
        <v>0.05</v>
      </c>
      <c r="DB62" s="110">
        <v>0.05</v>
      </c>
      <c r="DC62" s="110">
        <v>0.05</v>
      </c>
      <c r="DD62" s="110">
        <v>0.05</v>
      </c>
      <c r="DE62" s="110">
        <v>0.05</v>
      </c>
      <c r="DF62" s="110">
        <v>0.05</v>
      </c>
      <c r="DG62" s="110">
        <v>0.05</v>
      </c>
      <c r="DH62" s="110">
        <v>0.05</v>
      </c>
      <c r="DI62" s="110">
        <v>0.05</v>
      </c>
      <c r="DJ62" s="110">
        <v>0.05</v>
      </c>
      <c r="DK62" s="110">
        <v>5.2499999999999998E-2</v>
      </c>
      <c r="DL62" s="110">
        <v>5.2499999999999998E-2</v>
      </c>
      <c r="DM62" s="110">
        <v>5.2499999999999998E-2</v>
      </c>
      <c r="DN62" s="110">
        <v>5.2499999999999998E-2</v>
      </c>
      <c r="DO62" s="110">
        <v>5.2499999999999998E-2</v>
      </c>
      <c r="DP62" s="110">
        <v>5.2499999999999998E-2</v>
      </c>
      <c r="DQ62" s="110">
        <v>5.2499999999999998E-2</v>
      </c>
      <c r="DR62" s="110">
        <v>5.2499999999999998E-2</v>
      </c>
      <c r="DS62" s="110">
        <v>5.2499999999999998E-2</v>
      </c>
      <c r="DT62" s="110">
        <v>5.2499999999999998E-2</v>
      </c>
      <c r="DU62" s="110">
        <v>5.2499999999999998E-2</v>
      </c>
      <c r="DV62" s="110">
        <v>5.2499999999999998E-2</v>
      </c>
      <c r="DW62" s="110">
        <v>5.2499999999999998E-2</v>
      </c>
      <c r="DX62" s="110">
        <v>5.2499999999999998E-2</v>
      </c>
      <c r="DY62" s="110">
        <v>5.2499999999999998E-2</v>
      </c>
      <c r="DZ62" s="110">
        <v>5.2499999999999998E-2</v>
      </c>
      <c r="EA62" s="110">
        <v>5.2499999999999998E-2</v>
      </c>
      <c r="EB62" s="110">
        <v>5.2499999999999998E-2</v>
      </c>
      <c r="EC62" s="110">
        <v>5.2499999999999998E-2</v>
      </c>
      <c r="ED62" s="110">
        <v>0.05</v>
      </c>
      <c r="EE62" s="110">
        <v>0.05</v>
      </c>
      <c r="EF62" s="110">
        <v>0.05</v>
      </c>
      <c r="EG62" s="110"/>
      <c r="EH62" s="110"/>
      <c r="EI62" s="110"/>
      <c r="EJ62" s="110"/>
      <c r="EK62" s="110"/>
      <c r="EL62" s="110">
        <v>4.8000000000000001E-2</v>
      </c>
      <c r="EM62" s="110">
        <v>4.8000000000000001E-2</v>
      </c>
      <c r="EN62" s="110">
        <v>4.8000000000000001E-2</v>
      </c>
      <c r="EO62" s="110">
        <v>4.8000000000000001E-2</v>
      </c>
      <c r="EP62" s="110">
        <v>4.8000000000000001E-2</v>
      </c>
      <c r="EQ62" s="110"/>
      <c r="ER62" s="110"/>
      <c r="ES62" s="110"/>
      <c r="ET62" s="110"/>
      <c r="EU62" s="110"/>
      <c r="EV62" s="110"/>
      <c r="EW62" s="110"/>
      <c r="EX62" s="110"/>
      <c r="EY62" s="110"/>
      <c r="EZ62" s="110"/>
      <c r="FA62" s="110"/>
      <c r="FB62" s="110"/>
      <c r="FC62" s="110"/>
      <c r="FD62" s="110"/>
      <c r="FE62" s="110"/>
      <c r="FF62" s="110"/>
      <c r="FG62" s="110"/>
      <c r="FH62" s="110"/>
      <c r="FI62" s="110"/>
      <c r="FJ62" s="110"/>
      <c r="FK62" s="110"/>
      <c r="FL62" s="110"/>
      <c r="FM62" s="110"/>
      <c r="FN62" s="110"/>
      <c r="FO62" s="110"/>
      <c r="FP62" s="110"/>
      <c r="FQ62" s="110"/>
      <c r="FR62" s="110"/>
      <c r="FS62" s="110"/>
      <c r="FT62" s="110">
        <v>4.8000000000000001E-2</v>
      </c>
      <c r="FU62" s="110">
        <v>4.8000000000000001E-2</v>
      </c>
      <c r="FV62" s="110">
        <v>0.05</v>
      </c>
      <c r="FW62" s="110">
        <v>0.05</v>
      </c>
      <c r="FX62" s="110">
        <v>0.05</v>
      </c>
      <c r="FY62" s="110">
        <v>0.05</v>
      </c>
      <c r="FZ62" s="110">
        <v>4.8000000000000001E-2</v>
      </c>
      <c r="GA62" s="110">
        <v>4.8000000000000001E-2</v>
      </c>
      <c r="GB62" s="110"/>
      <c r="GC62" s="110"/>
      <c r="GD62" s="110"/>
      <c r="GE62" s="110"/>
      <c r="GF62" s="110"/>
      <c r="GG62" s="110"/>
      <c r="GH62" s="110"/>
      <c r="GI62" s="110"/>
      <c r="GJ62" s="110"/>
      <c r="GK62" s="110"/>
      <c r="GL62" s="110"/>
      <c r="GM62" s="110"/>
      <c r="GN62" s="110"/>
      <c r="GO62" s="110"/>
      <c r="GP62" s="110"/>
      <c r="GQ62" s="110"/>
      <c r="GR62" s="110"/>
      <c r="GS62" s="110"/>
      <c r="GT62" s="110"/>
      <c r="GU62" s="110"/>
      <c r="GV62" s="110"/>
      <c r="GW62" s="110"/>
      <c r="GX62" s="110"/>
      <c r="GY62" s="110"/>
      <c r="GZ62" s="110"/>
      <c r="HA62" s="110"/>
      <c r="HB62" s="110"/>
      <c r="HC62" s="110"/>
      <c r="HD62" s="110"/>
      <c r="HE62" s="110"/>
      <c r="HF62" s="110"/>
      <c r="HG62" s="110"/>
      <c r="HH62" s="110"/>
      <c r="HI62" s="110"/>
      <c r="HJ62" s="110"/>
      <c r="HK62" s="110"/>
      <c r="HL62" s="110"/>
      <c r="HM62" s="110"/>
      <c r="HN62" s="41">
        <f t="shared" si="14"/>
        <v>0</v>
      </c>
      <c r="HO62" s="112"/>
      <c r="HT62" s="103"/>
      <c r="HU62" s="103"/>
      <c r="HV62" s="103"/>
      <c r="HW62" s="103"/>
      <c r="HX62" s="103"/>
      <c r="HY62" s="103"/>
      <c r="HZ62" s="103"/>
      <c r="IA62" s="103"/>
      <c r="IB62" s="103"/>
      <c r="IC62" s="103"/>
      <c r="ID62" s="103"/>
      <c r="IE62" s="103"/>
      <c r="IF62" s="103"/>
      <c r="IG62" s="103"/>
      <c r="IH62" s="103"/>
      <c r="II62" s="103"/>
      <c r="IJ62" s="103"/>
      <c r="IK62" s="103"/>
      <c r="IL62" s="103"/>
      <c r="IM62" s="103"/>
      <c r="IN62" s="103"/>
      <c r="IO62" s="103"/>
      <c r="IP62" s="103"/>
      <c r="IQ62" s="103"/>
      <c r="IR62" s="103"/>
      <c r="IS62" s="103"/>
      <c r="IT62" s="103"/>
      <c r="IU62" s="103"/>
      <c r="IV62" s="103"/>
      <c r="IW62" s="103"/>
      <c r="IX62" s="103"/>
      <c r="IY62" s="103"/>
      <c r="IZ62" s="103"/>
      <c r="JA62" s="103"/>
      <c r="JB62" s="103"/>
      <c r="JC62" s="103"/>
      <c r="JD62" s="103"/>
      <c r="JE62" s="103"/>
      <c r="JF62" s="103"/>
      <c r="JG62" s="103"/>
      <c r="JH62" s="103"/>
      <c r="JI62" s="103"/>
      <c r="JJ62" s="103"/>
      <c r="JK62" s="103"/>
      <c r="JL62" s="103"/>
      <c r="JM62" s="103"/>
      <c r="JN62" s="103"/>
      <c r="JO62" s="103"/>
      <c r="JP62" s="103"/>
      <c r="JQ62" s="103"/>
      <c r="JR62" s="103"/>
      <c r="JS62" s="103"/>
      <c r="JT62" s="103"/>
      <c r="JU62" s="103"/>
      <c r="JV62" s="103"/>
      <c r="JW62" s="103"/>
      <c r="JX62" s="103"/>
      <c r="JY62" s="103"/>
      <c r="JZ62" s="103"/>
      <c r="KA62" s="103"/>
      <c r="KB62" s="103"/>
      <c r="KC62" s="103"/>
      <c r="KD62" s="103"/>
      <c r="KE62" s="103"/>
      <c r="KF62" s="103"/>
      <c r="KG62" s="103"/>
      <c r="KH62" s="103"/>
      <c r="KI62" s="103"/>
      <c r="KJ62" s="103"/>
      <c r="KK62" s="103"/>
      <c r="KL62" s="103"/>
      <c r="KM62" s="103"/>
      <c r="KN62" s="103"/>
      <c r="KO62" s="103"/>
      <c r="KP62" s="103"/>
      <c r="KQ62" s="103"/>
      <c r="KR62" s="103"/>
      <c r="KS62" s="103"/>
      <c r="KT62" s="103"/>
      <c r="KU62" s="103"/>
      <c r="KV62" s="103"/>
      <c r="KW62" s="103"/>
      <c r="KX62" s="103"/>
      <c r="KY62" s="103"/>
      <c r="KZ62" s="103"/>
      <c r="LA62" s="103"/>
      <c r="LB62" s="103"/>
      <c r="LC62" s="103"/>
      <c r="LD62" s="103"/>
      <c r="LE62" s="103"/>
      <c r="LF62" s="103"/>
      <c r="LG62" s="103"/>
      <c r="LH62" s="103"/>
      <c r="LI62" s="103"/>
      <c r="LJ62" s="103"/>
      <c r="LK62" s="103"/>
      <c r="LL62" s="103"/>
      <c r="LM62" s="103"/>
    </row>
    <row r="63" spans="2:325" hidden="1">
      <c r="B63" s="761" t="s">
        <v>44</v>
      </c>
      <c r="C63" s="177" t="s">
        <v>306</v>
      </c>
      <c r="D63" s="167"/>
      <c r="E63" s="167"/>
      <c r="F63" s="167"/>
      <c r="G63" s="167"/>
      <c r="H63" s="167"/>
      <c r="I63" s="167"/>
      <c r="J63" s="167"/>
      <c r="K63" s="167"/>
      <c r="L63" s="167"/>
      <c r="M63" s="167"/>
      <c r="N63" s="167"/>
      <c r="O63" s="167"/>
      <c r="P63" s="167"/>
      <c r="Q63" s="167"/>
      <c r="R63" s="167"/>
      <c r="S63" s="167"/>
      <c r="T63" s="167"/>
      <c r="U63" s="167"/>
      <c r="V63" s="167" t="s">
        <v>599</v>
      </c>
      <c r="W63" s="570">
        <v>0.04</v>
      </c>
      <c r="X63" s="570">
        <v>0.04</v>
      </c>
      <c r="Y63" s="570">
        <v>0.04</v>
      </c>
      <c r="Z63" s="570">
        <v>0.04</v>
      </c>
      <c r="AA63" s="570">
        <v>0.04</v>
      </c>
      <c r="AB63" s="569">
        <v>0.04</v>
      </c>
      <c r="AC63" s="174">
        <v>0.04</v>
      </c>
      <c r="AD63" s="174">
        <v>0.04</v>
      </c>
      <c r="AE63" s="174">
        <v>0.04</v>
      </c>
      <c r="AF63" s="176">
        <v>0.04</v>
      </c>
      <c r="AG63" s="176">
        <v>0.04</v>
      </c>
      <c r="AH63" s="176">
        <v>0.04</v>
      </c>
      <c r="AI63" s="176">
        <v>0.04</v>
      </c>
      <c r="AJ63" s="174">
        <v>0.04</v>
      </c>
      <c r="AK63" s="176">
        <v>0.04</v>
      </c>
      <c r="AL63" s="175">
        <v>0.04</v>
      </c>
      <c r="AM63" s="174">
        <v>0.04</v>
      </c>
      <c r="AN63" s="172">
        <v>0.04</v>
      </c>
      <c r="AO63" s="172">
        <v>0.04</v>
      </c>
      <c r="AP63" s="172">
        <v>0.04</v>
      </c>
      <c r="AQ63" s="172">
        <v>0.04</v>
      </c>
      <c r="AR63" s="172">
        <v>0.04</v>
      </c>
      <c r="AS63" s="173">
        <v>0.04</v>
      </c>
      <c r="AT63" s="172">
        <v>4.1000000000000002E-2</v>
      </c>
      <c r="AU63" s="172">
        <v>4.1000000000000002E-2</v>
      </c>
      <c r="AV63" s="172">
        <v>4.1000000000000002E-2</v>
      </c>
      <c r="AW63" s="172">
        <v>4.1000000000000002E-2</v>
      </c>
      <c r="AX63" s="172">
        <v>4.1000000000000002E-2</v>
      </c>
      <c r="AY63" s="172">
        <v>4.1000000000000002E-2</v>
      </c>
      <c r="AZ63" s="172">
        <v>4.1000000000000002E-2</v>
      </c>
      <c r="BA63" s="172">
        <v>4.1000000000000002E-2</v>
      </c>
      <c r="BB63" s="172">
        <v>4.1000000000000002E-2</v>
      </c>
      <c r="BC63" s="172">
        <v>4.1000000000000002E-2</v>
      </c>
      <c r="BD63" s="172">
        <v>4.1000000000000002E-2</v>
      </c>
      <c r="BE63" s="172">
        <v>4.1000000000000002E-2</v>
      </c>
      <c r="BF63" s="172">
        <v>4.1000000000000002E-2</v>
      </c>
      <c r="BG63" s="172">
        <v>4.1000000000000002E-2</v>
      </c>
      <c r="BH63" s="172">
        <v>4.1000000000000002E-2</v>
      </c>
      <c r="BI63" s="172">
        <v>4.1000000000000002E-2</v>
      </c>
      <c r="BJ63" s="172">
        <v>4.1000000000000002E-2</v>
      </c>
      <c r="BK63" s="172">
        <v>4.1000000000000002E-2</v>
      </c>
      <c r="BL63" s="153" t="s">
        <v>124</v>
      </c>
      <c r="BM63" s="153" t="s">
        <v>124</v>
      </c>
      <c r="BN63" s="153" t="s">
        <v>124</v>
      </c>
      <c r="BO63" s="153" t="s">
        <v>124</v>
      </c>
      <c r="BP63" s="153" t="s">
        <v>124</v>
      </c>
      <c r="BQ63" s="153" t="s">
        <v>124</v>
      </c>
      <c r="BR63" s="153" t="s">
        <v>124</v>
      </c>
      <c r="BS63" s="153" t="s">
        <v>124</v>
      </c>
      <c r="BT63" s="153" t="s">
        <v>124</v>
      </c>
      <c r="BU63" s="153" t="s">
        <v>124</v>
      </c>
      <c r="BV63" s="153" t="s">
        <v>124</v>
      </c>
      <c r="BW63" s="153" t="s">
        <v>124</v>
      </c>
      <c r="BX63" s="153" t="s">
        <v>124</v>
      </c>
      <c r="BY63" s="152">
        <v>4.5499999999999999E-2</v>
      </c>
      <c r="BZ63" s="152">
        <v>4.5499999999999999E-2</v>
      </c>
      <c r="CA63" s="152">
        <v>4.5499999999999999E-2</v>
      </c>
      <c r="CB63" s="152">
        <v>4.5499999999999999E-2</v>
      </c>
      <c r="CC63" s="152">
        <v>4.5499999999999999E-2</v>
      </c>
      <c r="CD63" s="152">
        <v>4.5499999999999999E-2</v>
      </c>
      <c r="CE63" s="152">
        <v>5.0500000000000003E-2</v>
      </c>
      <c r="CF63" s="152">
        <v>5.0500000000000003E-2</v>
      </c>
      <c r="CG63" s="152">
        <v>5.0500000000000003E-2</v>
      </c>
      <c r="CH63" s="152">
        <v>5.0500000000000003E-2</v>
      </c>
      <c r="CI63" s="152">
        <v>5.0500000000000003E-2</v>
      </c>
      <c r="CJ63" s="152">
        <v>5.0500000000000003E-2</v>
      </c>
      <c r="CK63" s="152">
        <v>5.0500000000000003E-2</v>
      </c>
      <c r="CL63" s="152">
        <v>4.4999999999999998E-2</v>
      </c>
      <c r="CM63" s="152">
        <v>4.4999999999999998E-2</v>
      </c>
      <c r="CN63" s="152">
        <v>4.4999999999999998E-2</v>
      </c>
      <c r="CO63" s="152">
        <v>4.4999999999999998E-2</v>
      </c>
      <c r="CP63" s="152">
        <v>4.4999999999999998E-2</v>
      </c>
      <c r="CQ63" s="152">
        <v>4.4999999999999998E-2</v>
      </c>
      <c r="CR63" s="152">
        <v>4.4999999999999998E-2</v>
      </c>
      <c r="CS63" s="152">
        <v>4.4999999999999998E-2</v>
      </c>
      <c r="CT63" s="152">
        <v>4.4999999999999998E-2</v>
      </c>
      <c r="CU63" s="152">
        <v>4.4999999999999998E-2</v>
      </c>
      <c r="CV63" s="152">
        <v>4.4999999999999998E-2</v>
      </c>
      <c r="CW63" s="152">
        <v>4.4999999999999998E-2</v>
      </c>
      <c r="CX63" s="152">
        <v>4.4999999999999998E-2</v>
      </c>
      <c r="CY63" s="152">
        <v>4.4999999999999998E-2</v>
      </c>
      <c r="CZ63" s="152">
        <v>4.4999999999999998E-2</v>
      </c>
      <c r="DA63" s="152">
        <v>4.4999999999999998E-2</v>
      </c>
      <c r="DB63" s="152">
        <v>4.4999999999999998E-2</v>
      </c>
      <c r="DC63" s="152">
        <v>4.4999999999999998E-2</v>
      </c>
      <c r="DD63" s="152">
        <v>4.4999999999999998E-2</v>
      </c>
      <c r="DE63" s="152">
        <v>4.4999999999999998E-2</v>
      </c>
      <c r="DF63" s="152">
        <v>4.4999999999999998E-2</v>
      </c>
      <c r="DG63" s="152">
        <v>0.05</v>
      </c>
      <c r="DH63" s="152">
        <v>0.05</v>
      </c>
      <c r="DI63" s="152">
        <v>0.05</v>
      </c>
      <c r="DJ63" s="152">
        <v>0.05</v>
      </c>
      <c r="DK63" s="152">
        <v>0.05</v>
      </c>
      <c r="DL63" s="152">
        <v>0.05</v>
      </c>
      <c r="DM63" s="152">
        <v>0.05</v>
      </c>
      <c r="DN63" s="152">
        <v>0.05</v>
      </c>
      <c r="DO63" s="152">
        <v>0.05</v>
      </c>
      <c r="DP63" s="152">
        <v>0.05</v>
      </c>
      <c r="DQ63" s="152">
        <v>0.05</v>
      </c>
      <c r="DR63" s="152">
        <v>0.05</v>
      </c>
      <c r="DS63" s="152">
        <v>0.05</v>
      </c>
      <c r="DT63" s="152">
        <v>0.05</v>
      </c>
      <c r="DU63" s="152">
        <v>0.05</v>
      </c>
      <c r="DV63" s="152">
        <v>0.05</v>
      </c>
      <c r="DW63" s="152">
        <v>0.05</v>
      </c>
      <c r="DX63" s="152">
        <v>0.05</v>
      </c>
      <c r="DY63" s="152">
        <v>0.05</v>
      </c>
      <c r="DZ63" s="152">
        <v>0.05</v>
      </c>
      <c r="EA63" s="152">
        <v>4.7500000000000001E-2</v>
      </c>
      <c r="EB63" s="152">
        <v>4.7500000000000001E-2</v>
      </c>
      <c r="EC63" s="152">
        <v>4.7500000000000001E-2</v>
      </c>
      <c r="ED63" s="152">
        <v>4.7500000000000001E-2</v>
      </c>
      <c r="EE63" s="152">
        <v>4.7500000000000001E-2</v>
      </c>
      <c r="EF63" s="152">
        <v>4.7500000000000001E-2</v>
      </c>
      <c r="EG63" s="152">
        <v>4.2500000000000003E-2</v>
      </c>
      <c r="EH63" s="152">
        <v>3.5000000000000003E-2</v>
      </c>
      <c r="EI63" s="152">
        <v>3.5000000000000003E-2</v>
      </c>
      <c r="EJ63" s="152">
        <v>3.5000000000000003E-2</v>
      </c>
      <c r="EK63" s="152">
        <v>3.5000000000000003E-2</v>
      </c>
      <c r="EL63" s="152">
        <v>4.4999999999999998E-2</v>
      </c>
      <c r="EM63" s="152">
        <v>4.4999999999999998E-2</v>
      </c>
      <c r="EN63" s="152">
        <v>4.4999999999999998E-2</v>
      </c>
      <c r="EO63" s="152">
        <v>4.4999999999999998E-2</v>
      </c>
      <c r="EP63" s="152">
        <v>4.4999999999999998E-2</v>
      </c>
      <c r="EQ63" s="152">
        <v>4.4999999999999998E-2</v>
      </c>
      <c r="ER63" s="152">
        <v>4.4999999999999998E-2</v>
      </c>
      <c r="ES63" s="152">
        <v>4.4999999999999998E-2</v>
      </c>
      <c r="ET63" s="152">
        <v>4.4999999999999998E-2</v>
      </c>
      <c r="EU63" s="152">
        <v>4.7500000000000001E-2</v>
      </c>
      <c r="EV63" s="152">
        <v>4.7500000000000001E-2</v>
      </c>
      <c r="EW63" s="152">
        <v>4.7500000000000001E-2</v>
      </c>
      <c r="EX63" s="152">
        <v>4.7500000000000001E-2</v>
      </c>
      <c r="EY63" s="152">
        <v>4.7500000000000001E-2</v>
      </c>
      <c r="EZ63" s="152">
        <v>4.7500000000000001E-2</v>
      </c>
      <c r="FA63" s="152">
        <v>4.7500000000000001E-2</v>
      </c>
      <c r="FB63" s="152">
        <v>0.05</v>
      </c>
      <c r="FC63" s="152">
        <v>0.05</v>
      </c>
      <c r="FD63" s="152">
        <v>0.05</v>
      </c>
      <c r="FE63" s="152">
        <v>0.05</v>
      </c>
      <c r="FF63" s="152">
        <v>0.05</v>
      </c>
      <c r="FG63" s="152">
        <v>0.05</v>
      </c>
      <c r="FH63" s="152">
        <v>0.05</v>
      </c>
      <c r="FI63" s="152">
        <v>4.7500000000000001E-2</v>
      </c>
      <c r="FJ63" s="152">
        <v>4.7500000000000001E-2</v>
      </c>
      <c r="FK63" s="152">
        <v>4.7500000000000001E-2</v>
      </c>
      <c r="FL63" s="152">
        <v>4.7500000000000001E-2</v>
      </c>
      <c r="FM63" s="152">
        <v>4.7500000000000001E-2</v>
      </c>
      <c r="FN63" s="152">
        <v>4.7500000000000001E-2</v>
      </c>
      <c r="FO63" s="152">
        <v>4.2500000000000003E-2</v>
      </c>
      <c r="FP63" s="152">
        <v>4.2500000000000003E-2</v>
      </c>
      <c r="FQ63" s="152">
        <v>4.2500000000000003E-2</v>
      </c>
      <c r="FR63" s="152">
        <v>4.2500000000000003E-2</v>
      </c>
      <c r="FS63" s="152">
        <v>4.2500000000000003E-2</v>
      </c>
      <c r="FT63" s="152">
        <v>4.4999999999999998E-2</v>
      </c>
      <c r="FU63" s="152">
        <v>4.4999999999999998E-2</v>
      </c>
      <c r="FV63" s="152">
        <v>4.4999999999999998E-2</v>
      </c>
      <c r="FW63" s="171">
        <v>4.4999999999999998E-2</v>
      </c>
      <c r="FX63" s="171">
        <v>4.4999999999999998E-2</v>
      </c>
      <c r="FY63" s="171">
        <v>4.4999999999999998E-2</v>
      </c>
      <c r="FZ63" s="171">
        <v>4.4999999999999998E-2</v>
      </c>
      <c r="GA63" s="171">
        <v>4.4999999999999998E-2</v>
      </c>
      <c r="GB63" s="152">
        <v>3.5000000000000003E-2</v>
      </c>
      <c r="GC63" s="152">
        <v>3.5000000000000003E-2</v>
      </c>
      <c r="GD63" s="152">
        <v>3.5000000000000003E-2</v>
      </c>
      <c r="GE63" s="152">
        <v>3.5000000000000003E-2</v>
      </c>
      <c r="GF63" s="152">
        <v>3.5000000000000003E-2</v>
      </c>
      <c r="GG63" s="152">
        <v>3.5000000000000003E-2</v>
      </c>
      <c r="GH63" s="152">
        <v>3.5000000000000003E-2</v>
      </c>
      <c r="GI63" s="152">
        <v>3.5000000000000003E-2</v>
      </c>
      <c r="GJ63" s="152">
        <v>3.5000000000000003E-2</v>
      </c>
      <c r="GK63" s="152">
        <v>3.5000000000000003E-2</v>
      </c>
      <c r="GL63" s="152">
        <v>3.5000000000000003E-2</v>
      </c>
      <c r="GM63" s="152">
        <v>3.5000000000000003E-2</v>
      </c>
      <c r="GN63" s="152">
        <v>3.5000000000000003E-2</v>
      </c>
      <c r="GO63" s="152">
        <v>3.5000000000000003E-2</v>
      </c>
      <c r="GP63" s="152">
        <v>3.5000000000000003E-2</v>
      </c>
      <c r="GQ63" s="152">
        <v>3.5000000000000003E-2</v>
      </c>
      <c r="GR63" s="152">
        <v>3.5000000000000003E-2</v>
      </c>
      <c r="GS63" s="152">
        <v>3.5000000000000003E-2</v>
      </c>
      <c r="GT63" s="152">
        <v>3.5000000000000003E-2</v>
      </c>
      <c r="GU63" s="152">
        <v>3.5000000000000003E-2</v>
      </c>
      <c r="GV63" s="152">
        <v>3.5000000000000003E-2</v>
      </c>
      <c r="GW63" s="152">
        <v>3.5000000000000003E-2</v>
      </c>
      <c r="GX63" s="152">
        <v>3.5000000000000003E-2</v>
      </c>
      <c r="GY63" s="152">
        <v>3.5000000000000003E-2</v>
      </c>
      <c r="GZ63" s="152">
        <v>3.5000000000000003E-2</v>
      </c>
      <c r="HA63" s="152">
        <v>3.5000000000000003E-2</v>
      </c>
      <c r="HB63" s="152">
        <v>3.5000000000000003E-2</v>
      </c>
      <c r="HC63" s="152">
        <v>3.5000000000000003E-2</v>
      </c>
      <c r="HD63" s="152">
        <v>3.5000000000000003E-2</v>
      </c>
      <c r="HE63" s="152">
        <v>3.5000000000000003E-2</v>
      </c>
      <c r="HF63" s="152">
        <v>3.5000000000000003E-2</v>
      </c>
      <c r="HG63" s="152">
        <v>3.5000000000000003E-2</v>
      </c>
      <c r="HH63" s="152">
        <v>3.5000000000000003E-2</v>
      </c>
      <c r="HI63" s="152">
        <v>3.5000000000000003E-2</v>
      </c>
      <c r="HJ63" s="152">
        <v>3.5000000000000003E-2</v>
      </c>
      <c r="HK63" s="152">
        <v>3.5000000000000003E-2</v>
      </c>
      <c r="HL63" s="152">
        <v>3.5000000000000003E-2</v>
      </c>
      <c r="HM63" s="152">
        <v>3.5000000000000003E-2</v>
      </c>
      <c r="HN63" s="596" t="s">
        <v>599</v>
      </c>
      <c r="HO63" s="568" t="s">
        <v>591</v>
      </c>
      <c r="HT63" s="103"/>
      <c r="HU63" s="103"/>
      <c r="HV63" s="103"/>
      <c r="HW63" s="103"/>
      <c r="HX63" s="103"/>
      <c r="HY63" s="103"/>
      <c r="HZ63" s="103"/>
      <c r="IA63" s="103"/>
      <c r="IB63" s="103"/>
      <c r="IC63" s="103"/>
      <c r="ID63" s="103"/>
      <c r="IE63" s="103"/>
      <c r="IF63" s="103"/>
      <c r="IG63" s="103"/>
      <c r="IH63" s="103"/>
      <c r="II63" s="103"/>
      <c r="IJ63" s="103"/>
      <c r="IK63" s="103"/>
      <c r="IL63" s="103"/>
      <c r="IM63" s="103"/>
      <c r="IN63" s="103"/>
      <c r="IO63" s="103"/>
      <c r="IP63" s="103"/>
      <c r="IQ63" s="103"/>
      <c r="IR63" s="103"/>
      <c r="IS63" s="103"/>
      <c r="IT63" s="103"/>
      <c r="IU63" s="103"/>
      <c r="IV63" s="103"/>
      <c r="IW63" s="103"/>
      <c r="IX63" s="103"/>
      <c r="IY63" s="103"/>
      <c r="IZ63" s="103"/>
      <c r="JA63" s="103"/>
      <c r="JB63" s="103"/>
      <c r="JC63" s="103"/>
      <c r="JD63" s="103"/>
      <c r="JE63" s="103"/>
      <c r="JF63" s="103"/>
      <c r="JG63" s="103"/>
      <c r="JH63" s="103"/>
      <c r="JI63" s="103"/>
      <c r="JJ63" s="103"/>
      <c r="JK63" s="103"/>
      <c r="JL63" s="103"/>
      <c r="JM63" s="103"/>
      <c r="JN63" s="103"/>
      <c r="JO63" s="103"/>
      <c r="JP63" s="103"/>
      <c r="JQ63" s="103"/>
      <c r="JR63" s="103"/>
      <c r="JS63" s="103"/>
      <c r="JT63" s="103"/>
      <c r="JU63" s="103"/>
      <c r="JV63" s="103"/>
      <c r="JW63" s="103"/>
      <c r="JX63" s="103"/>
      <c r="JY63" s="103"/>
      <c r="JZ63" s="103"/>
      <c r="KA63" s="103"/>
      <c r="KB63" s="103"/>
      <c r="KC63" s="103"/>
      <c r="KD63" s="103"/>
      <c r="KE63" s="103"/>
      <c r="KF63" s="103"/>
      <c r="KG63" s="103"/>
      <c r="KH63" s="103"/>
      <c r="KI63" s="103"/>
      <c r="KJ63" s="103"/>
      <c r="KK63" s="103"/>
      <c r="KL63" s="103"/>
      <c r="KM63" s="103"/>
      <c r="KN63" s="103"/>
      <c r="KO63" s="103"/>
      <c r="KP63" s="103"/>
      <c r="KQ63" s="103"/>
      <c r="KR63" s="103"/>
      <c r="KS63" s="103"/>
      <c r="KT63" s="103"/>
      <c r="KU63" s="103"/>
      <c r="KV63" s="103"/>
      <c r="KW63" s="103"/>
      <c r="KX63" s="103"/>
      <c r="KY63" s="103"/>
      <c r="KZ63" s="103"/>
      <c r="LA63" s="103"/>
      <c r="LB63" s="103"/>
      <c r="LC63" s="103"/>
      <c r="LD63" s="103"/>
      <c r="LE63" s="103"/>
      <c r="LF63" s="103"/>
      <c r="LG63" s="103"/>
      <c r="LH63" s="103"/>
      <c r="LI63" s="103"/>
      <c r="LJ63" s="103"/>
      <c r="LK63" s="103"/>
      <c r="LL63" s="103"/>
      <c r="LM63" s="103"/>
    </row>
    <row r="64" spans="2:325">
      <c r="B64" s="761" t="s">
        <v>16</v>
      </c>
      <c r="C64" s="158" t="s">
        <v>300</v>
      </c>
      <c r="D64" s="847">
        <v>3.5499999999999997E-2</v>
      </c>
      <c r="E64" s="847">
        <v>3.5499999999999997E-2</v>
      </c>
      <c r="F64" s="848"/>
      <c r="G64" s="151"/>
      <c r="H64" s="151"/>
      <c r="I64" s="151"/>
      <c r="J64" s="151"/>
      <c r="K64" s="151"/>
      <c r="L64" s="151"/>
      <c r="M64" s="151"/>
      <c r="N64" s="151"/>
      <c r="O64" s="151"/>
      <c r="P64" s="151"/>
      <c r="Q64" s="151"/>
      <c r="R64" s="151"/>
      <c r="S64" s="151"/>
      <c r="T64" s="151"/>
      <c r="U64" s="151"/>
      <c r="V64" s="151"/>
      <c r="W64" s="148"/>
      <c r="X64" s="148"/>
      <c r="Y64" s="148"/>
      <c r="Z64" s="148"/>
      <c r="AA64" s="148"/>
      <c r="AB64" s="148"/>
      <c r="AC64" s="148"/>
      <c r="AD64" s="148"/>
      <c r="AE64" s="148"/>
      <c r="AF64" s="150"/>
      <c r="AG64" s="150"/>
      <c r="AH64" s="150"/>
      <c r="AI64" s="150"/>
      <c r="AJ64" s="148"/>
      <c r="AK64" s="150"/>
      <c r="AL64" s="149"/>
      <c r="AM64" s="148"/>
      <c r="AN64" s="146"/>
      <c r="AO64" s="146"/>
      <c r="AP64" s="146"/>
      <c r="AQ64" s="146"/>
      <c r="AR64" s="146"/>
      <c r="AS64" s="146"/>
      <c r="AT64" s="146"/>
      <c r="AU64" s="146"/>
      <c r="AV64" s="146"/>
      <c r="AW64" s="146"/>
      <c r="AX64" s="146"/>
      <c r="AY64" s="147"/>
      <c r="AZ64" s="147"/>
      <c r="BA64" s="147"/>
      <c r="BB64" s="147"/>
      <c r="BC64" s="147"/>
      <c r="BD64" s="147"/>
      <c r="BE64" s="147"/>
      <c r="BF64" s="147"/>
      <c r="BG64" s="147"/>
      <c r="BH64" s="147"/>
      <c r="BI64" s="147"/>
      <c r="BJ64" s="147"/>
      <c r="BK64" s="147"/>
      <c r="BL64" s="147"/>
      <c r="BM64" s="147"/>
      <c r="BN64" s="147"/>
      <c r="BO64" s="147"/>
      <c r="BP64" s="147"/>
      <c r="BQ64" s="146"/>
      <c r="BR64" s="146"/>
      <c r="BS64" s="146"/>
      <c r="BT64" s="146"/>
      <c r="BU64" s="146"/>
      <c r="BV64" s="146"/>
      <c r="BW64" s="146"/>
      <c r="BX64" s="146"/>
      <c r="BY64" s="146"/>
      <c r="BZ64" s="146"/>
      <c r="CA64" s="146"/>
      <c r="CB64" s="146"/>
      <c r="CC64" s="146"/>
      <c r="CD64" s="146"/>
      <c r="CE64" s="146"/>
      <c r="CF64" s="146"/>
      <c r="CG64" s="146"/>
      <c r="CH64" s="146"/>
      <c r="CI64" s="146"/>
      <c r="CJ64" s="146"/>
      <c r="CK64" s="146"/>
      <c r="CL64" s="146"/>
      <c r="CM64" s="146"/>
      <c r="CN64" s="146"/>
      <c r="CO64" s="146"/>
      <c r="CP64" s="146"/>
      <c r="CQ64" s="146"/>
      <c r="CR64" s="146"/>
      <c r="CS64" s="145"/>
      <c r="CT64" s="145"/>
      <c r="CU64" s="145"/>
      <c r="CV64" s="145"/>
      <c r="CW64" s="145"/>
      <c r="CX64" s="145"/>
      <c r="CY64" s="145"/>
      <c r="CZ64" s="145"/>
      <c r="DA64" s="145"/>
      <c r="DB64" s="145"/>
      <c r="DC64" s="145"/>
      <c r="DD64" s="145"/>
      <c r="DE64" s="145"/>
      <c r="DF64" s="145"/>
      <c r="DG64" s="145"/>
      <c r="DH64" s="145"/>
      <c r="DI64" s="145"/>
      <c r="DJ64" s="145"/>
      <c r="DK64" s="145"/>
      <c r="DL64" s="145"/>
      <c r="DM64" s="145"/>
      <c r="DN64" s="145"/>
      <c r="DO64" s="145"/>
      <c r="DP64" s="145"/>
      <c r="DQ64" s="145"/>
      <c r="DR64" s="145"/>
      <c r="DS64" s="145"/>
      <c r="DT64" s="145"/>
      <c r="DU64" s="145"/>
      <c r="DV64" s="145"/>
      <c r="DW64" s="145"/>
      <c r="DX64" s="145"/>
      <c r="DY64" s="145"/>
      <c r="DZ64" s="145"/>
      <c r="EA64" s="145"/>
      <c r="EB64" s="145"/>
      <c r="EC64" s="145"/>
      <c r="ED64" s="145"/>
      <c r="EE64" s="145"/>
      <c r="EF64" s="145"/>
      <c r="EG64" s="145"/>
      <c r="EH64" s="145"/>
      <c r="EI64" s="145"/>
      <c r="EJ64" s="145"/>
      <c r="EK64" s="145"/>
      <c r="EL64" s="145"/>
      <c r="EM64" s="145"/>
      <c r="EN64" s="145"/>
      <c r="EO64" s="145"/>
      <c r="EP64" s="145"/>
      <c r="EQ64" s="145"/>
      <c r="ER64" s="145"/>
      <c r="ES64" s="145"/>
      <c r="ET64" s="145"/>
      <c r="EU64" s="145"/>
      <c r="EV64" s="145"/>
      <c r="EW64" s="145"/>
      <c r="EX64" s="145"/>
      <c r="EY64" s="145"/>
      <c r="EZ64" s="145"/>
      <c r="FA64" s="145"/>
      <c r="FB64" s="145"/>
      <c r="FC64" s="145"/>
      <c r="FD64" s="145"/>
      <c r="FE64" s="145"/>
      <c r="FF64" s="145"/>
      <c r="FG64" s="145"/>
      <c r="FH64" s="145"/>
      <c r="FI64" s="145"/>
      <c r="FJ64" s="145"/>
      <c r="FK64" s="145"/>
      <c r="FL64" s="145"/>
      <c r="FM64" s="145"/>
      <c r="FN64" s="145"/>
      <c r="FO64" s="145"/>
      <c r="FP64" s="145"/>
      <c r="FQ64" s="145"/>
      <c r="FR64" s="145"/>
      <c r="FS64" s="145"/>
      <c r="FT64" s="145"/>
      <c r="FU64" s="145"/>
      <c r="FV64" s="145"/>
      <c r="FW64" s="145"/>
      <c r="FX64" s="145"/>
      <c r="FY64" s="145"/>
      <c r="FZ64" s="145"/>
      <c r="GA64" s="145"/>
      <c r="GB64" s="145"/>
      <c r="GC64" s="145"/>
      <c r="GD64" s="145"/>
      <c r="GE64" s="145"/>
      <c r="GF64" s="145"/>
      <c r="GG64" s="145"/>
      <c r="GH64" s="145"/>
      <c r="GI64" s="145"/>
      <c r="GJ64" s="145"/>
      <c r="GK64" s="145"/>
      <c r="GL64" s="145"/>
      <c r="GM64" s="145"/>
      <c r="GN64" s="145"/>
      <c r="GO64" s="145"/>
      <c r="GP64" s="145"/>
      <c r="GQ64" s="145"/>
      <c r="GR64" s="145"/>
      <c r="GS64" s="145"/>
      <c r="GT64" s="145"/>
      <c r="GU64" s="145"/>
      <c r="GV64" s="145"/>
      <c r="GW64" s="145"/>
      <c r="GX64" s="145"/>
      <c r="GY64" s="145"/>
      <c r="GZ64" s="145"/>
      <c r="HA64" s="145"/>
      <c r="HB64" s="145"/>
      <c r="HC64" s="145"/>
      <c r="HD64" s="145"/>
      <c r="HE64" s="145"/>
      <c r="HF64" s="145"/>
      <c r="HG64" s="145"/>
      <c r="HH64" s="145"/>
      <c r="HI64" s="145"/>
      <c r="HJ64" s="145"/>
      <c r="HK64" s="145"/>
      <c r="HL64" s="145"/>
      <c r="HM64" s="145"/>
      <c r="HN64" s="41">
        <f>$D64-$E64</f>
        <v>0</v>
      </c>
      <c r="HO64" s="109" t="s">
        <v>298</v>
      </c>
    </row>
  </sheetData>
  <mergeCells count="16">
    <mergeCell ref="B58:B59"/>
    <mergeCell ref="B17:B18"/>
    <mergeCell ref="B60:B61"/>
    <mergeCell ref="C19:C21"/>
    <mergeCell ref="B19:B21"/>
    <mergeCell ref="B23:B24"/>
    <mergeCell ref="B44:B45"/>
    <mergeCell ref="B36:B38"/>
    <mergeCell ref="B1:HO1"/>
    <mergeCell ref="B3:HO3"/>
    <mergeCell ref="B13:HO13"/>
    <mergeCell ref="B33:HO33"/>
    <mergeCell ref="B53:HO53"/>
    <mergeCell ref="B28:B30"/>
    <mergeCell ref="B48:HO48"/>
    <mergeCell ref="B49:B51"/>
  </mergeCells>
  <phoneticPr fontId="71" type="noConversion"/>
  <conditionalFormatting sqref="HN5:HN9">
    <cfRule type="iconSet" priority="16">
      <iconSet iconSet="3Arrows">
        <cfvo type="percent" val="0"/>
        <cfvo type="num" val="0"/>
        <cfvo type="num" val="0" gte="0"/>
      </iconSet>
    </cfRule>
  </conditionalFormatting>
  <conditionalFormatting sqref="HN10">
    <cfRule type="iconSet" priority="7">
      <iconSet iconSet="3Arrows">
        <cfvo type="percent" val="0"/>
        <cfvo type="num" val="0"/>
        <cfvo type="num" val="0" gte="0"/>
      </iconSet>
    </cfRule>
  </conditionalFormatting>
  <conditionalFormatting sqref="HN11">
    <cfRule type="iconSet" priority="14">
      <iconSet iconSet="3Arrows">
        <cfvo type="percent" val="0"/>
        <cfvo type="num" val="0"/>
        <cfvo type="num" val="0" gte="0"/>
      </iconSet>
    </cfRule>
  </conditionalFormatting>
  <conditionalFormatting sqref="HN15:HN26">
    <cfRule type="iconSet" priority="10">
      <iconSet iconSet="3Arrows">
        <cfvo type="percent" val="0"/>
        <cfvo type="num" val="0"/>
        <cfvo type="num" val="0" gte="0"/>
      </iconSet>
    </cfRule>
  </conditionalFormatting>
  <conditionalFormatting sqref="HN27">
    <cfRule type="iconSet" priority="3">
      <iconSet iconSet="3Arrows">
        <cfvo type="percent" val="0"/>
        <cfvo type="num" val="0"/>
        <cfvo type="num" val="0" gte="0"/>
      </iconSet>
    </cfRule>
  </conditionalFormatting>
  <conditionalFormatting sqref="HN28:HN30">
    <cfRule type="iconSet" priority="6">
      <iconSet iconSet="3Arrows">
        <cfvo type="percent" val="0"/>
        <cfvo type="num" val="0"/>
        <cfvo type="num" val="0" gte="0"/>
      </iconSet>
    </cfRule>
  </conditionalFormatting>
  <conditionalFormatting sqref="HN31">
    <cfRule type="iconSet" priority="13">
      <iconSet iconSet="3Arrows">
        <cfvo type="percent" val="0"/>
        <cfvo type="num" val="0"/>
        <cfvo type="num" val="0" gte="0"/>
      </iconSet>
    </cfRule>
  </conditionalFormatting>
  <conditionalFormatting sqref="HN32">
    <cfRule type="iconSet" priority="15">
      <iconSet iconSet="3Arrows">
        <cfvo type="percent" val="0"/>
        <cfvo type="num" val="0"/>
        <cfvo type="num" val="0" gte="0"/>
      </iconSet>
    </cfRule>
  </conditionalFormatting>
  <conditionalFormatting sqref="HN35:HN39 HN41:HN46">
    <cfRule type="iconSet" priority="9">
      <iconSet iconSet="3Arrows">
        <cfvo type="percent" val="0"/>
        <cfvo type="num" val="0"/>
        <cfvo type="num" val="0" gte="0"/>
      </iconSet>
    </cfRule>
  </conditionalFormatting>
  <conditionalFormatting sqref="HN40">
    <cfRule type="iconSet" priority="5">
      <iconSet iconSet="3Arrows">
        <cfvo type="percent" val="0"/>
        <cfvo type="num" val="0"/>
        <cfvo type="num" val="0" gte="0"/>
      </iconSet>
    </cfRule>
  </conditionalFormatting>
  <conditionalFormatting sqref="HN47">
    <cfRule type="iconSet" priority="12">
      <iconSet iconSet="3Arrows">
        <cfvo type="percent" val="0"/>
        <cfvo type="num" val="0"/>
        <cfvo type="num" val="0" gte="0"/>
      </iconSet>
    </cfRule>
  </conditionalFormatting>
  <conditionalFormatting sqref="HN49:HN51">
    <cfRule type="iconSet" priority="2">
      <iconSet iconSet="3Arrows">
        <cfvo type="percent" val="0"/>
        <cfvo type="num" val="0"/>
        <cfvo type="num" val="0" gte="0"/>
      </iconSet>
    </cfRule>
  </conditionalFormatting>
  <conditionalFormatting sqref="HN55:HN56 HN58:HN63">
    <cfRule type="iconSet" priority="8">
      <iconSet iconSet="3Arrows">
        <cfvo type="percent" val="0"/>
        <cfvo type="num" val="0"/>
        <cfvo type="num" val="0" gte="0"/>
      </iconSet>
    </cfRule>
  </conditionalFormatting>
  <conditionalFormatting sqref="HN57">
    <cfRule type="iconSet" priority="4">
      <iconSet iconSet="3Arrows">
        <cfvo type="percent" val="0"/>
        <cfvo type="num" val="0"/>
        <cfvo type="num" val="0" gte="0"/>
      </iconSet>
    </cfRule>
  </conditionalFormatting>
  <conditionalFormatting sqref="HN64">
    <cfRule type="iconSet" priority="1">
      <iconSet iconSet="3Arrows">
        <cfvo type="percent" val="0"/>
        <cfvo type="num" val="0"/>
        <cfvo type="num" val="0" gte="0"/>
      </iconSet>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CB98"/>
  <sheetViews>
    <sheetView zoomScaleNormal="100" workbookViewId="0">
      <selection activeCell="CH14" sqref="CH14"/>
    </sheetView>
  </sheetViews>
  <sheetFormatPr defaultColWidth="9.109375" defaultRowHeight="13.8"/>
  <cols>
    <col min="1" max="1" width="3.33203125" style="12" customWidth="1"/>
    <col min="2" max="2" width="12.44140625" style="14" customWidth="1"/>
    <col min="3" max="5" width="14.44140625" style="12" customWidth="1"/>
    <col min="6" max="7" width="14.44140625" style="12" hidden="1" customWidth="1"/>
    <col min="8" max="8" width="9.6640625" style="12" hidden="1" customWidth="1"/>
    <col min="9" max="9" width="8.6640625" style="12" hidden="1" customWidth="1"/>
    <col min="10" max="12" width="9.6640625" style="12" hidden="1" customWidth="1"/>
    <col min="13" max="13" width="8.6640625" style="12" hidden="1" customWidth="1"/>
    <col min="14" max="17" width="10.6640625" style="12" hidden="1" customWidth="1"/>
    <col min="18" max="18" width="9.6640625" style="12" hidden="1" customWidth="1"/>
    <col min="19" max="21" width="10.6640625" style="12" hidden="1" customWidth="1"/>
    <col min="22" max="22" width="9.6640625" style="14" hidden="1" customWidth="1"/>
    <col min="23" max="25" width="10.6640625" style="14" hidden="1" customWidth="1"/>
    <col min="26" max="30" width="9.6640625" style="14" hidden="1" customWidth="1"/>
    <col min="31" max="31" width="8.6640625" style="14" hidden="1" customWidth="1"/>
    <col min="32" max="34" width="9.6640625" style="19" hidden="1" customWidth="1"/>
    <col min="35" max="35" width="8.6640625" style="19" hidden="1" customWidth="1"/>
    <col min="36" max="36" width="9.6640625" style="14" hidden="1" customWidth="1"/>
    <col min="37" max="38" width="9.6640625" style="19" hidden="1" customWidth="1"/>
    <col min="39" max="39" width="8.6640625" style="19" hidden="1" customWidth="1"/>
    <col min="40" max="41" width="8.6640625" style="91" hidden="1" customWidth="1"/>
    <col min="42" max="42" width="9.6640625" style="91" hidden="1" customWidth="1"/>
    <col min="43" max="44" width="9.6640625" style="12" hidden="1" customWidth="1"/>
    <col min="45" max="45" width="8.6640625" style="12" hidden="1" customWidth="1"/>
    <col min="46" max="48" width="9.6640625" style="12" hidden="1" customWidth="1"/>
    <col min="49" max="49" width="8.6640625" style="12" hidden="1" customWidth="1"/>
    <col min="50" max="63" width="9.6640625" style="12" hidden="1" customWidth="1"/>
    <col min="64" max="64" width="8.6640625" style="12" hidden="1" customWidth="1"/>
    <col min="65" max="67" width="10.6640625" style="12" hidden="1" customWidth="1"/>
    <col min="68" max="68" width="9.6640625" style="12" hidden="1" customWidth="1"/>
    <col min="69" max="71" width="10.6640625" style="12" hidden="1" customWidth="1"/>
    <col min="72" max="72" width="9.6640625" style="12" hidden="1" customWidth="1"/>
    <col min="73" max="76" width="10.6640625" style="12" hidden="1" customWidth="1"/>
    <col min="77" max="77" width="9.6640625" style="12" hidden="1" customWidth="1"/>
    <col min="78" max="78" width="9.6640625" style="350" hidden="1" customWidth="1"/>
    <col min="79" max="79" width="9.5546875" style="350" bestFit="1" customWidth="1"/>
    <col min="80" max="80" width="10.44140625" style="12" bestFit="1" customWidth="1"/>
    <col min="81" max="16384" width="9.109375" style="12"/>
  </cols>
  <sheetData>
    <row r="1" spans="2:80">
      <c r="C1" s="14"/>
      <c r="D1" s="14"/>
      <c r="E1" s="14"/>
      <c r="F1" s="14"/>
      <c r="G1" s="14"/>
      <c r="H1" s="14"/>
      <c r="I1" s="14"/>
      <c r="J1" s="14"/>
      <c r="K1" s="14"/>
      <c r="L1" s="14"/>
      <c r="M1" s="14"/>
      <c r="N1" s="14"/>
      <c r="O1" s="14"/>
      <c r="P1" s="14"/>
      <c r="Q1" s="14"/>
      <c r="R1" s="14"/>
      <c r="S1" s="14"/>
      <c r="T1" s="14"/>
      <c r="U1" s="14"/>
      <c r="AG1" s="14"/>
      <c r="AH1" s="14"/>
      <c r="AI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c r="BN1" s="14"/>
      <c r="BO1" s="14"/>
      <c r="BP1" s="14"/>
      <c r="BQ1" s="14"/>
      <c r="BR1" s="14"/>
      <c r="BS1" s="14"/>
      <c r="BT1" s="14"/>
      <c r="BU1" s="14"/>
      <c r="BV1" s="14"/>
      <c r="BW1" s="14"/>
      <c r="BX1" s="14"/>
      <c r="BY1" s="14"/>
      <c r="BZ1" s="14"/>
      <c r="CA1" s="14"/>
      <c r="CB1" s="114"/>
    </row>
    <row r="2" spans="2:80" s="372" customFormat="1" ht="17.399999999999999">
      <c r="B2" s="1086" t="s">
        <v>519</v>
      </c>
      <c r="C2" s="1086"/>
      <c r="D2" s="1086"/>
      <c r="E2" s="1086"/>
      <c r="F2" s="1086"/>
      <c r="G2" s="1086"/>
      <c r="H2" s="1086"/>
      <c r="I2" s="1086"/>
      <c r="J2" s="1086"/>
      <c r="K2" s="1086"/>
      <c r="L2" s="1086"/>
      <c r="M2" s="1086"/>
      <c r="N2" s="1086"/>
      <c r="O2" s="1086"/>
      <c r="P2" s="1086"/>
      <c r="Q2" s="1086"/>
      <c r="R2" s="1086"/>
      <c r="S2" s="1086"/>
      <c r="T2" s="1086"/>
      <c r="U2" s="1086"/>
      <c r="V2" s="1086"/>
      <c r="W2" s="1086"/>
      <c r="X2" s="1086"/>
      <c r="Y2" s="1086"/>
      <c r="Z2" s="1086"/>
      <c r="AA2" s="1086"/>
      <c r="AB2" s="1086"/>
      <c r="AC2" s="1086"/>
      <c r="AD2" s="1086"/>
      <c r="AE2" s="1086"/>
      <c r="AF2" s="1086"/>
      <c r="AG2" s="1086"/>
      <c r="AH2" s="1086"/>
      <c r="AI2" s="1086"/>
      <c r="AJ2" s="1086"/>
      <c r="AK2" s="1086"/>
      <c r="AL2" s="1086"/>
      <c r="AM2" s="1086"/>
      <c r="AN2" s="1086"/>
      <c r="AO2" s="1086"/>
      <c r="AP2" s="1086"/>
      <c r="AQ2" s="1086"/>
      <c r="AR2" s="1086"/>
      <c r="AS2" s="1086"/>
      <c r="AT2" s="1086"/>
      <c r="AU2" s="1086"/>
      <c r="AV2" s="1086"/>
      <c r="AW2" s="1086"/>
      <c r="AX2" s="1086"/>
      <c r="AY2" s="1086"/>
      <c r="AZ2" s="1086"/>
      <c r="BA2" s="1086"/>
      <c r="BB2" s="1086"/>
      <c r="BC2" s="1086"/>
      <c r="BD2" s="1086"/>
      <c r="BE2" s="1086"/>
      <c r="BF2" s="1086"/>
      <c r="BG2" s="1086"/>
      <c r="BH2" s="1086"/>
      <c r="BI2" s="1086"/>
      <c r="BJ2" s="1086"/>
      <c r="BK2" s="1086"/>
      <c r="BL2" s="1086"/>
      <c r="BM2" s="1086"/>
      <c r="BN2" s="1086"/>
      <c r="BO2" s="1086"/>
      <c r="BP2" s="1086"/>
      <c r="BQ2" s="1086"/>
      <c r="BR2" s="1086"/>
      <c r="BS2" s="1086"/>
      <c r="BT2" s="1086"/>
      <c r="BU2" s="1086"/>
      <c r="BV2" s="1086"/>
      <c r="BW2" s="1086"/>
      <c r="BX2" s="1086"/>
      <c r="BY2" s="1086"/>
      <c r="BZ2" s="1086"/>
      <c r="CA2" s="1086"/>
      <c r="CB2" s="1086"/>
    </row>
    <row r="3" spans="2:80">
      <c r="B3" s="1080" t="s">
        <v>213</v>
      </c>
      <c r="C3" s="1080"/>
      <c r="D3" s="1080"/>
      <c r="E3" s="1080"/>
      <c r="F3" s="1080"/>
      <c r="G3" s="1080"/>
      <c r="H3" s="1080"/>
      <c r="I3" s="1080"/>
      <c r="J3" s="1080"/>
      <c r="K3" s="1080"/>
      <c r="L3" s="1080"/>
      <c r="M3" s="1080"/>
      <c r="N3" s="1080"/>
      <c r="O3" s="1080"/>
      <c r="P3" s="1080"/>
      <c r="Q3" s="1080"/>
      <c r="R3" s="1080"/>
      <c r="S3" s="1080"/>
      <c r="T3" s="1080"/>
      <c r="U3" s="1080"/>
      <c r="V3" s="1080"/>
      <c r="W3" s="1080"/>
      <c r="X3" s="1080"/>
      <c r="Y3" s="1080"/>
      <c r="Z3" s="1080"/>
      <c r="AA3" s="1080"/>
      <c r="AB3" s="1080"/>
      <c r="AC3" s="1080"/>
      <c r="AD3" s="1080"/>
      <c r="AE3" s="1080"/>
      <c r="AF3" s="1080"/>
      <c r="AG3" s="1080"/>
      <c r="AH3" s="1080"/>
      <c r="AI3" s="1080"/>
      <c r="AJ3" s="1080"/>
      <c r="AK3" s="1080"/>
      <c r="AL3" s="1080"/>
      <c r="AM3" s="1080"/>
      <c r="AN3" s="1080"/>
      <c r="AO3" s="1080"/>
      <c r="AP3" s="1080"/>
      <c r="AQ3" s="1080"/>
      <c r="AR3" s="1080"/>
      <c r="AS3" s="1080"/>
      <c r="AT3" s="1080"/>
      <c r="AU3" s="1080"/>
      <c r="AV3" s="1080"/>
      <c r="AW3" s="1080"/>
      <c r="AX3" s="1080"/>
      <c r="AY3" s="1080"/>
      <c r="AZ3" s="1080"/>
      <c r="BA3" s="1080"/>
      <c r="BB3" s="1080"/>
      <c r="BC3" s="1080"/>
      <c r="BD3" s="1080"/>
      <c r="BE3" s="1080"/>
      <c r="BF3" s="1080"/>
      <c r="BG3" s="1080"/>
      <c r="BH3" s="1080"/>
      <c r="BI3" s="1080"/>
      <c r="BJ3" s="1080"/>
      <c r="BK3" s="1080"/>
      <c r="BL3" s="1080"/>
      <c r="BM3" s="1080"/>
      <c r="BN3" s="1080"/>
      <c r="BO3" s="1080"/>
      <c r="BP3" s="1080"/>
      <c r="BQ3" s="1080"/>
      <c r="BR3" s="1080"/>
      <c r="BS3" s="1080"/>
      <c r="BT3" s="1080"/>
      <c r="BU3" s="1080"/>
      <c r="BV3" s="1080"/>
      <c r="BW3" s="1080"/>
      <c r="BX3" s="1080"/>
      <c r="BY3" s="1080"/>
      <c r="BZ3" s="1080"/>
      <c r="CA3" s="1080"/>
      <c r="CB3" s="1080"/>
    </row>
    <row r="4" spans="2:80">
      <c r="B4" s="756" t="s">
        <v>121</v>
      </c>
      <c r="C4" s="756" t="s">
        <v>120</v>
      </c>
      <c r="D4" s="366">
        <f>'最高报价汇总 '!F2</f>
        <v>46099</v>
      </c>
      <c r="E4" s="366">
        <f>'最高报价汇总 '!G2</f>
        <v>46092</v>
      </c>
      <c r="F4" s="366">
        <v>46085</v>
      </c>
      <c r="G4" s="366">
        <v>46078</v>
      </c>
      <c r="H4" s="366">
        <v>46071</v>
      </c>
      <c r="I4" s="366">
        <v>46057</v>
      </c>
      <c r="J4" s="366">
        <v>46050</v>
      </c>
      <c r="K4" s="366">
        <v>46043</v>
      </c>
      <c r="L4" s="366">
        <v>46036</v>
      </c>
      <c r="M4" s="366">
        <v>46029</v>
      </c>
      <c r="N4" s="366">
        <v>46022</v>
      </c>
      <c r="O4" s="366">
        <v>46015</v>
      </c>
      <c r="P4" s="366">
        <v>46008</v>
      </c>
      <c r="Q4" s="366">
        <v>46001</v>
      </c>
      <c r="R4" s="366">
        <v>45994</v>
      </c>
      <c r="S4" s="366">
        <v>45987</v>
      </c>
      <c r="T4" s="366">
        <v>45980</v>
      </c>
      <c r="U4" s="366">
        <v>45973</v>
      </c>
      <c r="V4" s="366">
        <v>45966</v>
      </c>
      <c r="W4" s="366">
        <v>45959</v>
      </c>
      <c r="X4" s="366">
        <v>45952</v>
      </c>
      <c r="Y4" s="366">
        <v>45945</v>
      </c>
      <c r="Z4" s="366">
        <v>45938</v>
      </c>
      <c r="AA4" s="366">
        <v>45931</v>
      </c>
      <c r="AB4" s="366">
        <v>45924</v>
      </c>
      <c r="AC4" s="366">
        <v>45917</v>
      </c>
      <c r="AD4" s="366">
        <v>45910</v>
      </c>
      <c r="AE4" s="366">
        <v>45903</v>
      </c>
      <c r="AF4" s="344">
        <v>45896</v>
      </c>
      <c r="AG4" s="344">
        <v>45889</v>
      </c>
      <c r="AH4" s="344">
        <v>45882</v>
      </c>
      <c r="AI4" s="344">
        <v>45875</v>
      </c>
      <c r="AJ4" s="366">
        <v>45868</v>
      </c>
      <c r="AK4" s="344">
        <v>45861</v>
      </c>
      <c r="AL4" s="344">
        <v>45854</v>
      </c>
      <c r="AM4" s="344">
        <v>45847</v>
      </c>
      <c r="AN4" s="344">
        <v>45847</v>
      </c>
      <c r="AO4" s="344">
        <v>45840</v>
      </c>
      <c r="AP4" s="344">
        <v>45833</v>
      </c>
      <c r="AQ4" s="366">
        <v>45826</v>
      </c>
      <c r="AR4" s="366">
        <v>45819</v>
      </c>
      <c r="AS4" s="366">
        <v>45812</v>
      </c>
      <c r="AT4" s="366">
        <v>45805</v>
      </c>
      <c r="AU4" s="366">
        <v>45798</v>
      </c>
      <c r="AV4" s="366">
        <v>45792</v>
      </c>
      <c r="AW4" s="366">
        <v>45785</v>
      </c>
      <c r="AX4" s="366">
        <v>45777</v>
      </c>
      <c r="AY4" s="366">
        <v>45763</v>
      </c>
      <c r="AZ4" s="366">
        <v>45757</v>
      </c>
      <c r="BA4" s="366">
        <v>45742</v>
      </c>
      <c r="BB4" s="366">
        <v>45729</v>
      </c>
      <c r="BC4" s="366">
        <v>45722</v>
      </c>
      <c r="BD4" s="366">
        <v>45715</v>
      </c>
      <c r="BE4" s="366">
        <v>45708</v>
      </c>
      <c r="BF4" s="366">
        <v>44970</v>
      </c>
      <c r="BG4" s="366">
        <v>45694</v>
      </c>
      <c r="BH4" s="366">
        <v>45688</v>
      </c>
      <c r="BI4" s="366">
        <v>45681</v>
      </c>
      <c r="BJ4" s="366">
        <v>45673</v>
      </c>
      <c r="BK4" s="366">
        <v>45666</v>
      </c>
      <c r="BL4" s="366">
        <v>45659</v>
      </c>
      <c r="BM4" s="366">
        <v>45652</v>
      </c>
      <c r="BN4" s="366">
        <v>45645</v>
      </c>
      <c r="BO4" s="366">
        <v>45638</v>
      </c>
      <c r="BP4" s="366">
        <v>45631</v>
      </c>
      <c r="BQ4" s="366">
        <f>'最高报价汇总 '!G2</f>
        <v>46092</v>
      </c>
      <c r="BR4" s="366">
        <v>45617</v>
      </c>
      <c r="BS4" s="366">
        <v>45610</v>
      </c>
      <c r="BT4" s="66">
        <v>45603</v>
      </c>
      <c r="BU4" s="66">
        <v>45595</v>
      </c>
      <c r="BV4" s="66">
        <v>45591</v>
      </c>
      <c r="BW4" s="66">
        <v>45582</v>
      </c>
      <c r="BX4" s="66">
        <v>45575</v>
      </c>
      <c r="BY4" s="66">
        <v>45568</v>
      </c>
      <c r="BZ4" s="66">
        <v>45561</v>
      </c>
      <c r="CA4" s="366" t="s">
        <v>113</v>
      </c>
      <c r="CB4" s="367" t="s">
        <v>223</v>
      </c>
    </row>
    <row r="5" spans="2:80">
      <c r="B5" s="194" t="s">
        <v>12</v>
      </c>
      <c r="C5" s="361" t="s">
        <v>293</v>
      </c>
      <c r="D5" s="831">
        <v>3.3500000000000002E-2</v>
      </c>
      <c r="E5" s="831">
        <v>3.3500000000000002E-2</v>
      </c>
      <c r="F5" s="831">
        <v>3.3500000000000002E-2</v>
      </c>
      <c r="G5" s="831">
        <v>3.3500000000000002E-2</v>
      </c>
      <c r="H5" s="235">
        <v>3.1E-2</v>
      </c>
      <c r="I5" s="235">
        <v>3.1E-2</v>
      </c>
      <c r="J5" s="235">
        <v>3.1E-2</v>
      </c>
      <c r="K5" s="235">
        <v>3.1E-2</v>
      </c>
      <c r="L5" s="235">
        <v>3.1E-2</v>
      </c>
      <c r="M5" s="235">
        <v>3.1E-2</v>
      </c>
      <c r="N5" s="235">
        <v>3.1E-2</v>
      </c>
      <c r="O5" s="235">
        <v>3.1E-2</v>
      </c>
      <c r="P5" s="235">
        <v>3.1E-2</v>
      </c>
      <c r="Q5" s="279">
        <v>3.1E-2</v>
      </c>
      <c r="R5" s="235">
        <v>3.15E-2</v>
      </c>
      <c r="S5" s="279">
        <v>3.15E-2</v>
      </c>
      <c r="T5" s="235">
        <v>3.0200000000000001E-2</v>
      </c>
      <c r="U5" s="279">
        <v>3.0200000000000001E-2</v>
      </c>
      <c r="V5" s="235">
        <v>3.15E-2</v>
      </c>
      <c r="W5" s="235">
        <v>3.15E-2</v>
      </c>
      <c r="X5" s="235">
        <v>3.15E-2</v>
      </c>
      <c r="Y5" s="235">
        <v>3.15E-2</v>
      </c>
      <c r="Z5" s="279">
        <v>3.15E-2</v>
      </c>
      <c r="AA5" s="279">
        <v>3.2000000000000001E-2</v>
      </c>
      <c r="AB5" s="235">
        <v>3.2500000000000001E-2</v>
      </c>
      <c r="AC5" s="279">
        <v>3.2500000000000001E-2</v>
      </c>
      <c r="AD5" s="235">
        <v>3.3000000000000002E-2</v>
      </c>
      <c r="AE5" s="235">
        <v>3.3000000000000002E-2</v>
      </c>
      <c r="AF5" s="360">
        <v>3.3000000000000002E-2</v>
      </c>
      <c r="AG5" s="279">
        <v>3.3000000000000002E-2</v>
      </c>
      <c r="AH5" s="360">
        <v>3.3500000000000002E-2</v>
      </c>
      <c r="AI5" s="279">
        <v>3.3500000000000002E-2</v>
      </c>
      <c r="AJ5" s="235">
        <v>3.4000000000000002E-2</v>
      </c>
      <c r="AK5" s="360">
        <v>3.4000000000000002E-2</v>
      </c>
      <c r="AL5" s="279">
        <v>3.4000000000000002E-2</v>
      </c>
      <c r="AM5" s="279">
        <v>3.4000000000000002E-2</v>
      </c>
      <c r="AN5" s="359">
        <v>3.3500000000000002E-2</v>
      </c>
      <c r="AO5" s="359">
        <v>3.3500000000000002E-2</v>
      </c>
      <c r="AP5" s="359">
        <v>3.3500000000000002E-2</v>
      </c>
      <c r="AQ5" s="253">
        <v>3.3500000000000002E-2</v>
      </c>
      <c r="AR5" s="253">
        <v>3.3500000000000002E-2</v>
      </c>
      <c r="AS5" s="253">
        <v>3.3500000000000002E-2</v>
      </c>
      <c r="AT5" s="311">
        <v>3.3500000000000002E-2</v>
      </c>
      <c r="AU5" s="253">
        <v>3.4700000000000002E-2</v>
      </c>
      <c r="AV5" s="311">
        <v>3.4700000000000002E-2</v>
      </c>
      <c r="AW5" s="253">
        <v>3.3500000000000002E-2</v>
      </c>
      <c r="AX5" s="253"/>
      <c r="AY5" s="253"/>
      <c r="AZ5" s="253"/>
      <c r="BA5" s="253"/>
      <c r="BB5" s="253"/>
      <c r="BC5" s="253"/>
      <c r="BD5" s="253"/>
      <c r="BE5" s="253"/>
      <c r="BF5" s="253"/>
      <c r="BG5" s="253"/>
      <c r="BH5" s="253"/>
      <c r="BI5" s="253"/>
      <c r="BJ5" s="253"/>
      <c r="BK5" s="253"/>
      <c r="BL5" s="253"/>
      <c r="BM5" s="253"/>
      <c r="BN5" s="253"/>
      <c r="BO5" s="253"/>
      <c r="BP5" s="253"/>
      <c r="BQ5" s="253"/>
      <c r="BR5" s="253"/>
      <c r="BS5" s="253"/>
      <c r="BT5" s="253"/>
      <c r="BU5" s="253"/>
      <c r="BV5" s="253"/>
      <c r="BW5" s="253"/>
      <c r="BX5" s="253"/>
      <c r="BY5" s="253"/>
      <c r="BZ5" s="253"/>
      <c r="CA5" s="41">
        <f>$D5-$E5</f>
        <v>0</v>
      </c>
      <c r="CB5" s="109"/>
    </row>
    <row r="6" spans="2:80">
      <c r="B6" s="194" t="s">
        <v>16</v>
      </c>
      <c r="C6" s="361" t="s">
        <v>311</v>
      </c>
      <c r="D6" s="392">
        <v>3.3500000000000002E-2</v>
      </c>
      <c r="E6" s="392">
        <v>3.3500000000000002E-2</v>
      </c>
      <c r="F6" s="392">
        <v>3.3500000000000002E-2</v>
      </c>
      <c r="G6" s="392">
        <v>3.3500000000000002E-2</v>
      </c>
      <c r="H6" s="392">
        <v>3.3500000000000002E-2</v>
      </c>
      <c r="I6" s="392">
        <v>3.3500000000000002E-2</v>
      </c>
      <c r="J6" s="392">
        <v>3.3500000000000002E-2</v>
      </c>
      <c r="K6" s="392">
        <v>3.3500000000000002E-2</v>
      </c>
      <c r="L6" s="392">
        <v>3.3500000000000002E-2</v>
      </c>
      <c r="M6" s="392">
        <v>3.3500000000000002E-2</v>
      </c>
      <c r="N6" s="392">
        <v>3.3500000000000002E-2</v>
      </c>
      <c r="O6" s="392">
        <v>3.3500000000000002E-2</v>
      </c>
      <c r="P6" s="392">
        <v>3.3500000000000002E-2</v>
      </c>
      <c r="Q6" s="392">
        <v>3.3500000000000002E-2</v>
      </c>
      <c r="R6" s="392">
        <v>3.3500000000000002E-2</v>
      </c>
      <c r="S6" s="392">
        <v>3.3500000000000002E-2</v>
      </c>
      <c r="T6" s="392">
        <v>3.3500000000000002E-2</v>
      </c>
      <c r="U6" s="392">
        <v>3.3500000000000002E-2</v>
      </c>
      <c r="V6" s="392">
        <v>3.3500000000000002E-2</v>
      </c>
      <c r="W6" s="392">
        <v>3.3500000000000002E-2</v>
      </c>
      <c r="X6" s="392">
        <v>3.3500000000000002E-2</v>
      </c>
      <c r="Y6" s="392">
        <v>3.3500000000000002E-2</v>
      </c>
      <c r="Z6" s="392">
        <v>3.3500000000000002E-2</v>
      </c>
      <c r="AA6" s="392">
        <v>3.3500000000000002E-2</v>
      </c>
      <c r="AB6" s="392">
        <v>3.3500000000000002E-2</v>
      </c>
      <c r="AC6" s="393">
        <v>3.3500000000000002E-2</v>
      </c>
      <c r="AD6" s="392">
        <v>3.5499999999999997E-2</v>
      </c>
      <c r="AE6" s="392">
        <v>3.5499999999999997E-2</v>
      </c>
      <c r="AF6" s="391">
        <v>3.5499999999999997E-2</v>
      </c>
      <c r="AG6" s="391">
        <v>3.5499999999999997E-2</v>
      </c>
      <c r="AH6" s="393">
        <v>3.5499999999999997E-2</v>
      </c>
      <c r="AI6" s="391">
        <v>3.5999999999999997E-2</v>
      </c>
      <c r="AJ6" s="392">
        <v>3.5999999999999997E-2</v>
      </c>
      <c r="AK6" s="391">
        <v>3.5999999999999997E-2</v>
      </c>
      <c r="AL6" s="391">
        <v>3.5999999999999997E-2</v>
      </c>
      <c r="AM6" s="391">
        <v>3.5999999999999997E-2</v>
      </c>
      <c r="AN6" s="390">
        <v>3.5999999999999997E-2</v>
      </c>
      <c r="AO6" s="390">
        <v>3.5999999999999997E-2</v>
      </c>
      <c r="AP6" s="390">
        <v>3.5999999999999997E-2</v>
      </c>
      <c r="AQ6" s="178">
        <v>3.5999999999999997E-2</v>
      </c>
      <c r="AR6" s="178">
        <v>3.5999999999999997E-2</v>
      </c>
      <c r="AS6" s="178">
        <v>3.5999999999999997E-2</v>
      </c>
      <c r="AT6" s="178">
        <v>3.5999999999999997E-2</v>
      </c>
      <c r="AU6" s="178">
        <v>3.5999999999999997E-2</v>
      </c>
      <c r="AV6" s="178">
        <v>3.5999999999999997E-2</v>
      </c>
      <c r="AW6" s="178">
        <v>3.5999999999999997E-2</v>
      </c>
      <c r="AX6" s="178">
        <v>3.5999999999999997E-2</v>
      </c>
      <c r="AY6" s="178">
        <v>3.5999999999999997E-2</v>
      </c>
      <c r="AZ6" s="178">
        <v>3.5999999999999997E-2</v>
      </c>
      <c r="BA6" s="178">
        <v>3.5999999999999997E-2</v>
      </c>
      <c r="BB6" s="178">
        <v>3.5999999999999997E-2</v>
      </c>
      <c r="BC6" s="178">
        <v>3.5999999999999997E-2</v>
      </c>
      <c r="BD6" s="178">
        <v>3.5999999999999997E-2</v>
      </c>
      <c r="BE6" s="178">
        <v>3.5999999999999997E-2</v>
      </c>
      <c r="BF6" s="178">
        <v>3.5999999999999997E-2</v>
      </c>
      <c r="BG6" s="178">
        <v>3.5999999999999997E-2</v>
      </c>
      <c r="BH6" s="178">
        <v>3.5999999999999997E-2</v>
      </c>
      <c r="BI6" s="178">
        <v>3.5999999999999997E-2</v>
      </c>
      <c r="BJ6" s="178">
        <v>3.5999999999999997E-2</v>
      </c>
      <c r="BK6" s="178">
        <v>3.5999999999999997E-2</v>
      </c>
      <c r="BL6" s="178">
        <v>3.5999999999999997E-2</v>
      </c>
      <c r="BM6" s="178">
        <v>3.5999999999999997E-2</v>
      </c>
      <c r="BN6" s="178">
        <v>3.5999999999999997E-2</v>
      </c>
      <c r="BO6" s="178">
        <v>3.5999999999999997E-2</v>
      </c>
      <c r="BP6" s="178">
        <v>3.5999999999999997E-2</v>
      </c>
      <c r="BQ6" s="178">
        <v>3.5999999999999997E-2</v>
      </c>
      <c r="BR6" s="178">
        <v>3.5999999999999997E-2</v>
      </c>
      <c r="BS6" s="178">
        <v>3.5999999999999997E-2</v>
      </c>
      <c r="BT6" s="389">
        <v>3.5999999999999997E-2</v>
      </c>
      <c r="BU6" s="389">
        <v>3.5999999999999997E-2</v>
      </c>
      <c r="BV6" s="389">
        <v>3.5999999999999997E-2</v>
      </c>
      <c r="BW6" s="389">
        <v>3.5999999999999997E-2</v>
      </c>
      <c r="BX6" s="389">
        <v>3.5999999999999997E-2</v>
      </c>
      <c r="BY6" s="389">
        <v>3.5999999999999997E-2</v>
      </c>
      <c r="BZ6" s="389">
        <v>3.5999999999999997E-2</v>
      </c>
      <c r="CA6" s="41">
        <f>$D6-$E6</f>
        <v>0</v>
      </c>
      <c r="CB6" s="109" t="s">
        <v>514</v>
      </c>
    </row>
    <row r="7" spans="2:80">
      <c r="B7" s="194" t="s">
        <v>20</v>
      </c>
      <c r="C7" s="361" t="s">
        <v>311</v>
      </c>
      <c r="D7" s="831">
        <v>3.5000000000000003E-2</v>
      </c>
      <c r="E7" s="831">
        <v>3.5000000000000003E-2</v>
      </c>
      <c r="F7" s="831">
        <v>3.5000000000000003E-2</v>
      </c>
      <c r="G7" s="235">
        <v>3.3000000000000002E-2</v>
      </c>
      <c r="H7" s="235">
        <v>3.3000000000000002E-2</v>
      </c>
      <c r="I7" s="235">
        <v>3.3000000000000002E-2</v>
      </c>
      <c r="J7" s="235">
        <v>3.3000000000000002E-2</v>
      </c>
      <c r="K7" s="235">
        <v>3.3000000000000002E-2</v>
      </c>
      <c r="L7" s="235">
        <v>3.3000000000000002E-2</v>
      </c>
      <c r="M7" s="235">
        <v>3.3000000000000002E-2</v>
      </c>
      <c r="N7" s="235">
        <v>3.3000000000000002E-2</v>
      </c>
      <c r="O7" s="235">
        <v>3.3000000000000002E-2</v>
      </c>
      <c r="P7" s="235">
        <v>3.3000000000000002E-2</v>
      </c>
      <c r="Q7" s="235">
        <v>3.3000000000000002E-2</v>
      </c>
      <c r="R7" s="235">
        <v>3.3000000000000002E-2</v>
      </c>
      <c r="S7" s="235">
        <v>3.3000000000000002E-2</v>
      </c>
      <c r="T7" s="235">
        <v>3.3000000000000002E-2</v>
      </c>
      <c r="U7" s="235">
        <v>3.3000000000000002E-2</v>
      </c>
      <c r="V7" s="235">
        <v>3.3000000000000002E-2</v>
      </c>
      <c r="W7" s="235">
        <v>3.3000000000000002E-2</v>
      </c>
      <c r="X7" s="235">
        <v>3.3000000000000002E-2</v>
      </c>
      <c r="Y7" s="235">
        <v>3.3000000000000002E-2</v>
      </c>
      <c r="Z7" s="235">
        <v>3.3000000000000002E-2</v>
      </c>
      <c r="AA7" s="235">
        <v>3.3000000000000002E-2</v>
      </c>
      <c r="AB7" s="235">
        <v>3.3000000000000002E-2</v>
      </c>
      <c r="AC7" s="235">
        <v>3.3000000000000002E-2</v>
      </c>
      <c r="AD7" s="235">
        <v>3.3000000000000002E-2</v>
      </c>
      <c r="AE7" s="279">
        <v>3.3000000000000002E-2</v>
      </c>
      <c r="AF7" s="360">
        <v>3.5999999999999997E-2</v>
      </c>
      <c r="AG7" s="360">
        <v>3.5999999999999997E-2</v>
      </c>
      <c r="AH7" s="360">
        <v>3.5999999999999997E-2</v>
      </c>
      <c r="AI7" s="360">
        <v>3.5999999999999997E-2</v>
      </c>
      <c r="AJ7" s="235">
        <v>3.5999999999999997E-2</v>
      </c>
      <c r="AK7" s="360">
        <v>3.5999999999999997E-2</v>
      </c>
      <c r="AL7" s="360">
        <v>3.5999999999999997E-2</v>
      </c>
      <c r="AM7" s="360">
        <v>3.5999999999999997E-2</v>
      </c>
      <c r="AN7" s="359">
        <v>3.5999999999999997E-2</v>
      </c>
      <c r="AO7" s="359">
        <v>3.5999999999999997E-2</v>
      </c>
      <c r="AP7" s="359">
        <v>3.5999999999999997E-2</v>
      </c>
      <c r="AQ7" s="253">
        <v>3.5999999999999997E-2</v>
      </c>
      <c r="AR7" s="253">
        <v>3.5999999999999997E-2</v>
      </c>
      <c r="AS7" s="253">
        <v>3.5999999999999997E-2</v>
      </c>
      <c r="AT7" s="253">
        <v>3.5999999999999997E-2</v>
      </c>
      <c r="AU7" s="253">
        <v>0.02</v>
      </c>
      <c r="AV7" s="253">
        <v>3.5999999999999997E-2</v>
      </c>
      <c r="AW7" s="253">
        <v>3.5999999999999997E-2</v>
      </c>
      <c r="AX7" s="253">
        <v>3.5999999999999997E-2</v>
      </c>
      <c r="AY7" s="253">
        <v>3.5999999999999997E-2</v>
      </c>
      <c r="AZ7" s="253">
        <v>3.5999999999999997E-2</v>
      </c>
      <c r="BA7" s="253">
        <v>3.5999999999999997E-2</v>
      </c>
      <c r="BB7" s="253">
        <v>3.5999999999999997E-2</v>
      </c>
      <c r="BC7" s="253">
        <v>3.5999999999999997E-2</v>
      </c>
      <c r="BD7" s="253">
        <v>3.5999999999999997E-2</v>
      </c>
      <c r="BE7" s="253">
        <v>3.5999999999999997E-2</v>
      </c>
      <c r="BF7" s="253">
        <v>3.5999999999999997E-2</v>
      </c>
      <c r="BG7" s="253">
        <v>3.5999999999999997E-2</v>
      </c>
      <c r="BH7" s="253">
        <v>3.5999999999999997E-2</v>
      </c>
      <c r="BI7" s="253">
        <v>3.5999999999999997E-2</v>
      </c>
      <c r="BJ7" s="253">
        <v>3.5999999999999997E-2</v>
      </c>
      <c r="BK7" s="253">
        <v>3.5999999999999997E-2</v>
      </c>
      <c r="BL7" s="253">
        <v>3.5999999999999997E-2</v>
      </c>
      <c r="BM7" s="253">
        <v>3.5999999999999997E-2</v>
      </c>
      <c r="BN7" s="253">
        <v>3.5999999999999997E-2</v>
      </c>
      <c r="BO7" s="253">
        <v>3.5999999999999997E-2</v>
      </c>
      <c r="BP7" s="253">
        <v>3.5999999999999997E-2</v>
      </c>
      <c r="BQ7" s="253">
        <v>3.5999999999999997E-2</v>
      </c>
      <c r="BR7" s="253">
        <v>3.5999999999999997E-2</v>
      </c>
      <c r="BS7" s="253">
        <v>3.5999999999999997E-2</v>
      </c>
      <c r="BT7" s="311">
        <v>3.5999999999999997E-2</v>
      </c>
      <c r="BU7" s="311">
        <v>3.5000000000000003E-2</v>
      </c>
      <c r="BV7" s="311">
        <v>3.5000000000000003E-2</v>
      </c>
      <c r="BW7" s="311">
        <v>3.5000000000000003E-2</v>
      </c>
      <c r="BX7" s="311">
        <v>3.5000000000000003E-2</v>
      </c>
      <c r="BY7" s="311">
        <v>3.5000000000000003E-2</v>
      </c>
      <c r="BZ7" s="311">
        <v>3.5000000000000003E-2</v>
      </c>
      <c r="CA7" s="41">
        <f>$D7-$E7</f>
        <v>0</v>
      </c>
      <c r="CB7" s="109" t="s">
        <v>298</v>
      </c>
    </row>
    <row r="8" spans="2:80">
      <c r="B8" s="194" t="s">
        <v>23</v>
      </c>
      <c r="C8" s="365" t="s">
        <v>313</v>
      </c>
      <c r="D8" s="235">
        <v>3.2500000000000001E-2</v>
      </c>
      <c r="E8" s="235">
        <v>3.2500000000000001E-2</v>
      </c>
      <c r="F8" s="235">
        <v>3.2500000000000001E-2</v>
      </c>
      <c r="G8" s="235">
        <v>3.2500000000000001E-2</v>
      </c>
      <c r="H8" s="235">
        <v>3.2500000000000001E-2</v>
      </c>
      <c r="I8" s="235">
        <v>3.2500000000000001E-2</v>
      </c>
      <c r="J8" s="235">
        <v>3.2500000000000001E-2</v>
      </c>
      <c r="K8" s="235">
        <v>3.2500000000000001E-2</v>
      </c>
      <c r="L8" s="235">
        <v>3.2500000000000001E-2</v>
      </c>
      <c r="M8" s="235">
        <v>3.2500000000000001E-2</v>
      </c>
      <c r="N8" s="235">
        <v>3.2500000000000001E-2</v>
      </c>
      <c r="O8" s="235">
        <v>3.2500000000000001E-2</v>
      </c>
      <c r="P8" s="235">
        <v>3.2500000000000001E-2</v>
      </c>
      <c r="Q8" s="235">
        <v>3.2500000000000001E-2</v>
      </c>
      <c r="R8" s="235">
        <v>3.2500000000000001E-2</v>
      </c>
      <c r="S8" s="235">
        <v>3.2500000000000001E-2</v>
      </c>
      <c r="T8" s="235">
        <v>3.2500000000000001E-2</v>
      </c>
      <c r="U8" s="235">
        <v>3.2500000000000001E-2</v>
      </c>
      <c r="V8" s="235">
        <v>3.2500000000000001E-2</v>
      </c>
      <c r="W8" s="235">
        <v>3.2500000000000001E-2</v>
      </c>
      <c r="X8" s="235">
        <v>3.2500000000000001E-2</v>
      </c>
      <c r="Y8" s="235">
        <v>3.2500000000000001E-2</v>
      </c>
      <c r="Z8" s="235">
        <v>3.2500000000000001E-2</v>
      </c>
      <c r="AA8" s="235">
        <v>3.2500000000000001E-2</v>
      </c>
      <c r="AB8" s="235">
        <v>3.2500000000000001E-2</v>
      </c>
      <c r="AC8" s="235">
        <v>3.2500000000000001E-2</v>
      </c>
      <c r="AD8" s="235">
        <v>3.2500000000000001E-2</v>
      </c>
      <c r="AE8" s="235">
        <v>3.2500000000000001E-2</v>
      </c>
      <c r="AF8" s="360">
        <v>3.2500000000000001E-2</v>
      </c>
      <c r="AG8" s="360">
        <v>3.2500000000000001E-2</v>
      </c>
      <c r="AH8" s="360">
        <v>3.2500000000000001E-2</v>
      </c>
      <c r="AI8" s="360">
        <v>3.2500000000000001E-2</v>
      </c>
      <c r="AJ8" s="235">
        <v>3.2500000000000001E-2</v>
      </c>
      <c r="AK8" s="360">
        <v>3.2500000000000001E-2</v>
      </c>
      <c r="AL8" s="360">
        <v>3.2500000000000001E-2</v>
      </c>
      <c r="AM8" s="360">
        <v>3.2500000000000001E-2</v>
      </c>
      <c r="AN8" s="359">
        <v>3.2500000000000001E-2</v>
      </c>
      <c r="AO8" s="311">
        <v>3.2500000000000001E-2</v>
      </c>
      <c r="AP8" s="359">
        <v>3.5000000000000003E-2</v>
      </c>
      <c r="AQ8" s="253">
        <v>3.5000000000000003E-2</v>
      </c>
      <c r="AR8" s="253">
        <v>3.5000000000000003E-2</v>
      </c>
      <c r="AS8" s="253">
        <v>3.5000000000000003E-2</v>
      </c>
      <c r="AT8" s="253">
        <v>3.5000000000000003E-2</v>
      </c>
      <c r="AU8" s="253">
        <v>3.5000000000000003E-2</v>
      </c>
      <c r="AV8" s="311">
        <v>3.5000000000000003E-2</v>
      </c>
      <c r="AW8" s="253">
        <v>3.7499999999999999E-2</v>
      </c>
      <c r="AX8" s="253">
        <v>3.7499999999999999E-2</v>
      </c>
      <c r="AY8" s="253">
        <v>3.7499999999999999E-2</v>
      </c>
      <c r="AZ8" s="253">
        <v>3.7499999999999999E-2</v>
      </c>
      <c r="BA8" s="253">
        <v>3.7499999999999999E-2</v>
      </c>
      <c r="BB8" s="253">
        <v>3.7499999999999999E-2</v>
      </c>
      <c r="BC8" s="253">
        <v>3.7499999999999999E-2</v>
      </c>
      <c r="BD8" s="253">
        <v>0.04</v>
      </c>
      <c r="BE8" s="253">
        <v>0.04</v>
      </c>
      <c r="BF8" s="253">
        <v>0.04</v>
      </c>
      <c r="BG8" s="253">
        <v>0.04</v>
      </c>
      <c r="BH8" s="253">
        <v>0.04</v>
      </c>
      <c r="BI8" s="253">
        <v>0.04</v>
      </c>
      <c r="BJ8" s="253">
        <v>0.04</v>
      </c>
      <c r="BK8" s="253">
        <v>0.04</v>
      </c>
      <c r="BL8" s="253">
        <v>0.04</v>
      </c>
      <c r="BM8" s="253">
        <v>0.04</v>
      </c>
      <c r="BN8" s="253">
        <v>0.04</v>
      </c>
      <c r="BO8" s="253">
        <v>0.04</v>
      </c>
      <c r="BP8" s="253">
        <v>0.04</v>
      </c>
      <c r="BQ8" s="253">
        <v>0.04</v>
      </c>
      <c r="BR8" s="253">
        <v>0.04</v>
      </c>
      <c r="BS8" s="253">
        <v>0.04</v>
      </c>
      <c r="BT8" s="311">
        <v>0.04</v>
      </c>
      <c r="BU8" s="311"/>
      <c r="BV8" s="311"/>
      <c r="BW8" s="311"/>
      <c r="BX8" s="311"/>
      <c r="BY8" s="311"/>
      <c r="BZ8" s="311"/>
      <c r="CA8" s="41">
        <f>$D8-$E8</f>
        <v>0</v>
      </c>
      <c r="CB8" s="109" t="s">
        <v>312</v>
      </c>
    </row>
    <row r="9" spans="2:80">
      <c r="C9" s="14"/>
      <c r="D9" s="14"/>
      <c r="E9" s="14"/>
      <c r="F9" s="14"/>
      <c r="G9" s="14"/>
      <c r="H9" s="14"/>
      <c r="I9" s="14"/>
      <c r="J9" s="14"/>
      <c r="K9" s="14"/>
      <c r="L9" s="14"/>
      <c r="M9" s="14"/>
      <c r="N9" s="14"/>
      <c r="O9" s="14"/>
      <c r="P9" s="14"/>
      <c r="Q9" s="14"/>
      <c r="R9" s="14"/>
      <c r="S9" s="14"/>
      <c r="T9" s="14"/>
      <c r="U9" s="14"/>
      <c r="AG9" s="14"/>
      <c r="AH9" s="14"/>
      <c r="AI9" s="14"/>
      <c r="AK9" s="14"/>
      <c r="AL9" s="14"/>
      <c r="AM9" s="14"/>
      <c r="AN9" s="14"/>
      <c r="AO9" s="14"/>
      <c r="AP9" s="14"/>
      <c r="AQ9" s="14"/>
      <c r="AR9" s="14"/>
      <c r="AS9" s="14"/>
      <c r="AT9" s="14"/>
      <c r="AU9" s="14"/>
      <c r="AV9" s="14"/>
      <c r="AW9" s="14"/>
      <c r="AX9" s="14"/>
      <c r="AY9" s="14"/>
      <c r="AZ9" s="14"/>
      <c r="BA9" s="14"/>
      <c r="BB9" s="14"/>
      <c r="BC9" s="14"/>
      <c r="BD9" s="14"/>
      <c r="BE9" s="14"/>
      <c r="BF9" s="14"/>
      <c r="BG9" s="14"/>
      <c r="BH9" s="14"/>
      <c r="BI9" s="14"/>
      <c r="BJ9" s="14"/>
      <c r="BK9" s="14"/>
      <c r="BL9" s="14"/>
      <c r="BM9" s="14"/>
      <c r="BN9" s="14"/>
      <c r="BO9" s="14"/>
      <c r="BP9" s="14"/>
      <c r="BQ9" s="14"/>
      <c r="BR9" s="14"/>
      <c r="BS9" s="14"/>
      <c r="BT9" s="14"/>
      <c r="BU9" s="14"/>
      <c r="BV9" s="14"/>
      <c r="BW9" s="14"/>
      <c r="BX9" s="14"/>
      <c r="BY9" s="14"/>
      <c r="BZ9" s="14"/>
      <c r="CA9" s="14"/>
      <c r="CB9" s="114"/>
    </row>
    <row r="10" spans="2:80">
      <c r="B10" s="1080" t="s">
        <v>211</v>
      </c>
      <c r="C10" s="1080"/>
      <c r="D10" s="1080"/>
      <c r="E10" s="1080"/>
      <c r="F10" s="1080"/>
      <c r="G10" s="1080"/>
      <c r="H10" s="1080"/>
      <c r="I10" s="1080"/>
      <c r="J10" s="1080"/>
      <c r="K10" s="1080"/>
      <c r="L10" s="1080"/>
      <c r="M10" s="1080"/>
      <c r="N10" s="1080"/>
      <c r="O10" s="1080"/>
      <c r="P10" s="1080"/>
      <c r="Q10" s="1080"/>
      <c r="R10" s="1080"/>
      <c r="S10" s="1080"/>
      <c r="T10" s="1080"/>
      <c r="U10" s="1080"/>
      <c r="V10" s="1080"/>
      <c r="W10" s="1080"/>
      <c r="X10" s="1080"/>
      <c r="Y10" s="1080"/>
      <c r="Z10" s="1080"/>
      <c r="AA10" s="1080"/>
      <c r="AB10" s="1080"/>
      <c r="AC10" s="1080"/>
      <c r="AD10" s="1080"/>
      <c r="AE10" s="1080"/>
      <c r="AF10" s="1080"/>
      <c r="AG10" s="1080"/>
      <c r="AH10" s="1080"/>
      <c r="AI10" s="1080"/>
      <c r="AJ10" s="1080"/>
      <c r="AK10" s="1080"/>
      <c r="AL10" s="1080"/>
      <c r="AM10" s="1080"/>
      <c r="AN10" s="1080"/>
      <c r="AO10" s="1080"/>
      <c r="AP10" s="1080"/>
      <c r="AQ10" s="1080"/>
      <c r="AR10" s="1080"/>
      <c r="AS10" s="1080"/>
      <c r="AT10" s="1080"/>
      <c r="AU10" s="1080"/>
      <c r="AV10" s="1080"/>
      <c r="AW10" s="1080"/>
      <c r="AX10" s="1080"/>
      <c r="AY10" s="1080"/>
      <c r="AZ10" s="1080"/>
      <c r="BA10" s="1080"/>
      <c r="BB10" s="1080"/>
      <c r="BC10" s="1080"/>
      <c r="BD10" s="1080"/>
      <c r="BE10" s="1080"/>
      <c r="BF10" s="1080"/>
      <c r="BG10" s="1080"/>
      <c r="BH10" s="1080"/>
      <c r="BI10" s="1080"/>
      <c r="BJ10" s="1080"/>
      <c r="BK10" s="1080"/>
      <c r="BL10" s="1080"/>
      <c r="BM10" s="1080"/>
      <c r="BN10" s="1080"/>
      <c r="BO10" s="1080"/>
      <c r="BP10" s="1080"/>
      <c r="BQ10" s="1080"/>
      <c r="BR10" s="1080"/>
      <c r="BS10" s="1080"/>
      <c r="BT10" s="1080"/>
      <c r="BU10" s="1080"/>
      <c r="BV10" s="1080"/>
      <c r="BW10" s="1080"/>
      <c r="BX10" s="1080"/>
      <c r="BY10" s="1080"/>
      <c r="BZ10" s="1080"/>
      <c r="CA10" s="1080"/>
      <c r="CB10" s="1080"/>
    </row>
    <row r="11" spans="2:80">
      <c r="B11" s="755" t="s">
        <v>121</v>
      </c>
      <c r="C11" s="755" t="s">
        <v>120</v>
      </c>
      <c r="D11" s="370">
        <f t="shared" ref="D11:F11" si="0">D4</f>
        <v>46099</v>
      </c>
      <c r="E11" s="370">
        <f t="shared" ref="E11" si="1">E4</f>
        <v>46092</v>
      </c>
      <c r="F11" s="370">
        <f t="shared" si="0"/>
        <v>46085</v>
      </c>
      <c r="G11" s="370">
        <f t="shared" ref="G11:W11" si="2">G4</f>
        <v>46078</v>
      </c>
      <c r="H11" s="370">
        <f t="shared" si="2"/>
        <v>46071</v>
      </c>
      <c r="I11" s="370">
        <f t="shared" si="2"/>
        <v>46057</v>
      </c>
      <c r="J11" s="370">
        <f t="shared" si="2"/>
        <v>46050</v>
      </c>
      <c r="K11" s="370">
        <f t="shared" si="2"/>
        <v>46043</v>
      </c>
      <c r="L11" s="370">
        <f t="shared" si="2"/>
        <v>46036</v>
      </c>
      <c r="M11" s="370">
        <f t="shared" si="2"/>
        <v>46029</v>
      </c>
      <c r="N11" s="370">
        <f t="shared" si="2"/>
        <v>46022</v>
      </c>
      <c r="O11" s="370">
        <f t="shared" si="2"/>
        <v>46015</v>
      </c>
      <c r="P11" s="370">
        <f t="shared" si="2"/>
        <v>46008</v>
      </c>
      <c r="Q11" s="370">
        <f t="shared" si="2"/>
        <v>46001</v>
      </c>
      <c r="R11" s="370">
        <f t="shared" si="2"/>
        <v>45994</v>
      </c>
      <c r="S11" s="370">
        <f t="shared" si="2"/>
        <v>45987</v>
      </c>
      <c r="T11" s="370">
        <f t="shared" si="2"/>
        <v>45980</v>
      </c>
      <c r="U11" s="370">
        <f t="shared" si="2"/>
        <v>45973</v>
      </c>
      <c r="V11" s="370">
        <f t="shared" si="2"/>
        <v>45966</v>
      </c>
      <c r="W11" s="370">
        <f t="shared" si="2"/>
        <v>45959</v>
      </c>
      <c r="X11" s="370">
        <v>45952</v>
      </c>
      <c r="Y11" s="370">
        <f t="shared" ref="Y11:AF11" si="3">Y4</f>
        <v>45945</v>
      </c>
      <c r="Z11" s="370">
        <f t="shared" si="3"/>
        <v>45938</v>
      </c>
      <c r="AA11" s="370">
        <f t="shared" si="3"/>
        <v>45931</v>
      </c>
      <c r="AB11" s="370">
        <f t="shared" si="3"/>
        <v>45924</v>
      </c>
      <c r="AC11" s="370">
        <f t="shared" si="3"/>
        <v>45917</v>
      </c>
      <c r="AD11" s="370">
        <f t="shared" si="3"/>
        <v>45910</v>
      </c>
      <c r="AE11" s="370">
        <f t="shared" si="3"/>
        <v>45903</v>
      </c>
      <c r="AF11" s="382">
        <f t="shared" si="3"/>
        <v>45896</v>
      </c>
      <c r="AG11" s="382">
        <v>45889</v>
      </c>
      <c r="AH11" s="382">
        <v>45882</v>
      </c>
      <c r="AI11" s="382">
        <v>45875</v>
      </c>
      <c r="AJ11" s="370">
        <v>45868</v>
      </c>
      <c r="AK11" s="382">
        <v>45861</v>
      </c>
      <c r="AL11" s="382">
        <f>AL4</f>
        <v>45854</v>
      </c>
      <c r="AM11" s="382">
        <f>AM4</f>
        <v>45847</v>
      </c>
      <c r="AN11" s="382">
        <v>45847</v>
      </c>
      <c r="AO11" s="382">
        <v>45840</v>
      </c>
      <c r="AP11" s="382">
        <f t="shared" ref="AP11:AX11" si="4">AP4</f>
        <v>45833</v>
      </c>
      <c r="AQ11" s="370">
        <f t="shared" si="4"/>
        <v>45826</v>
      </c>
      <c r="AR11" s="370">
        <f t="shared" si="4"/>
        <v>45819</v>
      </c>
      <c r="AS11" s="370">
        <f t="shared" si="4"/>
        <v>45812</v>
      </c>
      <c r="AT11" s="370">
        <f t="shared" si="4"/>
        <v>45805</v>
      </c>
      <c r="AU11" s="370">
        <f t="shared" si="4"/>
        <v>45798</v>
      </c>
      <c r="AV11" s="370">
        <f t="shared" si="4"/>
        <v>45792</v>
      </c>
      <c r="AW11" s="370">
        <f t="shared" si="4"/>
        <v>45785</v>
      </c>
      <c r="AX11" s="370">
        <f t="shared" si="4"/>
        <v>45777</v>
      </c>
      <c r="AY11" s="370">
        <f>AY$4</f>
        <v>45763</v>
      </c>
      <c r="AZ11" s="370">
        <f t="shared" ref="AZ11:BL11" si="5">AZ4</f>
        <v>45757</v>
      </c>
      <c r="BA11" s="370">
        <f t="shared" si="5"/>
        <v>45742</v>
      </c>
      <c r="BB11" s="370">
        <f t="shared" si="5"/>
        <v>45729</v>
      </c>
      <c r="BC11" s="370">
        <f t="shared" si="5"/>
        <v>45722</v>
      </c>
      <c r="BD11" s="370">
        <f t="shared" si="5"/>
        <v>45715</v>
      </c>
      <c r="BE11" s="370">
        <f t="shared" si="5"/>
        <v>45708</v>
      </c>
      <c r="BF11" s="370">
        <f t="shared" si="5"/>
        <v>44970</v>
      </c>
      <c r="BG11" s="370">
        <f t="shared" si="5"/>
        <v>45694</v>
      </c>
      <c r="BH11" s="370">
        <f t="shared" si="5"/>
        <v>45688</v>
      </c>
      <c r="BI11" s="370">
        <f t="shared" si="5"/>
        <v>45681</v>
      </c>
      <c r="BJ11" s="370">
        <f t="shared" si="5"/>
        <v>45673</v>
      </c>
      <c r="BK11" s="370">
        <f t="shared" si="5"/>
        <v>45666</v>
      </c>
      <c r="BL11" s="370">
        <f t="shared" si="5"/>
        <v>45659</v>
      </c>
      <c r="BM11" s="370">
        <f>'最高报价汇总 '!G2</f>
        <v>46092</v>
      </c>
      <c r="BN11" s="370">
        <f>BN4</f>
        <v>45645</v>
      </c>
      <c r="BO11" s="370">
        <f>'最高报价汇总 '!G2</f>
        <v>46092</v>
      </c>
      <c r="BP11" s="370">
        <f>'最高报价汇总 '!G2</f>
        <v>46092</v>
      </c>
      <c r="BQ11" s="370">
        <f>'最高报价汇总 '!G2</f>
        <v>46092</v>
      </c>
      <c r="BR11" s="370">
        <f>'最高报价汇总 '!G2</f>
        <v>46092</v>
      </c>
      <c r="BS11" s="370">
        <f>'最高报价汇总 '!G2</f>
        <v>46092</v>
      </c>
      <c r="BT11" s="369">
        <f>'最高报价汇总 '!G2</f>
        <v>46092</v>
      </c>
      <c r="BU11" s="369">
        <f>BU4</f>
        <v>45595</v>
      </c>
      <c r="BV11" s="369">
        <f>'最高报价汇总 '!G2</f>
        <v>46092</v>
      </c>
      <c r="BW11" s="369">
        <f>BW4</f>
        <v>45582</v>
      </c>
      <c r="BX11" s="369">
        <f>BX4</f>
        <v>45575</v>
      </c>
      <c r="BY11" s="369">
        <f>BY4</f>
        <v>45568</v>
      </c>
      <c r="BZ11" s="369">
        <f>BZ4</f>
        <v>45561</v>
      </c>
      <c r="CA11" s="370" t="str">
        <f>CA4</f>
        <v>当日增幅</v>
      </c>
      <c r="CB11" s="367" t="s">
        <v>223</v>
      </c>
    </row>
    <row r="12" spans="2:80">
      <c r="B12" s="194" t="s">
        <v>12</v>
      </c>
      <c r="C12" s="361" t="s">
        <v>293</v>
      </c>
      <c r="D12" s="831">
        <v>3.5000000000000003E-2</v>
      </c>
      <c r="E12" s="831">
        <v>3.5000000000000003E-2</v>
      </c>
      <c r="F12" s="831">
        <v>3.5000000000000003E-2</v>
      </c>
      <c r="G12" s="831">
        <v>3.5000000000000003E-2</v>
      </c>
      <c r="H12" s="235">
        <v>3.2500000000000001E-2</v>
      </c>
      <c r="I12" s="235">
        <v>3.2500000000000001E-2</v>
      </c>
      <c r="J12" s="235">
        <v>3.2500000000000001E-2</v>
      </c>
      <c r="K12" s="235">
        <v>3.2500000000000001E-2</v>
      </c>
      <c r="L12" s="235">
        <v>3.2500000000000001E-2</v>
      </c>
      <c r="M12" s="235">
        <v>3.2500000000000001E-2</v>
      </c>
      <c r="N12" s="235">
        <v>3.2500000000000001E-2</v>
      </c>
      <c r="O12" s="235">
        <v>3.2500000000000001E-2</v>
      </c>
      <c r="P12" s="279">
        <v>3.2500000000000001E-2</v>
      </c>
      <c r="Q12" s="235">
        <v>3.2000000000000001E-2</v>
      </c>
      <c r="R12" s="235">
        <v>3.2000000000000001E-2</v>
      </c>
      <c r="S12" s="279">
        <v>3.2000000000000001E-2</v>
      </c>
      <c r="T12" s="235">
        <v>3.0700000000000002E-2</v>
      </c>
      <c r="U12" s="279">
        <v>3.0700000000000002E-2</v>
      </c>
      <c r="V12" s="235">
        <v>3.2000000000000001E-2</v>
      </c>
      <c r="W12" s="235">
        <v>3.2000000000000001E-2</v>
      </c>
      <c r="X12" s="235">
        <v>3.2000000000000001E-2</v>
      </c>
      <c r="Y12" s="235">
        <v>3.2000000000000001E-2</v>
      </c>
      <c r="Z12" s="235">
        <v>3.2000000000000001E-2</v>
      </c>
      <c r="AA12" s="279">
        <v>3.2000000000000001E-2</v>
      </c>
      <c r="AB12" s="235">
        <v>3.2500000000000001E-2</v>
      </c>
      <c r="AC12" s="279">
        <v>3.2500000000000001E-2</v>
      </c>
      <c r="AD12" s="235">
        <v>3.3000000000000002E-2</v>
      </c>
      <c r="AE12" s="235">
        <v>3.3000000000000002E-2</v>
      </c>
      <c r="AF12" s="360">
        <v>3.3000000000000002E-2</v>
      </c>
      <c r="AG12" s="279">
        <v>3.3000000000000002E-2</v>
      </c>
      <c r="AH12" s="360">
        <v>3.3500000000000002E-2</v>
      </c>
      <c r="AI12" s="279">
        <v>3.3500000000000002E-2</v>
      </c>
      <c r="AJ12" s="235">
        <v>3.4000000000000002E-2</v>
      </c>
      <c r="AK12" s="360">
        <v>3.4000000000000002E-2</v>
      </c>
      <c r="AL12" s="279">
        <v>3.4000000000000002E-2</v>
      </c>
      <c r="AM12" s="279">
        <v>3.4000000000000002E-2</v>
      </c>
      <c r="AN12" s="359">
        <v>3.3500000000000002E-2</v>
      </c>
      <c r="AO12" s="359">
        <v>3.3500000000000002E-2</v>
      </c>
      <c r="AP12" s="359">
        <v>3.3500000000000002E-2</v>
      </c>
      <c r="AQ12" s="253">
        <v>3.3500000000000002E-2</v>
      </c>
      <c r="AR12" s="253">
        <v>3.3500000000000002E-2</v>
      </c>
      <c r="AS12" s="253">
        <v>3.3500000000000002E-2</v>
      </c>
      <c r="AT12" s="311">
        <v>3.3500000000000002E-2</v>
      </c>
      <c r="AU12" s="253">
        <v>3.4700000000000002E-2</v>
      </c>
      <c r="AV12" s="311">
        <v>3.4700000000000002E-2</v>
      </c>
      <c r="AW12" s="253">
        <v>3.5999999999999997E-2</v>
      </c>
      <c r="AX12" s="253"/>
      <c r="AY12" s="253"/>
      <c r="AZ12" s="253"/>
      <c r="BA12" s="253"/>
      <c r="BB12" s="253"/>
      <c r="BC12" s="253"/>
      <c r="BD12" s="253"/>
      <c r="BE12" s="253"/>
      <c r="BF12" s="253"/>
      <c r="BG12" s="253"/>
      <c r="BH12" s="253"/>
      <c r="BI12" s="253"/>
      <c r="BJ12" s="253"/>
      <c r="BK12" s="253"/>
      <c r="BL12" s="253"/>
      <c r="BM12" s="253"/>
      <c r="BN12" s="253"/>
      <c r="BO12" s="253"/>
      <c r="BP12" s="253"/>
      <c r="BQ12" s="253"/>
      <c r="BR12" s="253"/>
      <c r="BS12" s="253"/>
      <c r="BT12" s="253"/>
      <c r="BU12" s="253"/>
      <c r="BV12" s="253"/>
      <c r="BW12" s="253"/>
      <c r="BX12" s="253"/>
      <c r="BY12" s="253"/>
      <c r="BZ12" s="253"/>
      <c r="CA12" s="41">
        <f>$D12-$E12</f>
        <v>0</v>
      </c>
      <c r="CB12" s="109" t="s">
        <v>312</v>
      </c>
    </row>
    <row r="13" spans="2:80">
      <c r="B13" s="194" t="s">
        <v>16</v>
      </c>
      <c r="C13" s="361" t="s">
        <v>311</v>
      </c>
      <c r="D13" s="392">
        <v>3.4000000000000002E-2</v>
      </c>
      <c r="E13" s="392">
        <v>3.4000000000000002E-2</v>
      </c>
      <c r="F13" s="392">
        <v>3.4000000000000002E-2</v>
      </c>
      <c r="G13" s="392">
        <v>3.4000000000000002E-2</v>
      </c>
      <c r="H13" s="393">
        <v>3.4000000000000002E-2</v>
      </c>
      <c r="I13" s="392">
        <v>3.3500000000000002E-2</v>
      </c>
      <c r="J13" s="392">
        <v>3.3500000000000002E-2</v>
      </c>
      <c r="K13" s="392">
        <v>3.3500000000000002E-2</v>
      </c>
      <c r="L13" s="392">
        <v>3.3500000000000002E-2</v>
      </c>
      <c r="M13" s="392">
        <v>3.3500000000000002E-2</v>
      </c>
      <c r="N13" s="392">
        <v>3.3500000000000002E-2</v>
      </c>
      <c r="O13" s="392">
        <v>3.3500000000000002E-2</v>
      </c>
      <c r="P13" s="392">
        <v>3.3500000000000002E-2</v>
      </c>
      <c r="Q13" s="392">
        <v>3.3500000000000002E-2</v>
      </c>
      <c r="R13" s="392">
        <v>3.3500000000000002E-2</v>
      </c>
      <c r="S13" s="392">
        <v>3.3500000000000002E-2</v>
      </c>
      <c r="T13" s="392">
        <v>3.3500000000000002E-2</v>
      </c>
      <c r="U13" s="392">
        <v>3.3500000000000002E-2</v>
      </c>
      <c r="V13" s="392">
        <v>3.3500000000000002E-2</v>
      </c>
      <c r="W13" s="235">
        <v>3.3500000000000002E-2</v>
      </c>
      <c r="X13" s="235">
        <v>3.3500000000000002E-2</v>
      </c>
      <c r="Y13" s="235">
        <v>3.3500000000000002E-2</v>
      </c>
      <c r="Z13" s="235">
        <v>3.3500000000000002E-2</v>
      </c>
      <c r="AA13" s="235">
        <v>3.3500000000000002E-2</v>
      </c>
      <c r="AB13" s="279">
        <v>3.3500000000000002E-2</v>
      </c>
      <c r="AC13" s="279">
        <v>3.4500000000000003E-2</v>
      </c>
      <c r="AD13" s="235">
        <v>3.5000000000000003E-2</v>
      </c>
      <c r="AE13" s="235">
        <v>3.5000000000000003E-2</v>
      </c>
      <c r="AF13" s="360">
        <v>3.5000000000000003E-2</v>
      </c>
      <c r="AG13" s="360">
        <v>3.5000000000000003E-2</v>
      </c>
      <c r="AH13" s="279">
        <v>3.5000000000000003E-2</v>
      </c>
      <c r="AI13" s="360">
        <v>3.5499999999999997E-2</v>
      </c>
      <c r="AJ13" s="235">
        <v>3.5499999999999997E-2</v>
      </c>
      <c r="AK13" s="360">
        <v>3.5499999999999997E-2</v>
      </c>
      <c r="AL13" s="360">
        <v>3.5499999999999997E-2</v>
      </c>
      <c r="AM13" s="360">
        <v>3.5499999999999997E-2</v>
      </c>
      <c r="AN13" s="311">
        <v>3.5499999999999997E-2</v>
      </c>
      <c r="AO13" s="359">
        <v>3.6999999999999998E-2</v>
      </c>
      <c r="AP13" s="311">
        <v>3.6999999999999998E-2</v>
      </c>
      <c r="AQ13" s="253">
        <v>3.7999999999999999E-2</v>
      </c>
      <c r="AR13" s="253">
        <v>3.7999999999999999E-2</v>
      </c>
      <c r="AS13" s="253">
        <v>3.7999999999999999E-2</v>
      </c>
      <c r="AT13" s="253">
        <v>3.7999999999999999E-2</v>
      </c>
      <c r="AU13" s="253">
        <v>3.7999999999999999E-2</v>
      </c>
      <c r="AV13" s="253">
        <v>3.7999999999999999E-2</v>
      </c>
      <c r="AW13" s="253">
        <v>3.7999999999999999E-2</v>
      </c>
      <c r="AX13" s="253">
        <v>3.7999999999999999E-2</v>
      </c>
      <c r="AY13" s="253">
        <v>3.7999999999999999E-2</v>
      </c>
      <c r="AZ13" s="253">
        <v>3.7999999999999999E-2</v>
      </c>
      <c r="BA13" s="253">
        <v>3.7999999999999999E-2</v>
      </c>
      <c r="BB13" s="253">
        <v>3.7999999999999999E-2</v>
      </c>
      <c r="BC13" s="253">
        <v>3.9E-2</v>
      </c>
      <c r="BD13" s="253">
        <v>3.9E-2</v>
      </c>
      <c r="BE13" s="253">
        <v>3.9E-2</v>
      </c>
      <c r="BF13" s="253">
        <v>3.9E-2</v>
      </c>
      <c r="BG13" s="253">
        <v>3.9E-2</v>
      </c>
      <c r="BH13" s="253">
        <v>3.9E-2</v>
      </c>
      <c r="BI13" s="253">
        <v>3.9E-2</v>
      </c>
      <c r="BJ13" s="253">
        <v>3.9E-2</v>
      </c>
      <c r="BK13" s="253">
        <v>3.9E-2</v>
      </c>
      <c r="BL13" s="253">
        <v>3.9E-2</v>
      </c>
      <c r="BM13" s="253">
        <v>3.9E-2</v>
      </c>
      <c r="BN13" s="253">
        <v>3.9E-2</v>
      </c>
      <c r="BO13" s="253">
        <v>3.9E-2</v>
      </c>
      <c r="BP13" s="253">
        <v>3.9E-2</v>
      </c>
      <c r="BQ13" s="253">
        <v>3.9E-2</v>
      </c>
      <c r="BR13" s="253">
        <v>3.9E-2</v>
      </c>
      <c r="BS13" s="253">
        <v>3.9E-2</v>
      </c>
      <c r="BT13" s="383">
        <v>3.9E-2</v>
      </c>
      <c r="BU13" s="383">
        <v>3.9E-2</v>
      </c>
      <c r="BV13" s="383">
        <v>3.9E-2</v>
      </c>
      <c r="BW13" s="383">
        <v>3.9E-2</v>
      </c>
      <c r="BX13" s="383">
        <v>3.9E-2</v>
      </c>
      <c r="BY13" s="383">
        <v>3.9E-2</v>
      </c>
      <c r="BZ13" s="383">
        <v>3.9E-2</v>
      </c>
      <c r="CA13" s="41">
        <f>$D13-$E13</f>
        <v>0</v>
      </c>
      <c r="CB13" s="109" t="s">
        <v>514</v>
      </c>
    </row>
    <row r="14" spans="2:80">
      <c r="B14" s="194" t="s">
        <v>20</v>
      </c>
      <c r="C14" s="361" t="s">
        <v>311</v>
      </c>
      <c r="D14" s="235">
        <v>3.5999999999999997E-2</v>
      </c>
      <c r="E14" s="235">
        <v>3.5999999999999997E-2</v>
      </c>
      <c r="F14" s="235">
        <v>3.5999999999999997E-2</v>
      </c>
      <c r="G14" s="235">
        <v>3.4000000000000002E-2</v>
      </c>
      <c r="H14" s="235">
        <v>3.4000000000000002E-2</v>
      </c>
      <c r="I14" s="235">
        <v>3.4000000000000002E-2</v>
      </c>
      <c r="J14" s="235">
        <v>3.4000000000000002E-2</v>
      </c>
      <c r="K14" s="235">
        <v>3.4000000000000002E-2</v>
      </c>
      <c r="L14" s="235">
        <v>3.4000000000000002E-2</v>
      </c>
      <c r="M14" s="235">
        <v>3.4000000000000002E-2</v>
      </c>
      <c r="N14" s="235">
        <v>3.4000000000000002E-2</v>
      </c>
      <c r="O14" s="235">
        <v>3.4000000000000002E-2</v>
      </c>
      <c r="P14" s="235">
        <v>3.4000000000000002E-2</v>
      </c>
      <c r="Q14" s="235">
        <v>3.4000000000000002E-2</v>
      </c>
      <c r="R14" s="235">
        <v>3.4000000000000002E-2</v>
      </c>
      <c r="S14" s="235">
        <v>3.4000000000000002E-2</v>
      </c>
      <c r="T14" s="235">
        <v>3.4000000000000002E-2</v>
      </c>
      <c r="U14" s="235">
        <v>3.4000000000000002E-2</v>
      </c>
      <c r="V14" s="235">
        <v>3.4000000000000002E-2</v>
      </c>
      <c r="W14" s="235">
        <v>3.4000000000000002E-2</v>
      </c>
      <c r="X14" s="235">
        <v>3.4000000000000002E-2</v>
      </c>
      <c r="Y14" s="235">
        <v>3.4000000000000002E-2</v>
      </c>
      <c r="Z14" s="235">
        <v>3.4000000000000002E-2</v>
      </c>
      <c r="AA14" s="235">
        <v>3.4000000000000002E-2</v>
      </c>
      <c r="AB14" s="235">
        <v>3.4000000000000002E-2</v>
      </c>
      <c r="AC14" s="235">
        <v>3.4000000000000002E-2</v>
      </c>
      <c r="AD14" s="235">
        <v>3.4000000000000002E-2</v>
      </c>
      <c r="AE14" s="279">
        <v>3.4000000000000002E-2</v>
      </c>
      <c r="AF14" s="360">
        <v>3.5000000000000003E-2</v>
      </c>
      <c r="AG14" s="360">
        <v>3.5000000000000003E-2</v>
      </c>
      <c r="AH14" s="360">
        <v>3.5000000000000003E-2</v>
      </c>
      <c r="AI14" s="360">
        <v>3.5000000000000003E-2</v>
      </c>
      <c r="AJ14" s="235">
        <v>3.5000000000000003E-2</v>
      </c>
      <c r="AK14" s="360">
        <v>3.5000000000000003E-2</v>
      </c>
      <c r="AL14" s="360">
        <v>3.5000000000000003E-2</v>
      </c>
      <c r="AM14" s="360">
        <v>3.5000000000000003E-2</v>
      </c>
      <c r="AN14" s="359">
        <v>3.5000000000000003E-2</v>
      </c>
      <c r="AO14" s="311">
        <v>3.5000000000000003E-2</v>
      </c>
      <c r="AP14" s="359">
        <v>3.6999999999999998E-2</v>
      </c>
      <c r="AQ14" s="253">
        <v>3.6999999999999998E-2</v>
      </c>
      <c r="AR14" s="253">
        <v>3.6999999999999998E-2</v>
      </c>
      <c r="AS14" s="311">
        <v>3.6999999999999998E-2</v>
      </c>
      <c r="AT14" s="253">
        <v>3.7999999999999999E-2</v>
      </c>
      <c r="AU14" s="311">
        <v>2.0899999999999998E-2</v>
      </c>
      <c r="AV14" s="253">
        <v>3.7999999999999999E-2</v>
      </c>
      <c r="AW14" s="253">
        <v>3.7999999999999999E-2</v>
      </c>
      <c r="AX14" s="253">
        <v>3.7999999999999999E-2</v>
      </c>
      <c r="AY14" s="253">
        <v>3.7999999999999999E-2</v>
      </c>
      <c r="AZ14" s="253">
        <v>3.7999999999999999E-2</v>
      </c>
      <c r="BA14" s="253">
        <v>3.7999999999999999E-2</v>
      </c>
      <c r="BB14" s="253">
        <v>3.7999999999999999E-2</v>
      </c>
      <c r="BC14" s="253">
        <v>3.7999999999999999E-2</v>
      </c>
      <c r="BD14" s="253">
        <v>3.7999999999999999E-2</v>
      </c>
      <c r="BE14" s="253">
        <v>3.7999999999999999E-2</v>
      </c>
      <c r="BF14" s="253">
        <v>3.7999999999999999E-2</v>
      </c>
      <c r="BG14" s="253">
        <v>3.7999999999999999E-2</v>
      </c>
      <c r="BH14" s="253">
        <v>3.7999999999999999E-2</v>
      </c>
      <c r="BI14" s="253">
        <v>3.7999999999999999E-2</v>
      </c>
      <c r="BJ14" s="253">
        <v>3.7999999999999999E-2</v>
      </c>
      <c r="BK14" s="253">
        <v>3.7999999999999999E-2</v>
      </c>
      <c r="BL14" s="253">
        <v>3.7999999999999999E-2</v>
      </c>
      <c r="BM14" s="253">
        <v>3.7999999999999999E-2</v>
      </c>
      <c r="BN14" s="253">
        <v>3.7999999999999999E-2</v>
      </c>
      <c r="BO14" s="253">
        <v>3.7999999999999999E-2</v>
      </c>
      <c r="BP14" s="253">
        <v>3.7999999999999999E-2</v>
      </c>
      <c r="BQ14" s="253">
        <v>3.7999999999999999E-2</v>
      </c>
      <c r="BR14" s="253">
        <v>3.7999999999999999E-2</v>
      </c>
      <c r="BS14" s="253">
        <v>3.7999999999999999E-2</v>
      </c>
      <c r="BT14" s="311">
        <v>3.7999999999999999E-2</v>
      </c>
      <c r="BU14" s="311">
        <v>3.6999999999999998E-2</v>
      </c>
      <c r="BV14" s="311">
        <v>3.6999999999999998E-2</v>
      </c>
      <c r="BW14" s="311">
        <v>3.6999999999999998E-2</v>
      </c>
      <c r="BX14" s="311">
        <v>3.6999999999999998E-2</v>
      </c>
      <c r="BY14" s="311">
        <v>3.6999999999999998E-2</v>
      </c>
      <c r="BZ14" s="311">
        <v>3.6999999999999998E-2</v>
      </c>
      <c r="CA14" s="41">
        <f>$D14-$E14</f>
        <v>0</v>
      </c>
      <c r="CB14" s="109" t="s">
        <v>298</v>
      </c>
    </row>
    <row r="15" spans="2:80">
      <c r="B15" s="194" t="s">
        <v>29</v>
      </c>
      <c r="C15" s="365" t="s">
        <v>779</v>
      </c>
      <c r="D15" s="235">
        <v>3.5000000000000003E-2</v>
      </c>
      <c r="E15" s="235">
        <v>3.5000000000000003E-2</v>
      </c>
      <c r="F15" s="235">
        <v>3.5000000000000003E-2</v>
      </c>
      <c r="G15" s="235">
        <v>3.5000000000000003E-2</v>
      </c>
      <c r="H15" s="279">
        <v>3.5000000000000003E-2</v>
      </c>
      <c r="I15" s="235"/>
      <c r="J15" s="235">
        <v>3.2500000000000001E-2</v>
      </c>
      <c r="K15" s="235">
        <v>3.2500000000000001E-2</v>
      </c>
      <c r="L15" s="235">
        <v>3.2500000000000001E-2</v>
      </c>
      <c r="M15" s="235">
        <v>3.2500000000000001E-2</v>
      </c>
      <c r="N15" s="235">
        <v>3.2500000000000001E-2</v>
      </c>
      <c r="O15" s="235">
        <v>3.2500000000000001E-2</v>
      </c>
      <c r="P15" s="235">
        <v>3.2500000000000001E-2</v>
      </c>
      <c r="Q15" s="235">
        <v>3.2500000000000001E-2</v>
      </c>
      <c r="R15" s="235">
        <v>3.2500000000000001E-2</v>
      </c>
      <c r="S15" s="235">
        <v>3.2500000000000001E-2</v>
      </c>
      <c r="T15" s="235">
        <v>3.2500000000000001E-2</v>
      </c>
      <c r="U15" s="235">
        <v>3.2500000000000001E-2</v>
      </c>
      <c r="V15" s="235">
        <v>3.2500000000000001E-2</v>
      </c>
      <c r="W15" s="235">
        <v>3.2500000000000001E-2</v>
      </c>
      <c r="X15" s="235">
        <v>3.2500000000000001E-2</v>
      </c>
      <c r="Y15" s="235">
        <v>3.2500000000000001E-2</v>
      </c>
      <c r="Z15" s="235">
        <v>3.2500000000000001E-2</v>
      </c>
      <c r="AA15" s="235">
        <v>3.2500000000000001E-2</v>
      </c>
      <c r="AB15" s="235">
        <v>3.2500000000000001E-2</v>
      </c>
      <c r="AC15" s="235">
        <v>3.2500000000000001E-2</v>
      </c>
      <c r="AD15" s="235">
        <v>3.2500000000000001E-2</v>
      </c>
      <c r="AE15" s="235">
        <v>3.2500000000000001E-2</v>
      </c>
      <c r="AF15" s="360">
        <v>3.2500000000000001E-2</v>
      </c>
      <c r="AG15" s="360">
        <v>3.2500000000000001E-2</v>
      </c>
      <c r="AH15" s="360">
        <v>3.2500000000000001E-2</v>
      </c>
      <c r="AI15" s="360">
        <v>3.2500000000000001E-2</v>
      </c>
      <c r="AJ15" s="235">
        <v>3.2500000000000001E-2</v>
      </c>
      <c r="AK15" s="360">
        <v>3.2500000000000001E-2</v>
      </c>
      <c r="AL15" s="360">
        <v>3.2500000000000001E-2</v>
      </c>
      <c r="AM15" s="360">
        <v>3.2500000000000001E-2</v>
      </c>
      <c r="AN15" s="359">
        <v>3.2500000000000001E-2</v>
      </c>
      <c r="AO15" s="311">
        <v>3.2500000000000001E-2</v>
      </c>
      <c r="AP15" s="359">
        <v>3.5000000000000003E-2</v>
      </c>
      <c r="AQ15" s="253">
        <v>3.5000000000000003E-2</v>
      </c>
      <c r="AR15" s="253">
        <v>3.5000000000000003E-2</v>
      </c>
      <c r="AS15" s="253">
        <v>3.5000000000000003E-2</v>
      </c>
      <c r="AT15" s="253">
        <v>3.5000000000000003E-2</v>
      </c>
      <c r="AU15" s="253">
        <v>3.5000000000000003E-2</v>
      </c>
      <c r="AV15" s="311">
        <v>3.5000000000000003E-2</v>
      </c>
      <c r="AW15" s="253">
        <v>3.7499999999999999E-2</v>
      </c>
      <c r="AX15" s="253">
        <v>3.7499999999999999E-2</v>
      </c>
      <c r="AY15" s="253">
        <v>3.7499999999999999E-2</v>
      </c>
      <c r="AZ15" s="253">
        <v>3.7499999999999999E-2</v>
      </c>
      <c r="BA15" s="253">
        <v>3.7499999999999999E-2</v>
      </c>
      <c r="BB15" s="253">
        <v>3.7499999999999999E-2</v>
      </c>
      <c r="BC15" s="253">
        <v>3.7499999999999999E-2</v>
      </c>
      <c r="BD15" s="253">
        <v>0.04</v>
      </c>
      <c r="BE15" s="253">
        <v>0.04</v>
      </c>
      <c r="BF15" s="253">
        <v>0.04</v>
      </c>
      <c r="BG15" s="253">
        <v>0.04</v>
      </c>
      <c r="BH15" s="253">
        <v>0.04</v>
      </c>
      <c r="BI15" s="253">
        <v>0.04</v>
      </c>
      <c r="BJ15" s="253">
        <v>0.04</v>
      </c>
      <c r="BK15" s="253">
        <v>0.04</v>
      </c>
      <c r="BL15" s="253">
        <v>0.04</v>
      </c>
      <c r="BM15" s="253">
        <v>0.04</v>
      </c>
      <c r="BN15" s="253">
        <v>0.04</v>
      </c>
      <c r="BO15" s="253">
        <v>0.04</v>
      </c>
      <c r="BP15" s="253">
        <v>0.04</v>
      </c>
      <c r="BQ15" s="253">
        <v>0.04</v>
      </c>
      <c r="BR15" s="253">
        <v>0.04</v>
      </c>
      <c r="BS15" s="253">
        <v>0.04</v>
      </c>
      <c r="BT15" s="311">
        <v>0.04</v>
      </c>
      <c r="BU15" s="311"/>
      <c r="BV15" s="311"/>
      <c r="BW15" s="311"/>
      <c r="BX15" s="311"/>
      <c r="BY15" s="311"/>
      <c r="BZ15" s="311"/>
      <c r="CA15" s="41">
        <f>$D15-$E15</f>
        <v>0</v>
      </c>
      <c r="CB15" s="109"/>
    </row>
    <row r="16" spans="2:80">
      <c r="B16" s="669" t="s">
        <v>42</v>
      </c>
      <c r="C16" s="111" t="s">
        <v>261</v>
      </c>
      <c r="D16" s="357">
        <v>3.5999999999999997E-2</v>
      </c>
      <c r="E16" s="357">
        <v>3.5999999999999997E-2</v>
      </c>
      <c r="F16" s="357">
        <v>3.5999999999999997E-2</v>
      </c>
      <c r="G16" s="357">
        <v>3.5999999999999997E-2</v>
      </c>
      <c r="H16" s="235"/>
      <c r="I16" s="800"/>
      <c r="J16" s="800"/>
      <c r="K16" s="800"/>
      <c r="L16" s="800"/>
      <c r="M16" s="800"/>
      <c r="N16" s="800"/>
      <c r="O16" s="800"/>
      <c r="P16" s="800"/>
      <c r="Q16" s="800"/>
      <c r="R16" s="800"/>
      <c r="S16" s="800"/>
      <c r="T16" s="800"/>
      <c r="U16" s="800"/>
      <c r="V16" s="800"/>
      <c r="W16" s="800"/>
      <c r="X16" s="800"/>
      <c r="Y16" s="800"/>
      <c r="Z16" s="800"/>
      <c r="AA16" s="800"/>
      <c r="AB16" s="800"/>
      <c r="AC16" s="800"/>
      <c r="AD16" s="800"/>
      <c r="AE16" s="800"/>
      <c r="AF16" s="802"/>
      <c r="AG16" s="802"/>
      <c r="AH16" s="802"/>
      <c r="AI16" s="802"/>
      <c r="AJ16" s="800"/>
      <c r="AK16" s="802"/>
      <c r="AL16" s="802"/>
      <c r="AM16" s="802"/>
      <c r="AN16" s="803"/>
      <c r="AO16" s="804"/>
      <c r="AP16" s="803"/>
      <c r="AQ16" s="805"/>
      <c r="AR16" s="805"/>
      <c r="AS16" s="805"/>
      <c r="AT16" s="805"/>
      <c r="AU16" s="805"/>
      <c r="AV16" s="804"/>
      <c r="AW16" s="805"/>
      <c r="AX16" s="805"/>
      <c r="AY16" s="805"/>
      <c r="AZ16" s="805"/>
      <c r="BA16" s="805"/>
      <c r="BB16" s="805"/>
      <c r="BC16" s="805"/>
      <c r="BD16" s="805"/>
      <c r="BE16" s="805"/>
      <c r="BF16" s="805"/>
      <c r="BG16" s="805"/>
      <c r="BH16" s="805"/>
      <c r="BI16" s="805"/>
      <c r="BJ16" s="805"/>
      <c r="BK16" s="805"/>
      <c r="BL16" s="805"/>
      <c r="BM16" s="805"/>
      <c r="BN16" s="805"/>
      <c r="BO16" s="805"/>
      <c r="BP16" s="805"/>
      <c r="BQ16" s="805"/>
      <c r="BR16" s="805"/>
      <c r="BS16" s="805"/>
      <c r="BT16" s="804"/>
      <c r="BU16" s="804"/>
      <c r="BV16" s="804"/>
      <c r="BW16" s="804"/>
      <c r="BX16" s="804"/>
      <c r="BY16" s="804"/>
      <c r="BZ16" s="804"/>
      <c r="CA16" s="41">
        <f>$D16-$E16</f>
        <v>0</v>
      </c>
      <c r="CB16" s="112"/>
    </row>
    <row r="17" spans="2:80">
      <c r="C17" s="14"/>
      <c r="D17" s="14"/>
      <c r="E17" s="14"/>
      <c r="F17" s="14"/>
      <c r="G17" s="14"/>
      <c r="H17" s="14"/>
      <c r="I17" s="14"/>
      <c r="J17" s="14"/>
      <c r="K17" s="14"/>
      <c r="L17" s="14"/>
      <c r="M17" s="14"/>
      <c r="N17" s="14"/>
      <c r="O17" s="14"/>
      <c r="P17" s="14"/>
      <c r="Q17" s="14"/>
      <c r="R17" s="14"/>
      <c r="S17" s="14"/>
      <c r="T17" s="14"/>
      <c r="U17" s="14"/>
      <c r="AG17" s="14"/>
      <c r="AH17" s="14"/>
      <c r="AI17" s="14"/>
      <c r="AK17" s="14"/>
      <c r="AL17" s="14"/>
      <c r="AM17" s="14"/>
      <c r="AN17" s="14"/>
      <c r="AO17" s="14"/>
      <c r="AP17" s="14"/>
      <c r="AQ17" s="14"/>
      <c r="AR17" s="14"/>
      <c r="AS17" s="14"/>
      <c r="AT17" s="14"/>
      <c r="AU17" s="14"/>
      <c r="AV17" s="14"/>
      <c r="AW17" s="14"/>
      <c r="AX17" s="14"/>
      <c r="AY17" s="14"/>
      <c r="AZ17" s="14"/>
      <c r="BA17" s="14"/>
      <c r="BB17" s="14"/>
      <c r="BC17" s="14"/>
      <c r="BD17" s="14"/>
      <c r="BE17" s="14"/>
      <c r="BF17" s="14"/>
      <c r="BG17" s="14"/>
      <c r="BH17" s="14"/>
      <c r="BI17" s="14"/>
      <c r="BJ17" s="14"/>
      <c r="BK17" s="14"/>
      <c r="BL17" s="14"/>
      <c r="BM17" s="14"/>
      <c r="BN17" s="14"/>
      <c r="BO17" s="14"/>
      <c r="BP17" s="14"/>
      <c r="BQ17" s="14"/>
      <c r="BR17" s="14"/>
      <c r="BS17" s="14"/>
      <c r="BT17" s="14"/>
      <c r="BU17" s="14"/>
      <c r="BV17" s="14"/>
      <c r="BW17" s="14"/>
      <c r="BX17" s="14"/>
      <c r="BY17" s="14"/>
      <c r="BZ17" s="14"/>
      <c r="CA17" s="41"/>
      <c r="CB17" s="114"/>
    </row>
    <row r="18" spans="2:80">
      <c r="B18" s="1080" t="s">
        <v>210</v>
      </c>
      <c r="C18" s="1080"/>
      <c r="D18" s="1080"/>
      <c r="E18" s="1080"/>
      <c r="F18" s="1080"/>
      <c r="G18" s="1080"/>
      <c r="H18" s="1080"/>
      <c r="I18" s="1080"/>
      <c r="J18" s="1080"/>
      <c r="K18" s="1080"/>
      <c r="L18" s="1080"/>
      <c r="M18" s="1080"/>
      <c r="N18" s="1080"/>
      <c r="O18" s="1080"/>
      <c r="P18" s="1080"/>
      <c r="Q18" s="1080"/>
      <c r="R18" s="1080"/>
      <c r="S18" s="1080"/>
      <c r="T18" s="1080"/>
      <c r="U18" s="1080"/>
      <c r="V18" s="1080"/>
      <c r="W18" s="1080"/>
      <c r="X18" s="1080"/>
      <c r="Y18" s="1080"/>
      <c r="Z18" s="1080"/>
      <c r="AA18" s="1080"/>
      <c r="AB18" s="1080"/>
      <c r="AC18" s="1080"/>
      <c r="AD18" s="1080"/>
      <c r="AE18" s="1080"/>
      <c r="AF18" s="1080"/>
      <c r="AG18" s="1080"/>
      <c r="AH18" s="1080"/>
      <c r="AI18" s="1080"/>
      <c r="AJ18" s="1080"/>
      <c r="AK18" s="1080"/>
      <c r="AL18" s="1080"/>
      <c r="AM18" s="1080"/>
      <c r="AN18" s="1080"/>
      <c r="AO18" s="1080"/>
      <c r="AP18" s="1080"/>
      <c r="AQ18" s="1080"/>
      <c r="AR18" s="1080"/>
      <c r="AS18" s="1080"/>
      <c r="AT18" s="1080"/>
      <c r="AU18" s="1080"/>
      <c r="AV18" s="1080"/>
      <c r="AW18" s="1080"/>
      <c r="AX18" s="1080"/>
      <c r="AY18" s="1080"/>
      <c r="AZ18" s="1080"/>
      <c r="BA18" s="1080"/>
      <c r="BB18" s="1080"/>
      <c r="BC18" s="1080"/>
      <c r="BD18" s="1080"/>
      <c r="BE18" s="1080"/>
      <c r="BF18" s="1080"/>
      <c r="BG18" s="1080"/>
      <c r="BH18" s="1080"/>
      <c r="BI18" s="1080"/>
      <c r="BJ18" s="1080"/>
      <c r="BK18" s="1080"/>
      <c r="BL18" s="1080"/>
      <c r="BM18" s="1080"/>
      <c r="BN18" s="1080"/>
      <c r="BO18" s="1080"/>
      <c r="BP18" s="1080"/>
      <c r="BQ18" s="1080"/>
      <c r="BR18" s="1080"/>
      <c r="BS18" s="1080"/>
      <c r="BT18" s="1080"/>
      <c r="BU18" s="1080"/>
      <c r="BV18" s="1080"/>
      <c r="BW18" s="1080"/>
      <c r="BX18" s="1080"/>
      <c r="BY18" s="1080"/>
      <c r="BZ18" s="1080"/>
      <c r="CA18" s="1080"/>
      <c r="CB18" s="1080"/>
    </row>
    <row r="19" spans="2:80">
      <c r="B19" s="756" t="s">
        <v>121</v>
      </c>
      <c r="C19" s="756" t="s">
        <v>120</v>
      </c>
      <c r="D19" s="366">
        <f t="shared" ref="D19:F19" si="6">D4</f>
        <v>46099</v>
      </c>
      <c r="E19" s="366">
        <f t="shared" ref="E19" si="7">E4</f>
        <v>46092</v>
      </c>
      <c r="F19" s="366">
        <f t="shared" si="6"/>
        <v>46085</v>
      </c>
      <c r="G19" s="366">
        <f t="shared" ref="G19:W19" si="8">G4</f>
        <v>46078</v>
      </c>
      <c r="H19" s="366">
        <f t="shared" si="8"/>
        <v>46071</v>
      </c>
      <c r="I19" s="366">
        <f t="shared" si="8"/>
        <v>46057</v>
      </c>
      <c r="J19" s="366">
        <f t="shared" si="8"/>
        <v>46050</v>
      </c>
      <c r="K19" s="366">
        <f t="shared" si="8"/>
        <v>46043</v>
      </c>
      <c r="L19" s="366">
        <f t="shared" si="8"/>
        <v>46036</v>
      </c>
      <c r="M19" s="366">
        <f t="shared" si="8"/>
        <v>46029</v>
      </c>
      <c r="N19" s="366">
        <f t="shared" si="8"/>
        <v>46022</v>
      </c>
      <c r="O19" s="366">
        <f t="shared" si="8"/>
        <v>46015</v>
      </c>
      <c r="P19" s="366">
        <f t="shared" si="8"/>
        <v>46008</v>
      </c>
      <c r="Q19" s="366">
        <f t="shared" si="8"/>
        <v>46001</v>
      </c>
      <c r="R19" s="366">
        <f t="shared" si="8"/>
        <v>45994</v>
      </c>
      <c r="S19" s="366">
        <f t="shared" si="8"/>
        <v>45987</v>
      </c>
      <c r="T19" s="366">
        <f t="shared" si="8"/>
        <v>45980</v>
      </c>
      <c r="U19" s="366">
        <f t="shared" si="8"/>
        <v>45973</v>
      </c>
      <c r="V19" s="366">
        <f t="shared" si="8"/>
        <v>45966</v>
      </c>
      <c r="W19" s="366">
        <f t="shared" si="8"/>
        <v>45959</v>
      </c>
      <c r="X19" s="366">
        <v>45952</v>
      </c>
      <c r="Y19" s="366">
        <f t="shared" ref="Y19:AF19" si="9">Y4</f>
        <v>45945</v>
      </c>
      <c r="Z19" s="366">
        <f t="shared" si="9"/>
        <v>45938</v>
      </c>
      <c r="AA19" s="366">
        <f t="shared" si="9"/>
        <v>45931</v>
      </c>
      <c r="AB19" s="366">
        <f t="shared" si="9"/>
        <v>45924</v>
      </c>
      <c r="AC19" s="366">
        <f t="shared" si="9"/>
        <v>45917</v>
      </c>
      <c r="AD19" s="366">
        <f t="shared" si="9"/>
        <v>45910</v>
      </c>
      <c r="AE19" s="366">
        <f t="shared" si="9"/>
        <v>45903</v>
      </c>
      <c r="AF19" s="344">
        <f t="shared" si="9"/>
        <v>45896</v>
      </c>
      <c r="AG19" s="344">
        <v>45889</v>
      </c>
      <c r="AH19" s="344">
        <v>45882</v>
      </c>
      <c r="AI19" s="344">
        <v>45875</v>
      </c>
      <c r="AJ19" s="366">
        <v>45868</v>
      </c>
      <c r="AK19" s="344">
        <v>45861</v>
      </c>
      <c r="AL19" s="344">
        <f>AL4</f>
        <v>45854</v>
      </c>
      <c r="AM19" s="344">
        <f>AM4</f>
        <v>45847</v>
      </c>
      <c r="AN19" s="344">
        <v>45847</v>
      </c>
      <c r="AO19" s="344">
        <v>45840</v>
      </c>
      <c r="AP19" s="344">
        <f t="shared" ref="AP19:BL19" si="10">AP4</f>
        <v>45833</v>
      </c>
      <c r="AQ19" s="366">
        <f t="shared" si="10"/>
        <v>45826</v>
      </c>
      <c r="AR19" s="366">
        <f t="shared" si="10"/>
        <v>45819</v>
      </c>
      <c r="AS19" s="366">
        <f t="shared" si="10"/>
        <v>45812</v>
      </c>
      <c r="AT19" s="366">
        <f t="shared" si="10"/>
        <v>45805</v>
      </c>
      <c r="AU19" s="366">
        <f t="shared" si="10"/>
        <v>45798</v>
      </c>
      <c r="AV19" s="366">
        <f t="shared" si="10"/>
        <v>45792</v>
      </c>
      <c r="AW19" s="366">
        <f t="shared" si="10"/>
        <v>45785</v>
      </c>
      <c r="AX19" s="366">
        <f t="shared" si="10"/>
        <v>45777</v>
      </c>
      <c r="AY19" s="366">
        <f t="shared" si="10"/>
        <v>45763</v>
      </c>
      <c r="AZ19" s="366">
        <f t="shared" si="10"/>
        <v>45757</v>
      </c>
      <c r="BA19" s="366">
        <f t="shared" si="10"/>
        <v>45742</v>
      </c>
      <c r="BB19" s="366">
        <f t="shared" si="10"/>
        <v>45729</v>
      </c>
      <c r="BC19" s="366">
        <f t="shared" si="10"/>
        <v>45722</v>
      </c>
      <c r="BD19" s="366">
        <f t="shared" si="10"/>
        <v>45715</v>
      </c>
      <c r="BE19" s="366">
        <f t="shared" si="10"/>
        <v>45708</v>
      </c>
      <c r="BF19" s="366">
        <f t="shared" si="10"/>
        <v>44970</v>
      </c>
      <c r="BG19" s="366">
        <f t="shared" si="10"/>
        <v>45694</v>
      </c>
      <c r="BH19" s="366">
        <f t="shared" si="10"/>
        <v>45688</v>
      </c>
      <c r="BI19" s="366">
        <f t="shared" si="10"/>
        <v>45681</v>
      </c>
      <c r="BJ19" s="366">
        <f t="shared" si="10"/>
        <v>45673</v>
      </c>
      <c r="BK19" s="366">
        <f t="shared" si="10"/>
        <v>45666</v>
      </c>
      <c r="BL19" s="366">
        <f t="shared" si="10"/>
        <v>45659</v>
      </c>
      <c r="BM19" s="366">
        <f>'最高报价汇总 '!G2</f>
        <v>46092</v>
      </c>
      <c r="BN19" s="366">
        <f>BN4</f>
        <v>45645</v>
      </c>
      <c r="BO19" s="366">
        <f>'最高报价汇总 '!G2</f>
        <v>46092</v>
      </c>
      <c r="BP19" s="366">
        <f>'最高报价汇总 '!G2</f>
        <v>46092</v>
      </c>
      <c r="BQ19" s="366">
        <f>'最高报价汇总 '!G2</f>
        <v>46092</v>
      </c>
      <c r="BR19" s="366">
        <f>'最高报价汇总 '!G2</f>
        <v>46092</v>
      </c>
      <c r="BS19" s="366">
        <f>'最高报价汇总 '!G2</f>
        <v>46092</v>
      </c>
      <c r="BT19" s="66">
        <f>'最高报价汇总 '!G2</f>
        <v>46092</v>
      </c>
      <c r="BU19" s="66">
        <f>BU4</f>
        <v>45595</v>
      </c>
      <c r="BV19" s="66">
        <f>'最高报价汇总 '!G2</f>
        <v>46092</v>
      </c>
      <c r="BW19" s="66">
        <f>BW4</f>
        <v>45582</v>
      </c>
      <c r="BX19" s="66">
        <f>BX4</f>
        <v>45575</v>
      </c>
      <c r="BY19" s="66">
        <f>BY11</f>
        <v>45568</v>
      </c>
      <c r="BZ19" s="66">
        <f>BZ4</f>
        <v>45561</v>
      </c>
      <c r="CA19" s="366" t="str">
        <f>CA4</f>
        <v>当日增幅</v>
      </c>
      <c r="CB19" s="367" t="s">
        <v>223</v>
      </c>
    </row>
    <row r="20" spans="2:80">
      <c r="B20" s="194" t="s">
        <v>12</v>
      </c>
      <c r="C20" s="361" t="s">
        <v>293</v>
      </c>
      <c r="D20" s="814">
        <v>3.6499999999999998E-2</v>
      </c>
      <c r="E20" s="814">
        <v>3.6499999999999998E-2</v>
      </c>
      <c r="F20" s="814">
        <v>3.6499999999999998E-2</v>
      </c>
      <c r="G20" s="814">
        <v>3.6499999999999998E-2</v>
      </c>
      <c r="H20" s="357">
        <v>3.3500000000000002E-2</v>
      </c>
      <c r="I20" s="357">
        <v>3.3500000000000002E-2</v>
      </c>
      <c r="J20" s="357">
        <v>3.3500000000000002E-2</v>
      </c>
      <c r="K20" s="357">
        <v>3.3500000000000002E-2</v>
      </c>
      <c r="L20" s="357">
        <v>3.3500000000000002E-2</v>
      </c>
      <c r="M20" s="357">
        <v>3.3500000000000002E-2</v>
      </c>
      <c r="N20" s="357">
        <v>3.3500000000000002E-2</v>
      </c>
      <c r="O20" s="579">
        <v>3.3500000000000002E-2</v>
      </c>
      <c r="P20" s="579">
        <v>3.3000000000000002E-2</v>
      </c>
      <c r="Q20" s="579">
        <v>3.2000000000000001E-2</v>
      </c>
      <c r="R20" s="357">
        <v>3.15E-2</v>
      </c>
      <c r="S20" s="579">
        <v>3.15E-2</v>
      </c>
      <c r="T20" s="357">
        <v>3.0200000000000001E-2</v>
      </c>
      <c r="U20" s="579">
        <v>3.0200000000000001E-2</v>
      </c>
      <c r="V20" s="279">
        <v>3.15E-2</v>
      </c>
      <c r="W20" s="235">
        <v>3.1E-2</v>
      </c>
      <c r="X20" s="235">
        <v>3.1E-2</v>
      </c>
      <c r="Y20" s="235">
        <v>3.1E-2</v>
      </c>
      <c r="Z20" s="235">
        <v>3.1E-2</v>
      </c>
      <c r="AA20" s="235">
        <v>3.1E-2</v>
      </c>
      <c r="AB20" s="235">
        <v>3.1E-2</v>
      </c>
      <c r="AC20" s="235">
        <v>3.1E-2</v>
      </c>
      <c r="AD20" s="235">
        <v>3.1E-2</v>
      </c>
      <c r="AE20" s="235">
        <v>3.1E-2</v>
      </c>
      <c r="AF20" s="360">
        <v>3.1E-2</v>
      </c>
      <c r="AG20" s="360">
        <v>3.1E-2</v>
      </c>
      <c r="AH20" s="360">
        <v>3.1E-2</v>
      </c>
      <c r="AI20" s="360">
        <v>3.1E-2</v>
      </c>
      <c r="AJ20" s="235">
        <v>3.1E-2</v>
      </c>
      <c r="AK20" s="360">
        <v>3.1E-2</v>
      </c>
      <c r="AL20" s="279">
        <v>3.1E-2</v>
      </c>
      <c r="AM20" s="279">
        <v>3.1E-2</v>
      </c>
      <c r="AN20" s="279">
        <v>3.0499999999999999E-2</v>
      </c>
      <c r="AO20" s="311">
        <v>3.1E-2</v>
      </c>
      <c r="AP20" s="359">
        <v>3.3000000000000002E-2</v>
      </c>
      <c r="AQ20" s="253">
        <v>3.3000000000000002E-2</v>
      </c>
      <c r="AR20" s="253">
        <v>3.3000000000000002E-2</v>
      </c>
      <c r="AS20" s="253">
        <v>3.3000000000000002E-2</v>
      </c>
      <c r="AT20" s="311">
        <v>3.3000000000000002E-2</v>
      </c>
      <c r="AU20" s="253">
        <v>3.4700000000000002E-2</v>
      </c>
      <c r="AV20" s="311">
        <v>3.4700000000000002E-2</v>
      </c>
      <c r="AW20" s="253">
        <v>3.5999999999999997E-2</v>
      </c>
      <c r="AX20" s="253"/>
      <c r="AY20" s="253"/>
      <c r="AZ20" s="253"/>
      <c r="BA20" s="253"/>
      <c r="BB20" s="253"/>
      <c r="BC20" s="253"/>
      <c r="BD20" s="253"/>
      <c r="BE20" s="253"/>
      <c r="BF20" s="253"/>
      <c r="BG20" s="253"/>
      <c r="BH20" s="253"/>
      <c r="BI20" s="253"/>
      <c r="BJ20" s="253"/>
      <c r="BK20" s="253"/>
      <c r="BL20" s="253"/>
      <c r="BM20" s="253"/>
      <c r="BN20" s="253"/>
      <c r="BO20" s="253"/>
      <c r="BP20" s="253"/>
      <c r="BQ20" s="253"/>
      <c r="BR20" s="253"/>
      <c r="BS20" s="253"/>
      <c r="BT20" s="253"/>
      <c r="BU20" s="253"/>
      <c r="BV20" s="253"/>
      <c r="BW20" s="253"/>
      <c r="BX20" s="253"/>
      <c r="BY20" s="253"/>
      <c r="BZ20" s="253"/>
      <c r="CA20" s="41">
        <f>$D20-$E20</f>
        <v>0</v>
      </c>
      <c r="CB20" s="109"/>
    </row>
    <row r="21" spans="2:80">
      <c r="B21" s="194" t="s">
        <v>16</v>
      </c>
      <c r="C21" s="361" t="s">
        <v>311</v>
      </c>
      <c r="D21" s="357">
        <v>3.4500000000000003E-2</v>
      </c>
      <c r="E21" s="357">
        <v>3.4500000000000003E-2</v>
      </c>
      <c r="F21" s="357">
        <v>3.4500000000000003E-2</v>
      </c>
      <c r="G21" s="357">
        <v>3.4500000000000003E-2</v>
      </c>
      <c r="H21" s="579">
        <v>3.4500000000000003E-2</v>
      </c>
      <c r="I21" s="357">
        <v>3.3500000000000002E-2</v>
      </c>
      <c r="J21" s="357">
        <v>3.3500000000000002E-2</v>
      </c>
      <c r="K21" s="357">
        <v>3.3500000000000002E-2</v>
      </c>
      <c r="L21" s="357">
        <v>3.3500000000000002E-2</v>
      </c>
      <c r="M21" s="357">
        <v>3.3500000000000002E-2</v>
      </c>
      <c r="N21" s="357">
        <v>3.3500000000000002E-2</v>
      </c>
      <c r="O21" s="357">
        <v>3.3500000000000002E-2</v>
      </c>
      <c r="P21" s="357">
        <v>3.3500000000000002E-2</v>
      </c>
      <c r="Q21" s="357">
        <v>3.3500000000000002E-2</v>
      </c>
      <c r="R21" s="357">
        <v>3.3500000000000002E-2</v>
      </c>
      <c r="S21" s="357">
        <v>3.3500000000000002E-2</v>
      </c>
      <c r="T21" s="357">
        <v>3.3500000000000002E-2</v>
      </c>
      <c r="U21" s="357">
        <v>3.3500000000000002E-2</v>
      </c>
      <c r="V21" s="392">
        <v>3.3500000000000002E-2</v>
      </c>
      <c r="W21" s="235">
        <v>3.3500000000000002E-2</v>
      </c>
      <c r="X21" s="235">
        <v>3.3500000000000002E-2</v>
      </c>
      <c r="Y21" s="235">
        <v>3.3500000000000002E-2</v>
      </c>
      <c r="Z21" s="235">
        <v>3.3500000000000002E-2</v>
      </c>
      <c r="AA21" s="235">
        <v>3.3500000000000002E-2</v>
      </c>
      <c r="AB21" s="279">
        <v>3.3500000000000002E-2</v>
      </c>
      <c r="AC21" s="380">
        <v>3.4500000000000003E-2</v>
      </c>
      <c r="AD21" s="380">
        <v>3.4500000000000003E-2</v>
      </c>
      <c r="AE21" s="380">
        <v>3.4500000000000003E-2</v>
      </c>
      <c r="AF21" s="379">
        <v>3.4500000000000003E-2</v>
      </c>
      <c r="AG21" s="379">
        <v>3.4500000000000003E-2</v>
      </c>
      <c r="AH21" s="388">
        <v>3.4500000000000003E-2</v>
      </c>
      <c r="AI21" s="379">
        <v>3.5000000000000003E-2</v>
      </c>
      <c r="AJ21" s="380">
        <v>3.5000000000000003E-2</v>
      </c>
      <c r="AK21" s="379">
        <v>3.5000000000000003E-2</v>
      </c>
      <c r="AL21" s="379">
        <v>3.5000000000000003E-2</v>
      </c>
      <c r="AM21" s="379">
        <v>3.5000000000000003E-2</v>
      </c>
      <c r="AN21" s="362">
        <v>3.5000000000000003E-2</v>
      </c>
      <c r="AO21" s="378">
        <v>3.5999999999999997E-2</v>
      </c>
      <c r="AP21" s="362">
        <v>3.5999999999999997E-2</v>
      </c>
      <c r="AQ21" s="153">
        <v>3.7999999999999999E-2</v>
      </c>
      <c r="AR21" s="153">
        <v>3.7999999999999999E-2</v>
      </c>
      <c r="AS21" s="153">
        <v>3.7999999999999999E-2</v>
      </c>
      <c r="AT21" s="153">
        <v>3.7999999999999999E-2</v>
      </c>
      <c r="AU21" s="153">
        <v>3.7999999999999999E-2</v>
      </c>
      <c r="AV21" s="153">
        <v>3.7999999999999999E-2</v>
      </c>
      <c r="AW21" s="153">
        <v>3.7999999999999999E-2</v>
      </c>
      <c r="AX21" s="153">
        <v>3.9E-2</v>
      </c>
      <c r="AY21" s="153">
        <v>3.9E-2</v>
      </c>
      <c r="AZ21" s="153">
        <v>3.9E-2</v>
      </c>
      <c r="BA21" s="153">
        <v>3.9E-2</v>
      </c>
      <c r="BB21" s="153">
        <v>3.9E-2</v>
      </c>
      <c r="BC21" s="153">
        <v>4.1000000000000002E-2</v>
      </c>
      <c r="BD21" s="153">
        <v>4.1000000000000002E-2</v>
      </c>
      <c r="BE21" s="153">
        <v>4.1000000000000002E-2</v>
      </c>
      <c r="BF21" s="153">
        <v>4.1000000000000002E-2</v>
      </c>
      <c r="BG21" s="153">
        <v>4.1000000000000002E-2</v>
      </c>
      <c r="BH21" s="153">
        <v>4.1000000000000002E-2</v>
      </c>
      <c r="BI21" s="153">
        <v>4.1000000000000002E-2</v>
      </c>
      <c r="BJ21" s="153">
        <v>4.1000000000000002E-2</v>
      </c>
      <c r="BK21" s="153">
        <v>4.1000000000000002E-2</v>
      </c>
      <c r="BL21" s="153">
        <v>4.1000000000000002E-2</v>
      </c>
      <c r="BM21" s="153">
        <v>4.1000000000000002E-2</v>
      </c>
      <c r="BN21" s="153">
        <v>4.1000000000000002E-2</v>
      </c>
      <c r="BO21" s="153">
        <v>4.1000000000000002E-2</v>
      </c>
      <c r="BP21" s="153">
        <v>4.1000000000000002E-2</v>
      </c>
      <c r="BQ21" s="153">
        <v>4.1000000000000002E-2</v>
      </c>
      <c r="BR21" s="153">
        <v>4.1000000000000002E-2</v>
      </c>
      <c r="BS21" s="153">
        <v>4.1000000000000002E-2</v>
      </c>
      <c r="BT21" s="387">
        <v>4.1000000000000002E-2</v>
      </c>
      <c r="BU21" s="387">
        <v>4.1000000000000002E-2</v>
      </c>
      <c r="BV21" s="387">
        <v>4.1000000000000002E-2</v>
      </c>
      <c r="BW21" s="387">
        <v>4.1000000000000002E-2</v>
      </c>
      <c r="BX21" s="387">
        <v>4.1000000000000002E-2</v>
      </c>
      <c r="BY21" s="387">
        <v>4.1000000000000002E-2</v>
      </c>
      <c r="BZ21" s="387">
        <v>4.1000000000000002E-2</v>
      </c>
      <c r="CA21" s="41">
        <f>$D21-$E21</f>
        <v>0</v>
      </c>
      <c r="CB21" s="109" t="s">
        <v>514</v>
      </c>
    </row>
    <row r="22" spans="2:80">
      <c r="B22" s="194" t="s">
        <v>20</v>
      </c>
      <c r="C22" s="111" t="s">
        <v>300</v>
      </c>
      <c r="D22" s="814">
        <v>3.6999999999999998E-2</v>
      </c>
      <c r="E22" s="814">
        <v>3.6999999999999998E-2</v>
      </c>
      <c r="F22" s="814">
        <v>3.6999999999999998E-2</v>
      </c>
      <c r="G22" s="357">
        <v>3.4000000000000002E-2</v>
      </c>
      <c r="H22" s="357">
        <v>3.4000000000000002E-2</v>
      </c>
      <c r="I22" s="357">
        <v>3.4000000000000002E-2</v>
      </c>
      <c r="J22" s="357">
        <v>3.4000000000000002E-2</v>
      </c>
      <c r="K22" s="357">
        <v>3.4000000000000002E-2</v>
      </c>
      <c r="L22" s="357">
        <v>3.4000000000000002E-2</v>
      </c>
      <c r="M22" s="357">
        <v>3.4000000000000002E-2</v>
      </c>
      <c r="N22" s="357">
        <v>3.4000000000000002E-2</v>
      </c>
      <c r="O22" s="357">
        <v>3.4000000000000002E-2</v>
      </c>
      <c r="P22" s="357">
        <v>3.4000000000000002E-2</v>
      </c>
      <c r="Q22" s="357">
        <v>3.4000000000000002E-2</v>
      </c>
      <c r="R22" s="357">
        <v>3.4000000000000002E-2</v>
      </c>
      <c r="S22" s="357">
        <v>3.4000000000000002E-2</v>
      </c>
      <c r="T22" s="357">
        <v>3.4000000000000002E-2</v>
      </c>
      <c r="U22" s="357">
        <v>3.4000000000000002E-2</v>
      </c>
      <c r="V22" s="388">
        <v>3.4000000000000002E-2</v>
      </c>
      <c r="W22" s="380">
        <v>3.3500000000000002E-2</v>
      </c>
      <c r="X22" s="380">
        <v>3.3500000000000002E-2</v>
      </c>
      <c r="Y22" s="380">
        <v>3.3500000000000002E-2</v>
      </c>
      <c r="Z22" s="380">
        <v>3.3500000000000002E-2</v>
      </c>
      <c r="AA22" s="388">
        <v>3.3500000000000002E-2</v>
      </c>
      <c r="AB22" s="380">
        <v>3.3000000000000002E-2</v>
      </c>
      <c r="AC22" s="380">
        <v>3.3000000000000002E-2</v>
      </c>
      <c r="AD22" s="380">
        <v>3.3000000000000002E-2</v>
      </c>
      <c r="AE22" s="388">
        <v>3.3000000000000002E-2</v>
      </c>
      <c r="AF22" s="379">
        <v>3.4000000000000002E-2</v>
      </c>
      <c r="AG22" s="379">
        <v>3.4000000000000002E-2</v>
      </c>
      <c r="AH22" s="379">
        <v>3.4000000000000002E-2</v>
      </c>
      <c r="AI22" s="379">
        <v>3.4000000000000002E-2</v>
      </c>
      <c r="AJ22" s="380">
        <v>3.4000000000000002E-2</v>
      </c>
      <c r="AK22" s="379">
        <v>3.4000000000000002E-2</v>
      </c>
      <c r="AL22" s="379">
        <v>3.4000000000000002E-2</v>
      </c>
      <c r="AM22" s="379">
        <v>3.4000000000000002E-2</v>
      </c>
      <c r="AN22" s="378">
        <v>3.4000000000000002E-2</v>
      </c>
      <c r="AO22" s="362">
        <v>3.4000000000000002E-2</v>
      </c>
      <c r="AP22" s="378">
        <v>3.5999999999999997E-2</v>
      </c>
      <c r="AQ22" s="153">
        <v>3.5999999999999997E-2</v>
      </c>
      <c r="AR22" s="153">
        <v>3.5999999999999997E-2</v>
      </c>
      <c r="AS22" s="362">
        <v>3.5999999999999997E-2</v>
      </c>
      <c r="AT22" s="153">
        <v>3.7499999999999999E-2</v>
      </c>
      <c r="AU22" s="362">
        <v>1.95E-2</v>
      </c>
      <c r="AV22" s="153">
        <v>3.7499999999999999E-2</v>
      </c>
      <c r="AW22" s="362">
        <v>3.7499999999999999E-2</v>
      </c>
      <c r="AX22" s="153">
        <v>3.9E-2</v>
      </c>
      <c r="AY22" s="153">
        <v>3.9E-2</v>
      </c>
      <c r="AZ22" s="153">
        <v>3.9E-2</v>
      </c>
      <c r="BA22" s="153">
        <v>3.9E-2</v>
      </c>
      <c r="BB22" s="153">
        <v>3.9E-2</v>
      </c>
      <c r="BC22" s="153">
        <v>3.9E-2</v>
      </c>
      <c r="BD22" s="153">
        <v>3.9E-2</v>
      </c>
      <c r="BE22" s="153">
        <v>3.9E-2</v>
      </c>
      <c r="BF22" s="153">
        <v>3.9E-2</v>
      </c>
      <c r="BG22" s="153">
        <v>3.9E-2</v>
      </c>
      <c r="BH22" s="153">
        <v>0.04</v>
      </c>
      <c r="BI22" s="153">
        <v>0.04</v>
      </c>
      <c r="BJ22" s="153">
        <v>0.04</v>
      </c>
      <c r="BK22" s="153">
        <v>0.04</v>
      </c>
      <c r="BL22" s="153">
        <v>0.04</v>
      </c>
      <c r="BM22" s="153">
        <v>0.04</v>
      </c>
      <c r="BN22" s="153">
        <v>0.04</v>
      </c>
      <c r="BO22" s="153">
        <v>0.04</v>
      </c>
      <c r="BP22" s="153">
        <v>0.04</v>
      </c>
      <c r="BQ22" s="153">
        <v>0.04</v>
      </c>
      <c r="BR22" s="153">
        <v>0.04</v>
      </c>
      <c r="BS22" s="153">
        <v>0.04</v>
      </c>
      <c r="BT22" s="387">
        <v>0.04</v>
      </c>
      <c r="BU22" s="387">
        <v>0.04</v>
      </c>
      <c r="BV22" s="387">
        <v>0.04</v>
      </c>
      <c r="BW22" s="387">
        <v>0.04</v>
      </c>
      <c r="BX22" s="387">
        <v>0.04</v>
      </c>
      <c r="BY22" s="387">
        <v>0.04</v>
      </c>
      <c r="BZ22" s="387">
        <v>0.04</v>
      </c>
      <c r="CA22" s="41">
        <f>$D22-$E22</f>
        <v>0</v>
      </c>
      <c r="CB22" s="109" t="s">
        <v>298</v>
      </c>
    </row>
    <row r="23" spans="2:80">
      <c r="B23" s="194" t="s">
        <v>29</v>
      </c>
      <c r="C23" s="365" t="s">
        <v>779</v>
      </c>
      <c r="D23" s="235">
        <v>3.5999999999999997E-2</v>
      </c>
      <c r="E23" s="235">
        <v>3.5999999999999997E-2</v>
      </c>
      <c r="F23" s="235">
        <v>3.5999999999999997E-2</v>
      </c>
      <c r="G23" s="235">
        <v>3.5999999999999997E-2</v>
      </c>
      <c r="H23" s="279">
        <v>3.6999999999999998E-2</v>
      </c>
      <c r="I23" s="235"/>
      <c r="J23" s="235">
        <v>3.2500000000000001E-2</v>
      </c>
      <c r="K23" s="235">
        <v>3.2500000000000001E-2</v>
      </c>
      <c r="L23" s="235">
        <v>3.2500000000000001E-2</v>
      </c>
      <c r="M23" s="235">
        <v>3.2500000000000001E-2</v>
      </c>
      <c r="N23" s="235">
        <v>3.2500000000000001E-2</v>
      </c>
      <c r="O23" s="235">
        <v>3.2500000000000001E-2</v>
      </c>
      <c r="P23" s="235">
        <v>3.2500000000000001E-2</v>
      </c>
      <c r="Q23" s="235">
        <v>3.2500000000000001E-2</v>
      </c>
      <c r="R23" s="235">
        <v>3.2500000000000001E-2</v>
      </c>
      <c r="S23" s="235">
        <v>3.2500000000000001E-2</v>
      </c>
      <c r="T23" s="235">
        <v>3.2500000000000001E-2</v>
      </c>
      <c r="U23" s="235">
        <v>3.2500000000000001E-2</v>
      </c>
      <c r="V23" s="235">
        <v>3.2500000000000001E-2</v>
      </c>
      <c r="W23" s="235">
        <v>3.2500000000000001E-2</v>
      </c>
      <c r="X23" s="235">
        <v>3.2500000000000001E-2</v>
      </c>
      <c r="Y23" s="235">
        <v>3.2500000000000001E-2</v>
      </c>
      <c r="Z23" s="235">
        <v>3.2500000000000001E-2</v>
      </c>
      <c r="AA23" s="235">
        <v>3.2500000000000001E-2</v>
      </c>
      <c r="AB23" s="235">
        <v>3.2500000000000001E-2</v>
      </c>
      <c r="AC23" s="235">
        <v>3.2500000000000001E-2</v>
      </c>
      <c r="AD23" s="235">
        <v>3.2500000000000001E-2</v>
      </c>
      <c r="AE23" s="235">
        <v>3.2500000000000001E-2</v>
      </c>
      <c r="AF23" s="360">
        <v>3.2500000000000001E-2</v>
      </c>
      <c r="AG23" s="360">
        <v>3.2500000000000001E-2</v>
      </c>
      <c r="AH23" s="360">
        <v>3.2500000000000001E-2</v>
      </c>
      <c r="AI23" s="360">
        <v>3.2500000000000001E-2</v>
      </c>
      <c r="AJ23" s="235">
        <v>3.2500000000000001E-2</v>
      </c>
      <c r="AK23" s="360">
        <v>3.2500000000000001E-2</v>
      </c>
      <c r="AL23" s="360">
        <v>3.2500000000000001E-2</v>
      </c>
      <c r="AM23" s="360">
        <v>3.2500000000000001E-2</v>
      </c>
      <c r="AN23" s="359">
        <v>3.2500000000000001E-2</v>
      </c>
      <c r="AO23" s="311">
        <v>3.2500000000000001E-2</v>
      </c>
      <c r="AP23" s="359">
        <v>3.5000000000000003E-2</v>
      </c>
      <c r="AQ23" s="253">
        <v>3.5000000000000003E-2</v>
      </c>
      <c r="AR23" s="253">
        <v>3.5000000000000003E-2</v>
      </c>
      <c r="AS23" s="253">
        <v>3.5000000000000003E-2</v>
      </c>
      <c r="AT23" s="253">
        <v>3.5000000000000003E-2</v>
      </c>
      <c r="AU23" s="253">
        <v>3.5000000000000003E-2</v>
      </c>
      <c r="AV23" s="311">
        <v>3.5000000000000003E-2</v>
      </c>
      <c r="AW23" s="253">
        <v>3.7499999999999999E-2</v>
      </c>
      <c r="AX23" s="253">
        <v>3.7499999999999999E-2</v>
      </c>
      <c r="AY23" s="253">
        <v>3.7499999999999999E-2</v>
      </c>
      <c r="AZ23" s="253">
        <v>3.7499999999999999E-2</v>
      </c>
      <c r="BA23" s="253">
        <v>3.7499999999999999E-2</v>
      </c>
      <c r="BB23" s="253">
        <v>3.7499999999999999E-2</v>
      </c>
      <c r="BC23" s="253">
        <v>3.7499999999999999E-2</v>
      </c>
      <c r="BD23" s="253">
        <v>0.04</v>
      </c>
      <c r="BE23" s="253">
        <v>0.04</v>
      </c>
      <c r="BF23" s="253">
        <v>0.04</v>
      </c>
      <c r="BG23" s="253">
        <v>0.04</v>
      </c>
      <c r="BH23" s="253">
        <v>0.04</v>
      </c>
      <c r="BI23" s="253">
        <v>0.04</v>
      </c>
      <c r="BJ23" s="253">
        <v>0.04</v>
      </c>
      <c r="BK23" s="253">
        <v>0.04</v>
      </c>
      <c r="BL23" s="253">
        <v>0.04</v>
      </c>
      <c r="BM23" s="253">
        <v>0.04</v>
      </c>
      <c r="BN23" s="253">
        <v>0.04</v>
      </c>
      <c r="BO23" s="253">
        <v>0.04</v>
      </c>
      <c r="BP23" s="253">
        <v>0.04</v>
      </c>
      <c r="BQ23" s="253">
        <v>0.04</v>
      </c>
      <c r="BR23" s="253">
        <v>0.04</v>
      </c>
      <c r="BS23" s="253">
        <v>0.04</v>
      </c>
      <c r="BT23" s="311">
        <v>0.04</v>
      </c>
      <c r="BU23" s="311"/>
      <c r="BV23" s="311"/>
      <c r="BW23" s="311"/>
      <c r="BX23" s="311"/>
      <c r="BY23" s="311"/>
      <c r="BZ23" s="311"/>
      <c r="CA23" s="41">
        <f>$D23-$E23</f>
        <v>0</v>
      </c>
      <c r="CB23" s="109"/>
    </row>
    <row r="24" spans="2:80">
      <c r="B24" s="669" t="s">
        <v>42</v>
      </c>
      <c r="C24" s="111" t="s">
        <v>261</v>
      </c>
      <c r="D24" s="357">
        <v>3.7999999999999999E-2</v>
      </c>
      <c r="E24" s="357">
        <v>3.7999999999999999E-2</v>
      </c>
      <c r="F24" s="357">
        <v>3.7999999999999999E-2</v>
      </c>
      <c r="G24" s="357">
        <v>3.7999999999999999E-2</v>
      </c>
      <c r="H24" s="357">
        <v>3.5999999999999997E-2</v>
      </c>
      <c r="I24" s="357">
        <v>3.5000000000000003E-2</v>
      </c>
      <c r="J24" s="357">
        <v>3.5000000000000003E-2</v>
      </c>
      <c r="K24" s="357">
        <v>3.5000000000000003E-2</v>
      </c>
      <c r="L24" s="357">
        <v>3.5000000000000003E-2</v>
      </c>
      <c r="M24" s="357">
        <v>3.5000000000000003E-2</v>
      </c>
      <c r="N24" s="357">
        <v>3.5000000000000003E-2</v>
      </c>
      <c r="O24" s="579">
        <v>3.5000000000000003E-2</v>
      </c>
      <c r="P24" s="357">
        <v>3.4000000000000002E-2</v>
      </c>
      <c r="Q24" s="357">
        <v>3.4000000000000002E-2</v>
      </c>
      <c r="R24" s="357">
        <v>3.4000000000000002E-2</v>
      </c>
      <c r="S24" s="357">
        <v>3.4000000000000002E-2</v>
      </c>
      <c r="T24" s="357">
        <v>3.4000000000000002E-2</v>
      </c>
      <c r="U24" s="357">
        <v>3.4000000000000002E-2</v>
      </c>
      <c r="V24" s="357">
        <v>3.4000000000000002E-2</v>
      </c>
      <c r="W24" s="357">
        <v>3.4000000000000002E-2</v>
      </c>
      <c r="X24" s="357">
        <v>3.4000000000000002E-2</v>
      </c>
      <c r="Y24" s="357">
        <v>3.4000000000000002E-2</v>
      </c>
      <c r="Z24" s="357">
        <v>3.4000000000000002E-2</v>
      </c>
      <c r="AA24" s="579">
        <v>3.4000000000000002E-2</v>
      </c>
      <c r="AB24" s="357">
        <v>3.5999999999999997E-2</v>
      </c>
      <c r="AC24" s="357">
        <v>3.5999999999999997E-2</v>
      </c>
      <c r="AD24" s="357">
        <v>3.5999999999999997E-2</v>
      </c>
      <c r="AE24" s="357">
        <v>3.5999999999999997E-2</v>
      </c>
      <c r="AF24" s="356">
        <v>3.5999999999999997E-2</v>
      </c>
      <c r="AG24" s="356">
        <v>3.5999999999999997E-2</v>
      </c>
      <c r="AH24" s="356">
        <v>3.5999999999999997E-2</v>
      </c>
      <c r="AI24" s="356">
        <v>3.5999999999999997E-2</v>
      </c>
      <c r="AJ24" s="357">
        <v>3.5999999999999997E-2</v>
      </c>
      <c r="AK24" s="356">
        <v>3.5999999999999997E-2</v>
      </c>
      <c r="AL24" s="356">
        <v>3.5999999999999997E-2</v>
      </c>
      <c r="AM24" s="356">
        <v>3.5999999999999997E-2</v>
      </c>
      <c r="AN24" s="376">
        <v>3.5999999999999997E-2</v>
      </c>
      <c r="AO24" s="376">
        <v>3.5999999999999997E-2</v>
      </c>
      <c r="AP24" s="376">
        <v>3.5999999999999997E-2</v>
      </c>
      <c r="AQ24" s="375">
        <v>3.5999999999999997E-2</v>
      </c>
      <c r="AR24" s="375">
        <v>3.3000000000000002E-2</v>
      </c>
      <c r="AS24" s="374">
        <v>3.5999999999999997E-2</v>
      </c>
      <c r="AT24" s="374">
        <v>3.5999999999999997E-2</v>
      </c>
      <c r="AU24" s="374">
        <v>3.5999999999999997E-2</v>
      </c>
      <c r="AV24" s="374">
        <v>3.5999999999999997E-2</v>
      </c>
      <c r="AW24" s="375">
        <v>3.5999999999999997E-2</v>
      </c>
      <c r="AX24" s="374">
        <v>3.7499999999999999E-2</v>
      </c>
      <c r="AY24" s="374">
        <v>3.7499999999999999E-2</v>
      </c>
      <c r="AZ24" s="374">
        <v>3.7499999999999999E-2</v>
      </c>
      <c r="BA24" s="374">
        <v>3.7499999999999999E-2</v>
      </c>
      <c r="BB24" s="374">
        <v>3.85E-2</v>
      </c>
      <c r="BC24" s="374">
        <v>3.85E-2</v>
      </c>
      <c r="BD24" s="374">
        <v>3.85E-2</v>
      </c>
      <c r="BE24" s="374">
        <v>3.85E-2</v>
      </c>
      <c r="BF24" s="374">
        <v>3.85E-2</v>
      </c>
      <c r="BG24" s="374">
        <v>3.85E-2</v>
      </c>
      <c r="BH24" s="374">
        <v>3.85E-2</v>
      </c>
      <c r="BI24" s="374">
        <v>3.85E-2</v>
      </c>
      <c r="BJ24" s="375">
        <v>3.85E-2</v>
      </c>
      <c r="BK24" s="374">
        <v>3.7999999999999999E-2</v>
      </c>
      <c r="BL24" s="374">
        <v>3.7999999999999999E-2</v>
      </c>
      <c r="BM24" s="374">
        <v>3.7999999999999999E-2</v>
      </c>
      <c r="BN24" s="374">
        <v>3.7999999999999999E-2</v>
      </c>
      <c r="BO24" s="374">
        <v>3.7999999999999999E-2</v>
      </c>
      <c r="BP24" s="374">
        <v>3.7999999999999999E-2</v>
      </c>
      <c r="BQ24" s="374">
        <v>3.7999999999999999E-2</v>
      </c>
      <c r="BR24" s="374">
        <v>3.7999999999999999E-2</v>
      </c>
      <c r="BS24" s="374">
        <v>3.7999999999999999E-2</v>
      </c>
      <c r="BT24" s="377">
        <v>3.7999999999999999E-2</v>
      </c>
      <c r="BU24" s="377">
        <v>3.7999999999999999E-2</v>
      </c>
      <c r="BV24" s="377">
        <v>3.7999999999999999E-2</v>
      </c>
      <c r="BW24" s="377">
        <v>3.7999999999999999E-2</v>
      </c>
      <c r="BX24" s="377">
        <v>3.7999999999999999E-2</v>
      </c>
      <c r="BY24" s="377">
        <v>3.7999999999999999E-2</v>
      </c>
      <c r="BZ24" s="377">
        <v>3.7999999999999999E-2</v>
      </c>
      <c r="CA24" s="41">
        <f>$D24-$E24</f>
        <v>0</v>
      </c>
      <c r="CB24" s="112"/>
    </row>
    <row r="25" spans="2:80">
      <c r="C25" s="14"/>
      <c r="D25" s="14"/>
      <c r="E25" s="14"/>
      <c r="F25" s="14"/>
      <c r="G25" s="14"/>
      <c r="H25" s="14"/>
      <c r="I25" s="14"/>
      <c r="J25" s="14"/>
      <c r="K25" s="14"/>
      <c r="L25" s="14"/>
      <c r="M25" s="14"/>
      <c r="N25" s="14"/>
      <c r="O25" s="14"/>
      <c r="P25" s="14"/>
      <c r="Q25" s="14"/>
      <c r="R25" s="14"/>
      <c r="S25" s="14"/>
      <c r="T25" s="14"/>
      <c r="U25" s="14"/>
      <c r="AG25" s="14"/>
      <c r="AH25" s="14"/>
      <c r="AI25" s="14"/>
      <c r="AK25" s="14"/>
      <c r="AL25" s="14"/>
      <c r="AM25" s="14"/>
      <c r="AN25" s="14"/>
      <c r="AO25" s="14"/>
      <c r="AP25" s="14"/>
      <c r="AQ25" s="14"/>
      <c r="AR25" s="14"/>
      <c r="AS25" s="14"/>
      <c r="AT25" s="14"/>
      <c r="AU25" s="14"/>
      <c r="AV25" s="14"/>
      <c r="AW25" s="14"/>
      <c r="AX25" s="14"/>
      <c r="AY25" s="14"/>
      <c r="AZ25" s="14"/>
      <c r="BA25" s="14"/>
      <c r="BB25" s="14"/>
      <c r="BC25" s="14"/>
      <c r="BD25" s="14"/>
      <c r="BE25" s="14"/>
      <c r="BF25" s="14"/>
      <c r="BG25" s="14"/>
      <c r="BH25" s="14"/>
      <c r="BI25" s="14"/>
      <c r="BJ25" s="14"/>
      <c r="BK25" s="14"/>
      <c r="BL25" s="14"/>
      <c r="BM25" s="14"/>
      <c r="BN25" s="14"/>
      <c r="BO25" s="14"/>
      <c r="BP25" s="14"/>
      <c r="BQ25" s="14"/>
      <c r="BR25" s="14"/>
      <c r="BS25" s="14"/>
      <c r="BT25" s="14"/>
      <c r="BU25" s="14"/>
      <c r="BV25" s="14"/>
      <c r="BW25" s="14"/>
      <c r="BX25" s="14"/>
      <c r="BY25" s="14"/>
      <c r="BZ25" s="14"/>
      <c r="CA25" s="14"/>
      <c r="CB25" s="114"/>
    </row>
    <row r="26" spans="2:80">
      <c r="C26" s="14"/>
      <c r="D26" s="14"/>
      <c r="E26" s="14"/>
      <c r="F26" s="14"/>
      <c r="G26" s="14"/>
      <c r="H26" s="14"/>
      <c r="I26" s="14"/>
      <c r="J26" s="14"/>
      <c r="K26" s="14"/>
      <c r="L26" s="14"/>
      <c r="M26" s="14"/>
      <c r="N26" s="14"/>
      <c r="O26" s="14"/>
      <c r="P26" s="14"/>
      <c r="Q26" s="14"/>
      <c r="R26" s="14"/>
      <c r="S26" s="14"/>
      <c r="T26" s="14"/>
      <c r="U26" s="14"/>
      <c r="AG26" s="14"/>
      <c r="AH26" s="14"/>
      <c r="AI26" s="14"/>
      <c r="AK26" s="14"/>
      <c r="AL26" s="14"/>
      <c r="AM26" s="14"/>
      <c r="AN26" s="14"/>
      <c r="AO26" s="14"/>
      <c r="AP26" s="14"/>
      <c r="AQ26" s="14"/>
      <c r="AR26" s="14"/>
      <c r="AS26" s="14"/>
      <c r="AT26" s="14"/>
      <c r="AU26" s="14"/>
      <c r="AV26" s="14"/>
      <c r="AW26" s="14"/>
      <c r="AX26" s="14"/>
      <c r="AY26" s="14"/>
      <c r="AZ26" s="14"/>
      <c r="BA26" s="14"/>
      <c r="BB26" s="14"/>
      <c r="BC26" s="14"/>
      <c r="BD26" s="14"/>
      <c r="BE26" s="14"/>
      <c r="BF26" s="14"/>
      <c r="BG26" s="14"/>
      <c r="BH26" s="14"/>
      <c r="BI26" s="14"/>
      <c r="BJ26" s="14"/>
      <c r="BK26" s="14"/>
      <c r="BL26" s="14"/>
      <c r="BM26" s="14"/>
      <c r="BN26" s="14"/>
      <c r="BO26" s="14"/>
      <c r="BP26" s="14"/>
      <c r="BQ26" s="14"/>
      <c r="BR26" s="14"/>
      <c r="BS26" s="14"/>
      <c r="BT26" s="14"/>
      <c r="BU26" s="14"/>
      <c r="BV26" s="14"/>
      <c r="BW26" s="14"/>
      <c r="BX26" s="14"/>
      <c r="BY26" s="14"/>
      <c r="BZ26" s="14"/>
      <c r="CA26" s="14"/>
      <c r="CB26" s="114"/>
    </row>
    <row r="27" spans="2:80" s="372" customFormat="1" ht="17.399999999999999">
      <c r="B27" s="1086" t="s">
        <v>518</v>
      </c>
      <c r="C27" s="1086"/>
      <c r="D27" s="1086"/>
      <c r="E27" s="1086"/>
      <c r="F27" s="1086"/>
      <c r="G27" s="1086"/>
      <c r="H27" s="1086"/>
      <c r="I27" s="1086"/>
      <c r="J27" s="1086"/>
      <c r="K27" s="1086"/>
      <c r="L27" s="1086"/>
      <c r="M27" s="1086"/>
      <c r="N27" s="1086"/>
      <c r="O27" s="1086"/>
      <c r="P27" s="1086"/>
      <c r="Q27" s="1086"/>
      <c r="R27" s="1086"/>
      <c r="S27" s="1086"/>
      <c r="T27" s="1086"/>
      <c r="U27" s="1086"/>
      <c r="V27" s="1086"/>
      <c r="W27" s="1086"/>
      <c r="X27" s="1086"/>
      <c r="Y27" s="1086"/>
      <c r="Z27" s="1086"/>
      <c r="AA27" s="1086"/>
      <c r="AB27" s="1086"/>
      <c r="AC27" s="1086"/>
      <c r="AD27" s="1086"/>
      <c r="AE27" s="1086"/>
      <c r="AF27" s="1086"/>
      <c r="AG27" s="1086"/>
      <c r="AH27" s="1086"/>
      <c r="AI27" s="1086"/>
      <c r="AJ27" s="1086"/>
      <c r="AK27" s="1086"/>
      <c r="AL27" s="1086"/>
      <c r="AM27" s="1086"/>
      <c r="AN27" s="1086"/>
      <c r="AO27" s="1086"/>
      <c r="AP27" s="1086"/>
      <c r="AQ27" s="1086"/>
      <c r="AR27" s="1086"/>
      <c r="AS27" s="1086"/>
      <c r="AT27" s="1086"/>
      <c r="AU27" s="1086"/>
      <c r="AV27" s="1086"/>
      <c r="AW27" s="1086"/>
      <c r="AX27" s="1086"/>
      <c r="AY27" s="1086"/>
      <c r="AZ27" s="1086"/>
      <c r="BA27" s="1086"/>
      <c r="BB27" s="1086"/>
      <c r="BC27" s="1086"/>
      <c r="BD27" s="1086"/>
      <c r="BE27" s="1086"/>
      <c r="BF27" s="1086"/>
      <c r="BG27" s="1086"/>
      <c r="BH27" s="1086"/>
      <c r="BI27" s="1086"/>
      <c r="BJ27" s="1086"/>
      <c r="BK27" s="1086"/>
      <c r="BL27" s="1086"/>
      <c r="BM27" s="1086"/>
      <c r="BN27" s="1086"/>
      <c r="BO27" s="1086"/>
      <c r="BP27" s="1086"/>
      <c r="BQ27" s="1086"/>
      <c r="BR27" s="1086"/>
      <c r="BS27" s="1086"/>
      <c r="BT27" s="1086"/>
      <c r="BU27" s="1086"/>
      <c r="BV27" s="1086"/>
      <c r="BW27" s="1086"/>
      <c r="BX27" s="1086"/>
      <c r="BY27" s="1086"/>
      <c r="BZ27" s="1086"/>
      <c r="CA27" s="1086"/>
      <c r="CB27" s="1086"/>
    </row>
    <row r="28" spans="2:80">
      <c r="B28" s="1080" t="s">
        <v>213</v>
      </c>
      <c r="C28" s="1080"/>
      <c r="D28" s="1080"/>
      <c r="E28" s="1080"/>
      <c r="F28" s="1080"/>
      <c r="G28" s="1080"/>
      <c r="H28" s="1080"/>
      <c r="I28" s="1080"/>
      <c r="J28" s="1080"/>
      <c r="K28" s="1080"/>
      <c r="L28" s="1080"/>
      <c r="M28" s="1080"/>
      <c r="N28" s="1080"/>
      <c r="O28" s="1080"/>
      <c r="P28" s="1080"/>
      <c r="Q28" s="1080"/>
      <c r="R28" s="1080"/>
      <c r="S28" s="1080"/>
      <c r="T28" s="1080"/>
      <c r="U28" s="1080"/>
      <c r="V28" s="1080"/>
      <c r="W28" s="1080"/>
      <c r="X28" s="1080"/>
      <c r="Y28" s="1080"/>
      <c r="Z28" s="1080"/>
      <c r="AA28" s="1080"/>
      <c r="AB28" s="1080"/>
      <c r="AC28" s="1080"/>
      <c r="AD28" s="1080"/>
      <c r="AE28" s="1080"/>
      <c r="AF28" s="1080"/>
      <c r="AG28" s="1080"/>
      <c r="AH28" s="1080"/>
      <c r="AI28" s="1080"/>
      <c r="AJ28" s="1080"/>
      <c r="AK28" s="1080"/>
      <c r="AL28" s="1080"/>
      <c r="AM28" s="1080"/>
      <c r="AN28" s="1080"/>
      <c r="AO28" s="1080"/>
      <c r="AP28" s="1080"/>
      <c r="AQ28" s="1080"/>
      <c r="AR28" s="1080"/>
      <c r="AS28" s="1080"/>
      <c r="AT28" s="1080"/>
      <c r="AU28" s="1080"/>
      <c r="AV28" s="1080"/>
      <c r="AW28" s="1080"/>
      <c r="AX28" s="1080"/>
      <c r="AY28" s="1080"/>
      <c r="AZ28" s="1080"/>
      <c r="BA28" s="1080"/>
      <c r="BB28" s="1080"/>
      <c r="BC28" s="1080"/>
      <c r="BD28" s="1080"/>
      <c r="BE28" s="1080"/>
      <c r="BF28" s="1080"/>
      <c r="BG28" s="1080"/>
      <c r="BH28" s="1080"/>
      <c r="BI28" s="1080"/>
      <c r="BJ28" s="1080"/>
      <c r="BK28" s="1080"/>
      <c r="BL28" s="1080"/>
      <c r="BM28" s="1080"/>
      <c r="BN28" s="1080"/>
      <c r="BO28" s="1080"/>
      <c r="BP28" s="1080"/>
      <c r="BQ28" s="1080"/>
      <c r="BR28" s="1080"/>
      <c r="BS28" s="1080"/>
      <c r="BT28" s="1080"/>
      <c r="BU28" s="1080"/>
      <c r="BV28" s="1080"/>
      <c r="BW28" s="1080"/>
      <c r="BX28" s="1080"/>
      <c r="BY28" s="1080"/>
      <c r="BZ28" s="1080"/>
      <c r="CA28" s="1080"/>
      <c r="CB28" s="1080"/>
    </row>
    <row r="29" spans="2:80">
      <c r="B29" s="756" t="s">
        <v>238</v>
      </c>
      <c r="C29" s="756" t="s">
        <v>120</v>
      </c>
      <c r="D29" s="366">
        <f t="shared" ref="D29:F29" si="11">D4</f>
        <v>46099</v>
      </c>
      <c r="E29" s="366">
        <f t="shared" ref="E29" si="12">E4</f>
        <v>46092</v>
      </c>
      <c r="F29" s="366">
        <f t="shared" si="11"/>
        <v>46085</v>
      </c>
      <c r="G29" s="366">
        <f t="shared" ref="G29:W29" si="13">G4</f>
        <v>46078</v>
      </c>
      <c r="H29" s="366">
        <f t="shared" si="13"/>
        <v>46071</v>
      </c>
      <c r="I29" s="366">
        <f t="shared" si="13"/>
        <v>46057</v>
      </c>
      <c r="J29" s="366">
        <f t="shared" si="13"/>
        <v>46050</v>
      </c>
      <c r="K29" s="366">
        <f t="shared" si="13"/>
        <v>46043</v>
      </c>
      <c r="L29" s="366">
        <f t="shared" si="13"/>
        <v>46036</v>
      </c>
      <c r="M29" s="366">
        <f t="shared" si="13"/>
        <v>46029</v>
      </c>
      <c r="N29" s="366">
        <f t="shared" si="13"/>
        <v>46022</v>
      </c>
      <c r="O29" s="366">
        <f t="shared" si="13"/>
        <v>46015</v>
      </c>
      <c r="P29" s="366">
        <f t="shared" si="13"/>
        <v>46008</v>
      </c>
      <c r="Q29" s="366">
        <f t="shared" si="13"/>
        <v>46001</v>
      </c>
      <c r="R29" s="366">
        <f t="shared" si="13"/>
        <v>45994</v>
      </c>
      <c r="S29" s="366">
        <f t="shared" si="13"/>
        <v>45987</v>
      </c>
      <c r="T29" s="366">
        <f t="shared" si="13"/>
        <v>45980</v>
      </c>
      <c r="U29" s="366">
        <f t="shared" si="13"/>
        <v>45973</v>
      </c>
      <c r="V29" s="366">
        <f t="shared" si="13"/>
        <v>45966</v>
      </c>
      <c r="W29" s="366">
        <f t="shared" si="13"/>
        <v>45959</v>
      </c>
      <c r="X29" s="366">
        <v>45952</v>
      </c>
      <c r="Y29" s="366">
        <f t="shared" ref="Y29:AF29" si="14">Y4</f>
        <v>45945</v>
      </c>
      <c r="Z29" s="366">
        <f t="shared" si="14"/>
        <v>45938</v>
      </c>
      <c r="AA29" s="366">
        <f t="shared" si="14"/>
        <v>45931</v>
      </c>
      <c r="AB29" s="366">
        <f t="shared" si="14"/>
        <v>45924</v>
      </c>
      <c r="AC29" s="366">
        <f t="shared" si="14"/>
        <v>45917</v>
      </c>
      <c r="AD29" s="366">
        <f t="shared" si="14"/>
        <v>45910</v>
      </c>
      <c r="AE29" s="366">
        <f t="shared" si="14"/>
        <v>45903</v>
      </c>
      <c r="AF29" s="344">
        <f t="shared" si="14"/>
        <v>45896</v>
      </c>
      <c r="AG29" s="344">
        <v>45889</v>
      </c>
      <c r="AH29" s="344">
        <v>45882</v>
      </c>
      <c r="AI29" s="344">
        <v>45875</v>
      </c>
      <c r="AJ29" s="366">
        <v>45868</v>
      </c>
      <c r="AK29" s="344">
        <v>45861</v>
      </c>
      <c r="AL29" s="344">
        <f>AL4</f>
        <v>45854</v>
      </c>
      <c r="AM29" s="344">
        <f>AM4</f>
        <v>45847</v>
      </c>
      <c r="AN29" s="344">
        <v>45847</v>
      </c>
      <c r="AO29" s="344">
        <v>45840</v>
      </c>
      <c r="AP29" s="344">
        <f t="shared" ref="AP29:AU29" si="15">AP4</f>
        <v>45833</v>
      </c>
      <c r="AQ29" s="366">
        <f t="shared" si="15"/>
        <v>45826</v>
      </c>
      <c r="AR29" s="366">
        <f t="shared" si="15"/>
        <v>45819</v>
      </c>
      <c r="AS29" s="366">
        <f t="shared" si="15"/>
        <v>45812</v>
      </c>
      <c r="AT29" s="366">
        <f t="shared" si="15"/>
        <v>45805</v>
      </c>
      <c r="AU29" s="366">
        <f t="shared" si="15"/>
        <v>45798</v>
      </c>
      <c r="AV29" s="366">
        <f>'最高报价汇总 '!F2</f>
        <v>46099</v>
      </c>
      <c r="AW29" s="370">
        <f>AW4</f>
        <v>45785</v>
      </c>
      <c r="AX29" s="366">
        <f>AX4</f>
        <v>45777</v>
      </c>
      <c r="AY29" s="366">
        <f>AY4</f>
        <v>45763</v>
      </c>
      <c r="AZ29" s="366">
        <f>AZ4</f>
        <v>45757</v>
      </c>
      <c r="BA29" s="366">
        <f>BA4</f>
        <v>45742</v>
      </c>
      <c r="BB29" s="366">
        <f>'最高报价汇总 '!G2</f>
        <v>46092</v>
      </c>
      <c r="BC29" s="366">
        <f>BC19</f>
        <v>45722</v>
      </c>
      <c r="BD29" s="366">
        <f>'最高报价汇总 '!G2</f>
        <v>46092</v>
      </c>
      <c r="BE29" s="366">
        <f>'最高报价汇总 '!G2</f>
        <v>46092</v>
      </c>
      <c r="BF29" s="366">
        <v>45701</v>
      </c>
      <c r="BG29" s="366">
        <f>'最高报价汇总 '!G2</f>
        <v>46092</v>
      </c>
      <c r="BH29" s="366">
        <f>'最高报价汇总 '!G2</f>
        <v>46092</v>
      </c>
      <c r="BI29" s="366">
        <f>'最高报价汇总 '!G2</f>
        <v>46092</v>
      </c>
      <c r="BJ29" s="366">
        <f>BJ19</f>
        <v>45673</v>
      </c>
      <c r="BK29" s="366">
        <v>45666</v>
      </c>
      <c r="BL29" s="366" t="e">
        <f>#REF!</f>
        <v>#REF!</v>
      </c>
      <c r="BM29" s="366">
        <f>'最高报价汇总 '!G2</f>
        <v>46092</v>
      </c>
      <c r="BN29" s="366">
        <f>BN4</f>
        <v>45645</v>
      </c>
      <c r="BO29" s="366">
        <f>'最高报价汇总 '!G2</f>
        <v>46092</v>
      </c>
      <c r="BP29" s="366">
        <f>'最高报价汇总 '!G2</f>
        <v>46092</v>
      </c>
      <c r="BQ29" s="366">
        <v>45625</v>
      </c>
      <c r="BR29" s="366">
        <f>'最高报价汇总 '!G2</f>
        <v>46092</v>
      </c>
      <c r="BS29" s="366">
        <f>'最高报价汇总 '!G2</f>
        <v>46092</v>
      </c>
      <c r="BT29" s="66">
        <f>'最高报价汇总 '!G2</f>
        <v>46092</v>
      </c>
      <c r="BU29" s="66">
        <f>BU4</f>
        <v>45595</v>
      </c>
      <c r="BV29" s="66">
        <f>'最高报价汇总 '!G2</f>
        <v>46092</v>
      </c>
      <c r="BW29" s="66">
        <f>BW4</f>
        <v>45582</v>
      </c>
      <c r="BX29" s="66">
        <f>BX4</f>
        <v>45575</v>
      </c>
      <c r="BY29" s="66">
        <f>BY4</f>
        <v>45568</v>
      </c>
      <c r="BZ29" s="66">
        <f>BZ4</f>
        <v>45561</v>
      </c>
      <c r="CA29" s="366" t="str">
        <f>CA19</f>
        <v>当日增幅</v>
      </c>
      <c r="CB29" s="367" t="s">
        <v>223</v>
      </c>
    </row>
    <row r="30" spans="2:80">
      <c r="B30" s="194" t="s">
        <v>16</v>
      </c>
      <c r="C30" s="111" t="s">
        <v>300</v>
      </c>
      <c r="D30" s="235">
        <v>1.7999999999999999E-2</v>
      </c>
      <c r="E30" s="235">
        <v>1.7999999999999999E-2</v>
      </c>
      <c r="F30" s="235">
        <v>1.7999999999999999E-2</v>
      </c>
      <c r="G30" s="235">
        <v>1.7999999999999999E-2</v>
      </c>
      <c r="H30" s="235">
        <v>1.7999999999999999E-2</v>
      </c>
      <c r="I30" s="235">
        <v>1.7999999999999999E-2</v>
      </c>
      <c r="J30" s="235">
        <v>1.7999999999999999E-2</v>
      </c>
      <c r="K30" s="235">
        <v>1.7999999999999999E-2</v>
      </c>
      <c r="L30" s="235">
        <v>1.7999999999999999E-2</v>
      </c>
      <c r="M30" s="235">
        <v>1.7999999999999999E-2</v>
      </c>
      <c r="N30" s="235">
        <v>1.7999999999999999E-2</v>
      </c>
      <c r="O30" s="235">
        <v>1.7999999999999999E-2</v>
      </c>
      <c r="P30" s="235">
        <v>1.7999999999999999E-2</v>
      </c>
      <c r="Q30" s="235">
        <v>1.7999999999999999E-2</v>
      </c>
      <c r="R30" s="235">
        <v>1.7999999999999999E-2</v>
      </c>
      <c r="S30" s="235">
        <v>1.7999999999999999E-2</v>
      </c>
      <c r="T30" s="235">
        <v>1.7999999999999999E-2</v>
      </c>
      <c r="U30" s="235">
        <v>1.7999999999999999E-2</v>
      </c>
      <c r="V30" s="235">
        <v>1.7999999999999999E-2</v>
      </c>
      <c r="W30" s="235">
        <v>1.7999999999999999E-2</v>
      </c>
      <c r="X30" s="235">
        <v>1.7999999999999999E-2</v>
      </c>
      <c r="Y30" s="235">
        <v>1.7999999999999999E-2</v>
      </c>
      <c r="Z30" s="235">
        <v>1.7999999999999999E-2</v>
      </c>
      <c r="AA30" s="235">
        <v>1.7999999999999999E-2</v>
      </c>
      <c r="AB30" s="235">
        <v>1.7999999999999999E-2</v>
      </c>
      <c r="AC30" s="235">
        <v>1.7999999999999999E-2</v>
      </c>
      <c r="AD30" s="235">
        <v>1.7999999999999999E-2</v>
      </c>
      <c r="AE30" s="235">
        <v>1.7999999999999999E-2</v>
      </c>
      <c r="AF30" s="360">
        <v>1.7999999999999999E-2</v>
      </c>
      <c r="AG30" s="360">
        <v>1.7999999999999999E-2</v>
      </c>
      <c r="AH30" s="360">
        <v>1.7999999999999999E-2</v>
      </c>
      <c r="AI30" s="360">
        <v>1.7999999999999999E-2</v>
      </c>
      <c r="AJ30" s="235">
        <v>1.7999999999999999E-2</v>
      </c>
      <c r="AK30" s="360">
        <v>1.7999999999999999E-2</v>
      </c>
      <c r="AL30" s="360">
        <v>1.7999999999999999E-2</v>
      </c>
      <c r="AM30" s="360">
        <v>1.7999999999999999E-2</v>
      </c>
      <c r="AN30" s="311">
        <v>1.7999999999999999E-2</v>
      </c>
      <c r="AO30" s="359">
        <v>1.8499999999999999E-2</v>
      </c>
      <c r="AP30" s="311">
        <v>1.8499999999999999E-2</v>
      </c>
      <c r="AQ30" s="311">
        <v>1.95E-2</v>
      </c>
      <c r="AR30" s="253">
        <v>0.02</v>
      </c>
      <c r="AS30" s="253">
        <v>0.02</v>
      </c>
      <c r="AT30" s="253">
        <v>0.02</v>
      </c>
      <c r="AU30" s="311">
        <v>0.02</v>
      </c>
      <c r="AV30" s="253">
        <v>2.1999999999999999E-2</v>
      </c>
      <c r="AW30" s="253">
        <v>2.1999999999999999E-2</v>
      </c>
      <c r="AX30" s="253">
        <v>2.1999999999999999E-2</v>
      </c>
      <c r="AY30" s="253">
        <v>2.1999999999999999E-2</v>
      </c>
      <c r="AZ30" s="253">
        <v>2.1999999999999999E-2</v>
      </c>
      <c r="BA30" s="253">
        <v>2.4E-2</v>
      </c>
      <c r="BB30" s="253">
        <v>2.4E-2</v>
      </c>
      <c r="BC30" s="253">
        <v>2.5000000000000001E-2</v>
      </c>
      <c r="BD30" s="253">
        <v>2.5000000000000001E-2</v>
      </c>
      <c r="BE30" s="253">
        <v>2.5000000000000001E-2</v>
      </c>
      <c r="BF30" s="253">
        <v>2.75E-2</v>
      </c>
      <c r="BG30" s="253">
        <v>2.75E-2</v>
      </c>
      <c r="BH30" s="253">
        <v>2.75E-2</v>
      </c>
      <c r="BI30" s="253">
        <v>2.75E-2</v>
      </c>
      <c r="BJ30" s="253">
        <v>2.9000000000000001E-2</v>
      </c>
      <c r="BK30" s="253">
        <v>2.9000000000000001E-2</v>
      </c>
      <c r="BL30" s="253">
        <v>2.9000000000000001E-2</v>
      </c>
      <c r="BM30" s="311">
        <v>2.9000000000000001E-2</v>
      </c>
      <c r="BN30" s="253">
        <v>0.03</v>
      </c>
      <c r="BO30" s="253">
        <v>0.03</v>
      </c>
      <c r="BP30" s="253">
        <v>0.03</v>
      </c>
      <c r="BQ30" s="253">
        <v>0.03</v>
      </c>
      <c r="BR30" s="253">
        <v>0.03</v>
      </c>
      <c r="BS30" s="253">
        <v>0.03</v>
      </c>
      <c r="BT30" s="371">
        <v>0.03</v>
      </c>
      <c r="BU30" s="371">
        <v>0.03</v>
      </c>
      <c r="BV30" s="371">
        <v>0.03</v>
      </c>
      <c r="BW30" s="371">
        <v>0.03</v>
      </c>
      <c r="BX30" s="371">
        <v>0.03</v>
      </c>
      <c r="BY30" s="371">
        <v>0.03</v>
      </c>
      <c r="BZ30" s="371">
        <v>0.03</v>
      </c>
      <c r="CA30" s="41">
        <f>$D30-$E30</f>
        <v>0</v>
      </c>
      <c r="CB30" s="109" t="s">
        <v>514</v>
      </c>
    </row>
    <row r="31" spans="2:80">
      <c r="B31" s="194" t="s">
        <v>20</v>
      </c>
      <c r="C31" s="308" t="s">
        <v>253</v>
      </c>
      <c r="D31" s="235"/>
      <c r="E31" s="235"/>
      <c r="F31" s="235">
        <v>1.78E-2</v>
      </c>
      <c r="G31" s="235">
        <v>1.78E-2</v>
      </c>
      <c r="H31" s="235">
        <v>1.78E-2</v>
      </c>
      <c r="I31" s="235">
        <v>1.78E-2</v>
      </c>
      <c r="J31" s="235">
        <v>1.78E-2</v>
      </c>
      <c r="K31" s="279">
        <v>1.78E-2</v>
      </c>
      <c r="L31" s="279">
        <v>1.83E-2</v>
      </c>
      <c r="M31" s="279">
        <v>1.8800000000000001E-2</v>
      </c>
      <c r="N31" s="279">
        <v>1.9300000000000001E-2</v>
      </c>
      <c r="O31" s="235">
        <v>1.83E-2</v>
      </c>
      <c r="P31" s="279">
        <v>1.83E-2</v>
      </c>
      <c r="Q31" s="235">
        <v>1.8800000000000001E-2</v>
      </c>
      <c r="R31" s="235">
        <v>1.8800000000000001E-2</v>
      </c>
      <c r="S31" s="279">
        <v>1.8800000000000001E-2</v>
      </c>
      <c r="T31" s="279">
        <v>1.78E-2</v>
      </c>
      <c r="U31" s="279">
        <v>1.83E-2</v>
      </c>
      <c r="V31" s="235">
        <v>1.78E-2</v>
      </c>
      <c r="W31" s="235">
        <v>1.78E-2</v>
      </c>
      <c r="X31" s="235">
        <v>1.78E-2</v>
      </c>
      <c r="Y31" s="235">
        <v>1.78E-2</v>
      </c>
      <c r="Z31" s="235">
        <v>1.78E-2</v>
      </c>
      <c r="AA31" s="279">
        <v>1.78E-2</v>
      </c>
      <c r="AB31" s="279">
        <v>1.7299999999999999E-2</v>
      </c>
      <c r="AC31" s="279">
        <v>1.78E-2</v>
      </c>
      <c r="AD31" s="235">
        <v>1.83E-2</v>
      </c>
      <c r="AE31" s="235">
        <v>1.83E-2</v>
      </c>
      <c r="AF31" s="360">
        <v>1.83E-2</v>
      </c>
      <c r="AG31" s="360">
        <v>1.83E-2</v>
      </c>
      <c r="AH31" s="360">
        <v>1.83E-2</v>
      </c>
      <c r="AI31" s="360">
        <v>1.83E-2</v>
      </c>
      <c r="AJ31" s="279">
        <v>1.83E-2</v>
      </c>
      <c r="AK31" s="360">
        <v>1.8800000000000001E-2</v>
      </c>
      <c r="AL31" s="360">
        <v>1.8800000000000001E-2</v>
      </c>
      <c r="AM31" s="360">
        <v>1.8800000000000001E-2</v>
      </c>
      <c r="AN31" s="363">
        <v>1.8800000000000001E-2</v>
      </c>
      <c r="AO31" s="364">
        <v>1.8800000000000001E-2</v>
      </c>
      <c r="AP31" s="363">
        <v>1.8599999999999998E-2</v>
      </c>
      <c r="AQ31" s="384">
        <v>1.8599999999999998E-2</v>
      </c>
      <c r="AR31" s="386"/>
      <c r="AS31" s="386"/>
      <c r="AT31" s="386"/>
      <c r="AU31" s="386"/>
      <c r="AV31" s="385"/>
      <c r="AW31" s="386"/>
      <c r="AX31" s="386"/>
      <c r="AY31" s="386"/>
      <c r="AZ31" s="386"/>
      <c r="BA31" s="386"/>
      <c r="BB31" s="386"/>
      <c r="BC31" s="386"/>
      <c r="BD31" s="386"/>
      <c r="BE31" s="386"/>
      <c r="BF31" s="386"/>
      <c r="BG31" s="385"/>
      <c r="BH31" s="386"/>
      <c r="BI31" s="386"/>
      <c r="BJ31" s="386"/>
      <c r="BK31" s="386"/>
      <c r="BL31" s="386"/>
      <c r="BM31" s="386"/>
      <c r="BN31" s="386"/>
      <c r="BO31" s="386"/>
      <c r="BP31" s="386"/>
      <c r="BQ31" s="386"/>
      <c r="BR31" s="386"/>
      <c r="BS31" s="386"/>
      <c r="BT31" s="385"/>
      <c r="BU31" s="385"/>
      <c r="BV31" s="385"/>
      <c r="BW31" s="385"/>
      <c r="BX31" s="385"/>
      <c r="BY31" s="385"/>
      <c r="BZ31" s="385"/>
      <c r="CA31" s="41">
        <f>$D31-$E31</f>
        <v>0</v>
      </c>
      <c r="CB31" s="351" t="s">
        <v>573</v>
      </c>
    </row>
    <row r="32" spans="2:80">
      <c r="B32" s="194" t="s">
        <v>23</v>
      </c>
      <c r="C32" s="365" t="s">
        <v>313</v>
      </c>
      <c r="D32" s="235">
        <v>1.7500000000000002E-2</v>
      </c>
      <c r="E32" s="235">
        <v>1.7500000000000002E-2</v>
      </c>
      <c r="F32" s="235">
        <v>1.7500000000000002E-2</v>
      </c>
      <c r="G32" s="235">
        <v>1.7500000000000002E-2</v>
      </c>
      <c r="H32" s="235">
        <v>1.7500000000000002E-2</v>
      </c>
      <c r="I32" s="235">
        <v>1.7500000000000002E-2</v>
      </c>
      <c r="J32" s="235">
        <v>1.7500000000000002E-2</v>
      </c>
      <c r="K32" s="235">
        <v>1.7500000000000002E-2</v>
      </c>
      <c r="L32" s="235">
        <v>1.7500000000000002E-2</v>
      </c>
      <c r="M32" s="235">
        <v>1.7500000000000002E-2</v>
      </c>
      <c r="N32" s="235">
        <v>1.7500000000000002E-2</v>
      </c>
      <c r="O32" s="235">
        <v>1.7500000000000002E-2</v>
      </c>
      <c r="P32" s="235">
        <v>1.7500000000000002E-2</v>
      </c>
      <c r="Q32" s="235">
        <v>1.7500000000000002E-2</v>
      </c>
      <c r="R32" s="235">
        <v>1.7500000000000002E-2</v>
      </c>
      <c r="S32" s="235">
        <v>1.7500000000000002E-2</v>
      </c>
      <c r="T32" s="235">
        <v>1.7500000000000002E-2</v>
      </c>
      <c r="U32" s="235">
        <v>1.7500000000000002E-2</v>
      </c>
      <c r="V32" s="235">
        <v>1.7500000000000002E-2</v>
      </c>
      <c r="W32" s="235">
        <v>1.7500000000000002E-2</v>
      </c>
      <c r="X32" s="235">
        <v>1.7500000000000002E-2</v>
      </c>
      <c r="Y32" s="235">
        <v>1.7500000000000002E-2</v>
      </c>
      <c r="Z32" s="235">
        <v>1.7500000000000002E-2</v>
      </c>
      <c r="AA32" s="235">
        <v>1.7500000000000002E-2</v>
      </c>
      <c r="AB32" s="235">
        <v>1.7500000000000002E-2</v>
      </c>
      <c r="AC32" s="235">
        <v>1.7500000000000002E-2</v>
      </c>
      <c r="AD32" s="235">
        <v>1.7500000000000002E-2</v>
      </c>
      <c r="AE32" s="235">
        <v>1.7500000000000002E-2</v>
      </c>
      <c r="AF32" s="360">
        <v>1.7500000000000002E-2</v>
      </c>
      <c r="AG32" s="360">
        <v>1.7500000000000002E-2</v>
      </c>
      <c r="AH32" s="360">
        <v>1.7500000000000002E-2</v>
      </c>
      <c r="AI32" s="360">
        <v>1.7500000000000002E-2</v>
      </c>
      <c r="AJ32" s="235">
        <v>1.7500000000000002E-2</v>
      </c>
      <c r="AK32" s="360">
        <v>1.7500000000000002E-2</v>
      </c>
      <c r="AL32" s="360">
        <v>1.7500000000000002E-2</v>
      </c>
      <c r="AM32" s="360">
        <v>1.7500000000000002E-2</v>
      </c>
      <c r="AN32" s="359">
        <v>1.7500000000000002E-2</v>
      </c>
      <c r="AO32" s="311">
        <v>1.7500000000000002E-2</v>
      </c>
      <c r="AP32" s="359">
        <v>0.02</v>
      </c>
      <c r="AQ32" s="253">
        <v>0.02</v>
      </c>
      <c r="AR32" s="253">
        <v>0.02</v>
      </c>
      <c r="AS32" s="253">
        <v>0.02</v>
      </c>
      <c r="AT32" s="253">
        <v>0.02</v>
      </c>
      <c r="AU32" s="253">
        <v>0.02</v>
      </c>
      <c r="AV32" s="311">
        <v>0.02</v>
      </c>
      <c r="AW32" s="253">
        <v>2.2499999999999999E-2</v>
      </c>
      <c r="AX32" s="253">
        <v>2.2499999999999999E-2</v>
      </c>
      <c r="AY32" s="253">
        <v>2.5000000000000001E-2</v>
      </c>
      <c r="AZ32" s="253">
        <v>2.5000000000000001E-2</v>
      </c>
      <c r="BA32" s="253">
        <v>2.5000000000000001E-2</v>
      </c>
      <c r="BB32" s="253">
        <v>2.5000000000000001E-2</v>
      </c>
      <c r="BC32" s="253">
        <v>2.5000000000000001E-2</v>
      </c>
      <c r="BD32" s="253">
        <v>2.5000000000000001E-2</v>
      </c>
      <c r="BE32" s="253">
        <v>2.5000000000000001E-2</v>
      </c>
      <c r="BF32" s="253">
        <v>2.5000000000000001E-2</v>
      </c>
      <c r="BG32" s="311">
        <v>2.5000000000000001E-2</v>
      </c>
      <c r="BH32" s="253">
        <v>2.75E-2</v>
      </c>
      <c r="BI32" s="253">
        <v>2.75E-2</v>
      </c>
      <c r="BJ32" s="253">
        <v>2.75E-2</v>
      </c>
      <c r="BK32" s="253">
        <v>2.75E-2</v>
      </c>
      <c r="BL32" s="253">
        <v>2.75E-2</v>
      </c>
      <c r="BM32" s="253">
        <v>2.75E-2</v>
      </c>
      <c r="BN32" s="253">
        <v>2.75E-2</v>
      </c>
      <c r="BO32" s="253">
        <v>2.75E-2</v>
      </c>
      <c r="BP32" s="253">
        <v>2.75E-2</v>
      </c>
      <c r="BQ32" s="253">
        <v>0.03</v>
      </c>
      <c r="BR32" s="253">
        <v>0.03</v>
      </c>
      <c r="BS32" s="253">
        <v>0.03</v>
      </c>
      <c r="BT32" s="311">
        <v>0.03</v>
      </c>
      <c r="BU32" s="311"/>
      <c r="BV32" s="311"/>
      <c r="BW32" s="311"/>
      <c r="BX32" s="311"/>
      <c r="BY32" s="311"/>
      <c r="BZ32" s="311"/>
      <c r="CA32" s="41">
        <f>$D32-$E32</f>
        <v>0</v>
      </c>
      <c r="CB32" s="109" t="s">
        <v>312</v>
      </c>
    </row>
    <row r="33" spans="2:80">
      <c r="B33" s="194" t="s">
        <v>12</v>
      </c>
      <c r="C33" s="365" t="s">
        <v>293</v>
      </c>
      <c r="D33" s="235">
        <v>1.55E-2</v>
      </c>
      <c r="E33" s="235">
        <v>1.55E-2</v>
      </c>
      <c r="F33" s="235">
        <v>1.55E-2</v>
      </c>
      <c r="G33" s="235">
        <v>1.55E-2</v>
      </c>
      <c r="H33" s="235">
        <v>1.55E-2</v>
      </c>
      <c r="I33" s="235">
        <v>1.55E-2</v>
      </c>
      <c r="J33" s="235">
        <v>1.55E-2</v>
      </c>
      <c r="K33" s="235">
        <v>1.55E-2</v>
      </c>
      <c r="L33" s="235">
        <v>1.55E-2</v>
      </c>
      <c r="M33" s="235">
        <v>1.55E-2</v>
      </c>
      <c r="N33" s="235">
        <v>1.55E-2</v>
      </c>
      <c r="O33" s="235">
        <v>1.55E-2</v>
      </c>
      <c r="P33" s="235">
        <v>1.55E-2</v>
      </c>
      <c r="Q33" s="235">
        <v>1.55E-2</v>
      </c>
      <c r="R33" s="235">
        <v>1.55E-2</v>
      </c>
      <c r="S33" s="279">
        <v>1.55E-2</v>
      </c>
      <c r="T33" s="235">
        <v>1.4200000000000001E-2</v>
      </c>
      <c r="U33" s="279">
        <v>1.4200000000000001E-2</v>
      </c>
      <c r="V33" s="235">
        <v>1.4999999999999999E-2</v>
      </c>
      <c r="W33" s="235">
        <v>1.4999999999999999E-2</v>
      </c>
      <c r="X33" s="235">
        <v>1.4999999999999999E-2</v>
      </c>
      <c r="Y33" s="235">
        <v>1.4999999999999999E-2</v>
      </c>
      <c r="Z33" s="235">
        <v>1.4999999999999999E-2</v>
      </c>
      <c r="AA33" s="235">
        <v>1.4999999999999999E-2</v>
      </c>
      <c r="AB33" s="235">
        <v>1.4999999999999999E-2</v>
      </c>
      <c r="AC33" s="235">
        <v>1.4999999999999999E-2</v>
      </c>
      <c r="AD33" s="235">
        <v>1.4999999999999999E-2</v>
      </c>
      <c r="AE33" s="235">
        <v>1.4999999999999999E-2</v>
      </c>
      <c r="AF33" s="360">
        <v>1.4999999999999999E-2</v>
      </c>
      <c r="AG33" s="279">
        <v>1.4999999999999999E-2</v>
      </c>
      <c r="AH33" s="360">
        <v>1.55E-2</v>
      </c>
      <c r="AI33" s="360">
        <v>1.55E-2</v>
      </c>
      <c r="AJ33" s="235">
        <v>1.55E-2</v>
      </c>
      <c r="AK33" s="360">
        <v>1.55E-2</v>
      </c>
      <c r="AL33" s="235">
        <v>1.55E-2</v>
      </c>
      <c r="AM33" s="235">
        <v>1.55E-2</v>
      </c>
      <c r="AN33" s="359">
        <v>1.55E-2</v>
      </c>
      <c r="AO33" s="359">
        <v>1.55E-2</v>
      </c>
      <c r="AP33" s="359">
        <v>1.55E-2</v>
      </c>
      <c r="AQ33" s="311">
        <v>1.55E-2</v>
      </c>
      <c r="AR33" s="311">
        <v>1.6500000000000001E-2</v>
      </c>
      <c r="AS33" s="253">
        <v>1.7500000000000002E-2</v>
      </c>
      <c r="AT33" s="311">
        <v>1.7500000000000002E-2</v>
      </c>
      <c r="AU33" s="253">
        <v>1.6199999999999999E-2</v>
      </c>
      <c r="AV33" s="311">
        <v>1.6199999999999999E-2</v>
      </c>
      <c r="AW33" s="253">
        <v>1.8499999999999999E-2</v>
      </c>
      <c r="AX33" s="253"/>
      <c r="AY33" s="253"/>
      <c r="AZ33" s="253"/>
      <c r="BA33" s="253"/>
      <c r="BB33" s="253"/>
      <c r="BC33" s="253"/>
      <c r="BD33" s="253"/>
      <c r="BE33" s="253"/>
      <c r="BF33" s="253"/>
      <c r="BG33" s="253"/>
      <c r="BH33" s="253"/>
      <c r="BI33" s="253"/>
      <c r="BJ33" s="253"/>
      <c r="BK33" s="253"/>
      <c r="BL33" s="253"/>
      <c r="BM33" s="253"/>
      <c r="BN33" s="253"/>
      <c r="BO33" s="253"/>
      <c r="BP33" s="253"/>
      <c r="BQ33" s="253"/>
      <c r="BR33" s="253"/>
      <c r="BS33" s="253"/>
      <c r="BT33" s="253"/>
      <c r="BU33" s="253"/>
      <c r="BV33" s="253"/>
      <c r="BW33" s="253"/>
      <c r="BX33" s="253"/>
      <c r="BY33" s="253"/>
      <c r="BZ33" s="253"/>
      <c r="CA33" s="41">
        <f>$D33-$E33</f>
        <v>0</v>
      </c>
      <c r="CB33" s="109"/>
    </row>
    <row r="34" spans="2:80">
      <c r="C34" s="14"/>
      <c r="D34" s="235"/>
      <c r="E34" s="235"/>
      <c r="F34" s="235"/>
      <c r="G34" s="235"/>
      <c r="H34" s="14"/>
      <c r="I34" s="14"/>
      <c r="J34" s="14"/>
      <c r="K34" s="14"/>
      <c r="L34" s="14"/>
      <c r="M34" s="14"/>
      <c r="N34" s="14"/>
      <c r="O34" s="14"/>
      <c r="P34" s="14"/>
      <c r="Q34" s="14"/>
      <c r="R34" s="14"/>
      <c r="S34" s="14"/>
      <c r="T34" s="14"/>
      <c r="U34" s="14"/>
      <c r="AG34" s="14"/>
      <c r="AH34" s="14"/>
      <c r="AI34" s="14"/>
      <c r="AK34" s="14"/>
      <c r="AL34" s="14"/>
      <c r="AM34" s="14"/>
      <c r="AN34" s="14"/>
      <c r="AO34" s="14"/>
      <c r="AP34" s="14"/>
      <c r="AQ34" s="14"/>
      <c r="AR34" s="14"/>
      <c r="AS34" s="14"/>
      <c r="AT34" s="14"/>
      <c r="AU34" s="14"/>
      <c r="AV34" s="14"/>
      <c r="AW34" s="14"/>
      <c r="AX34" s="14"/>
      <c r="AY34" s="14"/>
      <c r="AZ34" s="14"/>
      <c r="BA34" s="14"/>
      <c r="BB34" s="14"/>
      <c r="BC34" s="14"/>
      <c r="BD34" s="14"/>
      <c r="BE34" s="14"/>
      <c r="BF34" s="14"/>
      <c r="BG34" s="14"/>
      <c r="BH34" s="14"/>
      <c r="BI34" s="14"/>
      <c r="BJ34" s="14"/>
      <c r="BK34" s="14"/>
      <c r="BL34" s="14"/>
      <c r="BM34" s="14"/>
      <c r="BN34" s="14"/>
      <c r="BO34" s="14"/>
      <c r="BP34" s="14"/>
      <c r="BQ34" s="14"/>
      <c r="BR34" s="14"/>
      <c r="BS34" s="14"/>
      <c r="BT34" s="14"/>
      <c r="BU34" s="14"/>
      <c r="BV34" s="14"/>
      <c r="BW34" s="14"/>
      <c r="BX34" s="14"/>
      <c r="BY34" s="14"/>
      <c r="BZ34" s="14"/>
      <c r="CA34" s="14"/>
      <c r="CB34" s="114"/>
    </row>
    <row r="35" spans="2:80">
      <c r="B35" s="1080" t="s">
        <v>211</v>
      </c>
      <c r="C35" s="1080"/>
      <c r="D35" s="1080"/>
      <c r="E35" s="1080"/>
      <c r="F35" s="1080"/>
      <c r="G35" s="1080"/>
      <c r="H35" s="1080"/>
      <c r="I35" s="1080"/>
      <c r="J35" s="1080"/>
      <c r="K35" s="1080"/>
      <c r="L35" s="1080"/>
      <c r="M35" s="1080"/>
      <c r="N35" s="1080"/>
      <c r="O35" s="1080"/>
      <c r="P35" s="1080"/>
      <c r="Q35" s="1080"/>
      <c r="R35" s="1080"/>
      <c r="S35" s="1080"/>
      <c r="T35" s="1080"/>
      <c r="U35" s="1080"/>
      <c r="V35" s="1080"/>
      <c r="W35" s="1080"/>
      <c r="X35" s="1080"/>
      <c r="Y35" s="1080"/>
      <c r="Z35" s="1080"/>
      <c r="AA35" s="1080"/>
      <c r="AB35" s="1080"/>
      <c r="AC35" s="1080"/>
      <c r="AD35" s="1080"/>
      <c r="AE35" s="1080"/>
      <c r="AF35" s="1080"/>
      <c r="AG35" s="1080"/>
      <c r="AH35" s="1080"/>
      <c r="AI35" s="1080"/>
      <c r="AJ35" s="1080"/>
      <c r="AK35" s="1080"/>
      <c r="AL35" s="1080"/>
      <c r="AM35" s="1080"/>
      <c r="AN35" s="1080"/>
      <c r="AO35" s="1080"/>
      <c r="AP35" s="1080"/>
      <c r="AQ35" s="1080"/>
      <c r="AR35" s="1080"/>
      <c r="AS35" s="1080"/>
      <c r="AT35" s="1080"/>
      <c r="AU35" s="1080"/>
      <c r="AV35" s="1080"/>
      <c r="AW35" s="1080"/>
      <c r="AX35" s="1080"/>
      <c r="AY35" s="1080"/>
      <c r="AZ35" s="1080"/>
      <c r="BA35" s="1080"/>
      <c r="BB35" s="1080"/>
      <c r="BC35" s="1080"/>
      <c r="BD35" s="1080"/>
      <c r="BE35" s="1080"/>
      <c r="BF35" s="1080"/>
      <c r="BG35" s="1080"/>
      <c r="BH35" s="1080"/>
      <c r="BI35" s="1080"/>
      <c r="BJ35" s="1080"/>
      <c r="BK35" s="1080"/>
      <c r="BL35" s="1080"/>
      <c r="BM35" s="1080"/>
      <c r="BN35" s="1080"/>
      <c r="BO35" s="1080"/>
      <c r="BP35" s="1080"/>
      <c r="BQ35" s="1080"/>
      <c r="BR35" s="1080"/>
      <c r="BS35" s="1080"/>
      <c r="BT35" s="1080"/>
      <c r="BU35" s="1080"/>
      <c r="BV35" s="1080"/>
      <c r="BW35" s="1080"/>
      <c r="BX35" s="1080"/>
      <c r="BY35" s="1080"/>
      <c r="BZ35" s="1080"/>
      <c r="CA35" s="1080"/>
      <c r="CB35" s="1080"/>
    </row>
    <row r="36" spans="2:80">
      <c r="B36" s="756" t="s">
        <v>121</v>
      </c>
      <c r="C36" s="756" t="s">
        <v>120</v>
      </c>
      <c r="D36" s="366">
        <f t="shared" ref="D36:F36" si="16">D4</f>
        <v>46099</v>
      </c>
      <c r="E36" s="366">
        <f t="shared" ref="E36" si="17">E4</f>
        <v>46092</v>
      </c>
      <c r="F36" s="366">
        <f t="shared" si="16"/>
        <v>46085</v>
      </c>
      <c r="G36" s="366">
        <f t="shared" ref="G36:W36" si="18">G4</f>
        <v>46078</v>
      </c>
      <c r="H36" s="366">
        <f t="shared" si="18"/>
        <v>46071</v>
      </c>
      <c r="I36" s="366">
        <f t="shared" si="18"/>
        <v>46057</v>
      </c>
      <c r="J36" s="366">
        <f t="shared" si="18"/>
        <v>46050</v>
      </c>
      <c r="K36" s="366">
        <f t="shared" si="18"/>
        <v>46043</v>
      </c>
      <c r="L36" s="366">
        <f t="shared" si="18"/>
        <v>46036</v>
      </c>
      <c r="M36" s="366">
        <f t="shared" si="18"/>
        <v>46029</v>
      </c>
      <c r="N36" s="366">
        <f t="shared" si="18"/>
        <v>46022</v>
      </c>
      <c r="O36" s="366">
        <f t="shared" si="18"/>
        <v>46015</v>
      </c>
      <c r="P36" s="366">
        <f t="shared" si="18"/>
        <v>46008</v>
      </c>
      <c r="Q36" s="366">
        <f t="shared" si="18"/>
        <v>46001</v>
      </c>
      <c r="R36" s="366">
        <f t="shared" si="18"/>
        <v>45994</v>
      </c>
      <c r="S36" s="366">
        <f t="shared" si="18"/>
        <v>45987</v>
      </c>
      <c r="T36" s="366">
        <f t="shared" si="18"/>
        <v>45980</v>
      </c>
      <c r="U36" s="366">
        <f t="shared" si="18"/>
        <v>45973</v>
      </c>
      <c r="V36" s="366">
        <f t="shared" si="18"/>
        <v>45966</v>
      </c>
      <c r="W36" s="366">
        <f t="shared" si="18"/>
        <v>45959</v>
      </c>
      <c r="X36" s="366">
        <v>45952</v>
      </c>
      <c r="Y36" s="366">
        <f t="shared" ref="Y36:AF36" si="19">Y4</f>
        <v>45945</v>
      </c>
      <c r="Z36" s="366">
        <f t="shared" si="19"/>
        <v>45938</v>
      </c>
      <c r="AA36" s="366">
        <f t="shared" si="19"/>
        <v>45931</v>
      </c>
      <c r="AB36" s="366">
        <f t="shared" si="19"/>
        <v>45924</v>
      </c>
      <c r="AC36" s="366">
        <f t="shared" si="19"/>
        <v>45917</v>
      </c>
      <c r="AD36" s="366">
        <f t="shared" si="19"/>
        <v>45910</v>
      </c>
      <c r="AE36" s="366">
        <f t="shared" si="19"/>
        <v>45903</v>
      </c>
      <c r="AF36" s="344">
        <f t="shared" si="19"/>
        <v>45896</v>
      </c>
      <c r="AG36" s="344">
        <v>45889</v>
      </c>
      <c r="AH36" s="344">
        <v>45882</v>
      </c>
      <c r="AI36" s="344">
        <v>45875</v>
      </c>
      <c r="AJ36" s="366">
        <v>45868</v>
      </c>
      <c r="AK36" s="344">
        <v>45861</v>
      </c>
      <c r="AL36" s="344">
        <f>AL4</f>
        <v>45854</v>
      </c>
      <c r="AM36" s="344">
        <f>AM4</f>
        <v>45847</v>
      </c>
      <c r="AN36" s="344">
        <v>45847</v>
      </c>
      <c r="AO36" s="344">
        <v>45840</v>
      </c>
      <c r="AP36" s="344">
        <f t="shared" ref="AP36:AU36" si="20">AP4</f>
        <v>45833</v>
      </c>
      <c r="AQ36" s="366">
        <f t="shared" si="20"/>
        <v>45826</v>
      </c>
      <c r="AR36" s="366">
        <f t="shared" si="20"/>
        <v>45819</v>
      </c>
      <c r="AS36" s="366">
        <f t="shared" si="20"/>
        <v>45812</v>
      </c>
      <c r="AT36" s="366">
        <f t="shared" si="20"/>
        <v>45805</v>
      </c>
      <c r="AU36" s="366">
        <f t="shared" si="20"/>
        <v>45798</v>
      </c>
      <c r="AV36" s="366">
        <f t="shared" ref="AV36:CA36" si="21">AV29</f>
        <v>46099</v>
      </c>
      <c r="AW36" s="366">
        <f t="shared" si="21"/>
        <v>45785</v>
      </c>
      <c r="AX36" s="366">
        <f t="shared" si="21"/>
        <v>45777</v>
      </c>
      <c r="AY36" s="366">
        <f t="shared" si="21"/>
        <v>45763</v>
      </c>
      <c r="AZ36" s="366">
        <f t="shared" si="21"/>
        <v>45757</v>
      </c>
      <c r="BA36" s="366">
        <f t="shared" si="21"/>
        <v>45742</v>
      </c>
      <c r="BB36" s="366">
        <f t="shared" si="21"/>
        <v>46092</v>
      </c>
      <c r="BC36" s="366">
        <f t="shared" si="21"/>
        <v>45722</v>
      </c>
      <c r="BD36" s="366">
        <f t="shared" si="21"/>
        <v>46092</v>
      </c>
      <c r="BE36" s="366">
        <f t="shared" si="21"/>
        <v>46092</v>
      </c>
      <c r="BF36" s="366">
        <f t="shared" si="21"/>
        <v>45701</v>
      </c>
      <c r="BG36" s="366">
        <f t="shared" si="21"/>
        <v>46092</v>
      </c>
      <c r="BH36" s="366">
        <f t="shared" si="21"/>
        <v>46092</v>
      </c>
      <c r="BI36" s="366">
        <f t="shared" si="21"/>
        <v>46092</v>
      </c>
      <c r="BJ36" s="366">
        <f t="shared" si="21"/>
        <v>45673</v>
      </c>
      <c r="BK36" s="366">
        <f t="shared" si="21"/>
        <v>45666</v>
      </c>
      <c r="BL36" s="366" t="e">
        <f t="shared" si="21"/>
        <v>#REF!</v>
      </c>
      <c r="BM36" s="366">
        <f t="shared" si="21"/>
        <v>46092</v>
      </c>
      <c r="BN36" s="366">
        <f t="shared" si="21"/>
        <v>45645</v>
      </c>
      <c r="BO36" s="366">
        <f t="shared" si="21"/>
        <v>46092</v>
      </c>
      <c r="BP36" s="366">
        <f t="shared" si="21"/>
        <v>46092</v>
      </c>
      <c r="BQ36" s="366">
        <f t="shared" si="21"/>
        <v>45625</v>
      </c>
      <c r="BR36" s="366">
        <f t="shared" si="21"/>
        <v>46092</v>
      </c>
      <c r="BS36" s="366">
        <f t="shared" si="21"/>
        <v>46092</v>
      </c>
      <c r="BT36" s="366">
        <f t="shared" si="21"/>
        <v>46092</v>
      </c>
      <c r="BU36" s="366">
        <f t="shared" si="21"/>
        <v>45595</v>
      </c>
      <c r="BV36" s="366">
        <f t="shared" si="21"/>
        <v>46092</v>
      </c>
      <c r="BW36" s="366">
        <f t="shared" si="21"/>
        <v>45582</v>
      </c>
      <c r="BX36" s="366">
        <f t="shared" si="21"/>
        <v>45575</v>
      </c>
      <c r="BY36" s="366">
        <f t="shared" si="21"/>
        <v>45568</v>
      </c>
      <c r="BZ36" s="366">
        <f t="shared" si="21"/>
        <v>45561</v>
      </c>
      <c r="CA36" s="366" t="str">
        <f t="shared" si="21"/>
        <v>当日增幅</v>
      </c>
      <c r="CB36" s="367" t="s">
        <v>223</v>
      </c>
    </row>
    <row r="37" spans="2:80">
      <c r="B37" s="267" t="s">
        <v>16</v>
      </c>
      <c r="C37" s="111" t="s">
        <v>300</v>
      </c>
      <c r="D37" s="235">
        <v>1.7999999999999999E-2</v>
      </c>
      <c r="E37" s="235">
        <v>1.7999999999999999E-2</v>
      </c>
      <c r="F37" s="235">
        <v>1.7999999999999999E-2</v>
      </c>
      <c r="G37" s="235">
        <v>1.7999999999999999E-2</v>
      </c>
      <c r="H37" s="235">
        <v>1.7999999999999999E-2</v>
      </c>
      <c r="I37" s="235">
        <v>1.7999999999999999E-2</v>
      </c>
      <c r="J37" s="235">
        <v>1.7999999999999999E-2</v>
      </c>
      <c r="K37" s="235">
        <v>1.7999999999999999E-2</v>
      </c>
      <c r="L37" s="235">
        <v>1.7999999999999999E-2</v>
      </c>
      <c r="M37" s="235">
        <v>1.7999999999999999E-2</v>
      </c>
      <c r="N37" s="235">
        <v>1.7999999999999999E-2</v>
      </c>
      <c r="O37" s="235">
        <v>1.7999999999999999E-2</v>
      </c>
      <c r="P37" s="235">
        <v>1.7999999999999999E-2</v>
      </c>
      <c r="Q37" s="235">
        <v>1.7999999999999999E-2</v>
      </c>
      <c r="R37" s="235">
        <v>1.7999999999999999E-2</v>
      </c>
      <c r="S37" s="235">
        <v>1.7999999999999999E-2</v>
      </c>
      <c r="T37" s="235">
        <v>1.7999999999999999E-2</v>
      </c>
      <c r="U37" s="235">
        <v>1.7999999999999999E-2</v>
      </c>
      <c r="V37" s="235">
        <v>1.7999999999999999E-2</v>
      </c>
      <c r="W37" s="235">
        <v>1.7999999999999999E-2</v>
      </c>
      <c r="X37" s="235">
        <v>1.7999999999999999E-2</v>
      </c>
      <c r="Y37" s="235">
        <v>1.7999999999999999E-2</v>
      </c>
      <c r="Z37" s="235">
        <v>1.7999999999999999E-2</v>
      </c>
      <c r="AA37" s="235">
        <v>1.7999999999999999E-2</v>
      </c>
      <c r="AB37" s="235">
        <v>1.7999999999999999E-2</v>
      </c>
      <c r="AC37" s="235">
        <v>1.7999999999999999E-2</v>
      </c>
      <c r="AD37" s="235">
        <v>1.7999999999999999E-2</v>
      </c>
      <c r="AE37" s="235">
        <v>1.7999999999999999E-2</v>
      </c>
      <c r="AF37" s="360">
        <v>1.7999999999999999E-2</v>
      </c>
      <c r="AG37" s="360">
        <v>1.7999999999999999E-2</v>
      </c>
      <c r="AH37" s="360">
        <v>1.7999999999999999E-2</v>
      </c>
      <c r="AI37" s="360">
        <v>1.7999999999999999E-2</v>
      </c>
      <c r="AJ37" s="279">
        <v>1.7999999999999999E-2</v>
      </c>
      <c r="AK37" s="360">
        <v>1.8499999999999999E-2</v>
      </c>
      <c r="AL37" s="279">
        <v>1.8499999999999999E-2</v>
      </c>
      <c r="AM37" s="279">
        <v>1.8499999999999999E-2</v>
      </c>
      <c r="AN37" s="311">
        <v>1.9E-2</v>
      </c>
      <c r="AO37" s="359">
        <v>1.95E-2</v>
      </c>
      <c r="AP37" s="359">
        <v>1.95E-2</v>
      </c>
      <c r="AQ37" s="311">
        <v>1.95E-2</v>
      </c>
      <c r="AR37" s="253">
        <v>0.02</v>
      </c>
      <c r="AS37" s="253">
        <v>0.02</v>
      </c>
      <c r="AT37" s="253">
        <v>0.02</v>
      </c>
      <c r="AU37" s="311">
        <v>0.02</v>
      </c>
      <c r="AV37" s="253">
        <v>2.1999999999999999E-2</v>
      </c>
      <c r="AW37" s="253">
        <v>2.1999999999999999E-2</v>
      </c>
      <c r="AX37" s="253">
        <v>2.1999999999999999E-2</v>
      </c>
      <c r="AY37" s="253">
        <v>2.1999999999999999E-2</v>
      </c>
      <c r="AZ37" s="253">
        <v>2.1999999999999999E-2</v>
      </c>
      <c r="BA37" s="253">
        <v>2.4E-2</v>
      </c>
      <c r="BB37" s="253">
        <v>2.4E-2</v>
      </c>
      <c r="BC37" s="253">
        <v>2.5000000000000001E-2</v>
      </c>
      <c r="BD37" s="253">
        <v>2.5000000000000001E-2</v>
      </c>
      <c r="BE37" s="253">
        <v>2.5000000000000001E-2</v>
      </c>
      <c r="BF37" s="366"/>
      <c r="BG37" s="366"/>
      <c r="BH37" s="366"/>
      <c r="BI37" s="366"/>
      <c r="BJ37" s="366"/>
      <c r="BK37" s="366"/>
      <c r="BL37" s="366"/>
      <c r="BM37" s="366"/>
      <c r="BN37" s="366"/>
      <c r="BO37" s="366"/>
      <c r="BP37" s="366"/>
      <c r="BQ37" s="366"/>
      <c r="BR37" s="366"/>
      <c r="BS37" s="366"/>
      <c r="BT37" s="66"/>
      <c r="BU37" s="66"/>
      <c r="BV37" s="66"/>
      <c r="BW37" s="66"/>
      <c r="BX37" s="66"/>
      <c r="BY37" s="66"/>
      <c r="BZ37" s="66"/>
      <c r="CA37" s="41">
        <f>$D37-$E37</f>
        <v>0</v>
      </c>
      <c r="CB37" s="381"/>
    </row>
    <row r="38" spans="2:80">
      <c r="B38" s="194" t="s">
        <v>20</v>
      </c>
      <c r="C38" s="308" t="s">
        <v>253</v>
      </c>
      <c r="D38" s="235"/>
      <c r="E38" s="235"/>
      <c r="F38" s="235">
        <v>1.9300000000000001E-2</v>
      </c>
      <c r="G38" s="235">
        <v>1.9300000000000001E-2</v>
      </c>
      <c r="H38" s="235">
        <v>1.9300000000000001E-2</v>
      </c>
      <c r="I38" s="235">
        <v>1.9300000000000001E-2</v>
      </c>
      <c r="J38" s="235">
        <v>1.9300000000000001E-2</v>
      </c>
      <c r="K38" s="235">
        <v>1.9300000000000001E-2</v>
      </c>
      <c r="L38" s="279">
        <v>1.9300000000000001E-2</v>
      </c>
      <c r="M38" s="279">
        <v>1.9800000000000002E-2</v>
      </c>
      <c r="N38" s="235">
        <v>2.0299999999999999E-2</v>
      </c>
      <c r="O38" s="279">
        <v>2.0299999999999999E-2</v>
      </c>
      <c r="P38" s="279">
        <v>1.9800000000000002E-2</v>
      </c>
      <c r="Q38" s="235">
        <v>1.9300000000000001E-2</v>
      </c>
      <c r="R38" s="235">
        <v>1.9300000000000001E-2</v>
      </c>
      <c r="S38" s="279">
        <v>1.9300000000000001E-2</v>
      </c>
      <c r="T38" s="279">
        <v>1.83E-2</v>
      </c>
      <c r="U38" s="279">
        <v>1.8800000000000001E-2</v>
      </c>
      <c r="V38" s="279">
        <v>1.83E-2</v>
      </c>
      <c r="W38" s="235">
        <v>1.9300000000000001E-2</v>
      </c>
      <c r="X38" s="235">
        <v>1.9300000000000001E-2</v>
      </c>
      <c r="Y38" s="235">
        <v>1.9300000000000001E-2</v>
      </c>
      <c r="Z38" s="279">
        <v>1.9300000000000001E-2</v>
      </c>
      <c r="AA38" s="235">
        <v>1.8800000000000001E-2</v>
      </c>
      <c r="AB38" s="279">
        <v>1.8800000000000001E-2</v>
      </c>
      <c r="AC38" s="279">
        <v>1.83E-2</v>
      </c>
      <c r="AD38" s="279">
        <v>1.9300000000000001E-2</v>
      </c>
      <c r="AE38" s="235">
        <v>1.83E-2</v>
      </c>
      <c r="AF38" s="360">
        <v>1.83E-2</v>
      </c>
      <c r="AG38" s="360">
        <v>1.83E-2</v>
      </c>
      <c r="AH38" s="360">
        <v>1.83E-2</v>
      </c>
      <c r="AI38" s="360">
        <v>1.83E-2</v>
      </c>
      <c r="AJ38" s="279">
        <v>1.83E-2</v>
      </c>
      <c r="AK38" s="360">
        <v>1.9300000000000001E-2</v>
      </c>
      <c r="AL38" s="360">
        <v>1.9300000000000001E-2</v>
      </c>
      <c r="AM38" s="360">
        <v>1.9300000000000001E-2</v>
      </c>
      <c r="AN38" s="364">
        <v>1.9300000000000001E-2</v>
      </c>
      <c r="AO38" s="363">
        <v>1.9800000000000002E-2</v>
      </c>
      <c r="AP38" s="364">
        <v>1.9800000000000002E-2</v>
      </c>
      <c r="AQ38" s="384">
        <v>1.9099999999999999E-2</v>
      </c>
      <c r="AR38" s="253"/>
      <c r="AS38" s="253"/>
      <c r="AT38" s="253"/>
      <c r="AU38" s="253"/>
      <c r="AV38" s="311"/>
      <c r="AW38" s="253"/>
      <c r="AX38" s="253"/>
      <c r="AY38" s="253"/>
      <c r="AZ38" s="253"/>
      <c r="BA38" s="253"/>
      <c r="BB38" s="253"/>
      <c r="BC38" s="253"/>
      <c r="BD38" s="253"/>
      <c r="BE38" s="253"/>
      <c r="BF38" s="253"/>
      <c r="BG38" s="311"/>
      <c r="BH38" s="253"/>
      <c r="BI38" s="253"/>
      <c r="BJ38" s="253"/>
      <c r="BK38" s="253"/>
      <c r="BL38" s="253"/>
      <c r="BM38" s="253"/>
      <c r="BN38" s="253"/>
      <c r="BO38" s="253"/>
      <c r="BP38" s="253"/>
      <c r="BQ38" s="253"/>
      <c r="BR38" s="253"/>
      <c r="BS38" s="253"/>
      <c r="BT38" s="311"/>
      <c r="BU38" s="311"/>
      <c r="BV38" s="311"/>
      <c r="BW38" s="311"/>
      <c r="BX38" s="311"/>
      <c r="BY38" s="311"/>
      <c r="BZ38" s="311"/>
      <c r="CA38" s="41">
        <f>$D38-$E38</f>
        <v>0</v>
      </c>
      <c r="CB38" s="351" t="s">
        <v>511</v>
      </c>
    </row>
    <row r="39" spans="2:80">
      <c r="B39" s="194" t="s">
        <v>12</v>
      </c>
      <c r="C39" s="358" t="s">
        <v>293</v>
      </c>
      <c r="D39" s="235">
        <v>1.6500000000000001E-2</v>
      </c>
      <c r="E39" s="235">
        <v>1.6500000000000001E-2</v>
      </c>
      <c r="F39" s="235">
        <v>1.6500000000000001E-2</v>
      </c>
      <c r="G39" s="235">
        <v>1.6500000000000001E-2</v>
      </c>
      <c r="H39" s="235">
        <v>1.6500000000000001E-2</v>
      </c>
      <c r="I39" s="235">
        <v>1.6500000000000001E-2</v>
      </c>
      <c r="J39" s="235">
        <v>1.6500000000000001E-2</v>
      </c>
      <c r="K39" s="235">
        <v>1.6500000000000001E-2</v>
      </c>
      <c r="L39" s="235">
        <v>1.6500000000000001E-2</v>
      </c>
      <c r="M39" s="235">
        <v>1.6500000000000001E-2</v>
      </c>
      <c r="N39" s="235">
        <v>1.6500000000000001E-2</v>
      </c>
      <c r="O39" s="235">
        <v>1.6500000000000001E-2</v>
      </c>
      <c r="P39" s="279">
        <v>1.6500000000000001E-2</v>
      </c>
      <c r="Q39" s="235">
        <v>1.6E-2</v>
      </c>
      <c r="R39" s="235">
        <v>1.6E-2</v>
      </c>
      <c r="S39" s="279">
        <v>1.6E-2</v>
      </c>
      <c r="T39" s="235">
        <v>1.47E-2</v>
      </c>
      <c r="U39" s="279">
        <v>1.47E-2</v>
      </c>
      <c r="V39" s="235">
        <v>1.55E-2</v>
      </c>
      <c r="W39" s="235">
        <v>1.55E-2</v>
      </c>
      <c r="X39" s="235">
        <v>1.55E-2</v>
      </c>
      <c r="Y39" s="235">
        <v>1.55E-2</v>
      </c>
      <c r="Z39" s="235">
        <v>1.55E-2</v>
      </c>
      <c r="AA39" s="235">
        <v>1.55E-2</v>
      </c>
      <c r="AB39" s="235">
        <v>1.55E-2</v>
      </c>
      <c r="AC39" s="235">
        <v>1.55E-2</v>
      </c>
      <c r="AD39" s="235">
        <v>1.55E-2</v>
      </c>
      <c r="AE39" s="235">
        <v>1.55E-2</v>
      </c>
      <c r="AF39" s="360">
        <v>1.55E-2</v>
      </c>
      <c r="AG39" s="360">
        <v>1.55E-2</v>
      </c>
      <c r="AH39" s="360">
        <v>1.55E-2</v>
      </c>
      <c r="AI39" s="360">
        <v>1.55E-2</v>
      </c>
      <c r="AJ39" s="235">
        <v>1.55E-2</v>
      </c>
      <c r="AK39" s="360">
        <v>1.55E-2</v>
      </c>
      <c r="AL39" s="235">
        <v>1.55E-2</v>
      </c>
      <c r="AM39" s="235">
        <v>1.55E-2</v>
      </c>
      <c r="AN39" s="359">
        <v>1.55E-2</v>
      </c>
      <c r="AO39" s="359">
        <v>1.55E-2</v>
      </c>
      <c r="AP39" s="359">
        <v>1.55E-2</v>
      </c>
      <c r="AQ39" s="311">
        <v>1.55E-2</v>
      </c>
      <c r="AR39" s="311">
        <v>1.6500000000000001E-2</v>
      </c>
      <c r="AS39" s="253">
        <v>1.7500000000000002E-2</v>
      </c>
      <c r="AT39" s="311">
        <v>1.7500000000000002E-2</v>
      </c>
      <c r="AU39" s="253">
        <v>1.6199999999999999E-2</v>
      </c>
      <c r="AV39" s="311">
        <v>1.6199999999999999E-2</v>
      </c>
      <c r="AW39" s="253">
        <v>1.8499999999999999E-2</v>
      </c>
      <c r="AX39" s="253">
        <v>1.8499999999999999E-2</v>
      </c>
      <c r="AY39" s="253"/>
      <c r="AZ39" s="253"/>
      <c r="BA39" s="253"/>
      <c r="BB39" s="253"/>
      <c r="BC39" s="253"/>
      <c r="BD39" s="253"/>
      <c r="BE39" s="253"/>
      <c r="BF39" s="253"/>
      <c r="BG39" s="253"/>
      <c r="BH39" s="253"/>
      <c r="BI39" s="253"/>
      <c r="BJ39" s="253"/>
      <c r="BK39" s="253"/>
      <c r="BL39" s="253"/>
      <c r="BM39" s="253"/>
      <c r="BN39" s="253"/>
      <c r="BO39" s="253"/>
      <c r="BP39" s="253"/>
      <c r="BQ39" s="253"/>
      <c r="BR39" s="253"/>
      <c r="BS39" s="253"/>
      <c r="BT39" s="253"/>
      <c r="BU39" s="253"/>
      <c r="BV39" s="253"/>
      <c r="BW39" s="253"/>
      <c r="BX39" s="253"/>
      <c r="BY39" s="253"/>
      <c r="BZ39" s="253"/>
      <c r="CA39" s="584">
        <f>$D39-$E39</f>
        <v>0</v>
      </c>
      <c r="CB39" s="109"/>
    </row>
    <row r="40" spans="2:80">
      <c r="C40" s="14"/>
      <c r="D40" s="14"/>
      <c r="E40" s="14"/>
      <c r="F40" s="14"/>
      <c r="G40" s="14"/>
      <c r="H40" s="14"/>
      <c r="I40" s="14"/>
      <c r="J40" s="14"/>
      <c r="K40" s="14"/>
      <c r="L40" s="14"/>
      <c r="M40" s="14"/>
      <c r="N40" s="14"/>
      <c r="O40" s="14"/>
      <c r="P40" s="14"/>
      <c r="Q40" s="14"/>
      <c r="R40" s="14"/>
      <c r="S40" s="14"/>
      <c r="T40" s="14"/>
      <c r="U40" s="14"/>
      <c r="AG40" s="14"/>
      <c r="AH40" s="14"/>
      <c r="AI40" s="14"/>
      <c r="AK40" s="14"/>
      <c r="AL40" s="14"/>
      <c r="AM40" s="14"/>
      <c r="AN40" s="14"/>
      <c r="AO40" s="14"/>
      <c r="AP40" s="14"/>
      <c r="AQ40" s="14"/>
      <c r="AR40" s="14"/>
      <c r="AS40" s="14"/>
      <c r="AT40" s="14"/>
      <c r="AU40" s="14"/>
      <c r="AV40" s="14"/>
      <c r="AW40" s="14"/>
      <c r="AX40" s="14"/>
      <c r="AY40" s="14"/>
      <c r="AZ40" s="14"/>
      <c r="BA40" s="14"/>
      <c r="BB40" s="14"/>
      <c r="BC40" s="14"/>
      <c r="BD40" s="14"/>
      <c r="BE40" s="14"/>
      <c r="BF40" s="14"/>
      <c r="BG40" s="14"/>
      <c r="BH40" s="14"/>
      <c r="BI40" s="14"/>
      <c r="BJ40" s="14"/>
      <c r="BK40" s="14"/>
      <c r="BL40" s="14"/>
      <c r="BM40" s="14"/>
      <c r="BN40" s="14"/>
      <c r="BO40" s="14"/>
      <c r="BP40" s="14"/>
      <c r="BQ40" s="14"/>
      <c r="BR40" s="14"/>
      <c r="BS40" s="14"/>
      <c r="BT40" s="14"/>
      <c r="BU40" s="14"/>
      <c r="BV40" s="14"/>
      <c r="BW40" s="14"/>
      <c r="BX40" s="14"/>
      <c r="BY40" s="14"/>
      <c r="BZ40" s="14"/>
      <c r="CA40" s="585"/>
      <c r="CB40" s="114"/>
    </row>
    <row r="41" spans="2:80">
      <c r="B41" s="1080" t="s">
        <v>210</v>
      </c>
      <c r="C41" s="1080"/>
      <c r="D41" s="1080"/>
      <c r="E41" s="1080"/>
      <c r="F41" s="1080"/>
      <c r="G41" s="1080"/>
      <c r="H41" s="1080"/>
      <c r="I41" s="1080"/>
      <c r="J41" s="1080"/>
      <c r="K41" s="1080"/>
      <c r="L41" s="1080"/>
      <c r="M41" s="1080"/>
      <c r="N41" s="1080"/>
      <c r="O41" s="1080"/>
      <c r="P41" s="1080"/>
      <c r="Q41" s="1080"/>
      <c r="R41" s="1080"/>
      <c r="S41" s="1080"/>
      <c r="T41" s="1080"/>
      <c r="U41" s="1080"/>
      <c r="V41" s="1080"/>
      <c r="W41" s="1080"/>
      <c r="X41" s="1080"/>
      <c r="Y41" s="1080"/>
      <c r="Z41" s="1080"/>
      <c r="AA41" s="1080"/>
      <c r="AB41" s="1080"/>
      <c r="AC41" s="1080"/>
      <c r="AD41" s="1080"/>
      <c r="AE41" s="1080"/>
      <c r="AF41" s="1080"/>
      <c r="AG41" s="1080"/>
      <c r="AH41" s="1080"/>
      <c r="AI41" s="1080"/>
      <c r="AJ41" s="1080"/>
      <c r="AK41" s="1080"/>
      <c r="AL41" s="1080"/>
      <c r="AM41" s="1080"/>
      <c r="AN41" s="1080"/>
      <c r="AO41" s="1080"/>
      <c r="AP41" s="1080"/>
      <c r="AQ41" s="1080"/>
      <c r="AR41" s="1080"/>
      <c r="AS41" s="1080"/>
      <c r="AT41" s="1080"/>
      <c r="AU41" s="1080"/>
      <c r="AV41" s="1080"/>
      <c r="AW41" s="1080"/>
      <c r="AX41" s="1080"/>
      <c r="AY41" s="1080"/>
      <c r="AZ41" s="1080"/>
      <c r="BA41" s="1080"/>
      <c r="BB41" s="1080"/>
      <c r="BC41" s="1080"/>
      <c r="BD41" s="1080"/>
      <c r="BE41" s="1080"/>
      <c r="BF41" s="1080"/>
      <c r="BG41" s="1080"/>
      <c r="BH41" s="1080"/>
      <c r="BI41" s="1080"/>
      <c r="BJ41" s="1080"/>
      <c r="BK41" s="1080"/>
      <c r="BL41" s="1080"/>
      <c r="BM41" s="1080"/>
      <c r="BN41" s="1080"/>
      <c r="BO41" s="1080"/>
      <c r="BP41" s="1080"/>
      <c r="BQ41" s="1080"/>
      <c r="BR41" s="1080"/>
      <c r="BS41" s="1080"/>
      <c r="BT41" s="1080"/>
      <c r="BU41" s="1080"/>
      <c r="BV41" s="1080"/>
      <c r="BW41" s="1080"/>
      <c r="BX41" s="1080"/>
      <c r="BY41" s="1080"/>
      <c r="BZ41" s="1080"/>
      <c r="CA41" s="1085"/>
      <c r="CB41" s="1080"/>
    </row>
    <row r="42" spans="2:80">
      <c r="B42" s="756" t="s">
        <v>121</v>
      </c>
      <c r="C42" s="756" t="s">
        <v>120</v>
      </c>
      <c r="D42" s="366">
        <f t="shared" ref="D42:F42" si="22">D4</f>
        <v>46099</v>
      </c>
      <c r="E42" s="366">
        <f t="shared" ref="E42" si="23">E4</f>
        <v>46092</v>
      </c>
      <c r="F42" s="366">
        <f t="shared" si="22"/>
        <v>46085</v>
      </c>
      <c r="G42" s="366">
        <f t="shared" ref="G42:W42" si="24">G4</f>
        <v>46078</v>
      </c>
      <c r="H42" s="366">
        <f t="shared" si="24"/>
        <v>46071</v>
      </c>
      <c r="I42" s="366">
        <f t="shared" si="24"/>
        <v>46057</v>
      </c>
      <c r="J42" s="366">
        <f t="shared" si="24"/>
        <v>46050</v>
      </c>
      <c r="K42" s="366">
        <f t="shared" si="24"/>
        <v>46043</v>
      </c>
      <c r="L42" s="366">
        <f t="shared" si="24"/>
        <v>46036</v>
      </c>
      <c r="M42" s="366">
        <f t="shared" si="24"/>
        <v>46029</v>
      </c>
      <c r="N42" s="366">
        <f t="shared" si="24"/>
        <v>46022</v>
      </c>
      <c r="O42" s="366">
        <f t="shared" si="24"/>
        <v>46015</v>
      </c>
      <c r="P42" s="366">
        <f t="shared" si="24"/>
        <v>46008</v>
      </c>
      <c r="Q42" s="366">
        <f t="shared" si="24"/>
        <v>46001</v>
      </c>
      <c r="R42" s="366">
        <f t="shared" si="24"/>
        <v>45994</v>
      </c>
      <c r="S42" s="366">
        <f t="shared" si="24"/>
        <v>45987</v>
      </c>
      <c r="T42" s="366">
        <f t="shared" si="24"/>
        <v>45980</v>
      </c>
      <c r="U42" s="366">
        <f t="shared" si="24"/>
        <v>45973</v>
      </c>
      <c r="V42" s="366">
        <f t="shared" si="24"/>
        <v>45966</v>
      </c>
      <c r="W42" s="366">
        <f t="shared" si="24"/>
        <v>45959</v>
      </c>
      <c r="X42" s="366">
        <v>45952</v>
      </c>
      <c r="Y42" s="366">
        <f t="shared" ref="Y42:AF42" si="25">Y4</f>
        <v>45945</v>
      </c>
      <c r="Z42" s="366">
        <f t="shared" si="25"/>
        <v>45938</v>
      </c>
      <c r="AA42" s="366">
        <f t="shared" si="25"/>
        <v>45931</v>
      </c>
      <c r="AB42" s="366">
        <f t="shared" si="25"/>
        <v>45924</v>
      </c>
      <c r="AC42" s="366">
        <f t="shared" si="25"/>
        <v>45917</v>
      </c>
      <c r="AD42" s="366">
        <f t="shared" si="25"/>
        <v>45910</v>
      </c>
      <c r="AE42" s="366">
        <f t="shared" si="25"/>
        <v>45903</v>
      </c>
      <c r="AF42" s="344">
        <f t="shared" si="25"/>
        <v>45896</v>
      </c>
      <c r="AG42" s="344">
        <v>45889</v>
      </c>
      <c r="AH42" s="344">
        <v>45882</v>
      </c>
      <c r="AI42" s="344">
        <v>45875</v>
      </c>
      <c r="AJ42" s="366">
        <v>45868</v>
      </c>
      <c r="AK42" s="344">
        <v>45861</v>
      </c>
      <c r="AL42" s="344">
        <f>AL4</f>
        <v>45854</v>
      </c>
      <c r="AM42" s="344">
        <f>AM4</f>
        <v>45847</v>
      </c>
      <c r="AN42" s="344">
        <v>45847</v>
      </c>
      <c r="AO42" s="344">
        <v>45840</v>
      </c>
      <c r="AP42" s="344">
        <f t="shared" ref="AP42:AU42" si="26">AP4</f>
        <v>45833</v>
      </c>
      <c r="AQ42" s="366">
        <f t="shared" si="26"/>
        <v>45826</v>
      </c>
      <c r="AR42" s="366">
        <f t="shared" si="26"/>
        <v>45819</v>
      </c>
      <c r="AS42" s="366">
        <f t="shared" si="26"/>
        <v>45812</v>
      </c>
      <c r="AT42" s="366">
        <f t="shared" si="26"/>
        <v>45805</v>
      </c>
      <c r="AU42" s="366">
        <f t="shared" si="26"/>
        <v>45798</v>
      </c>
      <c r="AV42" s="366">
        <f t="shared" ref="AV42:BK42" si="27">AV29</f>
        <v>46099</v>
      </c>
      <c r="AW42" s="366">
        <f t="shared" si="27"/>
        <v>45785</v>
      </c>
      <c r="AX42" s="366">
        <f t="shared" si="27"/>
        <v>45777</v>
      </c>
      <c r="AY42" s="366">
        <f t="shared" si="27"/>
        <v>45763</v>
      </c>
      <c r="AZ42" s="366">
        <f t="shared" si="27"/>
        <v>45757</v>
      </c>
      <c r="BA42" s="366">
        <f t="shared" si="27"/>
        <v>45742</v>
      </c>
      <c r="BB42" s="366">
        <f t="shared" si="27"/>
        <v>46092</v>
      </c>
      <c r="BC42" s="366">
        <f t="shared" si="27"/>
        <v>45722</v>
      </c>
      <c r="BD42" s="366">
        <f t="shared" si="27"/>
        <v>46092</v>
      </c>
      <c r="BE42" s="366">
        <f t="shared" si="27"/>
        <v>46092</v>
      </c>
      <c r="BF42" s="366">
        <f t="shared" si="27"/>
        <v>45701</v>
      </c>
      <c r="BG42" s="366">
        <f t="shared" si="27"/>
        <v>46092</v>
      </c>
      <c r="BH42" s="366">
        <f t="shared" si="27"/>
        <v>46092</v>
      </c>
      <c r="BI42" s="366">
        <f t="shared" si="27"/>
        <v>46092</v>
      </c>
      <c r="BJ42" s="366">
        <f t="shared" si="27"/>
        <v>45673</v>
      </c>
      <c r="BK42" s="366">
        <f t="shared" si="27"/>
        <v>45666</v>
      </c>
      <c r="BL42" s="366" t="e">
        <f>#REF!</f>
        <v>#REF!</v>
      </c>
      <c r="BM42" s="366">
        <f>'最高报价汇总 '!G2</f>
        <v>46092</v>
      </c>
      <c r="BN42" s="366">
        <f>BN29</f>
        <v>45645</v>
      </c>
      <c r="BO42" s="366">
        <f>'最高报价汇总 '!G2</f>
        <v>46092</v>
      </c>
      <c r="BP42" s="366">
        <f>'最高报价汇总 '!G2</f>
        <v>46092</v>
      </c>
      <c r="BQ42" s="366">
        <f>BQ29</f>
        <v>45625</v>
      </c>
      <c r="BR42" s="366">
        <f>'最高报价汇总 '!G2</f>
        <v>46092</v>
      </c>
      <c r="BS42" s="366">
        <f>'最高报价汇总 '!G2</f>
        <v>46092</v>
      </c>
      <c r="BT42" s="66">
        <f>'最高报价汇总 '!G2</f>
        <v>46092</v>
      </c>
      <c r="BU42" s="66">
        <f>BU4</f>
        <v>45595</v>
      </c>
      <c r="BV42" s="66">
        <f>'最高报价汇总 '!G2</f>
        <v>46092</v>
      </c>
      <c r="BW42" s="66">
        <f>BW4</f>
        <v>45582</v>
      </c>
      <c r="BX42" s="66">
        <f>BX4</f>
        <v>45575</v>
      </c>
      <c r="BY42" s="66">
        <f>BY4</f>
        <v>45568</v>
      </c>
      <c r="BZ42" s="66">
        <f>BZ4</f>
        <v>45561</v>
      </c>
      <c r="CA42" s="366" t="str">
        <f>CA29</f>
        <v>当日增幅</v>
      </c>
      <c r="CB42" s="367" t="s">
        <v>223</v>
      </c>
    </row>
    <row r="43" spans="2:80">
      <c r="B43" s="267" t="s">
        <v>16</v>
      </c>
      <c r="C43" s="111" t="s">
        <v>300</v>
      </c>
      <c r="D43" s="235">
        <v>1.8499999999999999E-2</v>
      </c>
      <c r="E43" s="235">
        <v>1.8499999999999999E-2</v>
      </c>
      <c r="F43" s="235">
        <v>1.8499999999999999E-2</v>
      </c>
      <c r="G43" s="235">
        <v>1.8499999999999999E-2</v>
      </c>
      <c r="H43" s="235">
        <v>1.8499999999999999E-2</v>
      </c>
      <c r="I43" s="235">
        <v>1.8499999999999999E-2</v>
      </c>
      <c r="J43" s="235">
        <v>1.8499999999999999E-2</v>
      </c>
      <c r="K43" s="235">
        <v>1.8499999999999999E-2</v>
      </c>
      <c r="L43" s="235">
        <v>1.8499999999999999E-2</v>
      </c>
      <c r="M43" s="235">
        <v>1.8499999999999999E-2</v>
      </c>
      <c r="N43" s="235">
        <v>1.8499999999999999E-2</v>
      </c>
      <c r="O43" s="235">
        <v>1.8499999999999999E-2</v>
      </c>
      <c r="P43" s="235">
        <v>1.8499999999999999E-2</v>
      </c>
      <c r="Q43" s="235">
        <v>1.8499999999999999E-2</v>
      </c>
      <c r="R43" s="235">
        <v>1.8499999999999999E-2</v>
      </c>
      <c r="S43" s="235">
        <v>1.8499999999999999E-2</v>
      </c>
      <c r="T43" s="235">
        <v>1.8499999999999999E-2</v>
      </c>
      <c r="U43" s="235">
        <v>1.8499999999999999E-2</v>
      </c>
      <c r="V43" s="235">
        <v>1.8499999999999999E-2</v>
      </c>
      <c r="W43" s="235">
        <v>1.8499999999999999E-2</v>
      </c>
      <c r="X43" s="235">
        <v>1.8499999999999999E-2</v>
      </c>
      <c r="Y43" s="235">
        <v>1.8499999999999999E-2</v>
      </c>
      <c r="Z43" s="235">
        <v>1.8499999999999999E-2</v>
      </c>
      <c r="AA43" s="235">
        <v>1.8499999999999999E-2</v>
      </c>
      <c r="AB43" s="235">
        <v>1.8499999999999999E-2</v>
      </c>
      <c r="AC43" s="235">
        <v>1.8499999999999999E-2</v>
      </c>
      <c r="AD43" s="235">
        <v>1.8499999999999999E-2</v>
      </c>
      <c r="AE43" s="235">
        <v>1.8499999999999999E-2</v>
      </c>
      <c r="AF43" s="360">
        <v>1.8499999999999999E-2</v>
      </c>
      <c r="AG43" s="360">
        <v>1.8499999999999999E-2</v>
      </c>
      <c r="AH43" s="360">
        <v>1.8499999999999999E-2</v>
      </c>
      <c r="AI43" s="360">
        <v>1.8499999999999999E-2</v>
      </c>
      <c r="AJ43" s="279">
        <v>1.8499999999999999E-2</v>
      </c>
      <c r="AK43" s="360">
        <v>1.8800000000000001E-2</v>
      </c>
      <c r="AL43" s="279">
        <v>1.8800000000000001E-2</v>
      </c>
      <c r="AM43" s="279">
        <v>1.8800000000000001E-2</v>
      </c>
      <c r="AN43" s="311">
        <v>1.95E-2</v>
      </c>
      <c r="AO43" s="359">
        <v>0.02</v>
      </c>
      <c r="AP43" s="359">
        <v>0.02</v>
      </c>
      <c r="AQ43" s="253">
        <v>0.02</v>
      </c>
      <c r="AR43" s="253">
        <v>0.02</v>
      </c>
      <c r="AS43" s="253">
        <v>0.02</v>
      </c>
      <c r="AT43" s="253">
        <v>0.02</v>
      </c>
      <c r="AU43" s="311">
        <v>0.02</v>
      </c>
      <c r="AV43" s="253">
        <v>2.1000000000000001E-2</v>
      </c>
      <c r="AW43" s="253">
        <v>2.1000000000000001E-2</v>
      </c>
      <c r="AX43" s="253">
        <v>2.1000000000000001E-2</v>
      </c>
      <c r="AY43" s="253">
        <v>2.1000000000000001E-2</v>
      </c>
      <c r="AZ43" s="253">
        <v>2.1000000000000001E-2</v>
      </c>
      <c r="BA43" s="253">
        <v>2.3E-2</v>
      </c>
      <c r="BB43" s="253">
        <v>2.3E-2</v>
      </c>
      <c r="BC43" s="253">
        <v>2.3E-2</v>
      </c>
      <c r="BD43" s="253">
        <v>2.5000000000000001E-2</v>
      </c>
      <c r="BE43" s="253">
        <v>2.5000000000000001E-2</v>
      </c>
      <c r="BF43" s="366"/>
      <c r="BG43" s="366"/>
      <c r="BH43" s="366"/>
      <c r="BI43" s="366"/>
      <c r="BJ43" s="366"/>
      <c r="BK43" s="366"/>
      <c r="BL43" s="366"/>
      <c r="BM43" s="366"/>
      <c r="BN43" s="366"/>
      <c r="BO43" s="366"/>
      <c r="BP43" s="366"/>
      <c r="BQ43" s="366"/>
      <c r="BR43" s="366"/>
      <c r="BS43" s="366"/>
      <c r="BT43" s="66"/>
      <c r="BU43" s="66"/>
      <c r="BV43" s="66"/>
      <c r="BW43" s="66"/>
      <c r="BX43" s="66"/>
      <c r="BY43" s="66"/>
      <c r="BZ43" s="66"/>
      <c r="CA43" s="41">
        <f>$D43-$E43</f>
        <v>0</v>
      </c>
      <c r="CB43" s="381"/>
    </row>
    <row r="44" spans="2:80">
      <c r="B44" s="194" t="s">
        <v>20</v>
      </c>
      <c r="C44" s="308" t="s">
        <v>253</v>
      </c>
      <c r="D44" s="235"/>
      <c r="E44" s="235"/>
      <c r="F44" s="235">
        <v>1.83E-2</v>
      </c>
      <c r="G44" s="235">
        <v>1.83E-2</v>
      </c>
      <c r="H44" s="235">
        <v>1.83E-2</v>
      </c>
      <c r="I44" s="235">
        <v>1.83E-2</v>
      </c>
      <c r="J44" s="279">
        <v>1.83E-2</v>
      </c>
      <c r="K44" s="279">
        <v>1.9300000000000001E-2</v>
      </c>
      <c r="L44" s="279">
        <v>1.8800000000000001E-2</v>
      </c>
      <c r="M44" s="279">
        <v>1.9800000000000002E-2</v>
      </c>
      <c r="N44" s="279">
        <v>2.1299999999999999E-2</v>
      </c>
      <c r="O44" s="279">
        <v>2.0299999999999999E-2</v>
      </c>
      <c r="P44" s="279">
        <v>2.0799999999999999E-2</v>
      </c>
      <c r="Q44" s="279">
        <v>1.9800000000000002E-2</v>
      </c>
      <c r="R44" s="235">
        <v>1.9300000000000001E-2</v>
      </c>
      <c r="S44" s="279">
        <v>1.9300000000000001E-2</v>
      </c>
      <c r="T44" s="279">
        <v>1.8800000000000001E-2</v>
      </c>
      <c r="U44" s="279">
        <v>1.9300000000000001E-2</v>
      </c>
      <c r="V44" s="279">
        <v>1.8800000000000001E-2</v>
      </c>
      <c r="W44" s="235">
        <v>1.9300000000000001E-2</v>
      </c>
      <c r="X44" s="235">
        <v>1.9300000000000001E-2</v>
      </c>
      <c r="Y44" s="235">
        <v>1.9300000000000001E-2</v>
      </c>
      <c r="Z44" s="235">
        <v>1.9300000000000001E-2</v>
      </c>
      <c r="AA44" s="279">
        <v>1.9300000000000001E-2</v>
      </c>
      <c r="AB44" s="235">
        <v>1.8800000000000001E-2</v>
      </c>
      <c r="AC44" s="235">
        <v>1.8800000000000001E-2</v>
      </c>
      <c r="AD44" s="235">
        <v>1.8800000000000001E-2</v>
      </c>
      <c r="AE44" s="279">
        <v>1.8800000000000001E-2</v>
      </c>
      <c r="AF44" s="360">
        <v>1.83E-2</v>
      </c>
      <c r="AG44" s="360">
        <v>1.83E-2</v>
      </c>
      <c r="AH44" s="360">
        <v>1.83E-2</v>
      </c>
      <c r="AI44" s="360">
        <v>1.83E-2</v>
      </c>
      <c r="AJ44" s="279">
        <v>1.83E-2</v>
      </c>
      <c r="AK44" s="360">
        <v>1.8800000000000001E-2</v>
      </c>
      <c r="AL44" s="360">
        <v>1.8800000000000001E-2</v>
      </c>
      <c r="AM44" s="360">
        <v>1.8800000000000001E-2</v>
      </c>
      <c r="AN44" s="364">
        <v>1.8800000000000001E-2</v>
      </c>
      <c r="AO44" s="364">
        <v>2.0299999999999999E-2</v>
      </c>
      <c r="AP44" s="363">
        <v>1.9300000000000001E-2</v>
      </c>
      <c r="AQ44" s="384">
        <v>1.9300000000000001E-2</v>
      </c>
      <c r="AR44" s="253"/>
      <c r="AS44" s="253"/>
      <c r="AT44" s="253"/>
      <c r="AU44" s="253"/>
      <c r="AV44" s="311"/>
      <c r="AW44" s="253"/>
      <c r="AX44" s="253"/>
      <c r="AY44" s="253"/>
      <c r="AZ44" s="253"/>
      <c r="BA44" s="253"/>
      <c r="BB44" s="253"/>
      <c r="BC44" s="253"/>
      <c r="BD44" s="253"/>
      <c r="BE44" s="253"/>
      <c r="BF44" s="253"/>
      <c r="BG44" s="311"/>
      <c r="BH44" s="253"/>
      <c r="BI44" s="253"/>
      <c r="BJ44" s="253"/>
      <c r="BK44" s="253"/>
      <c r="BL44" s="253"/>
      <c r="BM44" s="253"/>
      <c r="BN44" s="253"/>
      <c r="BO44" s="253"/>
      <c r="BP44" s="253"/>
      <c r="BQ44" s="253"/>
      <c r="BR44" s="253"/>
      <c r="BS44" s="253"/>
      <c r="BT44" s="311"/>
      <c r="BU44" s="311"/>
      <c r="BV44" s="311"/>
      <c r="BW44" s="311"/>
      <c r="BX44" s="311"/>
      <c r="BY44" s="311"/>
      <c r="BZ44" s="311"/>
      <c r="CA44" s="41">
        <f>$D44-$E44</f>
        <v>0</v>
      </c>
      <c r="CB44" s="351" t="s">
        <v>511</v>
      </c>
    </row>
    <row r="45" spans="2:80">
      <c r="B45" s="194" t="s">
        <v>12</v>
      </c>
      <c r="C45" s="358" t="s">
        <v>293</v>
      </c>
      <c r="D45" s="235">
        <v>1.7500000000000002E-2</v>
      </c>
      <c r="E45" s="235">
        <v>1.7500000000000002E-2</v>
      </c>
      <c r="F45" s="235">
        <v>1.7500000000000002E-2</v>
      </c>
      <c r="G45" s="235">
        <v>1.7500000000000002E-2</v>
      </c>
      <c r="H45" s="235">
        <v>1.7500000000000002E-2</v>
      </c>
      <c r="I45" s="235">
        <v>1.7500000000000002E-2</v>
      </c>
      <c r="J45" s="235">
        <v>1.7500000000000002E-2</v>
      </c>
      <c r="K45" s="235">
        <v>1.7500000000000002E-2</v>
      </c>
      <c r="L45" s="235">
        <v>1.7500000000000002E-2</v>
      </c>
      <c r="M45" s="235">
        <v>1.7500000000000002E-2</v>
      </c>
      <c r="N45" s="235">
        <v>1.7500000000000002E-2</v>
      </c>
      <c r="O45" s="235">
        <v>1.7500000000000002E-2</v>
      </c>
      <c r="P45" s="279">
        <v>1.7500000000000002E-2</v>
      </c>
      <c r="Q45" s="279">
        <v>1.6500000000000001E-2</v>
      </c>
      <c r="R45" s="235">
        <v>1.6E-2</v>
      </c>
      <c r="S45" s="279">
        <v>1.6E-2</v>
      </c>
      <c r="T45" s="235">
        <v>1.47E-2</v>
      </c>
      <c r="U45" s="279">
        <v>1.47E-2</v>
      </c>
      <c r="V45" s="235">
        <v>1.55E-2</v>
      </c>
      <c r="W45" s="235">
        <v>1.55E-2</v>
      </c>
      <c r="X45" s="235">
        <v>1.55E-2</v>
      </c>
      <c r="Y45" s="235">
        <v>1.55E-2</v>
      </c>
      <c r="Z45" s="235">
        <v>1.55E-2</v>
      </c>
      <c r="AA45" s="235">
        <v>1.55E-2</v>
      </c>
      <c r="AB45" s="235">
        <v>1.55E-2</v>
      </c>
      <c r="AC45" s="235">
        <v>1.55E-2</v>
      </c>
      <c r="AD45" s="235">
        <v>1.55E-2</v>
      </c>
      <c r="AE45" s="235">
        <v>1.55E-2</v>
      </c>
      <c r="AF45" s="360">
        <v>1.55E-2</v>
      </c>
      <c r="AG45" s="360">
        <v>1.55E-2</v>
      </c>
      <c r="AH45" s="360">
        <v>1.55E-2</v>
      </c>
      <c r="AI45" s="360">
        <v>1.55E-2</v>
      </c>
      <c r="AJ45" s="235">
        <v>1.55E-2</v>
      </c>
      <c r="AK45" s="360">
        <v>1.55E-2</v>
      </c>
      <c r="AL45" s="235">
        <v>1.55E-2</v>
      </c>
      <c r="AM45" s="235">
        <v>1.55E-2</v>
      </c>
      <c r="AN45" s="359">
        <v>1.55E-2</v>
      </c>
      <c r="AO45" s="359">
        <v>1.55E-2</v>
      </c>
      <c r="AP45" s="359">
        <v>1.55E-2</v>
      </c>
      <c r="AQ45" s="311">
        <v>1.55E-2</v>
      </c>
      <c r="AR45" s="311">
        <v>1.6500000000000001E-2</v>
      </c>
      <c r="AS45" s="253">
        <v>1.52E-2</v>
      </c>
      <c r="AT45" s="311">
        <v>1.7500000000000002E-2</v>
      </c>
      <c r="AU45" s="253">
        <v>1.5699999999999999E-2</v>
      </c>
      <c r="AV45" s="311">
        <v>1.5699999999999999E-2</v>
      </c>
      <c r="AW45" s="253">
        <v>1.8499999999999999E-2</v>
      </c>
      <c r="AX45" s="253"/>
      <c r="AY45" s="253"/>
      <c r="AZ45" s="253"/>
      <c r="BA45" s="253"/>
      <c r="BB45" s="253"/>
      <c r="BC45" s="253"/>
      <c r="BD45" s="253"/>
      <c r="BE45" s="253"/>
      <c r="BF45" s="253"/>
      <c r="BG45" s="253"/>
      <c r="BH45" s="253"/>
      <c r="BI45" s="253"/>
      <c r="BJ45" s="253"/>
      <c r="BK45" s="253"/>
      <c r="BL45" s="253"/>
      <c r="BM45" s="253"/>
      <c r="BN45" s="253"/>
      <c r="BO45" s="253"/>
      <c r="BP45" s="253"/>
      <c r="BQ45" s="253"/>
      <c r="BR45" s="253"/>
      <c r="BS45" s="253"/>
      <c r="BT45" s="253"/>
      <c r="BU45" s="253"/>
      <c r="BV45" s="253"/>
      <c r="BW45" s="253"/>
      <c r="BX45" s="253"/>
      <c r="BY45" s="253"/>
      <c r="BZ45" s="253"/>
      <c r="CA45" s="41">
        <f>$D45-$E45</f>
        <v>0</v>
      </c>
      <c r="CB45" s="109"/>
    </row>
    <row r="46" spans="2:80">
      <c r="C46" s="14"/>
      <c r="D46" s="14"/>
      <c r="E46" s="14"/>
      <c r="F46" s="14"/>
      <c r="G46" s="14"/>
      <c r="H46" s="14"/>
      <c r="I46" s="14"/>
      <c r="J46" s="14"/>
      <c r="K46" s="14"/>
      <c r="L46" s="14"/>
      <c r="M46" s="14"/>
      <c r="N46" s="14"/>
      <c r="O46" s="14"/>
      <c r="P46" s="14"/>
      <c r="Q46" s="14"/>
      <c r="R46" s="14"/>
      <c r="S46" s="14"/>
      <c r="T46" s="14"/>
      <c r="U46" s="14"/>
      <c r="AG46" s="14"/>
      <c r="AH46" s="14"/>
      <c r="AI46" s="14"/>
      <c r="AK46" s="14"/>
      <c r="AL46" s="14"/>
      <c r="AM46" s="14"/>
      <c r="AN46" s="14"/>
      <c r="AO46" s="14"/>
      <c r="AP46" s="14"/>
      <c r="AQ46" s="14"/>
      <c r="AR46" s="14"/>
      <c r="AS46" s="14"/>
      <c r="AT46" s="14"/>
      <c r="AU46" s="14"/>
      <c r="AV46" s="14"/>
      <c r="AW46" s="14"/>
      <c r="AX46" s="14"/>
      <c r="AY46" s="14"/>
      <c r="AZ46" s="14"/>
      <c r="BA46" s="14"/>
      <c r="BB46" s="14"/>
      <c r="BC46" s="14"/>
      <c r="BD46" s="14"/>
      <c r="BE46" s="14"/>
      <c r="BF46" s="14"/>
      <c r="BG46" s="14"/>
      <c r="BH46" s="14"/>
      <c r="BI46" s="14"/>
      <c r="BJ46" s="14"/>
      <c r="BK46" s="14"/>
      <c r="BL46" s="14"/>
      <c r="BM46" s="14"/>
      <c r="BN46" s="14"/>
      <c r="BO46" s="14"/>
      <c r="BP46" s="14"/>
      <c r="BQ46" s="14"/>
      <c r="BR46" s="14"/>
      <c r="BS46" s="14"/>
      <c r="BT46" s="14"/>
      <c r="BU46" s="14"/>
      <c r="BV46" s="14"/>
      <c r="BW46" s="14"/>
      <c r="BX46" s="14"/>
      <c r="BY46" s="14"/>
      <c r="BZ46" s="14"/>
      <c r="CA46" s="14"/>
      <c r="CB46" s="114"/>
    </row>
    <row r="47" spans="2:80">
      <c r="C47" s="14"/>
      <c r="D47" s="14"/>
      <c r="E47" s="14"/>
      <c r="F47" s="14"/>
      <c r="G47" s="14"/>
      <c r="H47" s="14"/>
      <c r="I47" s="14"/>
      <c r="J47" s="14"/>
      <c r="K47" s="14"/>
      <c r="L47" s="14"/>
      <c r="M47" s="14"/>
      <c r="N47" s="14"/>
      <c r="O47" s="14"/>
      <c r="P47" s="14"/>
      <c r="Q47" s="14"/>
      <c r="R47" s="14"/>
      <c r="S47" s="14"/>
      <c r="T47" s="14"/>
      <c r="U47" s="14"/>
      <c r="AG47" s="14"/>
      <c r="AH47" s="14"/>
      <c r="AI47" s="14"/>
      <c r="AK47" s="14"/>
      <c r="AL47" s="14"/>
      <c r="AM47" s="14"/>
      <c r="AN47" s="14"/>
      <c r="AO47" s="14"/>
      <c r="AP47" s="14"/>
      <c r="AQ47" s="14"/>
      <c r="AR47" s="14"/>
      <c r="AS47" s="14"/>
      <c r="AT47" s="14"/>
      <c r="AU47" s="14"/>
      <c r="AV47" s="14"/>
      <c r="AW47" s="14"/>
      <c r="AX47" s="14"/>
      <c r="AY47" s="14"/>
      <c r="AZ47" s="14"/>
      <c r="BA47" s="14"/>
      <c r="BB47" s="14"/>
      <c r="BC47" s="14"/>
      <c r="BD47" s="14"/>
      <c r="BE47" s="14"/>
      <c r="BF47" s="14"/>
      <c r="BG47" s="14"/>
      <c r="BH47" s="14"/>
      <c r="BI47" s="14"/>
      <c r="BJ47" s="14"/>
      <c r="BK47" s="14"/>
      <c r="BL47" s="14"/>
      <c r="BM47" s="14"/>
      <c r="BN47" s="14"/>
      <c r="BO47" s="14"/>
      <c r="BP47" s="14"/>
      <c r="BQ47" s="14"/>
      <c r="BR47" s="14"/>
      <c r="BS47" s="14"/>
      <c r="BT47" s="14"/>
      <c r="BU47" s="14"/>
      <c r="BV47" s="14"/>
      <c r="BW47" s="14"/>
      <c r="BX47" s="14"/>
      <c r="BY47" s="14"/>
      <c r="BZ47" s="14"/>
      <c r="CA47" s="14"/>
      <c r="CB47" s="114"/>
    </row>
    <row r="48" spans="2:80" s="372" customFormat="1" ht="24.75" customHeight="1">
      <c r="B48" s="1081" t="s">
        <v>517</v>
      </c>
      <c r="C48" s="1082"/>
      <c r="D48" s="1082"/>
      <c r="E48" s="1082"/>
      <c r="F48" s="1082"/>
      <c r="G48" s="1082"/>
      <c r="H48" s="1082"/>
      <c r="I48" s="1082"/>
      <c r="J48" s="1082"/>
      <c r="K48" s="1082"/>
      <c r="L48" s="1082"/>
      <c r="M48" s="1082"/>
      <c r="N48" s="1082"/>
      <c r="O48" s="1082"/>
      <c r="P48" s="1082"/>
      <c r="Q48" s="1082"/>
      <c r="R48" s="1082"/>
      <c r="S48" s="1082"/>
      <c r="T48" s="1082"/>
      <c r="U48" s="1082"/>
      <c r="V48" s="1082"/>
      <c r="W48" s="1082"/>
      <c r="X48" s="1082"/>
      <c r="Y48" s="1082"/>
      <c r="Z48" s="1082"/>
      <c r="AA48" s="1082"/>
      <c r="AB48" s="1082"/>
      <c r="AC48" s="1082"/>
      <c r="AD48" s="1082"/>
      <c r="AE48" s="1082"/>
      <c r="AF48" s="1082"/>
      <c r="AG48" s="1082"/>
      <c r="AH48" s="1082"/>
      <c r="AI48" s="1082"/>
      <c r="AJ48" s="1082"/>
      <c r="AK48" s="1082"/>
      <c r="AL48" s="1082"/>
      <c r="AM48" s="1082"/>
      <c r="AN48" s="1082"/>
      <c r="AO48" s="1082"/>
      <c r="AP48" s="1082"/>
      <c r="AQ48" s="1082"/>
      <c r="AR48" s="1082"/>
      <c r="AS48" s="1082"/>
      <c r="AT48" s="1082"/>
      <c r="AU48" s="1082"/>
      <c r="AV48" s="1082"/>
      <c r="AW48" s="1082"/>
      <c r="AX48" s="1082"/>
      <c r="AY48" s="1082"/>
      <c r="AZ48" s="1082"/>
      <c r="BA48" s="1082"/>
      <c r="BB48" s="1082"/>
      <c r="BC48" s="1082"/>
      <c r="BD48" s="1082"/>
      <c r="BE48" s="1082"/>
      <c r="BF48" s="1082"/>
      <c r="BG48" s="1082"/>
      <c r="BH48" s="1082"/>
      <c r="BI48" s="1082"/>
      <c r="BJ48" s="1082"/>
      <c r="BK48" s="1082"/>
      <c r="BL48" s="1082"/>
      <c r="BM48" s="1082"/>
      <c r="BN48" s="1082"/>
      <c r="BO48" s="1082"/>
      <c r="BP48" s="1082"/>
      <c r="BQ48" s="1082"/>
      <c r="BR48" s="1082"/>
      <c r="BS48" s="1082"/>
      <c r="BT48" s="1082"/>
      <c r="BU48" s="1082"/>
      <c r="BV48" s="1082"/>
      <c r="BW48" s="1082"/>
      <c r="BX48" s="1082"/>
      <c r="BY48" s="1082"/>
      <c r="BZ48" s="1082"/>
      <c r="CA48" s="1082"/>
      <c r="CB48" s="1082"/>
    </row>
    <row r="49" spans="2:80">
      <c r="B49" s="1083" t="s">
        <v>213</v>
      </c>
      <c r="C49" s="1084"/>
      <c r="D49" s="1084"/>
      <c r="E49" s="1084"/>
      <c r="F49" s="1084"/>
      <c r="G49" s="1084"/>
      <c r="H49" s="1084"/>
      <c r="I49" s="1084"/>
      <c r="J49" s="1084"/>
      <c r="K49" s="1084"/>
      <c r="L49" s="1084"/>
      <c r="M49" s="1084"/>
      <c r="N49" s="1084"/>
      <c r="O49" s="1084"/>
      <c r="P49" s="1084"/>
      <c r="Q49" s="1084"/>
      <c r="R49" s="1084"/>
      <c r="S49" s="1084"/>
      <c r="T49" s="1084"/>
      <c r="U49" s="1084"/>
      <c r="V49" s="1084"/>
      <c r="W49" s="1084"/>
      <c r="X49" s="1084"/>
      <c r="Y49" s="1084"/>
      <c r="Z49" s="1084"/>
      <c r="AA49" s="1084"/>
      <c r="AB49" s="1084"/>
      <c r="AC49" s="1084"/>
      <c r="AD49" s="1084"/>
      <c r="AE49" s="1084"/>
      <c r="AF49" s="1084"/>
      <c r="AG49" s="1084"/>
      <c r="AH49" s="1084"/>
      <c r="AI49" s="1084"/>
      <c r="AJ49" s="1084"/>
      <c r="AK49" s="1084"/>
      <c r="AL49" s="1084"/>
      <c r="AM49" s="1084"/>
      <c r="AN49" s="1084"/>
      <c r="AO49" s="1084"/>
      <c r="AP49" s="1084"/>
      <c r="AQ49" s="1084"/>
      <c r="AR49" s="1084"/>
      <c r="AS49" s="1084"/>
      <c r="AT49" s="1084"/>
      <c r="AU49" s="1084"/>
      <c r="AV49" s="1084"/>
      <c r="AW49" s="1084"/>
      <c r="AX49" s="1084"/>
      <c r="AY49" s="1084"/>
      <c r="AZ49" s="1084"/>
      <c r="BA49" s="1084"/>
      <c r="BB49" s="1084"/>
      <c r="BC49" s="1084"/>
      <c r="BD49" s="1084"/>
      <c r="BE49" s="1084"/>
      <c r="BF49" s="1084"/>
      <c r="BG49" s="1084"/>
      <c r="BH49" s="1084"/>
      <c r="BI49" s="1084"/>
      <c r="BJ49" s="1084"/>
      <c r="BK49" s="1084"/>
      <c r="BL49" s="1084"/>
      <c r="BM49" s="1084"/>
      <c r="BN49" s="1084"/>
      <c r="BO49" s="1084"/>
      <c r="BP49" s="1084"/>
      <c r="BQ49" s="1084"/>
      <c r="BR49" s="1084"/>
      <c r="BS49" s="1084"/>
      <c r="BT49" s="1084"/>
      <c r="BU49" s="1084"/>
      <c r="BV49" s="1084"/>
      <c r="BW49" s="1084"/>
      <c r="BX49" s="1084"/>
      <c r="BY49" s="1084"/>
      <c r="BZ49" s="1084"/>
      <c r="CA49" s="1084"/>
      <c r="CB49" s="1084"/>
    </row>
    <row r="50" spans="2:80">
      <c r="B50" s="756" t="s">
        <v>121</v>
      </c>
      <c r="C50" s="756" t="s">
        <v>120</v>
      </c>
      <c r="D50" s="366">
        <f t="shared" ref="D50:F50" si="28">D4</f>
        <v>46099</v>
      </c>
      <c r="E50" s="366">
        <f t="shared" ref="E50" si="29">E4</f>
        <v>46092</v>
      </c>
      <c r="F50" s="366">
        <f t="shared" si="28"/>
        <v>46085</v>
      </c>
      <c r="G50" s="366">
        <f t="shared" ref="G50:AF50" si="30">G4</f>
        <v>46078</v>
      </c>
      <c r="H50" s="366">
        <f t="shared" si="30"/>
        <v>46071</v>
      </c>
      <c r="I50" s="366">
        <f t="shared" si="30"/>
        <v>46057</v>
      </c>
      <c r="J50" s="366">
        <f t="shared" si="30"/>
        <v>46050</v>
      </c>
      <c r="K50" s="366">
        <f t="shared" si="30"/>
        <v>46043</v>
      </c>
      <c r="L50" s="366">
        <f t="shared" si="30"/>
        <v>46036</v>
      </c>
      <c r="M50" s="366">
        <f t="shared" si="30"/>
        <v>46029</v>
      </c>
      <c r="N50" s="366">
        <f t="shared" si="30"/>
        <v>46022</v>
      </c>
      <c r="O50" s="366">
        <f t="shared" si="30"/>
        <v>46015</v>
      </c>
      <c r="P50" s="366">
        <f t="shared" si="30"/>
        <v>46008</v>
      </c>
      <c r="Q50" s="366">
        <f t="shared" si="30"/>
        <v>46001</v>
      </c>
      <c r="R50" s="366">
        <f t="shared" si="30"/>
        <v>45994</v>
      </c>
      <c r="S50" s="366">
        <f t="shared" si="30"/>
        <v>45987</v>
      </c>
      <c r="T50" s="366">
        <f t="shared" si="30"/>
        <v>45980</v>
      </c>
      <c r="U50" s="366">
        <f t="shared" si="30"/>
        <v>45973</v>
      </c>
      <c r="V50" s="366">
        <f t="shared" si="30"/>
        <v>45966</v>
      </c>
      <c r="W50" s="366">
        <f t="shared" si="30"/>
        <v>45959</v>
      </c>
      <c r="X50" s="366">
        <f t="shared" si="30"/>
        <v>45952</v>
      </c>
      <c r="Y50" s="366">
        <f t="shared" si="30"/>
        <v>45945</v>
      </c>
      <c r="Z50" s="366">
        <f t="shared" si="30"/>
        <v>45938</v>
      </c>
      <c r="AA50" s="366">
        <f t="shared" si="30"/>
        <v>45931</v>
      </c>
      <c r="AB50" s="366">
        <f t="shared" si="30"/>
        <v>45924</v>
      </c>
      <c r="AC50" s="366">
        <f t="shared" si="30"/>
        <v>45917</v>
      </c>
      <c r="AD50" s="366">
        <f t="shared" si="30"/>
        <v>45910</v>
      </c>
      <c r="AE50" s="366">
        <f t="shared" si="30"/>
        <v>45903</v>
      </c>
      <c r="AF50" s="344">
        <f t="shared" si="30"/>
        <v>45896</v>
      </c>
      <c r="AG50" s="344">
        <v>45889</v>
      </c>
      <c r="AH50" s="344">
        <v>45882</v>
      </c>
      <c r="AI50" s="344">
        <v>45875</v>
      </c>
      <c r="AJ50" s="366">
        <v>45868</v>
      </c>
      <c r="AK50" s="344">
        <v>45861</v>
      </c>
      <c r="AL50" s="344">
        <f>AL4</f>
        <v>45854</v>
      </c>
      <c r="AM50" s="344">
        <f>AM4</f>
        <v>45847</v>
      </c>
      <c r="AN50" s="344">
        <v>45847</v>
      </c>
      <c r="AO50" s="344">
        <v>45840</v>
      </c>
      <c r="AP50" s="344">
        <f t="shared" ref="AP50:AU50" si="31">AP4</f>
        <v>45833</v>
      </c>
      <c r="AQ50" s="366">
        <f t="shared" si="31"/>
        <v>45826</v>
      </c>
      <c r="AR50" s="366">
        <f t="shared" si="31"/>
        <v>45819</v>
      </c>
      <c r="AS50" s="366">
        <f t="shared" si="31"/>
        <v>45812</v>
      </c>
      <c r="AT50" s="366">
        <f t="shared" si="31"/>
        <v>45805</v>
      </c>
      <c r="AU50" s="366">
        <f t="shared" si="31"/>
        <v>45798</v>
      </c>
      <c r="AV50" s="366">
        <f>'最高报价汇总 '!F2</f>
        <v>46099</v>
      </c>
      <c r="AW50" s="370">
        <f>AW4</f>
        <v>45785</v>
      </c>
      <c r="AX50" s="366">
        <f>AX4</f>
        <v>45777</v>
      </c>
      <c r="AY50" s="366">
        <f>AY4</f>
        <v>45763</v>
      </c>
      <c r="AZ50" s="366">
        <f>AZ4</f>
        <v>45757</v>
      </c>
      <c r="BA50" s="366">
        <f>BA4</f>
        <v>45742</v>
      </c>
      <c r="BB50" s="366">
        <f>'最高报价汇总 '!G2</f>
        <v>46092</v>
      </c>
      <c r="BC50" s="366">
        <f>'最高报价汇总 '!G2</f>
        <v>46092</v>
      </c>
      <c r="BD50" s="366">
        <f>'最高报价汇总 '!G2</f>
        <v>46092</v>
      </c>
      <c r="BE50" s="366">
        <f>'最高报价汇总 '!G2</f>
        <v>46092</v>
      </c>
      <c r="BF50" s="366" t="e">
        <f>#REF!</f>
        <v>#REF!</v>
      </c>
      <c r="BG50" s="366">
        <f>'最高报价汇总 '!G2</f>
        <v>46092</v>
      </c>
      <c r="BH50" s="366">
        <f>'最高报价汇总 '!G2</f>
        <v>46092</v>
      </c>
      <c r="BI50" s="366">
        <f>'最高报价汇总 '!G2</f>
        <v>46092</v>
      </c>
      <c r="BJ50" s="366">
        <f>BJ19</f>
        <v>45673</v>
      </c>
      <c r="BK50" s="366">
        <f>'最高报价汇总 '!G2</f>
        <v>46092</v>
      </c>
      <c r="BL50" s="366" t="e">
        <f>#REF!</f>
        <v>#REF!</v>
      </c>
      <c r="BM50" s="366">
        <f>'最高报价汇总 '!G2</f>
        <v>46092</v>
      </c>
      <c r="BN50" s="366" t="e">
        <f>#REF!</f>
        <v>#REF!</v>
      </c>
      <c r="BO50" s="366">
        <f>'最高报价汇总 '!G2</f>
        <v>46092</v>
      </c>
      <c r="BP50" s="366">
        <f>'最高报价汇总 '!G2</f>
        <v>46092</v>
      </c>
      <c r="BQ50" s="366">
        <v>45625</v>
      </c>
      <c r="BR50" s="366">
        <f>'最高报价汇总 '!G2</f>
        <v>46092</v>
      </c>
      <c r="BS50" s="366">
        <f>'最高报价汇总 '!G2</f>
        <v>46092</v>
      </c>
      <c r="BT50" s="66">
        <f>'最高报价汇总 '!G2</f>
        <v>46092</v>
      </c>
      <c r="BU50" s="66" t="e">
        <f>#REF!</f>
        <v>#REF!</v>
      </c>
      <c r="BV50" s="66">
        <f>'最高报价汇总 '!G2</f>
        <v>46092</v>
      </c>
      <c r="BW50" s="66">
        <f>BW4</f>
        <v>45582</v>
      </c>
      <c r="BX50" s="66">
        <f>BX4</f>
        <v>45575</v>
      </c>
      <c r="BY50" s="66">
        <f>BY4</f>
        <v>45568</v>
      </c>
      <c r="BZ50" s="66">
        <f>BZ4</f>
        <v>45561</v>
      </c>
      <c r="CA50" s="366" t="str">
        <f>CA29</f>
        <v>当日增幅</v>
      </c>
      <c r="CB50" s="367" t="s">
        <v>223</v>
      </c>
    </row>
    <row r="51" spans="2:80">
      <c r="B51" s="194" t="s">
        <v>16</v>
      </c>
      <c r="C51" s="361" t="s">
        <v>311</v>
      </c>
      <c r="D51" s="235">
        <v>3.4500000000000003E-2</v>
      </c>
      <c r="E51" s="235">
        <v>3.4500000000000003E-2</v>
      </c>
      <c r="F51" s="235">
        <v>3.4500000000000003E-2</v>
      </c>
      <c r="G51" s="235">
        <v>3.4500000000000003E-2</v>
      </c>
      <c r="H51" s="235">
        <v>3.4500000000000003E-2</v>
      </c>
      <c r="I51" s="235">
        <v>3.4500000000000003E-2</v>
      </c>
      <c r="J51" s="235">
        <v>3.4500000000000003E-2</v>
      </c>
      <c r="K51" s="235">
        <v>3.4500000000000003E-2</v>
      </c>
      <c r="L51" s="235">
        <v>3.4500000000000003E-2</v>
      </c>
      <c r="M51" s="235">
        <v>3.4500000000000003E-2</v>
      </c>
      <c r="N51" s="279">
        <v>3.4500000000000003E-2</v>
      </c>
      <c r="O51" s="279">
        <v>3.5499999999999997E-2</v>
      </c>
      <c r="P51" s="235">
        <v>3.7499999999999999E-2</v>
      </c>
      <c r="Q51" s="235">
        <v>3.7499999999999999E-2</v>
      </c>
      <c r="R51" s="235">
        <v>3.7499999999999999E-2</v>
      </c>
      <c r="S51" s="235">
        <v>3.7499999999999999E-2</v>
      </c>
      <c r="T51" s="235">
        <v>3.7499999999999999E-2</v>
      </c>
      <c r="U51" s="235">
        <v>3.7499999999999999E-2</v>
      </c>
      <c r="V51" s="235">
        <v>3.85E-2</v>
      </c>
      <c r="W51" s="235">
        <v>3.85E-2</v>
      </c>
      <c r="X51" s="235">
        <v>3.85E-2</v>
      </c>
      <c r="Y51" s="235">
        <v>3.85E-2</v>
      </c>
      <c r="Z51" s="235">
        <v>3.85E-2</v>
      </c>
      <c r="AA51" s="235">
        <v>3.85E-2</v>
      </c>
      <c r="AB51" s="235">
        <v>3.85E-2</v>
      </c>
      <c r="AC51" s="279">
        <v>3.85E-2</v>
      </c>
      <c r="AD51" s="235">
        <v>0.04</v>
      </c>
      <c r="AE51" s="235">
        <v>0.04</v>
      </c>
      <c r="AF51" s="360">
        <v>0.04</v>
      </c>
      <c r="AG51" s="279">
        <v>0.04</v>
      </c>
      <c r="AH51" s="360">
        <v>4.0500000000000001E-2</v>
      </c>
      <c r="AI51" s="360">
        <v>4.0500000000000001E-2</v>
      </c>
      <c r="AJ51" s="235">
        <v>4.0500000000000001E-2</v>
      </c>
      <c r="AK51" s="360">
        <v>4.0500000000000001E-2</v>
      </c>
      <c r="AL51" s="360">
        <v>4.0500000000000001E-2</v>
      </c>
      <c r="AM51" s="360">
        <v>4.0500000000000001E-2</v>
      </c>
      <c r="AN51" s="311">
        <v>4.0500000000000001E-2</v>
      </c>
      <c r="AO51" s="311">
        <v>4.1000000000000002E-2</v>
      </c>
      <c r="AP51" s="359">
        <v>4.2000000000000003E-2</v>
      </c>
      <c r="AQ51" s="253">
        <v>4.2000000000000003E-2</v>
      </c>
      <c r="AR51" s="253">
        <v>4.2000000000000003E-2</v>
      </c>
      <c r="AS51" s="253">
        <v>4.2000000000000003E-2</v>
      </c>
      <c r="AT51" s="253">
        <v>4.2000000000000003E-2</v>
      </c>
      <c r="AU51" s="253">
        <v>4.2000000000000003E-2</v>
      </c>
      <c r="AV51" s="253">
        <v>4.2000000000000003E-2</v>
      </c>
      <c r="AW51" s="253">
        <v>4.2000000000000003E-2</v>
      </c>
      <c r="AX51" s="253">
        <v>4.2000000000000003E-2</v>
      </c>
      <c r="AY51" s="253">
        <v>4.2000000000000003E-2</v>
      </c>
      <c r="AZ51" s="253">
        <v>4.2000000000000003E-2</v>
      </c>
      <c r="BA51" s="253">
        <v>4.2000000000000003E-2</v>
      </c>
      <c r="BB51" s="253">
        <v>4.2000000000000003E-2</v>
      </c>
      <c r="BC51" s="253">
        <v>4.2000000000000003E-2</v>
      </c>
      <c r="BD51" s="253">
        <v>4.2000000000000003E-2</v>
      </c>
      <c r="BE51" s="253">
        <v>4.2000000000000003E-2</v>
      </c>
      <c r="BF51" s="253">
        <v>4.4999999999999998E-2</v>
      </c>
      <c r="BG51" s="253">
        <v>4.4999999999999998E-2</v>
      </c>
      <c r="BH51" s="253">
        <v>4.4999999999999998E-2</v>
      </c>
      <c r="BI51" s="253">
        <v>4.4999999999999998E-2</v>
      </c>
      <c r="BJ51" s="253">
        <v>4.4999999999999998E-2</v>
      </c>
      <c r="BK51" s="253">
        <v>4.4999999999999998E-2</v>
      </c>
      <c r="BL51" s="253">
        <v>4.4999999999999998E-2</v>
      </c>
      <c r="BM51" s="253">
        <v>4.4999999999999998E-2</v>
      </c>
      <c r="BN51" s="253">
        <v>4.4999999999999998E-2</v>
      </c>
      <c r="BO51" s="253">
        <v>4.4999999999999998E-2</v>
      </c>
      <c r="BP51" s="253">
        <v>4.4999999999999998E-2</v>
      </c>
      <c r="BQ51" s="253">
        <v>4.4999999999999998E-2</v>
      </c>
      <c r="BR51" s="253">
        <v>4.4999999999999998E-2</v>
      </c>
      <c r="BS51" s="253">
        <v>4.4999999999999998E-2</v>
      </c>
      <c r="BT51" s="371">
        <v>4.4999999999999998E-2</v>
      </c>
      <c r="BU51" s="371">
        <v>4.4999999999999998E-2</v>
      </c>
      <c r="BV51" s="371">
        <v>4.4999999999999998E-2</v>
      </c>
      <c r="BW51" s="371">
        <v>4.4999999999999998E-2</v>
      </c>
      <c r="BX51" s="371">
        <v>4.4999999999999998E-2</v>
      </c>
      <c r="BY51" s="371">
        <v>4.4999999999999998E-2</v>
      </c>
      <c r="BZ51" s="371">
        <v>4.4999999999999998E-2</v>
      </c>
      <c r="CA51" s="41">
        <f>$D51-$E51</f>
        <v>0</v>
      </c>
      <c r="CB51" s="109" t="s">
        <v>514</v>
      </c>
    </row>
    <row r="52" spans="2:80">
      <c r="B52" s="194" t="s">
        <v>20</v>
      </c>
      <c r="C52" s="361" t="s">
        <v>311</v>
      </c>
      <c r="D52" s="831">
        <v>3.4000000000000002E-2</v>
      </c>
      <c r="E52" s="831">
        <v>3.4000000000000002E-2</v>
      </c>
      <c r="F52" s="831">
        <v>3.4000000000000002E-2</v>
      </c>
      <c r="G52" s="235">
        <v>3.4500000000000003E-2</v>
      </c>
      <c r="H52" s="235">
        <v>3.4500000000000003E-2</v>
      </c>
      <c r="I52" s="235">
        <v>3.4500000000000003E-2</v>
      </c>
      <c r="J52" s="235">
        <v>3.4500000000000003E-2</v>
      </c>
      <c r="K52" s="235">
        <v>3.4500000000000003E-2</v>
      </c>
      <c r="L52" s="235">
        <v>3.4500000000000003E-2</v>
      </c>
      <c r="M52" s="279">
        <v>3.4500000000000003E-2</v>
      </c>
      <c r="N52" s="235">
        <v>3.5000000000000003E-2</v>
      </c>
      <c r="O52" s="235">
        <v>3.5000000000000003E-2</v>
      </c>
      <c r="P52" s="235">
        <v>3.5000000000000003E-2</v>
      </c>
      <c r="Q52" s="235">
        <v>3.5000000000000003E-2</v>
      </c>
      <c r="R52" s="235">
        <v>3.5000000000000003E-2</v>
      </c>
      <c r="S52" s="235">
        <v>3.6999999999999998E-2</v>
      </c>
      <c r="T52" s="235">
        <v>3.6999999999999998E-2</v>
      </c>
      <c r="U52" s="235">
        <v>3.6999999999999998E-2</v>
      </c>
      <c r="V52" s="279">
        <v>3.6999999999999998E-2</v>
      </c>
      <c r="W52" s="235">
        <v>3.7999999999999999E-2</v>
      </c>
      <c r="X52" s="235">
        <v>3.7999999999999999E-2</v>
      </c>
      <c r="Y52" s="235">
        <v>3.7999999999999999E-2</v>
      </c>
      <c r="Z52" s="235">
        <v>3.7999999999999999E-2</v>
      </c>
      <c r="AA52" s="235">
        <v>3.7999999999999999E-2</v>
      </c>
      <c r="AB52" s="235">
        <v>3.7999999999999999E-2</v>
      </c>
      <c r="AC52" s="235">
        <v>3.7999999999999999E-2</v>
      </c>
      <c r="AD52" s="235">
        <v>3.7999999999999999E-2</v>
      </c>
      <c r="AE52" s="235">
        <v>3.7999999999999999E-2</v>
      </c>
      <c r="AF52" s="360">
        <v>3.7999999999999999E-2</v>
      </c>
      <c r="AG52" s="360">
        <v>3.7999999999999999E-2</v>
      </c>
      <c r="AH52" s="360">
        <v>3.7999999999999999E-2</v>
      </c>
      <c r="AI52" s="279">
        <v>3.7999999999999999E-2</v>
      </c>
      <c r="AJ52" s="235">
        <v>0.04</v>
      </c>
      <c r="AK52" s="360">
        <v>0.04</v>
      </c>
      <c r="AL52" s="360">
        <v>0.04</v>
      </c>
      <c r="AM52" s="360">
        <v>0.04</v>
      </c>
      <c r="AN52" s="359">
        <v>0.04</v>
      </c>
      <c r="AO52" s="311">
        <v>0.04</v>
      </c>
      <c r="AP52" s="359">
        <v>4.1500000000000002E-2</v>
      </c>
      <c r="AQ52" s="253">
        <v>4.1500000000000002E-2</v>
      </c>
      <c r="AR52" s="253">
        <v>4.1500000000000002E-2</v>
      </c>
      <c r="AS52" s="253">
        <v>4.1500000000000002E-2</v>
      </c>
      <c r="AT52" s="253">
        <v>4.1500000000000002E-2</v>
      </c>
      <c r="AU52" s="311">
        <v>2.75E-2</v>
      </c>
      <c r="AV52" s="253">
        <v>4.1500000000000002E-2</v>
      </c>
      <c r="AW52" s="311">
        <v>4.1500000000000002E-2</v>
      </c>
      <c r="AX52" s="253">
        <v>4.2000000000000003E-2</v>
      </c>
      <c r="AY52" s="253">
        <v>4.2000000000000003E-2</v>
      </c>
      <c r="AZ52" s="253">
        <v>4.2000000000000003E-2</v>
      </c>
      <c r="BA52" s="253">
        <v>4.2000000000000003E-2</v>
      </c>
      <c r="BB52" s="253">
        <v>4.2000000000000003E-2</v>
      </c>
      <c r="BC52" s="253">
        <v>4.2000000000000003E-2</v>
      </c>
      <c r="BD52" s="253">
        <v>4.3999999999999997E-2</v>
      </c>
      <c r="BE52" s="253">
        <v>4.3999999999999997E-2</v>
      </c>
      <c r="BF52" s="253">
        <v>4.3999999999999997E-2</v>
      </c>
      <c r="BG52" s="253">
        <v>4.3999999999999997E-2</v>
      </c>
      <c r="BH52" s="253">
        <v>4.4999999999999998E-2</v>
      </c>
      <c r="BI52" s="253">
        <v>4.4999999999999998E-2</v>
      </c>
      <c r="BJ52" s="253">
        <v>4.4999999999999998E-2</v>
      </c>
      <c r="BK52" s="253">
        <v>4.4999999999999998E-2</v>
      </c>
      <c r="BL52" s="253">
        <v>4.4999999999999998E-2</v>
      </c>
      <c r="BM52" s="253">
        <v>4.4999999999999998E-2</v>
      </c>
      <c r="BN52" s="253">
        <v>4.4999999999999998E-2</v>
      </c>
      <c r="BO52" s="253">
        <v>4.4999999999999998E-2</v>
      </c>
      <c r="BP52" s="253">
        <v>4.4999999999999998E-2</v>
      </c>
      <c r="BQ52" s="253">
        <v>4.4999999999999998E-2</v>
      </c>
      <c r="BR52" s="253">
        <v>4.4999999999999998E-2</v>
      </c>
      <c r="BS52" s="253">
        <v>4.4999999999999998E-2</v>
      </c>
      <c r="BT52" s="383">
        <v>4.4999999999999998E-2</v>
      </c>
      <c r="BU52" s="383">
        <v>4.4999999999999998E-2</v>
      </c>
      <c r="BV52" s="383">
        <v>4.4999999999999998E-2</v>
      </c>
      <c r="BW52" s="383">
        <v>4.4999999999999998E-2</v>
      </c>
      <c r="BX52" s="383">
        <v>4.4999999999999998E-2</v>
      </c>
      <c r="BY52" s="383">
        <v>4.4999999999999998E-2</v>
      </c>
      <c r="BZ52" s="383">
        <v>4.4999999999999998E-2</v>
      </c>
      <c r="CA52" s="41">
        <f>$D52-$E52</f>
        <v>0</v>
      </c>
      <c r="CB52" s="109" t="s">
        <v>298</v>
      </c>
    </row>
    <row r="53" spans="2:80">
      <c r="B53" s="194" t="s">
        <v>23</v>
      </c>
      <c r="C53" s="365" t="s">
        <v>313</v>
      </c>
      <c r="D53" s="235">
        <v>3.2500000000000001E-2</v>
      </c>
      <c r="E53" s="235">
        <v>3.2500000000000001E-2</v>
      </c>
      <c r="F53" s="235">
        <v>3.2500000000000001E-2</v>
      </c>
      <c r="G53" s="235">
        <v>3.2500000000000001E-2</v>
      </c>
      <c r="H53" s="235">
        <v>3.2500000000000001E-2</v>
      </c>
      <c r="I53" s="235">
        <v>3.2500000000000001E-2</v>
      </c>
      <c r="J53" s="235">
        <v>3.5000000000000003E-2</v>
      </c>
      <c r="K53" s="235">
        <v>3.5000000000000003E-2</v>
      </c>
      <c r="L53" s="235">
        <v>3.5000000000000003E-2</v>
      </c>
      <c r="M53" s="235">
        <v>3.5000000000000003E-2</v>
      </c>
      <c r="N53" s="235">
        <v>3.5000000000000003E-2</v>
      </c>
      <c r="O53" s="235">
        <v>3.5000000000000003E-2</v>
      </c>
      <c r="P53" s="235">
        <v>3.5000000000000003E-2</v>
      </c>
      <c r="Q53" s="235">
        <v>3.5000000000000003E-2</v>
      </c>
      <c r="R53" s="235">
        <v>3.5000000000000003E-2</v>
      </c>
      <c r="S53" s="235">
        <v>3.5000000000000003E-2</v>
      </c>
      <c r="T53" s="235">
        <v>3.5000000000000003E-2</v>
      </c>
      <c r="U53" s="235">
        <v>3.5000000000000003E-2</v>
      </c>
      <c r="V53" s="235">
        <v>3.5000000000000003E-2</v>
      </c>
      <c r="W53" s="235">
        <v>3.5000000000000003E-2</v>
      </c>
      <c r="X53" s="235">
        <v>3.5000000000000003E-2</v>
      </c>
      <c r="Y53" s="235">
        <v>3.5000000000000003E-2</v>
      </c>
      <c r="Z53" s="279">
        <v>3.5000000000000003E-2</v>
      </c>
      <c r="AA53" s="235">
        <v>3.7499999999999999E-2</v>
      </c>
      <c r="AB53" s="235">
        <v>3.7499999999999999E-2</v>
      </c>
      <c r="AC53" s="235">
        <v>3.7499999999999999E-2</v>
      </c>
      <c r="AD53" s="235">
        <v>3.7499999999999999E-2</v>
      </c>
      <c r="AE53" s="279">
        <v>3.7499999999999999E-2</v>
      </c>
      <c r="AF53" s="360">
        <v>0.04</v>
      </c>
      <c r="AG53" s="360">
        <v>0.04</v>
      </c>
      <c r="AH53" s="360">
        <v>0.04</v>
      </c>
      <c r="AI53" s="360">
        <v>0.04</v>
      </c>
      <c r="AJ53" s="235">
        <v>0.04</v>
      </c>
      <c r="AK53" s="360">
        <v>0.04</v>
      </c>
      <c r="AL53" s="360">
        <v>0.04</v>
      </c>
      <c r="AM53" s="360">
        <v>0.04</v>
      </c>
      <c r="AN53" s="359">
        <v>0.04</v>
      </c>
      <c r="AO53" s="359">
        <v>0.04</v>
      </c>
      <c r="AP53" s="359">
        <v>0.04</v>
      </c>
      <c r="AQ53" s="253">
        <v>0.04</v>
      </c>
      <c r="AR53" s="253">
        <v>0.04</v>
      </c>
      <c r="AS53" s="253">
        <v>0.04</v>
      </c>
      <c r="AT53" s="253">
        <v>0.04</v>
      </c>
      <c r="AU53" s="253">
        <v>0.04</v>
      </c>
      <c r="AV53" s="311">
        <v>0.04</v>
      </c>
      <c r="AW53" s="253">
        <v>4.2500000000000003E-2</v>
      </c>
      <c r="AX53" s="253">
        <v>4.2500000000000003E-2</v>
      </c>
      <c r="AY53" s="253">
        <v>4.2500000000000003E-2</v>
      </c>
      <c r="AZ53" s="253">
        <v>4.2500000000000003E-2</v>
      </c>
      <c r="BA53" s="253">
        <v>4.2500000000000003E-2</v>
      </c>
      <c r="BB53" s="253">
        <v>4.2500000000000003E-2</v>
      </c>
      <c r="BC53" s="253">
        <v>4.2500000000000003E-2</v>
      </c>
      <c r="BD53" s="253">
        <v>4.2500000000000003E-2</v>
      </c>
      <c r="BE53" s="253">
        <v>4.2500000000000003E-2</v>
      </c>
      <c r="BF53" s="253">
        <v>4.2500000000000003E-2</v>
      </c>
      <c r="BG53" s="311">
        <v>4.2500000000000003E-2</v>
      </c>
      <c r="BH53" s="253">
        <v>4.4999999999999998E-2</v>
      </c>
      <c r="BI53" s="253">
        <v>4.4999999999999998E-2</v>
      </c>
      <c r="BJ53" s="253">
        <v>4.4999999999999998E-2</v>
      </c>
      <c r="BK53" s="253">
        <v>4.4999999999999998E-2</v>
      </c>
      <c r="BL53" s="253">
        <v>4.4999999999999998E-2</v>
      </c>
      <c r="BM53" s="253">
        <v>4.4999999999999998E-2</v>
      </c>
      <c r="BN53" s="253">
        <v>4.4999999999999998E-2</v>
      </c>
      <c r="BO53" s="253">
        <v>4.4999999999999998E-2</v>
      </c>
      <c r="BP53" s="253">
        <v>4.4999999999999998E-2</v>
      </c>
      <c r="BQ53" s="253">
        <v>4.4999999999999998E-2</v>
      </c>
      <c r="BR53" s="253">
        <v>4.4999999999999998E-2</v>
      </c>
      <c r="BS53" s="253">
        <v>4.4999999999999998E-2</v>
      </c>
      <c r="BT53" s="311">
        <v>4.4999999999999998E-2</v>
      </c>
      <c r="BU53" s="311"/>
      <c r="BV53" s="311"/>
      <c r="BW53" s="311"/>
      <c r="BX53" s="311"/>
      <c r="BY53" s="311"/>
      <c r="BZ53" s="311"/>
      <c r="CA53" s="41">
        <f>$D53-$E53</f>
        <v>0</v>
      </c>
      <c r="CB53" s="109" t="s">
        <v>312</v>
      </c>
    </row>
    <row r="54" spans="2:80">
      <c r="B54" s="194" t="s">
        <v>12</v>
      </c>
      <c r="C54" s="361" t="s">
        <v>513</v>
      </c>
      <c r="D54" s="831">
        <v>3.4000000000000002E-2</v>
      </c>
      <c r="E54" s="831">
        <v>3.4000000000000002E-2</v>
      </c>
      <c r="F54" s="831">
        <v>3.4000000000000002E-2</v>
      </c>
      <c r="G54" s="831">
        <v>3.4000000000000002E-2</v>
      </c>
      <c r="H54" s="235">
        <v>3.4500000000000003E-2</v>
      </c>
      <c r="I54" s="235">
        <v>3.4500000000000003E-2</v>
      </c>
      <c r="J54" s="235">
        <v>3.4500000000000003E-2</v>
      </c>
      <c r="K54" s="235">
        <v>3.4500000000000003E-2</v>
      </c>
      <c r="L54" s="235">
        <v>3.4500000000000003E-2</v>
      </c>
      <c r="M54" s="235">
        <v>3.4500000000000003E-2</v>
      </c>
      <c r="N54" s="235">
        <v>3.4500000000000003E-2</v>
      </c>
      <c r="O54" s="235">
        <v>3.4500000000000003E-2</v>
      </c>
      <c r="P54" s="279">
        <v>3.4500000000000003E-2</v>
      </c>
      <c r="Q54" s="279">
        <v>3.5000000000000003E-2</v>
      </c>
      <c r="R54" s="235">
        <v>3.6499999999999998E-2</v>
      </c>
      <c r="S54" s="279">
        <v>3.6499999999999998E-2</v>
      </c>
      <c r="T54" s="235">
        <v>3.5200000000000002E-2</v>
      </c>
      <c r="U54" s="279">
        <v>3.5200000000000002E-2</v>
      </c>
      <c r="V54" s="235">
        <v>3.6499999999999998E-2</v>
      </c>
      <c r="W54" s="235">
        <v>3.6499999999999998E-2</v>
      </c>
      <c r="X54" s="235">
        <v>3.6499999999999998E-2</v>
      </c>
      <c r="Y54" s="279">
        <v>3.6499999999999998E-2</v>
      </c>
      <c r="Z54" s="235">
        <v>3.6999999999999998E-2</v>
      </c>
      <c r="AA54" s="279">
        <v>3.6999999999999998E-2</v>
      </c>
      <c r="AB54" s="235">
        <v>3.7499999999999999E-2</v>
      </c>
      <c r="AC54" s="235">
        <v>3.7499999999999999E-2</v>
      </c>
      <c r="AD54" s="235">
        <v>3.7499999999999999E-2</v>
      </c>
      <c r="AE54" s="235">
        <v>3.7499999999999999E-2</v>
      </c>
      <c r="AF54" s="279">
        <v>3.7499999999999999E-2</v>
      </c>
      <c r="AG54" s="360">
        <v>3.7999999999999999E-2</v>
      </c>
      <c r="AH54" s="279">
        <v>3.7999999999999999E-2</v>
      </c>
      <c r="AI54" s="360">
        <v>3.9E-2</v>
      </c>
      <c r="AJ54" s="235">
        <v>3.9E-2</v>
      </c>
      <c r="AK54" s="360">
        <v>3.9E-2</v>
      </c>
      <c r="AL54" s="360">
        <v>3.9E-2</v>
      </c>
      <c r="AM54" s="360">
        <v>3.9E-2</v>
      </c>
      <c r="AN54" s="359">
        <v>3.9E-2</v>
      </c>
      <c r="AO54" s="359">
        <v>3.9E-2</v>
      </c>
      <c r="AP54" s="359">
        <v>3.9E-2</v>
      </c>
      <c r="AQ54" s="253">
        <v>3.9E-2</v>
      </c>
      <c r="AR54" s="253">
        <v>3.9E-2</v>
      </c>
      <c r="AS54" s="253">
        <v>3.9E-2</v>
      </c>
      <c r="AT54" s="311">
        <v>3.9E-2</v>
      </c>
      <c r="AU54" s="253">
        <v>3.7699999999999997E-2</v>
      </c>
      <c r="AV54" s="311">
        <v>3.7699999999999997E-2</v>
      </c>
      <c r="AW54" s="253">
        <v>4.2000000000000003E-2</v>
      </c>
      <c r="AX54" s="253"/>
      <c r="AY54" s="253"/>
      <c r="AZ54" s="253"/>
      <c r="BA54" s="253"/>
      <c r="BB54" s="253"/>
      <c r="BC54" s="253"/>
      <c r="BD54" s="253"/>
      <c r="BE54" s="253"/>
      <c r="BF54" s="253"/>
      <c r="BG54" s="253"/>
      <c r="BH54" s="253"/>
      <c r="BI54" s="253"/>
      <c r="BJ54" s="253"/>
      <c r="BK54" s="253"/>
      <c r="BL54" s="253"/>
      <c r="BM54" s="253"/>
      <c r="BN54" s="253"/>
      <c r="BO54" s="253"/>
      <c r="BP54" s="253"/>
      <c r="BQ54" s="253"/>
      <c r="BR54" s="253"/>
      <c r="BS54" s="253"/>
      <c r="BT54" s="253"/>
      <c r="BU54" s="253"/>
      <c r="BV54" s="253"/>
      <c r="BW54" s="253"/>
      <c r="BX54" s="253"/>
      <c r="BY54" s="253"/>
      <c r="BZ54" s="253"/>
      <c r="CA54" s="41">
        <f>$D54-$E54</f>
        <v>0</v>
      </c>
      <c r="CB54" s="109"/>
    </row>
    <row r="55" spans="2:80">
      <c r="C55" s="14"/>
      <c r="D55" s="14"/>
      <c r="E55" s="14"/>
      <c r="F55" s="14"/>
      <c r="G55" s="14"/>
      <c r="H55" s="14"/>
      <c r="I55" s="14"/>
      <c r="J55" s="14"/>
      <c r="K55" s="14"/>
      <c r="L55" s="14"/>
      <c r="M55" s="14"/>
      <c r="N55" s="14"/>
      <c r="O55" s="14"/>
      <c r="P55" s="14"/>
      <c r="Q55" s="14"/>
      <c r="R55" s="14"/>
      <c r="S55" s="14"/>
      <c r="T55" s="14"/>
      <c r="U55" s="14"/>
      <c r="AG55" s="14"/>
      <c r="AH55" s="14"/>
      <c r="AI55" s="14"/>
      <c r="AK55" s="14"/>
      <c r="AL55" s="14"/>
      <c r="AM55" s="14"/>
      <c r="AN55" s="14"/>
      <c r="AO55" s="14"/>
      <c r="AP55" s="14"/>
      <c r="AQ55" s="14"/>
      <c r="AR55" s="14"/>
      <c r="AS55" s="14"/>
      <c r="AT55" s="14"/>
      <c r="AU55" s="14"/>
      <c r="AV55" s="14"/>
      <c r="AW55" s="14"/>
      <c r="AX55" s="14"/>
      <c r="AY55" s="14"/>
      <c r="AZ55" s="14"/>
      <c r="BA55" s="14"/>
      <c r="BB55" s="14"/>
      <c r="BC55" s="14"/>
      <c r="BD55" s="14"/>
      <c r="BE55" s="14"/>
      <c r="BF55" s="14"/>
      <c r="BG55" s="14"/>
      <c r="BH55" s="14"/>
      <c r="BI55" s="14"/>
      <c r="BJ55" s="14"/>
      <c r="BK55" s="14"/>
      <c r="BL55" s="14"/>
      <c r="BM55" s="14"/>
      <c r="BN55" s="14"/>
      <c r="BO55" s="14"/>
      <c r="BP55" s="14"/>
      <c r="BQ55" s="14"/>
      <c r="BR55" s="14"/>
      <c r="BS55" s="14"/>
      <c r="BT55" s="14"/>
      <c r="BU55" s="14"/>
      <c r="BV55" s="14"/>
      <c r="BW55" s="14"/>
      <c r="BX55" s="14"/>
      <c r="BY55" s="14"/>
      <c r="BZ55" s="14"/>
      <c r="CA55" s="14"/>
      <c r="CB55" s="114"/>
    </row>
    <row r="56" spans="2:80">
      <c r="B56" s="1080" t="s">
        <v>211</v>
      </c>
      <c r="C56" s="1080"/>
      <c r="D56" s="1080"/>
      <c r="E56" s="1080"/>
      <c r="F56" s="1080"/>
      <c r="G56" s="1080"/>
      <c r="H56" s="1080"/>
      <c r="I56" s="1080"/>
      <c r="J56" s="1080"/>
      <c r="K56" s="1080"/>
      <c r="L56" s="1080"/>
      <c r="M56" s="1080"/>
      <c r="N56" s="1080"/>
      <c r="O56" s="1080"/>
      <c r="P56" s="1080"/>
      <c r="Q56" s="1080"/>
      <c r="R56" s="1080"/>
      <c r="S56" s="1080"/>
      <c r="T56" s="1080"/>
      <c r="U56" s="1080"/>
      <c r="V56" s="1080"/>
      <c r="W56" s="1080"/>
      <c r="X56" s="1080"/>
      <c r="Y56" s="1080"/>
      <c r="Z56" s="1080"/>
      <c r="AA56" s="1080"/>
      <c r="AB56" s="1080"/>
      <c r="AC56" s="1080"/>
      <c r="AD56" s="1080"/>
      <c r="AE56" s="1080"/>
      <c r="AF56" s="1080"/>
      <c r="AG56" s="1080"/>
      <c r="AH56" s="1080"/>
      <c r="AI56" s="1080"/>
      <c r="AJ56" s="1080"/>
      <c r="AK56" s="1080"/>
      <c r="AL56" s="1080"/>
      <c r="AM56" s="1080"/>
      <c r="AN56" s="1080"/>
      <c r="AO56" s="1080"/>
      <c r="AP56" s="1080"/>
      <c r="AQ56" s="1080"/>
      <c r="AR56" s="1080"/>
      <c r="AS56" s="1080"/>
      <c r="AT56" s="1080"/>
      <c r="AU56" s="1080"/>
      <c r="AV56" s="1080"/>
      <c r="AW56" s="1080"/>
      <c r="AX56" s="1080"/>
      <c r="AY56" s="1080"/>
      <c r="AZ56" s="1080"/>
      <c r="BA56" s="1080"/>
      <c r="BB56" s="1080"/>
      <c r="BC56" s="1080"/>
      <c r="BD56" s="1080"/>
      <c r="BE56" s="1080"/>
      <c r="BF56" s="1080"/>
      <c r="BG56" s="1080"/>
      <c r="BH56" s="1080"/>
      <c r="BI56" s="1080"/>
      <c r="BJ56" s="1080"/>
      <c r="BK56" s="1080"/>
      <c r="BL56" s="1080"/>
      <c r="BM56" s="1080"/>
      <c r="BN56" s="1080"/>
      <c r="BO56" s="1080"/>
      <c r="BP56" s="1080"/>
      <c r="BQ56" s="1080"/>
      <c r="BR56" s="1080"/>
      <c r="BS56" s="1080"/>
      <c r="BT56" s="1080"/>
      <c r="BU56" s="1080"/>
      <c r="BV56" s="1080"/>
      <c r="BW56" s="1080"/>
      <c r="BX56" s="1080"/>
      <c r="BY56" s="1080"/>
      <c r="BZ56" s="1080"/>
      <c r="CA56" s="1080"/>
      <c r="CB56" s="1080"/>
    </row>
    <row r="57" spans="2:80">
      <c r="B57" s="755" t="s">
        <v>121</v>
      </c>
      <c r="C57" s="755" t="s">
        <v>120</v>
      </c>
      <c r="D57" s="370">
        <f t="shared" ref="D57:F57" si="32">D4</f>
        <v>46099</v>
      </c>
      <c r="E57" s="370">
        <f t="shared" ref="E57" si="33">E4</f>
        <v>46092</v>
      </c>
      <c r="F57" s="370">
        <f t="shared" si="32"/>
        <v>46085</v>
      </c>
      <c r="G57" s="370">
        <f t="shared" ref="G57:AF57" si="34">G4</f>
        <v>46078</v>
      </c>
      <c r="H57" s="370">
        <f t="shared" si="34"/>
        <v>46071</v>
      </c>
      <c r="I57" s="370">
        <f t="shared" si="34"/>
        <v>46057</v>
      </c>
      <c r="J57" s="370">
        <f t="shared" si="34"/>
        <v>46050</v>
      </c>
      <c r="K57" s="370">
        <f t="shared" si="34"/>
        <v>46043</v>
      </c>
      <c r="L57" s="370">
        <f t="shared" si="34"/>
        <v>46036</v>
      </c>
      <c r="M57" s="370">
        <f t="shared" si="34"/>
        <v>46029</v>
      </c>
      <c r="N57" s="370">
        <f t="shared" si="34"/>
        <v>46022</v>
      </c>
      <c r="O57" s="370">
        <f t="shared" si="34"/>
        <v>46015</v>
      </c>
      <c r="P57" s="370">
        <f t="shared" si="34"/>
        <v>46008</v>
      </c>
      <c r="Q57" s="370">
        <f t="shared" si="34"/>
        <v>46001</v>
      </c>
      <c r="R57" s="370">
        <f t="shared" si="34"/>
        <v>45994</v>
      </c>
      <c r="S57" s="370">
        <f t="shared" si="34"/>
        <v>45987</v>
      </c>
      <c r="T57" s="370">
        <f t="shared" si="34"/>
        <v>45980</v>
      </c>
      <c r="U57" s="370">
        <f t="shared" si="34"/>
        <v>45973</v>
      </c>
      <c r="V57" s="370">
        <f t="shared" si="34"/>
        <v>45966</v>
      </c>
      <c r="W57" s="370">
        <f t="shared" si="34"/>
        <v>45959</v>
      </c>
      <c r="X57" s="370">
        <f t="shared" si="34"/>
        <v>45952</v>
      </c>
      <c r="Y57" s="370">
        <f t="shared" si="34"/>
        <v>45945</v>
      </c>
      <c r="Z57" s="370">
        <f t="shared" si="34"/>
        <v>45938</v>
      </c>
      <c r="AA57" s="370">
        <f t="shared" si="34"/>
        <v>45931</v>
      </c>
      <c r="AB57" s="370">
        <f t="shared" si="34"/>
        <v>45924</v>
      </c>
      <c r="AC57" s="370">
        <f t="shared" si="34"/>
        <v>45917</v>
      </c>
      <c r="AD57" s="370">
        <f t="shared" si="34"/>
        <v>45910</v>
      </c>
      <c r="AE57" s="370">
        <f t="shared" si="34"/>
        <v>45903</v>
      </c>
      <c r="AF57" s="382">
        <f t="shared" si="34"/>
        <v>45896</v>
      </c>
      <c r="AG57" s="382">
        <v>45889</v>
      </c>
      <c r="AH57" s="382">
        <v>45882</v>
      </c>
      <c r="AI57" s="382">
        <v>45875</v>
      </c>
      <c r="AJ57" s="370">
        <v>45868</v>
      </c>
      <c r="AK57" s="382">
        <v>45861</v>
      </c>
      <c r="AL57" s="382">
        <f>AL4</f>
        <v>45854</v>
      </c>
      <c r="AM57" s="382">
        <f>AM4</f>
        <v>45847</v>
      </c>
      <c r="AN57" s="382">
        <v>45847</v>
      </c>
      <c r="AO57" s="382">
        <v>45840</v>
      </c>
      <c r="AP57" s="382">
        <f t="shared" ref="AP57:AU57" si="35">AP4</f>
        <v>45833</v>
      </c>
      <c r="AQ57" s="370">
        <f t="shared" si="35"/>
        <v>45826</v>
      </c>
      <c r="AR57" s="370">
        <f t="shared" si="35"/>
        <v>45819</v>
      </c>
      <c r="AS57" s="370">
        <f t="shared" si="35"/>
        <v>45812</v>
      </c>
      <c r="AT57" s="370">
        <f t="shared" si="35"/>
        <v>45805</v>
      </c>
      <c r="AU57" s="370">
        <f t="shared" si="35"/>
        <v>45798</v>
      </c>
      <c r="AV57" s="370">
        <f>'最高报价汇总 '!F2</f>
        <v>46099</v>
      </c>
      <c r="AW57" s="370">
        <f>AW4</f>
        <v>45785</v>
      </c>
      <c r="AX57" s="370">
        <f>AX50</f>
        <v>45777</v>
      </c>
      <c r="AY57" s="370">
        <f>AY50</f>
        <v>45763</v>
      </c>
      <c r="AZ57" s="370">
        <f>AZ50</f>
        <v>45757</v>
      </c>
      <c r="BA57" s="370">
        <f>BA50</f>
        <v>45742</v>
      </c>
      <c r="BB57" s="370">
        <f>'最高报价汇总 '!G2</f>
        <v>46092</v>
      </c>
      <c r="BC57" s="370">
        <f>'最高报价汇总 '!G2</f>
        <v>46092</v>
      </c>
      <c r="BD57" s="370">
        <f>'最高报价汇总 '!G2</f>
        <v>46092</v>
      </c>
      <c r="BE57" s="370">
        <f>'最高报价汇总 '!G2</f>
        <v>46092</v>
      </c>
      <c r="BF57" s="370" t="e">
        <f>BF50</f>
        <v>#REF!</v>
      </c>
      <c r="BG57" s="370">
        <f>'最高报价汇总 '!G2</f>
        <v>46092</v>
      </c>
      <c r="BH57" s="370">
        <f>'最高报价汇总 '!G2</f>
        <v>46092</v>
      </c>
      <c r="BI57" s="370">
        <f>'最高报价汇总 '!G2</f>
        <v>46092</v>
      </c>
      <c r="BJ57" s="370">
        <f>BJ50</f>
        <v>45673</v>
      </c>
      <c r="BK57" s="370">
        <f>'最高报价汇总 '!G2</f>
        <v>46092</v>
      </c>
      <c r="BL57" s="370" t="e">
        <f>BL50</f>
        <v>#REF!</v>
      </c>
      <c r="BM57" s="370">
        <f>'最高报价汇总 '!G2</f>
        <v>46092</v>
      </c>
      <c r="BN57" s="370" t="e">
        <f>BN50</f>
        <v>#REF!</v>
      </c>
      <c r="BO57" s="370">
        <f>'最高报价汇总 '!G2</f>
        <v>46092</v>
      </c>
      <c r="BP57" s="370">
        <f>'最高报价汇总 '!G2</f>
        <v>46092</v>
      </c>
      <c r="BQ57" s="370">
        <f>BQ50</f>
        <v>45625</v>
      </c>
      <c r="BR57" s="370">
        <f>'最高报价汇总 '!G2</f>
        <v>46092</v>
      </c>
      <c r="BS57" s="370">
        <f>'最高报价汇总 '!G2</f>
        <v>46092</v>
      </c>
      <c r="BT57" s="369">
        <f>'最高报价汇总 '!G2</f>
        <v>46092</v>
      </c>
      <c r="BU57" s="369" t="e">
        <f>#REF!</f>
        <v>#REF!</v>
      </c>
      <c r="BV57" s="369">
        <f>'最高报价汇总 '!G2</f>
        <v>46092</v>
      </c>
      <c r="BW57" s="369">
        <f>BW50</f>
        <v>45582</v>
      </c>
      <c r="BX57" s="369">
        <f>BX4</f>
        <v>45575</v>
      </c>
      <c r="BY57" s="369">
        <f>BY4</f>
        <v>45568</v>
      </c>
      <c r="BZ57" s="369">
        <f>BZ50</f>
        <v>45561</v>
      </c>
      <c r="CA57" s="370" t="str">
        <f>CA50</f>
        <v>当日增幅</v>
      </c>
      <c r="CB57" s="367" t="s">
        <v>223</v>
      </c>
    </row>
    <row r="58" spans="2:80">
      <c r="B58" s="194" t="s">
        <v>16</v>
      </c>
      <c r="C58" s="361" t="s">
        <v>311</v>
      </c>
      <c r="D58" s="811">
        <v>3.4500000000000003E-2</v>
      </c>
      <c r="E58" s="811">
        <v>3.4500000000000003E-2</v>
      </c>
      <c r="F58" s="811">
        <v>3.5000000000000003E-2</v>
      </c>
      <c r="G58" s="235">
        <v>3.5000000000000003E-2</v>
      </c>
      <c r="H58" s="235">
        <v>3.5000000000000003E-2</v>
      </c>
      <c r="I58" s="235">
        <v>3.5000000000000003E-2</v>
      </c>
      <c r="J58" s="235">
        <v>3.5000000000000003E-2</v>
      </c>
      <c r="K58" s="235">
        <v>3.5000000000000003E-2</v>
      </c>
      <c r="L58" s="235">
        <v>3.5000000000000003E-2</v>
      </c>
      <c r="M58" s="235">
        <v>3.5000000000000003E-2</v>
      </c>
      <c r="N58" s="279">
        <v>3.5000000000000003E-2</v>
      </c>
      <c r="O58" s="279">
        <v>3.6499999999999998E-2</v>
      </c>
      <c r="P58" s="235">
        <v>3.7499999999999999E-2</v>
      </c>
      <c r="Q58" s="235">
        <v>3.7499999999999999E-2</v>
      </c>
      <c r="R58" s="235">
        <v>3.7499999999999999E-2</v>
      </c>
      <c r="S58" s="235">
        <v>3.7499999999999999E-2</v>
      </c>
      <c r="T58" s="235">
        <v>3.7499999999999999E-2</v>
      </c>
      <c r="U58" s="279">
        <v>3.7499999999999999E-2</v>
      </c>
      <c r="V58" s="235">
        <v>3.85E-2</v>
      </c>
      <c r="W58" s="235">
        <v>3.85E-2</v>
      </c>
      <c r="X58" s="235">
        <v>3.85E-2</v>
      </c>
      <c r="Y58" s="235">
        <v>3.85E-2</v>
      </c>
      <c r="Z58" s="279">
        <v>3.85E-2</v>
      </c>
      <c r="AA58" s="235">
        <v>3.95E-2</v>
      </c>
      <c r="AB58" s="235">
        <v>3.95E-2</v>
      </c>
      <c r="AC58" s="235">
        <v>3.95E-2</v>
      </c>
      <c r="AD58" s="235">
        <v>3.95E-2</v>
      </c>
      <c r="AE58" s="235">
        <v>3.95E-2</v>
      </c>
      <c r="AF58" s="360">
        <v>3.95E-2</v>
      </c>
      <c r="AG58" s="279">
        <v>3.95E-2</v>
      </c>
      <c r="AH58" s="360">
        <v>4.0500000000000001E-2</v>
      </c>
      <c r="AI58" s="360">
        <v>4.0500000000000001E-2</v>
      </c>
      <c r="AJ58" s="235">
        <v>4.0500000000000001E-2</v>
      </c>
      <c r="AK58" s="360">
        <v>4.0500000000000001E-2</v>
      </c>
      <c r="AL58" s="279">
        <v>4.0500000000000001E-2</v>
      </c>
      <c r="AM58" s="279">
        <v>4.0500000000000001E-2</v>
      </c>
      <c r="AN58" s="311">
        <v>0.04</v>
      </c>
      <c r="AO58" s="311">
        <v>4.1000000000000002E-2</v>
      </c>
      <c r="AP58" s="359">
        <v>4.2000000000000003E-2</v>
      </c>
      <c r="AQ58" s="253">
        <v>4.2000000000000003E-2</v>
      </c>
      <c r="AR58" s="253">
        <v>4.2000000000000003E-2</v>
      </c>
      <c r="AS58" s="253">
        <v>4.2000000000000003E-2</v>
      </c>
      <c r="AT58" s="253">
        <v>4.2000000000000003E-2</v>
      </c>
      <c r="AU58" s="253">
        <v>4.2000000000000003E-2</v>
      </c>
      <c r="AV58" s="253">
        <v>4.2000000000000003E-2</v>
      </c>
      <c r="AW58" s="253">
        <v>4.2000000000000003E-2</v>
      </c>
      <c r="AX58" s="253">
        <v>4.2000000000000003E-2</v>
      </c>
      <c r="AY58" s="253">
        <v>4.2000000000000003E-2</v>
      </c>
      <c r="AZ58" s="253">
        <v>4.2000000000000003E-2</v>
      </c>
      <c r="BA58" s="253">
        <v>4.2000000000000003E-2</v>
      </c>
      <c r="BB58" s="253">
        <v>4.2000000000000003E-2</v>
      </c>
      <c r="BC58" s="253">
        <v>4.2000000000000003E-2</v>
      </c>
      <c r="BD58" s="253">
        <v>4.2000000000000003E-2</v>
      </c>
      <c r="BE58" s="253">
        <v>4.2000000000000003E-2</v>
      </c>
      <c r="BF58" s="370"/>
      <c r="BG58" s="370"/>
      <c r="BH58" s="370"/>
      <c r="BI58" s="370"/>
      <c r="BJ58" s="370"/>
      <c r="BK58" s="370"/>
      <c r="BL58" s="370"/>
      <c r="BM58" s="370"/>
      <c r="BN58" s="370"/>
      <c r="BO58" s="370"/>
      <c r="BP58" s="370"/>
      <c r="BQ58" s="370"/>
      <c r="BR58" s="370"/>
      <c r="BS58" s="370"/>
      <c r="BT58" s="369"/>
      <c r="BU58" s="369"/>
      <c r="BV58" s="369"/>
      <c r="BW58" s="369"/>
      <c r="BX58" s="369"/>
      <c r="BY58" s="369"/>
      <c r="BZ58" s="369"/>
      <c r="CA58" s="41">
        <f>$D58-$E58</f>
        <v>0</v>
      </c>
      <c r="CB58" s="381"/>
    </row>
    <row r="59" spans="2:80">
      <c r="B59" s="194" t="s">
        <v>20</v>
      </c>
      <c r="C59" s="361" t="s">
        <v>311</v>
      </c>
      <c r="D59" s="831">
        <v>3.4500000000000003E-2</v>
      </c>
      <c r="E59" s="831">
        <v>3.4500000000000003E-2</v>
      </c>
      <c r="F59" s="831">
        <v>3.4500000000000003E-2</v>
      </c>
      <c r="G59" s="235">
        <v>3.5499999999999997E-2</v>
      </c>
      <c r="H59" s="235">
        <v>3.5499999999999997E-2</v>
      </c>
      <c r="I59" s="235">
        <v>3.5499999999999997E-2</v>
      </c>
      <c r="J59" s="235">
        <v>3.5999999999999997E-2</v>
      </c>
      <c r="K59" s="235">
        <v>3.5999999999999997E-2</v>
      </c>
      <c r="L59" s="235">
        <v>3.5999999999999997E-2</v>
      </c>
      <c r="M59" s="235">
        <v>3.5999999999999997E-2</v>
      </c>
      <c r="N59" s="235">
        <v>3.5999999999999997E-2</v>
      </c>
      <c r="O59" s="235">
        <v>3.5999999999999997E-2</v>
      </c>
      <c r="P59" s="235">
        <v>3.5999999999999997E-2</v>
      </c>
      <c r="Q59" s="235">
        <v>3.5999999999999997E-2</v>
      </c>
      <c r="R59" s="235">
        <v>3.5999999999999997E-2</v>
      </c>
      <c r="S59" s="235">
        <v>3.6999999999999998E-2</v>
      </c>
      <c r="T59" s="235">
        <v>3.6999999999999998E-2</v>
      </c>
      <c r="U59" s="235">
        <v>3.6999999999999998E-2</v>
      </c>
      <c r="V59" s="279">
        <v>3.6999999999999998E-2</v>
      </c>
      <c r="W59" s="235">
        <v>3.7999999999999999E-2</v>
      </c>
      <c r="X59" s="235">
        <v>3.7999999999999999E-2</v>
      </c>
      <c r="Y59" s="235">
        <v>3.7999999999999999E-2</v>
      </c>
      <c r="Z59" s="235">
        <v>3.7999999999999999E-2</v>
      </c>
      <c r="AA59" s="279">
        <v>3.7999999999999999E-2</v>
      </c>
      <c r="AB59" s="235">
        <v>3.9E-2</v>
      </c>
      <c r="AC59" s="235">
        <v>3.9E-2</v>
      </c>
      <c r="AD59" s="235">
        <v>3.9E-2</v>
      </c>
      <c r="AE59" s="235">
        <v>3.9E-2</v>
      </c>
      <c r="AF59" s="360">
        <v>3.9E-2</v>
      </c>
      <c r="AG59" s="360">
        <v>3.9E-2</v>
      </c>
      <c r="AH59" s="360">
        <v>3.9E-2</v>
      </c>
      <c r="AI59" s="279">
        <v>3.9E-2</v>
      </c>
      <c r="AJ59" s="235">
        <v>0.04</v>
      </c>
      <c r="AK59" s="360">
        <v>0.04</v>
      </c>
      <c r="AL59" s="360">
        <v>0.04</v>
      </c>
      <c r="AM59" s="360">
        <v>0.04</v>
      </c>
      <c r="AN59" s="359">
        <v>0.04</v>
      </c>
      <c r="AO59" s="311">
        <v>0.04</v>
      </c>
      <c r="AP59" s="359">
        <v>4.2000000000000003E-2</v>
      </c>
      <c r="AQ59" s="253">
        <v>4.2000000000000003E-2</v>
      </c>
      <c r="AR59" s="253">
        <v>4.2000000000000003E-2</v>
      </c>
      <c r="AS59" s="253">
        <v>4.2000000000000003E-2</v>
      </c>
      <c r="AT59" s="253">
        <v>4.2000000000000003E-2</v>
      </c>
      <c r="AU59" s="311">
        <v>2.8500000000000001E-2</v>
      </c>
      <c r="AV59" s="253">
        <v>4.2000000000000003E-2</v>
      </c>
      <c r="AW59" s="311">
        <v>4.2000000000000003E-2</v>
      </c>
      <c r="AX59" s="253">
        <v>4.2999999999999997E-2</v>
      </c>
      <c r="AY59" s="253">
        <v>4.2999999999999997E-2</v>
      </c>
      <c r="AZ59" s="253">
        <v>4.2999999999999997E-2</v>
      </c>
      <c r="BA59" s="253">
        <v>4.2999999999999997E-2</v>
      </c>
      <c r="BB59" s="253">
        <v>4.2999999999999997E-2</v>
      </c>
      <c r="BC59" s="253">
        <v>4.2999999999999997E-2</v>
      </c>
      <c r="BD59" s="253">
        <v>4.3999999999999997E-2</v>
      </c>
      <c r="BE59" s="253">
        <v>4.3999999999999997E-2</v>
      </c>
      <c r="BF59" s="253">
        <v>4.3999999999999997E-2</v>
      </c>
      <c r="BG59" s="253">
        <v>4.3999999999999997E-2</v>
      </c>
      <c r="BH59" s="253">
        <v>4.5999999999999999E-2</v>
      </c>
      <c r="BI59" s="253">
        <v>4.5999999999999999E-2</v>
      </c>
      <c r="BJ59" s="253">
        <v>4.5999999999999999E-2</v>
      </c>
      <c r="BK59" s="253">
        <v>4.5999999999999999E-2</v>
      </c>
      <c r="BL59" s="253">
        <v>4.5999999999999999E-2</v>
      </c>
      <c r="BM59" s="253">
        <v>4.5999999999999999E-2</v>
      </c>
      <c r="BN59" s="253">
        <v>4.5999999999999999E-2</v>
      </c>
      <c r="BO59" s="253">
        <v>4.5999999999999999E-2</v>
      </c>
      <c r="BP59" s="253">
        <v>4.5999999999999999E-2</v>
      </c>
      <c r="BQ59" s="253">
        <v>4.5999999999999999E-2</v>
      </c>
      <c r="BR59" s="253">
        <v>4.5999999999999999E-2</v>
      </c>
      <c r="BS59" s="253">
        <v>4.5999999999999999E-2</v>
      </c>
      <c r="BT59" s="368">
        <v>4.5999999999999999E-2</v>
      </c>
      <c r="BU59" s="368">
        <v>4.5999999999999999E-2</v>
      </c>
      <c r="BV59" s="368">
        <v>4.5999999999999999E-2</v>
      </c>
      <c r="BW59" s="368">
        <v>4.5999999999999999E-2</v>
      </c>
      <c r="BX59" s="368">
        <v>4.5999999999999999E-2</v>
      </c>
      <c r="BY59" s="368">
        <v>4.5999999999999999E-2</v>
      </c>
      <c r="BZ59" s="368">
        <v>4.5999999999999999E-2</v>
      </c>
      <c r="CA59" s="41">
        <f>$D59-$E59</f>
        <v>0</v>
      </c>
      <c r="CB59" s="109" t="s">
        <v>298</v>
      </c>
    </row>
    <row r="60" spans="2:80">
      <c r="B60" s="194" t="s">
        <v>12</v>
      </c>
      <c r="C60" s="361" t="s">
        <v>513</v>
      </c>
      <c r="D60" s="831">
        <v>3.4000000000000002E-2</v>
      </c>
      <c r="E60" s="831">
        <v>3.4000000000000002E-2</v>
      </c>
      <c r="F60" s="831">
        <v>3.4000000000000002E-2</v>
      </c>
      <c r="G60" s="831">
        <v>3.4000000000000002E-2</v>
      </c>
      <c r="H60" s="235">
        <v>3.4500000000000003E-2</v>
      </c>
      <c r="I60" s="235">
        <v>3.4500000000000003E-2</v>
      </c>
      <c r="J60" s="235">
        <v>3.4500000000000003E-2</v>
      </c>
      <c r="K60" s="235">
        <v>3.4500000000000003E-2</v>
      </c>
      <c r="L60" s="235">
        <v>3.4500000000000003E-2</v>
      </c>
      <c r="M60" s="235">
        <v>3.4500000000000003E-2</v>
      </c>
      <c r="N60" s="235">
        <v>3.4500000000000003E-2</v>
      </c>
      <c r="O60" s="235">
        <v>3.4500000000000003E-2</v>
      </c>
      <c r="P60" s="279">
        <v>3.4500000000000003E-2</v>
      </c>
      <c r="Q60" s="279">
        <v>3.5000000000000003E-2</v>
      </c>
      <c r="R60" s="235">
        <v>3.6499999999999998E-2</v>
      </c>
      <c r="S60" s="279">
        <v>3.6499999999999998E-2</v>
      </c>
      <c r="T60" s="235">
        <v>3.5200000000000002E-2</v>
      </c>
      <c r="U60" s="279">
        <v>3.5200000000000002E-2</v>
      </c>
      <c r="V60" s="279">
        <v>3.6499999999999998E-2</v>
      </c>
      <c r="W60" s="235">
        <v>3.6999999999999998E-2</v>
      </c>
      <c r="X60" s="235">
        <v>3.6999999999999998E-2</v>
      </c>
      <c r="Y60" s="235">
        <v>3.6999999999999998E-2</v>
      </c>
      <c r="Z60" s="235">
        <v>3.6999999999999998E-2</v>
      </c>
      <c r="AA60" s="279">
        <v>3.6999999999999998E-2</v>
      </c>
      <c r="AB60" s="235">
        <v>3.7499999999999999E-2</v>
      </c>
      <c r="AC60" s="235">
        <v>3.7499999999999999E-2</v>
      </c>
      <c r="AD60" s="235">
        <v>3.7499999999999999E-2</v>
      </c>
      <c r="AE60" s="235">
        <v>3.7499999999999999E-2</v>
      </c>
      <c r="AF60" s="279">
        <v>3.7499999999999999E-2</v>
      </c>
      <c r="AG60" s="360">
        <v>3.7999999999999999E-2</v>
      </c>
      <c r="AH60" s="279">
        <v>3.7999999999999999E-2</v>
      </c>
      <c r="AI60" s="360">
        <v>0.04</v>
      </c>
      <c r="AJ60" s="235">
        <v>0.04</v>
      </c>
      <c r="AK60" s="360">
        <v>0.04</v>
      </c>
      <c r="AL60" s="360">
        <v>0.04</v>
      </c>
      <c r="AM60" s="360">
        <v>0.04</v>
      </c>
      <c r="AN60" s="359">
        <v>0.04</v>
      </c>
      <c r="AO60" s="359">
        <v>0.04</v>
      </c>
      <c r="AP60" s="359">
        <v>0.04</v>
      </c>
      <c r="AQ60" s="253">
        <v>0.04</v>
      </c>
      <c r="AR60" s="253">
        <v>0.04</v>
      </c>
      <c r="AS60" s="253">
        <v>0.04</v>
      </c>
      <c r="AT60" s="311">
        <v>0.04</v>
      </c>
      <c r="AU60" s="253">
        <v>3.8699999999999998E-2</v>
      </c>
      <c r="AV60" s="311">
        <v>3.8699999999999998E-2</v>
      </c>
      <c r="AW60" s="253">
        <v>4.2000000000000003E-2</v>
      </c>
      <c r="AX60" s="253">
        <v>4.2000000000000003E-2</v>
      </c>
      <c r="AY60" s="253"/>
      <c r="AZ60" s="253"/>
      <c r="BA60" s="253"/>
      <c r="BB60" s="253"/>
      <c r="BC60" s="253"/>
      <c r="BD60" s="253"/>
      <c r="BE60" s="253"/>
      <c r="BF60" s="253"/>
      <c r="BG60" s="253"/>
      <c r="BH60" s="253"/>
      <c r="BI60" s="253"/>
      <c r="BJ60" s="253"/>
      <c r="BK60" s="253"/>
      <c r="BL60" s="253"/>
      <c r="BM60" s="253"/>
      <c r="BN60" s="253"/>
      <c r="BO60" s="253"/>
      <c r="BP60" s="253"/>
      <c r="BQ60" s="253"/>
      <c r="BR60" s="253"/>
      <c r="BS60" s="253"/>
      <c r="BT60" s="253"/>
      <c r="BU60" s="253"/>
      <c r="BV60" s="253"/>
      <c r="BW60" s="253"/>
      <c r="BX60" s="253"/>
      <c r="BY60" s="253"/>
      <c r="BZ60" s="253"/>
      <c r="CA60" s="41">
        <f>$D60-$E60</f>
        <v>0</v>
      </c>
      <c r="CB60" s="109"/>
    </row>
    <row r="61" spans="2:80">
      <c r="B61" s="669" t="s">
        <v>42</v>
      </c>
      <c r="C61" s="111" t="s">
        <v>261</v>
      </c>
      <c r="D61" s="357">
        <v>3.4000000000000002E-2</v>
      </c>
      <c r="E61" s="357">
        <v>3.4000000000000002E-2</v>
      </c>
      <c r="F61" s="357">
        <v>3.4000000000000002E-2</v>
      </c>
      <c r="G61" s="357">
        <v>3.4000000000000002E-2</v>
      </c>
      <c r="H61" s="235"/>
      <c r="I61" s="800"/>
      <c r="J61" s="800"/>
      <c r="K61" s="800"/>
      <c r="L61" s="800"/>
      <c r="M61" s="800"/>
      <c r="N61" s="800"/>
      <c r="O61" s="800"/>
      <c r="P61" s="801"/>
      <c r="Q61" s="801"/>
      <c r="R61" s="800"/>
      <c r="S61" s="801"/>
      <c r="T61" s="800"/>
      <c r="U61" s="801"/>
      <c r="V61" s="801"/>
      <c r="W61" s="800"/>
      <c r="X61" s="800"/>
      <c r="Y61" s="800"/>
      <c r="Z61" s="800"/>
      <c r="AA61" s="801"/>
      <c r="AB61" s="800"/>
      <c r="AC61" s="800"/>
      <c r="AD61" s="800"/>
      <c r="AE61" s="800"/>
      <c r="AF61" s="801"/>
      <c r="AG61" s="802"/>
      <c r="AH61" s="801"/>
      <c r="AI61" s="802"/>
      <c r="AJ61" s="800"/>
      <c r="AK61" s="802"/>
      <c r="AL61" s="802"/>
      <c r="AM61" s="802"/>
      <c r="AN61" s="803"/>
      <c r="AO61" s="803"/>
      <c r="AP61" s="803"/>
      <c r="AQ61" s="805"/>
      <c r="AR61" s="805"/>
      <c r="AS61" s="805"/>
      <c r="AT61" s="804"/>
      <c r="AU61" s="805"/>
      <c r="AV61" s="804"/>
      <c r="AW61" s="805"/>
      <c r="AX61" s="805"/>
      <c r="AY61" s="805"/>
      <c r="AZ61" s="805"/>
      <c r="BA61" s="805"/>
      <c r="BB61" s="805"/>
      <c r="BC61" s="805"/>
      <c r="BD61" s="805"/>
      <c r="BE61" s="805"/>
      <c r="BF61" s="805"/>
      <c r="BG61" s="805"/>
      <c r="BH61" s="805"/>
      <c r="BI61" s="805"/>
      <c r="BJ61" s="805"/>
      <c r="BK61" s="805"/>
      <c r="BL61" s="805"/>
      <c r="BM61" s="805"/>
      <c r="BN61" s="805"/>
      <c r="BO61" s="805"/>
      <c r="BP61" s="805"/>
      <c r="BQ61" s="805"/>
      <c r="BR61" s="805"/>
      <c r="BS61" s="805"/>
      <c r="BT61" s="805"/>
      <c r="BU61" s="805"/>
      <c r="BV61" s="805"/>
      <c r="BW61" s="805"/>
      <c r="BX61" s="805"/>
      <c r="BY61" s="805"/>
      <c r="BZ61" s="805"/>
      <c r="CA61" s="41">
        <f>$D61-$E61</f>
        <v>0</v>
      </c>
      <c r="CB61" s="112"/>
    </row>
    <row r="62" spans="2:80">
      <c r="C62" s="14"/>
      <c r="D62" s="14"/>
      <c r="E62" s="14"/>
      <c r="F62" s="14"/>
      <c r="G62" s="14"/>
      <c r="H62" s="14"/>
      <c r="I62" s="14"/>
      <c r="J62" s="14"/>
      <c r="K62" s="14"/>
      <c r="L62" s="14"/>
      <c r="M62" s="14"/>
      <c r="N62" s="14"/>
      <c r="O62" s="14"/>
      <c r="P62" s="14"/>
      <c r="Q62" s="14"/>
      <c r="R62" s="14"/>
      <c r="S62" s="14"/>
      <c r="T62" s="14"/>
      <c r="U62" s="14"/>
      <c r="AG62" s="14"/>
      <c r="AH62" s="14"/>
      <c r="AI62" s="14"/>
      <c r="AK62" s="14"/>
      <c r="AL62" s="14"/>
      <c r="AM62" s="14"/>
      <c r="AN62" s="14"/>
      <c r="AO62" s="14"/>
      <c r="AP62" s="14"/>
      <c r="AQ62" s="14"/>
      <c r="AR62" s="14"/>
      <c r="AS62" s="14"/>
      <c r="AT62" s="14"/>
      <c r="AU62" s="14"/>
      <c r="AV62" s="14"/>
      <c r="AW62" s="14"/>
      <c r="AX62" s="14"/>
      <c r="AY62" s="14"/>
      <c r="AZ62" s="14"/>
      <c r="BA62" s="14"/>
      <c r="BB62" s="14"/>
      <c r="BC62" s="14"/>
      <c r="BD62" s="14"/>
      <c r="BE62" s="14"/>
      <c r="BF62" s="14"/>
      <c r="BG62" s="14"/>
      <c r="BH62" s="14"/>
      <c r="BI62" s="14"/>
      <c r="BJ62" s="14"/>
      <c r="BK62" s="14"/>
      <c r="BL62" s="14"/>
      <c r="BM62" s="14"/>
      <c r="BN62" s="14"/>
      <c r="BO62" s="14"/>
      <c r="BP62" s="14"/>
      <c r="BQ62" s="14"/>
      <c r="BR62" s="14"/>
      <c r="BS62" s="14"/>
      <c r="BT62" s="14"/>
      <c r="BU62" s="14"/>
      <c r="BV62" s="14"/>
      <c r="BW62" s="14"/>
      <c r="BX62" s="14"/>
      <c r="BY62" s="14"/>
      <c r="BZ62" s="14"/>
      <c r="CA62" s="14"/>
      <c r="CB62" s="114"/>
    </row>
    <row r="63" spans="2:80">
      <c r="B63" s="1080" t="s">
        <v>210</v>
      </c>
      <c r="C63" s="1080"/>
      <c r="D63" s="1080"/>
      <c r="E63" s="1080"/>
      <c r="F63" s="1080"/>
      <c r="G63" s="1080"/>
      <c r="H63" s="1080"/>
      <c r="I63" s="1080"/>
      <c r="J63" s="1080"/>
      <c r="K63" s="1080"/>
      <c r="L63" s="1080"/>
      <c r="M63" s="1080"/>
      <c r="N63" s="1080"/>
      <c r="O63" s="1080"/>
      <c r="P63" s="1080"/>
      <c r="Q63" s="1080"/>
      <c r="R63" s="1080"/>
      <c r="S63" s="1080"/>
      <c r="T63" s="1080"/>
      <c r="U63" s="1080"/>
      <c r="V63" s="1080"/>
      <c r="W63" s="1080"/>
      <c r="X63" s="1080"/>
      <c r="Y63" s="1080"/>
      <c r="Z63" s="1080"/>
      <c r="AA63" s="1080"/>
      <c r="AB63" s="1080"/>
      <c r="AC63" s="1080"/>
      <c r="AD63" s="1080"/>
      <c r="AE63" s="1080"/>
      <c r="AF63" s="1080"/>
      <c r="AG63" s="1080"/>
      <c r="AH63" s="1080"/>
      <c r="AI63" s="1080"/>
      <c r="AJ63" s="1080"/>
      <c r="AK63" s="1080"/>
      <c r="AL63" s="1080"/>
      <c r="AM63" s="1080"/>
      <c r="AN63" s="1080"/>
      <c r="AO63" s="1080"/>
      <c r="AP63" s="1080"/>
      <c r="AQ63" s="1080"/>
      <c r="AR63" s="1080"/>
      <c r="AS63" s="1080"/>
      <c r="AT63" s="1080"/>
      <c r="AU63" s="1080"/>
      <c r="AV63" s="1080"/>
      <c r="AW63" s="1080"/>
      <c r="AX63" s="1080"/>
      <c r="AY63" s="1080"/>
      <c r="AZ63" s="1080"/>
      <c r="BA63" s="1080"/>
      <c r="BB63" s="1080"/>
      <c r="BC63" s="1080"/>
      <c r="BD63" s="1080"/>
      <c r="BE63" s="1080"/>
      <c r="BF63" s="1080"/>
      <c r="BG63" s="1080"/>
      <c r="BH63" s="1080"/>
      <c r="BI63" s="1080"/>
      <c r="BJ63" s="1080"/>
      <c r="BK63" s="1080"/>
      <c r="BL63" s="1080"/>
      <c r="BM63" s="1080"/>
      <c r="BN63" s="1080"/>
      <c r="BO63" s="1080"/>
      <c r="BP63" s="1080"/>
      <c r="BQ63" s="1080"/>
      <c r="BR63" s="1080"/>
      <c r="BS63" s="1080"/>
      <c r="BT63" s="1080"/>
      <c r="BU63" s="1080"/>
      <c r="BV63" s="1080"/>
      <c r="BW63" s="1080"/>
      <c r="BX63" s="1080"/>
      <c r="BY63" s="1080"/>
      <c r="BZ63" s="1080"/>
      <c r="CA63" s="1080"/>
      <c r="CB63" s="1080"/>
    </row>
    <row r="64" spans="2:80">
      <c r="B64" s="756" t="s">
        <v>121</v>
      </c>
      <c r="C64" s="756" t="s">
        <v>120</v>
      </c>
      <c r="D64" s="366">
        <f t="shared" ref="D64:F64" si="36">D4</f>
        <v>46099</v>
      </c>
      <c r="E64" s="366">
        <f t="shared" ref="E64" si="37">E4</f>
        <v>46092</v>
      </c>
      <c r="F64" s="366">
        <f t="shared" si="36"/>
        <v>46085</v>
      </c>
      <c r="G64" s="366">
        <f t="shared" ref="G64:AF64" si="38">G4</f>
        <v>46078</v>
      </c>
      <c r="H64" s="366">
        <f t="shared" si="38"/>
        <v>46071</v>
      </c>
      <c r="I64" s="366">
        <f t="shared" si="38"/>
        <v>46057</v>
      </c>
      <c r="J64" s="366">
        <f t="shared" si="38"/>
        <v>46050</v>
      </c>
      <c r="K64" s="366">
        <f t="shared" si="38"/>
        <v>46043</v>
      </c>
      <c r="L64" s="366">
        <f t="shared" si="38"/>
        <v>46036</v>
      </c>
      <c r="M64" s="366">
        <f t="shared" si="38"/>
        <v>46029</v>
      </c>
      <c r="N64" s="366">
        <f t="shared" si="38"/>
        <v>46022</v>
      </c>
      <c r="O64" s="366">
        <f t="shared" si="38"/>
        <v>46015</v>
      </c>
      <c r="P64" s="366">
        <f t="shared" si="38"/>
        <v>46008</v>
      </c>
      <c r="Q64" s="366">
        <f t="shared" si="38"/>
        <v>46001</v>
      </c>
      <c r="R64" s="366">
        <f t="shared" si="38"/>
        <v>45994</v>
      </c>
      <c r="S64" s="366">
        <f t="shared" si="38"/>
        <v>45987</v>
      </c>
      <c r="T64" s="366">
        <f t="shared" si="38"/>
        <v>45980</v>
      </c>
      <c r="U64" s="366">
        <f t="shared" si="38"/>
        <v>45973</v>
      </c>
      <c r="V64" s="366">
        <f t="shared" si="38"/>
        <v>45966</v>
      </c>
      <c r="W64" s="366">
        <f t="shared" si="38"/>
        <v>45959</v>
      </c>
      <c r="X64" s="366">
        <f t="shared" si="38"/>
        <v>45952</v>
      </c>
      <c r="Y64" s="366">
        <f t="shared" si="38"/>
        <v>45945</v>
      </c>
      <c r="Z64" s="366">
        <f t="shared" si="38"/>
        <v>45938</v>
      </c>
      <c r="AA64" s="366">
        <f t="shared" si="38"/>
        <v>45931</v>
      </c>
      <c r="AB64" s="366">
        <f t="shared" si="38"/>
        <v>45924</v>
      </c>
      <c r="AC64" s="366">
        <f t="shared" si="38"/>
        <v>45917</v>
      </c>
      <c r="AD64" s="366">
        <f t="shared" si="38"/>
        <v>45910</v>
      </c>
      <c r="AE64" s="366">
        <f t="shared" si="38"/>
        <v>45903</v>
      </c>
      <c r="AF64" s="344">
        <f t="shared" si="38"/>
        <v>45896</v>
      </c>
      <c r="AG64" s="344">
        <v>45889</v>
      </c>
      <c r="AH64" s="344">
        <v>45882</v>
      </c>
      <c r="AI64" s="344">
        <v>45875</v>
      </c>
      <c r="AJ64" s="366">
        <v>45868</v>
      </c>
      <c r="AK64" s="344">
        <v>45861</v>
      </c>
      <c r="AL64" s="344">
        <f>AL4</f>
        <v>45854</v>
      </c>
      <c r="AM64" s="344">
        <f>AM4</f>
        <v>45847</v>
      </c>
      <c r="AN64" s="344">
        <v>45847</v>
      </c>
      <c r="AO64" s="344">
        <v>45840</v>
      </c>
      <c r="AP64" s="344">
        <f t="shared" ref="AP64:AU64" si="39">AP4</f>
        <v>45833</v>
      </c>
      <c r="AQ64" s="366">
        <f t="shared" si="39"/>
        <v>45826</v>
      </c>
      <c r="AR64" s="366">
        <f t="shared" si="39"/>
        <v>45819</v>
      </c>
      <c r="AS64" s="366">
        <f t="shared" si="39"/>
        <v>45812</v>
      </c>
      <c r="AT64" s="366">
        <f t="shared" si="39"/>
        <v>45805</v>
      </c>
      <c r="AU64" s="366">
        <f t="shared" si="39"/>
        <v>45798</v>
      </c>
      <c r="AV64" s="366">
        <f>'最高报价汇总 '!F2</f>
        <v>46099</v>
      </c>
      <c r="AW64" s="366">
        <f>AW4</f>
        <v>45785</v>
      </c>
      <c r="AX64" s="366">
        <f>AX50</f>
        <v>45777</v>
      </c>
      <c r="AY64" s="366">
        <f>AY50</f>
        <v>45763</v>
      </c>
      <c r="AZ64" s="366">
        <f>AZ50</f>
        <v>45757</v>
      </c>
      <c r="BA64" s="366">
        <f>BA57</f>
        <v>45742</v>
      </c>
      <c r="BB64" s="366">
        <f>'最高报价汇总 '!G2</f>
        <v>46092</v>
      </c>
      <c r="BC64" s="366">
        <f>'最高报价汇总 '!G2</f>
        <v>46092</v>
      </c>
      <c r="BD64" s="366">
        <f>'最高报价汇总 '!G2</f>
        <v>46092</v>
      </c>
      <c r="BE64" s="366">
        <f>'最高报价汇总 '!G2</f>
        <v>46092</v>
      </c>
      <c r="BF64" s="366" t="e">
        <f>BF50</f>
        <v>#REF!</v>
      </c>
      <c r="BG64" s="366">
        <f>'最高报价汇总 '!G2</f>
        <v>46092</v>
      </c>
      <c r="BH64" s="366">
        <f>'最高报价汇总 '!G2</f>
        <v>46092</v>
      </c>
      <c r="BI64" s="366">
        <f>'最高报价汇总 '!G2</f>
        <v>46092</v>
      </c>
      <c r="BJ64" s="366">
        <f>BJ50</f>
        <v>45673</v>
      </c>
      <c r="BK64" s="366">
        <f>'最高报价汇总 '!G2</f>
        <v>46092</v>
      </c>
      <c r="BL64" s="366" t="e">
        <f>BL57</f>
        <v>#REF!</v>
      </c>
      <c r="BM64" s="366">
        <f>'最高报价汇总 '!G2</f>
        <v>46092</v>
      </c>
      <c r="BN64" s="366" t="e">
        <f>BN57</f>
        <v>#REF!</v>
      </c>
      <c r="BO64" s="366">
        <f>'最高报价汇总 '!G2</f>
        <v>46092</v>
      </c>
      <c r="BP64" s="366">
        <f>'最高报价汇总 '!G2</f>
        <v>46092</v>
      </c>
      <c r="BQ64" s="366">
        <f>BQ50</f>
        <v>45625</v>
      </c>
      <c r="BR64" s="366">
        <f>'最高报价汇总 '!G2</f>
        <v>46092</v>
      </c>
      <c r="BS64" s="366">
        <f>'最高报价汇总 '!G2</f>
        <v>46092</v>
      </c>
      <c r="BT64" s="66">
        <f>'最高报价汇总 '!G2</f>
        <v>46092</v>
      </c>
      <c r="BU64" s="66" t="e">
        <f>#REF!</f>
        <v>#REF!</v>
      </c>
      <c r="BV64" s="66">
        <f>'最高报价汇总 '!G2</f>
        <v>46092</v>
      </c>
      <c r="BW64" s="66">
        <f>BW50</f>
        <v>45582</v>
      </c>
      <c r="BX64" s="66">
        <f>BX4</f>
        <v>45575</v>
      </c>
      <c r="BY64" s="66">
        <f>BY4</f>
        <v>45568</v>
      </c>
      <c r="BZ64" s="66">
        <f>BZ50</f>
        <v>45561</v>
      </c>
      <c r="CA64" s="366" t="str">
        <f>CA57</f>
        <v>当日增幅</v>
      </c>
      <c r="CB64" s="367" t="s">
        <v>223</v>
      </c>
    </row>
    <row r="65" spans="2:80">
      <c r="B65" s="194" t="s">
        <v>16</v>
      </c>
      <c r="C65" s="361" t="s">
        <v>311</v>
      </c>
      <c r="D65" s="831">
        <v>3.4000000000000002E-2</v>
      </c>
      <c r="E65" s="831">
        <v>3.4000000000000002E-2</v>
      </c>
      <c r="F65" s="831">
        <v>3.4000000000000002E-2</v>
      </c>
      <c r="G65" s="235">
        <v>3.5499999999999997E-2</v>
      </c>
      <c r="H65" s="235">
        <v>3.5499999999999997E-2</v>
      </c>
      <c r="I65" s="235">
        <v>3.5499999999999997E-2</v>
      </c>
      <c r="J65" s="235">
        <v>3.5499999999999997E-2</v>
      </c>
      <c r="K65" s="235">
        <v>3.5499999999999997E-2</v>
      </c>
      <c r="L65" s="235">
        <v>3.5499999999999997E-2</v>
      </c>
      <c r="M65" s="235">
        <v>3.5499999999999997E-2</v>
      </c>
      <c r="N65" s="279">
        <v>3.5499999999999997E-2</v>
      </c>
      <c r="O65" s="279">
        <v>3.6999999999999998E-2</v>
      </c>
      <c r="P65" s="235">
        <v>3.85E-2</v>
      </c>
      <c r="Q65" s="235">
        <v>3.85E-2</v>
      </c>
      <c r="R65" s="235">
        <v>3.85E-2</v>
      </c>
      <c r="S65" s="235">
        <v>3.85E-2</v>
      </c>
      <c r="T65" s="235">
        <v>3.85E-2</v>
      </c>
      <c r="U65" s="235">
        <v>3.85E-2</v>
      </c>
      <c r="V65" s="235">
        <v>3.85E-2</v>
      </c>
      <c r="W65" s="235">
        <v>3.85E-2</v>
      </c>
      <c r="X65" s="235">
        <v>3.85E-2</v>
      </c>
      <c r="Y65" s="235">
        <v>3.85E-2</v>
      </c>
      <c r="Z65" s="279">
        <v>3.85E-2</v>
      </c>
      <c r="AA65" s="235">
        <v>3.95E-2</v>
      </c>
      <c r="AB65" s="235">
        <v>3.95E-2</v>
      </c>
      <c r="AC65" s="235">
        <v>3.95E-2</v>
      </c>
      <c r="AD65" s="235">
        <v>3.95E-2</v>
      </c>
      <c r="AE65" s="235">
        <v>3.95E-2</v>
      </c>
      <c r="AF65" s="360">
        <v>3.95E-2</v>
      </c>
      <c r="AG65" s="279">
        <v>3.95E-2</v>
      </c>
      <c r="AH65" s="360">
        <v>0.04</v>
      </c>
      <c r="AI65" s="360">
        <v>0.04</v>
      </c>
      <c r="AJ65" s="235">
        <v>0.04</v>
      </c>
      <c r="AK65" s="360">
        <v>0.04</v>
      </c>
      <c r="AL65" s="360">
        <v>0.04</v>
      </c>
      <c r="AM65" s="360">
        <v>0.04</v>
      </c>
      <c r="AN65" s="359">
        <v>0.04</v>
      </c>
      <c r="AO65" s="311">
        <v>0.04</v>
      </c>
      <c r="AP65" s="359">
        <v>4.1000000000000002E-2</v>
      </c>
      <c r="AQ65" s="253">
        <v>4.1000000000000002E-2</v>
      </c>
      <c r="AR65" s="253">
        <v>4.1000000000000002E-2</v>
      </c>
      <c r="AS65" s="253">
        <v>4.1000000000000002E-2</v>
      </c>
      <c r="AT65" s="253">
        <v>4.1000000000000002E-2</v>
      </c>
      <c r="AU65" s="253">
        <v>4.1000000000000002E-2</v>
      </c>
      <c r="AV65" s="253">
        <v>4.1000000000000002E-2</v>
      </c>
      <c r="AW65" s="253">
        <v>4.1000000000000002E-2</v>
      </c>
      <c r="AX65" s="253">
        <v>4.1000000000000002E-2</v>
      </c>
      <c r="AY65" s="253">
        <v>4.1000000000000002E-2</v>
      </c>
      <c r="AZ65" s="253">
        <v>4.1000000000000002E-2</v>
      </c>
      <c r="BA65" s="253">
        <v>4.1000000000000002E-2</v>
      </c>
      <c r="BB65" s="253">
        <v>4.1000000000000002E-2</v>
      </c>
      <c r="BC65" s="253">
        <v>4.1000000000000002E-2</v>
      </c>
      <c r="BD65" s="253">
        <v>4.1000000000000002E-2</v>
      </c>
      <c r="BE65" s="253">
        <v>4.1000000000000002E-2</v>
      </c>
      <c r="BF65" s="366"/>
      <c r="BG65" s="366"/>
      <c r="BH65" s="366"/>
      <c r="BI65" s="366"/>
      <c r="BJ65" s="366"/>
      <c r="BK65" s="366"/>
      <c r="BL65" s="366"/>
      <c r="BM65" s="366"/>
      <c r="BN65" s="366"/>
      <c r="BO65" s="366"/>
      <c r="BP65" s="366"/>
      <c r="BQ65" s="366"/>
      <c r="BR65" s="366"/>
      <c r="BS65" s="366"/>
      <c r="BT65" s="66"/>
      <c r="BU65" s="66"/>
      <c r="BV65" s="66"/>
      <c r="BW65" s="66"/>
      <c r="BX65" s="66"/>
      <c r="BY65" s="66"/>
      <c r="BZ65" s="66"/>
      <c r="CA65" s="41">
        <f>$D65-$E65</f>
        <v>0</v>
      </c>
      <c r="CB65" s="381"/>
    </row>
    <row r="66" spans="2:80">
      <c r="B66" s="194" t="s">
        <v>20</v>
      </c>
      <c r="C66" s="111" t="s">
        <v>300</v>
      </c>
      <c r="D66" s="831">
        <v>3.2500000000000001E-2</v>
      </c>
      <c r="E66" s="831">
        <v>3.2500000000000001E-2</v>
      </c>
      <c r="F66" s="831">
        <v>3.2500000000000001E-2</v>
      </c>
      <c r="G66" s="235">
        <v>3.4000000000000002E-2</v>
      </c>
      <c r="H66" s="235">
        <v>3.4000000000000002E-2</v>
      </c>
      <c r="I66" s="235">
        <v>3.4000000000000002E-2</v>
      </c>
      <c r="J66" s="235">
        <v>3.5999999999999997E-2</v>
      </c>
      <c r="K66" s="235">
        <v>3.5999999999999997E-2</v>
      </c>
      <c r="L66" s="235">
        <v>3.5999999999999997E-2</v>
      </c>
      <c r="M66" s="235">
        <v>3.5999999999999997E-2</v>
      </c>
      <c r="N66" s="235">
        <v>3.5999999999999997E-2</v>
      </c>
      <c r="O66" s="235">
        <v>3.5999999999999997E-2</v>
      </c>
      <c r="P66" s="235">
        <v>3.5999999999999997E-2</v>
      </c>
      <c r="Q66" s="235">
        <v>3.5999999999999997E-2</v>
      </c>
      <c r="R66" s="235">
        <v>3.5999999999999997E-2</v>
      </c>
      <c r="S66" s="235">
        <v>3.7999999999999999E-2</v>
      </c>
      <c r="T66" s="235">
        <v>3.7999999999999999E-2</v>
      </c>
      <c r="U66" s="235">
        <v>3.7999999999999999E-2</v>
      </c>
      <c r="V66" s="388">
        <v>3.7999999999999999E-2</v>
      </c>
      <c r="W66" s="380">
        <v>3.7999999999999999E-2</v>
      </c>
      <c r="X66" s="380">
        <v>3.7999999999999999E-2</v>
      </c>
      <c r="Y66" s="380">
        <v>3.7999999999999999E-2</v>
      </c>
      <c r="Z66" s="380">
        <v>3.7999999999999999E-2</v>
      </c>
      <c r="AA66" s="380">
        <v>3.7999999999999999E-2</v>
      </c>
      <c r="AB66" s="380">
        <v>3.7999999999999999E-2</v>
      </c>
      <c r="AC66" s="380">
        <v>3.7999999999999999E-2</v>
      </c>
      <c r="AD66" s="380">
        <v>3.7999999999999999E-2</v>
      </c>
      <c r="AE66" s="388">
        <v>3.7999999999999999E-2</v>
      </c>
      <c r="AF66" s="379">
        <v>0.04</v>
      </c>
      <c r="AG66" s="379">
        <v>0.04</v>
      </c>
      <c r="AH66" s="379">
        <v>0.04</v>
      </c>
      <c r="AI66" s="379">
        <v>0.04</v>
      </c>
      <c r="AJ66" s="380">
        <v>0.04</v>
      </c>
      <c r="AK66" s="379">
        <v>0.04</v>
      </c>
      <c r="AL66" s="379">
        <v>0.04</v>
      </c>
      <c r="AM66" s="379">
        <v>0.04</v>
      </c>
      <c r="AN66" s="378">
        <v>0.04</v>
      </c>
      <c r="AO66" s="362">
        <v>0.04</v>
      </c>
      <c r="AP66" s="378">
        <v>4.1000000000000002E-2</v>
      </c>
      <c r="AQ66" s="153">
        <v>4.1000000000000002E-2</v>
      </c>
      <c r="AR66" s="153">
        <v>4.1000000000000002E-2</v>
      </c>
      <c r="AS66" s="153">
        <v>4.1000000000000002E-2</v>
      </c>
      <c r="AT66" s="153">
        <v>4.1000000000000002E-2</v>
      </c>
      <c r="AU66" s="362">
        <v>2.5999999999999999E-2</v>
      </c>
      <c r="AV66" s="153">
        <v>4.1000000000000002E-2</v>
      </c>
      <c r="AW66" s="362">
        <v>4.1000000000000002E-2</v>
      </c>
      <c r="AX66" s="153">
        <v>4.2999999999999997E-2</v>
      </c>
      <c r="AY66" s="153">
        <v>4.2999999999999997E-2</v>
      </c>
      <c r="AZ66" s="153">
        <v>4.2999999999999997E-2</v>
      </c>
      <c r="BA66" s="153">
        <v>4.2999999999999997E-2</v>
      </c>
      <c r="BB66" s="153">
        <v>4.2999999999999997E-2</v>
      </c>
      <c r="BC66" s="153">
        <v>4.2999999999999997E-2</v>
      </c>
      <c r="BD66" s="153">
        <v>4.2999999999999997E-2</v>
      </c>
      <c r="BE66" s="153">
        <v>4.2999999999999997E-2</v>
      </c>
      <c r="BF66" s="153">
        <v>4.2999999999999997E-2</v>
      </c>
      <c r="BG66" s="153">
        <v>4.2999999999999997E-2</v>
      </c>
      <c r="BH66" s="153">
        <v>4.3999999999999997E-2</v>
      </c>
      <c r="BI66" s="153">
        <v>4.3999999999999997E-2</v>
      </c>
      <c r="BJ66" s="153">
        <v>4.3999999999999997E-2</v>
      </c>
      <c r="BK66" s="153">
        <v>4.3999999999999997E-2</v>
      </c>
      <c r="BL66" s="153">
        <v>4.3999999999999997E-2</v>
      </c>
      <c r="BM66" s="153">
        <v>4.3999999999999997E-2</v>
      </c>
      <c r="BN66" s="153">
        <v>4.3999999999999997E-2</v>
      </c>
      <c r="BO66" s="153">
        <v>4.3999999999999997E-2</v>
      </c>
      <c r="BP66" s="153">
        <v>4.3999999999999997E-2</v>
      </c>
      <c r="BQ66" s="153">
        <v>4.3999999999999997E-2</v>
      </c>
      <c r="BR66" s="153">
        <v>4.3999999999999997E-2</v>
      </c>
      <c r="BS66" s="153">
        <v>4.3999999999999997E-2</v>
      </c>
      <c r="BT66" s="362">
        <v>4.3999999999999997E-2</v>
      </c>
      <c r="BU66" s="362">
        <v>4.5999999999999999E-2</v>
      </c>
      <c r="BV66" s="362">
        <v>4.5999999999999999E-2</v>
      </c>
      <c r="BW66" s="362">
        <v>4.5999999999999999E-2</v>
      </c>
      <c r="BX66" s="362">
        <v>4.5999999999999999E-2</v>
      </c>
      <c r="BY66" s="362">
        <v>4.5999999999999999E-2</v>
      </c>
      <c r="BZ66" s="362">
        <v>4.5999999999999999E-2</v>
      </c>
      <c r="CA66" s="41">
        <f>$D66-$E66</f>
        <v>0</v>
      </c>
      <c r="CB66" s="109" t="s">
        <v>298</v>
      </c>
    </row>
    <row r="67" spans="2:80">
      <c r="B67" s="194" t="s">
        <v>12</v>
      </c>
      <c r="C67" s="361" t="s">
        <v>513</v>
      </c>
      <c r="D67" s="831">
        <v>3.3000000000000002E-2</v>
      </c>
      <c r="E67" s="831">
        <v>3.3000000000000002E-2</v>
      </c>
      <c r="F67" s="831">
        <v>3.3000000000000002E-2</v>
      </c>
      <c r="G67" s="831">
        <v>3.3000000000000002E-2</v>
      </c>
      <c r="H67" s="235">
        <v>3.4000000000000002E-2</v>
      </c>
      <c r="I67" s="235">
        <v>3.4000000000000002E-2</v>
      </c>
      <c r="J67" s="235">
        <v>3.4000000000000002E-2</v>
      </c>
      <c r="K67" s="235">
        <v>3.4000000000000002E-2</v>
      </c>
      <c r="L67" s="235">
        <v>3.4000000000000002E-2</v>
      </c>
      <c r="M67" s="235">
        <v>3.4000000000000002E-2</v>
      </c>
      <c r="N67" s="235">
        <v>3.4000000000000002E-2</v>
      </c>
      <c r="O67" s="279">
        <v>3.4000000000000002E-2</v>
      </c>
      <c r="P67" s="279">
        <v>3.4500000000000003E-2</v>
      </c>
      <c r="Q67" s="279">
        <v>3.5000000000000003E-2</v>
      </c>
      <c r="R67" s="235">
        <v>3.5999999999999997E-2</v>
      </c>
      <c r="S67" s="279">
        <v>3.5999999999999997E-2</v>
      </c>
      <c r="T67" s="235">
        <v>3.4700000000000002E-2</v>
      </c>
      <c r="U67" s="279">
        <v>3.4700000000000002E-2</v>
      </c>
      <c r="V67" s="279">
        <v>3.5999999999999997E-2</v>
      </c>
      <c r="W67" s="235">
        <v>3.6999999999999998E-2</v>
      </c>
      <c r="X67" s="235">
        <v>3.6999999999999998E-2</v>
      </c>
      <c r="Y67" s="235">
        <v>3.6999999999999998E-2</v>
      </c>
      <c r="Z67" s="235">
        <v>3.6999999999999998E-2</v>
      </c>
      <c r="AA67" s="235">
        <v>3.6999999999999998E-2</v>
      </c>
      <c r="AB67" s="235">
        <v>3.6999999999999998E-2</v>
      </c>
      <c r="AC67" s="235">
        <v>3.6999999999999998E-2</v>
      </c>
      <c r="AD67" s="235">
        <v>3.6999999999999998E-2</v>
      </c>
      <c r="AE67" s="235">
        <v>3.6999999999999998E-2</v>
      </c>
      <c r="AF67" s="360">
        <v>3.6999999999999998E-2</v>
      </c>
      <c r="AG67" s="279">
        <v>3.6999999999999998E-2</v>
      </c>
      <c r="AH67" s="279">
        <v>3.7499999999999999E-2</v>
      </c>
      <c r="AI67" s="360">
        <v>3.85E-2</v>
      </c>
      <c r="AJ67" s="235">
        <v>3.85E-2</v>
      </c>
      <c r="AK67" s="360">
        <v>3.85E-2</v>
      </c>
      <c r="AL67" s="360">
        <v>3.85E-2</v>
      </c>
      <c r="AM67" s="360">
        <v>3.85E-2</v>
      </c>
      <c r="AN67" s="311">
        <v>3.85E-2</v>
      </c>
      <c r="AO67" s="311">
        <v>3.95E-2</v>
      </c>
      <c r="AP67" s="359">
        <v>0.04</v>
      </c>
      <c r="AQ67" s="253">
        <v>0.04</v>
      </c>
      <c r="AR67" s="253">
        <v>0.04</v>
      </c>
      <c r="AS67" s="253">
        <v>0.04</v>
      </c>
      <c r="AT67" s="311">
        <v>0.04</v>
      </c>
      <c r="AU67" s="253">
        <v>3.8699999999999998E-2</v>
      </c>
      <c r="AV67" s="311">
        <v>3.8699999999999998E-2</v>
      </c>
      <c r="AW67" s="253">
        <v>4.2500000000000003E-2</v>
      </c>
      <c r="AX67" s="253"/>
      <c r="AY67" s="253"/>
      <c r="AZ67" s="253"/>
      <c r="BA67" s="253"/>
      <c r="BB67" s="253"/>
      <c r="BC67" s="253"/>
      <c r="BD67" s="253"/>
      <c r="BE67" s="253"/>
      <c r="BF67" s="253"/>
      <c r="BG67" s="253"/>
      <c r="BH67" s="253"/>
      <c r="BI67" s="253"/>
      <c r="BJ67" s="253"/>
      <c r="BK67" s="253"/>
      <c r="BL67" s="253"/>
      <c r="BM67" s="253"/>
      <c r="BN67" s="253"/>
      <c r="BO67" s="253"/>
      <c r="BP67" s="253"/>
      <c r="BQ67" s="253"/>
      <c r="BR67" s="253"/>
      <c r="BS67" s="253"/>
      <c r="BT67" s="253"/>
      <c r="BU67" s="253"/>
      <c r="BV67" s="253"/>
      <c r="BW67" s="253"/>
      <c r="BX67" s="253"/>
      <c r="BY67" s="253"/>
      <c r="BZ67" s="253"/>
      <c r="CA67" s="41">
        <f>$D67-$E67</f>
        <v>0</v>
      </c>
      <c r="CB67" s="109"/>
    </row>
    <row r="68" spans="2:80">
      <c r="B68" s="669" t="s">
        <v>42</v>
      </c>
      <c r="C68" s="111" t="s">
        <v>261</v>
      </c>
      <c r="D68" s="357">
        <v>3.4000000000000002E-2</v>
      </c>
      <c r="E68" s="357">
        <v>3.4000000000000002E-2</v>
      </c>
      <c r="F68" s="357">
        <v>3.4000000000000002E-2</v>
      </c>
      <c r="G68" s="357">
        <v>3.4000000000000002E-2</v>
      </c>
      <c r="H68" s="357">
        <v>3.6499999999999998E-2</v>
      </c>
      <c r="I68" s="357">
        <v>3.6499999999999998E-2</v>
      </c>
      <c r="J68" s="357">
        <v>3.5999999999999997E-2</v>
      </c>
      <c r="K68" s="357">
        <v>3.5999999999999997E-2</v>
      </c>
      <c r="L68" s="357">
        <v>3.5999999999999997E-2</v>
      </c>
      <c r="M68" s="357">
        <v>3.5999999999999997E-2</v>
      </c>
      <c r="N68" s="357">
        <v>3.5999999999999997E-2</v>
      </c>
      <c r="O68" s="579">
        <v>3.5999999999999997E-2</v>
      </c>
      <c r="P68" s="357">
        <v>3.7999999999999999E-2</v>
      </c>
      <c r="Q68" s="357">
        <v>3.7999999999999999E-2</v>
      </c>
      <c r="R68" s="357">
        <v>3.7999999999999999E-2</v>
      </c>
      <c r="S68" s="357">
        <v>3.7999999999999999E-2</v>
      </c>
      <c r="T68" s="357">
        <v>3.7999999999999999E-2</v>
      </c>
      <c r="U68" s="357">
        <v>3.7999999999999999E-2</v>
      </c>
      <c r="V68" s="357">
        <v>3.7999999999999999E-2</v>
      </c>
      <c r="W68" s="357">
        <v>3.7999999999999999E-2</v>
      </c>
      <c r="X68" s="357">
        <v>3.7999999999999999E-2</v>
      </c>
      <c r="Y68" s="357">
        <v>3.7999999999999999E-2</v>
      </c>
      <c r="Z68" s="357">
        <v>3.7999999999999999E-2</v>
      </c>
      <c r="AA68" s="579">
        <v>3.7999999999999999E-2</v>
      </c>
      <c r="AB68" s="357">
        <v>3.9E-2</v>
      </c>
      <c r="AC68" s="357">
        <v>3.9E-2</v>
      </c>
      <c r="AD68" s="357">
        <v>3.9E-2</v>
      </c>
      <c r="AE68" s="357">
        <v>3.9E-2</v>
      </c>
      <c r="AF68" s="356">
        <v>3.9E-2</v>
      </c>
      <c r="AG68" s="357">
        <v>3.9E-2</v>
      </c>
      <c r="AH68" s="356">
        <v>3.9E-2</v>
      </c>
      <c r="AI68" s="356">
        <v>3.9E-2</v>
      </c>
      <c r="AJ68" s="357">
        <v>3.9E-2</v>
      </c>
      <c r="AK68" s="356">
        <v>3.9E-2</v>
      </c>
      <c r="AL68" s="356">
        <v>3.9E-2</v>
      </c>
      <c r="AM68" s="356">
        <v>3.9E-2</v>
      </c>
      <c r="AN68" s="376">
        <v>3.9E-2</v>
      </c>
      <c r="AO68" s="375">
        <v>3.9E-2</v>
      </c>
      <c r="AP68" s="376">
        <v>3.5999999999999997E-2</v>
      </c>
      <c r="AQ68" s="374">
        <v>3.5999999999999997E-2</v>
      </c>
      <c r="AR68" s="374">
        <v>3.5999999999999997E-2</v>
      </c>
      <c r="AS68" s="375">
        <v>3.5999999999999997E-2</v>
      </c>
      <c r="AT68" s="375">
        <v>3.9E-2</v>
      </c>
      <c r="AU68" s="374">
        <v>3.9E-2</v>
      </c>
      <c r="AV68" s="374">
        <v>3.9E-2</v>
      </c>
      <c r="AW68" s="374">
        <v>3.9E-2</v>
      </c>
      <c r="AX68" s="374">
        <v>3.9E-2</v>
      </c>
      <c r="AY68" s="374">
        <v>4.2999999999999997E-2</v>
      </c>
      <c r="AZ68" s="374">
        <v>4.2999999999999997E-2</v>
      </c>
      <c r="BA68" s="374">
        <v>4.2999999999999997E-2</v>
      </c>
      <c r="BB68" s="374">
        <v>4.2999999999999997E-2</v>
      </c>
      <c r="BC68" s="374">
        <v>4.2999999999999997E-2</v>
      </c>
      <c r="BD68" s="374">
        <v>4.2999999999999997E-2</v>
      </c>
      <c r="BE68" s="374">
        <v>4.2999999999999997E-2</v>
      </c>
      <c r="BF68" s="374">
        <v>4.2999999999999997E-2</v>
      </c>
      <c r="BG68" s="374">
        <v>4.2999999999999997E-2</v>
      </c>
      <c r="BH68" s="375">
        <v>4.5999999999999999E-2</v>
      </c>
      <c r="BI68" s="375">
        <v>4.5999999999999999E-2</v>
      </c>
      <c r="BJ68" s="374">
        <v>4.2999999999999997E-2</v>
      </c>
      <c r="BK68" s="374">
        <v>4.2999999999999997E-2</v>
      </c>
      <c r="BL68" s="374">
        <v>4.2999999999999997E-2</v>
      </c>
      <c r="BM68" s="374">
        <v>4.2999999999999997E-2</v>
      </c>
      <c r="BN68" s="374">
        <v>4.2999999999999997E-2</v>
      </c>
      <c r="BO68" s="374">
        <v>4.2999999999999997E-2</v>
      </c>
      <c r="BP68" s="374">
        <v>4.2999999999999997E-2</v>
      </c>
      <c r="BQ68" s="374">
        <v>4.2999999999999997E-2</v>
      </c>
      <c r="BR68" s="374">
        <v>4.2999999999999997E-2</v>
      </c>
      <c r="BS68" s="374">
        <v>4.2999999999999997E-2</v>
      </c>
      <c r="BT68" s="377">
        <v>4.2999999999999997E-2</v>
      </c>
      <c r="BU68" s="377">
        <v>4.2999999999999997E-2</v>
      </c>
      <c r="BV68" s="377">
        <v>4.2999999999999997E-2</v>
      </c>
      <c r="BW68" s="377">
        <v>4.2999999999999997E-2</v>
      </c>
      <c r="BX68" s="377">
        <v>4.2999999999999997E-2</v>
      </c>
      <c r="BY68" s="377">
        <v>4.2999999999999997E-2</v>
      </c>
      <c r="BZ68" s="377">
        <v>4.2999999999999997E-2</v>
      </c>
      <c r="CA68" s="41">
        <f>$D68-$E68</f>
        <v>0</v>
      </c>
      <c r="CB68" s="112"/>
    </row>
    <row r="69" spans="2:80">
      <c r="C69" s="14"/>
      <c r="AG69" s="14"/>
      <c r="AH69" s="14"/>
      <c r="AI69" s="14"/>
      <c r="AK69" s="14"/>
      <c r="AL69" s="14"/>
      <c r="AM69" s="14"/>
      <c r="AN69" s="14"/>
      <c r="AO69" s="14"/>
      <c r="AP69" s="14"/>
      <c r="AQ69" s="14"/>
      <c r="AR69" s="14"/>
      <c r="AS69" s="14"/>
      <c r="AT69" s="14"/>
      <c r="AU69" s="14"/>
      <c r="AV69" s="14"/>
      <c r="AW69" s="14"/>
      <c r="AX69" s="14"/>
      <c r="AY69" s="14"/>
      <c r="AZ69" s="14"/>
      <c r="BA69" s="14"/>
      <c r="BB69" s="14"/>
      <c r="BC69" s="14"/>
      <c r="BD69" s="14"/>
      <c r="BE69" s="14"/>
      <c r="BF69" s="14"/>
      <c r="BG69" s="14"/>
      <c r="BH69" s="14"/>
      <c r="BI69" s="14"/>
      <c r="BJ69" s="14"/>
      <c r="BK69" s="14"/>
      <c r="BL69" s="14"/>
      <c r="BM69" s="14"/>
      <c r="BN69" s="14"/>
      <c r="BO69" s="14"/>
      <c r="BP69" s="14"/>
      <c r="BQ69" s="14"/>
      <c r="BR69" s="14"/>
      <c r="BS69" s="14"/>
      <c r="BT69" s="14"/>
      <c r="BU69" s="14"/>
      <c r="BV69" s="14"/>
      <c r="BW69" s="14"/>
      <c r="BX69" s="14"/>
      <c r="BY69" s="14"/>
      <c r="BZ69" s="14"/>
      <c r="CA69" s="14"/>
      <c r="CB69" s="114"/>
    </row>
    <row r="70" spans="2:80">
      <c r="B70" s="1080" t="s">
        <v>122</v>
      </c>
      <c r="C70" s="1080"/>
      <c r="D70" s="1080"/>
      <c r="E70" s="1080"/>
      <c r="F70" s="1080"/>
      <c r="G70" s="1080"/>
      <c r="H70" s="1080"/>
      <c r="I70" s="1080"/>
      <c r="J70" s="1080"/>
      <c r="K70" s="1080"/>
      <c r="L70" s="1080"/>
      <c r="M70" s="1080"/>
      <c r="N70" s="1080"/>
      <c r="O70" s="1080"/>
      <c r="P70" s="1080"/>
      <c r="Q70" s="1080"/>
      <c r="R70" s="1080"/>
      <c r="S70" s="1080"/>
      <c r="T70" s="1080"/>
      <c r="U70" s="1080"/>
      <c r="V70" s="1080"/>
      <c r="W70" s="1080"/>
      <c r="X70" s="1080"/>
      <c r="Y70" s="1080"/>
      <c r="Z70" s="1080"/>
      <c r="AA70" s="1080"/>
      <c r="AB70" s="1080"/>
      <c r="AC70" s="1080"/>
      <c r="AD70" s="1080"/>
      <c r="AE70" s="1080"/>
      <c r="AF70" s="1080"/>
      <c r="AG70" s="1080"/>
      <c r="AH70" s="1080"/>
      <c r="AI70" s="1080"/>
      <c r="AJ70" s="1080"/>
      <c r="AK70" s="1080"/>
      <c r="AL70" s="1080"/>
      <c r="AM70" s="1080"/>
      <c r="AN70" s="1080"/>
      <c r="AO70" s="1080"/>
      <c r="AP70" s="1080"/>
      <c r="AQ70" s="1080"/>
      <c r="AR70" s="1080"/>
      <c r="AS70" s="1080"/>
      <c r="AT70" s="1080"/>
      <c r="AU70" s="1080"/>
      <c r="AV70" s="1080"/>
      <c r="AW70" s="1080"/>
      <c r="AX70" s="1080"/>
      <c r="AY70" s="1080"/>
      <c r="AZ70" s="1080"/>
      <c r="BA70" s="1080"/>
      <c r="BB70" s="1080"/>
      <c r="BC70" s="1080"/>
      <c r="BD70" s="1080"/>
      <c r="BE70" s="1080"/>
      <c r="BF70" s="1080"/>
      <c r="BG70" s="1080"/>
      <c r="BH70" s="1080"/>
      <c r="BI70" s="1080"/>
      <c r="BJ70" s="1080"/>
      <c r="BK70" s="1080"/>
      <c r="BL70" s="1080"/>
      <c r="BM70" s="1080"/>
      <c r="BN70" s="1080"/>
      <c r="BO70" s="1080"/>
      <c r="BP70" s="1080"/>
      <c r="BQ70" s="1080"/>
      <c r="BR70" s="1080"/>
      <c r="BS70" s="1080"/>
      <c r="BT70" s="1080"/>
      <c r="BU70" s="1080"/>
      <c r="BV70" s="1080"/>
      <c r="BW70" s="1080"/>
      <c r="BX70" s="1080"/>
      <c r="BY70" s="1080"/>
      <c r="BZ70" s="1080"/>
      <c r="CA70" s="1080"/>
      <c r="CB70" s="1080"/>
    </row>
    <row r="71" spans="2:80">
      <c r="B71" s="756" t="s">
        <v>121</v>
      </c>
      <c r="C71" s="756" t="s">
        <v>120</v>
      </c>
      <c r="D71" s="366">
        <f t="shared" ref="D71:F71" si="40">D4</f>
        <v>46099</v>
      </c>
      <c r="E71" s="366">
        <f t="shared" ref="E71" si="41">E4</f>
        <v>46092</v>
      </c>
      <c r="F71" s="366">
        <f t="shared" si="40"/>
        <v>46085</v>
      </c>
      <c r="G71" s="366">
        <f t="shared" ref="G71:AF71" si="42">G4</f>
        <v>46078</v>
      </c>
      <c r="H71" s="366">
        <f t="shared" si="42"/>
        <v>46071</v>
      </c>
      <c r="I71" s="366">
        <f t="shared" si="42"/>
        <v>46057</v>
      </c>
      <c r="J71" s="366">
        <f t="shared" si="42"/>
        <v>46050</v>
      </c>
      <c r="K71" s="366">
        <f t="shared" si="42"/>
        <v>46043</v>
      </c>
      <c r="L71" s="366">
        <f t="shared" si="42"/>
        <v>46036</v>
      </c>
      <c r="M71" s="366">
        <f t="shared" si="42"/>
        <v>46029</v>
      </c>
      <c r="N71" s="366">
        <f t="shared" si="42"/>
        <v>46022</v>
      </c>
      <c r="O71" s="366">
        <f t="shared" si="42"/>
        <v>46015</v>
      </c>
      <c r="P71" s="366">
        <f t="shared" si="42"/>
        <v>46008</v>
      </c>
      <c r="Q71" s="366">
        <f t="shared" si="42"/>
        <v>46001</v>
      </c>
      <c r="R71" s="366">
        <f t="shared" si="42"/>
        <v>45994</v>
      </c>
      <c r="S71" s="366">
        <f t="shared" si="42"/>
        <v>45987</v>
      </c>
      <c r="T71" s="366">
        <f t="shared" si="42"/>
        <v>45980</v>
      </c>
      <c r="U71" s="366">
        <f t="shared" si="42"/>
        <v>45973</v>
      </c>
      <c r="V71" s="366">
        <f t="shared" si="42"/>
        <v>45966</v>
      </c>
      <c r="W71" s="366">
        <f t="shared" si="42"/>
        <v>45959</v>
      </c>
      <c r="X71" s="366">
        <f t="shared" si="42"/>
        <v>45952</v>
      </c>
      <c r="Y71" s="366">
        <f t="shared" si="42"/>
        <v>45945</v>
      </c>
      <c r="Z71" s="366">
        <f t="shared" si="42"/>
        <v>45938</v>
      </c>
      <c r="AA71" s="366">
        <f t="shared" si="42"/>
        <v>45931</v>
      </c>
      <c r="AB71" s="366">
        <f t="shared" si="42"/>
        <v>45924</v>
      </c>
      <c r="AC71" s="366">
        <f t="shared" si="42"/>
        <v>45917</v>
      </c>
      <c r="AD71" s="366">
        <f t="shared" si="42"/>
        <v>45910</v>
      </c>
      <c r="AE71" s="366">
        <f t="shared" si="42"/>
        <v>45903</v>
      </c>
      <c r="AF71" s="344">
        <f t="shared" si="42"/>
        <v>45896</v>
      </c>
      <c r="AG71" s="344">
        <v>45889</v>
      </c>
      <c r="AH71" s="344">
        <v>45882</v>
      </c>
      <c r="AI71" s="344">
        <v>45875</v>
      </c>
      <c r="AJ71" s="366">
        <v>45868</v>
      </c>
      <c r="AK71" s="344">
        <v>45861</v>
      </c>
      <c r="AL71" s="344">
        <f>AL4</f>
        <v>45854</v>
      </c>
      <c r="AM71" s="344">
        <f>AM4</f>
        <v>45847</v>
      </c>
      <c r="AN71" s="344">
        <v>45847</v>
      </c>
      <c r="AO71" s="344">
        <v>45840</v>
      </c>
      <c r="AP71" s="344">
        <f t="shared" ref="AP71:AU71" si="43">AP4</f>
        <v>45833</v>
      </c>
      <c r="AQ71" s="366">
        <f t="shared" si="43"/>
        <v>45826</v>
      </c>
      <c r="AR71" s="366">
        <f t="shared" si="43"/>
        <v>45819</v>
      </c>
      <c r="AS71" s="366">
        <f t="shared" si="43"/>
        <v>45812</v>
      </c>
      <c r="AT71" s="366">
        <f t="shared" si="43"/>
        <v>45805</v>
      </c>
      <c r="AU71" s="366">
        <f t="shared" si="43"/>
        <v>45798</v>
      </c>
      <c r="AV71" s="366">
        <f>'最高报价汇总 '!F2</f>
        <v>46099</v>
      </c>
      <c r="AW71" s="366">
        <f>AW4</f>
        <v>45785</v>
      </c>
      <c r="AX71" s="366">
        <f>AX50</f>
        <v>45777</v>
      </c>
      <c r="AY71" s="366">
        <f>AY50</f>
        <v>45763</v>
      </c>
      <c r="AZ71" s="366">
        <f>AZ50</f>
        <v>45757</v>
      </c>
      <c r="BA71" s="366">
        <f>BA64</f>
        <v>45742</v>
      </c>
      <c r="BB71" s="366">
        <f>'最高报价汇总 '!G2</f>
        <v>46092</v>
      </c>
      <c r="BC71" s="366">
        <f>'最高报价汇总 '!G2</f>
        <v>46092</v>
      </c>
      <c r="BD71" s="366">
        <f>'最高报价汇总 '!G2</f>
        <v>46092</v>
      </c>
      <c r="BE71" s="366">
        <f>'最高报价汇总 '!G2</f>
        <v>46092</v>
      </c>
      <c r="BF71" s="366" t="e">
        <f>BF50</f>
        <v>#REF!</v>
      </c>
      <c r="BG71" s="366">
        <f>'最高报价汇总 '!G2</f>
        <v>46092</v>
      </c>
      <c r="BH71" s="366">
        <f>'最高报价汇总 '!G2</f>
        <v>46092</v>
      </c>
      <c r="BI71" s="366">
        <f>'最高报价汇总 '!G2</f>
        <v>46092</v>
      </c>
      <c r="BJ71" s="366">
        <f>BJ29</f>
        <v>45673</v>
      </c>
      <c r="BK71" s="366">
        <f>'最高报价汇总 '!G2</f>
        <v>46092</v>
      </c>
      <c r="BL71" s="366" t="e">
        <f>BL64</f>
        <v>#REF!</v>
      </c>
      <c r="BM71" s="366">
        <f>'最高报价汇总 '!G2</f>
        <v>46092</v>
      </c>
      <c r="BN71" s="366" t="e">
        <f>BN64</f>
        <v>#REF!</v>
      </c>
      <c r="BO71" s="366">
        <f>'最高报价汇总 '!G2</f>
        <v>46092</v>
      </c>
      <c r="BP71" s="366">
        <f>'最高报价汇总 '!G2</f>
        <v>46092</v>
      </c>
      <c r="BQ71" s="366">
        <f>BQ50</f>
        <v>45625</v>
      </c>
      <c r="BR71" s="366">
        <f>'最高报价汇总 '!G2</f>
        <v>46092</v>
      </c>
      <c r="BS71" s="366">
        <f>'最高报价汇总 '!G2</f>
        <v>46092</v>
      </c>
      <c r="BT71" s="66">
        <f>'最高报价汇总 '!G2</f>
        <v>46092</v>
      </c>
      <c r="BU71" s="66" t="e">
        <f>#REF!</f>
        <v>#REF!</v>
      </c>
      <c r="BV71" s="66">
        <f>'最高报价汇总 '!G2</f>
        <v>46092</v>
      </c>
      <c r="BW71" s="66">
        <f>BW50</f>
        <v>45582</v>
      </c>
      <c r="BX71" s="66">
        <f>BX4</f>
        <v>45575</v>
      </c>
      <c r="BY71" s="66">
        <f>BY4</f>
        <v>45568</v>
      </c>
      <c r="BZ71" s="66">
        <f>BZ50</f>
        <v>45561</v>
      </c>
      <c r="CA71" s="366" t="str">
        <f>CA64</f>
        <v>当日增幅</v>
      </c>
      <c r="CB71" s="367" t="s">
        <v>223</v>
      </c>
    </row>
    <row r="72" spans="2:80">
      <c r="B72" s="194" t="s">
        <v>12</v>
      </c>
      <c r="C72" s="111" t="s">
        <v>513</v>
      </c>
      <c r="D72" s="831">
        <v>3.15E-2</v>
      </c>
      <c r="E72" s="831">
        <v>3.15E-2</v>
      </c>
      <c r="F72" s="831">
        <v>3.15E-2</v>
      </c>
      <c r="G72" s="831">
        <v>3.15E-2</v>
      </c>
      <c r="H72" s="357">
        <v>3.2000000000000001E-2</v>
      </c>
      <c r="I72" s="357">
        <v>3.2000000000000001E-2</v>
      </c>
      <c r="J72" s="357">
        <v>3.2000000000000001E-2</v>
      </c>
      <c r="K72" s="357">
        <v>3.2000000000000001E-2</v>
      </c>
      <c r="L72" s="357">
        <v>3.2000000000000001E-2</v>
      </c>
      <c r="M72" s="357">
        <v>3.2000000000000001E-2</v>
      </c>
      <c r="N72" s="357">
        <v>3.2000000000000001E-2</v>
      </c>
      <c r="O72" s="579">
        <v>3.2000000000000001E-2</v>
      </c>
      <c r="P72" s="579">
        <v>3.2500000000000001E-2</v>
      </c>
      <c r="Q72" s="579">
        <v>3.3000000000000002E-2</v>
      </c>
      <c r="R72" s="357">
        <v>3.3500000000000002E-2</v>
      </c>
      <c r="S72" s="579">
        <v>3.3500000000000002E-2</v>
      </c>
      <c r="T72" s="357">
        <v>3.2199999999999999E-2</v>
      </c>
      <c r="U72" s="579">
        <v>3.2199999999999999E-2</v>
      </c>
      <c r="V72" s="279">
        <v>3.3500000000000002E-2</v>
      </c>
      <c r="W72" s="235">
        <v>3.5000000000000003E-2</v>
      </c>
      <c r="X72" s="235">
        <v>3.5000000000000003E-2</v>
      </c>
      <c r="Y72" s="235">
        <v>3.5000000000000003E-2</v>
      </c>
      <c r="Z72" s="235">
        <v>3.5000000000000003E-2</v>
      </c>
      <c r="AA72" s="235">
        <v>3.5000000000000003E-2</v>
      </c>
      <c r="AB72" s="235">
        <v>3.5000000000000003E-2</v>
      </c>
      <c r="AC72" s="235">
        <v>3.5000000000000003E-2</v>
      </c>
      <c r="AD72" s="235">
        <v>3.5000000000000003E-2</v>
      </c>
      <c r="AE72" s="235">
        <v>3.5000000000000003E-2</v>
      </c>
      <c r="AF72" s="360">
        <v>3.5000000000000003E-2</v>
      </c>
      <c r="AG72" s="360">
        <v>3.5000000000000003E-2</v>
      </c>
      <c r="AH72" s="279">
        <v>3.5000000000000003E-2</v>
      </c>
      <c r="AI72" s="360">
        <v>3.5999999999999997E-2</v>
      </c>
      <c r="AJ72" s="235">
        <v>3.5999999999999997E-2</v>
      </c>
      <c r="AK72" s="360">
        <v>3.5999999999999997E-2</v>
      </c>
      <c r="AL72" s="360">
        <v>3.5999999999999997E-2</v>
      </c>
      <c r="AM72" s="360">
        <v>3.5999999999999997E-2</v>
      </c>
      <c r="AN72" s="311">
        <v>3.5999999999999997E-2</v>
      </c>
      <c r="AO72" s="311">
        <v>3.7999999999999999E-2</v>
      </c>
      <c r="AP72" s="359">
        <v>3.85E-2</v>
      </c>
      <c r="AQ72" s="253">
        <v>3.85E-2</v>
      </c>
      <c r="AR72" s="253">
        <v>3.85E-2</v>
      </c>
      <c r="AS72" s="311">
        <v>3.85E-2</v>
      </c>
      <c r="AT72" s="253">
        <v>4.1500000000000002E-2</v>
      </c>
      <c r="AU72" s="253">
        <v>4.1500000000000002E-2</v>
      </c>
      <c r="AV72" s="253">
        <v>4.1500000000000002E-2</v>
      </c>
      <c r="AW72" s="253">
        <v>4.1500000000000002E-2</v>
      </c>
      <c r="AX72" s="253"/>
      <c r="AY72" s="253"/>
      <c r="AZ72" s="253"/>
      <c r="BA72" s="253"/>
      <c r="BB72" s="253"/>
      <c r="BC72" s="253"/>
      <c r="BD72" s="253"/>
      <c r="BE72" s="253"/>
      <c r="BF72" s="253"/>
      <c r="BG72" s="253"/>
      <c r="BH72" s="253"/>
      <c r="BI72" s="253"/>
      <c r="BJ72" s="253"/>
      <c r="BK72" s="253"/>
      <c r="BL72" s="253"/>
      <c r="BM72" s="253"/>
      <c r="BN72" s="253"/>
      <c r="BO72" s="253"/>
      <c r="BP72" s="253"/>
      <c r="BQ72" s="253"/>
      <c r="BR72" s="253"/>
      <c r="BS72" s="253"/>
      <c r="BT72" s="253"/>
      <c r="BU72" s="253"/>
      <c r="BV72" s="253"/>
      <c r="BW72" s="253"/>
      <c r="BX72" s="253"/>
      <c r="BY72" s="253"/>
      <c r="BZ72" s="253"/>
      <c r="CA72" s="41">
        <f>$D72-$E72</f>
        <v>0</v>
      </c>
      <c r="CB72" s="109"/>
    </row>
    <row r="73" spans="2:80">
      <c r="B73" s="194" t="s">
        <v>20</v>
      </c>
      <c r="C73" s="361" t="s">
        <v>300</v>
      </c>
      <c r="D73" s="814">
        <v>3.2500000000000001E-2</v>
      </c>
      <c r="E73" s="814">
        <v>3.2500000000000001E-2</v>
      </c>
      <c r="F73" s="814">
        <v>3.2500000000000001E-2</v>
      </c>
      <c r="G73" s="357">
        <v>3.4000000000000002E-2</v>
      </c>
      <c r="H73" s="357">
        <v>3.4000000000000002E-2</v>
      </c>
      <c r="I73" s="357">
        <v>3.4000000000000002E-2</v>
      </c>
      <c r="J73" s="357">
        <v>3.6499999999999998E-2</v>
      </c>
      <c r="K73" s="357">
        <v>3.6499999999999998E-2</v>
      </c>
      <c r="L73" s="357">
        <v>3.6499999999999998E-2</v>
      </c>
      <c r="M73" s="579">
        <v>3.6499999999999998E-2</v>
      </c>
      <c r="N73" s="357">
        <v>3.6999999999999998E-2</v>
      </c>
      <c r="O73" s="357">
        <v>3.6999999999999998E-2</v>
      </c>
      <c r="P73" s="357">
        <v>3.6999999999999998E-2</v>
      </c>
      <c r="Q73" s="357">
        <v>3.6999999999999998E-2</v>
      </c>
      <c r="R73" s="357">
        <v>3.6999999999999998E-2</v>
      </c>
      <c r="S73" s="357">
        <v>3.7999999999999999E-2</v>
      </c>
      <c r="T73" s="357">
        <v>3.7999999999999999E-2</v>
      </c>
      <c r="U73" s="357">
        <v>3.7999999999999999E-2</v>
      </c>
      <c r="V73" s="279">
        <v>3.7999999999999999E-2</v>
      </c>
      <c r="W73" s="235">
        <v>3.7999999999999999E-2</v>
      </c>
      <c r="X73" s="235">
        <v>3.7999999999999999E-2</v>
      </c>
      <c r="Y73" s="235">
        <v>3.7999999999999999E-2</v>
      </c>
      <c r="Z73" s="235">
        <v>3.7999999999999999E-2</v>
      </c>
      <c r="AA73" s="235">
        <v>3.7999999999999999E-2</v>
      </c>
      <c r="AB73" s="235">
        <v>3.7999999999999999E-2</v>
      </c>
      <c r="AC73" s="235">
        <v>3.7999999999999999E-2</v>
      </c>
      <c r="AD73" s="235">
        <v>3.7999999999999999E-2</v>
      </c>
      <c r="AE73" s="235">
        <v>3.7999999999999999E-2</v>
      </c>
      <c r="AF73" s="360">
        <v>3.7999999999999999E-2</v>
      </c>
      <c r="AG73" s="360">
        <v>3.7999999999999999E-2</v>
      </c>
      <c r="AH73" s="360">
        <v>3.7999999999999999E-2</v>
      </c>
      <c r="AI73" s="360">
        <v>3.7999999999999999E-2</v>
      </c>
      <c r="AJ73" s="235">
        <v>3.7999999999999999E-2</v>
      </c>
      <c r="AK73" s="360">
        <v>3.7999999999999999E-2</v>
      </c>
      <c r="AL73" s="360">
        <v>3.7999999999999999E-2</v>
      </c>
      <c r="AM73" s="360">
        <v>3.7999999999999999E-2</v>
      </c>
      <c r="AN73" s="359">
        <v>3.7999999999999999E-2</v>
      </c>
      <c r="AO73" s="359">
        <v>3.7999999999999999E-2</v>
      </c>
      <c r="AP73" s="359">
        <v>3.7999999999999999E-2</v>
      </c>
      <c r="AQ73" s="253">
        <v>3.7999999999999999E-2</v>
      </c>
      <c r="AR73" s="253">
        <v>3.7999999999999999E-2</v>
      </c>
      <c r="AS73" s="253">
        <v>3.7999999999999999E-2</v>
      </c>
      <c r="AT73" s="253">
        <v>3.7999999999999999E-2</v>
      </c>
      <c r="AU73" s="311">
        <v>2.3E-2</v>
      </c>
      <c r="AV73" s="311">
        <v>3.7999999999999999E-2</v>
      </c>
      <c r="AW73" s="253">
        <v>0.04</v>
      </c>
      <c r="AX73" s="253">
        <v>0.04</v>
      </c>
      <c r="AY73" s="253">
        <v>0.04</v>
      </c>
      <c r="AZ73" s="253">
        <v>0.04</v>
      </c>
      <c r="BA73" s="253">
        <v>0.04</v>
      </c>
      <c r="BB73" s="253">
        <v>0.04</v>
      </c>
      <c r="BC73" s="253">
        <v>0.04</v>
      </c>
      <c r="BD73" s="253">
        <v>4.2999999999999997E-2</v>
      </c>
      <c r="BE73" s="253">
        <v>4.2999999999999997E-2</v>
      </c>
      <c r="BF73" s="253">
        <v>4.2999999999999997E-2</v>
      </c>
      <c r="BG73" s="253">
        <v>4.2999999999999997E-2</v>
      </c>
      <c r="BH73" s="253">
        <v>4.2999999999999997E-2</v>
      </c>
      <c r="BI73" s="253">
        <v>4.2999999999999997E-2</v>
      </c>
      <c r="BJ73" s="253">
        <v>4.2999999999999997E-2</v>
      </c>
      <c r="BK73" s="253">
        <v>4.2999999999999997E-2</v>
      </c>
      <c r="BL73" s="253">
        <v>4.2999999999999997E-2</v>
      </c>
      <c r="BM73" s="253">
        <v>4.2999999999999997E-2</v>
      </c>
      <c r="BN73" s="253">
        <v>4.2999999999999997E-2</v>
      </c>
      <c r="BO73" s="253">
        <v>4.2999999999999997E-2</v>
      </c>
      <c r="BP73" s="253">
        <v>4.2999999999999997E-2</v>
      </c>
      <c r="BQ73" s="253">
        <v>4.2999999999999997E-2</v>
      </c>
      <c r="BR73" s="253">
        <v>4.2999999999999997E-2</v>
      </c>
      <c r="BS73" s="253">
        <v>4.2999999999999997E-2</v>
      </c>
      <c r="BT73" s="371">
        <v>4.2999999999999997E-2</v>
      </c>
      <c r="BU73" s="371">
        <v>4.2999999999999997E-2</v>
      </c>
      <c r="BV73" s="371">
        <v>4.2999999999999997E-2</v>
      </c>
      <c r="BW73" s="371">
        <v>4.2999999999999997E-2</v>
      </c>
      <c r="BX73" s="371">
        <v>4.4999999999999998E-2</v>
      </c>
      <c r="BY73" s="371">
        <v>4.4999999999999998E-2</v>
      </c>
      <c r="BZ73" s="371">
        <v>4.4999999999999998E-2</v>
      </c>
      <c r="CA73" s="41">
        <f>$D73-$E73</f>
        <v>0</v>
      </c>
      <c r="CB73" s="109" t="s">
        <v>298</v>
      </c>
    </row>
    <row r="74" spans="2:80">
      <c r="B74" s="194" t="s">
        <v>42</v>
      </c>
      <c r="C74" s="111" t="s">
        <v>261</v>
      </c>
      <c r="D74" s="357">
        <v>3.4000000000000002E-2</v>
      </c>
      <c r="E74" s="357">
        <v>3.4000000000000002E-2</v>
      </c>
      <c r="F74" s="357">
        <v>3.4000000000000002E-2</v>
      </c>
      <c r="G74" s="357">
        <v>3.4000000000000002E-2</v>
      </c>
      <c r="H74" s="357">
        <v>3.4000000000000002E-2</v>
      </c>
      <c r="I74" s="357">
        <v>3.4000000000000002E-2</v>
      </c>
      <c r="J74" s="357">
        <v>3.4000000000000002E-2</v>
      </c>
      <c r="K74" s="357">
        <v>3.4000000000000002E-2</v>
      </c>
      <c r="L74" s="357">
        <v>3.4000000000000002E-2</v>
      </c>
      <c r="M74" s="357">
        <v>3.4000000000000002E-2</v>
      </c>
      <c r="N74" s="357">
        <v>3.4000000000000002E-2</v>
      </c>
      <c r="O74" s="579">
        <v>3.4000000000000002E-2</v>
      </c>
      <c r="P74" s="357">
        <v>3.7999999999999999E-2</v>
      </c>
      <c r="Q74" s="357">
        <v>3.7999999999999999E-2</v>
      </c>
      <c r="R74" s="357">
        <v>3.7999999999999999E-2</v>
      </c>
      <c r="S74" s="357">
        <v>3.7999999999999999E-2</v>
      </c>
      <c r="T74" s="357">
        <v>3.7999999999999999E-2</v>
      </c>
      <c r="U74" s="357">
        <v>3.7999999999999999E-2</v>
      </c>
      <c r="V74" s="357">
        <v>3.7999999999999999E-2</v>
      </c>
      <c r="W74" s="357">
        <v>3.7999999999999999E-2</v>
      </c>
      <c r="X74" s="357">
        <v>3.7999999999999999E-2</v>
      </c>
      <c r="Y74" s="357">
        <v>3.7999999999999999E-2</v>
      </c>
      <c r="Z74" s="357">
        <v>3.7999999999999999E-2</v>
      </c>
      <c r="AA74" s="579">
        <v>3.7999999999999999E-2</v>
      </c>
      <c r="AB74" s="357">
        <v>3.9E-2</v>
      </c>
      <c r="AC74" s="357">
        <v>3.9E-2</v>
      </c>
      <c r="AD74" s="357">
        <v>3.9E-2</v>
      </c>
      <c r="AE74" s="357">
        <v>3.9E-2</v>
      </c>
      <c r="AF74" s="356">
        <v>3.9E-2</v>
      </c>
      <c r="AG74" s="356">
        <v>3.9E-2</v>
      </c>
      <c r="AH74" s="356">
        <v>3.9E-2</v>
      </c>
      <c r="AI74" s="356">
        <v>3.9E-2</v>
      </c>
      <c r="AJ74" s="357">
        <v>3.9E-2</v>
      </c>
      <c r="AK74" s="356">
        <v>3.9E-2</v>
      </c>
      <c r="AL74" s="356">
        <v>3.9E-2</v>
      </c>
      <c r="AM74" s="356">
        <v>3.9E-2</v>
      </c>
      <c r="AN74" s="376">
        <v>3.9E-2</v>
      </c>
      <c r="AO74" s="375">
        <v>3.9E-2</v>
      </c>
      <c r="AP74" s="376">
        <v>3.5999999999999997E-2</v>
      </c>
      <c r="AQ74" s="374">
        <v>3.5999999999999997E-2</v>
      </c>
      <c r="AR74" s="374">
        <v>3.5999999999999997E-2</v>
      </c>
      <c r="AS74" s="375">
        <v>3.5999999999999997E-2</v>
      </c>
      <c r="AT74" s="375">
        <v>3.85E-2</v>
      </c>
      <c r="AU74" s="374">
        <v>3.9E-2</v>
      </c>
      <c r="AV74" s="374">
        <v>3.9E-2</v>
      </c>
      <c r="AW74" s="374">
        <v>3.9E-2</v>
      </c>
      <c r="AX74" s="374">
        <v>3.9E-2</v>
      </c>
      <c r="AY74" s="374">
        <v>4.2999999999999997E-2</v>
      </c>
      <c r="AZ74" s="374">
        <v>4.2999999999999997E-2</v>
      </c>
      <c r="BA74" s="374">
        <v>4.2999999999999997E-2</v>
      </c>
      <c r="BB74" s="374">
        <v>4.2999999999999997E-2</v>
      </c>
      <c r="BC74" s="374">
        <v>4.2999999999999997E-2</v>
      </c>
      <c r="BD74" s="374">
        <v>4.2999999999999997E-2</v>
      </c>
      <c r="BE74" s="374">
        <v>4.2999999999999997E-2</v>
      </c>
      <c r="BF74" s="374">
        <v>4.2999999999999997E-2</v>
      </c>
      <c r="BG74" s="374">
        <v>4.2999999999999997E-2</v>
      </c>
      <c r="BH74" s="374">
        <v>4.2999999999999997E-2</v>
      </c>
      <c r="BI74" s="374">
        <v>4.2999999999999997E-2</v>
      </c>
      <c r="BJ74" s="374">
        <v>4.2999999999999997E-2</v>
      </c>
      <c r="BK74" s="374">
        <v>4.2999999999999997E-2</v>
      </c>
      <c r="BL74" s="374">
        <v>4.2999999999999997E-2</v>
      </c>
      <c r="BM74" s="374">
        <v>4.2999999999999997E-2</v>
      </c>
      <c r="BN74" s="374">
        <v>4.2999999999999997E-2</v>
      </c>
      <c r="BO74" s="374">
        <v>4.2999999999999997E-2</v>
      </c>
      <c r="BP74" s="374">
        <v>4.2999999999999997E-2</v>
      </c>
      <c r="BQ74" s="374">
        <v>4.2999999999999997E-2</v>
      </c>
      <c r="BR74" s="374">
        <v>4.2999999999999997E-2</v>
      </c>
      <c r="BS74" s="374">
        <v>4.2999999999999997E-2</v>
      </c>
      <c r="BT74" s="373">
        <v>4.2999999999999997E-2</v>
      </c>
      <c r="BU74" s="373">
        <v>4.2999999999999997E-2</v>
      </c>
      <c r="BV74" s="373">
        <v>4.2999999999999997E-2</v>
      </c>
      <c r="BW74" s="373">
        <v>4.2999999999999997E-2</v>
      </c>
      <c r="BX74" s="373">
        <v>4.2999999999999997E-2</v>
      </c>
      <c r="BY74" s="373">
        <v>4.2999999999999997E-2</v>
      </c>
      <c r="BZ74" s="373">
        <v>4.2999999999999997E-2</v>
      </c>
      <c r="CA74" s="41">
        <f>$D74-$E74</f>
        <v>0</v>
      </c>
      <c r="CB74" s="112"/>
    </row>
    <row r="75" spans="2:80">
      <c r="C75" s="14"/>
      <c r="D75" s="14"/>
      <c r="E75" s="14"/>
      <c r="F75" s="14"/>
      <c r="G75" s="14"/>
      <c r="H75" s="14"/>
      <c r="I75" s="14"/>
      <c r="J75" s="14"/>
      <c r="K75" s="14"/>
      <c r="L75" s="14"/>
      <c r="M75" s="14"/>
      <c r="N75" s="14"/>
      <c r="O75" s="14"/>
      <c r="P75" s="14"/>
      <c r="Q75" s="14"/>
      <c r="R75" s="14"/>
      <c r="S75" s="14"/>
      <c r="T75" s="14"/>
      <c r="U75" s="14"/>
      <c r="AG75" s="14"/>
      <c r="AH75" s="14"/>
      <c r="AI75" s="14"/>
      <c r="AK75" s="14"/>
      <c r="AL75" s="14"/>
      <c r="AM75" s="14"/>
      <c r="AN75" s="14"/>
      <c r="AO75" s="14"/>
      <c r="AP75" s="14"/>
      <c r="AQ75" s="14"/>
      <c r="AR75" s="14"/>
      <c r="AS75" s="14"/>
      <c r="AT75" s="14"/>
      <c r="AU75" s="14"/>
      <c r="AV75" s="14"/>
      <c r="AW75" s="14"/>
      <c r="AX75" s="14"/>
      <c r="AY75" s="14"/>
      <c r="AZ75" s="14"/>
      <c r="BA75" s="14"/>
      <c r="BB75" s="14"/>
      <c r="BC75" s="14"/>
      <c r="BD75" s="14"/>
      <c r="BE75" s="14"/>
      <c r="BF75" s="14"/>
      <c r="BG75" s="14"/>
      <c r="BH75" s="14"/>
      <c r="BI75" s="14"/>
      <c r="BJ75" s="14"/>
      <c r="BK75" s="14"/>
      <c r="BL75" s="14"/>
      <c r="BM75" s="14"/>
      <c r="BN75" s="14"/>
      <c r="BO75" s="14"/>
      <c r="BP75" s="14"/>
      <c r="BQ75" s="14"/>
      <c r="BR75" s="14"/>
      <c r="BS75" s="14"/>
      <c r="BT75" s="14"/>
      <c r="BU75" s="14"/>
      <c r="BV75" s="14"/>
      <c r="BW75" s="14"/>
      <c r="BX75" s="14"/>
      <c r="BY75" s="14"/>
      <c r="BZ75" s="14"/>
      <c r="CA75" s="14"/>
      <c r="CB75" s="114"/>
    </row>
    <row r="76" spans="2:80">
      <c r="C76" s="14"/>
      <c r="D76" s="14"/>
      <c r="E76" s="14"/>
      <c r="F76" s="14"/>
      <c r="G76" s="14"/>
      <c r="H76" s="14"/>
      <c r="I76" s="14"/>
      <c r="J76" s="14"/>
      <c r="K76" s="14"/>
      <c r="L76" s="14"/>
      <c r="M76" s="14"/>
      <c r="N76" s="14"/>
      <c r="O76" s="14"/>
      <c r="P76" s="14"/>
      <c r="Q76" s="14"/>
      <c r="R76" s="14"/>
      <c r="S76" s="14"/>
      <c r="T76" s="14"/>
      <c r="U76" s="14"/>
      <c r="AG76" s="14"/>
      <c r="AH76" s="14"/>
      <c r="AI76" s="14"/>
      <c r="AK76" s="14"/>
      <c r="AL76" s="14"/>
      <c r="AM76" s="14"/>
      <c r="AN76" s="14"/>
      <c r="AO76" s="14"/>
      <c r="AP76" s="14"/>
      <c r="AQ76" s="14"/>
      <c r="AR76" s="14"/>
      <c r="AS76" s="14"/>
      <c r="AT76" s="14"/>
      <c r="AU76" s="14"/>
      <c r="AV76" s="14"/>
      <c r="AW76" s="14"/>
      <c r="AX76" s="14"/>
      <c r="AY76" s="14"/>
      <c r="AZ76" s="14"/>
      <c r="BA76" s="14"/>
      <c r="BB76" s="14"/>
      <c r="BC76" s="14"/>
      <c r="BD76" s="14"/>
      <c r="BE76" s="14"/>
      <c r="BF76" s="14"/>
      <c r="BG76" s="14"/>
      <c r="BH76" s="14"/>
      <c r="BI76" s="14"/>
      <c r="BJ76" s="14"/>
      <c r="BK76" s="14"/>
      <c r="BL76" s="14"/>
      <c r="BM76" s="14"/>
      <c r="BN76" s="14"/>
      <c r="BO76" s="14"/>
      <c r="BP76" s="14"/>
      <c r="BQ76" s="14"/>
      <c r="BR76" s="14"/>
      <c r="BS76" s="14"/>
      <c r="BT76" s="14"/>
      <c r="BU76" s="14"/>
      <c r="BV76" s="14"/>
      <c r="BW76" s="14"/>
      <c r="BX76" s="14"/>
      <c r="BY76" s="14"/>
      <c r="BZ76" s="14"/>
      <c r="CA76" s="14"/>
      <c r="CB76" s="114"/>
    </row>
    <row r="77" spans="2:80" s="372" customFormat="1" ht="17.399999999999999">
      <c r="B77" s="1081" t="s">
        <v>516</v>
      </c>
      <c r="C77" s="1082"/>
      <c r="D77" s="1082"/>
      <c r="E77" s="1082"/>
      <c r="F77" s="1082"/>
      <c r="G77" s="1082"/>
      <c r="H77" s="1082"/>
      <c r="I77" s="1082"/>
      <c r="J77" s="1082"/>
      <c r="K77" s="1082"/>
      <c r="L77" s="1082"/>
      <c r="M77" s="1082"/>
      <c r="N77" s="1082"/>
      <c r="O77" s="1082"/>
      <c r="P77" s="1082"/>
      <c r="Q77" s="1082"/>
      <c r="R77" s="1082"/>
      <c r="S77" s="1082"/>
      <c r="T77" s="1082"/>
      <c r="U77" s="1082"/>
      <c r="V77" s="1082"/>
      <c r="W77" s="1082"/>
      <c r="X77" s="1082"/>
      <c r="Y77" s="1082"/>
      <c r="Z77" s="1082"/>
      <c r="AA77" s="1082"/>
      <c r="AB77" s="1082"/>
      <c r="AC77" s="1082"/>
      <c r="AD77" s="1082"/>
      <c r="AE77" s="1082"/>
      <c r="AF77" s="1082"/>
      <c r="AG77" s="1082"/>
      <c r="AH77" s="1082"/>
      <c r="AI77" s="1082"/>
      <c r="AJ77" s="1082"/>
      <c r="AK77" s="1082"/>
      <c r="AL77" s="1082"/>
      <c r="AM77" s="1082"/>
      <c r="AN77" s="1082"/>
      <c r="AO77" s="1082"/>
      <c r="AP77" s="1082"/>
      <c r="AQ77" s="1082"/>
      <c r="AR77" s="1082"/>
      <c r="AS77" s="1082"/>
      <c r="AT77" s="1082"/>
      <c r="AU77" s="1082"/>
      <c r="AV77" s="1082"/>
      <c r="AW77" s="1082"/>
      <c r="AX77" s="1082"/>
      <c r="AY77" s="1082"/>
      <c r="AZ77" s="1082"/>
      <c r="BA77" s="1082"/>
      <c r="BB77" s="1082"/>
      <c r="BC77" s="1082"/>
      <c r="BD77" s="1082"/>
      <c r="BE77" s="1082"/>
      <c r="BF77" s="1082"/>
      <c r="BG77" s="1082"/>
      <c r="BH77" s="1082"/>
      <c r="BI77" s="1082"/>
      <c r="BJ77" s="1082"/>
      <c r="BK77" s="1082"/>
      <c r="BL77" s="1082"/>
      <c r="BM77" s="1082"/>
      <c r="BN77" s="1082"/>
      <c r="BO77" s="1082"/>
      <c r="BP77" s="1082"/>
      <c r="BQ77" s="1082"/>
      <c r="BR77" s="1082"/>
      <c r="BS77" s="1082"/>
      <c r="BT77" s="1082"/>
      <c r="BU77" s="1082"/>
      <c r="BV77" s="1082"/>
      <c r="BW77" s="1082"/>
      <c r="BX77" s="1082"/>
      <c r="BY77" s="1082"/>
      <c r="BZ77" s="1082"/>
      <c r="CA77" s="1082"/>
      <c r="CB77" s="1082"/>
    </row>
    <row r="78" spans="2:80">
      <c r="B78" s="1083" t="s">
        <v>213</v>
      </c>
      <c r="C78" s="1084"/>
      <c r="D78" s="1084"/>
      <c r="E78" s="1084"/>
      <c r="F78" s="1084"/>
      <c r="G78" s="1084"/>
      <c r="H78" s="1084"/>
      <c r="I78" s="1084"/>
      <c r="J78" s="1084"/>
      <c r="K78" s="1084"/>
      <c r="L78" s="1084"/>
      <c r="M78" s="1084"/>
      <c r="N78" s="1084"/>
      <c r="O78" s="1084"/>
      <c r="P78" s="1084"/>
      <c r="Q78" s="1084"/>
      <c r="R78" s="1084"/>
      <c r="S78" s="1084"/>
      <c r="T78" s="1084"/>
      <c r="U78" s="1084"/>
      <c r="V78" s="1084"/>
      <c r="W78" s="1084"/>
      <c r="X78" s="1084"/>
      <c r="Y78" s="1084"/>
      <c r="Z78" s="1084"/>
      <c r="AA78" s="1084"/>
      <c r="AB78" s="1084"/>
      <c r="AC78" s="1084"/>
      <c r="AD78" s="1084"/>
      <c r="AE78" s="1084"/>
      <c r="AF78" s="1084"/>
      <c r="AG78" s="1084"/>
      <c r="AH78" s="1084"/>
      <c r="AI78" s="1084"/>
      <c r="AJ78" s="1084"/>
      <c r="AK78" s="1084"/>
      <c r="AL78" s="1084"/>
      <c r="AM78" s="1084"/>
      <c r="AN78" s="1084"/>
      <c r="AO78" s="1084"/>
      <c r="AP78" s="1084"/>
      <c r="AQ78" s="1084"/>
      <c r="AR78" s="1084"/>
      <c r="AS78" s="1084"/>
      <c r="AT78" s="1084"/>
      <c r="AU78" s="1084"/>
      <c r="AV78" s="1084"/>
      <c r="AW78" s="1084"/>
      <c r="AX78" s="1084"/>
      <c r="AY78" s="1084"/>
      <c r="AZ78" s="1084"/>
      <c r="BA78" s="1084"/>
      <c r="BB78" s="1084"/>
      <c r="BC78" s="1084"/>
      <c r="BD78" s="1084"/>
      <c r="BE78" s="1084"/>
      <c r="BF78" s="1084"/>
      <c r="BG78" s="1084"/>
      <c r="BH78" s="1084"/>
      <c r="BI78" s="1084"/>
      <c r="BJ78" s="1084"/>
      <c r="BK78" s="1084"/>
      <c r="BL78" s="1084"/>
      <c r="BM78" s="1084"/>
      <c r="BN78" s="1084"/>
      <c r="BO78" s="1084"/>
      <c r="BP78" s="1084"/>
      <c r="BQ78" s="1084"/>
      <c r="BR78" s="1084"/>
      <c r="BS78" s="1084"/>
      <c r="BT78" s="1084"/>
      <c r="BU78" s="1084"/>
      <c r="BV78" s="1084"/>
      <c r="BW78" s="1084"/>
      <c r="BX78" s="1084"/>
      <c r="BY78" s="1084"/>
      <c r="BZ78" s="1084"/>
      <c r="CA78" s="1084"/>
      <c r="CB78" s="1084"/>
    </row>
    <row r="79" spans="2:80">
      <c r="B79" s="756" t="s">
        <v>121</v>
      </c>
      <c r="C79" s="756" t="s">
        <v>120</v>
      </c>
      <c r="D79" s="366">
        <f t="shared" ref="D79:F79" si="44">D4</f>
        <v>46099</v>
      </c>
      <c r="E79" s="366">
        <f t="shared" ref="E79" si="45">E4</f>
        <v>46092</v>
      </c>
      <c r="F79" s="366">
        <f t="shared" si="44"/>
        <v>46085</v>
      </c>
      <c r="G79" s="366">
        <f t="shared" ref="G79:AF79" si="46">G4</f>
        <v>46078</v>
      </c>
      <c r="H79" s="366">
        <f t="shared" si="46"/>
        <v>46071</v>
      </c>
      <c r="I79" s="366">
        <f t="shared" si="46"/>
        <v>46057</v>
      </c>
      <c r="J79" s="366">
        <f t="shared" si="46"/>
        <v>46050</v>
      </c>
      <c r="K79" s="366">
        <f t="shared" si="46"/>
        <v>46043</v>
      </c>
      <c r="L79" s="366">
        <f t="shared" si="46"/>
        <v>46036</v>
      </c>
      <c r="M79" s="366">
        <f t="shared" si="46"/>
        <v>46029</v>
      </c>
      <c r="N79" s="366">
        <f t="shared" si="46"/>
        <v>46022</v>
      </c>
      <c r="O79" s="366">
        <f t="shared" si="46"/>
        <v>46015</v>
      </c>
      <c r="P79" s="366">
        <f t="shared" si="46"/>
        <v>46008</v>
      </c>
      <c r="Q79" s="366">
        <f t="shared" si="46"/>
        <v>46001</v>
      </c>
      <c r="R79" s="366">
        <f t="shared" si="46"/>
        <v>45994</v>
      </c>
      <c r="S79" s="366">
        <f t="shared" si="46"/>
        <v>45987</v>
      </c>
      <c r="T79" s="366">
        <f t="shared" si="46"/>
        <v>45980</v>
      </c>
      <c r="U79" s="366">
        <f t="shared" si="46"/>
        <v>45973</v>
      </c>
      <c r="V79" s="366">
        <f t="shared" si="46"/>
        <v>45966</v>
      </c>
      <c r="W79" s="366">
        <f t="shared" si="46"/>
        <v>45959</v>
      </c>
      <c r="X79" s="366">
        <f t="shared" si="46"/>
        <v>45952</v>
      </c>
      <c r="Y79" s="366">
        <f t="shared" si="46"/>
        <v>45945</v>
      </c>
      <c r="Z79" s="366">
        <f t="shared" si="46"/>
        <v>45938</v>
      </c>
      <c r="AA79" s="366">
        <f t="shared" si="46"/>
        <v>45931</v>
      </c>
      <c r="AB79" s="366">
        <f t="shared" si="46"/>
        <v>45924</v>
      </c>
      <c r="AC79" s="366">
        <f t="shared" si="46"/>
        <v>45917</v>
      </c>
      <c r="AD79" s="366">
        <f t="shared" si="46"/>
        <v>45910</v>
      </c>
      <c r="AE79" s="366">
        <f t="shared" si="46"/>
        <v>45903</v>
      </c>
      <c r="AF79" s="344">
        <f t="shared" si="46"/>
        <v>45896</v>
      </c>
      <c r="AG79" s="344">
        <v>45889</v>
      </c>
      <c r="AH79" s="344">
        <v>45882</v>
      </c>
      <c r="AI79" s="344">
        <v>45875</v>
      </c>
      <c r="AJ79" s="366">
        <v>45868</v>
      </c>
      <c r="AK79" s="344">
        <v>45861</v>
      </c>
      <c r="AL79" s="344">
        <f>AL4</f>
        <v>45854</v>
      </c>
      <c r="AM79" s="344">
        <f>AM4</f>
        <v>45847</v>
      </c>
      <c r="AN79" s="344">
        <v>45847</v>
      </c>
      <c r="AO79" s="344">
        <v>45840</v>
      </c>
      <c r="AP79" s="344">
        <f t="shared" ref="AP79:BP79" si="47">AP4</f>
        <v>45833</v>
      </c>
      <c r="AQ79" s="366">
        <f t="shared" si="47"/>
        <v>45826</v>
      </c>
      <c r="AR79" s="366">
        <f t="shared" si="47"/>
        <v>45819</v>
      </c>
      <c r="AS79" s="366">
        <f t="shared" si="47"/>
        <v>45812</v>
      </c>
      <c r="AT79" s="366">
        <f t="shared" si="47"/>
        <v>45805</v>
      </c>
      <c r="AU79" s="366">
        <f t="shared" si="47"/>
        <v>45798</v>
      </c>
      <c r="AV79" s="366">
        <f t="shared" si="47"/>
        <v>45792</v>
      </c>
      <c r="AW79" s="366">
        <f t="shared" si="47"/>
        <v>45785</v>
      </c>
      <c r="AX79" s="366">
        <f t="shared" si="47"/>
        <v>45777</v>
      </c>
      <c r="AY79" s="366">
        <f t="shared" si="47"/>
        <v>45763</v>
      </c>
      <c r="AZ79" s="366">
        <f t="shared" si="47"/>
        <v>45757</v>
      </c>
      <c r="BA79" s="366">
        <f t="shared" si="47"/>
        <v>45742</v>
      </c>
      <c r="BB79" s="366">
        <f t="shared" si="47"/>
        <v>45729</v>
      </c>
      <c r="BC79" s="366">
        <f t="shared" si="47"/>
        <v>45722</v>
      </c>
      <c r="BD79" s="366">
        <f t="shared" si="47"/>
        <v>45715</v>
      </c>
      <c r="BE79" s="366">
        <f t="shared" si="47"/>
        <v>45708</v>
      </c>
      <c r="BF79" s="366">
        <f t="shared" si="47"/>
        <v>44970</v>
      </c>
      <c r="BG79" s="366">
        <f t="shared" si="47"/>
        <v>45694</v>
      </c>
      <c r="BH79" s="366">
        <f t="shared" si="47"/>
        <v>45688</v>
      </c>
      <c r="BI79" s="366">
        <f t="shared" si="47"/>
        <v>45681</v>
      </c>
      <c r="BJ79" s="366">
        <f t="shared" si="47"/>
        <v>45673</v>
      </c>
      <c r="BK79" s="366">
        <f t="shared" si="47"/>
        <v>45666</v>
      </c>
      <c r="BL79" s="366">
        <f t="shared" si="47"/>
        <v>45659</v>
      </c>
      <c r="BM79" s="366">
        <f t="shared" si="47"/>
        <v>45652</v>
      </c>
      <c r="BN79" s="366">
        <f t="shared" si="47"/>
        <v>45645</v>
      </c>
      <c r="BO79" s="366">
        <f t="shared" si="47"/>
        <v>45638</v>
      </c>
      <c r="BP79" s="366">
        <f t="shared" si="47"/>
        <v>45631</v>
      </c>
      <c r="BQ79" s="366">
        <f>BQ50</f>
        <v>45625</v>
      </c>
      <c r="BR79" s="366">
        <f>BR4</f>
        <v>45617</v>
      </c>
      <c r="BS79" s="366">
        <f>BS4</f>
        <v>45610</v>
      </c>
      <c r="BT79" s="66">
        <f>BT4</f>
        <v>45603</v>
      </c>
      <c r="BU79" s="66" t="e">
        <f>BU71</f>
        <v>#REF!</v>
      </c>
      <c r="BV79" s="66">
        <f>'最高报价汇总 '!G25</f>
        <v>0</v>
      </c>
      <c r="BW79" s="66">
        <f>BW26</f>
        <v>0</v>
      </c>
      <c r="BX79" s="66">
        <f>BX26</f>
        <v>0</v>
      </c>
      <c r="BY79" s="66">
        <f>BY26</f>
        <v>0</v>
      </c>
      <c r="BZ79" s="66">
        <f>BZ26</f>
        <v>0</v>
      </c>
      <c r="CA79" s="366" t="str">
        <f>CA71</f>
        <v>当日增幅</v>
      </c>
      <c r="CB79" s="367" t="s">
        <v>223</v>
      </c>
    </row>
    <row r="80" spans="2:80">
      <c r="B80" s="194" t="s">
        <v>16</v>
      </c>
      <c r="C80" s="361" t="s">
        <v>311</v>
      </c>
      <c r="D80" s="357">
        <v>0.02</v>
      </c>
      <c r="E80" s="357">
        <v>0.02</v>
      </c>
      <c r="F80" s="357">
        <v>0.02</v>
      </c>
      <c r="G80" s="357">
        <v>0.02</v>
      </c>
      <c r="H80" s="357">
        <v>0.02</v>
      </c>
      <c r="I80" s="357">
        <v>0.02</v>
      </c>
      <c r="J80" s="357">
        <v>0.02</v>
      </c>
      <c r="K80" s="579">
        <v>0.02</v>
      </c>
      <c r="L80" s="357">
        <v>2.35E-2</v>
      </c>
      <c r="M80" s="357">
        <v>2.35E-2</v>
      </c>
      <c r="N80" s="357">
        <v>2.35E-2</v>
      </c>
      <c r="O80" s="357">
        <v>2.35E-2</v>
      </c>
      <c r="P80" s="357">
        <v>2.35E-2</v>
      </c>
      <c r="Q80" s="357">
        <v>2.35E-2</v>
      </c>
      <c r="R80" s="357">
        <v>2.35E-2</v>
      </c>
      <c r="S80" s="357">
        <v>2.35E-2</v>
      </c>
      <c r="T80" s="357">
        <v>2.35E-2</v>
      </c>
      <c r="U80" s="357">
        <v>2.35E-2</v>
      </c>
      <c r="V80" s="235">
        <v>2.35E-2</v>
      </c>
      <c r="W80" s="235">
        <v>2.35E-2</v>
      </c>
      <c r="X80" s="235">
        <v>2.35E-2</v>
      </c>
      <c r="Y80" s="279">
        <v>2.35E-2</v>
      </c>
      <c r="Z80" s="235">
        <v>2.5000000000000001E-2</v>
      </c>
      <c r="AA80" s="279">
        <v>2.5000000000000001E-2</v>
      </c>
      <c r="AB80" s="279">
        <v>2.5999999999999999E-2</v>
      </c>
      <c r="AC80" s="235">
        <v>2.8000000000000001E-2</v>
      </c>
      <c r="AD80" s="235">
        <v>2.8000000000000001E-2</v>
      </c>
      <c r="AE80" s="235">
        <v>2.8000000000000001E-2</v>
      </c>
      <c r="AF80" s="279">
        <v>2.8000000000000001E-2</v>
      </c>
      <c r="AG80" s="360">
        <v>0.03</v>
      </c>
      <c r="AH80" s="360">
        <v>0.03</v>
      </c>
      <c r="AI80" s="360">
        <v>0.03</v>
      </c>
      <c r="AJ80" s="235">
        <v>0.03</v>
      </c>
      <c r="AK80" s="360">
        <v>0.03</v>
      </c>
      <c r="AL80" s="360">
        <v>0.03</v>
      </c>
      <c r="AM80" s="360">
        <v>0.03</v>
      </c>
      <c r="AN80" s="311">
        <v>0.03</v>
      </c>
      <c r="AO80" s="359">
        <v>3.1E-2</v>
      </c>
      <c r="AP80" s="311">
        <v>3.1E-2</v>
      </c>
      <c r="AQ80" s="253">
        <v>3.3000000000000002E-2</v>
      </c>
      <c r="AR80" s="253">
        <v>3.3000000000000002E-2</v>
      </c>
      <c r="AS80" s="253">
        <v>3.3000000000000002E-2</v>
      </c>
      <c r="AT80" s="253">
        <v>3.3000000000000002E-2</v>
      </c>
      <c r="AU80" s="311">
        <v>3.3000000000000002E-2</v>
      </c>
      <c r="AV80" s="253">
        <v>3.5000000000000003E-2</v>
      </c>
      <c r="AW80" s="253">
        <v>3.5000000000000003E-2</v>
      </c>
      <c r="AX80" s="253">
        <v>3.5000000000000003E-2</v>
      </c>
      <c r="AY80" s="253">
        <v>3.5000000000000003E-2</v>
      </c>
      <c r="AZ80" s="253">
        <v>3.5000000000000003E-2</v>
      </c>
      <c r="BA80" s="253">
        <v>3.6499999999999998E-2</v>
      </c>
      <c r="BB80" s="253">
        <v>3.6499999999999998E-2</v>
      </c>
      <c r="BC80" s="253">
        <v>3.6499999999999998E-2</v>
      </c>
      <c r="BD80" s="253">
        <v>3.6499999999999998E-2</v>
      </c>
      <c r="BE80" s="253">
        <v>3.7999999999999999E-2</v>
      </c>
      <c r="BF80" s="253">
        <v>3.7999999999999999E-2</v>
      </c>
      <c r="BG80" s="253">
        <v>0.04</v>
      </c>
      <c r="BH80" s="253">
        <v>0.04</v>
      </c>
      <c r="BI80" s="253">
        <v>0.04</v>
      </c>
      <c r="BJ80" s="253">
        <v>0.04</v>
      </c>
      <c r="BK80" s="253">
        <v>0.04</v>
      </c>
      <c r="BL80" s="253">
        <v>0.04</v>
      </c>
      <c r="BM80" s="253">
        <v>0.04</v>
      </c>
      <c r="BN80" s="253">
        <v>0.04</v>
      </c>
      <c r="BO80" s="253">
        <v>4.2000000000000003E-2</v>
      </c>
      <c r="BP80" s="253">
        <v>4.3999999999999997E-2</v>
      </c>
      <c r="BQ80" s="253">
        <v>4.3999999999999997E-2</v>
      </c>
      <c r="BR80" s="253">
        <v>4.3999999999999997E-2</v>
      </c>
      <c r="BS80" s="253">
        <v>4.4999999999999998E-2</v>
      </c>
      <c r="BT80" s="371">
        <v>4.4999999999999998E-2</v>
      </c>
      <c r="BU80" s="371">
        <v>4.4999999999999998E-2</v>
      </c>
      <c r="BV80" s="371">
        <v>4.4999999999999998E-2</v>
      </c>
      <c r="BW80" s="371">
        <v>4.4999999999999998E-2</v>
      </c>
      <c r="BX80" s="371">
        <v>4.4999999999999998E-2</v>
      </c>
      <c r="BY80" s="371">
        <v>4.4999999999999998E-2</v>
      </c>
      <c r="BZ80" s="371">
        <v>4.4999999999999998E-2</v>
      </c>
      <c r="CA80" s="41">
        <f>$D80-$E80</f>
        <v>0</v>
      </c>
      <c r="CB80" s="109" t="s">
        <v>514</v>
      </c>
    </row>
    <row r="81" spans="2:80">
      <c r="B81" s="194" t="s">
        <v>20</v>
      </c>
      <c r="C81" s="308" t="s">
        <v>515</v>
      </c>
      <c r="D81" s="357"/>
      <c r="E81" s="357"/>
      <c r="F81" s="357">
        <v>1.9599999999999999E-2</v>
      </c>
      <c r="G81" s="357">
        <v>1.9599999999999999E-2</v>
      </c>
      <c r="H81" s="357">
        <v>1.9599999999999999E-2</v>
      </c>
      <c r="I81" s="357">
        <v>1.9599999999999999E-2</v>
      </c>
      <c r="J81" s="357">
        <v>1.9300000000000001E-2</v>
      </c>
      <c r="K81" s="357">
        <v>1.9300000000000001E-2</v>
      </c>
      <c r="L81" s="579">
        <v>1.9300000000000001E-2</v>
      </c>
      <c r="M81" s="579">
        <v>1.9800000000000002E-2</v>
      </c>
      <c r="N81" s="579">
        <v>2.0899999999999998E-2</v>
      </c>
      <c r="O81" s="357">
        <v>2.0799999999999999E-2</v>
      </c>
      <c r="P81" s="357">
        <v>2.0799999999999999E-2</v>
      </c>
      <c r="Q81" s="579">
        <v>2.0799999999999999E-2</v>
      </c>
      <c r="R81" s="357">
        <v>2.0299999999999999E-2</v>
      </c>
      <c r="S81" s="579">
        <v>2.0299999999999999E-2</v>
      </c>
      <c r="T81" s="579">
        <v>2.01E-2</v>
      </c>
      <c r="U81" s="579">
        <v>2.0799999999999999E-2</v>
      </c>
      <c r="V81" s="279">
        <v>2.0899999999999998E-2</v>
      </c>
      <c r="W81" s="279">
        <v>2.1600000000000001E-2</v>
      </c>
      <c r="X81" s="235">
        <v>2.0400000000000001E-2</v>
      </c>
      <c r="Y81" s="235">
        <v>2.0400000000000001E-2</v>
      </c>
      <c r="Z81" s="279">
        <v>2.35E-2</v>
      </c>
      <c r="AA81" s="279">
        <v>2.3599999999999999E-2</v>
      </c>
      <c r="AB81" s="279">
        <v>2.4500000000000001E-2</v>
      </c>
      <c r="AC81" s="279">
        <v>2.58E-2</v>
      </c>
      <c r="AD81" s="279">
        <v>2.63E-2</v>
      </c>
      <c r="AE81" s="235">
        <v>2.5899999999999999E-2</v>
      </c>
      <c r="AF81" s="279">
        <v>2.5899999999999999E-2</v>
      </c>
      <c r="AG81" s="360">
        <v>2.8500000000000001E-2</v>
      </c>
      <c r="AH81" s="360">
        <v>2.8500000000000001E-2</v>
      </c>
      <c r="AI81" s="360">
        <v>2.8500000000000001E-2</v>
      </c>
      <c r="AJ81" s="279">
        <v>2.8500000000000001E-2</v>
      </c>
      <c r="AK81" s="360">
        <v>2.9100000000000001E-2</v>
      </c>
      <c r="AL81" s="279">
        <v>2.9100000000000001E-2</v>
      </c>
      <c r="AM81" s="279">
        <v>2.9100000000000001E-2</v>
      </c>
      <c r="AN81" s="363">
        <v>2.8799999999999999E-2</v>
      </c>
      <c r="AO81" s="364">
        <v>2.8799999999999999E-2</v>
      </c>
      <c r="AP81" s="363">
        <v>2.8899999999999999E-2</v>
      </c>
      <c r="AQ81" s="364">
        <v>3.1E-2</v>
      </c>
      <c r="AR81" s="311">
        <v>2.86E-2</v>
      </c>
      <c r="AS81" s="311">
        <v>2.52E-2</v>
      </c>
      <c r="AT81" s="311">
        <v>2.5399999999999999E-2</v>
      </c>
      <c r="AU81" s="311">
        <v>2.6200000000000001E-2</v>
      </c>
      <c r="AV81" s="253">
        <v>3.0300000000000001E-2</v>
      </c>
      <c r="AW81" s="253">
        <v>3.0300000000000001E-2</v>
      </c>
      <c r="AX81" s="253">
        <v>0.03</v>
      </c>
      <c r="AY81" s="253">
        <v>3.2500000000000001E-2</v>
      </c>
      <c r="AZ81" s="253">
        <v>3.2500000000000001E-2</v>
      </c>
      <c r="BA81" s="253">
        <v>3.2500000000000001E-2</v>
      </c>
      <c r="BB81" s="253">
        <v>3.2500000000000001E-2</v>
      </c>
      <c r="BC81" s="253">
        <v>3.2500000000000001E-2</v>
      </c>
      <c r="BD81" s="253">
        <v>3.2500000000000001E-2</v>
      </c>
      <c r="BE81" s="253">
        <v>3.2500000000000001E-2</v>
      </c>
      <c r="BF81" s="253">
        <v>3.2500000000000001E-2</v>
      </c>
      <c r="BG81" s="311">
        <v>3.2500000000000001E-2</v>
      </c>
      <c r="BH81" s="253">
        <v>3.7499999999999999E-2</v>
      </c>
      <c r="BI81" s="253">
        <v>3.7499999999999999E-2</v>
      </c>
      <c r="BJ81" s="253">
        <v>3.7499999999999999E-2</v>
      </c>
      <c r="BK81" s="253">
        <v>3.7499999999999999E-2</v>
      </c>
      <c r="BL81" s="253">
        <v>3.7499999999999999E-2</v>
      </c>
      <c r="BM81" s="253">
        <v>3.7499999999999999E-2</v>
      </c>
      <c r="BN81" s="253">
        <v>3.7499999999999999E-2</v>
      </c>
      <c r="BO81" s="253">
        <v>3.7499999999999999E-2</v>
      </c>
      <c r="BP81" s="253">
        <v>3.7499999999999999E-2</v>
      </c>
      <c r="BQ81" s="253">
        <v>4.2500000000000003E-2</v>
      </c>
      <c r="BR81" s="253">
        <v>4.2500000000000003E-2</v>
      </c>
      <c r="BS81" s="253">
        <v>4.2500000000000003E-2</v>
      </c>
      <c r="BT81" s="311">
        <v>4.2500000000000003E-2</v>
      </c>
      <c r="BU81" s="311"/>
      <c r="BV81" s="311"/>
      <c r="BW81" s="311"/>
      <c r="BX81" s="311"/>
      <c r="BY81" s="311"/>
      <c r="BZ81" s="311"/>
      <c r="CA81" s="41">
        <f>$D81-$E81</f>
        <v>0</v>
      </c>
      <c r="CB81" s="351" t="s">
        <v>511</v>
      </c>
    </row>
    <row r="82" spans="2:80">
      <c r="B82" s="194" t="s">
        <v>23</v>
      </c>
      <c r="C82" s="365" t="s">
        <v>313</v>
      </c>
      <c r="D82" s="357">
        <v>0.02</v>
      </c>
      <c r="E82" s="357">
        <v>0.02</v>
      </c>
      <c r="F82" s="357">
        <v>0.02</v>
      </c>
      <c r="G82" s="357">
        <v>0.02</v>
      </c>
      <c r="H82" s="357">
        <v>0.02</v>
      </c>
      <c r="I82" s="357">
        <v>0.02</v>
      </c>
      <c r="J82" s="357">
        <v>0.02</v>
      </c>
      <c r="K82" s="357">
        <v>0.02</v>
      </c>
      <c r="L82" s="357">
        <v>0.02</v>
      </c>
      <c r="M82" s="579">
        <v>0.02</v>
      </c>
      <c r="N82" s="357">
        <v>2.2499999999999999E-2</v>
      </c>
      <c r="O82" s="357">
        <v>2.2499999999999999E-2</v>
      </c>
      <c r="P82" s="357">
        <v>2.2499999999999999E-2</v>
      </c>
      <c r="Q82" s="357">
        <v>2.2499999999999999E-2</v>
      </c>
      <c r="R82" s="357">
        <v>2.2499999999999999E-2</v>
      </c>
      <c r="S82" s="357">
        <v>2.2499999999999999E-2</v>
      </c>
      <c r="T82" s="357">
        <v>2.2499999999999999E-2</v>
      </c>
      <c r="U82" s="357">
        <v>2.2499999999999999E-2</v>
      </c>
      <c r="V82" s="279">
        <v>2.2499999999999999E-2</v>
      </c>
      <c r="W82" s="235">
        <v>2.5000000000000001E-2</v>
      </c>
      <c r="X82" s="235">
        <v>2.5000000000000001E-2</v>
      </c>
      <c r="Y82" s="235">
        <v>2.5000000000000001E-2</v>
      </c>
      <c r="Z82" s="235">
        <v>2.5000000000000001E-2</v>
      </c>
      <c r="AA82" s="235">
        <v>2.5000000000000001E-2</v>
      </c>
      <c r="AB82" s="235">
        <v>2.5000000000000001E-2</v>
      </c>
      <c r="AC82" s="235">
        <v>2.5000000000000001E-2</v>
      </c>
      <c r="AD82" s="235">
        <v>2.5000000000000001E-2</v>
      </c>
      <c r="AE82" s="279">
        <v>2.5000000000000001E-2</v>
      </c>
      <c r="AF82" s="360">
        <v>2.75E-2</v>
      </c>
      <c r="AG82" s="360">
        <v>2.75E-2</v>
      </c>
      <c r="AH82" s="360">
        <v>2.75E-2</v>
      </c>
      <c r="AI82" s="360">
        <v>2.75E-2</v>
      </c>
      <c r="AJ82" s="235">
        <v>2.75E-2</v>
      </c>
      <c r="AK82" s="360">
        <v>2.75E-2</v>
      </c>
      <c r="AL82" s="360">
        <v>2.75E-2</v>
      </c>
      <c r="AM82" s="360">
        <v>2.75E-2</v>
      </c>
      <c r="AN82" s="359">
        <v>2.75E-2</v>
      </c>
      <c r="AO82" s="311">
        <v>2.75E-2</v>
      </c>
      <c r="AP82" s="359">
        <v>0.03</v>
      </c>
      <c r="AQ82" s="253">
        <v>0.03</v>
      </c>
      <c r="AR82" s="253">
        <v>0.03</v>
      </c>
      <c r="AS82" s="311">
        <v>0.03</v>
      </c>
      <c r="AT82" s="253">
        <v>2.75E-2</v>
      </c>
      <c r="AU82" s="253">
        <v>2.75E-2</v>
      </c>
      <c r="AV82" s="253">
        <v>2.75E-2</v>
      </c>
      <c r="AW82" s="253"/>
      <c r="AX82" s="253">
        <v>2.9000000000000001E-2</v>
      </c>
      <c r="AY82" s="253"/>
      <c r="AZ82" s="253"/>
      <c r="BA82" s="253"/>
      <c r="BB82" s="253"/>
      <c r="BC82" s="253"/>
      <c r="BD82" s="253"/>
      <c r="BE82" s="253"/>
      <c r="BF82" s="253"/>
      <c r="BG82" s="253"/>
      <c r="BH82" s="253"/>
      <c r="BI82" s="253"/>
      <c r="BJ82" s="253"/>
      <c r="BK82" s="253"/>
      <c r="BL82" s="253"/>
      <c r="BM82" s="253"/>
      <c r="BN82" s="253"/>
      <c r="BO82" s="253"/>
      <c r="BP82" s="253"/>
      <c r="BQ82" s="253"/>
      <c r="BR82" s="253"/>
      <c r="BS82" s="253"/>
      <c r="BT82" s="253"/>
      <c r="BU82" s="253"/>
      <c r="BV82" s="253"/>
      <c r="BW82" s="253"/>
      <c r="BX82" s="253"/>
      <c r="BY82" s="253"/>
      <c r="BZ82" s="253"/>
      <c r="CA82" s="41">
        <f>$D82-$E82</f>
        <v>0</v>
      </c>
      <c r="CB82" s="109"/>
    </row>
    <row r="83" spans="2:80">
      <c r="B83" s="194" t="s">
        <v>12</v>
      </c>
      <c r="C83" s="361" t="s">
        <v>513</v>
      </c>
      <c r="D83" s="814">
        <v>1.7999999999999999E-2</v>
      </c>
      <c r="E83" s="814">
        <v>1.7999999999999999E-2</v>
      </c>
      <c r="F83" s="814">
        <v>1.7999999999999999E-2</v>
      </c>
      <c r="G83" s="814">
        <v>1.7999999999999999E-2</v>
      </c>
      <c r="H83" s="357">
        <v>1.7999999999999999E-2</v>
      </c>
      <c r="I83" s="357">
        <v>1.7999999999999999E-2</v>
      </c>
      <c r="J83" s="357">
        <v>1.7999999999999999E-2</v>
      </c>
      <c r="K83" s="357">
        <v>1.7999999999999999E-2</v>
      </c>
      <c r="L83" s="357">
        <v>1.7999999999999999E-2</v>
      </c>
      <c r="M83" s="357">
        <v>1.7999999999999999E-2</v>
      </c>
      <c r="N83" s="357">
        <v>1.7999999999999999E-2</v>
      </c>
      <c r="O83" s="357">
        <v>1.7999999999999999E-2</v>
      </c>
      <c r="P83" s="579">
        <v>1.7999999999999999E-2</v>
      </c>
      <c r="Q83" s="579">
        <v>1.8499999999999999E-2</v>
      </c>
      <c r="R83" s="357">
        <v>1.9E-2</v>
      </c>
      <c r="S83" s="579">
        <v>1.9E-2</v>
      </c>
      <c r="T83" s="357">
        <v>1.77E-2</v>
      </c>
      <c r="U83" s="579">
        <v>1.77E-2</v>
      </c>
      <c r="V83" s="279">
        <v>1.9E-2</v>
      </c>
      <c r="W83" s="235">
        <v>1.95E-2</v>
      </c>
      <c r="X83" s="235">
        <v>1.95E-2</v>
      </c>
      <c r="Y83" s="279">
        <v>1.95E-2</v>
      </c>
      <c r="Z83" s="279">
        <v>2.2499999999999999E-2</v>
      </c>
      <c r="AA83" s="235">
        <v>2.5499999999999998E-2</v>
      </c>
      <c r="AB83" s="235">
        <v>2.5499999999999998E-2</v>
      </c>
      <c r="AC83" s="235">
        <v>2.5499999999999998E-2</v>
      </c>
      <c r="AD83" s="235">
        <v>2.5499999999999998E-2</v>
      </c>
      <c r="AE83" s="235">
        <v>2.5499999999999998E-2</v>
      </c>
      <c r="AF83" s="360">
        <v>2.5499999999999998E-2</v>
      </c>
      <c r="AG83" s="279">
        <v>2.5499999999999998E-2</v>
      </c>
      <c r="AH83" s="360">
        <v>2.5999999999999999E-2</v>
      </c>
      <c r="AI83" s="360">
        <v>2.5999999999999999E-2</v>
      </c>
      <c r="AJ83" s="235">
        <v>2.5999999999999999E-2</v>
      </c>
      <c r="AK83" s="360">
        <v>2.5999999999999999E-2</v>
      </c>
      <c r="AL83" s="360">
        <v>2.5999999999999999E-2</v>
      </c>
      <c r="AM83" s="360">
        <v>2.5999999999999999E-2</v>
      </c>
      <c r="AN83" s="359">
        <v>2.5999999999999999E-2</v>
      </c>
      <c r="AO83" s="359">
        <v>2.5999999999999999E-2</v>
      </c>
      <c r="AP83" s="359">
        <v>2.5999999999999999E-2</v>
      </c>
      <c r="AQ83" s="253">
        <v>2.5999999999999999E-2</v>
      </c>
      <c r="AR83" s="253">
        <v>2.5999999999999999E-2</v>
      </c>
      <c r="AS83" s="311">
        <v>2.5999999999999999E-2</v>
      </c>
      <c r="AT83" s="311">
        <v>2.75E-2</v>
      </c>
      <c r="AU83" s="253">
        <v>2.6700000000000002E-2</v>
      </c>
      <c r="AV83" s="311">
        <v>2.6700000000000002E-2</v>
      </c>
      <c r="AW83" s="253">
        <v>2.9000000000000001E-2</v>
      </c>
      <c r="AX83" s="253"/>
      <c r="AY83" s="253"/>
      <c r="AZ83" s="253"/>
      <c r="BA83" s="253"/>
      <c r="BB83" s="253"/>
      <c r="BC83" s="253"/>
      <c r="BD83" s="253"/>
      <c r="BE83" s="253"/>
      <c r="BF83" s="253"/>
      <c r="BG83" s="253"/>
      <c r="BH83" s="253"/>
      <c r="BI83" s="253"/>
      <c r="BJ83" s="253"/>
      <c r="BK83" s="253"/>
      <c r="BL83" s="253"/>
      <c r="BM83" s="253"/>
      <c r="BN83" s="253"/>
      <c r="BO83" s="253"/>
      <c r="BP83" s="253"/>
      <c r="BQ83" s="253"/>
      <c r="BR83" s="253"/>
      <c r="BS83" s="253"/>
      <c r="BT83" s="253"/>
      <c r="BU83" s="253"/>
      <c r="BV83" s="253"/>
      <c r="BW83" s="253"/>
      <c r="BX83" s="253"/>
      <c r="BY83" s="253"/>
      <c r="BZ83" s="253"/>
      <c r="CA83" s="41">
        <f>$D83-$E83</f>
        <v>0</v>
      </c>
      <c r="CB83" s="109"/>
    </row>
    <row r="84" spans="2:80">
      <c r="B84" s="194" t="s">
        <v>42</v>
      </c>
      <c r="C84" s="358" t="s">
        <v>512</v>
      </c>
      <c r="D84" s="357">
        <v>1.6E-2</v>
      </c>
      <c r="E84" s="357">
        <v>1.6E-2</v>
      </c>
      <c r="F84" s="357">
        <v>1.6E-2</v>
      </c>
      <c r="G84" s="357">
        <v>1.6E-2</v>
      </c>
      <c r="H84" s="357">
        <v>1.6E-2</v>
      </c>
      <c r="I84" s="357">
        <v>1.6E-2</v>
      </c>
      <c r="J84" s="357">
        <v>1.6E-2</v>
      </c>
      <c r="K84" s="357">
        <v>1.6E-2</v>
      </c>
      <c r="L84" s="579">
        <v>1.6E-2</v>
      </c>
      <c r="M84" s="357">
        <v>2.5000000000000001E-2</v>
      </c>
      <c r="N84" s="357">
        <v>2.5000000000000001E-2</v>
      </c>
      <c r="O84" s="357">
        <v>2.5000000000000001E-2</v>
      </c>
      <c r="P84" s="357">
        <v>2.5000000000000001E-2</v>
      </c>
      <c r="Q84" s="357">
        <v>2.5000000000000001E-2</v>
      </c>
      <c r="R84" s="357">
        <v>2.5000000000000001E-2</v>
      </c>
      <c r="S84" s="357">
        <v>2.5000000000000001E-2</v>
      </c>
      <c r="T84" s="357">
        <v>2.5000000000000001E-2</v>
      </c>
      <c r="U84" s="357">
        <v>2.5000000000000001E-2</v>
      </c>
      <c r="V84" s="357">
        <v>2.5000000000000001E-2</v>
      </c>
      <c r="W84" s="357">
        <v>2.5000000000000001E-2</v>
      </c>
      <c r="X84" s="357">
        <v>2.5000000000000001E-2</v>
      </c>
      <c r="Y84" s="357">
        <v>2.5000000000000001E-2</v>
      </c>
      <c r="Z84" s="357">
        <v>2.5000000000000001E-2</v>
      </c>
      <c r="AA84" s="357">
        <v>2.5000000000000001E-2</v>
      </c>
      <c r="AB84" s="357">
        <v>2.5000000000000001E-2</v>
      </c>
      <c r="AC84" s="357">
        <v>2.5000000000000001E-2</v>
      </c>
      <c r="AD84" s="357">
        <v>2.5000000000000001E-2</v>
      </c>
      <c r="AE84" s="357">
        <v>2.5000000000000001E-2</v>
      </c>
      <c r="AF84" s="356">
        <v>2.5000000000000001E-2</v>
      </c>
      <c r="AG84" s="356">
        <v>2.5000000000000001E-2</v>
      </c>
      <c r="AH84" s="356">
        <v>2.5000000000000001E-2</v>
      </c>
      <c r="AI84" s="356">
        <v>2.5000000000000001E-2</v>
      </c>
      <c r="AJ84" s="357">
        <v>2.5000000000000001E-2</v>
      </c>
      <c r="AK84" s="356">
        <v>2.5000000000000001E-2</v>
      </c>
      <c r="AL84" s="356">
        <v>2.5000000000000001E-2</v>
      </c>
      <c r="AM84" s="356">
        <v>2.5000000000000001E-2</v>
      </c>
      <c r="AN84" s="355">
        <v>2.5000000000000001E-2</v>
      </c>
      <c r="AO84" s="355">
        <v>2.5000000000000001E-2</v>
      </c>
      <c r="AP84" s="355">
        <v>3.0499999999999999E-2</v>
      </c>
      <c r="AQ84" s="353">
        <v>3.0499999999999999E-2</v>
      </c>
      <c r="AR84" s="353">
        <v>3.0499999999999999E-2</v>
      </c>
      <c r="AS84" s="354">
        <v>3.0499999999999999E-2</v>
      </c>
      <c r="AT84" s="353">
        <v>2.5000000000000001E-2</v>
      </c>
      <c r="AU84" s="353">
        <v>2.5000000000000001E-2</v>
      </c>
      <c r="AV84" s="353">
        <v>2.5000000000000001E-2</v>
      </c>
      <c r="AW84" s="353">
        <v>2.5000000000000001E-2</v>
      </c>
      <c r="AX84" s="353">
        <v>3.9E-2</v>
      </c>
      <c r="AY84" s="353">
        <v>4.2999999999999997E-2</v>
      </c>
      <c r="AZ84" s="353">
        <v>4.2999999999999997E-2</v>
      </c>
      <c r="BA84" s="353">
        <v>4.2999999999999997E-2</v>
      </c>
      <c r="BB84" s="353">
        <v>4.2999999999999997E-2</v>
      </c>
      <c r="BC84" s="353">
        <v>4.2999999999999997E-2</v>
      </c>
      <c r="BD84" s="353">
        <v>4.2999999999999997E-2</v>
      </c>
      <c r="BE84" s="353">
        <v>4.2999999999999997E-2</v>
      </c>
      <c r="BF84" s="353">
        <v>4.2999999999999997E-2</v>
      </c>
      <c r="BG84" s="353">
        <v>4.2999999999999997E-2</v>
      </c>
      <c r="BH84" s="353">
        <v>4.2999999999999997E-2</v>
      </c>
      <c r="BI84" s="353">
        <v>4.2999999999999997E-2</v>
      </c>
      <c r="BJ84" s="353">
        <v>4.2999999999999997E-2</v>
      </c>
      <c r="BK84" s="353">
        <v>4.2999999999999997E-2</v>
      </c>
      <c r="BL84" s="353">
        <v>4.2999999999999997E-2</v>
      </c>
      <c r="BM84" s="353">
        <v>4.2999999999999997E-2</v>
      </c>
      <c r="BN84" s="353">
        <v>4.2999999999999997E-2</v>
      </c>
      <c r="BO84" s="353">
        <v>4.2999999999999997E-2</v>
      </c>
      <c r="BP84" s="353">
        <v>4.2999999999999997E-2</v>
      </c>
      <c r="BQ84" s="353">
        <v>4.2999999999999997E-2</v>
      </c>
      <c r="BR84" s="353">
        <v>4.2999999999999997E-2</v>
      </c>
      <c r="BS84" s="353">
        <v>4.2999999999999997E-2</v>
      </c>
      <c r="BT84" s="352">
        <v>4.2999999999999997E-2</v>
      </c>
      <c r="BU84" s="352">
        <v>4.2999999999999997E-2</v>
      </c>
      <c r="BV84" s="352">
        <v>4.2999999999999997E-2</v>
      </c>
      <c r="BW84" s="352">
        <v>4.2999999999999997E-2</v>
      </c>
      <c r="BX84" s="352">
        <v>4.2999999999999997E-2</v>
      </c>
      <c r="BY84" s="352">
        <v>4.2999999999999997E-2</v>
      </c>
      <c r="BZ84" s="352">
        <v>4.2999999999999997E-2</v>
      </c>
      <c r="CA84" s="41">
        <f>$D84-$E84</f>
        <v>0</v>
      </c>
      <c r="CB84" s="351" t="s">
        <v>511</v>
      </c>
    </row>
    <row r="85" spans="2:80">
      <c r="C85" s="14"/>
      <c r="D85" s="14"/>
      <c r="E85" s="14"/>
      <c r="F85" s="14"/>
      <c r="G85" s="14"/>
      <c r="H85" s="14"/>
      <c r="I85" s="14"/>
      <c r="J85" s="14"/>
      <c r="K85" s="14"/>
      <c r="L85" s="14"/>
      <c r="M85" s="14"/>
      <c r="N85" s="14"/>
      <c r="O85" s="14"/>
      <c r="P85" s="14"/>
      <c r="Q85" s="14"/>
      <c r="R85" s="14"/>
      <c r="S85" s="14"/>
      <c r="T85" s="14"/>
      <c r="U85" s="14"/>
      <c r="AG85" s="14"/>
      <c r="AH85" s="14"/>
      <c r="AI85" s="14"/>
      <c r="AK85" s="14"/>
      <c r="AL85" s="14"/>
      <c r="AM85" s="14"/>
      <c r="AN85" s="14"/>
      <c r="AO85" s="14"/>
      <c r="AP85" s="14"/>
      <c r="AQ85" s="14"/>
      <c r="AR85" s="14"/>
      <c r="AS85" s="14"/>
      <c r="AT85" s="14"/>
      <c r="AU85" s="14"/>
      <c r="AV85" s="14"/>
      <c r="AW85" s="14"/>
      <c r="AX85" s="14"/>
      <c r="AY85" s="14"/>
      <c r="AZ85" s="14"/>
      <c r="BA85" s="14"/>
      <c r="BB85" s="14"/>
      <c r="BC85" s="14"/>
      <c r="BD85" s="14"/>
      <c r="BE85" s="14"/>
      <c r="BF85" s="14"/>
      <c r="BG85" s="14"/>
      <c r="BH85" s="14"/>
      <c r="BI85" s="14"/>
      <c r="BJ85" s="14"/>
      <c r="BK85" s="14"/>
      <c r="BL85" s="14"/>
      <c r="BM85" s="14"/>
      <c r="BN85" s="14"/>
      <c r="BO85" s="14"/>
      <c r="BP85" s="14"/>
      <c r="BQ85" s="14"/>
      <c r="BR85" s="14"/>
      <c r="BS85" s="14"/>
      <c r="BT85" s="14"/>
      <c r="BU85" s="14"/>
      <c r="BV85" s="14"/>
      <c r="BW85" s="14"/>
      <c r="BX85" s="14"/>
      <c r="BY85" s="14"/>
      <c r="BZ85" s="14"/>
      <c r="CA85" s="14"/>
      <c r="CB85" s="114"/>
    </row>
    <row r="86" spans="2:80">
      <c r="B86" s="1080" t="s">
        <v>211</v>
      </c>
      <c r="C86" s="1080"/>
      <c r="D86" s="1080"/>
      <c r="E86" s="1080"/>
      <c r="F86" s="1080"/>
      <c r="G86" s="1080"/>
      <c r="H86" s="1080"/>
      <c r="I86" s="1080"/>
      <c r="J86" s="1080"/>
      <c r="K86" s="1080"/>
      <c r="L86" s="1080"/>
      <c r="M86" s="1080"/>
      <c r="N86" s="1080"/>
      <c r="O86" s="1080"/>
      <c r="P86" s="1080"/>
      <c r="Q86" s="1080"/>
      <c r="R86" s="1080"/>
      <c r="S86" s="1080"/>
      <c r="T86" s="1080"/>
      <c r="U86" s="1080"/>
      <c r="V86" s="1080"/>
      <c r="W86" s="1080"/>
      <c r="X86" s="1080"/>
      <c r="Y86" s="1080"/>
      <c r="Z86" s="1080"/>
      <c r="AA86" s="1080"/>
      <c r="AB86" s="1080"/>
      <c r="AC86" s="1080"/>
      <c r="AD86" s="1080"/>
      <c r="AE86" s="1080"/>
      <c r="AF86" s="1080"/>
      <c r="AG86" s="1080"/>
      <c r="AH86" s="1080"/>
      <c r="AI86" s="1080"/>
      <c r="AJ86" s="1080"/>
      <c r="AK86" s="1080"/>
      <c r="AL86" s="1080"/>
      <c r="AM86" s="1080"/>
      <c r="AN86" s="1080"/>
      <c r="AO86" s="1080"/>
      <c r="AP86" s="1080"/>
      <c r="AQ86" s="1080"/>
      <c r="AR86" s="1080"/>
      <c r="AS86" s="1080"/>
      <c r="AT86" s="1080"/>
      <c r="AU86" s="1080"/>
      <c r="AV86" s="1080"/>
      <c r="AW86" s="1080"/>
      <c r="AX86" s="1080"/>
      <c r="AY86" s="1080"/>
      <c r="AZ86" s="1080"/>
      <c r="BA86" s="1080"/>
      <c r="BB86" s="1080"/>
      <c r="BC86" s="1080"/>
      <c r="BD86" s="1080"/>
      <c r="BE86" s="1080"/>
      <c r="BF86" s="1080"/>
      <c r="BG86" s="1080"/>
      <c r="BH86" s="1080"/>
      <c r="BI86" s="1080"/>
      <c r="BJ86" s="1080"/>
      <c r="BK86" s="1080"/>
      <c r="BL86" s="1080"/>
      <c r="BM86" s="1080"/>
      <c r="BN86" s="1080"/>
      <c r="BO86" s="1080"/>
      <c r="BP86" s="1080"/>
      <c r="BQ86" s="1080"/>
      <c r="BR86" s="1080"/>
      <c r="BS86" s="1080"/>
      <c r="BT86" s="1080"/>
      <c r="BU86" s="1080"/>
      <c r="BV86" s="1080"/>
      <c r="BW86" s="1080"/>
      <c r="BX86" s="1080"/>
      <c r="BY86" s="1080"/>
      <c r="BZ86" s="1080"/>
      <c r="CA86" s="1080"/>
      <c r="CB86" s="1080"/>
    </row>
    <row r="87" spans="2:80">
      <c r="B87" s="755" t="s">
        <v>121</v>
      </c>
      <c r="C87" s="755" t="s">
        <v>120</v>
      </c>
      <c r="D87" s="366">
        <f t="shared" ref="D87:F87" si="48">D4</f>
        <v>46099</v>
      </c>
      <c r="E87" s="366">
        <f t="shared" ref="E87" si="49">E4</f>
        <v>46092</v>
      </c>
      <c r="F87" s="366">
        <f t="shared" si="48"/>
        <v>46085</v>
      </c>
      <c r="G87" s="366">
        <f t="shared" ref="G87:AF87" si="50">G4</f>
        <v>46078</v>
      </c>
      <c r="H87" s="366">
        <f t="shared" si="50"/>
        <v>46071</v>
      </c>
      <c r="I87" s="366">
        <f t="shared" si="50"/>
        <v>46057</v>
      </c>
      <c r="J87" s="366">
        <f t="shared" si="50"/>
        <v>46050</v>
      </c>
      <c r="K87" s="366">
        <f t="shared" si="50"/>
        <v>46043</v>
      </c>
      <c r="L87" s="366">
        <f t="shared" si="50"/>
        <v>46036</v>
      </c>
      <c r="M87" s="366">
        <f t="shared" si="50"/>
        <v>46029</v>
      </c>
      <c r="N87" s="366">
        <f t="shared" si="50"/>
        <v>46022</v>
      </c>
      <c r="O87" s="366">
        <f t="shared" si="50"/>
        <v>46015</v>
      </c>
      <c r="P87" s="366">
        <f t="shared" si="50"/>
        <v>46008</v>
      </c>
      <c r="Q87" s="366">
        <f t="shared" si="50"/>
        <v>46001</v>
      </c>
      <c r="R87" s="366">
        <f t="shared" si="50"/>
        <v>45994</v>
      </c>
      <c r="S87" s="366">
        <f t="shared" si="50"/>
        <v>45987</v>
      </c>
      <c r="T87" s="366">
        <f t="shared" si="50"/>
        <v>45980</v>
      </c>
      <c r="U87" s="366">
        <f t="shared" si="50"/>
        <v>45973</v>
      </c>
      <c r="V87" s="366">
        <f t="shared" si="50"/>
        <v>45966</v>
      </c>
      <c r="W87" s="366">
        <f t="shared" si="50"/>
        <v>45959</v>
      </c>
      <c r="X87" s="366">
        <f t="shared" si="50"/>
        <v>45952</v>
      </c>
      <c r="Y87" s="366">
        <f t="shared" si="50"/>
        <v>45945</v>
      </c>
      <c r="Z87" s="366">
        <f t="shared" si="50"/>
        <v>45938</v>
      </c>
      <c r="AA87" s="366">
        <f t="shared" si="50"/>
        <v>45931</v>
      </c>
      <c r="AB87" s="366">
        <f t="shared" si="50"/>
        <v>45924</v>
      </c>
      <c r="AC87" s="366">
        <f t="shared" si="50"/>
        <v>45917</v>
      </c>
      <c r="AD87" s="366">
        <f t="shared" si="50"/>
        <v>45910</v>
      </c>
      <c r="AE87" s="366">
        <f t="shared" si="50"/>
        <v>45903</v>
      </c>
      <c r="AF87" s="344">
        <f t="shared" si="50"/>
        <v>45896</v>
      </c>
      <c r="AG87" s="344">
        <v>45889</v>
      </c>
      <c r="AH87" s="344">
        <v>45882</v>
      </c>
      <c r="AI87" s="344">
        <v>45875</v>
      </c>
      <c r="AJ87" s="366">
        <v>45868</v>
      </c>
      <c r="AK87" s="344">
        <v>45861</v>
      </c>
      <c r="AL87" s="344">
        <f>AL4</f>
        <v>45854</v>
      </c>
      <c r="AM87" s="344">
        <f>AM4</f>
        <v>45847</v>
      </c>
      <c r="AN87" s="344">
        <v>45847</v>
      </c>
      <c r="AO87" s="344">
        <v>45840</v>
      </c>
      <c r="AP87" s="344">
        <f t="shared" ref="AP87:AW87" si="51">AP4</f>
        <v>45833</v>
      </c>
      <c r="AQ87" s="366">
        <f t="shared" si="51"/>
        <v>45826</v>
      </c>
      <c r="AR87" s="366">
        <f t="shared" si="51"/>
        <v>45819</v>
      </c>
      <c r="AS87" s="366">
        <f t="shared" si="51"/>
        <v>45812</v>
      </c>
      <c r="AT87" s="366">
        <f t="shared" si="51"/>
        <v>45805</v>
      </c>
      <c r="AU87" s="366">
        <f t="shared" si="51"/>
        <v>45798</v>
      </c>
      <c r="AV87" s="366">
        <f t="shared" si="51"/>
        <v>45792</v>
      </c>
      <c r="AW87" s="366">
        <f t="shared" si="51"/>
        <v>45785</v>
      </c>
      <c r="AX87" s="366">
        <f t="shared" ref="AX87:BP87" si="52">AX10</f>
        <v>0</v>
      </c>
      <c r="AY87" s="366">
        <f t="shared" si="52"/>
        <v>0</v>
      </c>
      <c r="AZ87" s="366">
        <f t="shared" si="52"/>
        <v>0</v>
      </c>
      <c r="BA87" s="366">
        <f t="shared" si="52"/>
        <v>0</v>
      </c>
      <c r="BB87" s="366">
        <f t="shared" si="52"/>
        <v>0</v>
      </c>
      <c r="BC87" s="366">
        <f t="shared" si="52"/>
        <v>0</v>
      </c>
      <c r="BD87" s="366">
        <f t="shared" si="52"/>
        <v>0</v>
      </c>
      <c r="BE87" s="366">
        <f t="shared" si="52"/>
        <v>0</v>
      </c>
      <c r="BF87" s="366">
        <f t="shared" si="52"/>
        <v>0</v>
      </c>
      <c r="BG87" s="366">
        <f t="shared" si="52"/>
        <v>0</v>
      </c>
      <c r="BH87" s="366">
        <f t="shared" si="52"/>
        <v>0</v>
      </c>
      <c r="BI87" s="366">
        <f t="shared" si="52"/>
        <v>0</v>
      </c>
      <c r="BJ87" s="366">
        <f t="shared" si="52"/>
        <v>0</v>
      </c>
      <c r="BK87" s="366">
        <f t="shared" si="52"/>
        <v>0</v>
      </c>
      <c r="BL87" s="366">
        <f t="shared" si="52"/>
        <v>0</v>
      </c>
      <c r="BM87" s="366">
        <f t="shared" si="52"/>
        <v>0</v>
      </c>
      <c r="BN87" s="366">
        <f t="shared" si="52"/>
        <v>0</v>
      </c>
      <c r="BO87" s="366">
        <f t="shared" si="52"/>
        <v>0</v>
      </c>
      <c r="BP87" s="366">
        <f t="shared" si="52"/>
        <v>0</v>
      </c>
      <c r="BQ87" s="366">
        <f>BQ56</f>
        <v>0</v>
      </c>
      <c r="BR87" s="366">
        <f>BR10</f>
        <v>0</v>
      </c>
      <c r="BS87" s="366">
        <f>BS10</f>
        <v>0</v>
      </c>
      <c r="BT87" s="66">
        <f>BT10</f>
        <v>0</v>
      </c>
      <c r="BU87" s="66">
        <f>BU77</f>
        <v>0</v>
      </c>
      <c r="BV87" s="66">
        <f>'最高报价汇总 '!H31</f>
        <v>25000</v>
      </c>
      <c r="BW87" s="66">
        <f>BW33</f>
        <v>0</v>
      </c>
      <c r="BX87" s="66">
        <f>BX33</f>
        <v>0</v>
      </c>
      <c r="BY87" s="66">
        <f>BY33</f>
        <v>0</v>
      </c>
      <c r="BZ87" s="66">
        <f>BZ33</f>
        <v>0</v>
      </c>
      <c r="CA87" s="366" t="str">
        <f>CA71</f>
        <v>当日增幅</v>
      </c>
      <c r="CB87" s="367" t="s">
        <v>223</v>
      </c>
    </row>
    <row r="88" spans="2:80">
      <c r="B88" s="194" t="s">
        <v>16</v>
      </c>
      <c r="C88" s="361" t="s">
        <v>311</v>
      </c>
      <c r="D88" s="357">
        <v>0.02</v>
      </c>
      <c r="E88" s="357">
        <v>0.02</v>
      </c>
      <c r="F88" s="357">
        <v>0.02</v>
      </c>
      <c r="G88" s="357">
        <v>0.02</v>
      </c>
      <c r="H88" s="357">
        <v>0.02</v>
      </c>
      <c r="I88" s="357">
        <v>0.02</v>
      </c>
      <c r="J88" s="579">
        <v>0.02</v>
      </c>
      <c r="K88" s="579">
        <v>2.0500000000000001E-2</v>
      </c>
      <c r="L88" s="357">
        <v>2.35E-2</v>
      </c>
      <c r="M88" s="357">
        <v>2.35E-2</v>
      </c>
      <c r="N88" s="357">
        <v>2.35E-2</v>
      </c>
      <c r="O88" s="357">
        <v>2.35E-2</v>
      </c>
      <c r="P88" s="357">
        <v>2.35E-2</v>
      </c>
      <c r="Q88" s="357">
        <v>2.35E-2</v>
      </c>
      <c r="R88" s="357">
        <v>2.35E-2</v>
      </c>
      <c r="S88" s="357">
        <v>2.35E-2</v>
      </c>
      <c r="T88" s="357">
        <v>2.35E-2</v>
      </c>
      <c r="U88" s="357">
        <v>2.35E-2</v>
      </c>
      <c r="V88" s="235">
        <v>2.35E-2</v>
      </c>
      <c r="W88" s="235">
        <v>2.35E-2</v>
      </c>
      <c r="X88" s="235">
        <v>2.35E-2</v>
      </c>
      <c r="Y88" s="279">
        <v>2.35E-2</v>
      </c>
      <c r="Z88" s="235">
        <v>2.5000000000000001E-2</v>
      </c>
      <c r="AA88" s="279">
        <v>2.5000000000000001E-2</v>
      </c>
      <c r="AB88" s="235">
        <v>2.5999999999999999E-2</v>
      </c>
      <c r="AC88" s="235">
        <v>2.5999999999999999E-2</v>
      </c>
      <c r="AD88" s="235">
        <v>2.5999999999999999E-2</v>
      </c>
      <c r="AE88" s="235">
        <v>2.5999999999999999E-2</v>
      </c>
      <c r="AF88" s="279">
        <v>2.5999999999999999E-2</v>
      </c>
      <c r="AG88" s="360">
        <v>2.9499999999999998E-2</v>
      </c>
      <c r="AH88" s="360">
        <v>2.9499999999999998E-2</v>
      </c>
      <c r="AI88" s="279">
        <v>2.9499999999999998E-2</v>
      </c>
      <c r="AJ88" s="235">
        <v>0.03</v>
      </c>
      <c r="AK88" s="360">
        <v>0.03</v>
      </c>
      <c r="AL88" s="360">
        <v>0.03</v>
      </c>
      <c r="AM88" s="360">
        <v>0.03</v>
      </c>
      <c r="AN88" s="279">
        <v>0.03</v>
      </c>
      <c r="AO88" s="360">
        <v>3.0499999999999999E-2</v>
      </c>
      <c r="AP88" s="279">
        <v>3.0499999999999999E-2</v>
      </c>
      <c r="AQ88" s="253">
        <v>3.2000000000000001E-2</v>
      </c>
      <c r="AR88" s="253">
        <v>3.2000000000000001E-2</v>
      </c>
      <c r="AS88" s="253">
        <v>3.2000000000000001E-2</v>
      </c>
      <c r="AT88" s="253">
        <v>3.2000000000000001E-2</v>
      </c>
      <c r="AU88" s="311">
        <v>3.2000000000000001E-2</v>
      </c>
      <c r="AV88" s="253">
        <v>3.5000000000000003E-2</v>
      </c>
      <c r="AW88" s="253">
        <v>3.5000000000000003E-2</v>
      </c>
      <c r="AX88" s="253">
        <v>4.2000000000000003E-2</v>
      </c>
      <c r="AY88" s="253">
        <v>4.2000000000000003E-2</v>
      </c>
      <c r="AZ88" s="253">
        <v>4.2000000000000003E-2</v>
      </c>
      <c r="BA88" s="253">
        <v>4.2000000000000003E-2</v>
      </c>
      <c r="BB88" s="253">
        <v>4.2000000000000003E-2</v>
      </c>
      <c r="BC88" s="253">
        <v>4.2000000000000003E-2</v>
      </c>
      <c r="BD88" s="253">
        <v>4.2000000000000003E-2</v>
      </c>
      <c r="BE88" s="253">
        <v>4.2000000000000003E-2</v>
      </c>
      <c r="BF88" s="370"/>
      <c r="BG88" s="370"/>
      <c r="BH88" s="370"/>
      <c r="BI88" s="370"/>
      <c r="BJ88" s="370"/>
      <c r="BK88" s="370"/>
      <c r="BL88" s="370"/>
      <c r="BM88" s="370"/>
      <c r="BN88" s="370"/>
      <c r="BO88" s="370"/>
      <c r="BP88" s="370"/>
      <c r="BQ88" s="370"/>
      <c r="BR88" s="370"/>
      <c r="BS88" s="370"/>
      <c r="BT88" s="369"/>
      <c r="BU88" s="369"/>
      <c r="BV88" s="369"/>
      <c r="BW88" s="369"/>
      <c r="BX88" s="369"/>
      <c r="BY88" s="369"/>
      <c r="BZ88" s="369"/>
      <c r="CA88" s="41">
        <f>$D88-$E88</f>
        <v>0</v>
      </c>
      <c r="CB88" s="109" t="s">
        <v>514</v>
      </c>
    </row>
    <row r="89" spans="2:80">
      <c r="B89" s="194" t="s">
        <v>20</v>
      </c>
      <c r="C89" s="308" t="s">
        <v>515</v>
      </c>
      <c r="D89" s="357"/>
      <c r="E89" s="357"/>
      <c r="F89" s="357">
        <v>2.06E-2</v>
      </c>
      <c r="G89" s="357">
        <v>2.06E-2</v>
      </c>
      <c r="H89" s="357">
        <v>2.06E-2</v>
      </c>
      <c r="I89" s="357">
        <v>2.06E-2</v>
      </c>
      <c r="J89" s="579">
        <v>2.0299999999999999E-2</v>
      </c>
      <c r="K89" s="579">
        <v>1.9800000000000002E-2</v>
      </c>
      <c r="L89" s="579">
        <v>2.0299999999999999E-2</v>
      </c>
      <c r="M89" s="579">
        <v>2.1299999999999999E-2</v>
      </c>
      <c r="N89" s="579">
        <v>2.18E-2</v>
      </c>
      <c r="O89" s="579">
        <v>2.1700000000000001E-2</v>
      </c>
      <c r="P89" s="357">
        <v>2.1899999999999999E-2</v>
      </c>
      <c r="Q89" s="579">
        <v>2.1899999999999999E-2</v>
      </c>
      <c r="R89" s="357">
        <v>2.1299999999999999E-2</v>
      </c>
      <c r="S89" s="579">
        <v>2.1299999999999999E-2</v>
      </c>
      <c r="T89" s="357">
        <v>2.0299999999999999E-2</v>
      </c>
      <c r="U89" s="579">
        <v>2.0299999999999999E-2</v>
      </c>
      <c r="V89" s="279">
        <v>2.1100000000000001E-2</v>
      </c>
      <c r="W89" s="279">
        <v>2.1600000000000001E-2</v>
      </c>
      <c r="X89" s="279">
        <v>2.0899999999999998E-2</v>
      </c>
      <c r="Y89" s="235">
        <v>2.1299999999999999E-2</v>
      </c>
      <c r="Z89" s="235">
        <v>2.35E-2</v>
      </c>
      <c r="AA89" s="279">
        <v>2.35E-2</v>
      </c>
      <c r="AB89" s="279">
        <v>2.4299999999999999E-2</v>
      </c>
      <c r="AC89" s="235">
        <v>2.58E-2</v>
      </c>
      <c r="AD89" s="279">
        <v>2.58E-2</v>
      </c>
      <c r="AE89" s="235">
        <v>2.64E-2</v>
      </c>
      <c r="AF89" s="279">
        <v>2.64E-2</v>
      </c>
      <c r="AG89" s="360">
        <v>2.7799999999999998E-2</v>
      </c>
      <c r="AH89" s="360">
        <v>2.7799999999999998E-2</v>
      </c>
      <c r="AI89" s="360">
        <v>2.7799999999999998E-2</v>
      </c>
      <c r="AJ89" s="279">
        <v>2.7799999999999998E-2</v>
      </c>
      <c r="AK89" s="360">
        <v>2.87E-2</v>
      </c>
      <c r="AL89" s="279">
        <v>2.87E-2</v>
      </c>
      <c r="AM89" s="279">
        <v>2.87E-2</v>
      </c>
      <c r="AN89" s="364">
        <v>2.8799999999999999E-2</v>
      </c>
      <c r="AO89" s="364">
        <v>2.9600000000000001E-2</v>
      </c>
      <c r="AP89" s="363">
        <v>2.92E-2</v>
      </c>
      <c r="AQ89" s="311">
        <v>3.15E-2</v>
      </c>
      <c r="AR89" s="311">
        <v>2.8799999999999999E-2</v>
      </c>
      <c r="AS89" s="253">
        <v>2.5399999999999999E-2</v>
      </c>
      <c r="AT89" s="311">
        <v>2.5399999999999999E-2</v>
      </c>
      <c r="AU89" s="311">
        <v>2.6100000000000002E-2</v>
      </c>
      <c r="AV89" s="253">
        <v>3.0200000000000001E-2</v>
      </c>
      <c r="AW89" s="253">
        <v>3.0200000000000001E-2</v>
      </c>
      <c r="AX89" s="253">
        <v>4.2999999999999997E-2</v>
      </c>
      <c r="AY89" s="253">
        <v>4.2999999999999997E-2</v>
      </c>
      <c r="AZ89" s="253">
        <v>4.2999999999999997E-2</v>
      </c>
      <c r="BA89" s="253">
        <v>4.2999999999999997E-2</v>
      </c>
      <c r="BB89" s="253">
        <v>4.2999999999999997E-2</v>
      </c>
      <c r="BC89" s="253">
        <v>4.2999999999999997E-2</v>
      </c>
      <c r="BD89" s="253">
        <v>4.3999999999999997E-2</v>
      </c>
      <c r="BE89" s="253">
        <v>4.3999999999999997E-2</v>
      </c>
      <c r="BF89" s="253">
        <v>4.3999999999999997E-2</v>
      </c>
      <c r="BG89" s="253">
        <v>4.3999999999999997E-2</v>
      </c>
      <c r="BH89" s="253">
        <v>4.5999999999999999E-2</v>
      </c>
      <c r="BI89" s="253">
        <v>4.5999999999999999E-2</v>
      </c>
      <c r="BJ89" s="253">
        <v>4.5999999999999999E-2</v>
      </c>
      <c r="BK89" s="253">
        <v>4.5999999999999999E-2</v>
      </c>
      <c r="BL89" s="253">
        <v>4.5999999999999999E-2</v>
      </c>
      <c r="BM89" s="253">
        <v>4.5999999999999999E-2</v>
      </c>
      <c r="BN89" s="253">
        <v>4.5999999999999999E-2</v>
      </c>
      <c r="BO89" s="253">
        <v>4.5999999999999999E-2</v>
      </c>
      <c r="BP89" s="253">
        <v>4.5999999999999999E-2</v>
      </c>
      <c r="BQ89" s="253">
        <v>4.5999999999999999E-2</v>
      </c>
      <c r="BR89" s="253">
        <v>4.5999999999999999E-2</v>
      </c>
      <c r="BS89" s="253">
        <v>4.5999999999999999E-2</v>
      </c>
      <c r="BT89" s="368">
        <v>4.5999999999999999E-2</v>
      </c>
      <c r="BU89" s="368">
        <v>4.5999999999999999E-2</v>
      </c>
      <c r="BV89" s="368">
        <v>4.5999999999999999E-2</v>
      </c>
      <c r="BW89" s="368">
        <v>4.5999999999999999E-2</v>
      </c>
      <c r="BX89" s="368">
        <v>4.5999999999999999E-2</v>
      </c>
      <c r="BY89" s="368">
        <v>4.5999999999999999E-2</v>
      </c>
      <c r="BZ89" s="368">
        <v>4.5999999999999999E-2</v>
      </c>
      <c r="CA89" s="41">
        <f>$D89-$E89</f>
        <v>0</v>
      </c>
      <c r="CB89" s="351" t="s">
        <v>511</v>
      </c>
    </row>
    <row r="90" spans="2:80">
      <c r="B90" s="194" t="s">
        <v>12</v>
      </c>
      <c r="C90" s="361" t="s">
        <v>513</v>
      </c>
      <c r="D90" s="814">
        <v>1.8499999999999999E-2</v>
      </c>
      <c r="E90" s="814">
        <v>1.8499999999999999E-2</v>
      </c>
      <c r="F90" s="814">
        <v>1.8499999999999999E-2</v>
      </c>
      <c r="G90" s="814">
        <v>1.8499999999999999E-2</v>
      </c>
      <c r="H90" s="357">
        <v>1.8499999999999999E-2</v>
      </c>
      <c r="I90" s="357">
        <v>1.8499999999999999E-2</v>
      </c>
      <c r="J90" s="357">
        <v>1.8499999999999999E-2</v>
      </c>
      <c r="K90" s="357">
        <v>1.8499999999999999E-2</v>
      </c>
      <c r="L90" s="357">
        <v>1.8499999999999999E-2</v>
      </c>
      <c r="M90" s="357">
        <v>1.8499999999999999E-2</v>
      </c>
      <c r="N90" s="357">
        <v>1.8499999999999999E-2</v>
      </c>
      <c r="O90" s="357">
        <v>1.8499999999999999E-2</v>
      </c>
      <c r="P90" s="357">
        <v>1.8499999999999999E-2</v>
      </c>
      <c r="Q90" s="579">
        <v>1.8499999999999999E-2</v>
      </c>
      <c r="R90" s="357">
        <v>1.9E-2</v>
      </c>
      <c r="S90" s="579">
        <v>1.9E-2</v>
      </c>
      <c r="T90" s="357">
        <v>1.77E-2</v>
      </c>
      <c r="U90" s="579">
        <v>1.77E-2</v>
      </c>
      <c r="V90" s="279">
        <v>1.9E-2</v>
      </c>
      <c r="W90" s="235">
        <v>1.95E-2</v>
      </c>
      <c r="X90" s="235">
        <v>1.95E-2</v>
      </c>
      <c r="Y90" s="279">
        <v>1.95E-2</v>
      </c>
      <c r="Z90" s="279">
        <v>2.2499999999999999E-2</v>
      </c>
      <c r="AA90" s="235">
        <v>2.5499999999999998E-2</v>
      </c>
      <c r="AB90" s="235">
        <v>2.5499999999999998E-2</v>
      </c>
      <c r="AC90" s="235">
        <v>2.5499999999999998E-2</v>
      </c>
      <c r="AD90" s="235">
        <v>2.5499999999999998E-2</v>
      </c>
      <c r="AE90" s="235">
        <v>2.5499999999999998E-2</v>
      </c>
      <c r="AF90" s="360">
        <v>2.5499999999999998E-2</v>
      </c>
      <c r="AG90" s="279">
        <v>2.5499999999999998E-2</v>
      </c>
      <c r="AH90" s="360">
        <v>2.58E-2</v>
      </c>
      <c r="AI90" s="360">
        <v>2.58E-2</v>
      </c>
      <c r="AJ90" s="235">
        <v>2.58E-2</v>
      </c>
      <c r="AK90" s="360">
        <v>2.58E-2</v>
      </c>
      <c r="AL90" s="360">
        <v>2.58E-2</v>
      </c>
      <c r="AM90" s="360">
        <v>2.58E-2</v>
      </c>
      <c r="AN90" s="359">
        <v>2.58E-2</v>
      </c>
      <c r="AO90" s="359">
        <v>2.58E-2</v>
      </c>
      <c r="AP90" s="359">
        <v>2.58E-2</v>
      </c>
      <c r="AQ90" s="253">
        <v>2.58E-2</v>
      </c>
      <c r="AR90" s="253">
        <v>2.58E-2</v>
      </c>
      <c r="AS90" s="311">
        <v>2.58E-2</v>
      </c>
      <c r="AT90" s="311">
        <v>2.7300000000000001E-2</v>
      </c>
      <c r="AU90" s="253">
        <v>2.6200000000000001E-2</v>
      </c>
      <c r="AV90" s="311">
        <v>2.6200000000000001E-2</v>
      </c>
      <c r="AW90" s="253">
        <v>2.6700000000000002E-2</v>
      </c>
      <c r="AX90" s="253"/>
      <c r="AY90" s="253"/>
      <c r="AZ90" s="253"/>
      <c r="BA90" s="253"/>
      <c r="BB90" s="253"/>
      <c r="BC90" s="253"/>
      <c r="BD90" s="253"/>
      <c r="BE90" s="253"/>
      <c r="BF90" s="253"/>
      <c r="BG90" s="253"/>
      <c r="BH90" s="253"/>
      <c r="BI90" s="253"/>
      <c r="BJ90" s="253"/>
      <c r="BK90" s="253"/>
      <c r="BL90" s="253"/>
      <c r="BM90" s="253"/>
      <c r="BN90" s="253"/>
      <c r="BO90" s="253"/>
      <c r="BP90" s="253"/>
      <c r="BQ90" s="253"/>
      <c r="BR90" s="253"/>
      <c r="BS90" s="253"/>
      <c r="BT90" s="253"/>
      <c r="BU90" s="253"/>
      <c r="BV90" s="253"/>
      <c r="BW90" s="253"/>
      <c r="BX90" s="253"/>
      <c r="BY90" s="253"/>
      <c r="BZ90" s="253"/>
      <c r="CA90" s="41">
        <f>$D90-$E90</f>
        <v>0</v>
      </c>
      <c r="CB90" s="109"/>
    </row>
    <row r="91" spans="2:80">
      <c r="B91" s="194" t="s">
        <v>42</v>
      </c>
      <c r="C91" s="358" t="s">
        <v>512</v>
      </c>
      <c r="D91" s="357">
        <v>1.6E-2</v>
      </c>
      <c r="E91" s="357">
        <v>1.6E-2</v>
      </c>
      <c r="F91" s="357">
        <v>1.6E-2</v>
      </c>
      <c r="G91" s="357">
        <v>1.6E-2</v>
      </c>
      <c r="H91" s="357">
        <v>1.6E-2</v>
      </c>
      <c r="I91" s="357">
        <v>1.6E-2</v>
      </c>
      <c r="J91" s="357">
        <v>1.6E-2</v>
      </c>
      <c r="K91" s="357">
        <v>1.6E-2</v>
      </c>
      <c r="L91" s="579">
        <v>1.6E-2</v>
      </c>
      <c r="M91" s="357">
        <v>2.5000000000000001E-2</v>
      </c>
      <c r="N91" s="357">
        <v>2.5000000000000001E-2</v>
      </c>
      <c r="O91" s="357">
        <v>2.5000000000000001E-2</v>
      </c>
      <c r="P91" s="357">
        <v>2.5000000000000001E-2</v>
      </c>
      <c r="Q91" s="357">
        <v>2.5000000000000001E-2</v>
      </c>
      <c r="R91" s="357">
        <v>2.5000000000000001E-2</v>
      </c>
      <c r="S91" s="357">
        <v>2.5000000000000001E-2</v>
      </c>
      <c r="T91" s="357">
        <v>2.5000000000000001E-2</v>
      </c>
      <c r="U91" s="357">
        <v>2.5000000000000001E-2</v>
      </c>
      <c r="V91" s="357">
        <v>2.5000000000000001E-2</v>
      </c>
      <c r="W91" s="357">
        <v>2.5000000000000001E-2</v>
      </c>
      <c r="X91" s="357">
        <v>2.5000000000000001E-2</v>
      </c>
      <c r="Y91" s="357">
        <v>2.5000000000000001E-2</v>
      </c>
      <c r="Z91" s="357">
        <v>2.5000000000000001E-2</v>
      </c>
      <c r="AA91" s="357">
        <v>2.5000000000000001E-2</v>
      </c>
      <c r="AB91" s="357">
        <v>2.5000000000000001E-2</v>
      </c>
      <c r="AC91" s="357">
        <v>2.5000000000000001E-2</v>
      </c>
      <c r="AD91" s="357">
        <v>2.5000000000000001E-2</v>
      </c>
      <c r="AE91" s="357">
        <v>2.5000000000000001E-2</v>
      </c>
      <c r="AF91" s="356">
        <v>2.5000000000000001E-2</v>
      </c>
      <c r="AG91" s="356">
        <v>2.5000000000000001E-2</v>
      </c>
      <c r="AH91" s="356">
        <v>2.5000000000000001E-2</v>
      </c>
      <c r="AI91" s="356">
        <v>2.5000000000000001E-2</v>
      </c>
      <c r="AJ91" s="357">
        <v>2.5000000000000001E-2</v>
      </c>
      <c r="AK91" s="356">
        <v>2.5000000000000001E-2</v>
      </c>
      <c r="AL91" s="356">
        <v>2.5000000000000001E-2</v>
      </c>
      <c r="AM91" s="356">
        <v>2.5000000000000001E-2</v>
      </c>
      <c r="AN91" s="355">
        <v>2.5000000000000001E-2</v>
      </c>
      <c r="AO91" s="355">
        <v>2.5000000000000001E-2</v>
      </c>
      <c r="AP91" s="355">
        <v>0.03</v>
      </c>
      <c r="AQ91" s="353">
        <v>0.03</v>
      </c>
      <c r="AR91" s="353">
        <v>0.03</v>
      </c>
      <c r="AS91" s="353">
        <v>0.03</v>
      </c>
      <c r="AT91" s="353">
        <v>2.5000000000000001E-2</v>
      </c>
      <c r="AU91" s="353">
        <v>2.5000000000000001E-2</v>
      </c>
      <c r="AV91" s="353">
        <v>2.5000000000000001E-2</v>
      </c>
      <c r="AW91" s="353">
        <v>2.5000000000000001E-2</v>
      </c>
      <c r="AX91" s="353">
        <v>3.9E-2</v>
      </c>
      <c r="AY91" s="353">
        <v>4.2999999999999997E-2</v>
      </c>
      <c r="AZ91" s="353">
        <v>4.2999999999999997E-2</v>
      </c>
      <c r="BA91" s="353">
        <v>4.2999999999999997E-2</v>
      </c>
      <c r="BB91" s="353">
        <v>4.2999999999999997E-2</v>
      </c>
      <c r="BC91" s="353">
        <v>4.2999999999999997E-2</v>
      </c>
      <c r="BD91" s="353">
        <v>4.2999999999999997E-2</v>
      </c>
      <c r="BE91" s="353">
        <v>4.2999999999999997E-2</v>
      </c>
      <c r="BF91" s="353">
        <v>4.2999999999999997E-2</v>
      </c>
      <c r="BG91" s="353">
        <v>4.2999999999999997E-2</v>
      </c>
      <c r="BH91" s="353">
        <v>4.2999999999999997E-2</v>
      </c>
      <c r="BI91" s="353">
        <v>4.2999999999999997E-2</v>
      </c>
      <c r="BJ91" s="353">
        <v>4.2999999999999997E-2</v>
      </c>
      <c r="BK91" s="353">
        <v>4.2999999999999997E-2</v>
      </c>
      <c r="BL91" s="353">
        <v>4.2999999999999997E-2</v>
      </c>
      <c r="BM91" s="353">
        <v>4.2999999999999997E-2</v>
      </c>
      <c r="BN91" s="353">
        <v>4.2999999999999997E-2</v>
      </c>
      <c r="BO91" s="353">
        <v>4.2999999999999997E-2</v>
      </c>
      <c r="BP91" s="353">
        <v>4.2999999999999997E-2</v>
      </c>
      <c r="BQ91" s="353">
        <v>4.2999999999999997E-2</v>
      </c>
      <c r="BR91" s="353">
        <v>4.2999999999999997E-2</v>
      </c>
      <c r="BS91" s="353">
        <v>4.2999999999999997E-2</v>
      </c>
      <c r="BT91" s="352">
        <v>4.2999999999999997E-2</v>
      </c>
      <c r="BU91" s="352">
        <v>4.2999999999999997E-2</v>
      </c>
      <c r="BV91" s="352">
        <v>4.2999999999999997E-2</v>
      </c>
      <c r="BW91" s="352">
        <v>4.2999999999999997E-2</v>
      </c>
      <c r="BX91" s="352">
        <v>4.2999999999999997E-2</v>
      </c>
      <c r="BY91" s="352">
        <v>4.2999999999999997E-2</v>
      </c>
      <c r="BZ91" s="352">
        <v>4.2999999999999997E-2</v>
      </c>
      <c r="CA91" s="41">
        <f>$D91-$E91</f>
        <v>0</v>
      </c>
      <c r="CB91" s="351" t="s">
        <v>511</v>
      </c>
    </row>
    <row r="92" spans="2:80">
      <c r="C92" s="14"/>
      <c r="D92" s="14"/>
      <c r="E92" s="14"/>
      <c r="F92" s="14"/>
      <c r="G92" s="14"/>
      <c r="H92" s="14"/>
      <c r="I92" s="14"/>
      <c r="J92" s="14"/>
      <c r="K92" s="14"/>
      <c r="L92" s="14"/>
      <c r="M92" s="14"/>
      <c r="N92" s="14"/>
      <c r="O92" s="14"/>
      <c r="P92" s="14"/>
      <c r="Q92" s="14"/>
      <c r="R92" s="14"/>
      <c r="S92" s="14"/>
      <c r="T92" s="14"/>
      <c r="U92" s="14"/>
      <c r="AG92" s="14"/>
      <c r="AH92" s="14"/>
      <c r="AI92" s="14"/>
      <c r="AK92" s="14"/>
      <c r="AL92" s="14"/>
      <c r="AM92" s="14"/>
      <c r="AN92" s="14"/>
      <c r="AO92" s="14"/>
      <c r="AP92" s="14"/>
      <c r="AQ92" s="14"/>
      <c r="AR92" s="14"/>
      <c r="AS92" s="14"/>
      <c r="AT92" s="14"/>
      <c r="AU92" s="14"/>
      <c r="AV92" s="14"/>
      <c r="AW92" s="14"/>
      <c r="AX92" s="14"/>
      <c r="AY92" s="14"/>
      <c r="AZ92" s="14"/>
      <c r="BA92" s="14"/>
      <c r="BB92" s="14"/>
      <c r="BC92" s="14"/>
      <c r="BD92" s="14"/>
      <c r="BE92" s="14"/>
      <c r="BF92" s="14"/>
      <c r="BG92" s="14"/>
      <c r="BH92" s="14"/>
      <c r="BI92" s="14"/>
      <c r="BJ92" s="14"/>
      <c r="BK92" s="14"/>
      <c r="BL92" s="14"/>
      <c r="BM92" s="14"/>
      <c r="BN92" s="14"/>
      <c r="BO92" s="14"/>
      <c r="BP92" s="14"/>
      <c r="BQ92" s="14"/>
      <c r="BR92" s="14"/>
      <c r="BS92" s="14"/>
      <c r="BT92" s="14"/>
      <c r="BU92" s="14"/>
      <c r="BV92" s="14"/>
      <c r="BW92" s="14"/>
      <c r="BX92" s="14"/>
      <c r="BY92" s="14"/>
      <c r="BZ92" s="14"/>
      <c r="CA92" s="14"/>
      <c r="CB92" s="114"/>
    </row>
    <row r="93" spans="2:80">
      <c r="B93" s="1080" t="s">
        <v>210</v>
      </c>
      <c r="C93" s="1080"/>
      <c r="D93" s="1080"/>
      <c r="E93" s="1080"/>
      <c r="F93" s="1080"/>
      <c r="G93" s="1080"/>
      <c r="H93" s="1080"/>
      <c r="I93" s="1080"/>
      <c r="J93" s="1080"/>
      <c r="K93" s="1080"/>
      <c r="L93" s="1080"/>
      <c r="M93" s="1080"/>
      <c r="N93" s="1080"/>
      <c r="O93" s="1080"/>
      <c r="P93" s="1080"/>
      <c r="Q93" s="1080"/>
      <c r="R93" s="1080"/>
      <c r="S93" s="1080"/>
      <c r="T93" s="1080"/>
      <c r="U93" s="1080"/>
      <c r="V93" s="1080"/>
      <c r="W93" s="1080"/>
      <c r="X93" s="1080"/>
      <c r="Y93" s="1080"/>
      <c r="Z93" s="1080"/>
      <c r="AA93" s="1080"/>
      <c r="AB93" s="1080"/>
      <c r="AC93" s="1080"/>
      <c r="AD93" s="1080"/>
      <c r="AE93" s="1080"/>
      <c r="AF93" s="1080"/>
      <c r="AG93" s="1080"/>
      <c r="AH93" s="1080"/>
      <c r="AI93" s="1080"/>
      <c r="AJ93" s="1080"/>
      <c r="AK93" s="1080"/>
      <c r="AL93" s="1080"/>
      <c r="AM93" s="1080"/>
      <c r="AN93" s="1080"/>
      <c r="AO93" s="1080"/>
      <c r="AP93" s="1080"/>
      <c r="AQ93" s="1080"/>
      <c r="AR93" s="1080"/>
      <c r="AS93" s="1080"/>
      <c r="AT93" s="1080"/>
      <c r="AU93" s="1080"/>
      <c r="AV93" s="1080"/>
      <c r="AW93" s="1080"/>
      <c r="AX93" s="1080"/>
      <c r="AY93" s="1080"/>
      <c r="AZ93" s="1080"/>
      <c r="BA93" s="1080"/>
      <c r="BB93" s="1080"/>
      <c r="BC93" s="1080"/>
      <c r="BD93" s="1080"/>
      <c r="BE93" s="1080"/>
      <c r="BF93" s="1080"/>
      <c r="BG93" s="1080"/>
      <c r="BH93" s="1080"/>
      <c r="BI93" s="1080"/>
      <c r="BJ93" s="1080"/>
      <c r="BK93" s="1080"/>
      <c r="BL93" s="1080"/>
      <c r="BM93" s="1080"/>
      <c r="BN93" s="1080"/>
      <c r="BO93" s="1080"/>
      <c r="BP93" s="1080"/>
      <c r="BQ93" s="1080"/>
      <c r="BR93" s="1080"/>
      <c r="BS93" s="1080"/>
      <c r="BT93" s="1080"/>
      <c r="BU93" s="1080"/>
      <c r="BV93" s="1080"/>
      <c r="BW93" s="1080"/>
      <c r="BX93" s="1080"/>
      <c r="BY93" s="1080"/>
      <c r="BZ93" s="1080"/>
      <c r="CA93" s="1080"/>
      <c r="CB93" s="1080"/>
    </row>
    <row r="94" spans="2:80">
      <c r="B94" s="756" t="s">
        <v>121</v>
      </c>
      <c r="C94" s="756" t="s">
        <v>120</v>
      </c>
      <c r="D94" s="366">
        <f t="shared" ref="D94:F94" si="53">D4</f>
        <v>46099</v>
      </c>
      <c r="E94" s="366">
        <f t="shared" ref="E94" si="54">E4</f>
        <v>46092</v>
      </c>
      <c r="F94" s="366">
        <f t="shared" si="53"/>
        <v>46085</v>
      </c>
      <c r="G94" s="366">
        <f t="shared" ref="G94:T94" si="55">G4</f>
        <v>46078</v>
      </c>
      <c r="H94" s="366">
        <f t="shared" ref="H94" si="56">H4</f>
        <v>46071</v>
      </c>
      <c r="I94" s="366">
        <f>I4</f>
        <v>46057</v>
      </c>
      <c r="J94" s="366">
        <f t="shared" si="55"/>
        <v>46050</v>
      </c>
      <c r="K94" s="366">
        <f t="shared" si="55"/>
        <v>46043</v>
      </c>
      <c r="L94" s="366">
        <f t="shared" si="55"/>
        <v>46036</v>
      </c>
      <c r="M94" s="366">
        <f t="shared" si="55"/>
        <v>46029</v>
      </c>
      <c r="N94" s="366">
        <f t="shared" si="55"/>
        <v>46022</v>
      </c>
      <c r="O94" s="366">
        <f t="shared" si="55"/>
        <v>46015</v>
      </c>
      <c r="P94" s="366">
        <f t="shared" si="55"/>
        <v>46008</v>
      </c>
      <c r="Q94" s="366">
        <f t="shared" si="55"/>
        <v>46001</v>
      </c>
      <c r="R94" s="366">
        <f t="shared" si="55"/>
        <v>45994</v>
      </c>
      <c r="S94" s="366">
        <f t="shared" si="55"/>
        <v>45987</v>
      </c>
      <c r="T94" s="366">
        <f t="shared" si="55"/>
        <v>45980</v>
      </c>
      <c r="U94" s="366">
        <f t="shared" ref="U94:AF94" si="57">U4</f>
        <v>45973</v>
      </c>
      <c r="V94" s="366">
        <f t="shared" si="57"/>
        <v>45966</v>
      </c>
      <c r="W94" s="366">
        <f>W4</f>
        <v>45959</v>
      </c>
      <c r="X94" s="366">
        <f>X4</f>
        <v>45952</v>
      </c>
      <c r="Y94" s="366">
        <f>Y4</f>
        <v>45945</v>
      </c>
      <c r="Z94" s="366">
        <f>Z4</f>
        <v>45938</v>
      </c>
      <c r="AA94" s="366">
        <f>AA4</f>
        <v>45931</v>
      </c>
      <c r="AB94" s="366">
        <f t="shared" si="57"/>
        <v>45924</v>
      </c>
      <c r="AC94" s="366">
        <f t="shared" si="57"/>
        <v>45917</v>
      </c>
      <c r="AD94" s="366">
        <f t="shared" si="57"/>
        <v>45910</v>
      </c>
      <c r="AE94" s="366">
        <f t="shared" si="57"/>
        <v>45903</v>
      </c>
      <c r="AF94" s="344">
        <f t="shared" si="57"/>
        <v>45896</v>
      </c>
      <c r="AG94" s="344">
        <v>45889</v>
      </c>
      <c r="AH94" s="344">
        <v>45882</v>
      </c>
      <c r="AI94" s="344">
        <v>45875</v>
      </c>
      <c r="AJ94" s="366">
        <v>45868</v>
      </c>
      <c r="AK94" s="344">
        <v>45861</v>
      </c>
      <c r="AL94" s="344">
        <f>AL4</f>
        <v>45854</v>
      </c>
      <c r="AM94" s="344">
        <f>AM4</f>
        <v>45847</v>
      </c>
      <c r="AN94" s="344">
        <v>45847</v>
      </c>
      <c r="AO94" s="344">
        <v>45840</v>
      </c>
      <c r="AP94" s="344">
        <f t="shared" ref="AP94:AU94" si="58">AP4</f>
        <v>45833</v>
      </c>
      <c r="AQ94" s="366">
        <f t="shared" si="58"/>
        <v>45826</v>
      </c>
      <c r="AR94" s="366">
        <f t="shared" si="58"/>
        <v>45819</v>
      </c>
      <c r="AS94" s="366">
        <f t="shared" si="58"/>
        <v>45812</v>
      </c>
      <c r="AT94" s="366">
        <f t="shared" si="58"/>
        <v>45805</v>
      </c>
      <c r="AU94" s="366">
        <f t="shared" si="58"/>
        <v>45798</v>
      </c>
      <c r="AV94" s="366">
        <f>'最高报价汇总 '!F2</f>
        <v>46099</v>
      </c>
      <c r="AW94" s="366">
        <f>AW4</f>
        <v>45785</v>
      </c>
      <c r="AX94" s="366">
        <f>AX78</f>
        <v>0</v>
      </c>
      <c r="AY94" s="366">
        <f>AY78</f>
        <v>0</v>
      </c>
      <c r="AZ94" s="366">
        <f>AZ78</f>
        <v>0</v>
      </c>
      <c r="BA94" s="366">
        <f>BA87</f>
        <v>0</v>
      </c>
      <c r="BB94" s="366">
        <f>'最高报价汇总 '!H29</f>
        <v>500</v>
      </c>
      <c r="BC94" s="366">
        <f>'最高报价汇总 '!H29</f>
        <v>500</v>
      </c>
      <c r="BD94" s="366">
        <f>'最高报价汇总 '!H29</f>
        <v>500</v>
      </c>
      <c r="BE94" s="366">
        <f>'最高报价汇总 '!H29</f>
        <v>500</v>
      </c>
      <c r="BF94" s="366">
        <f>BF78</f>
        <v>0</v>
      </c>
      <c r="BG94" s="366">
        <f>'最高报价汇总 '!H29</f>
        <v>500</v>
      </c>
      <c r="BH94" s="366">
        <f>'最高报价汇总 '!H29</f>
        <v>500</v>
      </c>
      <c r="BI94" s="366">
        <f>'最高报价汇总 '!H29</f>
        <v>500</v>
      </c>
      <c r="BJ94" s="366">
        <f>BJ78</f>
        <v>0</v>
      </c>
      <c r="BK94" s="366">
        <f>'最高报价汇总 '!H29</f>
        <v>500</v>
      </c>
      <c r="BL94" s="366">
        <f>BL87</f>
        <v>0</v>
      </c>
      <c r="BM94" s="366">
        <f>'最高报价汇总 '!H29</f>
        <v>500</v>
      </c>
      <c r="BN94" s="366">
        <f>BN87</f>
        <v>0</v>
      </c>
      <c r="BO94" s="366">
        <f>'最高报价汇总 '!H29</f>
        <v>500</v>
      </c>
      <c r="BP94" s="366">
        <f>'最高报价汇总 '!H29</f>
        <v>500</v>
      </c>
      <c r="BQ94" s="366">
        <f>BQ78</f>
        <v>0</v>
      </c>
      <c r="BR94" s="366">
        <f>'最高报价汇总 '!H29</f>
        <v>500</v>
      </c>
      <c r="BS94" s="366">
        <f>'最高报价汇总 '!H29</f>
        <v>500</v>
      </c>
      <c r="BT94" s="66">
        <f>'最高报价汇总 '!H29</f>
        <v>500</v>
      </c>
      <c r="BU94" s="66" t="e">
        <f>#REF!</f>
        <v>#REF!</v>
      </c>
      <c r="BV94" s="66">
        <f>'最高报价汇总 '!H29</f>
        <v>500</v>
      </c>
      <c r="BW94" s="66">
        <f>BW78</f>
        <v>0</v>
      </c>
      <c r="BX94" s="66">
        <f>BX35</f>
        <v>0</v>
      </c>
      <c r="BY94" s="66">
        <f>BY35</f>
        <v>0</v>
      </c>
      <c r="BZ94" s="66">
        <f>BZ78</f>
        <v>0</v>
      </c>
      <c r="CA94" s="366" t="str">
        <f>CA87</f>
        <v>当日增幅</v>
      </c>
      <c r="CB94" s="367" t="s">
        <v>223</v>
      </c>
    </row>
    <row r="95" spans="2:80">
      <c r="B95" s="194" t="s">
        <v>16</v>
      </c>
      <c r="C95" s="361" t="s">
        <v>311</v>
      </c>
      <c r="D95" s="235">
        <v>2.0500000000000001E-2</v>
      </c>
      <c r="E95" s="235">
        <v>2.0500000000000001E-2</v>
      </c>
      <c r="F95" s="235">
        <v>2.0500000000000001E-2</v>
      </c>
      <c r="G95" s="235">
        <v>2.0500000000000001E-2</v>
      </c>
      <c r="H95" s="235">
        <v>2.0500000000000001E-2</v>
      </c>
      <c r="I95" s="235">
        <v>2.0500000000000001E-2</v>
      </c>
      <c r="J95" s="235">
        <v>2.0500000000000001E-2</v>
      </c>
      <c r="K95" s="279">
        <v>2.0500000000000001E-2</v>
      </c>
      <c r="L95" s="235">
        <v>2.2499999999999999E-2</v>
      </c>
      <c r="M95" s="235">
        <v>2.2499999999999999E-2</v>
      </c>
      <c r="N95" s="235">
        <v>2.2499999999999999E-2</v>
      </c>
      <c r="O95" s="235">
        <v>2.2499999999999999E-2</v>
      </c>
      <c r="P95" s="235">
        <v>2.2499999999999999E-2</v>
      </c>
      <c r="Q95" s="235">
        <v>2.2499999999999999E-2</v>
      </c>
      <c r="R95" s="235">
        <v>2.2499999999999999E-2</v>
      </c>
      <c r="S95" s="235">
        <v>2.2499999999999999E-2</v>
      </c>
      <c r="T95" s="235">
        <v>2.2499999999999999E-2</v>
      </c>
      <c r="U95" s="279">
        <v>2.2499999999999999E-2</v>
      </c>
      <c r="V95" s="235">
        <v>2.35E-2</v>
      </c>
      <c r="W95" s="235">
        <v>2.35E-2</v>
      </c>
      <c r="X95" s="235">
        <v>2.35E-2</v>
      </c>
      <c r="Y95" s="235">
        <v>2.35E-2</v>
      </c>
      <c r="Z95" s="235">
        <v>2.35E-2</v>
      </c>
      <c r="AA95" s="279">
        <v>2.35E-2</v>
      </c>
      <c r="AB95" s="235">
        <v>2.5999999999999999E-2</v>
      </c>
      <c r="AC95" s="235">
        <v>2.5999999999999999E-2</v>
      </c>
      <c r="AD95" s="235">
        <v>2.5999999999999999E-2</v>
      </c>
      <c r="AE95" s="235">
        <v>2.5999999999999999E-2</v>
      </c>
      <c r="AF95" s="279">
        <v>2.5999999999999999E-2</v>
      </c>
      <c r="AG95" s="360">
        <v>2.9000000000000001E-2</v>
      </c>
      <c r="AH95" s="360">
        <v>2.9000000000000001E-2</v>
      </c>
      <c r="AI95" s="360">
        <v>2.9000000000000001E-2</v>
      </c>
      <c r="AJ95" s="235">
        <v>2.9000000000000001E-2</v>
      </c>
      <c r="AK95" s="360">
        <v>2.9000000000000001E-2</v>
      </c>
      <c r="AL95" s="360">
        <v>2.9000000000000001E-2</v>
      </c>
      <c r="AM95" s="360">
        <v>2.9000000000000001E-2</v>
      </c>
      <c r="AN95" s="359">
        <v>2.9000000000000001E-2</v>
      </c>
      <c r="AO95" s="359">
        <v>2.9000000000000001E-2</v>
      </c>
      <c r="AP95" s="311">
        <v>2.9000000000000001E-2</v>
      </c>
      <c r="AQ95" s="253">
        <v>3.1E-2</v>
      </c>
      <c r="AR95" s="253">
        <v>3.1E-2</v>
      </c>
      <c r="AS95" s="253">
        <v>3.1E-2</v>
      </c>
      <c r="AT95" s="253">
        <v>3.1E-2</v>
      </c>
      <c r="AU95" s="311">
        <v>3.1E-2</v>
      </c>
      <c r="AV95" s="253">
        <v>3.4000000000000002E-2</v>
      </c>
      <c r="AW95" s="253">
        <v>3.4000000000000002E-2</v>
      </c>
      <c r="AX95" s="253">
        <v>4.1000000000000002E-2</v>
      </c>
      <c r="AY95" s="253">
        <v>4.1000000000000002E-2</v>
      </c>
      <c r="AZ95" s="253">
        <v>4.1000000000000002E-2</v>
      </c>
      <c r="BA95" s="253">
        <v>4.1000000000000002E-2</v>
      </c>
      <c r="BB95" s="253">
        <v>4.1000000000000002E-2</v>
      </c>
      <c r="BC95" s="253">
        <v>4.1000000000000002E-2</v>
      </c>
      <c r="BD95" s="253">
        <v>4.1000000000000002E-2</v>
      </c>
      <c r="BE95" s="253">
        <v>4.1000000000000002E-2</v>
      </c>
      <c r="BF95" s="366"/>
      <c r="BG95" s="366"/>
      <c r="BH95" s="366"/>
      <c r="BI95" s="366"/>
      <c r="BJ95" s="366"/>
      <c r="BK95" s="366"/>
      <c r="BL95" s="366"/>
      <c r="BM95" s="366"/>
      <c r="BN95" s="366"/>
      <c r="BO95" s="366"/>
      <c r="BP95" s="366"/>
      <c r="BQ95" s="366"/>
      <c r="BR95" s="366"/>
      <c r="BS95" s="366"/>
      <c r="BT95" s="66"/>
      <c r="BU95" s="66"/>
      <c r="BV95" s="66"/>
      <c r="BW95" s="66"/>
      <c r="BX95" s="66"/>
      <c r="BY95" s="66"/>
      <c r="BZ95" s="66"/>
      <c r="CA95" s="41">
        <f>$D95-$E95</f>
        <v>0</v>
      </c>
      <c r="CB95" s="109" t="s">
        <v>514</v>
      </c>
    </row>
    <row r="96" spans="2:80">
      <c r="B96" s="194" t="s">
        <v>20</v>
      </c>
      <c r="C96" s="308" t="s">
        <v>300</v>
      </c>
      <c r="D96" s="235"/>
      <c r="E96" s="235"/>
      <c r="F96" s="235">
        <v>2.0500000000000001E-2</v>
      </c>
      <c r="G96" s="235">
        <v>2.0500000000000001E-2</v>
      </c>
      <c r="H96" s="235">
        <v>2.0500000000000001E-2</v>
      </c>
      <c r="I96" s="235">
        <v>2.0500000000000001E-2</v>
      </c>
      <c r="J96" s="235">
        <v>2.0299999999999999E-2</v>
      </c>
      <c r="K96" s="235">
        <v>2.0299999999999999E-2</v>
      </c>
      <c r="L96" s="279">
        <v>2.0299999999999999E-2</v>
      </c>
      <c r="M96" s="279">
        <v>2.1299999999999999E-2</v>
      </c>
      <c r="N96" s="279">
        <v>2.2100000000000002E-2</v>
      </c>
      <c r="O96" s="235">
        <v>2.23E-2</v>
      </c>
      <c r="P96" s="279">
        <v>2.23E-2</v>
      </c>
      <c r="Q96" s="279">
        <v>2.2100000000000002E-2</v>
      </c>
      <c r="R96" s="235">
        <v>2.1299999999999999E-2</v>
      </c>
      <c r="S96" s="279">
        <v>2.1299999999999999E-2</v>
      </c>
      <c r="T96" s="235">
        <v>2.0299999999999999E-2</v>
      </c>
      <c r="U96" s="279">
        <v>2.0299999999999999E-2</v>
      </c>
      <c r="V96" s="279">
        <v>2.1499999999999998E-2</v>
      </c>
      <c r="W96" s="279">
        <v>2.18E-2</v>
      </c>
      <c r="X96" s="279">
        <v>2.0899999999999998E-2</v>
      </c>
      <c r="Y96" s="235">
        <v>2.1299999999999999E-2</v>
      </c>
      <c r="Z96" s="235">
        <v>2.3300000000000001E-2</v>
      </c>
      <c r="AA96" s="235">
        <v>2.3300000000000001E-2</v>
      </c>
      <c r="AB96" s="279">
        <v>2.3300000000000001E-2</v>
      </c>
      <c r="AC96" s="279">
        <v>2.5600000000000001E-2</v>
      </c>
      <c r="AD96" s="279">
        <v>2.58E-2</v>
      </c>
      <c r="AE96" s="235">
        <v>2.4799999999999999E-2</v>
      </c>
      <c r="AF96" s="279">
        <v>2.4799999999999999E-2</v>
      </c>
      <c r="AG96" s="360">
        <v>2.7300000000000001E-2</v>
      </c>
      <c r="AH96" s="360">
        <v>2.7300000000000001E-2</v>
      </c>
      <c r="AI96" s="360">
        <v>2.7300000000000001E-2</v>
      </c>
      <c r="AJ96" s="279">
        <v>2.7300000000000001E-2</v>
      </c>
      <c r="AK96" s="360">
        <v>2.8299999999999999E-2</v>
      </c>
      <c r="AL96" s="279">
        <v>2.8299999999999999E-2</v>
      </c>
      <c r="AM96" s="279">
        <v>2.8299999999999999E-2</v>
      </c>
      <c r="AN96" s="364">
        <v>2.9000000000000001E-2</v>
      </c>
      <c r="AO96" s="364">
        <v>2.93E-2</v>
      </c>
      <c r="AP96" s="363">
        <v>2.9399999999999999E-2</v>
      </c>
      <c r="AQ96" s="311">
        <v>2.9499999999999998E-2</v>
      </c>
      <c r="AR96" s="311">
        <v>2.8799999999999999E-2</v>
      </c>
      <c r="AS96" s="253">
        <v>2.5399999999999999E-2</v>
      </c>
      <c r="AT96" s="311">
        <v>2.5399999999999999E-2</v>
      </c>
      <c r="AU96" s="362">
        <v>2.5399999999999999E-2</v>
      </c>
      <c r="AV96" s="153">
        <v>2.93E-2</v>
      </c>
      <c r="AW96" s="153">
        <v>2.93E-2</v>
      </c>
      <c r="AX96" s="153">
        <v>4.2999999999999997E-2</v>
      </c>
      <c r="AY96" s="153">
        <v>4.2999999999999997E-2</v>
      </c>
      <c r="AZ96" s="153">
        <v>4.2999999999999997E-2</v>
      </c>
      <c r="BA96" s="153">
        <v>4.2999999999999997E-2</v>
      </c>
      <c r="BB96" s="153">
        <v>4.2999999999999997E-2</v>
      </c>
      <c r="BC96" s="153">
        <v>4.2999999999999997E-2</v>
      </c>
      <c r="BD96" s="153">
        <v>4.2999999999999997E-2</v>
      </c>
      <c r="BE96" s="153">
        <v>4.2999999999999997E-2</v>
      </c>
      <c r="BF96" s="153">
        <v>4.2999999999999997E-2</v>
      </c>
      <c r="BG96" s="153">
        <v>4.2999999999999997E-2</v>
      </c>
      <c r="BH96" s="153">
        <v>4.3999999999999997E-2</v>
      </c>
      <c r="BI96" s="153">
        <v>4.3999999999999997E-2</v>
      </c>
      <c r="BJ96" s="153">
        <v>4.3999999999999997E-2</v>
      </c>
      <c r="BK96" s="153">
        <v>4.3999999999999997E-2</v>
      </c>
      <c r="BL96" s="153">
        <v>4.3999999999999997E-2</v>
      </c>
      <c r="BM96" s="153">
        <v>4.3999999999999997E-2</v>
      </c>
      <c r="BN96" s="153">
        <v>4.3999999999999997E-2</v>
      </c>
      <c r="BO96" s="153">
        <v>4.3999999999999997E-2</v>
      </c>
      <c r="BP96" s="153">
        <v>4.3999999999999997E-2</v>
      </c>
      <c r="BQ96" s="153">
        <v>4.3999999999999997E-2</v>
      </c>
      <c r="BR96" s="153">
        <v>4.3999999999999997E-2</v>
      </c>
      <c r="BS96" s="153">
        <v>4.3999999999999997E-2</v>
      </c>
      <c r="BT96" s="362">
        <v>4.3999999999999997E-2</v>
      </c>
      <c r="BU96" s="362">
        <v>4.5999999999999999E-2</v>
      </c>
      <c r="BV96" s="362">
        <v>4.5999999999999999E-2</v>
      </c>
      <c r="BW96" s="362">
        <v>4.5999999999999999E-2</v>
      </c>
      <c r="BX96" s="362">
        <v>4.5999999999999999E-2</v>
      </c>
      <c r="BY96" s="362">
        <v>4.5999999999999999E-2</v>
      </c>
      <c r="BZ96" s="362">
        <v>4.5999999999999999E-2</v>
      </c>
      <c r="CA96" s="41">
        <f>$D96-$E96</f>
        <v>0</v>
      </c>
      <c r="CB96" s="351" t="s">
        <v>511</v>
      </c>
    </row>
    <row r="97" spans="2:80">
      <c r="B97" s="194" t="s">
        <v>12</v>
      </c>
      <c r="C97" s="361" t="s">
        <v>513</v>
      </c>
      <c r="D97" s="235">
        <v>1.9E-2</v>
      </c>
      <c r="E97" s="235">
        <v>1.9E-2</v>
      </c>
      <c r="F97" s="235">
        <v>1.9E-2</v>
      </c>
      <c r="G97" s="235">
        <v>1.9E-2</v>
      </c>
      <c r="H97" s="235">
        <v>1.9E-2</v>
      </c>
      <c r="I97" s="235">
        <v>1.9E-2</v>
      </c>
      <c r="J97" s="235">
        <v>1.9E-2</v>
      </c>
      <c r="K97" s="235">
        <v>1.9E-2</v>
      </c>
      <c r="L97" s="235">
        <v>1.9E-2</v>
      </c>
      <c r="M97" s="235">
        <v>1.9E-2</v>
      </c>
      <c r="N97" s="235">
        <v>1.9E-2</v>
      </c>
      <c r="O97" s="235">
        <v>1.9E-2</v>
      </c>
      <c r="P97" s="279">
        <v>1.9E-2</v>
      </c>
      <c r="Q97" s="235">
        <v>1.95E-2</v>
      </c>
      <c r="R97" s="235">
        <v>1.95E-2</v>
      </c>
      <c r="S97" s="279">
        <v>1.95E-2</v>
      </c>
      <c r="T97" s="235">
        <v>1.8200000000000001E-2</v>
      </c>
      <c r="U97" s="279">
        <v>1.8200000000000001E-2</v>
      </c>
      <c r="V97" s="235">
        <v>1.95E-2</v>
      </c>
      <c r="W97" s="235">
        <v>1.95E-2</v>
      </c>
      <c r="X97" s="235">
        <v>1.95E-2</v>
      </c>
      <c r="Y97" s="279">
        <v>1.95E-2</v>
      </c>
      <c r="Z97" s="279">
        <v>2.2499999999999999E-2</v>
      </c>
      <c r="AA97" s="235">
        <v>2.5499999999999998E-2</v>
      </c>
      <c r="AB97" s="235">
        <v>2.5499999999999998E-2</v>
      </c>
      <c r="AC97" s="235">
        <v>2.5499999999999998E-2</v>
      </c>
      <c r="AD97" s="235">
        <v>2.5499999999999998E-2</v>
      </c>
      <c r="AE97" s="235">
        <v>2.5499999999999998E-2</v>
      </c>
      <c r="AF97" s="360">
        <v>2.5499999999999998E-2</v>
      </c>
      <c r="AG97" s="360">
        <v>2.5499999999999998E-2</v>
      </c>
      <c r="AH97" s="360">
        <v>2.5499999999999998E-2</v>
      </c>
      <c r="AI97" s="360">
        <v>2.5499999999999998E-2</v>
      </c>
      <c r="AJ97" s="235">
        <v>2.5499999999999998E-2</v>
      </c>
      <c r="AK97" s="360">
        <v>2.5499999999999998E-2</v>
      </c>
      <c r="AL97" s="360">
        <v>2.5499999999999998E-2</v>
      </c>
      <c r="AM97" s="360">
        <v>2.5499999999999998E-2</v>
      </c>
      <c r="AN97" s="359">
        <v>2.5499999999999998E-2</v>
      </c>
      <c r="AO97" s="359">
        <v>2.5499999999999998E-2</v>
      </c>
      <c r="AP97" s="359">
        <v>2.5499999999999998E-2</v>
      </c>
      <c r="AQ97" s="253">
        <v>2.5499999999999998E-2</v>
      </c>
      <c r="AR97" s="253">
        <v>2.5499999999999998E-2</v>
      </c>
      <c r="AS97" s="311">
        <v>2.5499999999999998E-2</v>
      </c>
      <c r="AT97" s="311">
        <v>2.6499999999999999E-2</v>
      </c>
      <c r="AU97" s="253">
        <v>2.6200000000000001E-2</v>
      </c>
      <c r="AV97" s="311">
        <v>2.6200000000000001E-2</v>
      </c>
      <c r="AW97" s="253">
        <v>2.6700000000000002E-2</v>
      </c>
      <c r="AX97" s="253"/>
      <c r="AY97" s="253"/>
      <c r="AZ97" s="253"/>
      <c r="BA97" s="253"/>
      <c r="BB97" s="253"/>
      <c r="BC97" s="253"/>
      <c r="BD97" s="253"/>
      <c r="BE97" s="253"/>
      <c r="BF97" s="253"/>
      <c r="BG97" s="253"/>
      <c r="BH97" s="253"/>
      <c r="BI97" s="253"/>
      <c r="BJ97" s="253"/>
      <c r="BK97" s="253"/>
      <c r="BL97" s="253"/>
      <c r="BM97" s="253"/>
      <c r="BN97" s="253"/>
      <c r="BO97" s="253"/>
      <c r="BP97" s="253"/>
      <c r="BQ97" s="253"/>
      <c r="BR97" s="253"/>
      <c r="BS97" s="253"/>
      <c r="BT97" s="253"/>
      <c r="BU97" s="253"/>
      <c r="BV97" s="253"/>
      <c r="BW97" s="253"/>
      <c r="BX97" s="253"/>
      <c r="BY97" s="253"/>
      <c r="BZ97" s="253"/>
      <c r="CA97" s="41">
        <f>$D97-$E97</f>
        <v>0</v>
      </c>
      <c r="CB97" s="109"/>
    </row>
    <row r="98" spans="2:80">
      <c r="B98" s="194" t="s">
        <v>42</v>
      </c>
      <c r="C98" s="358" t="s">
        <v>512</v>
      </c>
      <c r="D98" s="357">
        <v>1.55E-2</v>
      </c>
      <c r="E98" s="357">
        <v>1.55E-2</v>
      </c>
      <c r="F98" s="357">
        <v>1.55E-2</v>
      </c>
      <c r="G98" s="357">
        <v>1.55E-2</v>
      </c>
      <c r="H98" s="357">
        <v>1.55E-2</v>
      </c>
      <c r="I98" s="357">
        <v>1.55E-2</v>
      </c>
      <c r="J98" s="357">
        <v>1.55E-2</v>
      </c>
      <c r="K98" s="357">
        <v>1.55E-2</v>
      </c>
      <c r="L98" s="579">
        <v>1.55E-2</v>
      </c>
      <c r="M98" s="357">
        <v>2.1999999999999999E-2</v>
      </c>
      <c r="N98" s="357">
        <v>2.1999999999999999E-2</v>
      </c>
      <c r="O98" s="357">
        <v>2.1999999999999999E-2</v>
      </c>
      <c r="P98" s="357">
        <v>2.1999999999999999E-2</v>
      </c>
      <c r="Q98" s="357">
        <v>2.1999999999999999E-2</v>
      </c>
      <c r="R98" s="357">
        <v>2.1999999999999999E-2</v>
      </c>
      <c r="S98" s="357">
        <v>2.1999999999999999E-2</v>
      </c>
      <c r="T98" s="357">
        <v>2.1999999999999999E-2</v>
      </c>
      <c r="U98" s="357">
        <v>2.1999999999999999E-2</v>
      </c>
      <c r="V98" s="357">
        <v>2.1999999999999999E-2</v>
      </c>
      <c r="W98" s="357">
        <v>2.1999999999999999E-2</v>
      </c>
      <c r="X98" s="357">
        <v>2.1999999999999999E-2</v>
      </c>
      <c r="Y98" s="357">
        <v>2.1999999999999999E-2</v>
      </c>
      <c r="Z98" s="357">
        <v>2.1999999999999999E-2</v>
      </c>
      <c r="AA98" s="357">
        <v>2.1999999999999999E-2</v>
      </c>
      <c r="AB98" s="357">
        <v>2.1999999999999999E-2</v>
      </c>
      <c r="AC98" s="357">
        <v>2.1999999999999999E-2</v>
      </c>
      <c r="AD98" s="357">
        <v>2.1999999999999999E-2</v>
      </c>
      <c r="AE98" s="357">
        <v>2.1999999999999999E-2</v>
      </c>
      <c r="AF98" s="356">
        <v>2.1999999999999999E-2</v>
      </c>
      <c r="AG98" s="356">
        <v>2.1999999999999999E-2</v>
      </c>
      <c r="AH98" s="356">
        <v>2.1999999999999999E-2</v>
      </c>
      <c r="AI98" s="356">
        <v>2.1999999999999999E-2</v>
      </c>
      <c r="AJ98" s="357">
        <v>2.1999999999999999E-2</v>
      </c>
      <c r="AK98" s="356">
        <v>2.1999999999999999E-2</v>
      </c>
      <c r="AL98" s="356">
        <v>2.1999999999999999E-2</v>
      </c>
      <c r="AM98" s="356">
        <v>2.1999999999999999E-2</v>
      </c>
      <c r="AN98" s="355">
        <v>2.1999999999999999E-2</v>
      </c>
      <c r="AO98" s="355">
        <v>2.1999999999999999E-2</v>
      </c>
      <c r="AP98" s="355">
        <v>2.7E-2</v>
      </c>
      <c r="AQ98" s="353">
        <v>2.7E-2</v>
      </c>
      <c r="AR98" s="353">
        <v>2.7E-2</v>
      </c>
      <c r="AS98" s="354">
        <v>2.7E-2</v>
      </c>
      <c r="AT98" s="353">
        <v>2.1999999999999999E-2</v>
      </c>
      <c r="AU98" s="353">
        <v>2.1999999999999999E-2</v>
      </c>
      <c r="AV98" s="353">
        <v>2.1999999999999999E-2</v>
      </c>
      <c r="AW98" s="353">
        <v>2.1999999999999999E-2</v>
      </c>
      <c r="AX98" s="353">
        <v>3.9E-2</v>
      </c>
      <c r="AY98" s="353">
        <v>4.2999999999999997E-2</v>
      </c>
      <c r="AZ98" s="353">
        <v>4.2999999999999997E-2</v>
      </c>
      <c r="BA98" s="353">
        <v>4.2999999999999997E-2</v>
      </c>
      <c r="BB98" s="353">
        <v>4.2999999999999997E-2</v>
      </c>
      <c r="BC98" s="353">
        <v>4.2999999999999997E-2</v>
      </c>
      <c r="BD98" s="353">
        <v>4.2999999999999997E-2</v>
      </c>
      <c r="BE98" s="353">
        <v>4.2999999999999997E-2</v>
      </c>
      <c r="BF98" s="353">
        <v>4.2999999999999997E-2</v>
      </c>
      <c r="BG98" s="353">
        <v>4.2999999999999997E-2</v>
      </c>
      <c r="BH98" s="353">
        <v>4.2999999999999997E-2</v>
      </c>
      <c r="BI98" s="353">
        <v>4.2999999999999997E-2</v>
      </c>
      <c r="BJ98" s="353">
        <v>4.2999999999999997E-2</v>
      </c>
      <c r="BK98" s="353">
        <v>4.2999999999999997E-2</v>
      </c>
      <c r="BL98" s="353">
        <v>4.2999999999999997E-2</v>
      </c>
      <c r="BM98" s="353">
        <v>4.2999999999999997E-2</v>
      </c>
      <c r="BN98" s="353">
        <v>4.2999999999999997E-2</v>
      </c>
      <c r="BO98" s="353">
        <v>4.2999999999999997E-2</v>
      </c>
      <c r="BP98" s="353">
        <v>4.2999999999999997E-2</v>
      </c>
      <c r="BQ98" s="353">
        <v>4.2999999999999997E-2</v>
      </c>
      <c r="BR98" s="353">
        <v>4.2999999999999997E-2</v>
      </c>
      <c r="BS98" s="353">
        <v>4.2999999999999997E-2</v>
      </c>
      <c r="BT98" s="352">
        <v>4.2999999999999997E-2</v>
      </c>
      <c r="BU98" s="352">
        <v>4.2999999999999997E-2</v>
      </c>
      <c r="BV98" s="352">
        <v>4.2999999999999997E-2</v>
      </c>
      <c r="BW98" s="352">
        <v>4.2999999999999997E-2</v>
      </c>
      <c r="BX98" s="352">
        <v>4.2999999999999997E-2</v>
      </c>
      <c r="BY98" s="352">
        <v>4.2999999999999997E-2</v>
      </c>
      <c r="BZ98" s="352">
        <v>4.2999999999999997E-2</v>
      </c>
      <c r="CA98" s="41">
        <f>$D98-$E98</f>
        <v>0</v>
      </c>
      <c r="CB98" s="351" t="s">
        <v>511</v>
      </c>
    </row>
  </sheetData>
  <mergeCells count="17">
    <mergeCell ref="B2:CB2"/>
    <mergeCell ref="B3:CB3"/>
    <mergeCell ref="B10:CB10"/>
    <mergeCell ref="B18:CB18"/>
    <mergeCell ref="B27:CB27"/>
    <mergeCell ref="B86:CB86"/>
    <mergeCell ref="B93:CB93"/>
    <mergeCell ref="B35:CB35"/>
    <mergeCell ref="B28:CB28"/>
    <mergeCell ref="B48:CB48"/>
    <mergeCell ref="B49:CB49"/>
    <mergeCell ref="B56:CB56"/>
    <mergeCell ref="B63:CB63"/>
    <mergeCell ref="B70:CB70"/>
    <mergeCell ref="B77:CB77"/>
    <mergeCell ref="B78:CB78"/>
    <mergeCell ref="B41:CB41"/>
  </mergeCells>
  <phoneticPr fontId="71" type="noConversion"/>
  <conditionalFormatting sqref="CA5:CA8">
    <cfRule type="iconSet" priority="35">
      <iconSet iconSet="3Arrows">
        <cfvo type="percent" val="0"/>
        <cfvo type="num" val="0"/>
        <cfvo type="num" val="0" gte="0"/>
      </iconSet>
    </cfRule>
  </conditionalFormatting>
  <conditionalFormatting sqref="CA15">
    <cfRule type="iconSet" priority="9">
      <iconSet iconSet="3Arrows">
        <cfvo type="percent" val="0"/>
        <cfvo type="num" val="0"/>
        <cfvo type="num" val="0" gte="0"/>
      </iconSet>
    </cfRule>
  </conditionalFormatting>
  <conditionalFormatting sqref="CA16">
    <cfRule type="iconSet" priority="6">
      <iconSet iconSet="3Arrows">
        <cfvo type="percent" val="0"/>
        <cfvo type="num" val="0"/>
        <cfvo type="num" val="0" gte="0"/>
      </iconSet>
    </cfRule>
  </conditionalFormatting>
  <conditionalFormatting sqref="CA17 CA12:CA14">
    <cfRule type="iconSet" priority="153">
      <iconSet iconSet="3Arrows">
        <cfvo type="percent" val="0"/>
        <cfvo type="num" val="0"/>
        <cfvo type="num" val="0" gte="0"/>
      </iconSet>
    </cfRule>
  </conditionalFormatting>
  <conditionalFormatting sqref="CA20:CA22 CA24">
    <cfRule type="iconSet" priority="21">
      <iconSet iconSet="3Arrows">
        <cfvo type="percent" val="0"/>
        <cfvo type="num" val="0"/>
        <cfvo type="num" val="0" gte="0"/>
      </iconSet>
    </cfRule>
  </conditionalFormatting>
  <conditionalFormatting sqref="CA23">
    <cfRule type="iconSet" priority="8">
      <iconSet iconSet="3Arrows">
        <cfvo type="percent" val="0"/>
        <cfvo type="num" val="0"/>
        <cfvo type="num" val="0" gte="0"/>
      </iconSet>
    </cfRule>
  </conditionalFormatting>
  <conditionalFormatting sqref="CA30:CA33">
    <cfRule type="iconSet" priority="20">
      <iconSet iconSet="3Arrows">
        <cfvo type="percent" val="0"/>
        <cfvo type="num" val="0"/>
        <cfvo type="num" val="0" gte="0"/>
      </iconSet>
    </cfRule>
  </conditionalFormatting>
  <conditionalFormatting sqref="CA37:CA40">
    <cfRule type="iconSet" priority="19">
      <iconSet iconSet="3Arrows">
        <cfvo type="percent" val="0"/>
        <cfvo type="num" val="0"/>
        <cfvo type="num" val="0" gte="0"/>
      </iconSet>
    </cfRule>
  </conditionalFormatting>
  <conditionalFormatting sqref="CA43:CA45">
    <cfRule type="iconSet" priority="18">
      <iconSet iconSet="3Arrows">
        <cfvo type="percent" val="0"/>
        <cfvo type="num" val="0"/>
        <cfvo type="num" val="0" gte="0"/>
      </iconSet>
    </cfRule>
  </conditionalFormatting>
  <conditionalFormatting sqref="CA51:CA54">
    <cfRule type="iconSet" priority="17">
      <iconSet iconSet="3Arrows">
        <cfvo type="percent" val="0"/>
        <cfvo type="num" val="0"/>
        <cfvo type="num" val="0" gte="0"/>
      </iconSet>
    </cfRule>
  </conditionalFormatting>
  <conditionalFormatting sqref="CA58:CA60">
    <cfRule type="iconSet" priority="16">
      <iconSet iconSet="3Arrows">
        <cfvo type="percent" val="0"/>
        <cfvo type="num" val="0"/>
        <cfvo type="num" val="0" gte="0"/>
      </iconSet>
    </cfRule>
  </conditionalFormatting>
  <conditionalFormatting sqref="CA61">
    <cfRule type="iconSet" priority="5">
      <iconSet iconSet="3Arrows">
        <cfvo type="percent" val="0"/>
        <cfvo type="num" val="0"/>
        <cfvo type="num" val="0" gte="0"/>
      </iconSet>
    </cfRule>
  </conditionalFormatting>
  <conditionalFormatting sqref="CA65:CA68">
    <cfRule type="iconSet" priority="15">
      <iconSet iconSet="3Arrows">
        <cfvo type="percent" val="0"/>
        <cfvo type="num" val="0"/>
        <cfvo type="num" val="0" gte="0"/>
      </iconSet>
    </cfRule>
  </conditionalFormatting>
  <conditionalFormatting sqref="CA72:CA74">
    <cfRule type="iconSet" priority="14">
      <iconSet iconSet="3Arrows">
        <cfvo type="percent" val="0"/>
        <cfvo type="num" val="0"/>
        <cfvo type="num" val="0" gte="0"/>
      </iconSet>
    </cfRule>
  </conditionalFormatting>
  <conditionalFormatting sqref="CA80:CA84">
    <cfRule type="iconSet" priority="13">
      <iconSet iconSet="3Arrows">
        <cfvo type="percent" val="0"/>
        <cfvo type="num" val="0"/>
        <cfvo type="num" val="0" gte="0"/>
      </iconSet>
    </cfRule>
  </conditionalFormatting>
  <conditionalFormatting sqref="CA88:CA91">
    <cfRule type="iconSet" priority="12">
      <iconSet iconSet="3Arrows">
        <cfvo type="percent" val="0"/>
        <cfvo type="num" val="0"/>
        <cfvo type="num" val="0" gte="0"/>
      </iconSet>
    </cfRule>
  </conditionalFormatting>
  <conditionalFormatting sqref="CA95:CA98">
    <cfRule type="iconSet" priority="11">
      <iconSet iconSet="3Arrows">
        <cfvo type="percent" val="0"/>
        <cfvo type="num" val="0"/>
        <cfvo type="num" val="0" gte="0"/>
      </iconSet>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54"/>
  <sheetViews>
    <sheetView tabSelected="1" zoomScale="80" zoomScaleNormal="80" workbookViewId="0">
      <pane ySplit="876" activePane="bottomLeft"/>
      <selection sqref="A1:XFD1048576"/>
      <selection pane="bottomLeft" activeCell="R31" sqref="R31"/>
    </sheetView>
  </sheetViews>
  <sheetFormatPr defaultColWidth="11.88671875" defaultRowHeight="13.8"/>
  <cols>
    <col min="1" max="1" width="11.88671875" style="116"/>
    <col min="2" max="18" width="11.88671875" style="12"/>
    <col min="19" max="19" width="67.6640625" style="12" customWidth="1"/>
    <col min="20" max="16384" width="11.88671875" style="12"/>
  </cols>
  <sheetData>
    <row r="1" spans="1:19" ht="20.399999999999999">
      <c r="A1" s="1087" t="s">
        <v>638</v>
      </c>
      <c r="B1" s="1087"/>
      <c r="C1" s="1087"/>
      <c r="D1" s="1087"/>
      <c r="E1" s="1087"/>
      <c r="F1" s="1087"/>
      <c r="G1" s="1087"/>
      <c r="H1" s="1087"/>
      <c r="I1" s="1087"/>
      <c r="J1" s="1087"/>
      <c r="K1" s="1087"/>
      <c r="L1" s="1087"/>
      <c r="M1" s="618"/>
      <c r="N1" s="618"/>
      <c r="O1" s="1088">
        <f>'最高报价汇总 '!F2</f>
        <v>46099</v>
      </c>
      <c r="P1" s="1089"/>
      <c r="Q1" s="1089"/>
      <c r="R1" s="1089"/>
    </row>
    <row r="2" spans="1:19" ht="17.399999999999999">
      <c r="A2" s="741" t="s">
        <v>292</v>
      </c>
      <c r="B2" s="139" t="s">
        <v>291</v>
      </c>
      <c r="C2" s="141" t="s">
        <v>290</v>
      </c>
      <c r="D2" s="141" t="s">
        <v>289</v>
      </c>
      <c r="E2" s="141" t="s">
        <v>604</v>
      </c>
      <c r="F2" s="141" t="s">
        <v>288</v>
      </c>
      <c r="G2" s="141" t="s">
        <v>662</v>
      </c>
      <c r="H2" s="141" t="s">
        <v>663</v>
      </c>
      <c r="I2" s="141" t="s">
        <v>287</v>
      </c>
      <c r="J2" s="141" t="s">
        <v>664</v>
      </c>
      <c r="K2" s="141" t="s">
        <v>665</v>
      </c>
      <c r="L2" s="141" t="s">
        <v>286</v>
      </c>
      <c r="M2" s="141" t="s">
        <v>666</v>
      </c>
      <c r="N2" s="141" t="s">
        <v>667</v>
      </c>
      <c r="O2" s="141" t="s">
        <v>285</v>
      </c>
      <c r="P2" s="141" t="s">
        <v>284</v>
      </c>
      <c r="Q2" s="139" t="s">
        <v>283</v>
      </c>
      <c r="R2" s="140" t="s">
        <v>282</v>
      </c>
      <c r="S2" s="139" t="s">
        <v>223</v>
      </c>
    </row>
    <row r="3" spans="1:19" ht="25.95" customHeight="1">
      <c r="A3" s="1090" t="s">
        <v>26</v>
      </c>
      <c r="B3" s="126" t="s">
        <v>639</v>
      </c>
      <c r="C3" s="604" t="s">
        <v>124</v>
      </c>
      <c r="D3" s="124">
        <v>5.0000000000000001E-4</v>
      </c>
      <c r="E3" s="124">
        <v>5.0000000000000001E-4</v>
      </c>
      <c r="F3" s="124">
        <v>1.5E-3</v>
      </c>
      <c r="G3" s="124">
        <v>2.5000000000000001E-3</v>
      </c>
      <c r="H3" s="124">
        <v>4.0000000000000001E-3</v>
      </c>
      <c r="I3" s="649">
        <v>8.0000000000000002E-3</v>
      </c>
      <c r="J3" s="649">
        <v>9.4999999999999998E-3</v>
      </c>
      <c r="K3" s="649">
        <v>0.01</v>
      </c>
      <c r="L3" s="649">
        <v>0.01</v>
      </c>
      <c r="M3" s="649">
        <v>0.01</v>
      </c>
      <c r="N3" s="649">
        <v>0.01</v>
      </c>
      <c r="O3" s="649">
        <v>0.01</v>
      </c>
      <c r="P3" s="649">
        <v>0.01</v>
      </c>
      <c r="Q3" s="649">
        <v>0.01</v>
      </c>
      <c r="R3" s="649">
        <v>0.01</v>
      </c>
      <c r="S3" s="1092" t="s">
        <v>640</v>
      </c>
    </row>
    <row r="4" spans="1:19" ht="29.25" customHeight="1">
      <c r="A4" s="1091"/>
      <c r="B4" s="126" t="s">
        <v>281</v>
      </c>
      <c r="C4" s="605" t="s">
        <v>124</v>
      </c>
      <c r="D4" s="125">
        <v>5.0000000000000001E-4</v>
      </c>
      <c r="E4" s="125">
        <v>5.0000000000000001E-4</v>
      </c>
      <c r="F4" s="125">
        <v>5.0000000000000001E-4</v>
      </c>
      <c r="G4" s="125">
        <v>5.0000000000000001E-4</v>
      </c>
      <c r="H4" s="125">
        <v>5.0000000000000001E-4</v>
      </c>
      <c r="I4" s="125">
        <v>5.0000000000000001E-4</v>
      </c>
      <c r="J4" s="125">
        <v>5.0000000000000001E-4</v>
      </c>
      <c r="K4" s="125">
        <v>5.0000000000000001E-4</v>
      </c>
      <c r="L4" s="125">
        <v>5.0000000000000001E-4</v>
      </c>
      <c r="M4" s="125">
        <v>5.0000000000000001E-4</v>
      </c>
      <c r="N4" s="125">
        <v>5.0000000000000001E-4</v>
      </c>
      <c r="O4" s="125">
        <v>5.0000000000000001E-4</v>
      </c>
      <c r="P4" s="125">
        <v>5.0000000000000001E-4</v>
      </c>
      <c r="Q4" s="125">
        <v>5.0000000000000001E-4</v>
      </c>
      <c r="R4" s="129">
        <v>5.0000000000000001E-4</v>
      </c>
      <c r="S4" s="1093"/>
    </row>
    <row r="5" spans="1:19" ht="31.5" hidden="1" customHeight="1">
      <c r="A5" s="1094" t="s">
        <v>50</v>
      </c>
      <c r="B5" s="120" t="s">
        <v>71</v>
      </c>
      <c r="C5" s="606" t="s">
        <v>124</v>
      </c>
      <c r="D5" s="119">
        <v>5.0000000000000001E-4</v>
      </c>
      <c r="E5" s="119"/>
      <c r="F5" s="118">
        <v>1E-3</v>
      </c>
      <c r="G5" s="118"/>
      <c r="H5" s="118"/>
      <c r="I5" s="118">
        <v>3.0000000000000001E-3</v>
      </c>
      <c r="J5" s="118"/>
      <c r="K5" s="118"/>
      <c r="L5" s="118">
        <v>8.0000000000000002E-3</v>
      </c>
      <c r="M5" s="118"/>
      <c r="N5" s="118"/>
      <c r="O5" s="117">
        <v>0.01</v>
      </c>
      <c r="P5" s="117">
        <v>0.01</v>
      </c>
      <c r="Q5" s="117">
        <v>0.01</v>
      </c>
      <c r="R5" s="117">
        <v>0.01</v>
      </c>
      <c r="S5" s="1097"/>
    </row>
    <row r="6" spans="1:19" ht="31.5" hidden="1" customHeight="1">
      <c r="A6" s="1095"/>
      <c r="B6" s="121" t="s">
        <v>641</v>
      </c>
      <c r="C6" s="606" t="s">
        <v>124</v>
      </c>
      <c r="D6" s="119">
        <v>5.0000000000000001E-4</v>
      </c>
      <c r="E6" s="119"/>
      <c r="F6" s="118">
        <v>1E-3</v>
      </c>
      <c r="G6" s="118"/>
      <c r="H6" s="118"/>
      <c r="I6" s="118">
        <v>3.0000000000000001E-3</v>
      </c>
      <c r="J6" s="118"/>
      <c r="K6" s="118"/>
      <c r="L6" s="118">
        <v>8.0000000000000002E-3</v>
      </c>
      <c r="M6" s="118"/>
      <c r="N6" s="118"/>
      <c r="O6" s="117">
        <v>0.01</v>
      </c>
      <c r="P6" s="117">
        <v>0.01</v>
      </c>
      <c r="Q6" s="117">
        <v>0.01</v>
      </c>
      <c r="R6" s="117">
        <v>0.01</v>
      </c>
      <c r="S6" s="1098"/>
    </row>
    <row r="7" spans="1:19" ht="31.5" hidden="1" customHeight="1">
      <c r="A7" s="1095"/>
      <c r="B7" s="121" t="s">
        <v>62</v>
      </c>
      <c r="C7" s="606" t="s">
        <v>124</v>
      </c>
      <c r="D7" s="119">
        <v>5.0000000000000001E-4</v>
      </c>
      <c r="E7" s="119"/>
      <c r="F7" s="118">
        <v>1E-3</v>
      </c>
      <c r="G7" s="118"/>
      <c r="H7" s="118"/>
      <c r="I7" s="118">
        <v>3.0000000000000001E-3</v>
      </c>
      <c r="J7" s="118"/>
      <c r="K7" s="118"/>
      <c r="L7" s="118">
        <v>8.0000000000000002E-3</v>
      </c>
      <c r="M7" s="118"/>
      <c r="N7" s="118"/>
      <c r="O7" s="117">
        <v>0.01</v>
      </c>
      <c r="P7" s="117">
        <v>0.01</v>
      </c>
      <c r="Q7" s="117">
        <v>0.01</v>
      </c>
      <c r="R7" s="117">
        <v>0.01</v>
      </c>
      <c r="S7" s="1098"/>
    </row>
    <row r="8" spans="1:19" ht="31.5" customHeight="1">
      <c r="A8" s="1096"/>
      <c r="B8" s="120" t="s">
        <v>61</v>
      </c>
      <c r="C8" s="606" t="s">
        <v>124</v>
      </c>
      <c r="D8" s="119">
        <v>5.0000000000000001E-4</v>
      </c>
      <c r="E8" s="119">
        <v>5.0000000000000001E-4</v>
      </c>
      <c r="F8" s="118">
        <v>1E-3</v>
      </c>
      <c r="G8" s="118">
        <v>1E-3</v>
      </c>
      <c r="H8" s="118">
        <v>1.5E-3</v>
      </c>
      <c r="I8" s="118">
        <v>3.0000000000000001E-3</v>
      </c>
      <c r="J8" s="118">
        <v>5.0000000000000001E-3</v>
      </c>
      <c r="K8" s="118">
        <v>7.0000000000000001E-3</v>
      </c>
      <c r="L8" s="118">
        <v>8.0000000000000002E-3</v>
      </c>
      <c r="M8" s="118">
        <v>8.9999999999999993E-3</v>
      </c>
      <c r="N8" s="118">
        <v>0.01</v>
      </c>
      <c r="O8" s="117">
        <v>0.01</v>
      </c>
      <c r="P8" s="117">
        <v>0.01</v>
      </c>
      <c r="Q8" s="117">
        <v>0.01</v>
      </c>
      <c r="R8" s="117">
        <v>0.01</v>
      </c>
      <c r="S8" s="1099"/>
    </row>
    <row r="9" spans="1:19" ht="31.5" hidden="1" customHeight="1">
      <c r="A9" s="1100" t="s">
        <v>23</v>
      </c>
      <c r="B9" s="560" t="s">
        <v>95</v>
      </c>
      <c r="C9" s="133">
        <v>2E-3</v>
      </c>
      <c r="D9" s="133">
        <v>8.0000000000000002E-3</v>
      </c>
      <c r="E9" s="133"/>
      <c r="F9" s="133">
        <v>7.0000000000000001E-3</v>
      </c>
      <c r="G9" s="133"/>
      <c r="H9" s="133"/>
      <c r="I9" s="133">
        <v>7.0000000000000001E-3</v>
      </c>
      <c r="J9" s="603"/>
      <c r="K9" s="603"/>
      <c r="L9" s="607" t="s">
        <v>124</v>
      </c>
      <c r="M9" s="607"/>
      <c r="N9" s="607"/>
      <c r="O9" s="133">
        <v>7.0000000000000001E-3</v>
      </c>
      <c r="P9" s="607" t="s">
        <v>124</v>
      </c>
      <c r="Q9" s="131">
        <v>1E-3</v>
      </c>
      <c r="R9" s="131">
        <v>1E-3</v>
      </c>
      <c r="S9" s="1103"/>
    </row>
    <row r="10" spans="1:19" ht="31.5" hidden="1" customHeight="1">
      <c r="A10" s="1101"/>
      <c r="B10" s="560" t="s">
        <v>93</v>
      </c>
      <c r="C10" s="133">
        <v>2E-3</v>
      </c>
      <c r="D10" s="133">
        <v>8.0000000000000002E-3</v>
      </c>
      <c r="E10" s="133"/>
      <c r="F10" s="133">
        <v>7.0000000000000001E-3</v>
      </c>
      <c r="G10" s="133"/>
      <c r="H10" s="133"/>
      <c r="I10" s="133">
        <v>7.0000000000000001E-3</v>
      </c>
      <c r="J10" s="603"/>
      <c r="K10" s="603"/>
      <c r="L10" s="607" t="s">
        <v>124</v>
      </c>
      <c r="M10" s="607"/>
      <c r="N10" s="607"/>
      <c r="O10" s="133">
        <v>7.0000000000000001E-3</v>
      </c>
      <c r="P10" s="607" t="s">
        <v>124</v>
      </c>
      <c r="Q10" s="131">
        <v>1E-3</v>
      </c>
      <c r="R10" s="131">
        <v>1E-3</v>
      </c>
      <c r="S10" s="1104"/>
    </row>
    <row r="11" spans="1:19" ht="31.5" hidden="1" customHeight="1">
      <c r="A11" s="1101"/>
      <c r="B11" s="560" t="s">
        <v>268</v>
      </c>
      <c r="C11" s="133">
        <v>2E-3</v>
      </c>
      <c r="D11" s="133">
        <v>8.0000000000000002E-3</v>
      </c>
      <c r="E11" s="133"/>
      <c r="F11" s="133">
        <v>7.0000000000000001E-3</v>
      </c>
      <c r="G11" s="133"/>
      <c r="H11" s="133"/>
      <c r="I11" s="133">
        <v>7.0000000000000001E-3</v>
      </c>
      <c r="J11" s="603"/>
      <c r="K11" s="603"/>
      <c r="L11" s="607" t="s">
        <v>124</v>
      </c>
      <c r="M11" s="607"/>
      <c r="N11" s="607"/>
      <c r="O11" s="133">
        <v>7.0000000000000001E-3</v>
      </c>
      <c r="P11" s="607" t="s">
        <v>124</v>
      </c>
      <c r="Q11" s="131">
        <v>1E-3</v>
      </c>
      <c r="R11" s="131">
        <v>1E-3</v>
      </c>
      <c r="S11" s="1104"/>
    </row>
    <row r="12" spans="1:19" ht="31.5" hidden="1" customHeight="1">
      <c r="A12" s="1101"/>
      <c r="B12" s="560" t="s">
        <v>267</v>
      </c>
      <c r="C12" s="133">
        <v>2E-3</v>
      </c>
      <c r="D12" s="133">
        <v>8.0000000000000002E-3</v>
      </c>
      <c r="E12" s="133"/>
      <c r="F12" s="133">
        <v>7.0000000000000001E-3</v>
      </c>
      <c r="G12" s="133"/>
      <c r="H12" s="133"/>
      <c r="I12" s="133">
        <v>7.0000000000000001E-3</v>
      </c>
      <c r="J12" s="603"/>
      <c r="K12" s="603"/>
      <c r="L12" s="607" t="s">
        <v>124</v>
      </c>
      <c r="M12" s="607"/>
      <c r="N12" s="607"/>
      <c r="O12" s="133">
        <v>7.0000000000000001E-3</v>
      </c>
      <c r="P12" s="607" t="s">
        <v>124</v>
      </c>
      <c r="Q12" s="131">
        <v>1E-3</v>
      </c>
      <c r="R12" s="131">
        <v>1E-3</v>
      </c>
      <c r="S12" s="1104"/>
    </row>
    <row r="13" spans="1:19" ht="31.5" hidden="1" customHeight="1">
      <c r="A13" s="1101"/>
      <c r="B13" s="560" t="s">
        <v>266</v>
      </c>
      <c r="C13" s="133">
        <v>2E-3</v>
      </c>
      <c r="D13" s="133">
        <v>8.0000000000000002E-3</v>
      </c>
      <c r="E13" s="133"/>
      <c r="F13" s="133">
        <v>7.0000000000000001E-3</v>
      </c>
      <c r="G13" s="133"/>
      <c r="H13" s="133"/>
      <c r="I13" s="133">
        <v>7.0000000000000001E-3</v>
      </c>
      <c r="J13" s="603"/>
      <c r="K13" s="603"/>
      <c r="L13" s="607" t="s">
        <v>124</v>
      </c>
      <c r="M13" s="607"/>
      <c r="N13" s="607"/>
      <c r="O13" s="133">
        <v>7.0000000000000001E-3</v>
      </c>
      <c r="P13" s="607" t="s">
        <v>124</v>
      </c>
      <c r="Q13" s="131">
        <v>1E-3</v>
      </c>
      <c r="R13" s="131">
        <v>1E-3</v>
      </c>
      <c r="S13" s="1104"/>
    </row>
    <row r="14" spans="1:19" ht="31.5" hidden="1" customHeight="1">
      <c r="A14" s="1101"/>
      <c r="B14" s="560" t="s">
        <v>265</v>
      </c>
      <c r="C14" s="133">
        <v>2E-3</v>
      </c>
      <c r="D14" s="133">
        <v>8.0000000000000002E-3</v>
      </c>
      <c r="E14" s="133"/>
      <c r="F14" s="133">
        <v>7.0000000000000001E-3</v>
      </c>
      <c r="G14" s="133"/>
      <c r="H14" s="133"/>
      <c r="I14" s="133">
        <v>7.0000000000000001E-3</v>
      </c>
      <c r="J14" s="603"/>
      <c r="K14" s="603"/>
      <c r="L14" s="607" t="s">
        <v>124</v>
      </c>
      <c r="M14" s="607"/>
      <c r="N14" s="607"/>
      <c r="O14" s="133">
        <v>7.0000000000000001E-3</v>
      </c>
      <c r="P14" s="607" t="s">
        <v>124</v>
      </c>
      <c r="Q14" s="131">
        <v>1E-3</v>
      </c>
      <c r="R14" s="131">
        <v>1E-3</v>
      </c>
      <c r="S14" s="1104"/>
    </row>
    <row r="15" spans="1:19" ht="31.5" customHeight="1">
      <c r="A15" s="1102"/>
      <c r="B15" s="131" t="s">
        <v>264</v>
      </c>
      <c r="C15" s="133">
        <v>2E-3</v>
      </c>
      <c r="D15" s="133">
        <v>6.0000000000000001E-3</v>
      </c>
      <c r="E15" s="133"/>
      <c r="F15" s="133">
        <v>6.0000000000000001E-3</v>
      </c>
      <c r="G15" s="133"/>
      <c r="H15" s="133"/>
      <c r="I15" s="133">
        <v>6.0000000000000001E-3</v>
      </c>
      <c r="J15" s="603"/>
      <c r="K15" s="603"/>
      <c r="L15" s="607" t="s">
        <v>124</v>
      </c>
      <c r="M15" s="607"/>
      <c r="N15" s="607"/>
      <c r="O15" s="133">
        <v>7.0000000000000001E-3</v>
      </c>
      <c r="P15" s="607" t="s">
        <v>124</v>
      </c>
      <c r="Q15" s="131">
        <v>1E-3</v>
      </c>
      <c r="R15" s="131">
        <v>1E-3</v>
      </c>
      <c r="S15" s="1105"/>
    </row>
    <row r="16" spans="1:19" s="136" customFormat="1" ht="30.75" hidden="1" customHeight="1">
      <c r="A16" s="1106" t="s">
        <v>35</v>
      </c>
      <c r="B16" s="134" t="s">
        <v>280</v>
      </c>
      <c r="C16" s="608" t="s">
        <v>124</v>
      </c>
      <c r="D16" s="561">
        <v>1.15E-2</v>
      </c>
      <c r="E16" s="561"/>
      <c r="F16" s="561">
        <v>1.2E-2</v>
      </c>
      <c r="G16" s="561"/>
      <c r="H16" s="561"/>
      <c r="I16" s="561">
        <v>1.2E-2</v>
      </c>
      <c r="J16" s="561"/>
      <c r="K16" s="561"/>
      <c r="L16" s="561">
        <v>1.0999999999999999E-2</v>
      </c>
      <c r="M16" s="561"/>
      <c r="N16" s="561"/>
      <c r="O16" s="561">
        <v>1.0999999999999999E-2</v>
      </c>
      <c r="P16" s="118" t="s">
        <v>124</v>
      </c>
      <c r="Q16" s="118" t="s">
        <v>124</v>
      </c>
      <c r="R16" s="118" t="s">
        <v>124</v>
      </c>
      <c r="S16" s="138"/>
    </row>
    <row r="17" spans="1:19" s="136" customFormat="1" ht="30.75" hidden="1" customHeight="1">
      <c r="A17" s="1107"/>
      <c r="B17" s="134" t="s">
        <v>279</v>
      </c>
      <c r="C17" s="608" t="s">
        <v>124</v>
      </c>
      <c r="D17" s="561">
        <v>1.15E-2</v>
      </c>
      <c r="E17" s="561"/>
      <c r="F17" s="561">
        <v>1.2E-2</v>
      </c>
      <c r="G17" s="561"/>
      <c r="H17" s="561"/>
      <c r="I17" s="561">
        <v>1.2E-2</v>
      </c>
      <c r="J17" s="561"/>
      <c r="K17" s="561"/>
      <c r="L17" s="561">
        <v>1.0999999999999999E-2</v>
      </c>
      <c r="M17" s="561"/>
      <c r="N17" s="561"/>
      <c r="O17" s="561">
        <v>1.0999999999999999E-2</v>
      </c>
      <c r="P17" s="118" t="s">
        <v>124</v>
      </c>
      <c r="Q17" s="118" t="s">
        <v>124</v>
      </c>
      <c r="R17" s="118" t="s">
        <v>124</v>
      </c>
      <c r="S17" s="138"/>
    </row>
    <row r="18" spans="1:19" s="136" customFormat="1" ht="15.6">
      <c r="A18" s="1108"/>
      <c r="B18" s="117" t="s">
        <v>323</v>
      </c>
      <c r="C18" s="608" t="s">
        <v>124</v>
      </c>
      <c r="D18" s="561">
        <v>0.01</v>
      </c>
      <c r="E18" s="561"/>
      <c r="F18" s="561">
        <v>1.0500000000000001E-2</v>
      </c>
      <c r="G18" s="561"/>
      <c r="H18" s="561"/>
      <c r="I18" s="561">
        <v>0.01</v>
      </c>
      <c r="J18" s="561"/>
      <c r="K18" s="561"/>
      <c r="L18" s="561">
        <v>8.9999999999999993E-3</v>
      </c>
      <c r="M18" s="561"/>
      <c r="N18" s="561"/>
      <c r="O18" s="561">
        <v>8.9999999999999993E-3</v>
      </c>
      <c r="P18" s="118" t="s">
        <v>124</v>
      </c>
      <c r="Q18" s="118" t="s">
        <v>124</v>
      </c>
      <c r="R18" s="118" t="s">
        <v>124</v>
      </c>
      <c r="S18" s="137"/>
    </row>
    <row r="19" spans="1:19" ht="15" hidden="1" customHeight="1">
      <c r="A19" s="1090" t="s">
        <v>46</v>
      </c>
      <c r="B19" s="126" t="s">
        <v>642</v>
      </c>
      <c r="C19" s="604" t="s">
        <v>124</v>
      </c>
      <c r="D19" s="124">
        <v>5.0000000000000001E-4</v>
      </c>
      <c r="E19" s="124"/>
      <c r="F19" s="124">
        <v>1E-3</v>
      </c>
      <c r="G19" s="124"/>
      <c r="H19" s="124"/>
      <c r="I19" s="123">
        <v>3.0000000000000001E-3</v>
      </c>
      <c r="J19" s="123"/>
      <c r="K19" s="123"/>
      <c r="L19" s="123">
        <v>5.4999999999999997E-3</v>
      </c>
      <c r="M19" s="123"/>
      <c r="N19" s="123"/>
      <c r="O19" s="123">
        <v>6.0000000000000001E-3</v>
      </c>
      <c r="P19" s="123">
        <v>0.01</v>
      </c>
      <c r="Q19" s="123">
        <v>0.01</v>
      </c>
      <c r="R19" s="123" t="s">
        <v>124</v>
      </c>
      <c r="S19" s="1092"/>
    </row>
    <row r="20" spans="1:19" ht="15" hidden="1" customHeight="1">
      <c r="A20" s="1109"/>
      <c r="B20" s="126" t="s">
        <v>643</v>
      </c>
      <c r="C20" s="604" t="s">
        <v>124</v>
      </c>
      <c r="D20" s="124">
        <v>5.0000000000000001E-4</v>
      </c>
      <c r="E20" s="124"/>
      <c r="F20" s="124">
        <v>1E-3</v>
      </c>
      <c r="G20" s="124"/>
      <c r="H20" s="124"/>
      <c r="I20" s="123">
        <v>3.0000000000000001E-3</v>
      </c>
      <c r="J20" s="123"/>
      <c r="K20" s="123"/>
      <c r="L20" s="123">
        <v>5.4999999999999997E-3</v>
      </c>
      <c r="M20" s="123"/>
      <c r="N20" s="123"/>
      <c r="O20" s="123">
        <v>6.0000000000000001E-3</v>
      </c>
      <c r="P20" s="123">
        <v>0.01</v>
      </c>
      <c r="Q20" s="123">
        <v>0.01</v>
      </c>
      <c r="R20" s="123" t="s">
        <v>124</v>
      </c>
      <c r="S20" s="1110"/>
    </row>
    <row r="21" spans="1:19" ht="15" hidden="1" customHeight="1">
      <c r="A21" s="1109"/>
      <c r="B21" s="126" t="s">
        <v>269</v>
      </c>
      <c r="C21" s="604" t="s">
        <v>124</v>
      </c>
      <c r="D21" s="124">
        <v>5.0000000000000001E-4</v>
      </c>
      <c r="E21" s="124"/>
      <c r="F21" s="124">
        <v>1E-3</v>
      </c>
      <c r="G21" s="124"/>
      <c r="H21" s="124"/>
      <c r="I21" s="123">
        <v>3.0000000000000001E-3</v>
      </c>
      <c r="J21" s="123"/>
      <c r="K21" s="123"/>
      <c r="L21" s="123">
        <v>5.4999999999999997E-3</v>
      </c>
      <c r="M21" s="123"/>
      <c r="N21" s="123"/>
      <c r="O21" s="123">
        <v>6.0000000000000001E-3</v>
      </c>
      <c r="P21" s="123">
        <v>0.01</v>
      </c>
      <c r="Q21" s="123">
        <v>0.01</v>
      </c>
      <c r="R21" s="123" t="s">
        <v>124</v>
      </c>
      <c r="S21" s="1110"/>
    </row>
    <row r="22" spans="1:19" ht="15" hidden="1" customHeight="1">
      <c r="A22" s="1109"/>
      <c r="B22" s="126" t="s">
        <v>644</v>
      </c>
      <c r="C22" s="604" t="s">
        <v>124</v>
      </c>
      <c r="D22" s="124">
        <v>5.0000000000000001E-4</v>
      </c>
      <c r="E22" s="124"/>
      <c r="F22" s="124">
        <v>1E-3</v>
      </c>
      <c r="G22" s="124"/>
      <c r="H22" s="124"/>
      <c r="I22" s="123">
        <v>3.0000000000000001E-3</v>
      </c>
      <c r="J22" s="123"/>
      <c r="K22" s="123"/>
      <c r="L22" s="123">
        <v>5.4999999999999997E-3</v>
      </c>
      <c r="M22" s="123"/>
      <c r="N22" s="123"/>
      <c r="O22" s="123">
        <v>6.0000000000000001E-3</v>
      </c>
      <c r="P22" s="123">
        <v>0.01</v>
      </c>
      <c r="Q22" s="123">
        <v>0.01</v>
      </c>
      <c r="R22" s="123" t="s">
        <v>124</v>
      </c>
      <c r="S22" s="1110"/>
    </row>
    <row r="23" spans="1:19">
      <c r="A23" s="1091"/>
      <c r="B23" s="126" t="s">
        <v>276</v>
      </c>
      <c r="C23" s="604" t="s">
        <v>124</v>
      </c>
      <c r="D23" s="124">
        <v>5.0000000000000001E-4</v>
      </c>
      <c r="E23" s="124"/>
      <c r="F23" s="124">
        <v>1E-3</v>
      </c>
      <c r="G23" s="124"/>
      <c r="H23" s="124"/>
      <c r="I23" s="123">
        <v>3.0000000000000001E-3</v>
      </c>
      <c r="J23" s="123"/>
      <c r="K23" s="123"/>
      <c r="L23" s="123">
        <v>5.4999999999999997E-3</v>
      </c>
      <c r="M23" s="123"/>
      <c r="N23" s="123"/>
      <c r="O23" s="123">
        <v>6.0000000000000001E-3</v>
      </c>
      <c r="P23" s="123">
        <v>0.01</v>
      </c>
      <c r="Q23" s="123">
        <v>0.01</v>
      </c>
      <c r="R23" s="123" t="s">
        <v>124</v>
      </c>
      <c r="S23" s="1093"/>
    </row>
    <row r="24" spans="1:19">
      <c r="A24" s="1094" t="s">
        <v>20</v>
      </c>
      <c r="B24" s="120" t="s">
        <v>645</v>
      </c>
      <c r="C24" s="606" t="s">
        <v>124</v>
      </c>
      <c r="D24" s="119">
        <v>2E-3</v>
      </c>
      <c r="E24" s="119">
        <v>2.5000000000000001E-3</v>
      </c>
      <c r="F24" s="120">
        <v>3.0000000000000001E-3</v>
      </c>
      <c r="G24" s="120"/>
      <c r="H24" s="120"/>
      <c r="I24" s="120">
        <v>3.0000000000000001E-3</v>
      </c>
      <c r="J24" s="120"/>
      <c r="K24" s="120"/>
      <c r="L24" s="120">
        <v>3.0000000000000001E-3</v>
      </c>
      <c r="M24" s="120"/>
      <c r="N24" s="120"/>
      <c r="O24" s="120">
        <v>3.0000000000000001E-3</v>
      </c>
      <c r="P24" s="117">
        <v>3.0000000000000001E-3</v>
      </c>
      <c r="Q24" s="120">
        <v>3.0000000000000001E-3</v>
      </c>
      <c r="R24" s="128"/>
      <c r="S24" s="1097"/>
    </row>
    <row r="25" spans="1:19">
      <c r="A25" s="1096"/>
      <c r="B25" s="120" t="s">
        <v>275</v>
      </c>
      <c r="C25" s="606" t="s">
        <v>124</v>
      </c>
      <c r="D25" s="119">
        <v>2E-3</v>
      </c>
      <c r="E25" s="119">
        <v>3.0000000000000001E-3</v>
      </c>
      <c r="F25" s="120">
        <v>3.5000000000000001E-3</v>
      </c>
      <c r="G25" s="120"/>
      <c r="H25" s="120"/>
      <c r="I25" s="120">
        <v>3.5000000000000001E-3</v>
      </c>
      <c r="J25" s="120"/>
      <c r="K25" s="120"/>
      <c r="L25" s="120">
        <v>3.5000000000000001E-3</v>
      </c>
      <c r="M25" s="120"/>
      <c r="N25" s="120"/>
      <c r="O25" s="120">
        <v>3.5000000000000001E-3</v>
      </c>
      <c r="P25" s="117">
        <v>3.5000000000000001E-3</v>
      </c>
      <c r="Q25" s="120">
        <v>3.5000000000000001E-3</v>
      </c>
      <c r="R25" s="128"/>
      <c r="S25" s="1099"/>
    </row>
    <row r="26" spans="1:19" ht="27" customHeight="1">
      <c r="A26" s="127" t="s">
        <v>44</v>
      </c>
      <c r="B26" s="123" t="s">
        <v>278</v>
      </c>
      <c r="C26" s="604" t="s">
        <v>124</v>
      </c>
      <c r="D26" s="124">
        <v>3.5000000000000001E-3</v>
      </c>
      <c r="E26" s="124">
        <v>5.0000000000000001E-3</v>
      </c>
      <c r="F26" s="124">
        <v>7.0000000000000001E-3</v>
      </c>
      <c r="G26" s="124"/>
      <c r="H26" s="124"/>
      <c r="I26" s="124">
        <v>8.0000000000000002E-3</v>
      </c>
      <c r="J26" s="124"/>
      <c r="K26" s="124"/>
      <c r="L26" s="124">
        <v>8.0000000000000002E-3</v>
      </c>
      <c r="M26" s="124"/>
      <c r="N26" s="124"/>
      <c r="O26" s="124">
        <v>7.0000000000000001E-3</v>
      </c>
      <c r="P26" s="124">
        <v>2.5000000000000001E-3</v>
      </c>
      <c r="Q26" s="124">
        <v>2.5000000000000001E-3</v>
      </c>
      <c r="R26" s="123" t="s">
        <v>124</v>
      </c>
      <c r="S26" s="135"/>
    </row>
    <row r="27" spans="1:19" ht="27" hidden="1" customHeight="1">
      <c r="A27" s="1094" t="s">
        <v>277</v>
      </c>
      <c r="B27" s="117" t="s">
        <v>642</v>
      </c>
      <c r="C27" s="608" t="s">
        <v>124</v>
      </c>
      <c r="D27" s="609">
        <v>8.9999999999999993E-3</v>
      </c>
      <c r="E27" s="609"/>
      <c r="F27" s="609">
        <v>0.01</v>
      </c>
      <c r="G27" s="609"/>
      <c r="H27" s="609"/>
      <c r="I27" s="610">
        <v>1.0999999999999999E-2</v>
      </c>
      <c r="J27" s="610"/>
      <c r="K27" s="610"/>
      <c r="L27" s="610">
        <v>1.0999999999999999E-2</v>
      </c>
      <c r="M27" s="610"/>
      <c r="N27" s="610"/>
      <c r="O27" s="610">
        <v>1.0999999999999999E-2</v>
      </c>
      <c r="P27" s="610">
        <v>1.2E-2</v>
      </c>
      <c r="Q27" s="610">
        <v>1.2E-2</v>
      </c>
      <c r="R27" s="610">
        <v>1.2E-2</v>
      </c>
      <c r="S27" s="1111"/>
    </row>
    <row r="28" spans="1:19" ht="27" hidden="1" customHeight="1">
      <c r="A28" s="1095"/>
      <c r="B28" s="121" t="s">
        <v>643</v>
      </c>
      <c r="C28" s="608" t="s">
        <v>124</v>
      </c>
      <c r="D28" s="609">
        <v>8.9999999999999993E-3</v>
      </c>
      <c r="E28" s="609"/>
      <c r="F28" s="609">
        <v>0.01</v>
      </c>
      <c r="G28" s="609"/>
      <c r="H28" s="609"/>
      <c r="I28" s="610">
        <v>1.0999999999999999E-2</v>
      </c>
      <c r="J28" s="610"/>
      <c r="K28" s="610"/>
      <c r="L28" s="610">
        <v>1.0999999999999999E-2</v>
      </c>
      <c r="M28" s="610"/>
      <c r="N28" s="610"/>
      <c r="O28" s="610">
        <v>1.0999999999999999E-2</v>
      </c>
      <c r="P28" s="610">
        <v>1.2E-2</v>
      </c>
      <c r="Q28" s="610">
        <v>1.2E-2</v>
      </c>
      <c r="R28" s="610">
        <v>1.2E-2</v>
      </c>
      <c r="S28" s="1112"/>
    </row>
    <row r="29" spans="1:19" ht="27" hidden="1" customHeight="1">
      <c r="A29" s="1095"/>
      <c r="B29" s="121" t="s">
        <v>269</v>
      </c>
      <c r="C29" s="608" t="s">
        <v>124</v>
      </c>
      <c r="D29" s="609">
        <v>8.9999999999999993E-3</v>
      </c>
      <c r="E29" s="609"/>
      <c r="F29" s="609">
        <v>0.01</v>
      </c>
      <c r="G29" s="609"/>
      <c r="H29" s="609"/>
      <c r="I29" s="610">
        <v>1.0999999999999999E-2</v>
      </c>
      <c r="J29" s="610"/>
      <c r="K29" s="610"/>
      <c r="L29" s="610">
        <v>1.0999999999999999E-2</v>
      </c>
      <c r="M29" s="610"/>
      <c r="N29" s="610"/>
      <c r="O29" s="610">
        <v>1.0999999999999999E-2</v>
      </c>
      <c r="P29" s="610">
        <v>1.2E-2</v>
      </c>
      <c r="Q29" s="610">
        <v>1.2E-2</v>
      </c>
      <c r="R29" s="610">
        <v>1.2E-2</v>
      </c>
      <c r="S29" s="1112"/>
    </row>
    <row r="30" spans="1:19" ht="27" hidden="1" customHeight="1">
      <c r="A30" s="1095"/>
      <c r="B30" s="121" t="s">
        <v>646</v>
      </c>
      <c r="C30" s="608" t="s">
        <v>124</v>
      </c>
      <c r="D30" s="609">
        <v>8.9999999999999993E-3</v>
      </c>
      <c r="E30" s="609"/>
      <c r="F30" s="609">
        <v>0.01</v>
      </c>
      <c r="G30" s="609"/>
      <c r="H30" s="609"/>
      <c r="I30" s="610">
        <v>1.0999999999999999E-2</v>
      </c>
      <c r="J30" s="610"/>
      <c r="K30" s="610"/>
      <c r="L30" s="610">
        <v>1.0999999999999999E-2</v>
      </c>
      <c r="M30" s="610"/>
      <c r="N30" s="610"/>
      <c r="O30" s="610">
        <v>1.0999999999999999E-2</v>
      </c>
      <c r="P30" s="610">
        <v>1.2E-2</v>
      </c>
      <c r="Q30" s="610">
        <v>1.2E-2</v>
      </c>
      <c r="R30" s="610">
        <v>1.2E-2</v>
      </c>
      <c r="S30" s="1112"/>
    </row>
    <row r="31" spans="1:19" ht="27" customHeight="1">
      <c r="A31" s="1095"/>
      <c r="B31" s="121" t="s">
        <v>772</v>
      </c>
      <c r="C31" s="767">
        <v>0.1</v>
      </c>
      <c r="D31" s="609">
        <v>5.0000000000000001E-3</v>
      </c>
      <c r="E31" s="609">
        <v>5.0000000000000001E-3</v>
      </c>
      <c r="F31" s="609">
        <v>6.4999999999999997E-3</v>
      </c>
      <c r="G31" s="609">
        <v>6.4999999999999997E-3</v>
      </c>
      <c r="H31" s="609">
        <v>6.4999999999999997E-3</v>
      </c>
      <c r="I31" s="610">
        <v>7.4999999999999997E-3</v>
      </c>
      <c r="J31" s="610">
        <v>7.4999999999999997E-3</v>
      </c>
      <c r="K31" s="610">
        <v>7.4999999999999997E-3</v>
      </c>
      <c r="L31" s="611">
        <v>8.5000000000000006E-3</v>
      </c>
      <c r="M31" s="611">
        <v>8.5000000000000006E-3</v>
      </c>
      <c r="N31" s="611">
        <v>8.5000000000000006E-3</v>
      </c>
      <c r="O31" s="611">
        <v>8.9999999999999993E-3</v>
      </c>
      <c r="P31" s="611">
        <v>9.4999999999999998E-3</v>
      </c>
      <c r="Q31" s="611">
        <v>9.4999999999999998E-3</v>
      </c>
      <c r="R31" s="611">
        <v>1.0500000000000001E-2</v>
      </c>
      <c r="S31" s="1112"/>
    </row>
    <row r="32" spans="1:19" ht="20.25" customHeight="1">
      <c r="A32" s="1096"/>
      <c r="B32" s="120" t="s">
        <v>276</v>
      </c>
      <c r="C32" s="767">
        <v>0.15</v>
      </c>
      <c r="D32" s="609">
        <v>5.4999999999999997E-3</v>
      </c>
      <c r="E32" s="609">
        <v>5.4999999999999997E-3</v>
      </c>
      <c r="F32" s="611">
        <v>7.0000000000000001E-3</v>
      </c>
      <c r="G32" s="611">
        <v>7.0000000000000001E-3</v>
      </c>
      <c r="H32" s="611">
        <v>7.0000000000000001E-3</v>
      </c>
      <c r="I32" s="611">
        <v>8.0000000000000002E-3</v>
      </c>
      <c r="J32" s="611">
        <v>8.0000000000000002E-3</v>
      </c>
      <c r="K32" s="611">
        <v>8.0000000000000002E-3</v>
      </c>
      <c r="L32" s="611">
        <v>8.9999999999999993E-3</v>
      </c>
      <c r="M32" s="611">
        <v>8.9999999999999993E-3</v>
      </c>
      <c r="N32" s="611">
        <v>8.9999999999999993E-3</v>
      </c>
      <c r="O32" s="611">
        <v>9.4999999999999998E-3</v>
      </c>
      <c r="P32" s="611">
        <v>0.01</v>
      </c>
      <c r="Q32" s="611">
        <v>0.01</v>
      </c>
      <c r="R32" s="611">
        <v>0.01</v>
      </c>
      <c r="S32" s="1113"/>
    </row>
    <row r="33" spans="1:19" ht="19.2" customHeight="1">
      <c r="A33" s="1100" t="s">
        <v>48</v>
      </c>
      <c r="B33" s="131" t="s">
        <v>71</v>
      </c>
      <c r="C33" s="604" t="s">
        <v>124</v>
      </c>
      <c r="D33" s="133">
        <v>5.0000000000000001E-4</v>
      </c>
      <c r="E33" s="133"/>
      <c r="F33" s="133">
        <v>1E-3</v>
      </c>
      <c r="G33" s="133"/>
      <c r="H33" s="133"/>
      <c r="I33" s="133">
        <v>1.5E-3</v>
      </c>
      <c r="J33" s="133"/>
      <c r="K33" s="133"/>
      <c r="L33" s="133">
        <v>2E-3</v>
      </c>
      <c r="M33" s="133"/>
      <c r="N33" s="133"/>
      <c r="O33" s="133">
        <v>2.5000000000000001E-3</v>
      </c>
      <c r="P33" s="131" t="s">
        <v>124</v>
      </c>
      <c r="Q33" s="133">
        <v>3.0000000000000001E-3</v>
      </c>
      <c r="R33" s="132">
        <v>3.0000000000000001E-3</v>
      </c>
      <c r="S33" s="1114"/>
    </row>
    <row r="34" spans="1:19" ht="25.95" customHeight="1">
      <c r="A34" s="1102"/>
      <c r="B34" s="131" t="s">
        <v>74</v>
      </c>
      <c r="C34" s="604" t="s">
        <v>124</v>
      </c>
      <c r="D34" s="131">
        <v>1E-3</v>
      </c>
      <c r="E34" s="131"/>
      <c r="F34" s="131">
        <v>1.5E-3</v>
      </c>
      <c r="G34" s="131"/>
      <c r="H34" s="131"/>
      <c r="I34" s="131">
        <v>2E-3</v>
      </c>
      <c r="J34" s="131"/>
      <c r="K34" s="131"/>
      <c r="L34" s="131">
        <v>2.5000000000000001E-3</v>
      </c>
      <c r="M34" s="131"/>
      <c r="N34" s="131"/>
      <c r="O34" s="131">
        <v>3.0000000000000001E-3</v>
      </c>
      <c r="P34" s="131" t="s">
        <v>124</v>
      </c>
      <c r="Q34" s="131">
        <v>3.5000000000000001E-3</v>
      </c>
      <c r="R34" s="130">
        <v>3.5000000000000001E-3</v>
      </c>
      <c r="S34" s="1115"/>
    </row>
    <row r="35" spans="1:19" ht="25.2" hidden="1" customHeight="1">
      <c r="A35" s="1094" t="s">
        <v>33</v>
      </c>
      <c r="B35" s="121" t="s">
        <v>274</v>
      </c>
      <c r="C35" s="606" t="s">
        <v>124</v>
      </c>
      <c r="D35" s="119">
        <v>5.0000000000000001E-4</v>
      </c>
      <c r="E35" s="119"/>
      <c r="F35" s="119">
        <v>5.0000000000000001E-4</v>
      </c>
      <c r="G35" s="119"/>
      <c r="H35" s="119"/>
      <c r="I35" s="120">
        <v>1E-3</v>
      </c>
      <c r="J35" s="120"/>
      <c r="K35" s="120"/>
      <c r="L35" s="120" t="s">
        <v>124</v>
      </c>
      <c r="M35" s="120"/>
      <c r="N35" s="120"/>
      <c r="O35" s="120">
        <v>1.5E-3</v>
      </c>
      <c r="P35" s="120" t="s">
        <v>124</v>
      </c>
      <c r="Q35" s="571">
        <v>1.4E-2</v>
      </c>
      <c r="R35" s="122"/>
      <c r="S35" s="1116"/>
    </row>
    <row r="36" spans="1:19" ht="25.2" hidden="1" customHeight="1">
      <c r="A36" s="1095"/>
      <c r="B36" s="121" t="s">
        <v>269</v>
      </c>
      <c r="C36" s="606" t="s">
        <v>124</v>
      </c>
      <c r="D36" s="119">
        <v>5.0000000000000001E-4</v>
      </c>
      <c r="E36" s="119"/>
      <c r="F36" s="119">
        <v>5.0000000000000001E-4</v>
      </c>
      <c r="G36" s="119"/>
      <c r="H36" s="119"/>
      <c r="I36" s="120">
        <v>1E-3</v>
      </c>
      <c r="J36" s="120"/>
      <c r="K36" s="120"/>
      <c r="L36" s="120" t="s">
        <v>124</v>
      </c>
      <c r="M36" s="120"/>
      <c r="N36" s="120"/>
      <c r="O36" s="120">
        <v>1.5E-3</v>
      </c>
      <c r="P36" s="120" t="s">
        <v>124</v>
      </c>
      <c r="Q36" s="571">
        <v>1.4E-2</v>
      </c>
      <c r="R36" s="122"/>
      <c r="S36" s="1117"/>
    </row>
    <row r="37" spans="1:19" ht="25.2" hidden="1" customHeight="1">
      <c r="A37" s="1095"/>
      <c r="B37" s="121" t="s">
        <v>273</v>
      </c>
      <c r="C37" s="606" t="s">
        <v>124</v>
      </c>
      <c r="D37" s="119">
        <v>5.0000000000000001E-4</v>
      </c>
      <c r="E37" s="119"/>
      <c r="F37" s="119">
        <v>5.0000000000000001E-4</v>
      </c>
      <c r="G37" s="119"/>
      <c r="H37" s="119"/>
      <c r="I37" s="120">
        <v>1E-3</v>
      </c>
      <c r="J37" s="120"/>
      <c r="K37" s="120"/>
      <c r="L37" s="120" t="s">
        <v>124</v>
      </c>
      <c r="M37" s="120"/>
      <c r="N37" s="120"/>
      <c r="O37" s="120">
        <v>1.5E-3</v>
      </c>
      <c r="P37" s="120" t="s">
        <v>124</v>
      </c>
      <c r="Q37" s="571">
        <v>1.4E-2</v>
      </c>
      <c r="R37" s="122"/>
      <c r="S37" s="1117"/>
    </row>
    <row r="38" spans="1:19" ht="25.2" hidden="1" customHeight="1">
      <c r="A38" s="1095"/>
      <c r="B38" s="121" t="s">
        <v>272</v>
      </c>
      <c r="C38" s="606" t="s">
        <v>124</v>
      </c>
      <c r="D38" s="119">
        <v>5.0000000000000001E-4</v>
      </c>
      <c r="E38" s="119"/>
      <c r="F38" s="119">
        <v>5.0000000000000001E-4</v>
      </c>
      <c r="G38" s="119"/>
      <c r="H38" s="119"/>
      <c r="I38" s="120">
        <v>1E-3</v>
      </c>
      <c r="J38" s="120"/>
      <c r="K38" s="120"/>
      <c r="L38" s="120" t="s">
        <v>124</v>
      </c>
      <c r="M38" s="120"/>
      <c r="N38" s="120"/>
      <c r="O38" s="120">
        <v>1.5E-3</v>
      </c>
      <c r="P38" s="120" t="s">
        <v>124</v>
      </c>
      <c r="Q38" s="571">
        <v>1.4E-2</v>
      </c>
      <c r="R38" s="122"/>
      <c r="S38" s="1117"/>
    </row>
    <row r="39" spans="1:19" ht="25.2" hidden="1" customHeight="1">
      <c r="A39" s="1095"/>
      <c r="B39" s="120" t="s">
        <v>61</v>
      </c>
      <c r="C39" s="606" t="s">
        <v>124</v>
      </c>
      <c r="D39" s="119">
        <v>5.0000000000000001E-4</v>
      </c>
      <c r="E39" s="119"/>
      <c r="F39" s="119">
        <v>5.0000000000000001E-4</v>
      </c>
      <c r="G39" s="119"/>
      <c r="H39" s="119"/>
      <c r="I39" s="120">
        <v>1E-3</v>
      </c>
      <c r="J39" s="120"/>
      <c r="K39" s="120"/>
      <c r="L39" s="120" t="s">
        <v>124</v>
      </c>
      <c r="M39" s="120"/>
      <c r="N39" s="120"/>
      <c r="O39" s="120">
        <v>1.5E-3</v>
      </c>
      <c r="P39" s="120" t="s">
        <v>124</v>
      </c>
      <c r="Q39" s="571">
        <v>1.4E-2</v>
      </c>
      <c r="R39" s="122"/>
      <c r="S39" s="1117"/>
    </row>
    <row r="40" spans="1:19" ht="25.2" customHeight="1">
      <c r="A40" s="1096"/>
      <c r="B40" s="120" t="s">
        <v>216</v>
      </c>
      <c r="C40" s="606" t="s">
        <v>124</v>
      </c>
      <c r="D40" s="119">
        <v>5.0000000000000001E-4</v>
      </c>
      <c r="E40" s="119"/>
      <c r="F40" s="119">
        <v>5.0000000000000001E-4</v>
      </c>
      <c r="G40" s="119"/>
      <c r="H40" s="119"/>
      <c r="I40" s="120">
        <v>1E-3</v>
      </c>
      <c r="J40" s="120"/>
      <c r="K40" s="120"/>
      <c r="L40" s="120" t="s">
        <v>124</v>
      </c>
      <c r="M40" s="120"/>
      <c r="N40" s="120"/>
      <c r="O40" s="120">
        <v>1.5E-3</v>
      </c>
      <c r="P40" s="120" t="s">
        <v>124</v>
      </c>
      <c r="Q40" s="120" t="s">
        <v>124</v>
      </c>
      <c r="R40" s="122"/>
      <c r="S40" s="1118"/>
    </row>
    <row r="41" spans="1:19" ht="22.95" customHeight="1">
      <c r="A41" s="1119" t="s">
        <v>12</v>
      </c>
      <c r="B41" s="123" t="s">
        <v>647</v>
      </c>
      <c r="C41" s="604" t="s">
        <v>124</v>
      </c>
      <c r="D41" s="620">
        <v>1.25E-3</v>
      </c>
      <c r="E41" s="620">
        <v>1.25E-3</v>
      </c>
      <c r="F41" s="620">
        <v>2.5000000000000001E-3</v>
      </c>
      <c r="G41" s="620">
        <v>2.5000000000000001E-3</v>
      </c>
      <c r="H41" s="620">
        <v>2.5000000000000001E-3</v>
      </c>
      <c r="I41" s="620">
        <v>3.7499999999999999E-3</v>
      </c>
      <c r="J41" s="620">
        <v>3.7499999999999999E-3</v>
      </c>
      <c r="K41" s="620">
        <v>3.7499999999999999E-3</v>
      </c>
      <c r="L41" s="620">
        <v>5.0000000000000001E-3</v>
      </c>
      <c r="M41" s="620">
        <v>5.0000000000000001E-3</v>
      </c>
      <c r="N41" s="620">
        <v>5.0000000000000001E-3</v>
      </c>
      <c r="O41" s="620">
        <v>5.0000000000000001E-3</v>
      </c>
      <c r="P41" s="620">
        <v>5.0000000000000001E-3</v>
      </c>
      <c r="Q41" s="620">
        <v>5.0000000000000001E-3</v>
      </c>
      <c r="R41" s="129"/>
      <c r="S41" s="1121"/>
    </row>
    <row r="42" spans="1:19" ht="22.95" customHeight="1">
      <c r="A42" s="1120"/>
      <c r="B42" s="131" t="s">
        <v>661</v>
      </c>
      <c r="C42" s="604" t="s">
        <v>124</v>
      </c>
      <c r="D42" s="621">
        <v>2.5000000000000001E-3</v>
      </c>
      <c r="E42" s="621">
        <v>2.5000000000000001E-3</v>
      </c>
      <c r="F42" s="621">
        <v>3.7499999999999999E-3</v>
      </c>
      <c r="G42" s="621">
        <v>3.7499999999999999E-3</v>
      </c>
      <c r="H42" s="621">
        <v>3.7499999999999999E-3</v>
      </c>
      <c r="I42" s="621">
        <v>4.3750000000000004E-3</v>
      </c>
      <c r="J42" s="621">
        <v>4.3750000000000004E-3</v>
      </c>
      <c r="K42" s="621">
        <v>4.3750000000000004E-3</v>
      </c>
      <c r="L42" s="620">
        <v>5.0000000000000001E-3</v>
      </c>
      <c r="M42" s="620">
        <v>5.0000000000000001E-3</v>
      </c>
      <c r="N42" s="620">
        <v>5.0000000000000001E-3</v>
      </c>
      <c r="O42" s="620">
        <v>5.0000000000000001E-3</v>
      </c>
      <c r="P42" s="620">
        <v>5.0000000000000001E-3</v>
      </c>
      <c r="Q42" s="620">
        <v>5.0000000000000001E-3</v>
      </c>
      <c r="R42" s="129"/>
      <c r="S42" s="1122"/>
    </row>
    <row r="43" spans="1:19" ht="19.5" customHeight="1">
      <c r="A43" s="1094" t="s">
        <v>42</v>
      </c>
      <c r="B43" s="120" t="s">
        <v>648</v>
      </c>
      <c r="C43" s="606" t="s">
        <v>124</v>
      </c>
      <c r="D43" s="120">
        <v>1E-3</v>
      </c>
      <c r="E43" s="120">
        <v>1.5E-3</v>
      </c>
      <c r="F43" s="119">
        <v>3.0000000000000001E-3</v>
      </c>
      <c r="G43" s="119"/>
      <c r="H43" s="119"/>
      <c r="I43" s="120">
        <v>3.7499999999999999E-3</v>
      </c>
      <c r="J43" s="120"/>
      <c r="K43" s="120"/>
      <c r="L43" s="120">
        <v>3.7499999999999999E-3</v>
      </c>
      <c r="M43" s="120"/>
      <c r="N43" s="120"/>
      <c r="O43" s="120">
        <v>4.0000000000000001E-3</v>
      </c>
      <c r="P43" s="120">
        <v>4.0000000000000001E-3</v>
      </c>
      <c r="Q43" s="120">
        <v>4.0000000000000001E-3</v>
      </c>
      <c r="R43" s="128">
        <v>4.0000000000000001E-3</v>
      </c>
      <c r="S43" s="1097"/>
    </row>
    <row r="44" spans="1:19" ht="21" customHeight="1">
      <c r="A44" s="1096"/>
      <c r="B44" s="120" t="s">
        <v>66</v>
      </c>
      <c r="C44" s="606" t="s">
        <v>124</v>
      </c>
      <c r="D44" s="120">
        <v>1E-3</v>
      </c>
      <c r="E44" s="120">
        <v>1.5E-3</v>
      </c>
      <c r="F44" s="119">
        <v>3.0000000000000001E-3</v>
      </c>
      <c r="G44" s="119"/>
      <c r="H44" s="119"/>
      <c r="I44" s="120">
        <v>4.0000000000000001E-3</v>
      </c>
      <c r="J44" s="120"/>
      <c r="K44" s="120"/>
      <c r="L44" s="120">
        <v>4.0000000000000001E-3</v>
      </c>
      <c r="M44" s="120"/>
      <c r="N44" s="120"/>
      <c r="O44" s="120">
        <v>5.4999999999999997E-3</v>
      </c>
      <c r="P44" s="120">
        <v>6.0000000000000001E-3</v>
      </c>
      <c r="Q44" s="120">
        <v>6.4999999999999997E-3</v>
      </c>
      <c r="R44" s="128">
        <v>6.4999999999999997E-3</v>
      </c>
      <c r="S44" s="1099"/>
    </row>
    <row r="45" spans="1:19" ht="84" customHeight="1">
      <c r="A45" s="127" t="s">
        <v>37</v>
      </c>
      <c r="B45" s="126" t="s">
        <v>271</v>
      </c>
      <c r="C45" s="604" t="s">
        <v>124</v>
      </c>
      <c r="D45" s="125">
        <v>1E-3</v>
      </c>
      <c r="E45" s="125">
        <v>1E-3</v>
      </c>
      <c r="F45" s="125">
        <v>2E-3</v>
      </c>
      <c r="G45" s="125"/>
      <c r="H45" s="125"/>
      <c r="I45" s="126">
        <v>2.5000000000000001E-3</v>
      </c>
      <c r="J45" s="126"/>
      <c r="K45" s="126"/>
      <c r="L45" s="126">
        <v>3.5000000000000001E-3</v>
      </c>
      <c r="M45" s="126"/>
      <c r="N45" s="126"/>
      <c r="O45" s="126">
        <v>3.5000000000000001E-3</v>
      </c>
      <c r="P45" s="126">
        <v>4.0000000000000001E-3</v>
      </c>
      <c r="Q45" s="123">
        <v>5.0000000000000001E-3</v>
      </c>
      <c r="R45" s="572">
        <v>1.2999999999999999E-2</v>
      </c>
      <c r="S45" s="612" t="s">
        <v>649</v>
      </c>
    </row>
    <row r="46" spans="1:19">
      <c r="A46" s="1094" t="s">
        <v>31</v>
      </c>
      <c r="B46" s="120" t="s">
        <v>71</v>
      </c>
      <c r="C46" s="606" t="s">
        <v>124</v>
      </c>
      <c r="D46" s="120">
        <v>5.0000000000000001E-4</v>
      </c>
      <c r="E46" s="120">
        <v>5.0000000000000001E-4</v>
      </c>
      <c r="F46" s="120">
        <v>1E-3</v>
      </c>
      <c r="G46" s="120">
        <v>1E-3</v>
      </c>
      <c r="H46" s="120">
        <v>1E-3</v>
      </c>
      <c r="I46" s="120">
        <v>1.5E-3</v>
      </c>
      <c r="J46" s="120">
        <v>1.5E-3</v>
      </c>
      <c r="K46" s="120">
        <v>1.5E-3</v>
      </c>
      <c r="L46" s="120">
        <v>2E-3</v>
      </c>
      <c r="M46" s="120">
        <v>2E-3</v>
      </c>
      <c r="N46" s="120">
        <v>2E-3</v>
      </c>
      <c r="O46" s="120">
        <v>2.5000000000000001E-3</v>
      </c>
      <c r="P46" s="120">
        <v>3.0000000000000001E-3</v>
      </c>
      <c r="Q46" s="120">
        <v>3.0000000000000001E-3</v>
      </c>
      <c r="R46" s="122">
        <v>3.0000000000000001E-3</v>
      </c>
      <c r="S46" s="1097"/>
    </row>
    <row r="47" spans="1:19">
      <c r="A47" s="1096"/>
      <c r="B47" s="120" t="s">
        <v>74</v>
      </c>
      <c r="C47" s="606" t="s">
        <v>124</v>
      </c>
      <c r="D47" s="120">
        <v>1.25E-3</v>
      </c>
      <c r="E47" s="120">
        <v>1.25E-3</v>
      </c>
      <c r="F47" s="120">
        <v>1.5E-3</v>
      </c>
      <c r="G47" s="120">
        <v>1.5E-3</v>
      </c>
      <c r="H47" s="120">
        <v>1.5E-3</v>
      </c>
      <c r="I47" s="120">
        <v>2E-3</v>
      </c>
      <c r="J47" s="120">
        <v>2E-3</v>
      </c>
      <c r="K47" s="120">
        <v>2E-3</v>
      </c>
      <c r="L47" s="120">
        <v>3.0000000000000001E-3</v>
      </c>
      <c r="M47" s="120">
        <v>3.0000000000000001E-3</v>
      </c>
      <c r="N47" s="120">
        <v>3.0000000000000001E-3</v>
      </c>
      <c r="O47" s="120">
        <v>3.5000000000000001E-3</v>
      </c>
      <c r="P47" s="120">
        <v>4.0000000000000001E-3</v>
      </c>
      <c r="Q47" s="120">
        <v>4.0000000000000001E-3</v>
      </c>
      <c r="R47" s="120">
        <v>4.0000000000000001E-3</v>
      </c>
      <c r="S47" s="1098"/>
    </row>
    <row r="48" spans="1:19" ht="15.6">
      <c r="A48" s="762" t="s">
        <v>29</v>
      </c>
      <c r="B48" s="120" t="s">
        <v>74</v>
      </c>
      <c r="C48" s="606" t="s">
        <v>124</v>
      </c>
      <c r="D48" s="120">
        <v>1E-3</v>
      </c>
      <c r="E48" s="120"/>
      <c r="F48" s="120">
        <v>2E-3</v>
      </c>
      <c r="G48" s="120"/>
      <c r="H48" s="120"/>
      <c r="I48" s="120">
        <v>3.0000000000000001E-3</v>
      </c>
      <c r="J48" s="120"/>
      <c r="K48" s="120"/>
      <c r="L48" s="120" t="s">
        <v>124</v>
      </c>
      <c r="M48" s="120"/>
      <c r="N48" s="120"/>
      <c r="O48" s="120">
        <v>4.0000000000000001E-3</v>
      </c>
      <c r="P48" s="120" t="s">
        <v>124</v>
      </c>
      <c r="Q48" s="120" t="s">
        <v>124</v>
      </c>
      <c r="R48" s="122" t="s">
        <v>124</v>
      </c>
      <c r="S48" s="1099"/>
    </row>
    <row r="49" spans="1:19" ht="15.6">
      <c r="A49" s="1090" t="s">
        <v>39</v>
      </c>
      <c r="B49" s="126" t="s">
        <v>650</v>
      </c>
      <c r="C49" s="604" t="s">
        <v>124</v>
      </c>
      <c r="D49" s="125">
        <v>5.0000000000000001E-4</v>
      </c>
      <c r="E49" s="125">
        <v>5.0000000000000001E-4</v>
      </c>
      <c r="F49" s="124">
        <v>1E-3</v>
      </c>
      <c r="G49" s="124">
        <v>1E-3</v>
      </c>
      <c r="H49" s="124">
        <v>1E-3</v>
      </c>
      <c r="I49" s="123">
        <v>2E-3</v>
      </c>
      <c r="J49" s="123">
        <v>2E-3</v>
      </c>
      <c r="K49" s="123">
        <v>2E-3</v>
      </c>
      <c r="L49" s="123">
        <v>3.0000000000000001E-3</v>
      </c>
      <c r="M49" s="123">
        <v>4.0000000000000001E-3</v>
      </c>
      <c r="N49" s="123">
        <v>4.0000000000000001E-3</v>
      </c>
      <c r="O49" s="123">
        <v>5.0000000000000001E-3</v>
      </c>
      <c r="P49" s="697">
        <v>1.0500000000000001E-2</v>
      </c>
      <c r="Q49" s="697">
        <v>1.4500000000000001E-2</v>
      </c>
      <c r="R49" s="572">
        <v>1.9E-2</v>
      </c>
      <c r="S49" s="1092" t="s">
        <v>651</v>
      </c>
    </row>
    <row r="50" spans="1:19" ht="27.6">
      <c r="A50" s="1109"/>
      <c r="B50" s="126" t="s">
        <v>270</v>
      </c>
      <c r="C50" s="604" t="s">
        <v>124</v>
      </c>
      <c r="D50" s="125">
        <v>5.0000000000000001E-4</v>
      </c>
      <c r="E50" s="125">
        <v>5.0000000000000001E-4</v>
      </c>
      <c r="F50" s="125">
        <v>5.0000000000000001E-4</v>
      </c>
      <c r="G50" s="125">
        <v>5.0000000000000001E-4</v>
      </c>
      <c r="H50" s="125">
        <v>5.0000000000000001E-4</v>
      </c>
      <c r="I50" s="124">
        <v>1E-3</v>
      </c>
      <c r="J50" s="124">
        <v>1E-3</v>
      </c>
      <c r="K50" s="124">
        <v>1E-3</v>
      </c>
      <c r="L50" s="124">
        <v>1E-3</v>
      </c>
      <c r="M50" s="124">
        <v>1E-3</v>
      </c>
      <c r="N50" s="124">
        <v>1E-3</v>
      </c>
      <c r="O50" s="124">
        <v>1E-3</v>
      </c>
      <c r="P50" s="123">
        <v>2E-3</v>
      </c>
      <c r="Q50" s="123">
        <v>2E-3</v>
      </c>
      <c r="R50" s="123">
        <v>2E-3</v>
      </c>
      <c r="S50" s="1110"/>
    </row>
    <row r="51" spans="1:19" ht="27.6">
      <c r="A51" s="1109"/>
      <c r="B51" s="126" t="s">
        <v>269</v>
      </c>
      <c r="C51" s="604" t="s">
        <v>124</v>
      </c>
      <c r="D51" s="125">
        <v>5.0000000000000001E-4</v>
      </c>
      <c r="E51" s="125">
        <v>5.0000000000000001E-4</v>
      </c>
      <c r="F51" s="125">
        <v>5.0000000000000001E-4</v>
      </c>
      <c r="G51" s="125">
        <v>5.0000000000000001E-4</v>
      </c>
      <c r="H51" s="125">
        <v>5.0000000000000001E-4</v>
      </c>
      <c r="I51" s="124">
        <v>1E-3</v>
      </c>
      <c r="J51" s="124">
        <v>1E-3</v>
      </c>
      <c r="K51" s="124">
        <v>1E-3</v>
      </c>
      <c r="L51" s="124">
        <v>1E-3</v>
      </c>
      <c r="M51" s="124">
        <v>1E-3</v>
      </c>
      <c r="N51" s="124">
        <v>1E-3</v>
      </c>
      <c r="O51" s="124">
        <v>1E-3</v>
      </c>
      <c r="P51" s="123">
        <v>2E-3</v>
      </c>
      <c r="Q51" s="123">
        <v>2E-3</v>
      </c>
      <c r="R51" s="123">
        <v>2E-3</v>
      </c>
      <c r="S51" s="1110"/>
    </row>
    <row r="52" spans="1:19" ht="27.6">
      <c r="A52" s="1109"/>
      <c r="B52" s="126" t="s">
        <v>231</v>
      </c>
      <c r="C52" s="604" t="s">
        <v>124</v>
      </c>
      <c r="D52" s="125">
        <v>5.0000000000000001E-4</v>
      </c>
      <c r="E52" s="125">
        <v>5.0000000000000001E-4</v>
      </c>
      <c r="F52" s="125">
        <v>5.0000000000000001E-4</v>
      </c>
      <c r="G52" s="125">
        <v>5.0000000000000001E-4</v>
      </c>
      <c r="H52" s="125">
        <v>5.0000000000000001E-4</v>
      </c>
      <c r="I52" s="124">
        <v>1E-3</v>
      </c>
      <c r="J52" s="124">
        <v>1E-3</v>
      </c>
      <c r="K52" s="124">
        <v>1E-3</v>
      </c>
      <c r="L52" s="124">
        <v>1E-3</v>
      </c>
      <c r="M52" s="124">
        <v>1E-3</v>
      </c>
      <c r="N52" s="124">
        <v>1E-3</v>
      </c>
      <c r="O52" s="124">
        <v>1E-3</v>
      </c>
      <c r="P52" s="123">
        <v>2E-3</v>
      </c>
      <c r="Q52" s="123">
        <v>2E-3</v>
      </c>
      <c r="R52" s="123">
        <v>2E-3</v>
      </c>
      <c r="S52" s="1110"/>
    </row>
    <row r="53" spans="1:19" ht="27.6">
      <c r="A53" s="1109"/>
      <c r="B53" s="126" t="s">
        <v>62</v>
      </c>
      <c r="C53" s="604" t="s">
        <v>124</v>
      </c>
      <c r="D53" s="125">
        <v>5.0000000000000001E-4</v>
      </c>
      <c r="E53" s="125">
        <v>5.0000000000000001E-4</v>
      </c>
      <c r="F53" s="125">
        <v>5.0000000000000001E-4</v>
      </c>
      <c r="G53" s="125">
        <v>5.0000000000000001E-4</v>
      </c>
      <c r="H53" s="125">
        <v>5.0000000000000001E-4</v>
      </c>
      <c r="I53" s="124">
        <v>1E-3</v>
      </c>
      <c r="J53" s="124">
        <v>1E-3</v>
      </c>
      <c r="K53" s="124">
        <v>1E-3</v>
      </c>
      <c r="L53" s="124">
        <v>1E-3</v>
      </c>
      <c r="M53" s="124">
        <v>1E-3</v>
      </c>
      <c r="N53" s="124">
        <v>1E-3</v>
      </c>
      <c r="O53" s="124">
        <v>1E-3</v>
      </c>
      <c r="P53" s="123">
        <v>2E-3</v>
      </c>
      <c r="Q53" s="123">
        <v>2E-3</v>
      </c>
      <c r="R53" s="123">
        <v>2E-3</v>
      </c>
      <c r="S53" s="1110"/>
    </row>
    <row r="54" spans="1:19" ht="27.6">
      <c r="A54" s="1091"/>
      <c r="B54" s="613" t="s">
        <v>61</v>
      </c>
      <c r="C54" s="604" t="s">
        <v>124</v>
      </c>
      <c r="D54" s="125">
        <v>5.0000000000000001E-4</v>
      </c>
      <c r="E54" s="125">
        <v>5.0000000000000001E-4</v>
      </c>
      <c r="F54" s="125">
        <v>5.0000000000000001E-4</v>
      </c>
      <c r="G54" s="125">
        <v>5.0000000000000001E-4</v>
      </c>
      <c r="H54" s="125">
        <v>5.0000000000000001E-4</v>
      </c>
      <c r="I54" s="124">
        <v>1E-3</v>
      </c>
      <c r="J54" s="124">
        <v>1E-3</v>
      </c>
      <c r="K54" s="124">
        <v>1E-3</v>
      </c>
      <c r="L54" s="124">
        <v>1E-3</v>
      </c>
      <c r="M54" s="124">
        <v>1E-3</v>
      </c>
      <c r="N54" s="124">
        <v>1E-3</v>
      </c>
      <c r="O54" s="124">
        <v>1E-3</v>
      </c>
      <c r="P54" s="123">
        <v>2E-3</v>
      </c>
      <c r="Q54" s="123">
        <v>2E-3</v>
      </c>
      <c r="R54" s="123">
        <v>2E-3</v>
      </c>
      <c r="S54" s="1093"/>
    </row>
  </sheetData>
  <mergeCells count="27">
    <mergeCell ref="A35:A40"/>
    <mergeCell ref="S35:S40"/>
    <mergeCell ref="A49:A54"/>
    <mergeCell ref="S49:S54"/>
    <mergeCell ref="A41:A42"/>
    <mergeCell ref="S41:S42"/>
    <mergeCell ref="A43:A44"/>
    <mergeCell ref="S43:S44"/>
    <mergeCell ref="A46:A47"/>
    <mergeCell ref="S46:S48"/>
    <mergeCell ref="A24:A25"/>
    <mergeCell ref="S24:S25"/>
    <mergeCell ref="A27:A32"/>
    <mergeCell ref="S27:S32"/>
    <mergeCell ref="A33:A34"/>
    <mergeCell ref="S33:S34"/>
    <mergeCell ref="A9:A15"/>
    <mergeCell ref="S9:S15"/>
    <mergeCell ref="A16:A18"/>
    <mergeCell ref="A19:A23"/>
    <mergeCell ref="S19:S23"/>
    <mergeCell ref="A1:L1"/>
    <mergeCell ref="O1:R1"/>
    <mergeCell ref="A3:A4"/>
    <mergeCell ref="S3:S4"/>
    <mergeCell ref="A5:A8"/>
    <mergeCell ref="S5:S8"/>
  </mergeCells>
  <phoneticPr fontId="71" type="noConversion"/>
  <pageMargins left="0.7" right="0.7" top="0.75" bottom="0.75" header="0.3" footer="0.3"/>
  <pageSetup paperSize="0"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R246"/>
  <sheetViews>
    <sheetView zoomScaleNormal="100" workbookViewId="0">
      <selection activeCell="HP3" sqref="HP1:HP1048576"/>
    </sheetView>
  </sheetViews>
  <sheetFormatPr defaultColWidth="8.88671875" defaultRowHeight="13.2" outlineLevelCol="1"/>
  <cols>
    <col min="1" max="1" width="3.44140625" style="462" customWidth="1"/>
    <col min="2" max="2" width="10.6640625" style="531" bestFit="1" customWidth="1"/>
    <col min="3" max="3" width="18.109375" style="531" bestFit="1" customWidth="1"/>
    <col min="4" max="5" width="9.109375" style="531" bestFit="1" customWidth="1"/>
    <col min="6" max="8" width="9.109375" style="531" hidden="1" customWidth="1"/>
    <col min="9" max="9" width="8.109375" style="531" hidden="1" customWidth="1"/>
    <col min="10" max="12" width="9.109375" style="531" hidden="1" customWidth="1"/>
    <col min="13" max="13" width="8.109375" style="531" hidden="1" customWidth="1"/>
    <col min="14" max="17" width="10.109375" style="531" hidden="1" customWidth="1"/>
    <col min="18" max="18" width="9.109375" style="531" hidden="1" customWidth="1"/>
    <col min="19" max="19" width="10.109375" style="531" hidden="1" customWidth="1"/>
    <col min="20" max="21" width="10.109375" style="545" hidden="1" customWidth="1"/>
    <col min="22" max="22" width="9.109375" style="545" hidden="1" customWidth="1"/>
    <col min="23" max="25" width="10.109375" style="531" hidden="1" customWidth="1"/>
    <col min="26" max="30" width="9.109375" style="531" hidden="1" customWidth="1"/>
    <col min="31" max="31" width="8.109375" style="531" hidden="1" customWidth="1"/>
    <col min="32" max="33" width="9.109375" style="531" hidden="1" customWidth="1"/>
    <col min="34" max="34" width="9.109375" style="531" hidden="1" customWidth="1" outlineLevel="1"/>
    <col min="35" max="35" width="8.109375" style="531" hidden="1" customWidth="1" outlineLevel="1"/>
    <col min="36" max="37" width="9.109375" style="531" hidden="1" customWidth="1" outlineLevel="1"/>
    <col min="38" max="38" width="9.109375" style="545" hidden="1" customWidth="1" outlineLevel="1"/>
    <col min="39" max="40" width="8.109375" style="531" hidden="1" customWidth="1" outlineLevel="1"/>
    <col min="41" max="43" width="9.109375" style="531" hidden="1" customWidth="1" outlineLevel="1"/>
    <col min="44" max="44" width="8.109375" style="531" hidden="1" customWidth="1" outlineLevel="1"/>
    <col min="45" max="47" width="9.109375" style="531" hidden="1" customWidth="1" outlineLevel="1"/>
    <col min="48" max="48" width="8.109375" style="545" hidden="1" customWidth="1" outlineLevel="1"/>
    <col min="49" max="50" width="9.109375" style="545" hidden="1" customWidth="1" outlineLevel="1"/>
    <col min="51" max="51" width="8.33203125" style="545" hidden="1" customWidth="1" outlineLevel="1"/>
    <col min="52" max="54" width="9.109375" style="545" hidden="1" customWidth="1" outlineLevel="1"/>
    <col min="55" max="55" width="8.33203125" style="545" hidden="1" customWidth="1" outlineLevel="1"/>
    <col min="56" max="62" width="9.109375" style="545" hidden="1" customWidth="1" outlineLevel="1"/>
    <col min="63" max="64" width="8.109375" style="545" hidden="1" customWidth="1" outlineLevel="1"/>
    <col min="65" max="67" width="10.109375" style="545" hidden="1" customWidth="1" outlineLevel="1"/>
    <col min="68" max="68" width="9.109375" style="545" hidden="1" customWidth="1" outlineLevel="1"/>
    <col min="69" max="71" width="10.109375" style="545" hidden="1" customWidth="1" outlineLevel="1"/>
    <col min="72" max="72" width="9.109375" style="545" hidden="1" customWidth="1" outlineLevel="1"/>
    <col min="73" max="76" width="10.109375" style="545" hidden="1" customWidth="1" outlineLevel="1"/>
    <col min="77" max="80" width="9.109375" style="545" hidden="1" customWidth="1" outlineLevel="1"/>
    <col min="81" max="81" width="8.109375" style="545" hidden="1" customWidth="1" outlineLevel="1"/>
    <col min="82" max="84" width="9.109375" style="545" hidden="1" customWidth="1" outlineLevel="1"/>
    <col min="85" max="86" width="8.109375" style="545" hidden="1" customWidth="1" outlineLevel="1"/>
    <col min="87" max="89" width="9.109375" style="545" hidden="1" customWidth="1" outlineLevel="1"/>
    <col min="90" max="90" width="8.33203125" style="545" hidden="1" customWidth="1" outlineLevel="1"/>
    <col min="91" max="93" width="9.109375" style="545" hidden="1" customWidth="1" outlineLevel="1"/>
    <col min="94" max="94" width="8.33203125" style="545" hidden="1" customWidth="1" outlineLevel="1"/>
    <col min="95" max="97" width="9.109375" style="545" hidden="1" customWidth="1" outlineLevel="1"/>
    <col min="98" max="99" width="8.33203125" style="545" hidden="1" customWidth="1" outlineLevel="1"/>
    <col min="100" max="102" width="9.109375" style="545" hidden="1" customWidth="1" outlineLevel="1"/>
    <col min="103" max="103" width="8.33203125" style="545" hidden="1" customWidth="1" outlineLevel="1"/>
    <col min="104" max="106" width="9.109375" style="545" hidden="1" customWidth="1" outlineLevel="1"/>
    <col min="107" max="107" width="8.33203125" style="545" hidden="1" customWidth="1" outlineLevel="1"/>
    <col min="108" max="110" width="9.109375" style="545" hidden="1" customWidth="1" outlineLevel="1"/>
    <col min="111" max="112" width="8.33203125" style="545" hidden="1" customWidth="1" outlineLevel="1"/>
    <col min="113" max="115" width="9.109375" style="545" hidden="1" customWidth="1" outlineLevel="1"/>
    <col min="116" max="116" width="8.33203125" style="545" hidden="1" customWidth="1" outlineLevel="1"/>
    <col min="117" max="119" width="10.109375" style="545" hidden="1" customWidth="1" outlineLevel="1"/>
    <col min="120" max="120" width="9.109375" style="545" hidden="1" customWidth="1" outlineLevel="1"/>
    <col min="121" max="123" width="10.109375" style="545" hidden="1" customWidth="1" outlineLevel="1"/>
    <col min="124" max="125" width="9.109375" style="545" hidden="1" customWidth="1" outlineLevel="1"/>
    <col min="126" max="128" width="10.109375" style="545" hidden="1" customWidth="1" outlineLevel="1"/>
    <col min="129" max="131" width="9.109375" style="545" hidden="1" customWidth="1" outlineLevel="1"/>
    <col min="132" max="132" width="8.33203125" style="545" hidden="1" customWidth="1" outlineLevel="1"/>
    <col min="133" max="136" width="9.109375" style="545" hidden="1" customWidth="1" outlineLevel="1"/>
    <col min="137" max="137" width="8.33203125" style="545" hidden="1" customWidth="1" outlineLevel="1"/>
    <col min="138" max="142" width="9.109375" style="545" hidden="1" customWidth="1" outlineLevel="1"/>
    <col min="143" max="143" width="8.33203125" style="545" hidden="1" customWidth="1" outlineLevel="1"/>
    <col min="144" max="146" width="9.109375" style="545" hidden="1" customWidth="1" outlineLevel="1"/>
    <col min="147" max="147" width="8.33203125" style="545" hidden="1" customWidth="1" outlineLevel="1"/>
    <col min="148" max="150" width="9.109375" style="545" hidden="1" customWidth="1" outlineLevel="1"/>
    <col min="151" max="151" width="8.33203125" style="545" hidden="1" customWidth="1" outlineLevel="1"/>
    <col min="152" max="155" width="9.109375" style="545" hidden="1" customWidth="1" outlineLevel="1"/>
    <col min="156" max="157" width="8.33203125" style="545" hidden="1" customWidth="1" outlineLevel="1"/>
    <col min="158" max="159" width="9.109375" style="545" hidden="1" customWidth="1" outlineLevel="1"/>
    <col min="160" max="161" width="8.33203125" style="545" hidden="1" customWidth="1" outlineLevel="1"/>
    <col min="162" max="164" width="9.109375" style="545" hidden="1" customWidth="1" outlineLevel="1"/>
    <col min="165" max="165" width="8.33203125" style="545" hidden="1" customWidth="1" outlineLevel="1"/>
    <col min="166" max="168" width="10.109375" style="545" hidden="1" customWidth="1" outlineLevel="1"/>
    <col min="169" max="170" width="9.109375" style="545" hidden="1" customWidth="1" outlineLevel="1"/>
    <col min="171" max="172" width="10.109375" style="545" hidden="1" customWidth="1" outlineLevel="1"/>
    <col min="173" max="174" width="9.109375" style="545" hidden="1" customWidth="1" outlineLevel="1"/>
    <col min="175" max="177" width="10.109375" style="545" hidden="1" customWidth="1" outlineLevel="1"/>
    <col min="178" max="178" width="8.33203125" style="545" hidden="1" customWidth="1" outlineLevel="1"/>
    <col min="179" max="181" width="9.109375" style="545" hidden="1" customWidth="1" outlineLevel="1"/>
    <col min="182" max="182" width="8.33203125" style="545" hidden="1" customWidth="1" outlineLevel="1"/>
    <col min="183" max="189" width="9.109375" style="545" hidden="1" customWidth="1" outlineLevel="1"/>
    <col min="190" max="190" width="8.33203125" style="545" hidden="1" customWidth="1" outlineLevel="1"/>
    <col min="191" max="193" width="9.109375" style="554" hidden="1" customWidth="1" outlineLevel="1"/>
    <col min="194" max="194" width="8.33203125" style="545" hidden="1" customWidth="1" outlineLevel="1"/>
    <col min="195" max="195" width="9.109375" style="554" hidden="1" customWidth="1" outlineLevel="1"/>
    <col min="196" max="197" width="9.109375" style="545" hidden="1" customWidth="1" outlineLevel="1"/>
    <col min="198" max="199" width="8.33203125" style="545" hidden="1" customWidth="1" outlineLevel="1"/>
    <col min="200" max="201" width="9.109375" style="554" hidden="1" customWidth="1" outlineLevel="1"/>
    <col min="202" max="204" width="8.33203125" style="554" hidden="1" customWidth="1" outlineLevel="1"/>
    <col min="205" max="205" width="9.109375" style="545" hidden="1" customWidth="1" outlineLevel="1"/>
    <col min="206" max="208" width="9.109375" style="554" hidden="1" customWidth="1" outlineLevel="1"/>
    <col min="209" max="213" width="8.33203125" style="554" hidden="1" customWidth="1" outlineLevel="1"/>
    <col min="214" max="214" width="9.109375" style="554" hidden="1" customWidth="1" outlineLevel="1"/>
    <col min="215" max="215" width="9.109375" style="545" hidden="1" customWidth="1" outlineLevel="1"/>
    <col min="216" max="223" width="9.109375" style="554" hidden="1" customWidth="1" outlineLevel="1"/>
    <col min="224" max="224" width="8.5546875" style="545" bestFit="1" customWidth="1" collapsed="1"/>
    <col min="225" max="225" width="8.44140625" style="462" bestFit="1" customWidth="1"/>
    <col min="226" max="226" width="1.5546875" style="462" bestFit="1" customWidth="1"/>
    <col min="227" max="16384" width="8.88671875" style="462"/>
  </cols>
  <sheetData>
    <row r="1" spans="2:225" ht="24.75" customHeight="1">
      <c r="B1" s="1130" t="s">
        <v>263</v>
      </c>
      <c r="C1" s="1130"/>
      <c r="D1" s="1130"/>
      <c r="E1" s="1130"/>
      <c r="F1" s="1130"/>
      <c r="G1" s="1130"/>
      <c r="H1" s="1130"/>
      <c r="I1" s="1130"/>
      <c r="J1" s="1130"/>
      <c r="K1" s="1130"/>
      <c r="L1" s="1130"/>
      <c r="M1" s="1130"/>
      <c r="N1" s="1130"/>
      <c r="O1" s="1130"/>
      <c r="P1" s="1130"/>
      <c r="Q1" s="1130"/>
      <c r="R1" s="1130"/>
      <c r="S1" s="1130"/>
      <c r="T1" s="1130"/>
      <c r="U1" s="1130"/>
      <c r="V1" s="1130"/>
      <c r="W1" s="1130"/>
      <c r="X1" s="1130"/>
      <c r="Y1" s="1130"/>
      <c r="Z1" s="1130"/>
      <c r="AA1" s="1130"/>
      <c r="AB1" s="1130"/>
      <c r="AC1" s="1130"/>
      <c r="AD1" s="1130"/>
      <c r="AE1" s="1130"/>
      <c r="AF1" s="1130"/>
      <c r="AG1" s="1130"/>
      <c r="AH1" s="1130"/>
      <c r="AI1" s="1130"/>
      <c r="AJ1" s="1130"/>
      <c r="AK1" s="1130"/>
      <c r="AL1" s="1130"/>
      <c r="AM1" s="1130"/>
      <c r="AN1" s="1130"/>
      <c r="AO1" s="1130"/>
      <c r="AP1" s="1130"/>
      <c r="AQ1" s="1130"/>
      <c r="AR1" s="1130"/>
      <c r="AS1" s="1130"/>
      <c r="AT1" s="1130"/>
      <c r="AU1" s="1130"/>
      <c r="AV1" s="1130"/>
      <c r="AW1" s="1130"/>
      <c r="AX1" s="1130"/>
      <c r="AY1" s="1130"/>
      <c r="AZ1" s="1130"/>
      <c r="BA1" s="1130"/>
      <c r="BB1" s="1130"/>
      <c r="BC1" s="1130"/>
      <c r="BD1" s="1130"/>
      <c r="BE1" s="1130"/>
      <c r="BF1" s="1130"/>
      <c r="BG1" s="1130"/>
      <c r="BH1" s="1130"/>
      <c r="BI1" s="1130"/>
      <c r="BJ1" s="1130"/>
      <c r="BK1" s="1130"/>
      <c r="BL1" s="1130"/>
      <c r="BM1" s="1130"/>
      <c r="BN1" s="1130"/>
      <c r="BO1" s="1130"/>
      <c r="BP1" s="1130"/>
      <c r="BQ1" s="1130"/>
      <c r="BR1" s="1130"/>
      <c r="BS1" s="1130"/>
      <c r="BT1" s="1130"/>
      <c r="BU1" s="1130"/>
      <c r="BV1" s="1130"/>
      <c r="BW1" s="1130"/>
      <c r="BX1" s="1130"/>
      <c r="BY1" s="1130"/>
      <c r="BZ1" s="1130"/>
      <c r="CA1" s="1130"/>
      <c r="CB1" s="1130"/>
      <c r="CC1" s="1130"/>
      <c r="CD1" s="1130"/>
      <c r="CE1" s="1130"/>
      <c r="CF1" s="1130"/>
      <c r="CG1" s="1130"/>
      <c r="CH1" s="1130"/>
      <c r="CI1" s="1130"/>
      <c r="CJ1" s="1130"/>
      <c r="CK1" s="1130"/>
      <c r="CL1" s="1130"/>
      <c r="CM1" s="1130"/>
      <c r="CN1" s="1130"/>
      <c r="CO1" s="1130"/>
      <c r="CP1" s="1130"/>
      <c r="CQ1" s="1130"/>
      <c r="CR1" s="1130"/>
      <c r="CS1" s="1130"/>
      <c r="CT1" s="1130"/>
      <c r="CU1" s="1130"/>
      <c r="CV1" s="1130"/>
      <c r="CW1" s="1130"/>
      <c r="CX1" s="1130"/>
      <c r="CY1" s="1130"/>
      <c r="CZ1" s="1130"/>
      <c r="DA1" s="1130"/>
      <c r="DB1" s="1130"/>
      <c r="DC1" s="1130"/>
      <c r="DD1" s="1130"/>
      <c r="DE1" s="1130"/>
      <c r="DF1" s="1130"/>
      <c r="DG1" s="1130"/>
      <c r="DH1" s="1130"/>
      <c r="DI1" s="1130"/>
      <c r="DJ1" s="1130"/>
      <c r="DK1" s="1130"/>
      <c r="DL1" s="1130"/>
      <c r="DM1" s="1130"/>
      <c r="DN1" s="1130"/>
      <c r="DO1" s="1130"/>
      <c r="DP1" s="1130"/>
      <c r="DQ1" s="1130"/>
      <c r="DR1" s="1130"/>
      <c r="DS1" s="1130"/>
      <c r="DT1" s="1130"/>
      <c r="DU1" s="1130"/>
      <c r="DV1" s="1130"/>
      <c r="DW1" s="1130"/>
      <c r="DX1" s="1130"/>
      <c r="DY1" s="1130"/>
      <c r="DZ1" s="1130"/>
      <c r="EA1" s="1130"/>
      <c r="EB1" s="1130"/>
      <c r="EC1" s="1130"/>
      <c r="ED1" s="1130"/>
      <c r="EE1" s="1130"/>
      <c r="EF1" s="1130"/>
      <c r="EG1" s="1130"/>
      <c r="EH1" s="1130"/>
      <c r="EI1" s="1130"/>
      <c r="EJ1" s="1130"/>
      <c r="EK1" s="1130"/>
      <c r="EL1" s="1130"/>
      <c r="EM1" s="1130"/>
      <c r="EN1" s="1130"/>
      <c r="EO1" s="1130"/>
      <c r="EP1" s="1130"/>
      <c r="EQ1" s="1130"/>
      <c r="ER1" s="1130"/>
      <c r="ES1" s="1130"/>
      <c r="ET1" s="1130"/>
      <c r="EU1" s="1130"/>
      <c r="EV1" s="1130"/>
      <c r="EW1" s="1130"/>
      <c r="EX1" s="1130"/>
      <c r="EY1" s="1130"/>
      <c r="EZ1" s="1130"/>
      <c r="FA1" s="1130"/>
      <c r="FB1" s="1130"/>
      <c r="FC1" s="1130"/>
      <c r="FD1" s="1130"/>
      <c r="FE1" s="1130"/>
      <c r="FF1" s="1130"/>
      <c r="FG1" s="1130"/>
      <c r="FH1" s="1130"/>
      <c r="FI1" s="1130"/>
      <c r="FJ1" s="1130"/>
      <c r="FK1" s="1130"/>
      <c r="FL1" s="1130"/>
      <c r="FM1" s="1130"/>
      <c r="FN1" s="1130"/>
      <c r="FO1" s="1130"/>
      <c r="FP1" s="1130"/>
      <c r="FQ1" s="1130"/>
      <c r="FR1" s="1130"/>
      <c r="FS1" s="1130"/>
      <c r="FT1" s="1130"/>
      <c r="FU1" s="1130"/>
      <c r="FV1" s="1130"/>
      <c r="FW1" s="1130"/>
      <c r="FX1" s="1130"/>
      <c r="FY1" s="1130"/>
      <c r="FZ1" s="1130"/>
      <c r="GA1" s="1130"/>
      <c r="GB1" s="1130"/>
      <c r="GC1" s="1130"/>
      <c r="GD1" s="1130"/>
      <c r="GE1" s="1130"/>
      <c r="GF1" s="1130"/>
      <c r="GG1" s="1130"/>
      <c r="GH1" s="1130"/>
      <c r="GI1" s="1130"/>
      <c r="GJ1" s="1130"/>
      <c r="GK1" s="1130"/>
      <c r="GL1" s="1130"/>
      <c r="GM1" s="1130"/>
      <c r="GN1" s="1130"/>
      <c r="GO1" s="1130"/>
      <c r="GP1" s="1130"/>
      <c r="GQ1" s="1130"/>
      <c r="GR1" s="1130"/>
      <c r="GS1" s="1130"/>
      <c r="GT1" s="1130"/>
      <c r="GU1" s="1130"/>
      <c r="GV1" s="1130"/>
      <c r="GW1" s="1130"/>
      <c r="GX1" s="1130"/>
      <c r="GY1" s="1130"/>
      <c r="GZ1" s="1130"/>
      <c r="HA1" s="1130"/>
      <c r="HB1" s="1130"/>
      <c r="HC1" s="1130"/>
      <c r="HD1" s="1130"/>
      <c r="HE1" s="1130"/>
      <c r="HF1" s="1130"/>
      <c r="HG1" s="1130"/>
      <c r="HH1" s="1130"/>
      <c r="HI1" s="1130"/>
      <c r="HJ1" s="1130"/>
      <c r="HK1" s="1130"/>
      <c r="HL1" s="1130"/>
      <c r="HM1" s="1130"/>
      <c r="HN1" s="1130"/>
      <c r="HO1" s="1130"/>
      <c r="HP1" s="1130"/>
      <c r="HQ1" s="1130"/>
    </row>
    <row r="2" spans="2:225">
      <c r="B2" s="1131" t="s">
        <v>262</v>
      </c>
      <c r="C2" s="1131"/>
      <c r="D2" s="1131"/>
      <c r="E2" s="1131"/>
      <c r="F2" s="1131"/>
      <c r="G2" s="1131"/>
      <c r="H2" s="1131"/>
      <c r="I2" s="1131"/>
      <c r="J2" s="1131"/>
      <c r="K2" s="1131"/>
      <c r="L2" s="1131"/>
      <c r="M2" s="1131"/>
      <c r="N2" s="1131"/>
      <c r="O2" s="1131"/>
      <c r="P2" s="1131"/>
      <c r="Q2" s="1131"/>
      <c r="R2" s="1131"/>
      <c r="S2" s="1131"/>
      <c r="T2" s="1131"/>
      <c r="U2" s="1131"/>
      <c r="V2" s="1131"/>
      <c r="W2" s="1131"/>
      <c r="X2" s="1131"/>
      <c r="Y2" s="1131"/>
      <c r="Z2" s="1131"/>
      <c r="AA2" s="1131"/>
      <c r="AB2" s="1131"/>
      <c r="AC2" s="1131"/>
      <c r="AD2" s="1131"/>
      <c r="AE2" s="1131"/>
      <c r="AF2" s="1131"/>
      <c r="AG2" s="1131"/>
      <c r="AH2" s="1131"/>
      <c r="AI2" s="1131"/>
      <c r="AJ2" s="1131"/>
      <c r="AK2" s="1131"/>
      <c r="AL2" s="1131"/>
      <c r="AM2" s="1131"/>
      <c r="AN2" s="1131"/>
      <c r="AO2" s="1131"/>
      <c r="AP2" s="1131"/>
      <c r="AQ2" s="1131"/>
      <c r="AR2" s="1131"/>
      <c r="AS2" s="1131"/>
      <c r="AT2" s="1131"/>
      <c r="AU2" s="1131"/>
      <c r="AV2" s="1131"/>
      <c r="AW2" s="1131"/>
      <c r="AX2" s="1131"/>
      <c r="AY2" s="1131"/>
      <c r="AZ2" s="1131"/>
      <c r="BA2" s="1131"/>
      <c r="BB2" s="1131"/>
      <c r="BC2" s="1131"/>
      <c r="BD2" s="1131"/>
      <c r="BE2" s="1131"/>
      <c r="BF2" s="1131"/>
      <c r="BG2" s="1131"/>
      <c r="BH2" s="1131"/>
      <c r="BI2" s="1131"/>
      <c r="BJ2" s="1131"/>
      <c r="BK2" s="1131"/>
      <c r="BL2" s="1131"/>
      <c r="BM2" s="1131"/>
      <c r="BN2" s="1131"/>
      <c r="BO2" s="1131"/>
      <c r="BP2" s="1131"/>
      <c r="BQ2" s="1131"/>
      <c r="BR2" s="1131"/>
      <c r="BS2" s="1131"/>
      <c r="BT2" s="1131"/>
      <c r="BU2" s="1131"/>
      <c r="BV2" s="1131"/>
      <c r="BW2" s="1131"/>
      <c r="BX2" s="1131"/>
      <c r="BY2" s="1131"/>
      <c r="BZ2" s="1131"/>
      <c r="CA2" s="1131"/>
      <c r="CB2" s="1131"/>
      <c r="CC2" s="1131"/>
      <c r="CD2" s="1131"/>
      <c r="CE2" s="1131"/>
      <c r="CF2" s="1131"/>
      <c r="CG2" s="1131"/>
      <c r="CH2" s="1131"/>
      <c r="CI2" s="1131"/>
      <c r="CJ2" s="1131"/>
      <c r="CK2" s="1131"/>
      <c r="CL2" s="1131"/>
      <c r="CM2" s="1131"/>
      <c r="CN2" s="1131"/>
      <c r="CO2" s="1131"/>
      <c r="CP2" s="1131"/>
      <c r="CQ2" s="1131"/>
      <c r="CR2" s="1131"/>
      <c r="CS2" s="1131"/>
      <c r="CT2" s="1131"/>
      <c r="CU2" s="1131"/>
      <c r="CV2" s="1131"/>
      <c r="CW2" s="1131"/>
      <c r="CX2" s="1131"/>
      <c r="CY2" s="1131"/>
      <c r="CZ2" s="1131"/>
      <c r="DA2" s="1131"/>
      <c r="DB2" s="1131"/>
      <c r="DC2" s="1131"/>
      <c r="DD2" s="1131"/>
      <c r="DE2" s="1131"/>
      <c r="DF2" s="1131"/>
      <c r="DG2" s="1131"/>
      <c r="DH2" s="1131"/>
      <c r="DI2" s="1131"/>
      <c r="DJ2" s="1131"/>
      <c r="DK2" s="1131"/>
      <c r="DL2" s="1131"/>
      <c r="DM2" s="1131"/>
      <c r="DN2" s="1131"/>
      <c r="DO2" s="1131"/>
      <c r="DP2" s="1131"/>
      <c r="DQ2" s="1131"/>
      <c r="DR2" s="1131"/>
      <c r="DS2" s="1131"/>
      <c r="DT2" s="1131"/>
      <c r="DU2" s="1131"/>
      <c r="DV2" s="1131"/>
      <c r="DW2" s="1131"/>
      <c r="DX2" s="1131"/>
      <c r="DY2" s="1131"/>
      <c r="DZ2" s="1131"/>
      <c r="EA2" s="1131"/>
      <c r="EB2" s="1131"/>
      <c r="EC2" s="1131"/>
      <c r="ED2" s="1131"/>
      <c r="EE2" s="1131"/>
      <c r="EF2" s="1131"/>
      <c r="EG2" s="1131"/>
      <c r="EH2" s="1131"/>
      <c r="EI2" s="1131"/>
      <c r="EJ2" s="1131"/>
      <c r="EK2" s="1131"/>
      <c r="EL2" s="1131"/>
      <c r="EM2" s="1131"/>
      <c r="EN2" s="1131"/>
      <c r="EO2" s="1131"/>
      <c r="EP2" s="1131"/>
      <c r="EQ2" s="1131"/>
      <c r="ER2" s="1131"/>
      <c r="ES2" s="1131"/>
      <c r="ET2" s="1131"/>
      <c r="EU2" s="1131"/>
      <c r="EV2" s="1131"/>
      <c r="EW2" s="1131"/>
      <c r="EX2" s="1131"/>
      <c r="EY2" s="1131"/>
      <c r="EZ2" s="1131"/>
      <c r="FA2" s="1131"/>
      <c r="FB2" s="1131"/>
      <c r="FC2" s="1131"/>
      <c r="FD2" s="1131"/>
      <c r="FE2" s="1131"/>
      <c r="FF2" s="1131"/>
      <c r="FG2" s="1131"/>
      <c r="FH2" s="1131"/>
      <c r="FI2" s="1131"/>
      <c r="FJ2" s="1131"/>
      <c r="FK2" s="1131"/>
      <c r="FL2" s="1131"/>
      <c r="FM2" s="1131"/>
      <c r="FN2" s="1131"/>
      <c r="FO2" s="1131"/>
      <c r="FP2" s="1131"/>
      <c r="FQ2" s="1131"/>
      <c r="FR2" s="1131"/>
      <c r="FS2" s="1131"/>
      <c r="FT2" s="1131"/>
      <c r="FU2" s="1131"/>
      <c r="FV2" s="1131"/>
      <c r="FW2" s="1131"/>
      <c r="FX2" s="1131"/>
      <c r="FY2" s="1131"/>
      <c r="FZ2" s="1131"/>
      <c r="GA2" s="1131"/>
      <c r="GB2" s="1131"/>
      <c r="GC2" s="1131"/>
      <c r="GD2" s="1131"/>
      <c r="GE2" s="1131"/>
      <c r="GF2" s="1131"/>
      <c r="GG2" s="1131"/>
      <c r="GH2" s="1131"/>
      <c r="GI2" s="1131"/>
      <c r="GJ2" s="1131"/>
      <c r="GK2" s="1131"/>
      <c r="GL2" s="1131"/>
      <c r="GM2" s="1131"/>
      <c r="GN2" s="1131"/>
      <c r="GO2" s="1131"/>
      <c r="GP2" s="1131"/>
      <c r="GQ2" s="1131"/>
      <c r="GR2" s="1131"/>
      <c r="GS2" s="1131"/>
      <c r="GT2" s="1131"/>
      <c r="GU2" s="1131"/>
      <c r="GV2" s="1131"/>
      <c r="GW2" s="1131"/>
      <c r="GX2" s="1131"/>
      <c r="GY2" s="1131"/>
      <c r="GZ2" s="1131"/>
      <c r="HA2" s="1131"/>
      <c r="HB2" s="1131"/>
      <c r="HC2" s="1131"/>
      <c r="HD2" s="1131"/>
      <c r="HE2" s="1131"/>
      <c r="HF2" s="1131"/>
      <c r="HG2" s="1131"/>
      <c r="HH2" s="1131"/>
      <c r="HI2" s="1131"/>
      <c r="HJ2" s="1131"/>
      <c r="HK2" s="1131"/>
      <c r="HL2" s="1131"/>
      <c r="HM2" s="1131"/>
      <c r="HN2" s="1131"/>
      <c r="HO2" s="1131"/>
      <c r="HP2" s="1131"/>
      <c r="HQ2" s="1131"/>
    </row>
    <row r="3" spans="2:225">
      <c r="B3" s="464" t="s">
        <v>121</v>
      </c>
      <c r="C3" s="464" t="s">
        <v>120</v>
      </c>
      <c r="D3" s="465">
        <f>'最高报价汇总 '!F2</f>
        <v>46099</v>
      </c>
      <c r="E3" s="465">
        <f>'最高报价汇总 '!G2</f>
        <v>46092</v>
      </c>
      <c r="F3" s="465">
        <v>46085</v>
      </c>
      <c r="G3" s="465">
        <v>46078</v>
      </c>
      <c r="H3" s="465">
        <v>46071</v>
      </c>
      <c r="I3" s="465">
        <v>46057</v>
      </c>
      <c r="J3" s="465">
        <v>46050</v>
      </c>
      <c r="K3" s="465">
        <v>46043</v>
      </c>
      <c r="L3" s="465">
        <v>46036</v>
      </c>
      <c r="M3" s="465">
        <v>46029</v>
      </c>
      <c r="N3" s="465">
        <v>46022</v>
      </c>
      <c r="O3" s="465">
        <v>46015</v>
      </c>
      <c r="P3" s="465">
        <v>46008</v>
      </c>
      <c r="Q3" s="465">
        <v>46001</v>
      </c>
      <c r="R3" s="465">
        <v>45994</v>
      </c>
      <c r="S3" s="465">
        <v>45987</v>
      </c>
      <c r="T3" s="465">
        <v>45980</v>
      </c>
      <c r="U3" s="465">
        <v>45973</v>
      </c>
      <c r="V3" s="465">
        <v>45966</v>
      </c>
      <c r="W3" s="465">
        <v>45959</v>
      </c>
      <c r="X3" s="465">
        <v>45952</v>
      </c>
      <c r="Y3" s="465">
        <v>45945</v>
      </c>
      <c r="Z3" s="465">
        <v>45938</v>
      </c>
      <c r="AA3" s="465">
        <v>45931</v>
      </c>
      <c r="AB3" s="465">
        <v>45924</v>
      </c>
      <c r="AC3" s="465">
        <v>45917</v>
      </c>
      <c r="AD3" s="465">
        <v>45910</v>
      </c>
      <c r="AE3" s="465">
        <v>45903</v>
      </c>
      <c r="AF3" s="465">
        <v>45896</v>
      </c>
      <c r="AG3" s="465">
        <v>45889</v>
      </c>
      <c r="AH3" s="465">
        <v>45882</v>
      </c>
      <c r="AI3" s="465">
        <v>45875</v>
      </c>
      <c r="AJ3" s="465">
        <v>45868</v>
      </c>
      <c r="AK3" s="465">
        <v>45861</v>
      </c>
      <c r="AL3" s="466">
        <v>45854</v>
      </c>
      <c r="AM3" s="465">
        <v>45847</v>
      </c>
      <c r="AN3" s="465">
        <v>45840</v>
      </c>
      <c r="AO3" s="465">
        <v>45833</v>
      </c>
      <c r="AP3" s="465">
        <v>45826</v>
      </c>
      <c r="AQ3" s="465">
        <v>45819</v>
      </c>
      <c r="AR3" s="465">
        <v>45812</v>
      </c>
      <c r="AS3" s="465">
        <v>45805</v>
      </c>
      <c r="AT3" s="465">
        <v>45798</v>
      </c>
      <c r="AU3" s="465">
        <v>45792</v>
      </c>
      <c r="AV3" s="465">
        <v>38480</v>
      </c>
      <c r="AW3" s="465">
        <v>45777</v>
      </c>
      <c r="AX3" s="465">
        <v>45757</v>
      </c>
      <c r="AY3" s="465">
        <v>45750</v>
      </c>
      <c r="AZ3" s="465">
        <v>45742</v>
      </c>
      <c r="BA3" s="465">
        <v>45736</v>
      </c>
      <c r="BB3" s="465">
        <v>45729</v>
      </c>
      <c r="BC3" s="465">
        <v>45722</v>
      </c>
      <c r="BD3" s="465">
        <v>45715</v>
      </c>
      <c r="BE3" s="465">
        <v>45708</v>
      </c>
      <c r="BF3" s="465">
        <v>45701</v>
      </c>
      <c r="BG3" s="465">
        <f>'最高报价汇总 '!G2</f>
        <v>46092</v>
      </c>
      <c r="BH3" s="465">
        <v>45688</v>
      </c>
      <c r="BI3" s="465">
        <v>45681</v>
      </c>
      <c r="BJ3" s="465">
        <v>45673</v>
      </c>
      <c r="BK3" s="465">
        <v>45666</v>
      </c>
      <c r="BL3" s="465">
        <v>45659</v>
      </c>
      <c r="BM3" s="465">
        <v>45652</v>
      </c>
      <c r="BN3" s="465">
        <v>45645</v>
      </c>
      <c r="BO3" s="465">
        <v>45638</v>
      </c>
      <c r="BP3" s="465">
        <v>45631</v>
      </c>
      <c r="BQ3" s="465">
        <v>45625</v>
      </c>
      <c r="BR3" s="465">
        <v>45617</v>
      </c>
      <c r="BS3" s="465">
        <v>45610</v>
      </c>
      <c r="BT3" s="465">
        <v>45603</v>
      </c>
      <c r="BU3" s="465">
        <v>45595</v>
      </c>
      <c r="BV3" s="465">
        <v>45591</v>
      </c>
      <c r="BW3" s="465">
        <v>45582</v>
      </c>
      <c r="BX3" s="465">
        <v>45575</v>
      </c>
      <c r="BY3" s="465">
        <v>45568</v>
      </c>
      <c r="BZ3" s="465">
        <v>45561</v>
      </c>
      <c r="CA3" s="465">
        <v>45554</v>
      </c>
      <c r="CB3" s="465">
        <v>45547</v>
      </c>
      <c r="CC3" s="465">
        <v>45540</v>
      </c>
      <c r="CD3" s="465">
        <v>45533</v>
      </c>
      <c r="CE3" s="465">
        <v>45526</v>
      </c>
      <c r="CF3" s="465">
        <v>45517</v>
      </c>
      <c r="CG3" s="465">
        <v>45511</v>
      </c>
      <c r="CH3" s="465">
        <v>45505</v>
      </c>
      <c r="CI3" s="465">
        <v>45498</v>
      </c>
      <c r="CJ3" s="465">
        <v>45492</v>
      </c>
      <c r="CK3" s="465">
        <v>45484</v>
      </c>
      <c r="CL3" s="465">
        <v>45477</v>
      </c>
      <c r="CM3" s="465">
        <v>45470</v>
      </c>
      <c r="CN3" s="465">
        <v>45463</v>
      </c>
      <c r="CO3" s="465">
        <v>45456</v>
      </c>
      <c r="CP3" s="465">
        <v>45449</v>
      </c>
      <c r="CQ3" s="465">
        <v>45442</v>
      </c>
      <c r="CR3" s="465">
        <v>45435</v>
      </c>
      <c r="CS3" s="465">
        <v>45428</v>
      </c>
      <c r="CT3" s="465">
        <v>45421</v>
      </c>
      <c r="CU3" s="465">
        <v>45414</v>
      </c>
      <c r="CV3" s="465">
        <v>45407</v>
      </c>
      <c r="CW3" s="465">
        <v>45400</v>
      </c>
      <c r="CX3" s="465">
        <v>45393</v>
      </c>
      <c r="CY3" s="465">
        <v>45386</v>
      </c>
      <c r="CZ3" s="465">
        <v>45378</v>
      </c>
      <c r="DA3" s="465">
        <v>45372</v>
      </c>
      <c r="DB3" s="465">
        <v>45365</v>
      </c>
      <c r="DC3" s="465">
        <v>45358</v>
      </c>
      <c r="DD3" s="465">
        <v>45351</v>
      </c>
      <c r="DE3" s="465">
        <v>45343</v>
      </c>
      <c r="DF3" s="465">
        <v>45336</v>
      </c>
      <c r="DG3" s="465">
        <v>45329</v>
      </c>
      <c r="DH3" s="465">
        <v>45323</v>
      </c>
      <c r="DI3" s="465">
        <v>45316</v>
      </c>
      <c r="DJ3" s="465">
        <v>45309</v>
      </c>
      <c r="DK3" s="465">
        <v>45302</v>
      </c>
      <c r="DL3" s="465">
        <v>45295</v>
      </c>
      <c r="DM3" s="465">
        <v>45288</v>
      </c>
      <c r="DN3" s="465">
        <v>45281</v>
      </c>
      <c r="DO3" s="465">
        <v>45274</v>
      </c>
      <c r="DP3" s="465">
        <v>45267</v>
      </c>
      <c r="DQ3" s="465">
        <v>45260</v>
      </c>
      <c r="DR3" s="465">
        <v>45253</v>
      </c>
      <c r="DS3" s="465">
        <v>45246</v>
      </c>
      <c r="DT3" s="465">
        <v>45239</v>
      </c>
      <c r="DU3" s="465">
        <v>45232</v>
      </c>
      <c r="DV3" s="465">
        <v>45225</v>
      </c>
      <c r="DW3" s="465">
        <v>45218</v>
      </c>
      <c r="DX3" s="465">
        <v>45211</v>
      </c>
      <c r="DY3" s="465">
        <v>45197</v>
      </c>
      <c r="DZ3" s="465">
        <v>45190</v>
      </c>
      <c r="EA3" s="465">
        <v>45183</v>
      </c>
      <c r="EB3" s="465">
        <v>45176</v>
      </c>
      <c r="EC3" s="465">
        <v>45168</v>
      </c>
      <c r="ED3" s="465">
        <v>45162</v>
      </c>
      <c r="EE3" s="465">
        <v>45155</v>
      </c>
      <c r="EF3" s="465">
        <v>45148</v>
      </c>
      <c r="EG3" s="465">
        <v>45141</v>
      </c>
      <c r="EH3" s="465">
        <v>45134</v>
      </c>
      <c r="EI3" s="465">
        <v>44839</v>
      </c>
      <c r="EJ3" s="465">
        <v>44831</v>
      </c>
      <c r="EK3" s="465">
        <v>44826</v>
      </c>
      <c r="EL3" s="465">
        <v>44818</v>
      </c>
      <c r="EM3" s="465">
        <v>44811</v>
      </c>
      <c r="EN3" s="465">
        <v>45070</v>
      </c>
      <c r="EO3" s="465">
        <v>45063</v>
      </c>
      <c r="EP3" s="465">
        <v>45056</v>
      </c>
      <c r="EQ3" s="465">
        <v>45050</v>
      </c>
      <c r="ER3" s="465">
        <v>45042</v>
      </c>
      <c r="ES3" s="465">
        <v>45035</v>
      </c>
      <c r="ET3" s="465">
        <v>45028</v>
      </c>
      <c r="EU3" s="465">
        <v>45020</v>
      </c>
      <c r="EV3" s="465">
        <v>45014</v>
      </c>
      <c r="EW3" s="465">
        <v>45008</v>
      </c>
      <c r="EX3" s="465">
        <v>45002</v>
      </c>
      <c r="EY3" s="465">
        <v>45000</v>
      </c>
      <c r="EZ3" s="465">
        <v>44993</v>
      </c>
      <c r="FA3" s="465">
        <v>44986</v>
      </c>
      <c r="FB3" s="465">
        <v>44979</v>
      </c>
      <c r="FC3" s="465">
        <v>44972</v>
      </c>
      <c r="FD3" s="465">
        <v>44965</v>
      </c>
      <c r="FE3" s="465">
        <v>44958</v>
      </c>
      <c r="FF3" s="465">
        <v>44951</v>
      </c>
      <c r="FG3" s="465">
        <v>44944</v>
      </c>
      <c r="FH3" s="465">
        <v>44937</v>
      </c>
      <c r="FI3" s="465">
        <v>44930</v>
      </c>
      <c r="FJ3" s="465">
        <v>44923</v>
      </c>
      <c r="FK3" s="465">
        <v>44916</v>
      </c>
      <c r="FL3" s="465">
        <v>44910</v>
      </c>
      <c r="FM3" s="465">
        <v>44902</v>
      </c>
      <c r="FN3" s="465">
        <v>44896</v>
      </c>
      <c r="FO3" s="465">
        <v>44888</v>
      </c>
      <c r="FP3" s="465">
        <v>44881</v>
      </c>
      <c r="FQ3" s="465">
        <v>44874</v>
      </c>
      <c r="FR3" s="465">
        <v>44868</v>
      </c>
      <c r="FS3" s="465">
        <v>44860</v>
      </c>
      <c r="FT3" s="465">
        <v>44853</v>
      </c>
      <c r="FU3" s="465">
        <v>44846</v>
      </c>
      <c r="FV3" s="465">
        <v>45085</v>
      </c>
      <c r="FW3" s="465">
        <v>45076</v>
      </c>
      <c r="FX3" s="465">
        <v>45127</v>
      </c>
      <c r="FY3" s="465">
        <v>45120</v>
      </c>
      <c r="FZ3" s="465">
        <v>45113</v>
      </c>
      <c r="GA3" s="465">
        <v>45105</v>
      </c>
      <c r="GB3" s="465">
        <v>45099</v>
      </c>
      <c r="GC3" s="465">
        <v>45092</v>
      </c>
      <c r="GD3" s="465">
        <v>44803</v>
      </c>
      <c r="GE3" s="465">
        <v>44797</v>
      </c>
      <c r="GF3" s="465">
        <v>44790</v>
      </c>
      <c r="GG3" s="465">
        <v>44783</v>
      </c>
      <c r="GH3" s="465">
        <v>44776</v>
      </c>
      <c r="GI3" s="465">
        <v>44769</v>
      </c>
      <c r="GJ3" s="465">
        <v>44762</v>
      </c>
      <c r="GK3" s="465">
        <v>44755</v>
      </c>
      <c r="GL3" s="465">
        <v>44748</v>
      </c>
      <c r="GM3" s="465">
        <v>44741</v>
      </c>
      <c r="GN3" s="467">
        <v>44733</v>
      </c>
      <c r="GO3" s="467">
        <v>44727</v>
      </c>
      <c r="GP3" s="467">
        <v>44720</v>
      </c>
      <c r="GQ3" s="467">
        <v>44713</v>
      </c>
      <c r="GR3" s="467">
        <v>44706</v>
      </c>
      <c r="GS3" s="467">
        <v>44699</v>
      </c>
      <c r="GT3" s="467">
        <v>44690</v>
      </c>
      <c r="GU3" s="467">
        <v>44687</v>
      </c>
      <c r="GV3" s="467">
        <v>44685</v>
      </c>
      <c r="GW3" s="467">
        <v>44678</v>
      </c>
      <c r="GX3" s="467">
        <v>44670</v>
      </c>
      <c r="GY3" s="467">
        <v>44663</v>
      </c>
      <c r="GZ3" s="467">
        <v>44662</v>
      </c>
      <c r="HA3" s="467">
        <v>44659</v>
      </c>
      <c r="HB3" s="467">
        <v>44657</v>
      </c>
      <c r="HC3" s="467">
        <v>44656</v>
      </c>
      <c r="HD3" s="467">
        <v>44655</v>
      </c>
      <c r="HE3" s="467">
        <v>44652</v>
      </c>
      <c r="HF3" s="467">
        <v>44650</v>
      </c>
      <c r="HG3" s="467">
        <v>44649</v>
      </c>
      <c r="HH3" s="467">
        <v>44648</v>
      </c>
      <c r="HI3" s="467">
        <v>44645</v>
      </c>
      <c r="HJ3" s="467">
        <v>44644</v>
      </c>
      <c r="HK3" s="467">
        <v>44642</v>
      </c>
      <c r="HL3" s="467">
        <v>44641</v>
      </c>
      <c r="HM3" s="467">
        <v>44638</v>
      </c>
      <c r="HN3" s="467">
        <v>44637</v>
      </c>
      <c r="HO3" s="467">
        <v>44636</v>
      </c>
      <c r="HP3" s="468" t="s">
        <v>113</v>
      </c>
      <c r="HQ3" s="469" t="s">
        <v>223</v>
      </c>
    </row>
    <row r="4" spans="2:225">
      <c r="B4" s="1152" t="s">
        <v>50</v>
      </c>
      <c r="C4" s="729" t="s">
        <v>258</v>
      </c>
      <c r="D4" s="666">
        <v>2.0500000000000001E-2</v>
      </c>
      <c r="E4" s="666">
        <v>2.0500000000000001E-2</v>
      </c>
      <c r="F4" s="666">
        <v>2.0500000000000001E-2</v>
      </c>
      <c r="G4" s="664">
        <v>2.0500000000000001E-2</v>
      </c>
      <c r="H4" s="664">
        <v>2.0299999999999999E-2</v>
      </c>
      <c r="I4" s="666">
        <v>2.0500000000000001E-2</v>
      </c>
      <c r="J4" s="664">
        <v>2.0500000000000001E-2</v>
      </c>
      <c r="K4" s="664">
        <v>2.0400000000000001E-2</v>
      </c>
      <c r="L4" s="666">
        <v>2.1600000000000001E-2</v>
      </c>
      <c r="M4" s="664">
        <v>2.1600000000000001E-2</v>
      </c>
      <c r="N4" s="664">
        <v>2.2200000000000001E-2</v>
      </c>
      <c r="O4" s="664">
        <v>2.3699999999999999E-2</v>
      </c>
      <c r="P4" s="664">
        <v>2.2499999999999999E-2</v>
      </c>
      <c r="Q4" s="664">
        <v>2.29E-2</v>
      </c>
      <c r="R4" s="664">
        <v>2.35E-2</v>
      </c>
      <c r="S4" s="664">
        <v>2.41E-2</v>
      </c>
      <c r="T4" s="470">
        <v>2.4199999999999999E-2</v>
      </c>
      <c r="U4" s="470">
        <v>2.3900000000000001E-2</v>
      </c>
      <c r="V4" s="472">
        <v>2.41E-2</v>
      </c>
      <c r="W4" s="470">
        <v>2.41E-2</v>
      </c>
      <c r="X4" s="471">
        <v>2.58E-2</v>
      </c>
      <c r="Y4" s="471">
        <v>2.58E-2</v>
      </c>
      <c r="Z4" s="470">
        <v>2.58E-2</v>
      </c>
      <c r="AA4" s="470">
        <v>2.5899999999999999E-2</v>
      </c>
      <c r="AB4" s="470">
        <v>2.6499999999999999E-2</v>
      </c>
      <c r="AC4" s="470">
        <v>2.6199999999999998E-2</v>
      </c>
      <c r="AD4" s="470">
        <v>2.8299999999999999E-2</v>
      </c>
      <c r="AE4" s="471">
        <v>2.92E-2</v>
      </c>
      <c r="AF4" s="470">
        <v>2.92E-2</v>
      </c>
      <c r="AG4" s="471">
        <v>2.8799999999999999E-2</v>
      </c>
      <c r="AH4" s="471">
        <v>2.8799999999999999E-2</v>
      </c>
      <c r="AI4" s="471">
        <v>2.87E-2</v>
      </c>
      <c r="AJ4" s="470">
        <v>2.8799999999999999E-2</v>
      </c>
      <c r="AK4" s="471">
        <v>2.87E-2</v>
      </c>
      <c r="AL4" s="470">
        <v>2.87E-2</v>
      </c>
      <c r="AM4" s="471">
        <v>2.86E-2</v>
      </c>
      <c r="AN4" s="471">
        <v>2.86E-2</v>
      </c>
      <c r="AO4" s="470">
        <v>2.86E-2</v>
      </c>
      <c r="AP4" s="470">
        <v>2.8500000000000001E-2</v>
      </c>
      <c r="AQ4" s="470">
        <v>2.8200000000000003E-2</v>
      </c>
      <c r="AR4" s="470">
        <v>2.8400000000000002E-2</v>
      </c>
      <c r="AS4" s="471">
        <v>2.8500000000000001E-2</v>
      </c>
      <c r="AT4" s="471">
        <v>2.8500000000000001E-2</v>
      </c>
      <c r="AU4" s="471">
        <v>2.8500000000000001E-2</v>
      </c>
      <c r="AV4" s="470">
        <v>2.8500000000000001E-2</v>
      </c>
      <c r="AW4" s="472">
        <v>2.92E-2</v>
      </c>
      <c r="AX4" s="472">
        <v>2.86E-2</v>
      </c>
      <c r="AY4" s="472">
        <v>2.86E-2</v>
      </c>
      <c r="AZ4" s="472">
        <v>2.86E-2</v>
      </c>
      <c r="BA4" s="472">
        <v>2.86E-2</v>
      </c>
      <c r="BB4" s="472">
        <v>2.86E-2</v>
      </c>
      <c r="BC4" s="472">
        <v>2.86E-2</v>
      </c>
      <c r="BD4" s="472">
        <v>2.8299999999999999E-2</v>
      </c>
      <c r="BE4" s="472">
        <v>2.8299999999999999E-2</v>
      </c>
      <c r="BF4" s="472">
        <v>2.8299999999999999E-2</v>
      </c>
      <c r="BG4" s="472">
        <v>2.8299999999999999E-2</v>
      </c>
      <c r="BH4" s="472">
        <v>2.8299999999999999E-2</v>
      </c>
      <c r="BI4" s="472">
        <v>2.8299999999999999E-2</v>
      </c>
      <c r="BJ4" s="472">
        <v>2.8299999999999999E-2</v>
      </c>
      <c r="BK4" s="472">
        <v>2.8299999999999999E-2</v>
      </c>
      <c r="BL4" s="472">
        <v>2.8799999999999999E-2</v>
      </c>
      <c r="BM4" s="472">
        <v>2.8799999999999999E-2</v>
      </c>
      <c r="BN4" s="472">
        <v>2.8799999999999999E-2</v>
      </c>
      <c r="BO4" s="472">
        <v>3.0099999999999998E-2</v>
      </c>
      <c r="BP4" s="472">
        <v>3.1300000000000001E-2</v>
      </c>
      <c r="BQ4" s="472">
        <v>3.1300000000000001E-2</v>
      </c>
      <c r="BR4" s="472">
        <v>3.1300000000000001E-2</v>
      </c>
      <c r="BS4" s="472">
        <v>3.1300000000000001E-2</v>
      </c>
      <c r="BT4" s="472">
        <v>3.3799999999999997E-2</v>
      </c>
      <c r="BU4" s="472">
        <v>3.3799999999999997E-2</v>
      </c>
      <c r="BV4" s="472">
        <v>3.3799999999999997E-2</v>
      </c>
      <c r="BW4" s="472">
        <v>3.3799999999999997E-2</v>
      </c>
      <c r="BX4" s="472">
        <v>3.3799999999999997E-2</v>
      </c>
      <c r="BY4" s="472">
        <v>3.3799999999999997E-2</v>
      </c>
      <c r="BZ4" s="472">
        <v>3.3799999999999997E-2</v>
      </c>
      <c r="CA4" s="472">
        <v>3.4700000000000002E-2</v>
      </c>
      <c r="CB4" s="472">
        <v>3.8199999999999998E-2</v>
      </c>
      <c r="CC4" s="472">
        <v>3.8699999999999998E-2</v>
      </c>
      <c r="CD4" s="472">
        <v>3.8800000000000001E-2</v>
      </c>
      <c r="CE4" s="472">
        <v>3.8699999999999998E-2</v>
      </c>
      <c r="CF4" s="472">
        <v>3.8600000000000002E-2</v>
      </c>
      <c r="CG4" s="472">
        <v>3.85E-2</v>
      </c>
      <c r="CH4" s="472">
        <v>3.8699999999999998E-2</v>
      </c>
      <c r="CI4" s="472">
        <v>3.8699999999999998E-2</v>
      </c>
      <c r="CJ4" s="472">
        <v>3.8699999999999998E-2</v>
      </c>
      <c r="CK4" s="472">
        <v>3.85E-2</v>
      </c>
      <c r="CL4" s="472">
        <v>3.8600000000000002E-2</v>
      </c>
      <c r="CM4" s="472">
        <v>3.8699999999999998E-2</v>
      </c>
      <c r="CN4" s="472">
        <v>3.8600000000000002E-2</v>
      </c>
      <c r="CO4" s="472">
        <v>3.85E-2</v>
      </c>
      <c r="CP4" s="472">
        <v>3.85E-2</v>
      </c>
      <c r="CQ4" s="472">
        <v>3.85E-2</v>
      </c>
      <c r="CR4" s="472">
        <v>3.8399999999999997E-2</v>
      </c>
      <c r="CS4" s="472">
        <v>3.8399999999999997E-2</v>
      </c>
      <c r="CT4" s="472">
        <v>3.8399999999999997E-2</v>
      </c>
      <c r="CU4" s="472">
        <v>3.8399999999999997E-2</v>
      </c>
      <c r="CV4" s="472">
        <v>3.8399999999999997E-2</v>
      </c>
      <c r="CW4" s="472">
        <v>3.8399999999999997E-2</v>
      </c>
      <c r="CX4" s="472">
        <v>3.8399999999999997E-2</v>
      </c>
      <c r="CY4" s="472">
        <v>3.8399999999999997E-2</v>
      </c>
      <c r="CZ4" s="472">
        <v>3.8600000000000002E-2</v>
      </c>
      <c r="DA4" s="472">
        <v>3.85E-2</v>
      </c>
      <c r="DB4" s="472">
        <v>3.85E-2</v>
      </c>
      <c r="DC4" s="472">
        <v>3.8399999999999997E-2</v>
      </c>
      <c r="DD4" s="472">
        <v>3.8399999999999997E-2</v>
      </c>
      <c r="DE4" s="472">
        <v>3.8399999999999997E-2</v>
      </c>
      <c r="DF4" s="472">
        <v>3.8399999999999997E-2</v>
      </c>
      <c r="DG4" s="472">
        <v>3.8399999999999997E-2</v>
      </c>
      <c r="DH4" s="472">
        <v>3.85E-2</v>
      </c>
      <c r="DI4" s="472">
        <v>3.85E-2</v>
      </c>
      <c r="DJ4" s="472">
        <v>3.8600000000000002E-2</v>
      </c>
      <c r="DK4" s="472">
        <v>3.85E-2</v>
      </c>
      <c r="DL4" s="472">
        <v>3.8699999999999998E-2</v>
      </c>
      <c r="DM4" s="472">
        <v>3.8800000000000001E-2</v>
      </c>
      <c r="DN4" s="472">
        <v>3.8800000000000001E-2</v>
      </c>
      <c r="DO4" s="472">
        <v>3.8699999999999998E-2</v>
      </c>
      <c r="DP4" s="472">
        <v>3.8600000000000002E-2</v>
      </c>
      <c r="DQ4" s="472">
        <v>3.85E-2</v>
      </c>
      <c r="DR4" s="472">
        <v>3.85E-2</v>
      </c>
      <c r="DS4" s="472">
        <v>3.8399999999999997E-2</v>
      </c>
      <c r="DT4" s="472">
        <v>3.8399999999999997E-2</v>
      </c>
      <c r="DU4" s="472">
        <v>3.8399999999999997E-2</v>
      </c>
      <c r="DV4" s="472">
        <v>3.8399999999999997E-2</v>
      </c>
      <c r="DW4" s="472">
        <v>3.8399999999999997E-2</v>
      </c>
      <c r="DX4" s="472">
        <v>3.8399999999999997E-2</v>
      </c>
      <c r="DY4" s="472">
        <v>3.8399999999999997E-2</v>
      </c>
      <c r="DZ4" s="472">
        <v>3.8399999999999997E-2</v>
      </c>
      <c r="EA4" s="472">
        <v>3.8300000000000001E-2</v>
      </c>
      <c r="EB4" s="472">
        <v>3.8300000000000001E-2</v>
      </c>
      <c r="EC4" s="472">
        <v>3.8300000000000001E-2</v>
      </c>
      <c r="ED4" s="472">
        <v>3.8300000000000001E-2</v>
      </c>
      <c r="EE4" s="472">
        <v>3.8300000000000001E-2</v>
      </c>
      <c r="EF4" s="472">
        <v>3.8300000000000001E-2</v>
      </c>
      <c r="EG4" s="472">
        <v>3.8399999999999997E-2</v>
      </c>
      <c r="EH4" s="472">
        <v>3.8399999999999997E-2</v>
      </c>
      <c r="EI4" s="472">
        <v>1.523E-2</v>
      </c>
      <c r="EJ4" s="472">
        <v>1.52E-2</v>
      </c>
      <c r="EK4" s="472">
        <v>1.4500000000000001E-2</v>
      </c>
      <c r="EL4" s="472">
        <v>7.7000000000000002E-3</v>
      </c>
      <c r="EM4" s="472">
        <v>7.7000000000000002E-3</v>
      </c>
      <c r="EN4" s="472">
        <v>3.5900000000000001E-2</v>
      </c>
      <c r="EO4" s="472">
        <v>3.5799999999999998E-2</v>
      </c>
      <c r="EP4" s="472">
        <v>3.5799999999999998E-2</v>
      </c>
      <c r="EQ4" s="472">
        <v>3.56E-2</v>
      </c>
      <c r="ER4" s="472">
        <v>3.3599999999999998E-2</v>
      </c>
      <c r="ES4" s="472">
        <v>3.3300000000000003E-2</v>
      </c>
      <c r="ET4" s="472">
        <v>3.3399999999999999E-2</v>
      </c>
      <c r="EU4" s="472">
        <v>3.3300000000000003E-2</v>
      </c>
      <c r="EV4" s="472">
        <v>3.3300000000000003E-2</v>
      </c>
      <c r="EW4" s="472">
        <v>3.27E-2</v>
      </c>
      <c r="EX4" s="472">
        <v>3.0200000000000001E-2</v>
      </c>
      <c r="EY4" s="472">
        <v>3.0200000000000001E-2</v>
      </c>
      <c r="EZ4" s="472">
        <v>3.0200000000000001E-2</v>
      </c>
      <c r="FA4" s="472">
        <v>3.0200000000000001E-2</v>
      </c>
      <c r="FB4" s="472">
        <v>3.0200000000000001E-2</v>
      </c>
      <c r="FC4" s="472">
        <v>3.0200000000000001E-2</v>
      </c>
      <c r="FD4" s="472">
        <v>3.0200000000000001E-2</v>
      </c>
      <c r="FE4" s="472">
        <v>2.9499999999999998E-2</v>
      </c>
      <c r="FF4" s="472">
        <v>2.7699999999999999E-2</v>
      </c>
      <c r="FG4" s="472">
        <v>2.7699999999999999E-2</v>
      </c>
      <c r="FH4" s="472">
        <v>2.7699999999999999E-2</v>
      </c>
      <c r="FI4" s="472">
        <v>2.7699999999999999E-2</v>
      </c>
      <c r="FJ4" s="472">
        <v>2.7699999999999999E-2</v>
      </c>
      <c r="FK4" s="472">
        <v>2.7699999999999999E-2</v>
      </c>
      <c r="FL4" s="472">
        <v>2.7699999999999999E-2</v>
      </c>
      <c r="FM4" s="472">
        <v>2.2700000000000001E-2</v>
      </c>
      <c r="FN4" s="472">
        <v>2.2700000000000001E-2</v>
      </c>
      <c r="FO4" s="472">
        <v>2.2700000000000001E-2</v>
      </c>
      <c r="FP4" s="472">
        <v>2.2700000000000001E-2</v>
      </c>
      <c r="FQ4" s="472">
        <v>2.2700000000000001E-2</v>
      </c>
      <c r="FR4" s="472">
        <v>2.2700000000000001E-2</v>
      </c>
      <c r="FS4" s="472">
        <v>1.523E-2</v>
      </c>
      <c r="FT4" s="472">
        <v>1.523E-2</v>
      </c>
      <c r="FU4" s="472">
        <v>1.523E-2</v>
      </c>
      <c r="FV4" s="472">
        <v>3.5900000000000001E-2</v>
      </c>
      <c r="FW4" s="472">
        <v>3.5900000000000001E-2</v>
      </c>
      <c r="FX4" s="472">
        <v>3.5999999999999997E-2</v>
      </c>
      <c r="FY4" s="472">
        <v>3.5900000000000001E-2</v>
      </c>
      <c r="FZ4" s="472">
        <v>3.5900000000000001E-2</v>
      </c>
      <c r="GA4" s="472">
        <v>3.5999999999999997E-2</v>
      </c>
      <c r="GB4" s="472">
        <v>3.5999999999999997E-2</v>
      </c>
      <c r="GC4" s="472">
        <v>3.6200000000000003E-2</v>
      </c>
      <c r="GD4" s="472">
        <v>1.4500000000000001E-2</v>
      </c>
      <c r="GE4" s="472">
        <v>1.4500000000000001E-2</v>
      </c>
      <c r="GF4" s="472">
        <v>1.4500000000000001E-2</v>
      </c>
      <c r="GG4" s="472">
        <v>1.4500000000000001E-2</v>
      </c>
      <c r="GH4" s="472">
        <v>1.4500000000000001E-2</v>
      </c>
      <c r="GI4" s="472">
        <v>1.4500000000000001E-2</v>
      </c>
      <c r="GJ4" s="472">
        <v>1.4500000000000001E-2</v>
      </c>
      <c r="GK4" s="472">
        <v>1.4500000000000001E-2</v>
      </c>
      <c r="GL4" s="472">
        <v>1.4500000000000001E-2</v>
      </c>
      <c r="GM4" s="472">
        <v>1.4500000000000001E-2</v>
      </c>
      <c r="GN4" s="472">
        <v>1.4500000000000001E-2</v>
      </c>
      <c r="GO4" s="472">
        <v>1.4500000000000001E-2</v>
      </c>
      <c r="GP4" s="472">
        <v>1.4500000000000001E-2</v>
      </c>
      <c r="GQ4" s="472">
        <v>1.4500000000000001E-2</v>
      </c>
      <c r="GR4" s="472">
        <v>1.4500000000000001E-2</v>
      </c>
      <c r="GS4" s="472">
        <v>1.4500000000000001E-2</v>
      </c>
      <c r="GT4" s="472">
        <v>1.4500000000000001E-2</v>
      </c>
      <c r="GU4" s="472">
        <v>1.4500000000000001E-2</v>
      </c>
      <c r="GV4" s="472">
        <v>1.4500000000000001E-2</v>
      </c>
      <c r="GW4" s="472">
        <v>1.4500000000000001E-2</v>
      </c>
      <c r="GX4" s="472">
        <v>1.4500000000000001E-2</v>
      </c>
      <c r="GY4" s="472">
        <v>1.4500000000000001E-2</v>
      </c>
      <c r="GZ4" s="472">
        <v>1.4500000000000001E-2</v>
      </c>
      <c r="HA4" s="472">
        <v>1.4500000000000001E-2</v>
      </c>
      <c r="HB4" s="472">
        <v>1.4500000000000001E-2</v>
      </c>
      <c r="HC4" s="472">
        <v>1.4500000000000001E-2</v>
      </c>
      <c r="HD4" s="472">
        <v>1.4500000000000001E-2</v>
      </c>
      <c r="HE4" s="472">
        <v>1.4500000000000001E-2</v>
      </c>
      <c r="HF4" s="472">
        <v>1.4500000000000001E-2</v>
      </c>
      <c r="HG4" s="472">
        <v>1.4500000000000001E-2</v>
      </c>
      <c r="HH4" s="472">
        <v>1.4500000000000001E-2</v>
      </c>
      <c r="HI4" s="472">
        <v>1.4500000000000001E-2</v>
      </c>
      <c r="HJ4" s="472">
        <v>1.4500000000000001E-2</v>
      </c>
      <c r="HK4" s="472">
        <v>1.4500000000000001E-2</v>
      </c>
      <c r="HL4" s="472">
        <v>1.4500000000000001E-2</v>
      </c>
      <c r="HM4" s="472">
        <v>1.4500000000000001E-2</v>
      </c>
      <c r="HN4" s="472">
        <v>1.4500000000000001E-2</v>
      </c>
      <c r="HO4" s="472">
        <v>1.4500000000000001E-2</v>
      </c>
      <c r="HP4" s="473">
        <f t="shared" ref="HP4:HP25" si="0">D4-E4</f>
        <v>0</v>
      </c>
      <c r="HQ4" s="1145"/>
    </row>
    <row r="5" spans="2:225">
      <c r="B5" s="1152"/>
      <c r="C5" s="729" t="s">
        <v>255</v>
      </c>
      <c r="D5" s="666">
        <v>2.0500000000000001E-2</v>
      </c>
      <c r="E5" s="666">
        <v>2.0500000000000001E-2</v>
      </c>
      <c r="F5" s="666">
        <v>2.0500000000000001E-2</v>
      </c>
      <c r="G5" s="664">
        <v>2.0500000000000001E-2</v>
      </c>
      <c r="H5" s="664">
        <v>2.0299999999999999E-2</v>
      </c>
      <c r="I5" s="666">
        <v>2.0500000000000001E-2</v>
      </c>
      <c r="J5" s="664">
        <v>2.0500000000000001E-2</v>
      </c>
      <c r="K5" s="664">
        <v>2.0400000000000001E-2</v>
      </c>
      <c r="L5" s="666">
        <v>2.1600000000000001E-2</v>
      </c>
      <c r="M5" s="664">
        <v>2.1600000000000001E-2</v>
      </c>
      <c r="N5" s="664">
        <v>2.2200000000000001E-2</v>
      </c>
      <c r="O5" s="664">
        <v>2.3699999999999999E-2</v>
      </c>
      <c r="P5" s="664">
        <v>2.2499999999999999E-2</v>
      </c>
      <c r="Q5" s="664">
        <v>2.29E-2</v>
      </c>
      <c r="R5" s="664">
        <v>2.35E-2</v>
      </c>
      <c r="S5" s="664">
        <v>2.41E-2</v>
      </c>
      <c r="T5" s="470">
        <v>2.4199999999999999E-2</v>
      </c>
      <c r="U5" s="470">
        <v>2.3900000000000001E-2</v>
      </c>
      <c r="V5" s="472">
        <v>2.41E-2</v>
      </c>
      <c r="W5" s="470">
        <v>2.41E-2</v>
      </c>
      <c r="X5" s="471">
        <v>2.58E-2</v>
      </c>
      <c r="Y5" s="471">
        <v>2.58E-2</v>
      </c>
      <c r="Z5" s="470">
        <v>2.58E-2</v>
      </c>
      <c r="AA5" s="470">
        <v>2.5899999999999999E-2</v>
      </c>
      <c r="AB5" s="470">
        <v>2.6499999999999999E-2</v>
      </c>
      <c r="AC5" s="470">
        <v>2.6199999999999998E-2</v>
      </c>
      <c r="AD5" s="470">
        <v>2.8299999999999999E-2</v>
      </c>
      <c r="AE5" s="471">
        <v>2.92E-2</v>
      </c>
      <c r="AF5" s="470">
        <v>2.92E-2</v>
      </c>
      <c r="AG5" s="471">
        <v>2.8799999999999999E-2</v>
      </c>
      <c r="AH5" s="471">
        <v>2.8799999999999999E-2</v>
      </c>
      <c r="AI5" s="471">
        <v>2.87E-2</v>
      </c>
      <c r="AJ5" s="470">
        <v>2.8799999999999999E-2</v>
      </c>
      <c r="AK5" s="471">
        <v>2.87E-2</v>
      </c>
      <c r="AL5" s="470">
        <v>2.87E-2</v>
      </c>
      <c r="AM5" s="471">
        <v>2.86E-2</v>
      </c>
      <c r="AN5" s="471">
        <v>2.86E-2</v>
      </c>
      <c r="AO5" s="470">
        <v>2.86E-2</v>
      </c>
      <c r="AP5" s="470">
        <v>2.8500000000000001E-2</v>
      </c>
      <c r="AQ5" s="470">
        <v>2.8200000000000003E-2</v>
      </c>
      <c r="AR5" s="470">
        <f>AR4</f>
        <v>2.8400000000000002E-2</v>
      </c>
      <c r="AS5" s="471">
        <v>2.8500000000000001E-2</v>
      </c>
      <c r="AT5" s="471">
        <v>2.8500000000000001E-2</v>
      </c>
      <c r="AU5" s="471">
        <v>2.8500000000000001E-2</v>
      </c>
      <c r="AV5" s="470">
        <v>2.8500000000000001E-2</v>
      </c>
      <c r="AW5" s="472">
        <v>2.92E-2</v>
      </c>
      <c r="AX5" s="472">
        <v>2.86E-2</v>
      </c>
      <c r="AY5" s="472">
        <v>2.86E-2</v>
      </c>
      <c r="AZ5" s="472">
        <v>2.86E-2</v>
      </c>
      <c r="BA5" s="472">
        <v>2.86E-2</v>
      </c>
      <c r="BB5" s="472">
        <v>2.86E-2</v>
      </c>
      <c r="BC5" s="472">
        <v>2.86E-2</v>
      </c>
      <c r="BD5" s="472">
        <v>2.8299999999999999E-2</v>
      </c>
      <c r="BE5" s="472">
        <v>2.8299999999999999E-2</v>
      </c>
      <c r="BF5" s="472">
        <v>2.8299999999999999E-2</v>
      </c>
      <c r="BG5" s="472">
        <v>2.8299999999999999E-2</v>
      </c>
      <c r="BH5" s="472">
        <v>2.8299999999999999E-2</v>
      </c>
      <c r="BI5" s="472">
        <v>2.8299999999999999E-2</v>
      </c>
      <c r="BJ5" s="472">
        <v>2.8299999999999999E-2</v>
      </c>
      <c r="BK5" s="472">
        <v>2.8299999999999999E-2</v>
      </c>
      <c r="BL5" s="472">
        <v>2.8799999999999999E-2</v>
      </c>
      <c r="BM5" s="472">
        <v>2.8799999999999999E-2</v>
      </c>
      <c r="BN5" s="472">
        <v>2.8799999999999999E-2</v>
      </c>
      <c r="BO5" s="472">
        <v>3.0099999999999998E-2</v>
      </c>
      <c r="BP5" s="472">
        <v>3.1300000000000001E-2</v>
      </c>
      <c r="BQ5" s="472">
        <v>3.1300000000000001E-2</v>
      </c>
      <c r="BR5" s="472">
        <v>3.1300000000000001E-2</v>
      </c>
      <c r="BS5" s="472">
        <v>3.1300000000000001E-2</v>
      </c>
      <c r="BT5" s="472">
        <v>3.3799999999999997E-2</v>
      </c>
      <c r="BU5" s="472">
        <v>3.3799999999999997E-2</v>
      </c>
      <c r="BV5" s="472">
        <v>3.3799999999999997E-2</v>
      </c>
      <c r="BW5" s="472">
        <v>3.3799999999999997E-2</v>
      </c>
      <c r="BX5" s="472">
        <v>3.3799999999999997E-2</v>
      </c>
      <c r="BY5" s="472">
        <v>3.3799999999999997E-2</v>
      </c>
      <c r="BZ5" s="472">
        <v>3.3799999999999997E-2</v>
      </c>
      <c r="CA5" s="472">
        <v>3.4700000000000002E-2</v>
      </c>
      <c r="CB5" s="472">
        <v>3.8199999999999998E-2</v>
      </c>
      <c r="CC5" s="472">
        <v>3.8699999999999998E-2</v>
      </c>
      <c r="CD5" s="472">
        <v>3.8800000000000001E-2</v>
      </c>
      <c r="CE5" s="472">
        <v>3.8699999999999998E-2</v>
      </c>
      <c r="CF5" s="472">
        <v>3.8600000000000002E-2</v>
      </c>
      <c r="CG5" s="472">
        <v>3.85E-2</v>
      </c>
      <c r="CH5" s="472">
        <v>3.8699999999999998E-2</v>
      </c>
      <c r="CI5" s="472">
        <v>3.8699999999999998E-2</v>
      </c>
      <c r="CJ5" s="472">
        <v>3.8699999999999998E-2</v>
      </c>
      <c r="CK5" s="472">
        <v>3.85E-2</v>
      </c>
      <c r="CL5" s="472">
        <v>3.8600000000000002E-2</v>
      </c>
      <c r="CM5" s="472">
        <v>3.8699999999999998E-2</v>
      </c>
      <c r="CN5" s="472">
        <v>3.8600000000000002E-2</v>
      </c>
      <c r="CO5" s="472">
        <v>3.85E-2</v>
      </c>
      <c r="CP5" s="472">
        <v>3.85E-2</v>
      </c>
      <c r="CQ5" s="472">
        <v>3.85E-2</v>
      </c>
      <c r="CR5" s="472">
        <v>3.8399999999999997E-2</v>
      </c>
      <c r="CS5" s="472">
        <v>3.8399999999999997E-2</v>
      </c>
      <c r="CT5" s="472">
        <v>3.8399999999999997E-2</v>
      </c>
      <c r="CU5" s="472">
        <v>3.8399999999999997E-2</v>
      </c>
      <c r="CV5" s="472">
        <v>3.8399999999999997E-2</v>
      </c>
      <c r="CW5" s="472">
        <v>3.8399999999999997E-2</v>
      </c>
      <c r="CX5" s="472">
        <v>3.8399999999999997E-2</v>
      </c>
      <c r="CY5" s="472">
        <v>3.8399999999999997E-2</v>
      </c>
      <c r="CZ5" s="472">
        <v>3.8600000000000002E-2</v>
      </c>
      <c r="DA5" s="472">
        <v>3.85E-2</v>
      </c>
      <c r="DB5" s="472">
        <v>3.85E-2</v>
      </c>
      <c r="DC5" s="472">
        <v>3.8399999999999997E-2</v>
      </c>
      <c r="DD5" s="472">
        <v>3.8399999999999997E-2</v>
      </c>
      <c r="DE5" s="472">
        <v>3.8399999999999997E-2</v>
      </c>
      <c r="DF5" s="472">
        <v>3.8399999999999997E-2</v>
      </c>
      <c r="DG5" s="472">
        <v>3.8399999999999997E-2</v>
      </c>
      <c r="DH5" s="472">
        <v>3.85E-2</v>
      </c>
      <c r="DI5" s="472">
        <v>3.85E-2</v>
      </c>
      <c r="DJ5" s="472">
        <v>3.8600000000000002E-2</v>
      </c>
      <c r="DK5" s="472">
        <v>3.85E-2</v>
      </c>
      <c r="DL5" s="472">
        <v>3.8699999999999998E-2</v>
      </c>
      <c r="DM5" s="472">
        <v>3.8800000000000001E-2</v>
      </c>
      <c r="DN5" s="472">
        <v>3.8800000000000001E-2</v>
      </c>
      <c r="DO5" s="472">
        <v>3.8699999999999998E-2</v>
      </c>
      <c r="DP5" s="472">
        <v>3.8600000000000002E-2</v>
      </c>
      <c r="DQ5" s="472">
        <v>3.85E-2</v>
      </c>
      <c r="DR5" s="472">
        <v>3.85E-2</v>
      </c>
      <c r="DS5" s="472">
        <v>3.8399999999999997E-2</v>
      </c>
      <c r="DT5" s="472">
        <v>3.8399999999999997E-2</v>
      </c>
      <c r="DU5" s="472">
        <v>3.8399999999999997E-2</v>
      </c>
      <c r="DV5" s="472">
        <v>3.8399999999999997E-2</v>
      </c>
      <c r="DW5" s="472">
        <v>3.8399999999999997E-2</v>
      </c>
      <c r="DX5" s="472">
        <v>3.8399999999999997E-2</v>
      </c>
      <c r="DY5" s="472">
        <v>3.8399999999999997E-2</v>
      </c>
      <c r="DZ5" s="472">
        <v>3.8399999999999997E-2</v>
      </c>
      <c r="EA5" s="472">
        <v>3.8300000000000001E-2</v>
      </c>
      <c r="EB5" s="472">
        <v>3.8300000000000001E-2</v>
      </c>
      <c r="EC5" s="472">
        <v>3.8300000000000001E-2</v>
      </c>
      <c r="ED5" s="472">
        <v>3.8300000000000001E-2</v>
      </c>
      <c r="EE5" s="472">
        <v>3.8300000000000001E-2</v>
      </c>
      <c r="EF5" s="472">
        <v>3.8300000000000001E-2</v>
      </c>
      <c r="EG5" s="472">
        <v>3.8399999999999997E-2</v>
      </c>
      <c r="EH5" s="472">
        <v>3.8399999999999997E-2</v>
      </c>
      <c r="EI5" s="472">
        <v>1.52E-2</v>
      </c>
      <c r="EJ5" s="472">
        <v>1.52E-2</v>
      </c>
      <c r="EK5" s="472">
        <v>1.4500000000000001E-2</v>
      </c>
      <c r="EL5" s="472">
        <v>7.7000000000000002E-3</v>
      </c>
      <c r="EM5" s="472">
        <v>7.7000000000000002E-3</v>
      </c>
      <c r="EN5" s="472">
        <v>3.5900000000000001E-2</v>
      </c>
      <c r="EO5" s="472">
        <v>3.5799999999999998E-2</v>
      </c>
      <c r="EP5" s="472">
        <v>3.5799999999999998E-2</v>
      </c>
      <c r="EQ5" s="472">
        <v>3.56E-2</v>
      </c>
      <c r="ER5" s="472">
        <v>3.3599999999999998E-2</v>
      </c>
      <c r="ES5" s="472">
        <v>3.3300000000000003E-2</v>
      </c>
      <c r="ET5" s="472">
        <v>3.3399999999999999E-2</v>
      </c>
      <c r="EU5" s="472">
        <v>3.3300000000000003E-2</v>
      </c>
      <c r="EV5" s="472">
        <v>3.3300000000000003E-2</v>
      </c>
      <c r="EW5" s="472">
        <v>3.27E-2</v>
      </c>
      <c r="EX5" s="472">
        <v>3.0200000000000001E-2</v>
      </c>
      <c r="EY5" s="472">
        <v>3.0200000000000001E-2</v>
      </c>
      <c r="EZ5" s="472">
        <v>3.0200000000000001E-2</v>
      </c>
      <c r="FA5" s="472">
        <v>3.0200000000000001E-2</v>
      </c>
      <c r="FB5" s="472">
        <v>3.0200000000000001E-2</v>
      </c>
      <c r="FC5" s="472">
        <v>3.0200000000000001E-2</v>
      </c>
      <c r="FD5" s="472">
        <v>3.0200000000000001E-2</v>
      </c>
      <c r="FE5" s="472">
        <v>2.9499999999999998E-2</v>
      </c>
      <c r="FF5" s="472">
        <v>2.7699999999999999E-2</v>
      </c>
      <c r="FG5" s="472">
        <v>2.7699999999999999E-2</v>
      </c>
      <c r="FH5" s="472">
        <v>2.7699999999999999E-2</v>
      </c>
      <c r="FI5" s="472">
        <v>2.7699999999999999E-2</v>
      </c>
      <c r="FJ5" s="472">
        <v>2.7699999999999999E-2</v>
      </c>
      <c r="FK5" s="472">
        <v>2.7699999999999999E-2</v>
      </c>
      <c r="FL5" s="472">
        <v>2.7699999999999999E-2</v>
      </c>
      <c r="FM5" s="472">
        <v>2.2700000000000001E-2</v>
      </c>
      <c r="FN5" s="472">
        <v>2.2700000000000001E-2</v>
      </c>
      <c r="FO5" s="472">
        <v>2.2700000000000001E-2</v>
      </c>
      <c r="FP5" s="472">
        <v>2.2700000000000001E-2</v>
      </c>
      <c r="FQ5" s="472">
        <v>2.2700000000000001E-2</v>
      </c>
      <c r="FR5" s="472">
        <v>2.2700000000000001E-2</v>
      </c>
      <c r="FS5" s="472">
        <v>1.52E-2</v>
      </c>
      <c r="FT5" s="472">
        <v>1.52E-2</v>
      </c>
      <c r="FU5" s="472">
        <v>1.52E-2</v>
      </c>
      <c r="FV5" s="472">
        <v>3.5900000000000001E-2</v>
      </c>
      <c r="FW5" s="472">
        <v>3.5900000000000001E-2</v>
      </c>
      <c r="FX5" s="472">
        <v>3.5999999999999997E-2</v>
      </c>
      <c r="FY5" s="472">
        <v>3.5900000000000001E-2</v>
      </c>
      <c r="FZ5" s="472">
        <v>3.5900000000000001E-2</v>
      </c>
      <c r="GA5" s="472">
        <v>3.5999999999999997E-2</v>
      </c>
      <c r="GB5" s="472">
        <v>3.5999999999999997E-2</v>
      </c>
      <c r="GC5" s="472">
        <v>3.6200000000000003E-2</v>
      </c>
      <c r="GD5" s="472">
        <v>1.4500000000000001E-2</v>
      </c>
      <c r="GE5" s="472">
        <v>1.4500000000000001E-2</v>
      </c>
      <c r="GF5" s="472">
        <v>1.4500000000000001E-2</v>
      </c>
      <c r="GG5" s="472">
        <v>1.4500000000000001E-2</v>
      </c>
      <c r="GH5" s="472">
        <v>1.4500000000000001E-2</v>
      </c>
      <c r="GI5" s="472">
        <v>1.4500000000000001E-2</v>
      </c>
      <c r="GJ5" s="472">
        <v>1.4500000000000001E-2</v>
      </c>
      <c r="GK5" s="472">
        <v>1.4500000000000001E-2</v>
      </c>
      <c r="GL5" s="472">
        <v>1.4500000000000001E-2</v>
      </c>
      <c r="GM5" s="472">
        <v>1.4500000000000001E-2</v>
      </c>
      <c r="GN5" s="472">
        <v>1.4500000000000001E-2</v>
      </c>
      <c r="GO5" s="472">
        <v>1.4500000000000001E-2</v>
      </c>
      <c r="GP5" s="472">
        <v>1.4500000000000001E-2</v>
      </c>
      <c r="GQ5" s="472">
        <v>1.4500000000000001E-2</v>
      </c>
      <c r="GR5" s="472">
        <v>1.4500000000000001E-2</v>
      </c>
      <c r="GS5" s="472">
        <v>1.4500000000000001E-2</v>
      </c>
      <c r="GT5" s="472">
        <v>1.4500000000000001E-2</v>
      </c>
      <c r="GU5" s="472">
        <v>1.4500000000000001E-2</v>
      </c>
      <c r="GV5" s="472">
        <v>1.4500000000000001E-2</v>
      </c>
      <c r="GW5" s="472">
        <v>1.4500000000000001E-2</v>
      </c>
      <c r="GX5" s="472">
        <v>1.4500000000000001E-2</v>
      </c>
      <c r="GY5" s="472">
        <v>1.4500000000000001E-2</v>
      </c>
      <c r="GZ5" s="472">
        <v>1.4500000000000001E-2</v>
      </c>
      <c r="HA5" s="472">
        <v>1.4500000000000001E-2</v>
      </c>
      <c r="HB5" s="472">
        <v>1.4500000000000001E-2</v>
      </c>
      <c r="HC5" s="472">
        <v>1.4500000000000001E-2</v>
      </c>
      <c r="HD5" s="472">
        <v>1.4500000000000001E-2</v>
      </c>
      <c r="HE5" s="472">
        <v>1.4500000000000001E-2</v>
      </c>
      <c r="HF5" s="472">
        <v>1.4500000000000001E-2</v>
      </c>
      <c r="HG5" s="472">
        <v>1.4500000000000001E-2</v>
      </c>
      <c r="HH5" s="472">
        <v>1.4500000000000001E-2</v>
      </c>
      <c r="HI5" s="472">
        <v>1.4500000000000001E-2</v>
      </c>
      <c r="HJ5" s="472">
        <v>1.4500000000000001E-2</v>
      </c>
      <c r="HK5" s="472">
        <v>1.4500000000000001E-2</v>
      </c>
      <c r="HL5" s="472">
        <v>1.4500000000000001E-2</v>
      </c>
      <c r="HM5" s="472">
        <v>1.4500000000000001E-2</v>
      </c>
      <c r="HN5" s="472">
        <v>1.4500000000000001E-2</v>
      </c>
      <c r="HO5" s="472">
        <v>1.4500000000000001E-2</v>
      </c>
      <c r="HP5" s="473">
        <f t="shared" si="0"/>
        <v>0</v>
      </c>
      <c r="HQ5" s="1146"/>
    </row>
    <row r="6" spans="2:225">
      <c r="B6" s="1152"/>
      <c r="C6" s="729" t="s">
        <v>254</v>
      </c>
      <c r="D6" s="666">
        <v>2.5499999999999998E-2</v>
      </c>
      <c r="E6" s="666">
        <v>2.5499999999999998E-2</v>
      </c>
      <c r="F6" s="666">
        <v>2.5499999999999998E-2</v>
      </c>
      <c r="G6" s="664">
        <v>2.5499999999999998E-2</v>
      </c>
      <c r="H6" s="664">
        <v>2.53E-2</v>
      </c>
      <c r="I6" s="666">
        <v>2.5499999999999998E-2</v>
      </c>
      <c r="J6" s="664">
        <v>2.5499999999999998E-2</v>
      </c>
      <c r="K6" s="664">
        <v>2.5399999999999999E-2</v>
      </c>
      <c r="L6" s="666">
        <v>2.6599999999999999E-2</v>
      </c>
      <c r="M6" s="664">
        <v>2.6599999999999999E-2</v>
      </c>
      <c r="N6" s="664">
        <v>2.7199999999999998E-2</v>
      </c>
      <c r="O6" s="664">
        <v>2.87E-2</v>
      </c>
      <c r="P6" s="664">
        <v>2.75E-2</v>
      </c>
      <c r="Q6" s="664">
        <v>2.7900000000000001E-2</v>
      </c>
      <c r="R6" s="664">
        <v>2.8500000000000001E-2</v>
      </c>
      <c r="S6" s="664">
        <v>2.9100000000000001E-2</v>
      </c>
      <c r="T6" s="470">
        <v>2.92E-2</v>
      </c>
      <c r="U6" s="470">
        <v>2.8899999999999999E-2</v>
      </c>
      <c r="V6" s="472">
        <v>2.9100000000000001E-2</v>
      </c>
      <c r="W6" s="470">
        <v>2.9100000000000001E-2</v>
      </c>
      <c r="X6" s="471">
        <v>3.0800000000000001E-2</v>
      </c>
      <c r="Y6" s="471">
        <v>3.0800000000000001E-2</v>
      </c>
      <c r="Z6" s="470">
        <v>3.0800000000000001E-2</v>
      </c>
      <c r="AA6" s="470">
        <v>3.09E-2</v>
      </c>
      <c r="AB6" s="470">
        <v>3.15E-2</v>
      </c>
      <c r="AC6" s="470">
        <v>3.1200000000000002E-2</v>
      </c>
      <c r="AD6" s="470">
        <v>3.3300000000000003E-2</v>
      </c>
      <c r="AE6" s="471">
        <v>3.4200000000000001E-2</v>
      </c>
      <c r="AF6" s="470">
        <v>3.4200000000000001E-2</v>
      </c>
      <c r="AG6" s="471">
        <v>3.3799999999999997E-2</v>
      </c>
      <c r="AH6" s="471">
        <v>3.3799999999999997E-2</v>
      </c>
      <c r="AI6" s="471">
        <v>3.3699999999999994E-2</v>
      </c>
      <c r="AJ6" s="470">
        <v>3.3799999999999997E-2</v>
      </c>
      <c r="AK6" s="471">
        <v>3.3700000000000001E-2</v>
      </c>
      <c r="AL6" s="470">
        <v>3.3700000000000001E-2</v>
      </c>
      <c r="AM6" s="471">
        <v>3.3599999999999998E-2</v>
      </c>
      <c r="AN6" s="471">
        <v>3.3599999999999998E-2</v>
      </c>
      <c r="AO6" s="470">
        <v>3.3599999999999998E-2</v>
      </c>
      <c r="AP6" s="470">
        <v>3.3500000000000002E-2</v>
      </c>
      <c r="AQ6" s="470">
        <v>3.32E-2</v>
      </c>
      <c r="AR6" s="470">
        <v>3.3399999999999999E-2</v>
      </c>
      <c r="AS6" s="471">
        <v>3.3500000000000002E-2</v>
      </c>
      <c r="AT6" s="471">
        <v>3.3500000000000002E-2</v>
      </c>
      <c r="AU6" s="471">
        <v>3.3500000000000002E-2</v>
      </c>
      <c r="AV6" s="470">
        <v>3.3500000000000002E-2</v>
      </c>
      <c r="AW6" s="472">
        <v>3.4200000000000001E-2</v>
      </c>
      <c r="AX6" s="472">
        <v>3.3599999999999998E-2</v>
      </c>
      <c r="AY6" s="472">
        <v>3.3599999999999998E-2</v>
      </c>
      <c r="AZ6" s="472">
        <v>3.3599999999999998E-2</v>
      </c>
      <c r="BA6" s="472">
        <v>3.3599999999999998E-2</v>
      </c>
      <c r="BB6" s="472">
        <v>3.3599999999999998E-2</v>
      </c>
      <c r="BC6" s="472">
        <v>3.3599999999999998E-2</v>
      </c>
      <c r="BD6" s="472">
        <v>3.3300000000000003E-2</v>
      </c>
      <c r="BE6" s="472">
        <v>3.3300000000000003E-2</v>
      </c>
      <c r="BF6" s="472">
        <v>3.3300000000000003E-2</v>
      </c>
      <c r="BG6" s="472">
        <v>3.3300000000000003E-2</v>
      </c>
      <c r="BH6" s="472">
        <v>3.3300000000000003E-2</v>
      </c>
      <c r="BI6" s="472">
        <v>3.3300000000000003E-2</v>
      </c>
      <c r="BJ6" s="472">
        <v>3.3300000000000003E-2</v>
      </c>
      <c r="BK6" s="472">
        <v>3.3300000000000003E-2</v>
      </c>
      <c r="BL6" s="472">
        <v>3.3799999999999997E-2</v>
      </c>
      <c r="BM6" s="472">
        <v>3.3799999999999997E-2</v>
      </c>
      <c r="BN6" s="472">
        <v>3.3799999999999997E-2</v>
      </c>
      <c r="BO6" s="472">
        <v>3.5099999999999999E-2</v>
      </c>
      <c r="BP6" s="472">
        <v>3.6299999999999999E-2</v>
      </c>
      <c r="BQ6" s="472">
        <v>3.6299999999999999E-2</v>
      </c>
      <c r="BR6" s="472">
        <v>3.6299999999999999E-2</v>
      </c>
      <c r="BS6" s="472">
        <v>3.6299999999999999E-2</v>
      </c>
      <c r="BT6" s="472">
        <v>3.8800000000000001E-2</v>
      </c>
      <c r="BU6" s="472">
        <v>3.8800000000000001E-2</v>
      </c>
      <c r="BV6" s="472">
        <v>3.8800000000000001E-2</v>
      </c>
      <c r="BW6" s="472">
        <v>3.8800000000000001E-2</v>
      </c>
      <c r="BX6" s="472">
        <v>3.8800000000000001E-2</v>
      </c>
      <c r="BY6" s="472">
        <v>3.8800000000000001E-2</v>
      </c>
      <c r="BZ6" s="472">
        <v>3.8800000000000001E-2</v>
      </c>
      <c r="CA6" s="472">
        <v>3.9699999999999999E-2</v>
      </c>
      <c r="CB6" s="472">
        <v>4.3200000000000002E-2</v>
      </c>
      <c r="CC6" s="472">
        <v>4.3700000000000003E-2</v>
      </c>
      <c r="CD6" s="472">
        <v>4.3799999999999999E-2</v>
      </c>
      <c r="CE6" s="472">
        <v>4.3700000000000003E-2</v>
      </c>
      <c r="CF6" s="472">
        <v>4.36E-2</v>
      </c>
      <c r="CG6" s="472">
        <v>4.3499999999999997E-2</v>
      </c>
      <c r="CH6" s="472">
        <v>4.3700000000000003E-2</v>
      </c>
      <c r="CI6" s="472">
        <v>4.3700000000000003E-2</v>
      </c>
      <c r="CJ6" s="472">
        <v>4.3700000000000003E-2</v>
      </c>
      <c r="CK6" s="472">
        <v>4.3499999999999997E-2</v>
      </c>
      <c r="CL6" s="472">
        <v>4.36E-2</v>
      </c>
      <c r="CM6" s="472">
        <v>4.3700000000000003E-2</v>
      </c>
      <c r="CN6" s="472">
        <v>4.36E-2</v>
      </c>
      <c r="CO6" s="472">
        <v>4.3499999999999997E-2</v>
      </c>
      <c r="CP6" s="472">
        <v>4.3499999999999997E-2</v>
      </c>
      <c r="CQ6" s="472">
        <v>4.3499999999999997E-2</v>
      </c>
      <c r="CR6" s="472">
        <v>4.3400000000000001E-2</v>
      </c>
      <c r="CS6" s="472">
        <v>4.3400000000000001E-2</v>
      </c>
      <c r="CT6" s="472">
        <v>4.3400000000000001E-2</v>
      </c>
      <c r="CU6" s="472">
        <v>4.3400000000000001E-2</v>
      </c>
      <c r="CV6" s="472">
        <v>4.3400000000000001E-2</v>
      </c>
      <c r="CW6" s="472">
        <v>4.3400000000000001E-2</v>
      </c>
      <c r="CX6" s="472">
        <v>4.3400000000000001E-2</v>
      </c>
      <c r="CY6" s="472">
        <v>4.3400000000000001E-2</v>
      </c>
      <c r="CZ6" s="472">
        <v>4.36E-2</v>
      </c>
      <c r="DA6" s="472">
        <v>4.3499999999999997E-2</v>
      </c>
      <c r="DB6" s="472">
        <v>4.3499999999999997E-2</v>
      </c>
      <c r="DC6" s="472">
        <v>4.3400000000000001E-2</v>
      </c>
      <c r="DD6" s="472">
        <v>4.3400000000000001E-2</v>
      </c>
      <c r="DE6" s="472">
        <v>4.3400000000000001E-2</v>
      </c>
      <c r="DF6" s="472">
        <v>4.3400000000000001E-2</v>
      </c>
      <c r="DG6" s="472">
        <v>4.3400000000000001E-2</v>
      </c>
      <c r="DH6" s="472">
        <v>4.3499999999999997E-2</v>
      </c>
      <c r="DI6" s="472">
        <v>4.3499999999999997E-2</v>
      </c>
      <c r="DJ6" s="472">
        <v>4.36E-2</v>
      </c>
      <c r="DK6" s="472">
        <v>4.3499999999999997E-2</v>
      </c>
      <c r="DL6" s="472">
        <v>4.3700000000000003E-2</v>
      </c>
      <c r="DM6" s="472">
        <v>4.3799999999999999E-2</v>
      </c>
      <c r="DN6" s="472">
        <v>4.3799999999999999E-2</v>
      </c>
      <c r="DO6" s="472">
        <v>4.3700000000000003E-2</v>
      </c>
      <c r="DP6" s="472">
        <v>4.36E-2</v>
      </c>
      <c r="DQ6" s="472">
        <v>4.3499999999999997E-2</v>
      </c>
      <c r="DR6" s="472">
        <v>4.3499999999999997E-2</v>
      </c>
      <c r="DS6" s="472">
        <v>4.3400000000000001E-2</v>
      </c>
      <c r="DT6" s="472">
        <v>4.3400000000000001E-2</v>
      </c>
      <c r="DU6" s="472">
        <v>4.3400000000000001E-2</v>
      </c>
      <c r="DV6" s="472">
        <v>4.3400000000000001E-2</v>
      </c>
      <c r="DW6" s="472">
        <v>4.3400000000000001E-2</v>
      </c>
      <c r="DX6" s="472">
        <v>4.3400000000000001E-2</v>
      </c>
      <c r="DY6" s="472">
        <v>4.3400000000000001E-2</v>
      </c>
      <c r="DZ6" s="472">
        <v>4.3400000000000001E-2</v>
      </c>
      <c r="EA6" s="472">
        <v>4.3299999999999998E-2</v>
      </c>
      <c r="EB6" s="472">
        <v>4.3299999999999998E-2</v>
      </c>
      <c r="EC6" s="472">
        <v>4.3299999999999998E-2</v>
      </c>
      <c r="ED6" s="472">
        <v>4.3299999999999998E-2</v>
      </c>
      <c r="EE6" s="472">
        <v>4.3299999999999998E-2</v>
      </c>
      <c r="EF6" s="472">
        <v>4.3299999999999998E-2</v>
      </c>
      <c r="EG6" s="472">
        <v>4.3400000000000001E-2</v>
      </c>
      <c r="EH6" s="472">
        <v>4.3400000000000001E-2</v>
      </c>
      <c r="EI6" s="472">
        <v>2.0199999999999999E-2</v>
      </c>
      <c r="EJ6" s="472">
        <v>2.0199999999999999E-2</v>
      </c>
      <c r="EK6" s="472">
        <v>1.95E-2</v>
      </c>
      <c r="EL6" s="472">
        <v>1.2699999999999999E-2</v>
      </c>
      <c r="EM6" s="472">
        <v>1.2699999999999999E-2</v>
      </c>
      <c r="EN6" s="472">
        <v>4.0899999999999999E-2</v>
      </c>
      <c r="EO6" s="472">
        <v>4.0800000000000003E-2</v>
      </c>
      <c r="EP6" s="472">
        <v>4.0800000000000003E-2</v>
      </c>
      <c r="EQ6" s="472">
        <v>4.0599999999999997E-2</v>
      </c>
      <c r="ER6" s="472">
        <v>3.8600000000000002E-2</v>
      </c>
      <c r="ES6" s="472">
        <v>3.8300000000000001E-2</v>
      </c>
      <c r="ET6" s="472">
        <v>3.8399999999999997E-2</v>
      </c>
      <c r="EU6" s="472">
        <v>3.8300000000000001E-2</v>
      </c>
      <c r="EV6" s="472">
        <v>3.8300000000000001E-2</v>
      </c>
      <c r="EW6" s="472">
        <v>3.7699999999999997E-2</v>
      </c>
      <c r="EX6" s="472">
        <v>3.5200000000000002E-2</v>
      </c>
      <c r="EY6" s="472">
        <v>3.5200000000000002E-2</v>
      </c>
      <c r="EZ6" s="472">
        <v>3.5200000000000002E-2</v>
      </c>
      <c r="FA6" s="472">
        <v>3.5200000000000002E-2</v>
      </c>
      <c r="FB6" s="472">
        <v>3.5200000000000002E-2</v>
      </c>
      <c r="FC6" s="472">
        <v>3.5200000000000002E-2</v>
      </c>
      <c r="FD6" s="472">
        <v>3.5200000000000002E-2</v>
      </c>
      <c r="FE6" s="472">
        <v>3.4500000000000003E-2</v>
      </c>
      <c r="FF6" s="472">
        <v>3.27E-2</v>
      </c>
      <c r="FG6" s="472">
        <v>3.27E-2</v>
      </c>
      <c r="FH6" s="472">
        <v>3.27E-2</v>
      </c>
      <c r="FI6" s="472">
        <v>3.27E-2</v>
      </c>
      <c r="FJ6" s="472">
        <v>3.27E-2</v>
      </c>
      <c r="FK6" s="472">
        <v>3.27E-2</v>
      </c>
      <c r="FL6" s="472">
        <v>3.27E-2</v>
      </c>
      <c r="FM6" s="472">
        <v>2.7699999999999999E-2</v>
      </c>
      <c r="FN6" s="472">
        <v>2.7699999999999999E-2</v>
      </c>
      <c r="FO6" s="472">
        <v>2.7699999999999999E-2</v>
      </c>
      <c r="FP6" s="472">
        <v>2.7699999999999999E-2</v>
      </c>
      <c r="FQ6" s="472">
        <v>2.7699999999999999E-2</v>
      </c>
      <c r="FR6" s="472">
        <v>2.7699999999999999E-2</v>
      </c>
      <c r="FS6" s="472">
        <v>2.0199999999999999E-2</v>
      </c>
      <c r="FT6" s="472">
        <v>2.0199999999999999E-2</v>
      </c>
      <c r="FU6" s="472">
        <v>2.0199999999999999E-2</v>
      </c>
      <c r="FV6" s="472">
        <v>4.0899999999999999E-2</v>
      </c>
      <c r="FW6" s="472">
        <v>4.0899999999999999E-2</v>
      </c>
      <c r="FX6" s="472">
        <v>4.1000000000000002E-2</v>
      </c>
      <c r="FY6" s="472">
        <v>4.0899999999999999E-2</v>
      </c>
      <c r="FZ6" s="472">
        <v>4.0899999999999999E-2</v>
      </c>
      <c r="GA6" s="472">
        <v>4.1000000000000002E-2</v>
      </c>
      <c r="GB6" s="472">
        <v>4.1000000000000002E-2</v>
      </c>
      <c r="GC6" s="472">
        <v>4.1200000000000001E-2</v>
      </c>
      <c r="GD6" s="472">
        <v>1.95E-2</v>
      </c>
      <c r="GE6" s="472">
        <v>1.95E-2</v>
      </c>
      <c r="GF6" s="472">
        <v>1.95E-2</v>
      </c>
      <c r="GG6" s="472">
        <v>1.95E-2</v>
      </c>
      <c r="GH6" s="472">
        <v>1.95E-2</v>
      </c>
      <c r="GI6" s="472">
        <v>1.95E-2</v>
      </c>
      <c r="GJ6" s="472">
        <v>1.95E-2</v>
      </c>
      <c r="GK6" s="472">
        <v>1.95E-2</v>
      </c>
      <c r="GL6" s="472">
        <v>1.95E-2</v>
      </c>
      <c r="GM6" s="472">
        <v>1.95E-2</v>
      </c>
      <c r="GN6" s="472">
        <v>1.95E-2</v>
      </c>
      <c r="GO6" s="472">
        <v>1.95E-2</v>
      </c>
      <c r="GP6" s="472">
        <v>1.95E-2</v>
      </c>
      <c r="GQ6" s="472">
        <v>1.95E-2</v>
      </c>
      <c r="GR6" s="472">
        <v>1.95E-2</v>
      </c>
      <c r="GS6" s="472">
        <v>1.95E-2</v>
      </c>
      <c r="GT6" s="472">
        <v>1.95E-2</v>
      </c>
      <c r="GU6" s="472">
        <v>1.95E-2</v>
      </c>
      <c r="GV6" s="472">
        <v>1.95E-2</v>
      </c>
      <c r="GW6" s="472">
        <v>1.95E-2</v>
      </c>
      <c r="GX6" s="472">
        <v>1.95E-2</v>
      </c>
      <c r="GY6" s="472">
        <v>1.95E-2</v>
      </c>
      <c r="GZ6" s="472">
        <v>1.95E-2</v>
      </c>
      <c r="HA6" s="472">
        <v>1.95E-2</v>
      </c>
      <c r="HB6" s="472">
        <v>1.95E-2</v>
      </c>
      <c r="HC6" s="472">
        <v>1.95E-2</v>
      </c>
      <c r="HD6" s="472">
        <v>1.95E-2</v>
      </c>
      <c r="HE6" s="472">
        <v>1.95E-2</v>
      </c>
      <c r="HF6" s="472">
        <v>1.95E-2</v>
      </c>
      <c r="HG6" s="472">
        <v>1.95E-2</v>
      </c>
      <c r="HH6" s="472">
        <v>1.95E-2</v>
      </c>
      <c r="HI6" s="472">
        <v>1.95E-2</v>
      </c>
      <c r="HJ6" s="472">
        <v>1.95E-2</v>
      </c>
      <c r="HK6" s="472">
        <v>1.95E-2</v>
      </c>
      <c r="HL6" s="472">
        <v>1.95E-2</v>
      </c>
      <c r="HM6" s="472">
        <v>1.95E-2</v>
      </c>
      <c r="HN6" s="472">
        <v>1.95E-2</v>
      </c>
      <c r="HO6" s="472">
        <v>1.95E-2</v>
      </c>
      <c r="HP6" s="473">
        <f t="shared" si="0"/>
        <v>0</v>
      </c>
      <c r="HQ6" s="1146"/>
    </row>
    <row r="7" spans="2:225">
      <c r="B7" s="1152"/>
      <c r="C7" s="729" t="s">
        <v>253</v>
      </c>
      <c r="D7" s="666">
        <v>2.5499999999999998E-2</v>
      </c>
      <c r="E7" s="666">
        <v>2.5499999999999998E-2</v>
      </c>
      <c r="F7" s="666">
        <v>2.5499999999999998E-2</v>
      </c>
      <c r="G7" s="664">
        <v>2.5499999999999998E-2</v>
      </c>
      <c r="H7" s="664">
        <v>2.53E-2</v>
      </c>
      <c r="I7" s="666">
        <v>2.5499999999999998E-2</v>
      </c>
      <c r="J7" s="664">
        <v>2.5499999999999998E-2</v>
      </c>
      <c r="K7" s="664">
        <v>2.5399999999999999E-2</v>
      </c>
      <c r="L7" s="666">
        <v>2.6599999999999999E-2</v>
      </c>
      <c r="M7" s="664">
        <v>2.6599999999999999E-2</v>
      </c>
      <c r="N7" s="664">
        <v>2.7199999999999998E-2</v>
      </c>
      <c r="O7" s="664">
        <v>2.87E-2</v>
      </c>
      <c r="P7" s="664">
        <v>2.75E-2</v>
      </c>
      <c r="Q7" s="664">
        <v>2.7900000000000001E-2</v>
      </c>
      <c r="R7" s="664">
        <v>2.8500000000000001E-2</v>
      </c>
      <c r="S7" s="664">
        <v>2.9100000000000001E-2</v>
      </c>
      <c r="T7" s="470">
        <v>2.92E-2</v>
      </c>
      <c r="U7" s="470">
        <v>2.8899999999999999E-2</v>
      </c>
      <c r="V7" s="472">
        <v>2.9100000000000001E-2</v>
      </c>
      <c r="W7" s="470">
        <v>2.9100000000000001E-2</v>
      </c>
      <c r="X7" s="471">
        <v>3.0800000000000001E-2</v>
      </c>
      <c r="Y7" s="471">
        <v>3.0800000000000001E-2</v>
      </c>
      <c r="Z7" s="470">
        <v>3.0800000000000001E-2</v>
      </c>
      <c r="AA7" s="470">
        <v>3.09E-2</v>
      </c>
      <c r="AB7" s="470">
        <v>3.15E-2</v>
      </c>
      <c r="AC7" s="470">
        <v>3.1200000000000002E-2</v>
      </c>
      <c r="AD7" s="470">
        <v>3.3300000000000003E-2</v>
      </c>
      <c r="AE7" s="471">
        <v>3.4200000000000001E-2</v>
      </c>
      <c r="AF7" s="470">
        <v>3.4200000000000001E-2</v>
      </c>
      <c r="AG7" s="471">
        <v>3.3799999999999997E-2</v>
      </c>
      <c r="AH7" s="471">
        <v>3.3799999999999997E-2</v>
      </c>
      <c r="AI7" s="471">
        <v>3.3699999999999994E-2</v>
      </c>
      <c r="AJ7" s="470">
        <v>3.3799999999999997E-2</v>
      </c>
      <c r="AK7" s="471">
        <v>3.3700000000000001E-2</v>
      </c>
      <c r="AL7" s="470">
        <v>3.3700000000000001E-2</v>
      </c>
      <c r="AM7" s="471">
        <v>3.3599999999999998E-2</v>
      </c>
      <c r="AN7" s="471">
        <v>3.3599999999999998E-2</v>
      </c>
      <c r="AO7" s="470">
        <v>3.3599999999999998E-2</v>
      </c>
      <c r="AP7" s="470">
        <v>3.3500000000000002E-2</v>
      </c>
      <c r="AQ7" s="470">
        <v>3.32E-2</v>
      </c>
      <c r="AR7" s="470">
        <f>AR6</f>
        <v>3.3399999999999999E-2</v>
      </c>
      <c r="AS7" s="471">
        <v>3.3500000000000002E-2</v>
      </c>
      <c r="AT7" s="471">
        <v>3.3500000000000002E-2</v>
      </c>
      <c r="AU7" s="471">
        <v>3.3500000000000002E-2</v>
      </c>
      <c r="AV7" s="470">
        <v>3.3500000000000002E-2</v>
      </c>
      <c r="AW7" s="472">
        <v>3.4200000000000001E-2</v>
      </c>
      <c r="AX7" s="472">
        <v>3.3599999999999998E-2</v>
      </c>
      <c r="AY7" s="472">
        <v>3.3599999999999998E-2</v>
      </c>
      <c r="AZ7" s="472">
        <v>3.3599999999999998E-2</v>
      </c>
      <c r="BA7" s="472">
        <v>3.3599999999999998E-2</v>
      </c>
      <c r="BB7" s="472">
        <v>3.3599999999999998E-2</v>
      </c>
      <c r="BC7" s="472">
        <v>3.3599999999999998E-2</v>
      </c>
      <c r="BD7" s="472">
        <v>3.3300000000000003E-2</v>
      </c>
      <c r="BE7" s="472">
        <v>3.3300000000000003E-2</v>
      </c>
      <c r="BF7" s="472">
        <v>3.3300000000000003E-2</v>
      </c>
      <c r="BG7" s="472">
        <v>3.3300000000000003E-2</v>
      </c>
      <c r="BH7" s="472">
        <v>3.3300000000000003E-2</v>
      </c>
      <c r="BI7" s="472">
        <v>3.3300000000000003E-2</v>
      </c>
      <c r="BJ7" s="472">
        <v>3.3300000000000003E-2</v>
      </c>
      <c r="BK7" s="472">
        <v>3.3300000000000003E-2</v>
      </c>
      <c r="BL7" s="472">
        <v>3.3799999999999997E-2</v>
      </c>
      <c r="BM7" s="472">
        <v>3.3799999999999997E-2</v>
      </c>
      <c r="BN7" s="472">
        <v>3.3799999999999997E-2</v>
      </c>
      <c r="BO7" s="472">
        <v>3.5099999999999999E-2</v>
      </c>
      <c r="BP7" s="472">
        <v>3.6299999999999999E-2</v>
      </c>
      <c r="BQ7" s="472">
        <v>3.6299999999999999E-2</v>
      </c>
      <c r="BR7" s="472">
        <v>3.6299999999999999E-2</v>
      </c>
      <c r="BS7" s="472">
        <v>3.6299999999999999E-2</v>
      </c>
      <c r="BT7" s="472">
        <v>3.8800000000000001E-2</v>
      </c>
      <c r="BU7" s="472">
        <v>3.8800000000000001E-2</v>
      </c>
      <c r="BV7" s="472">
        <v>3.8800000000000001E-2</v>
      </c>
      <c r="BW7" s="472">
        <v>3.8800000000000001E-2</v>
      </c>
      <c r="BX7" s="472">
        <v>3.8800000000000001E-2</v>
      </c>
      <c r="BY7" s="472">
        <v>3.8800000000000001E-2</v>
      </c>
      <c r="BZ7" s="472">
        <v>3.8800000000000001E-2</v>
      </c>
      <c r="CA7" s="472">
        <v>3.9699999999999999E-2</v>
      </c>
      <c r="CB7" s="472">
        <v>4.3200000000000002E-2</v>
      </c>
      <c r="CC7" s="472">
        <v>4.3700000000000003E-2</v>
      </c>
      <c r="CD7" s="472">
        <v>4.3799999999999999E-2</v>
      </c>
      <c r="CE7" s="472">
        <v>4.3700000000000003E-2</v>
      </c>
      <c r="CF7" s="472">
        <v>4.36E-2</v>
      </c>
      <c r="CG7" s="472">
        <v>4.3499999999999997E-2</v>
      </c>
      <c r="CH7" s="472">
        <v>4.3700000000000003E-2</v>
      </c>
      <c r="CI7" s="472">
        <v>4.3700000000000003E-2</v>
      </c>
      <c r="CJ7" s="472">
        <v>4.3700000000000003E-2</v>
      </c>
      <c r="CK7" s="472">
        <v>4.3499999999999997E-2</v>
      </c>
      <c r="CL7" s="472">
        <v>4.36E-2</v>
      </c>
      <c r="CM7" s="472">
        <v>4.3700000000000003E-2</v>
      </c>
      <c r="CN7" s="472">
        <v>4.36E-2</v>
      </c>
      <c r="CO7" s="472">
        <v>4.3499999999999997E-2</v>
      </c>
      <c r="CP7" s="472">
        <v>4.3499999999999997E-2</v>
      </c>
      <c r="CQ7" s="472">
        <v>4.3499999999999997E-2</v>
      </c>
      <c r="CR7" s="472">
        <v>4.3400000000000001E-2</v>
      </c>
      <c r="CS7" s="472">
        <v>4.3400000000000001E-2</v>
      </c>
      <c r="CT7" s="472">
        <v>4.3400000000000001E-2</v>
      </c>
      <c r="CU7" s="472">
        <v>4.3400000000000001E-2</v>
      </c>
      <c r="CV7" s="472">
        <v>4.3400000000000001E-2</v>
      </c>
      <c r="CW7" s="472">
        <v>4.3400000000000001E-2</v>
      </c>
      <c r="CX7" s="472">
        <v>4.3400000000000001E-2</v>
      </c>
      <c r="CY7" s="472">
        <v>4.3400000000000001E-2</v>
      </c>
      <c r="CZ7" s="472">
        <v>4.36E-2</v>
      </c>
      <c r="DA7" s="472">
        <v>4.3499999999999997E-2</v>
      </c>
      <c r="DB7" s="472">
        <v>4.3499999999999997E-2</v>
      </c>
      <c r="DC7" s="472">
        <v>4.3400000000000001E-2</v>
      </c>
      <c r="DD7" s="472">
        <v>4.3400000000000001E-2</v>
      </c>
      <c r="DE7" s="472">
        <v>4.3400000000000001E-2</v>
      </c>
      <c r="DF7" s="472">
        <v>4.3400000000000001E-2</v>
      </c>
      <c r="DG7" s="472">
        <v>4.3400000000000001E-2</v>
      </c>
      <c r="DH7" s="472">
        <v>4.3499999999999997E-2</v>
      </c>
      <c r="DI7" s="472">
        <v>4.3499999999999997E-2</v>
      </c>
      <c r="DJ7" s="472">
        <v>4.36E-2</v>
      </c>
      <c r="DK7" s="472">
        <v>4.3499999999999997E-2</v>
      </c>
      <c r="DL7" s="472">
        <v>4.3700000000000003E-2</v>
      </c>
      <c r="DM7" s="472">
        <v>4.3799999999999999E-2</v>
      </c>
      <c r="DN7" s="472">
        <v>4.3799999999999999E-2</v>
      </c>
      <c r="DO7" s="472">
        <v>4.3700000000000003E-2</v>
      </c>
      <c r="DP7" s="472">
        <v>4.36E-2</v>
      </c>
      <c r="DQ7" s="472">
        <v>4.3499999999999997E-2</v>
      </c>
      <c r="DR7" s="472">
        <v>4.3499999999999997E-2</v>
      </c>
      <c r="DS7" s="472">
        <v>4.3400000000000001E-2</v>
      </c>
      <c r="DT7" s="472">
        <v>4.3400000000000001E-2</v>
      </c>
      <c r="DU7" s="472">
        <v>4.3400000000000001E-2</v>
      </c>
      <c r="DV7" s="472">
        <v>4.3400000000000001E-2</v>
      </c>
      <c r="DW7" s="472">
        <v>4.3400000000000001E-2</v>
      </c>
      <c r="DX7" s="472">
        <v>4.3400000000000001E-2</v>
      </c>
      <c r="DY7" s="472">
        <v>4.3400000000000001E-2</v>
      </c>
      <c r="DZ7" s="472">
        <v>4.3400000000000001E-2</v>
      </c>
      <c r="EA7" s="472">
        <v>4.3299999999999998E-2</v>
      </c>
      <c r="EB7" s="472">
        <v>4.3299999999999998E-2</v>
      </c>
      <c r="EC7" s="472">
        <v>4.3299999999999998E-2</v>
      </c>
      <c r="ED7" s="472">
        <v>4.3299999999999998E-2</v>
      </c>
      <c r="EE7" s="472">
        <v>4.3299999999999998E-2</v>
      </c>
      <c r="EF7" s="472">
        <v>4.3299999999999998E-2</v>
      </c>
      <c r="EG7" s="472">
        <v>4.3400000000000001E-2</v>
      </c>
      <c r="EH7" s="472">
        <v>4.3400000000000001E-2</v>
      </c>
      <c r="EI7" s="472">
        <v>2.0199999999999999E-2</v>
      </c>
      <c r="EJ7" s="472">
        <v>2.0199999999999999E-2</v>
      </c>
      <c r="EK7" s="472">
        <v>1.95E-2</v>
      </c>
      <c r="EL7" s="472">
        <v>1.2699999999999999E-2</v>
      </c>
      <c r="EM7" s="472">
        <v>1.2699999999999999E-2</v>
      </c>
      <c r="EN7" s="472">
        <v>4.0899999999999999E-2</v>
      </c>
      <c r="EO7" s="472">
        <v>4.0800000000000003E-2</v>
      </c>
      <c r="EP7" s="472">
        <v>4.0800000000000003E-2</v>
      </c>
      <c r="EQ7" s="472">
        <v>4.0599999999999997E-2</v>
      </c>
      <c r="ER7" s="472">
        <v>3.8600000000000002E-2</v>
      </c>
      <c r="ES7" s="472">
        <v>3.8300000000000001E-2</v>
      </c>
      <c r="ET7" s="472">
        <v>3.8399999999999997E-2</v>
      </c>
      <c r="EU7" s="472">
        <v>3.8300000000000001E-2</v>
      </c>
      <c r="EV7" s="472">
        <v>3.8300000000000001E-2</v>
      </c>
      <c r="EW7" s="472">
        <v>3.7699999999999997E-2</v>
      </c>
      <c r="EX7" s="472">
        <v>3.5200000000000002E-2</v>
      </c>
      <c r="EY7" s="472">
        <v>3.5200000000000002E-2</v>
      </c>
      <c r="EZ7" s="472">
        <v>3.5200000000000002E-2</v>
      </c>
      <c r="FA7" s="472">
        <v>3.5200000000000002E-2</v>
      </c>
      <c r="FB7" s="472">
        <v>3.5200000000000002E-2</v>
      </c>
      <c r="FC7" s="472">
        <v>3.5200000000000002E-2</v>
      </c>
      <c r="FD7" s="472">
        <v>3.5200000000000002E-2</v>
      </c>
      <c r="FE7" s="472">
        <v>3.4500000000000003E-2</v>
      </c>
      <c r="FF7" s="472">
        <v>3.27E-2</v>
      </c>
      <c r="FG7" s="472">
        <v>3.27E-2</v>
      </c>
      <c r="FH7" s="472">
        <v>3.27E-2</v>
      </c>
      <c r="FI7" s="472">
        <v>3.27E-2</v>
      </c>
      <c r="FJ7" s="472">
        <v>3.27E-2</v>
      </c>
      <c r="FK7" s="472">
        <v>3.27E-2</v>
      </c>
      <c r="FL7" s="472">
        <v>3.27E-2</v>
      </c>
      <c r="FM7" s="472">
        <v>2.7699999999999999E-2</v>
      </c>
      <c r="FN7" s="472">
        <v>2.7699999999999999E-2</v>
      </c>
      <c r="FO7" s="472">
        <v>2.7699999999999999E-2</v>
      </c>
      <c r="FP7" s="472">
        <v>2.7699999999999999E-2</v>
      </c>
      <c r="FQ7" s="472">
        <v>2.7699999999999999E-2</v>
      </c>
      <c r="FR7" s="472">
        <v>2.7699999999999999E-2</v>
      </c>
      <c r="FS7" s="472">
        <v>2.0199999999999999E-2</v>
      </c>
      <c r="FT7" s="472">
        <v>2.0199999999999999E-2</v>
      </c>
      <c r="FU7" s="472">
        <v>2.0199999999999999E-2</v>
      </c>
      <c r="FV7" s="472">
        <v>4.0899999999999999E-2</v>
      </c>
      <c r="FW7" s="472">
        <v>4.0899999999999999E-2</v>
      </c>
      <c r="FX7" s="472">
        <v>4.1000000000000002E-2</v>
      </c>
      <c r="FY7" s="472">
        <v>4.0899999999999999E-2</v>
      </c>
      <c r="FZ7" s="472">
        <v>4.0899999999999999E-2</v>
      </c>
      <c r="GA7" s="472">
        <v>4.1000000000000002E-2</v>
      </c>
      <c r="GB7" s="472">
        <v>4.1000000000000002E-2</v>
      </c>
      <c r="GC7" s="472">
        <v>4.1200000000000001E-2</v>
      </c>
      <c r="GD7" s="472">
        <v>1.95E-2</v>
      </c>
      <c r="GE7" s="472">
        <v>1.95E-2</v>
      </c>
      <c r="GF7" s="472">
        <v>1.95E-2</v>
      </c>
      <c r="GG7" s="472">
        <v>1.95E-2</v>
      </c>
      <c r="GH7" s="472">
        <v>1.95E-2</v>
      </c>
      <c r="GI7" s="472">
        <v>1.95E-2</v>
      </c>
      <c r="GJ7" s="472">
        <v>1.95E-2</v>
      </c>
      <c r="GK7" s="472">
        <v>1.95E-2</v>
      </c>
      <c r="GL7" s="472">
        <v>1.95E-2</v>
      </c>
      <c r="GM7" s="472">
        <v>1.95E-2</v>
      </c>
      <c r="GN7" s="472">
        <v>1.95E-2</v>
      </c>
      <c r="GO7" s="472">
        <v>1.95E-2</v>
      </c>
      <c r="GP7" s="472">
        <v>1.95E-2</v>
      </c>
      <c r="GQ7" s="472">
        <v>1.95E-2</v>
      </c>
      <c r="GR7" s="472">
        <v>1.95E-2</v>
      </c>
      <c r="GS7" s="472">
        <v>1.95E-2</v>
      </c>
      <c r="GT7" s="472">
        <v>1.95E-2</v>
      </c>
      <c r="GU7" s="472">
        <v>1.95E-2</v>
      </c>
      <c r="GV7" s="472">
        <v>1.95E-2</v>
      </c>
      <c r="GW7" s="472">
        <v>1.95E-2</v>
      </c>
      <c r="GX7" s="472">
        <v>1.95E-2</v>
      </c>
      <c r="GY7" s="472">
        <v>1.95E-2</v>
      </c>
      <c r="GZ7" s="472">
        <v>1.95E-2</v>
      </c>
      <c r="HA7" s="472">
        <v>1.95E-2</v>
      </c>
      <c r="HB7" s="472">
        <v>1.95E-2</v>
      </c>
      <c r="HC7" s="472">
        <v>1.95E-2</v>
      </c>
      <c r="HD7" s="472">
        <v>1.95E-2</v>
      </c>
      <c r="HE7" s="472">
        <v>1.95E-2</v>
      </c>
      <c r="HF7" s="472">
        <v>1.95E-2</v>
      </c>
      <c r="HG7" s="472">
        <v>1.95E-2</v>
      </c>
      <c r="HH7" s="472">
        <v>1.95E-2</v>
      </c>
      <c r="HI7" s="472">
        <v>1.95E-2</v>
      </c>
      <c r="HJ7" s="472">
        <v>1.95E-2</v>
      </c>
      <c r="HK7" s="472">
        <v>1.95E-2</v>
      </c>
      <c r="HL7" s="472">
        <v>1.95E-2</v>
      </c>
      <c r="HM7" s="472">
        <v>1.95E-2</v>
      </c>
      <c r="HN7" s="472">
        <v>1.95E-2</v>
      </c>
      <c r="HO7" s="472">
        <v>1.95E-2</v>
      </c>
      <c r="HP7" s="473">
        <f t="shared" si="0"/>
        <v>0</v>
      </c>
      <c r="HQ7" s="1147"/>
    </row>
    <row r="8" spans="2:225">
      <c r="B8" s="1129" t="s">
        <v>16</v>
      </c>
      <c r="C8" s="730" t="s">
        <v>258</v>
      </c>
      <c r="D8" s="476">
        <v>2.3E-2</v>
      </c>
      <c r="E8" s="476">
        <v>2.3E-2</v>
      </c>
      <c r="F8" s="476">
        <v>2.3E-2</v>
      </c>
      <c r="G8" s="476">
        <v>2.3E-2</v>
      </c>
      <c r="H8" s="476">
        <v>2.3E-2</v>
      </c>
      <c r="I8" s="476">
        <v>2.3E-2</v>
      </c>
      <c r="J8" s="476">
        <v>2.3E-2</v>
      </c>
      <c r="K8" s="476">
        <v>2.3E-2</v>
      </c>
      <c r="L8" s="493">
        <v>2.3E-2</v>
      </c>
      <c r="M8" s="476">
        <v>2.75E-2</v>
      </c>
      <c r="N8" s="476">
        <v>2.75E-2</v>
      </c>
      <c r="O8" s="476">
        <v>2.75E-2</v>
      </c>
      <c r="P8" s="476">
        <v>0.03</v>
      </c>
      <c r="Q8" s="476">
        <v>0.03</v>
      </c>
      <c r="R8" s="476">
        <v>0.03</v>
      </c>
      <c r="S8" s="476">
        <v>0.03</v>
      </c>
      <c r="T8" s="476">
        <v>0.03</v>
      </c>
      <c r="U8" s="476">
        <v>0.03</v>
      </c>
      <c r="V8" s="476">
        <v>0.03</v>
      </c>
      <c r="W8" s="476">
        <v>0.03</v>
      </c>
      <c r="X8" s="476">
        <v>0.03</v>
      </c>
      <c r="Y8" s="476">
        <v>0.03</v>
      </c>
      <c r="Z8" s="476">
        <v>0.03</v>
      </c>
      <c r="AA8" s="476">
        <v>0.03</v>
      </c>
      <c r="AB8" s="476">
        <v>0.03</v>
      </c>
      <c r="AC8" s="474" t="s">
        <v>124</v>
      </c>
      <c r="AD8" s="474" t="s">
        <v>124</v>
      </c>
      <c r="AE8" s="474" t="s">
        <v>124</v>
      </c>
      <c r="AF8" s="474" t="s">
        <v>124</v>
      </c>
      <c r="AG8" s="474" t="s">
        <v>124</v>
      </c>
      <c r="AH8" s="474" t="s">
        <v>124</v>
      </c>
      <c r="AI8" s="474" t="s">
        <v>124</v>
      </c>
      <c r="AJ8" s="474" t="s">
        <v>124</v>
      </c>
      <c r="AK8" s="474" t="s">
        <v>124</v>
      </c>
      <c r="AL8" s="475" t="s">
        <v>124</v>
      </c>
      <c r="AM8" s="474" t="s">
        <v>124</v>
      </c>
      <c r="AN8" s="474" t="s">
        <v>124</v>
      </c>
      <c r="AO8" s="474" t="s">
        <v>124</v>
      </c>
      <c r="AP8" s="474" t="s">
        <v>124</v>
      </c>
      <c r="AQ8" s="474" t="s">
        <v>124</v>
      </c>
      <c r="AR8" s="474" t="s">
        <v>124</v>
      </c>
      <c r="AS8" s="474" t="s">
        <v>124</v>
      </c>
      <c r="AT8" s="474" t="s">
        <v>124</v>
      </c>
      <c r="AU8" s="476">
        <v>0.03</v>
      </c>
      <c r="AV8" s="477">
        <v>0.03</v>
      </c>
      <c r="AW8" s="477">
        <v>0.03</v>
      </c>
      <c r="AX8" s="477">
        <v>0.03</v>
      </c>
      <c r="AY8" s="477">
        <v>0.03</v>
      </c>
      <c r="AZ8" s="477">
        <v>0.03</v>
      </c>
      <c r="BA8" s="477">
        <v>0.03</v>
      </c>
      <c r="BB8" s="477">
        <v>0.03</v>
      </c>
      <c r="BC8" s="477">
        <v>0.03</v>
      </c>
      <c r="BD8" s="477">
        <v>0.03</v>
      </c>
      <c r="BE8" s="477">
        <v>0.03</v>
      </c>
      <c r="BF8" s="477">
        <v>0.03</v>
      </c>
      <c r="BG8" s="477">
        <v>0.03</v>
      </c>
      <c r="BH8" s="477">
        <v>0.03</v>
      </c>
      <c r="BI8" s="477">
        <v>0.03</v>
      </c>
      <c r="BJ8" s="477">
        <v>0.03</v>
      </c>
      <c r="BK8" s="477">
        <v>0.03</v>
      </c>
      <c r="BL8" s="477">
        <v>0.03</v>
      </c>
      <c r="BM8" s="477">
        <v>0.03</v>
      </c>
      <c r="BN8" s="477">
        <v>0.03</v>
      </c>
      <c r="BO8" s="477">
        <v>0.03</v>
      </c>
      <c r="BP8" s="477">
        <v>0.03</v>
      </c>
      <c r="BQ8" s="477">
        <v>0.03</v>
      </c>
      <c r="BR8" s="477">
        <v>0.03</v>
      </c>
      <c r="BS8" s="477">
        <v>0.03</v>
      </c>
      <c r="BT8" s="477">
        <v>0.03</v>
      </c>
      <c r="BU8" s="477">
        <v>0.03</v>
      </c>
      <c r="BV8" s="477">
        <v>0.03</v>
      </c>
      <c r="BW8" s="477">
        <v>0.03</v>
      </c>
      <c r="BX8" s="477">
        <v>0.03</v>
      </c>
      <c r="BY8" s="477">
        <v>0.03</v>
      </c>
      <c r="BZ8" s="477">
        <v>0.03</v>
      </c>
      <c r="CA8" s="477">
        <v>0.03</v>
      </c>
      <c r="CB8" s="477">
        <v>0.03</v>
      </c>
      <c r="CC8" s="477">
        <v>0.03</v>
      </c>
      <c r="CD8" s="477">
        <v>0.03</v>
      </c>
      <c r="CE8" s="477">
        <v>0.03</v>
      </c>
      <c r="CF8" s="477">
        <v>0.03</v>
      </c>
      <c r="CG8" s="477">
        <v>0.03</v>
      </c>
      <c r="CH8" s="477">
        <v>0.03</v>
      </c>
      <c r="CI8" s="477">
        <v>0.03</v>
      </c>
      <c r="CJ8" s="477">
        <v>0.03</v>
      </c>
      <c r="CK8" s="477">
        <v>0.03</v>
      </c>
      <c r="CL8" s="477">
        <v>0.03</v>
      </c>
      <c r="CM8" s="477">
        <v>0.03</v>
      </c>
      <c r="CN8" s="477">
        <v>0.03</v>
      </c>
      <c r="CO8" s="477">
        <v>0.03</v>
      </c>
      <c r="CP8" s="477">
        <v>0.03</v>
      </c>
      <c r="CQ8" s="477">
        <v>0.03</v>
      </c>
      <c r="CR8" s="477">
        <v>0.03</v>
      </c>
      <c r="CS8" s="477">
        <v>0.03</v>
      </c>
      <c r="CT8" s="477">
        <v>0.03</v>
      </c>
      <c r="CU8" s="477">
        <v>0.03</v>
      </c>
      <c r="CV8" s="477">
        <v>0.03</v>
      </c>
      <c r="CW8" s="477">
        <v>0.03</v>
      </c>
      <c r="CX8" s="477">
        <v>0.03</v>
      </c>
      <c r="CY8" s="477">
        <v>0.03</v>
      </c>
      <c r="CZ8" s="477">
        <v>0.03</v>
      </c>
      <c r="DA8" s="477">
        <v>0.03</v>
      </c>
      <c r="DB8" s="477">
        <v>0.03</v>
      </c>
      <c r="DC8" s="477">
        <v>0.03</v>
      </c>
      <c r="DD8" s="477">
        <v>0.03</v>
      </c>
      <c r="DE8" s="477">
        <v>0.03</v>
      </c>
      <c r="DF8" s="477">
        <v>0.03</v>
      </c>
      <c r="DG8" s="477">
        <v>0.03</v>
      </c>
      <c r="DH8" s="477">
        <v>0.03</v>
      </c>
      <c r="DI8" s="477">
        <v>0.03</v>
      </c>
      <c r="DJ8" s="477">
        <v>0.03</v>
      </c>
      <c r="DK8" s="477">
        <v>0.03</v>
      </c>
      <c r="DL8" s="477">
        <v>0.03</v>
      </c>
      <c r="DM8" s="477">
        <v>0.03</v>
      </c>
      <c r="DN8" s="477">
        <v>0.03</v>
      </c>
      <c r="DO8" s="477">
        <v>0.03</v>
      </c>
      <c r="DP8" s="477">
        <v>0.03</v>
      </c>
      <c r="DQ8" s="477">
        <v>0.03</v>
      </c>
      <c r="DR8" s="477">
        <v>0.03</v>
      </c>
      <c r="DS8" s="477">
        <v>0.03</v>
      </c>
      <c r="DT8" s="477">
        <v>0.03</v>
      </c>
      <c r="DU8" s="477">
        <v>0.03</v>
      </c>
      <c r="DV8" s="477">
        <v>0.03</v>
      </c>
      <c r="DW8" s="477">
        <v>0.03</v>
      </c>
      <c r="DX8" s="477">
        <v>0.03</v>
      </c>
      <c r="DY8" s="477">
        <v>0.03</v>
      </c>
      <c r="DZ8" s="477">
        <v>0.03</v>
      </c>
      <c r="EA8" s="477">
        <v>0.03</v>
      </c>
      <c r="EB8" s="477">
        <v>0.03</v>
      </c>
      <c r="EC8" s="477">
        <v>0.03</v>
      </c>
      <c r="ED8" s="477">
        <v>0.03</v>
      </c>
      <c r="EE8" s="477">
        <v>0.03</v>
      </c>
      <c r="EF8" s="477">
        <v>0.03</v>
      </c>
      <c r="EG8" s="477">
        <v>0.03</v>
      </c>
      <c r="EH8" s="477">
        <v>0.03</v>
      </c>
      <c r="EI8" s="477">
        <v>0.03</v>
      </c>
      <c r="EJ8" s="477">
        <v>0.03</v>
      </c>
      <c r="EK8" s="477">
        <v>0.03</v>
      </c>
      <c r="EL8" s="477">
        <v>0.03</v>
      </c>
      <c r="EM8" s="477">
        <v>0.03</v>
      </c>
      <c r="EN8" s="477">
        <v>0.03</v>
      </c>
      <c r="EO8" s="477">
        <v>0.03</v>
      </c>
      <c r="EP8" s="477">
        <v>0.03</v>
      </c>
      <c r="EQ8" s="477">
        <v>0.03</v>
      </c>
      <c r="ER8" s="477">
        <v>0.03</v>
      </c>
      <c r="ES8" s="477">
        <v>0.03</v>
      </c>
      <c r="ET8" s="477">
        <v>0.03</v>
      </c>
      <c r="EU8" s="477">
        <v>0.03</v>
      </c>
      <c r="EV8" s="477">
        <v>0.03</v>
      </c>
      <c r="EW8" s="477">
        <v>0.03</v>
      </c>
      <c r="EX8" s="477">
        <v>0.03</v>
      </c>
      <c r="EY8" s="477">
        <v>0.03</v>
      </c>
      <c r="EZ8" s="477">
        <v>0.03</v>
      </c>
      <c r="FA8" s="477">
        <v>0.03</v>
      </c>
      <c r="FB8" s="477">
        <v>0.03</v>
      </c>
      <c r="FC8" s="477">
        <v>0.03</v>
      </c>
      <c r="FD8" s="477">
        <v>0.03</v>
      </c>
      <c r="FE8" s="477">
        <v>0.03</v>
      </c>
      <c r="FF8" s="477">
        <v>0.03</v>
      </c>
      <c r="FG8" s="477">
        <v>0.03</v>
      </c>
      <c r="FH8" s="477">
        <v>0.03</v>
      </c>
      <c r="FI8" s="477">
        <v>0.03</v>
      </c>
      <c r="FJ8" s="477">
        <v>0.03</v>
      </c>
      <c r="FK8" s="477">
        <v>0.03</v>
      </c>
      <c r="FL8" s="477">
        <v>0.03</v>
      </c>
      <c r="FM8" s="477">
        <v>0.03</v>
      </c>
      <c r="FN8" s="477">
        <v>0.03</v>
      </c>
      <c r="FO8" s="477">
        <v>0.03</v>
      </c>
      <c r="FP8" s="477">
        <v>0.03</v>
      </c>
      <c r="FQ8" s="477">
        <v>0.03</v>
      </c>
      <c r="FR8" s="477">
        <v>0.03</v>
      </c>
      <c r="FS8" s="477">
        <v>0.03</v>
      </c>
      <c r="FT8" s="477">
        <v>0.03</v>
      </c>
      <c r="FU8" s="477">
        <v>0.03</v>
      </c>
      <c r="FV8" s="477">
        <v>0.03</v>
      </c>
      <c r="FW8" s="477">
        <v>0.03</v>
      </c>
      <c r="FX8" s="477">
        <v>0.03</v>
      </c>
      <c r="FY8" s="477">
        <v>0.03</v>
      </c>
      <c r="FZ8" s="477">
        <v>0.03</v>
      </c>
      <c r="GA8" s="477">
        <v>0.03</v>
      </c>
      <c r="GB8" s="477">
        <v>0.03</v>
      </c>
      <c r="GC8" s="477">
        <v>0.03</v>
      </c>
      <c r="GD8" s="477">
        <v>1.7999999999999999E-2</v>
      </c>
      <c r="GE8" s="477">
        <v>1.7999999999999999E-2</v>
      </c>
      <c r="GF8" s="477">
        <v>1.7999999999999999E-2</v>
      </c>
      <c r="GG8" s="477">
        <v>1.7999999999999999E-2</v>
      </c>
      <c r="GH8" s="477">
        <v>1.7999999999999999E-2</v>
      </c>
      <c r="GI8" s="477">
        <v>1.7999999999999999E-2</v>
      </c>
      <c r="GJ8" s="477">
        <v>1.7999999999999999E-2</v>
      </c>
      <c r="GK8" s="477">
        <v>1.7999999999999999E-2</v>
      </c>
      <c r="GL8" s="477">
        <v>1.7999999999999999E-2</v>
      </c>
      <c r="GM8" s="477">
        <v>1.7999999999999999E-2</v>
      </c>
      <c r="GN8" s="477">
        <v>1.7999999999999999E-2</v>
      </c>
      <c r="GO8" s="477">
        <v>1.7999999999999999E-2</v>
      </c>
      <c r="GP8" s="477">
        <v>1.7999999999999999E-2</v>
      </c>
      <c r="GQ8" s="477">
        <v>1.7999999999999999E-2</v>
      </c>
      <c r="GR8" s="477">
        <v>1.7999999999999999E-2</v>
      </c>
      <c r="GS8" s="477">
        <v>1.7999999999999999E-2</v>
      </c>
      <c r="GT8" s="477">
        <v>1.7999999999999999E-2</v>
      </c>
      <c r="GU8" s="477">
        <v>1.7999999999999999E-2</v>
      </c>
      <c r="GV8" s="477">
        <v>1.7999999999999999E-2</v>
      </c>
      <c r="GW8" s="477">
        <v>1.7999999999999999E-2</v>
      </c>
      <c r="GX8" s="477">
        <v>1.7999999999999999E-2</v>
      </c>
      <c r="GY8" s="477">
        <v>1.7999999999999999E-2</v>
      </c>
      <c r="GZ8" s="477">
        <v>1.7999999999999999E-2</v>
      </c>
      <c r="HA8" s="477">
        <v>1.7999999999999999E-2</v>
      </c>
      <c r="HB8" s="477">
        <v>1.7999999999999999E-2</v>
      </c>
      <c r="HC8" s="477">
        <v>1.7999999999999999E-2</v>
      </c>
      <c r="HD8" s="477">
        <v>1.7999999999999999E-2</v>
      </c>
      <c r="HE8" s="477">
        <v>1.7999999999999999E-2</v>
      </c>
      <c r="HF8" s="477">
        <v>1.7999999999999999E-2</v>
      </c>
      <c r="HG8" s="477">
        <v>1.7999999999999999E-2</v>
      </c>
      <c r="HH8" s="477">
        <v>1.7999999999999999E-2</v>
      </c>
      <c r="HI8" s="477">
        <v>1.7999999999999999E-2</v>
      </c>
      <c r="HJ8" s="477">
        <v>1.7999999999999999E-2</v>
      </c>
      <c r="HK8" s="477">
        <v>1.7999999999999999E-2</v>
      </c>
      <c r="HL8" s="477">
        <v>1.7999999999999999E-2</v>
      </c>
      <c r="HM8" s="477">
        <v>1.7999999999999999E-2</v>
      </c>
      <c r="HN8" s="477">
        <v>1.7999999999999999E-2</v>
      </c>
      <c r="HO8" s="477">
        <v>1.7999999999999999E-2</v>
      </c>
      <c r="HP8" s="473">
        <f t="shared" si="0"/>
        <v>0</v>
      </c>
      <c r="HQ8" s="1135"/>
    </row>
    <row r="9" spans="2:225">
      <c r="B9" s="1129"/>
      <c r="C9" s="730" t="s">
        <v>221</v>
      </c>
      <c r="D9" s="476">
        <v>2.4E-2</v>
      </c>
      <c r="E9" s="476">
        <v>2.4E-2</v>
      </c>
      <c r="F9" s="476">
        <v>2.4E-2</v>
      </c>
      <c r="G9" s="476">
        <v>2.4E-2</v>
      </c>
      <c r="H9" s="476">
        <v>2.4E-2</v>
      </c>
      <c r="I9" s="476">
        <v>2.4E-2</v>
      </c>
      <c r="J9" s="476">
        <v>2.4E-2</v>
      </c>
      <c r="K9" s="476">
        <v>2.4E-2</v>
      </c>
      <c r="L9" s="493">
        <v>2.4E-2</v>
      </c>
      <c r="M9" s="476">
        <v>2.8000000000000001E-2</v>
      </c>
      <c r="N9" s="476">
        <v>2.8000000000000001E-2</v>
      </c>
      <c r="O9" s="476">
        <v>2.8000000000000001E-2</v>
      </c>
      <c r="P9" s="476">
        <v>3.0499999999999999E-2</v>
      </c>
      <c r="Q9" s="476">
        <v>3.0499999999999999E-2</v>
      </c>
      <c r="R9" s="476">
        <v>3.0499999999999999E-2</v>
      </c>
      <c r="S9" s="476">
        <v>3.0499999999999999E-2</v>
      </c>
      <c r="T9" s="476">
        <v>3.0499999999999999E-2</v>
      </c>
      <c r="U9" s="476">
        <v>3.0499999999999999E-2</v>
      </c>
      <c r="V9" s="476">
        <v>3.0499999999999999E-2</v>
      </c>
      <c r="W9" s="476">
        <v>3.0499999999999999E-2</v>
      </c>
      <c r="X9" s="476">
        <v>3.0499999999999999E-2</v>
      </c>
      <c r="Y9" s="476">
        <v>3.0499999999999999E-2</v>
      </c>
      <c r="Z9" s="476">
        <v>3.0499999999999999E-2</v>
      </c>
      <c r="AA9" s="476">
        <v>3.0499999999999999E-2</v>
      </c>
      <c r="AB9" s="476">
        <v>3.0499999999999999E-2</v>
      </c>
      <c r="AC9" s="474" t="s">
        <v>124</v>
      </c>
      <c r="AD9" s="474" t="s">
        <v>124</v>
      </c>
      <c r="AE9" s="474" t="s">
        <v>124</v>
      </c>
      <c r="AF9" s="474" t="s">
        <v>124</v>
      </c>
      <c r="AG9" s="474" t="s">
        <v>124</v>
      </c>
      <c r="AH9" s="474" t="s">
        <v>124</v>
      </c>
      <c r="AI9" s="474" t="s">
        <v>124</v>
      </c>
      <c r="AJ9" s="474" t="s">
        <v>124</v>
      </c>
      <c r="AK9" s="474" t="s">
        <v>124</v>
      </c>
      <c r="AL9" s="475" t="s">
        <v>124</v>
      </c>
      <c r="AM9" s="474" t="s">
        <v>124</v>
      </c>
      <c r="AN9" s="474" t="s">
        <v>124</v>
      </c>
      <c r="AO9" s="474" t="s">
        <v>124</v>
      </c>
      <c r="AP9" s="474" t="s">
        <v>124</v>
      </c>
      <c r="AQ9" s="474" t="s">
        <v>124</v>
      </c>
      <c r="AR9" s="474" t="s">
        <v>124</v>
      </c>
      <c r="AS9" s="474" t="s">
        <v>124</v>
      </c>
      <c r="AT9" s="474" t="s">
        <v>124</v>
      </c>
      <c r="AU9" s="476">
        <v>3.0499999999999999E-2</v>
      </c>
      <c r="AV9" s="477">
        <v>3.0499999999999999E-2</v>
      </c>
      <c r="AW9" s="477">
        <v>3.0499999999999999E-2</v>
      </c>
      <c r="AX9" s="477">
        <v>3.0499999999999999E-2</v>
      </c>
      <c r="AY9" s="477">
        <v>3.0499999999999999E-2</v>
      </c>
      <c r="AZ9" s="477">
        <v>3.0499999999999999E-2</v>
      </c>
      <c r="BA9" s="477">
        <v>3.0499999999999999E-2</v>
      </c>
      <c r="BB9" s="477">
        <v>3.0499999999999999E-2</v>
      </c>
      <c r="BC9" s="477">
        <v>3.0499999999999999E-2</v>
      </c>
      <c r="BD9" s="477">
        <v>3.0499999999999999E-2</v>
      </c>
      <c r="BE9" s="477">
        <v>3.0499999999999999E-2</v>
      </c>
      <c r="BF9" s="477">
        <v>3.0499999999999999E-2</v>
      </c>
      <c r="BG9" s="477">
        <v>3.0499999999999999E-2</v>
      </c>
      <c r="BH9" s="477">
        <v>3.0499999999999999E-2</v>
      </c>
      <c r="BI9" s="477">
        <v>3.0499999999999999E-2</v>
      </c>
      <c r="BJ9" s="477">
        <v>3.0499999999999999E-2</v>
      </c>
      <c r="BK9" s="477">
        <v>3.0499999999999999E-2</v>
      </c>
      <c r="BL9" s="477">
        <v>3.0499999999999999E-2</v>
      </c>
      <c r="BM9" s="477">
        <v>3.0499999999999999E-2</v>
      </c>
      <c r="BN9" s="477">
        <v>3.0499999999999999E-2</v>
      </c>
      <c r="BO9" s="477">
        <v>3.0499999999999999E-2</v>
      </c>
      <c r="BP9" s="477">
        <v>3.0499999999999999E-2</v>
      </c>
      <c r="BQ9" s="477">
        <v>3.0499999999999999E-2</v>
      </c>
      <c r="BR9" s="477">
        <v>3.0499999999999999E-2</v>
      </c>
      <c r="BS9" s="477">
        <v>3.0499999999999999E-2</v>
      </c>
      <c r="BT9" s="477">
        <v>3.0499999999999999E-2</v>
      </c>
      <c r="BU9" s="477">
        <v>3.0499999999999999E-2</v>
      </c>
      <c r="BV9" s="477">
        <v>3.0499999999999999E-2</v>
      </c>
      <c r="BW9" s="477">
        <v>3.0499999999999999E-2</v>
      </c>
      <c r="BX9" s="477">
        <v>3.0499999999999999E-2</v>
      </c>
      <c r="BY9" s="477">
        <v>3.0499999999999999E-2</v>
      </c>
      <c r="BZ9" s="477">
        <v>3.0499999999999999E-2</v>
      </c>
      <c r="CA9" s="477">
        <v>3.0499999999999999E-2</v>
      </c>
      <c r="CB9" s="477">
        <v>3.0499999999999999E-2</v>
      </c>
      <c r="CC9" s="477">
        <v>3.0499999999999999E-2</v>
      </c>
      <c r="CD9" s="477">
        <v>3.0499999999999999E-2</v>
      </c>
      <c r="CE9" s="477">
        <v>3.0499999999999999E-2</v>
      </c>
      <c r="CF9" s="477">
        <v>3.0499999999999999E-2</v>
      </c>
      <c r="CG9" s="477">
        <v>3.0499999999999999E-2</v>
      </c>
      <c r="CH9" s="477">
        <v>3.0499999999999999E-2</v>
      </c>
      <c r="CI9" s="477">
        <v>3.0499999999999999E-2</v>
      </c>
      <c r="CJ9" s="477">
        <v>3.0499999999999999E-2</v>
      </c>
      <c r="CK9" s="477">
        <v>3.0499999999999999E-2</v>
      </c>
      <c r="CL9" s="477">
        <v>3.0499999999999999E-2</v>
      </c>
      <c r="CM9" s="477">
        <v>3.0499999999999999E-2</v>
      </c>
      <c r="CN9" s="477">
        <v>3.0499999999999999E-2</v>
      </c>
      <c r="CO9" s="477">
        <v>3.0499999999999999E-2</v>
      </c>
      <c r="CP9" s="477">
        <v>3.0499999999999999E-2</v>
      </c>
      <c r="CQ9" s="477">
        <v>3.0499999999999999E-2</v>
      </c>
      <c r="CR9" s="477">
        <v>3.0499999999999999E-2</v>
      </c>
      <c r="CS9" s="477">
        <v>3.0499999999999999E-2</v>
      </c>
      <c r="CT9" s="477">
        <v>3.0499999999999999E-2</v>
      </c>
      <c r="CU9" s="477">
        <v>3.0499999999999999E-2</v>
      </c>
      <c r="CV9" s="477">
        <v>3.0499999999999999E-2</v>
      </c>
      <c r="CW9" s="477">
        <v>3.0499999999999999E-2</v>
      </c>
      <c r="CX9" s="477">
        <v>3.0499999999999999E-2</v>
      </c>
      <c r="CY9" s="477">
        <v>3.0499999999999999E-2</v>
      </c>
      <c r="CZ9" s="477">
        <v>3.0499999999999999E-2</v>
      </c>
      <c r="DA9" s="477">
        <v>3.0499999999999999E-2</v>
      </c>
      <c r="DB9" s="477">
        <v>3.0499999999999999E-2</v>
      </c>
      <c r="DC9" s="477">
        <v>3.0499999999999999E-2</v>
      </c>
      <c r="DD9" s="477">
        <v>3.0499999999999999E-2</v>
      </c>
      <c r="DE9" s="477">
        <v>3.0499999999999999E-2</v>
      </c>
      <c r="DF9" s="477">
        <v>3.0499999999999999E-2</v>
      </c>
      <c r="DG9" s="477">
        <v>3.0499999999999999E-2</v>
      </c>
      <c r="DH9" s="477">
        <v>3.0499999999999999E-2</v>
      </c>
      <c r="DI9" s="477">
        <v>3.0499999999999999E-2</v>
      </c>
      <c r="DJ9" s="477">
        <v>3.0499999999999999E-2</v>
      </c>
      <c r="DK9" s="477">
        <v>3.0499999999999999E-2</v>
      </c>
      <c r="DL9" s="477">
        <v>3.0499999999999999E-2</v>
      </c>
      <c r="DM9" s="477">
        <v>3.0499999999999999E-2</v>
      </c>
      <c r="DN9" s="477">
        <v>3.0499999999999999E-2</v>
      </c>
      <c r="DO9" s="477">
        <v>3.0499999999999999E-2</v>
      </c>
      <c r="DP9" s="477">
        <v>3.0499999999999999E-2</v>
      </c>
      <c r="DQ9" s="477">
        <v>3.0499999999999999E-2</v>
      </c>
      <c r="DR9" s="477">
        <v>3.0499999999999999E-2</v>
      </c>
      <c r="DS9" s="477">
        <v>3.0499999999999999E-2</v>
      </c>
      <c r="DT9" s="477">
        <v>3.0499999999999999E-2</v>
      </c>
      <c r="DU9" s="477">
        <v>3.0499999999999999E-2</v>
      </c>
      <c r="DV9" s="477">
        <v>3.0499999999999999E-2</v>
      </c>
      <c r="DW9" s="477">
        <v>3.0499999999999999E-2</v>
      </c>
      <c r="DX9" s="477">
        <v>3.0499999999999999E-2</v>
      </c>
      <c r="DY9" s="477">
        <v>3.0499999999999999E-2</v>
      </c>
      <c r="DZ9" s="477">
        <v>3.0499999999999999E-2</v>
      </c>
      <c r="EA9" s="477">
        <v>3.0499999999999999E-2</v>
      </c>
      <c r="EB9" s="477">
        <v>3.0499999999999999E-2</v>
      </c>
      <c r="EC9" s="477">
        <v>3.0499999999999999E-2</v>
      </c>
      <c r="ED9" s="477">
        <v>3.0499999999999999E-2</v>
      </c>
      <c r="EE9" s="477">
        <v>3.0499999999999999E-2</v>
      </c>
      <c r="EF9" s="477">
        <v>3.0499999999999999E-2</v>
      </c>
      <c r="EG9" s="477">
        <v>3.0499999999999999E-2</v>
      </c>
      <c r="EH9" s="477">
        <v>3.0499999999999999E-2</v>
      </c>
      <c r="EI9" s="477">
        <v>3.0499999999999999E-2</v>
      </c>
      <c r="EJ9" s="477">
        <v>3.0499999999999999E-2</v>
      </c>
      <c r="EK9" s="477">
        <v>3.0499999999999999E-2</v>
      </c>
      <c r="EL9" s="477">
        <v>3.0499999999999999E-2</v>
      </c>
      <c r="EM9" s="477">
        <v>3.0499999999999999E-2</v>
      </c>
      <c r="EN9" s="477">
        <v>3.0499999999999999E-2</v>
      </c>
      <c r="EO9" s="477">
        <v>3.0499999999999999E-2</v>
      </c>
      <c r="EP9" s="477">
        <v>3.0499999999999999E-2</v>
      </c>
      <c r="EQ9" s="477">
        <v>3.0499999999999999E-2</v>
      </c>
      <c r="ER9" s="477">
        <v>3.0499999999999999E-2</v>
      </c>
      <c r="ES9" s="477">
        <v>3.0499999999999999E-2</v>
      </c>
      <c r="ET9" s="477">
        <v>3.0499999999999999E-2</v>
      </c>
      <c r="EU9" s="477">
        <v>3.0499999999999999E-2</v>
      </c>
      <c r="EV9" s="477">
        <v>3.0499999999999999E-2</v>
      </c>
      <c r="EW9" s="477">
        <v>3.0499999999999999E-2</v>
      </c>
      <c r="EX9" s="477">
        <v>3.0499999999999999E-2</v>
      </c>
      <c r="EY9" s="477">
        <v>3.0499999999999999E-2</v>
      </c>
      <c r="EZ9" s="477">
        <v>3.0499999999999999E-2</v>
      </c>
      <c r="FA9" s="477">
        <v>3.0499999999999999E-2</v>
      </c>
      <c r="FB9" s="477">
        <v>3.0499999999999999E-2</v>
      </c>
      <c r="FC9" s="477">
        <v>3.0499999999999999E-2</v>
      </c>
      <c r="FD9" s="477">
        <v>3.0499999999999999E-2</v>
      </c>
      <c r="FE9" s="477">
        <v>3.0499999999999999E-2</v>
      </c>
      <c r="FF9" s="477">
        <v>3.0499999999999999E-2</v>
      </c>
      <c r="FG9" s="477">
        <v>3.0499999999999999E-2</v>
      </c>
      <c r="FH9" s="477">
        <v>3.0499999999999999E-2</v>
      </c>
      <c r="FI9" s="477">
        <v>3.0499999999999999E-2</v>
      </c>
      <c r="FJ9" s="477">
        <v>3.0499999999999999E-2</v>
      </c>
      <c r="FK9" s="477">
        <v>3.0499999999999999E-2</v>
      </c>
      <c r="FL9" s="477">
        <v>3.0499999999999999E-2</v>
      </c>
      <c r="FM9" s="477">
        <v>3.0499999999999999E-2</v>
      </c>
      <c r="FN9" s="477">
        <v>3.0499999999999999E-2</v>
      </c>
      <c r="FO9" s="477">
        <v>3.0499999999999999E-2</v>
      </c>
      <c r="FP9" s="477">
        <v>3.0499999999999999E-2</v>
      </c>
      <c r="FQ9" s="477">
        <v>3.0499999999999999E-2</v>
      </c>
      <c r="FR9" s="477">
        <v>3.0499999999999999E-2</v>
      </c>
      <c r="FS9" s="477">
        <v>3.0499999999999999E-2</v>
      </c>
      <c r="FT9" s="477">
        <v>3.0499999999999999E-2</v>
      </c>
      <c r="FU9" s="477">
        <v>3.0499999999999999E-2</v>
      </c>
      <c r="FV9" s="477">
        <v>3.0499999999999999E-2</v>
      </c>
      <c r="FW9" s="477">
        <v>3.0499999999999999E-2</v>
      </c>
      <c r="FX9" s="477">
        <v>3.0499999999999999E-2</v>
      </c>
      <c r="FY9" s="477">
        <v>3.0499999999999999E-2</v>
      </c>
      <c r="FZ9" s="477">
        <v>3.0499999999999999E-2</v>
      </c>
      <c r="GA9" s="477">
        <v>3.0499999999999999E-2</v>
      </c>
      <c r="GB9" s="477">
        <v>3.0499999999999999E-2</v>
      </c>
      <c r="GC9" s="477">
        <v>3.0499999999999999E-2</v>
      </c>
      <c r="GD9" s="477">
        <v>1.8499999999999999E-2</v>
      </c>
      <c r="GE9" s="477">
        <v>1.8499999999999999E-2</v>
      </c>
      <c r="GF9" s="477">
        <v>1.8499999999999999E-2</v>
      </c>
      <c r="GG9" s="477">
        <v>1.8499999999999999E-2</v>
      </c>
      <c r="GH9" s="477">
        <v>1.8499999999999999E-2</v>
      </c>
      <c r="GI9" s="477">
        <v>1.8499999999999999E-2</v>
      </c>
      <c r="GJ9" s="477">
        <v>1.8499999999999999E-2</v>
      </c>
      <c r="GK9" s="477">
        <v>1.8499999999999999E-2</v>
      </c>
      <c r="GL9" s="477">
        <v>1.8499999999999999E-2</v>
      </c>
      <c r="GM9" s="477">
        <v>1.8499999999999999E-2</v>
      </c>
      <c r="GN9" s="477">
        <v>1.8499999999999999E-2</v>
      </c>
      <c r="GO9" s="477">
        <v>1.8499999999999999E-2</v>
      </c>
      <c r="GP9" s="477">
        <v>1.8499999999999999E-2</v>
      </c>
      <c r="GQ9" s="477">
        <v>1.8499999999999999E-2</v>
      </c>
      <c r="GR9" s="477">
        <v>1.8499999999999999E-2</v>
      </c>
      <c r="GS9" s="477">
        <v>1.8499999999999999E-2</v>
      </c>
      <c r="GT9" s="477">
        <v>1.8499999999999999E-2</v>
      </c>
      <c r="GU9" s="477">
        <v>1.8499999999999999E-2</v>
      </c>
      <c r="GV9" s="477">
        <v>1.8499999999999999E-2</v>
      </c>
      <c r="GW9" s="477">
        <v>1.8499999999999999E-2</v>
      </c>
      <c r="GX9" s="477">
        <v>1.8499999999999999E-2</v>
      </c>
      <c r="GY9" s="477">
        <v>1.8499999999999999E-2</v>
      </c>
      <c r="GZ9" s="477">
        <v>1.8499999999999999E-2</v>
      </c>
      <c r="HA9" s="477">
        <v>1.8499999999999999E-2</v>
      </c>
      <c r="HB9" s="477">
        <v>1.8499999999999999E-2</v>
      </c>
      <c r="HC9" s="477">
        <v>1.8499999999999999E-2</v>
      </c>
      <c r="HD9" s="477">
        <v>1.8499999999999999E-2</v>
      </c>
      <c r="HE9" s="477">
        <v>1.8499999999999999E-2</v>
      </c>
      <c r="HF9" s="477">
        <v>1.8499999999999999E-2</v>
      </c>
      <c r="HG9" s="477">
        <v>1.8499999999999999E-2</v>
      </c>
      <c r="HH9" s="477">
        <v>1.8499999999999999E-2</v>
      </c>
      <c r="HI9" s="477">
        <v>1.8499999999999999E-2</v>
      </c>
      <c r="HJ9" s="477">
        <v>1.8499999999999999E-2</v>
      </c>
      <c r="HK9" s="477">
        <v>1.8499999999999999E-2</v>
      </c>
      <c r="HL9" s="477">
        <v>1.8499999999999999E-2</v>
      </c>
      <c r="HM9" s="477">
        <v>1.8499999999999999E-2</v>
      </c>
      <c r="HN9" s="477">
        <v>1.8499999999999999E-2</v>
      </c>
      <c r="HO9" s="477">
        <v>1.8499999999999999E-2</v>
      </c>
      <c r="HP9" s="473">
        <f t="shared" si="0"/>
        <v>0</v>
      </c>
      <c r="HQ9" s="1136"/>
    </row>
    <row r="10" spans="2:225">
      <c r="B10" s="1129"/>
      <c r="C10" s="730" t="s">
        <v>220</v>
      </c>
      <c r="D10" s="476">
        <v>2.7E-2</v>
      </c>
      <c r="E10" s="476">
        <v>2.7E-2</v>
      </c>
      <c r="F10" s="476">
        <v>2.7E-2</v>
      </c>
      <c r="G10" s="476">
        <v>2.7E-2</v>
      </c>
      <c r="H10" s="476">
        <v>2.7E-2</v>
      </c>
      <c r="I10" s="476">
        <v>2.7E-2</v>
      </c>
      <c r="J10" s="476">
        <v>2.7E-2</v>
      </c>
      <c r="K10" s="476">
        <v>2.7E-2</v>
      </c>
      <c r="L10" s="493">
        <v>2.7E-2</v>
      </c>
      <c r="M10" s="476">
        <v>2.8500000000000001E-2</v>
      </c>
      <c r="N10" s="476">
        <v>2.8500000000000001E-2</v>
      </c>
      <c r="O10" s="476">
        <v>2.8500000000000001E-2</v>
      </c>
      <c r="P10" s="476">
        <v>3.1E-2</v>
      </c>
      <c r="Q10" s="476">
        <v>3.1E-2</v>
      </c>
      <c r="R10" s="476">
        <v>3.1E-2</v>
      </c>
      <c r="S10" s="476">
        <v>3.1E-2</v>
      </c>
      <c r="T10" s="476">
        <v>3.1E-2</v>
      </c>
      <c r="U10" s="476">
        <v>3.1E-2</v>
      </c>
      <c r="V10" s="476">
        <v>3.1E-2</v>
      </c>
      <c r="W10" s="476">
        <v>3.1E-2</v>
      </c>
      <c r="X10" s="476">
        <v>3.1E-2</v>
      </c>
      <c r="Y10" s="476">
        <v>3.1E-2</v>
      </c>
      <c r="Z10" s="476">
        <v>3.1E-2</v>
      </c>
      <c r="AA10" s="476">
        <v>3.1E-2</v>
      </c>
      <c r="AB10" s="476">
        <v>3.1E-2</v>
      </c>
      <c r="AC10" s="474" t="s">
        <v>124</v>
      </c>
      <c r="AD10" s="474" t="s">
        <v>124</v>
      </c>
      <c r="AE10" s="474" t="s">
        <v>124</v>
      </c>
      <c r="AF10" s="474" t="s">
        <v>124</v>
      </c>
      <c r="AG10" s="474" t="s">
        <v>124</v>
      </c>
      <c r="AH10" s="474" t="s">
        <v>124</v>
      </c>
      <c r="AI10" s="474" t="s">
        <v>124</v>
      </c>
      <c r="AJ10" s="474" t="s">
        <v>124</v>
      </c>
      <c r="AK10" s="474" t="s">
        <v>124</v>
      </c>
      <c r="AL10" s="475" t="s">
        <v>124</v>
      </c>
      <c r="AM10" s="474" t="s">
        <v>124</v>
      </c>
      <c r="AN10" s="474" t="s">
        <v>124</v>
      </c>
      <c r="AO10" s="474" t="s">
        <v>124</v>
      </c>
      <c r="AP10" s="474" t="s">
        <v>124</v>
      </c>
      <c r="AQ10" s="474" t="s">
        <v>124</v>
      </c>
      <c r="AR10" s="474" t="s">
        <v>124</v>
      </c>
      <c r="AS10" s="474" t="s">
        <v>124</v>
      </c>
      <c r="AT10" s="474" t="s">
        <v>124</v>
      </c>
      <c r="AU10" s="476">
        <v>3.1E-2</v>
      </c>
      <c r="AV10" s="477">
        <v>3.1E-2</v>
      </c>
      <c r="AW10" s="477">
        <v>3.1E-2</v>
      </c>
      <c r="AX10" s="477">
        <v>3.1E-2</v>
      </c>
      <c r="AY10" s="477">
        <v>3.1E-2</v>
      </c>
      <c r="AZ10" s="477">
        <v>3.1E-2</v>
      </c>
      <c r="BA10" s="477">
        <v>3.1E-2</v>
      </c>
      <c r="BB10" s="477">
        <v>3.1E-2</v>
      </c>
      <c r="BC10" s="477">
        <v>3.1E-2</v>
      </c>
      <c r="BD10" s="477">
        <v>3.1E-2</v>
      </c>
      <c r="BE10" s="477">
        <v>3.1E-2</v>
      </c>
      <c r="BF10" s="477">
        <v>3.1E-2</v>
      </c>
      <c r="BG10" s="477">
        <v>3.1E-2</v>
      </c>
      <c r="BH10" s="477">
        <v>3.1E-2</v>
      </c>
      <c r="BI10" s="477">
        <v>3.1E-2</v>
      </c>
      <c r="BJ10" s="477">
        <v>3.1E-2</v>
      </c>
      <c r="BK10" s="477">
        <v>3.1E-2</v>
      </c>
      <c r="BL10" s="477">
        <v>3.1E-2</v>
      </c>
      <c r="BM10" s="477">
        <v>3.1E-2</v>
      </c>
      <c r="BN10" s="477">
        <v>3.1E-2</v>
      </c>
      <c r="BO10" s="477">
        <v>3.1E-2</v>
      </c>
      <c r="BP10" s="477">
        <v>3.1E-2</v>
      </c>
      <c r="BQ10" s="477">
        <v>3.1E-2</v>
      </c>
      <c r="BR10" s="477">
        <v>3.1E-2</v>
      </c>
      <c r="BS10" s="477">
        <v>3.1E-2</v>
      </c>
      <c r="BT10" s="477">
        <v>3.1E-2</v>
      </c>
      <c r="BU10" s="477">
        <v>3.1E-2</v>
      </c>
      <c r="BV10" s="477">
        <v>3.1E-2</v>
      </c>
      <c r="BW10" s="477">
        <v>3.1E-2</v>
      </c>
      <c r="BX10" s="477">
        <v>3.1E-2</v>
      </c>
      <c r="BY10" s="477">
        <v>3.1E-2</v>
      </c>
      <c r="BZ10" s="477">
        <v>3.1E-2</v>
      </c>
      <c r="CA10" s="477">
        <v>3.1E-2</v>
      </c>
      <c r="CB10" s="477">
        <v>3.1E-2</v>
      </c>
      <c r="CC10" s="477">
        <v>3.1E-2</v>
      </c>
      <c r="CD10" s="477">
        <v>3.1E-2</v>
      </c>
      <c r="CE10" s="477">
        <v>3.1E-2</v>
      </c>
      <c r="CF10" s="477">
        <v>3.1E-2</v>
      </c>
      <c r="CG10" s="477">
        <v>3.1E-2</v>
      </c>
      <c r="CH10" s="477">
        <v>3.1E-2</v>
      </c>
      <c r="CI10" s="477">
        <v>3.1E-2</v>
      </c>
      <c r="CJ10" s="477">
        <v>3.1E-2</v>
      </c>
      <c r="CK10" s="477">
        <v>3.1E-2</v>
      </c>
      <c r="CL10" s="477">
        <v>3.1E-2</v>
      </c>
      <c r="CM10" s="477">
        <v>3.1E-2</v>
      </c>
      <c r="CN10" s="477">
        <v>3.1E-2</v>
      </c>
      <c r="CO10" s="477">
        <v>3.1E-2</v>
      </c>
      <c r="CP10" s="477">
        <v>3.1E-2</v>
      </c>
      <c r="CQ10" s="477">
        <v>3.1E-2</v>
      </c>
      <c r="CR10" s="477">
        <v>3.1E-2</v>
      </c>
      <c r="CS10" s="477">
        <v>3.1E-2</v>
      </c>
      <c r="CT10" s="477">
        <v>3.1E-2</v>
      </c>
      <c r="CU10" s="477">
        <v>3.1E-2</v>
      </c>
      <c r="CV10" s="477">
        <v>3.1E-2</v>
      </c>
      <c r="CW10" s="477">
        <v>3.1E-2</v>
      </c>
      <c r="CX10" s="477">
        <v>3.1E-2</v>
      </c>
      <c r="CY10" s="477">
        <v>3.1E-2</v>
      </c>
      <c r="CZ10" s="477">
        <v>3.1E-2</v>
      </c>
      <c r="DA10" s="477">
        <v>3.1E-2</v>
      </c>
      <c r="DB10" s="477">
        <v>3.1E-2</v>
      </c>
      <c r="DC10" s="477">
        <v>3.1E-2</v>
      </c>
      <c r="DD10" s="477">
        <v>3.1E-2</v>
      </c>
      <c r="DE10" s="477">
        <v>3.1E-2</v>
      </c>
      <c r="DF10" s="477">
        <v>3.1E-2</v>
      </c>
      <c r="DG10" s="477">
        <v>3.1E-2</v>
      </c>
      <c r="DH10" s="477">
        <v>3.1E-2</v>
      </c>
      <c r="DI10" s="477">
        <v>3.1E-2</v>
      </c>
      <c r="DJ10" s="477">
        <v>3.1E-2</v>
      </c>
      <c r="DK10" s="477">
        <v>3.1E-2</v>
      </c>
      <c r="DL10" s="477">
        <v>3.1E-2</v>
      </c>
      <c r="DM10" s="477">
        <v>3.1E-2</v>
      </c>
      <c r="DN10" s="477">
        <v>3.1E-2</v>
      </c>
      <c r="DO10" s="477">
        <v>3.1E-2</v>
      </c>
      <c r="DP10" s="477">
        <v>3.1E-2</v>
      </c>
      <c r="DQ10" s="477">
        <v>3.1E-2</v>
      </c>
      <c r="DR10" s="477">
        <v>3.1E-2</v>
      </c>
      <c r="DS10" s="477">
        <v>3.1E-2</v>
      </c>
      <c r="DT10" s="477">
        <v>3.1E-2</v>
      </c>
      <c r="DU10" s="477">
        <v>3.1E-2</v>
      </c>
      <c r="DV10" s="477">
        <v>3.1E-2</v>
      </c>
      <c r="DW10" s="477">
        <v>3.1E-2</v>
      </c>
      <c r="DX10" s="477">
        <v>3.1E-2</v>
      </c>
      <c r="DY10" s="477">
        <v>3.1E-2</v>
      </c>
      <c r="DZ10" s="477">
        <v>3.1E-2</v>
      </c>
      <c r="EA10" s="477">
        <v>3.1E-2</v>
      </c>
      <c r="EB10" s="477">
        <v>3.1E-2</v>
      </c>
      <c r="EC10" s="477">
        <v>3.1E-2</v>
      </c>
      <c r="ED10" s="477">
        <v>3.1E-2</v>
      </c>
      <c r="EE10" s="477">
        <v>3.1E-2</v>
      </c>
      <c r="EF10" s="477">
        <v>3.1E-2</v>
      </c>
      <c r="EG10" s="477">
        <v>3.1E-2</v>
      </c>
      <c r="EH10" s="477">
        <v>3.1E-2</v>
      </c>
      <c r="EI10" s="477">
        <v>3.1E-2</v>
      </c>
      <c r="EJ10" s="477">
        <v>3.1E-2</v>
      </c>
      <c r="EK10" s="477">
        <v>3.1E-2</v>
      </c>
      <c r="EL10" s="477">
        <v>3.1E-2</v>
      </c>
      <c r="EM10" s="477">
        <v>3.1E-2</v>
      </c>
      <c r="EN10" s="477">
        <v>3.1E-2</v>
      </c>
      <c r="EO10" s="477">
        <v>3.1E-2</v>
      </c>
      <c r="EP10" s="477">
        <v>3.1E-2</v>
      </c>
      <c r="EQ10" s="477">
        <v>3.1E-2</v>
      </c>
      <c r="ER10" s="477">
        <v>3.1E-2</v>
      </c>
      <c r="ES10" s="477">
        <v>3.1E-2</v>
      </c>
      <c r="ET10" s="477">
        <v>3.1E-2</v>
      </c>
      <c r="EU10" s="477">
        <v>3.1E-2</v>
      </c>
      <c r="EV10" s="477">
        <v>3.1E-2</v>
      </c>
      <c r="EW10" s="477">
        <v>3.1E-2</v>
      </c>
      <c r="EX10" s="477">
        <v>3.1E-2</v>
      </c>
      <c r="EY10" s="477">
        <v>3.1E-2</v>
      </c>
      <c r="EZ10" s="477">
        <v>3.1E-2</v>
      </c>
      <c r="FA10" s="477">
        <v>3.1E-2</v>
      </c>
      <c r="FB10" s="477">
        <v>3.1E-2</v>
      </c>
      <c r="FC10" s="477">
        <v>3.1E-2</v>
      </c>
      <c r="FD10" s="477">
        <v>3.1E-2</v>
      </c>
      <c r="FE10" s="477">
        <v>3.1E-2</v>
      </c>
      <c r="FF10" s="477">
        <v>3.1E-2</v>
      </c>
      <c r="FG10" s="477">
        <v>3.1E-2</v>
      </c>
      <c r="FH10" s="477">
        <v>3.1E-2</v>
      </c>
      <c r="FI10" s="477">
        <v>3.1E-2</v>
      </c>
      <c r="FJ10" s="477">
        <v>3.1E-2</v>
      </c>
      <c r="FK10" s="477">
        <v>3.1E-2</v>
      </c>
      <c r="FL10" s="477">
        <v>3.1E-2</v>
      </c>
      <c r="FM10" s="477">
        <v>3.1E-2</v>
      </c>
      <c r="FN10" s="477">
        <v>3.1E-2</v>
      </c>
      <c r="FO10" s="477">
        <v>3.1E-2</v>
      </c>
      <c r="FP10" s="477">
        <v>3.1E-2</v>
      </c>
      <c r="FQ10" s="477">
        <v>3.1E-2</v>
      </c>
      <c r="FR10" s="477">
        <v>3.1E-2</v>
      </c>
      <c r="FS10" s="477">
        <v>3.1E-2</v>
      </c>
      <c r="FT10" s="477">
        <v>3.1E-2</v>
      </c>
      <c r="FU10" s="477">
        <v>3.1E-2</v>
      </c>
      <c r="FV10" s="477">
        <v>3.1E-2</v>
      </c>
      <c r="FW10" s="477">
        <v>3.1E-2</v>
      </c>
      <c r="FX10" s="477">
        <v>3.1E-2</v>
      </c>
      <c r="FY10" s="477">
        <v>3.1E-2</v>
      </c>
      <c r="FZ10" s="477">
        <v>3.1E-2</v>
      </c>
      <c r="GA10" s="477">
        <v>3.1E-2</v>
      </c>
      <c r="GB10" s="477">
        <v>3.1E-2</v>
      </c>
      <c r="GC10" s="477">
        <v>3.1E-2</v>
      </c>
      <c r="GD10" s="477">
        <v>1.9E-2</v>
      </c>
      <c r="GE10" s="477">
        <v>1.9E-2</v>
      </c>
      <c r="GF10" s="477">
        <v>1.9E-2</v>
      </c>
      <c r="GG10" s="477">
        <v>1.9E-2</v>
      </c>
      <c r="GH10" s="477">
        <v>1.9E-2</v>
      </c>
      <c r="GI10" s="477">
        <v>1.9E-2</v>
      </c>
      <c r="GJ10" s="477">
        <v>1.9E-2</v>
      </c>
      <c r="GK10" s="477">
        <v>1.9E-2</v>
      </c>
      <c r="GL10" s="477">
        <v>1.9E-2</v>
      </c>
      <c r="GM10" s="477">
        <v>1.9E-2</v>
      </c>
      <c r="GN10" s="477">
        <v>1.9E-2</v>
      </c>
      <c r="GO10" s="477">
        <v>1.9E-2</v>
      </c>
      <c r="GP10" s="477">
        <v>1.9E-2</v>
      </c>
      <c r="GQ10" s="477">
        <v>1.9E-2</v>
      </c>
      <c r="GR10" s="477">
        <v>1.9E-2</v>
      </c>
      <c r="GS10" s="477">
        <v>1.9E-2</v>
      </c>
      <c r="GT10" s="477">
        <v>1.9E-2</v>
      </c>
      <c r="GU10" s="477">
        <v>1.9E-2</v>
      </c>
      <c r="GV10" s="477">
        <v>1.9E-2</v>
      </c>
      <c r="GW10" s="477">
        <v>1.9E-2</v>
      </c>
      <c r="GX10" s="477">
        <v>1.9E-2</v>
      </c>
      <c r="GY10" s="477">
        <v>1.9E-2</v>
      </c>
      <c r="GZ10" s="477">
        <v>1.9E-2</v>
      </c>
      <c r="HA10" s="477">
        <v>1.9E-2</v>
      </c>
      <c r="HB10" s="477">
        <v>1.9E-2</v>
      </c>
      <c r="HC10" s="477">
        <v>1.9E-2</v>
      </c>
      <c r="HD10" s="477">
        <v>1.9E-2</v>
      </c>
      <c r="HE10" s="477">
        <v>1.9E-2</v>
      </c>
      <c r="HF10" s="477">
        <v>1.9E-2</v>
      </c>
      <c r="HG10" s="477">
        <v>1.9E-2</v>
      </c>
      <c r="HH10" s="477">
        <v>1.9E-2</v>
      </c>
      <c r="HI10" s="477">
        <v>1.9E-2</v>
      </c>
      <c r="HJ10" s="477">
        <v>1.9E-2</v>
      </c>
      <c r="HK10" s="477">
        <v>1.9E-2</v>
      </c>
      <c r="HL10" s="477">
        <v>1.9E-2</v>
      </c>
      <c r="HM10" s="477">
        <v>1.9E-2</v>
      </c>
      <c r="HN10" s="477">
        <v>1.9E-2</v>
      </c>
      <c r="HO10" s="477">
        <v>1.9E-2</v>
      </c>
      <c r="HP10" s="473">
        <f t="shared" si="0"/>
        <v>0</v>
      </c>
      <c r="HQ10" s="1137"/>
    </row>
    <row r="11" spans="2:225">
      <c r="B11" s="1141" t="s">
        <v>26</v>
      </c>
      <c r="C11" s="731" t="s">
        <v>243</v>
      </c>
      <c r="D11" s="478">
        <v>0</v>
      </c>
      <c r="E11" s="478">
        <v>0</v>
      </c>
      <c r="F11" s="478">
        <v>0</v>
      </c>
      <c r="G11" s="478">
        <v>0</v>
      </c>
      <c r="H11" s="478">
        <v>0</v>
      </c>
      <c r="I11" s="478">
        <v>0</v>
      </c>
      <c r="J11" s="478">
        <v>0</v>
      </c>
      <c r="K11" s="478">
        <v>0</v>
      </c>
      <c r="L11" s="478">
        <v>0</v>
      </c>
      <c r="M11" s="478">
        <v>0</v>
      </c>
      <c r="N11" s="478">
        <v>0</v>
      </c>
      <c r="O11" s="478">
        <v>0</v>
      </c>
      <c r="P11" s="478">
        <v>0</v>
      </c>
      <c r="Q11" s="478">
        <v>0</v>
      </c>
      <c r="R11" s="478">
        <v>0</v>
      </c>
      <c r="S11" s="478">
        <v>0</v>
      </c>
      <c r="T11" s="478">
        <v>0</v>
      </c>
      <c r="U11" s="478">
        <v>0</v>
      </c>
      <c r="V11" s="478">
        <v>0</v>
      </c>
      <c r="W11" s="478">
        <v>0</v>
      </c>
      <c r="X11" s="478">
        <v>0</v>
      </c>
      <c r="Y11" s="478">
        <v>0</v>
      </c>
      <c r="Z11" s="478">
        <v>0</v>
      </c>
      <c r="AA11" s="478">
        <v>0</v>
      </c>
      <c r="AB11" s="478">
        <v>0</v>
      </c>
      <c r="AC11" s="478">
        <v>0</v>
      </c>
      <c r="AD11" s="478">
        <v>0</v>
      </c>
      <c r="AE11" s="478">
        <v>0</v>
      </c>
      <c r="AF11" s="478">
        <v>0</v>
      </c>
      <c r="AG11" s="478">
        <v>0</v>
      </c>
      <c r="AH11" s="478">
        <v>0</v>
      </c>
      <c r="AI11" s="478">
        <v>0</v>
      </c>
      <c r="AJ11" s="478">
        <v>0</v>
      </c>
      <c r="AK11" s="478">
        <v>0</v>
      </c>
      <c r="AL11" s="479">
        <v>0</v>
      </c>
      <c r="AM11" s="478">
        <v>0</v>
      </c>
      <c r="AN11" s="478">
        <v>0</v>
      </c>
      <c r="AO11" s="478">
        <v>0</v>
      </c>
      <c r="AP11" s="478">
        <v>0</v>
      </c>
      <c r="AQ11" s="478">
        <v>0</v>
      </c>
      <c r="AR11" s="478">
        <v>0</v>
      </c>
      <c r="AS11" s="478">
        <v>0</v>
      </c>
      <c r="AT11" s="478">
        <v>0</v>
      </c>
      <c r="AU11" s="478">
        <v>0</v>
      </c>
      <c r="AV11" s="479">
        <v>0</v>
      </c>
      <c r="AW11" s="479">
        <v>0</v>
      </c>
      <c r="AX11" s="479">
        <v>0</v>
      </c>
      <c r="AY11" s="479">
        <v>0</v>
      </c>
      <c r="AZ11" s="479">
        <v>0</v>
      </c>
      <c r="BA11" s="479">
        <v>0</v>
      </c>
      <c r="BB11" s="479">
        <v>0</v>
      </c>
      <c r="BC11" s="479">
        <v>0</v>
      </c>
      <c r="BD11" s="479">
        <v>0</v>
      </c>
      <c r="BE11" s="479">
        <v>0</v>
      </c>
      <c r="BF11" s="479">
        <v>0</v>
      </c>
      <c r="BG11" s="479">
        <v>0</v>
      </c>
      <c r="BH11" s="479">
        <v>0</v>
      </c>
      <c r="BI11" s="479">
        <v>0</v>
      </c>
      <c r="BJ11" s="479">
        <v>0</v>
      </c>
      <c r="BK11" s="479">
        <v>0</v>
      </c>
      <c r="BL11" s="479">
        <v>0</v>
      </c>
      <c r="BM11" s="479">
        <v>0</v>
      </c>
      <c r="BN11" s="479">
        <v>0</v>
      </c>
      <c r="BO11" s="479">
        <v>0</v>
      </c>
      <c r="BP11" s="479">
        <v>0</v>
      </c>
      <c r="BQ11" s="479">
        <v>0</v>
      </c>
      <c r="BR11" s="479">
        <v>0</v>
      </c>
      <c r="BS11" s="479">
        <v>0</v>
      </c>
      <c r="BT11" s="479">
        <v>0</v>
      </c>
      <c r="BU11" s="479">
        <v>0</v>
      </c>
      <c r="BV11" s="479">
        <v>0</v>
      </c>
      <c r="BW11" s="479">
        <v>0</v>
      </c>
      <c r="BX11" s="479">
        <v>0</v>
      </c>
      <c r="BY11" s="479">
        <v>0</v>
      </c>
      <c r="BZ11" s="479">
        <v>0</v>
      </c>
      <c r="CA11" s="479">
        <v>0</v>
      </c>
      <c r="CB11" s="479">
        <v>0</v>
      </c>
      <c r="CC11" s="479">
        <v>0</v>
      </c>
      <c r="CD11" s="479">
        <v>0</v>
      </c>
      <c r="CE11" s="479">
        <v>0</v>
      </c>
      <c r="CF11" s="479">
        <v>0</v>
      </c>
      <c r="CG11" s="479">
        <v>0</v>
      </c>
      <c r="CH11" s="479">
        <v>0</v>
      </c>
      <c r="CI11" s="479">
        <v>0</v>
      </c>
      <c r="CJ11" s="479">
        <v>0</v>
      </c>
      <c r="CK11" s="479">
        <v>0</v>
      </c>
      <c r="CL11" s="479">
        <v>0</v>
      </c>
      <c r="CM11" s="479">
        <v>0</v>
      </c>
      <c r="CN11" s="479">
        <v>0</v>
      </c>
      <c r="CO11" s="479">
        <v>0</v>
      </c>
      <c r="CP11" s="479">
        <v>0</v>
      </c>
      <c r="CQ11" s="479">
        <v>0</v>
      </c>
      <c r="CR11" s="479">
        <v>0</v>
      </c>
      <c r="CS11" s="479">
        <v>0</v>
      </c>
      <c r="CT11" s="479">
        <v>0</v>
      </c>
      <c r="CU11" s="479">
        <v>0</v>
      </c>
      <c r="CV11" s="479">
        <v>0</v>
      </c>
      <c r="CW11" s="479">
        <v>0</v>
      </c>
      <c r="CX11" s="479">
        <v>0</v>
      </c>
      <c r="CY11" s="479">
        <v>0</v>
      </c>
      <c r="CZ11" s="479">
        <v>0</v>
      </c>
      <c r="DA11" s="479">
        <v>0</v>
      </c>
      <c r="DB11" s="479">
        <v>0</v>
      </c>
      <c r="DC11" s="479">
        <v>0</v>
      </c>
      <c r="DD11" s="479">
        <v>0</v>
      </c>
      <c r="DE11" s="479">
        <v>0</v>
      </c>
      <c r="DF11" s="479">
        <v>0</v>
      </c>
      <c r="DG11" s="479">
        <v>0</v>
      </c>
      <c r="DH11" s="479">
        <v>0</v>
      </c>
      <c r="DI11" s="479">
        <v>0</v>
      </c>
      <c r="DJ11" s="479">
        <v>0</v>
      </c>
      <c r="DK11" s="479">
        <v>0</v>
      </c>
      <c r="DL11" s="479">
        <v>0</v>
      </c>
      <c r="DM11" s="479">
        <v>0</v>
      </c>
      <c r="DN11" s="479">
        <v>0</v>
      </c>
      <c r="DO11" s="479">
        <v>0</v>
      </c>
      <c r="DP11" s="479">
        <v>0</v>
      </c>
      <c r="DQ11" s="479">
        <v>0</v>
      </c>
      <c r="DR11" s="479">
        <v>0</v>
      </c>
      <c r="DS11" s="479">
        <v>0</v>
      </c>
      <c r="DT11" s="479">
        <v>0</v>
      </c>
      <c r="DU11" s="479">
        <v>0</v>
      </c>
      <c r="DV11" s="479">
        <v>0</v>
      </c>
      <c r="DW11" s="479">
        <v>0</v>
      </c>
      <c r="DX11" s="479">
        <v>0</v>
      </c>
      <c r="DY11" s="479">
        <v>0</v>
      </c>
      <c r="DZ11" s="479">
        <v>0</v>
      </c>
      <c r="EA11" s="479">
        <v>0</v>
      </c>
      <c r="EB11" s="479">
        <v>0</v>
      </c>
      <c r="EC11" s="479">
        <v>0</v>
      </c>
      <c r="ED11" s="479">
        <v>0</v>
      </c>
      <c r="EE11" s="479">
        <v>0</v>
      </c>
      <c r="EF11" s="479">
        <v>0</v>
      </c>
      <c r="EG11" s="479">
        <v>0</v>
      </c>
      <c r="EH11" s="479">
        <v>0</v>
      </c>
      <c r="EI11" s="479">
        <v>0</v>
      </c>
      <c r="EJ11" s="479">
        <v>0</v>
      </c>
      <c r="EK11" s="479">
        <v>0</v>
      </c>
      <c r="EL11" s="479">
        <v>0</v>
      </c>
      <c r="EM11" s="479">
        <v>0</v>
      </c>
      <c r="EN11" s="479">
        <v>0</v>
      </c>
      <c r="EO11" s="479">
        <v>0</v>
      </c>
      <c r="EP11" s="479">
        <v>0</v>
      </c>
      <c r="EQ11" s="479">
        <v>0</v>
      </c>
      <c r="ER11" s="479">
        <v>0</v>
      </c>
      <c r="ES11" s="479">
        <v>0</v>
      </c>
      <c r="ET11" s="479">
        <v>0</v>
      </c>
      <c r="EU11" s="479">
        <v>0</v>
      </c>
      <c r="EV11" s="479">
        <v>0</v>
      </c>
      <c r="EW11" s="479">
        <v>0</v>
      </c>
      <c r="EX11" s="479">
        <v>0</v>
      </c>
      <c r="EY11" s="479">
        <v>0</v>
      </c>
      <c r="EZ11" s="479">
        <v>0</v>
      </c>
      <c r="FA11" s="479">
        <v>0</v>
      </c>
      <c r="FB11" s="479">
        <v>0</v>
      </c>
      <c r="FC11" s="479">
        <v>0</v>
      </c>
      <c r="FD11" s="479">
        <v>0</v>
      </c>
      <c r="FE11" s="479">
        <v>0</v>
      </c>
      <c r="FF11" s="479">
        <v>0</v>
      </c>
      <c r="FG11" s="479">
        <v>0</v>
      </c>
      <c r="FH11" s="479">
        <v>0</v>
      </c>
      <c r="FI11" s="479">
        <v>0</v>
      </c>
      <c r="FJ11" s="479">
        <v>0</v>
      </c>
      <c r="FK11" s="479">
        <v>0</v>
      </c>
      <c r="FL11" s="479">
        <v>0</v>
      </c>
      <c r="FM11" s="479">
        <v>0</v>
      </c>
      <c r="FN11" s="479">
        <v>0</v>
      </c>
      <c r="FO11" s="479">
        <v>0</v>
      </c>
      <c r="FP11" s="479">
        <v>0</v>
      </c>
      <c r="FQ11" s="479">
        <v>0</v>
      </c>
      <c r="FR11" s="479">
        <v>0</v>
      </c>
      <c r="FS11" s="479">
        <v>0</v>
      </c>
      <c r="FT11" s="479">
        <v>0</v>
      </c>
      <c r="FU11" s="479">
        <v>0</v>
      </c>
      <c r="FV11" s="479">
        <v>0</v>
      </c>
      <c r="FW11" s="479">
        <v>0</v>
      </c>
      <c r="FX11" s="479">
        <v>0</v>
      </c>
      <c r="FY11" s="479">
        <v>0</v>
      </c>
      <c r="FZ11" s="479">
        <v>0</v>
      </c>
      <c r="GA11" s="479">
        <v>0</v>
      </c>
      <c r="GB11" s="479">
        <v>0</v>
      </c>
      <c r="GC11" s="479">
        <v>0</v>
      </c>
      <c r="GD11" s="479">
        <v>0</v>
      </c>
      <c r="GE11" s="479">
        <v>0</v>
      </c>
      <c r="GF11" s="479">
        <v>0</v>
      </c>
      <c r="GG11" s="479">
        <v>0</v>
      </c>
      <c r="GH11" s="479">
        <v>0</v>
      </c>
      <c r="GI11" s="479">
        <v>0</v>
      </c>
      <c r="GJ11" s="479">
        <v>0</v>
      </c>
      <c r="GK11" s="479">
        <v>0</v>
      </c>
      <c r="GL11" s="479">
        <v>0</v>
      </c>
      <c r="GM11" s="479">
        <v>0</v>
      </c>
      <c r="GN11" s="479">
        <v>0</v>
      </c>
      <c r="GO11" s="479">
        <v>0</v>
      </c>
      <c r="GP11" s="479">
        <v>0</v>
      </c>
      <c r="GQ11" s="479">
        <v>0</v>
      </c>
      <c r="GR11" s="479">
        <v>0</v>
      </c>
      <c r="GS11" s="479">
        <v>0</v>
      </c>
      <c r="GT11" s="479">
        <v>0</v>
      </c>
      <c r="GU11" s="479">
        <v>0</v>
      </c>
      <c r="GV11" s="479">
        <v>0</v>
      </c>
      <c r="GW11" s="479">
        <v>0</v>
      </c>
      <c r="GX11" s="479">
        <v>0</v>
      </c>
      <c r="GY11" s="479">
        <v>0</v>
      </c>
      <c r="GZ11" s="479">
        <v>0</v>
      </c>
      <c r="HA11" s="479">
        <v>0</v>
      </c>
      <c r="HB11" s="479">
        <v>0</v>
      </c>
      <c r="HC11" s="479">
        <v>0</v>
      </c>
      <c r="HD11" s="479">
        <v>0</v>
      </c>
      <c r="HE11" s="479">
        <v>0</v>
      </c>
      <c r="HF11" s="479">
        <v>0</v>
      </c>
      <c r="HG11" s="479">
        <v>0</v>
      </c>
      <c r="HH11" s="479">
        <v>0</v>
      </c>
      <c r="HI11" s="479">
        <v>0</v>
      </c>
      <c r="HJ11" s="479">
        <v>0</v>
      </c>
      <c r="HK11" s="479">
        <v>0</v>
      </c>
      <c r="HL11" s="479">
        <v>0</v>
      </c>
      <c r="HM11" s="479">
        <v>0</v>
      </c>
      <c r="HN11" s="479">
        <v>0</v>
      </c>
      <c r="HO11" s="479">
        <v>0</v>
      </c>
      <c r="HP11" s="473">
        <f t="shared" si="0"/>
        <v>0</v>
      </c>
      <c r="HQ11" s="1145"/>
    </row>
    <row r="12" spans="2:225">
      <c r="B12" s="1141"/>
      <c r="C12" s="731" t="s">
        <v>242</v>
      </c>
      <c r="D12" s="478">
        <v>0</v>
      </c>
      <c r="E12" s="478">
        <v>0</v>
      </c>
      <c r="F12" s="478">
        <v>0</v>
      </c>
      <c r="G12" s="478">
        <v>0</v>
      </c>
      <c r="H12" s="478">
        <v>0</v>
      </c>
      <c r="I12" s="478">
        <v>0</v>
      </c>
      <c r="J12" s="478">
        <v>0</v>
      </c>
      <c r="K12" s="478">
        <v>0</v>
      </c>
      <c r="L12" s="478">
        <v>0</v>
      </c>
      <c r="M12" s="478">
        <v>0</v>
      </c>
      <c r="N12" s="478">
        <v>0</v>
      </c>
      <c r="O12" s="478">
        <v>0</v>
      </c>
      <c r="P12" s="478">
        <v>0</v>
      </c>
      <c r="Q12" s="478">
        <v>0</v>
      </c>
      <c r="R12" s="478">
        <v>0</v>
      </c>
      <c r="S12" s="478">
        <v>0</v>
      </c>
      <c r="T12" s="478">
        <v>0</v>
      </c>
      <c r="U12" s="478">
        <v>0</v>
      </c>
      <c r="V12" s="478">
        <v>0</v>
      </c>
      <c r="W12" s="478">
        <v>0</v>
      </c>
      <c r="X12" s="478">
        <v>0</v>
      </c>
      <c r="Y12" s="478">
        <v>0</v>
      </c>
      <c r="Z12" s="478">
        <v>0</v>
      </c>
      <c r="AA12" s="478">
        <v>0</v>
      </c>
      <c r="AB12" s="478">
        <v>0</v>
      </c>
      <c r="AC12" s="478">
        <v>0</v>
      </c>
      <c r="AD12" s="478">
        <v>0</v>
      </c>
      <c r="AE12" s="478">
        <v>0</v>
      </c>
      <c r="AF12" s="478">
        <v>0</v>
      </c>
      <c r="AG12" s="478">
        <v>0</v>
      </c>
      <c r="AH12" s="478">
        <v>0</v>
      </c>
      <c r="AI12" s="478">
        <v>0</v>
      </c>
      <c r="AJ12" s="478">
        <v>0</v>
      </c>
      <c r="AK12" s="478">
        <v>0</v>
      </c>
      <c r="AL12" s="479">
        <v>0</v>
      </c>
      <c r="AM12" s="478">
        <v>0</v>
      </c>
      <c r="AN12" s="478">
        <v>0</v>
      </c>
      <c r="AO12" s="478">
        <v>0</v>
      </c>
      <c r="AP12" s="478">
        <v>0</v>
      </c>
      <c r="AQ12" s="478">
        <v>0</v>
      </c>
      <c r="AR12" s="478">
        <v>0</v>
      </c>
      <c r="AS12" s="478">
        <v>0</v>
      </c>
      <c r="AT12" s="478">
        <v>0</v>
      </c>
      <c r="AU12" s="478">
        <v>0</v>
      </c>
      <c r="AV12" s="479">
        <v>0</v>
      </c>
      <c r="AW12" s="479">
        <v>0</v>
      </c>
      <c r="AX12" s="479">
        <v>0</v>
      </c>
      <c r="AY12" s="479">
        <v>0</v>
      </c>
      <c r="AZ12" s="479">
        <v>0</v>
      </c>
      <c r="BA12" s="479">
        <v>0</v>
      </c>
      <c r="BB12" s="479">
        <v>0</v>
      </c>
      <c r="BC12" s="479">
        <v>0</v>
      </c>
      <c r="BD12" s="479">
        <v>0</v>
      </c>
      <c r="BE12" s="479">
        <v>0</v>
      </c>
      <c r="BF12" s="479">
        <v>0</v>
      </c>
      <c r="BG12" s="479">
        <v>0</v>
      </c>
      <c r="BH12" s="479">
        <v>0</v>
      </c>
      <c r="BI12" s="479">
        <v>0</v>
      </c>
      <c r="BJ12" s="479">
        <v>0</v>
      </c>
      <c r="BK12" s="479">
        <v>0</v>
      </c>
      <c r="BL12" s="479">
        <v>0</v>
      </c>
      <c r="BM12" s="479">
        <v>0</v>
      </c>
      <c r="BN12" s="479">
        <v>0</v>
      </c>
      <c r="BO12" s="479">
        <v>0</v>
      </c>
      <c r="BP12" s="479">
        <v>0</v>
      </c>
      <c r="BQ12" s="479">
        <v>0</v>
      </c>
      <c r="BR12" s="479">
        <v>0</v>
      </c>
      <c r="BS12" s="479">
        <v>0</v>
      </c>
      <c r="BT12" s="479">
        <v>0</v>
      </c>
      <c r="BU12" s="479">
        <v>0</v>
      </c>
      <c r="BV12" s="479">
        <v>0</v>
      </c>
      <c r="BW12" s="479">
        <v>0</v>
      </c>
      <c r="BX12" s="479">
        <v>0</v>
      </c>
      <c r="BY12" s="479">
        <v>0</v>
      </c>
      <c r="BZ12" s="479">
        <v>0</v>
      </c>
      <c r="CA12" s="479">
        <v>0</v>
      </c>
      <c r="CB12" s="479">
        <v>0</v>
      </c>
      <c r="CC12" s="479">
        <v>0</v>
      </c>
      <c r="CD12" s="479">
        <v>0</v>
      </c>
      <c r="CE12" s="479">
        <v>0</v>
      </c>
      <c r="CF12" s="479">
        <v>0</v>
      </c>
      <c r="CG12" s="479">
        <v>0</v>
      </c>
      <c r="CH12" s="479">
        <v>0</v>
      </c>
      <c r="CI12" s="479">
        <v>0</v>
      </c>
      <c r="CJ12" s="479">
        <v>0</v>
      </c>
      <c r="CK12" s="479">
        <v>0</v>
      </c>
      <c r="CL12" s="479">
        <v>0</v>
      </c>
      <c r="CM12" s="479">
        <v>0</v>
      </c>
      <c r="CN12" s="479">
        <v>0</v>
      </c>
      <c r="CO12" s="479">
        <v>0</v>
      </c>
      <c r="CP12" s="479">
        <v>0</v>
      </c>
      <c r="CQ12" s="479">
        <v>0</v>
      </c>
      <c r="CR12" s="479">
        <v>0</v>
      </c>
      <c r="CS12" s="479">
        <v>0</v>
      </c>
      <c r="CT12" s="479">
        <v>0</v>
      </c>
      <c r="CU12" s="479">
        <v>0</v>
      </c>
      <c r="CV12" s="479">
        <v>0</v>
      </c>
      <c r="CW12" s="479">
        <v>0</v>
      </c>
      <c r="CX12" s="479">
        <v>0</v>
      </c>
      <c r="CY12" s="479">
        <v>0</v>
      </c>
      <c r="CZ12" s="479">
        <v>0</v>
      </c>
      <c r="DA12" s="479">
        <v>0</v>
      </c>
      <c r="DB12" s="479">
        <v>0</v>
      </c>
      <c r="DC12" s="479">
        <v>0</v>
      </c>
      <c r="DD12" s="479">
        <v>0</v>
      </c>
      <c r="DE12" s="479">
        <v>0</v>
      </c>
      <c r="DF12" s="479">
        <v>0</v>
      </c>
      <c r="DG12" s="479">
        <v>0</v>
      </c>
      <c r="DH12" s="479">
        <v>0</v>
      </c>
      <c r="DI12" s="479">
        <v>0</v>
      </c>
      <c r="DJ12" s="479">
        <v>0</v>
      </c>
      <c r="DK12" s="479">
        <v>0</v>
      </c>
      <c r="DL12" s="479">
        <v>0</v>
      </c>
      <c r="DM12" s="479">
        <v>0</v>
      </c>
      <c r="DN12" s="479">
        <v>0</v>
      </c>
      <c r="DO12" s="479">
        <v>0</v>
      </c>
      <c r="DP12" s="479">
        <v>0</v>
      </c>
      <c r="DQ12" s="479">
        <v>0</v>
      </c>
      <c r="DR12" s="479">
        <v>0</v>
      </c>
      <c r="DS12" s="479">
        <v>0</v>
      </c>
      <c r="DT12" s="479">
        <v>0</v>
      </c>
      <c r="DU12" s="479">
        <v>0</v>
      </c>
      <c r="DV12" s="479">
        <v>0</v>
      </c>
      <c r="DW12" s="479">
        <v>0</v>
      </c>
      <c r="DX12" s="479">
        <v>0</v>
      </c>
      <c r="DY12" s="479">
        <v>0</v>
      </c>
      <c r="DZ12" s="479">
        <v>0</v>
      </c>
      <c r="EA12" s="479">
        <v>0</v>
      </c>
      <c r="EB12" s="479">
        <v>0</v>
      </c>
      <c r="EC12" s="479">
        <v>0</v>
      </c>
      <c r="ED12" s="479">
        <v>0</v>
      </c>
      <c r="EE12" s="479">
        <v>0</v>
      </c>
      <c r="EF12" s="479">
        <v>0</v>
      </c>
      <c r="EG12" s="479">
        <v>0</v>
      </c>
      <c r="EH12" s="479">
        <v>0</v>
      </c>
      <c r="EI12" s="479">
        <v>0</v>
      </c>
      <c r="EJ12" s="479">
        <v>0</v>
      </c>
      <c r="EK12" s="479">
        <v>0</v>
      </c>
      <c r="EL12" s="479">
        <v>0</v>
      </c>
      <c r="EM12" s="479">
        <v>0</v>
      </c>
      <c r="EN12" s="479">
        <v>0</v>
      </c>
      <c r="EO12" s="479">
        <v>0</v>
      </c>
      <c r="EP12" s="479">
        <v>0</v>
      </c>
      <c r="EQ12" s="479">
        <v>0</v>
      </c>
      <c r="ER12" s="479">
        <v>0</v>
      </c>
      <c r="ES12" s="479">
        <v>0</v>
      </c>
      <c r="ET12" s="479">
        <v>0</v>
      </c>
      <c r="EU12" s="479">
        <v>0</v>
      </c>
      <c r="EV12" s="479">
        <v>0</v>
      </c>
      <c r="EW12" s="479">
        <v>0</v>
      </c>
      <c r="EX12" s="479">
        <v>0</v>
      </c>
      <c r="EY12" s="479">
        <v>0</v>
      </c>
      <c r="EZ12" s="479">
        <v>0</v>
      </c>
      <c r="FA12" s="479">
        <v>0</v>
      </c>
      <c r="FB12" s="479">
        <v>0</v>
      </c>
      <c r="FC12" s="479">
        <v>0</v>
      </c>
      <c r="FD12" s="479">
        <v>0</v>
      </c>
      <c r="FE12" s="479">
        <v>0</v>
      </c>
      <c r="FF12" s="479">
        <v>0</v>
      </c>
      <c r="FG12" s="479">
        <v>0</v>
      </c>
      <c r="FH12" s="479">
        <v>0</v>
      </c>
      <c r="FI12" s="479">
        <v>0</v>
      </c>
      <c r="FJ12" s="479">
        <v>0</v>
      </c>
      <c r="FK12" s="479">
        <v>0</v>
      </c>
      <c r="FL12" s="479">
        <v>0</v>
      </c>
      <c r="FM12" s="479">
        <v>0</v>
      </c>
      <c r="FN12" s="479">
        <v>0</v>
      </c>
      <c r="FO12" s="479">
        <v>0</v>
      </c>
      <c r="FP12" s="479">
        <v>0</v>
      </c>
      <c r="FQ12" s="479">
        <v>0</v>
      </c>
      <c r="FR12" s="479">
        <v>0</v>
      </c>
      <c r="FS12" s="479">
        <v>0</v>
      </c>
      <c r="FT12" s="479">
        <v>0</v>
      </c>
      <c r="FU12" s="479">
        <v>0</v>
      </c>
      <c r="FV12" s="479">
        <v>0</v>
      </c>
      <c r="FW12" s="479">
        <v>0</v>
      </c>
      <c r="FX12" s="479">
        <v>0</v>
      </c>
      <c r="FY12" s="479">
        <v>0</v>
      </c>
      <c r="FZ12" s="479">
        <v>0</v>
      </c>
      <c r="GA12" s="479">
        <v>0</v>
      </c>
      <c r="GB12" s="479">
        <v>0</v>
      </c>
      <c r="GC12" s="479">
        <v>0</v>
      </c>
      <c r="GD12" s="479">
        <v>0</v>
      </c>
      <c r="GE12" s="479">
        <v>0</v>
      </c>
      <c r="GF12" s="479">
        <v>0</v>
      </c>
      <c r="GG12" s="479">
        <v>0</v>
      </c>
      <c r="GH12" s="479">
        <v>0</v>
      </c>
      <c r="GI12" s="479">
        <v>0</v>
      </c>
      <c r="GJ12" s="479">
        <v>0</v>
      </c>
      <c r="GK12" s="479">
        <v>0</v>
      </c>
      <c r="GL12" s="479">
        <v>0</v>
      </c>
      <c r="GM12" s="479">
        <v>0</v>
      </c>
      <c r="GN12" s="479">
        <v>0</v>
      </c>
      <c r="GO12" s="479">
        <v>0</v>
      </c>
      <c r="GP12" s="479">
        <v>0</v>
      </c>
      <c r="GQ12" s="479">
        <v>0</v>
      </c>
      <c r="GR12" s="479">
        <v>0</v>
      </c>
      <c r="GS12" s="479">
        <v>0</v>
      </c>
      <c r="GT12" s="479">
        <v>0</v>
      </c>
      <c r="GU12" s="479">
        <v>0</v>
      </c>
      <c r="GV12" s="479">
        <v>0</v>
      </c>
      <c r="GW12" s="479">
        <v>0</v>
      </c>
      <c r="GX12" s="479">
        <v>0</v>
      </c>
      <c r="GY12" s="479">
        <v>0</v>
      </c>
      <c r="GZ12" s="479">
        <v>0</v>
      </c>
      <c r="HA12" s="479">
        <v>0</v>
      </c>
      <c r="HB12" s="479">
        <v>0</v>
      </c>
      <c r="HC12" s="479">
        <v>0</v>
      </c>
      <c r="HD12" s="479">
        <v>0</v>
      </c>
      <c r="HE12" s="479">
        <v>0</v>
      </c>
      <c r="HF12" s="479">
        <v>0</v>
      </c>
      <c r="HG12" s="479">
        <v>0</v>
      </c>
      <c r="HH12" s="479">
        <v>0</v>
      </c>
      <c r="HI12" s="479">
        <v>0</v>
      </c>
      <c r="HJ12" s="479">
        <v>0</v>
      </c>
      <c r="HK12" s="479">
        <v>0</v>
      </c>
      <c r="HL12" s="479">
        <v>0</v>
      </c>
      <c r="HM12" s="479">
        <v>0</v>
      </c>
      <c r="HN12" s="479">
        <v>0</v>
      </c>
      <c r="HO12" s="479">
        <v>0</v>
      </c>
      <c r="HP12" s="473">
        <f t="shared" si="0"/>
        <v>0</v>
      </c>
      <c r="HQ12" s="1146"/>
    </row>
    <row r="13" spans="2:225">
      <c r="B13" s="1141"/>
      <c r="C13" s="731" t="s">
        <v>241</v>
      </c>
      <c r="D13" s="478">
        <v>0</v>
      </c>
      <c r="E13" s="478">
        <v>0</v>
      </c>
      <c r="F13" s="478">
        <v>0</v>
      </c>
      <c r="G13" s="478">
        <v>0</v>
      </c>
      <c r="H13" s="478">
        <v>0</v>
      </c>
      <c r="I13" s="478">
        <v>0</v>
      </c>
      <c r="J13" s="478">
        <v>0</v>
      </c>
      <c r="K13" s="478">
        <v>0</v>
      </c>
      <c r="L13" s="478">
        <v>0</v>
      </c>
      <c r="M13" s="478">
        <v>0</v>
      </c>
      <c r="N13" s="478">
        <v>0</v>
      </c>
      <c r="O13" s="478">
        <v>0</v>
      </c>
      <c r="P13" s="478">
        <v>0</v>
      </c>
      <c r="Q13" s="478">
        <v>0</v>
      </c>
      <c r="R13" s="478">
        <v>0</v>
      </c>
      <c r="S13" s="478">
        <v>0</v>
      </c>
      <c r="T13" s="478">
        <v>0</v>
      </c>
      <c r="U13" s="478">
        <v>0</v>
      </c>
      <c r="V13" s="478">
        <v>0</v>
      </c>
      <c r="W13" s="478">
        <v>0</v>
      </c>
      <c r="X13" s="478">
        <v>0</v>
      </c>
      <c r="Y13" s="478">
        <v>0</v>
      </c>
      <c r="Z13" s="478">
        <v>0</v>
      </c>
      <c r="AA13" s="478">
        <v>0</v>
      </c>
      <c r="AB13" s="478">
        <v>0</v>
      </c>
      <c r="AC13" s="478">
        <v>0</v>
      </c>
      <c r="AD13" s="478">
        <v>0</v>
      </c>
      <c r="AE13" s="478">
        <v>0</v>
      </c>
      <c r="AF13" s="478">
        <v>0</v>
      </c>
      <c r="AG13" s="478">
        <v>0</v>
      </c>
      <c r="AH13" s="478">
        <v>0</v>
      </c>
      <c r="AI13" s="478">
        <v>0</v>
      </c>
      <c r="AJ13" s="478">
        <v>0</v>
      </c>
      <c r="AK13" s="478">
        <v>0</v>
      </c>
      <c r="AL13" s="479">
        <v>0</v>
      </c>
      <c r="AM13" s="478">
        <v>0</v>
      </c>
      <c r="AN13" s="478">
        <v>0</v>
      </c>
      <c r="AO13" s="478">
        <v>0</v>
      </c>
      <c r="AP13" s="478">
        <v>0</v>
      </c>
      <c r="AQ13" s="478">
        <v>0</v>
      </c>
      <c r="AR13" s="478">
        <v>0</v>
      </c>
      <c r="AS13" s="478">
        <v>0</v>
      </c>
      <c r="AT13" s="478">
        <v>0</v>
      </c>
      <c r="AU13" s="478">
        <v>0</v>
      </c>
      <c r="AV13" s="479">
        <v>0</v>
      </c>
      <c r="AW13" s="479">
        <v>0</v>
      </c>
      <c r="AX13" s="479">
        <v>0</v>
      </c>
      <c r="AY13" s="479">
        <v>0</v>
      </c>
      <c r="AZ13" s="479">
        <v>0</v>
      </c>
      <c r="BA13" s="479">
        <v>0</v>
      </c>
      <c r="BB13" s="479">
        <v>0</v>
      </c>
      <c r="BC13" s="479">
        <v>0</v>
      </c>
      <c r="BD13" s="479">
        <v>0</v>
      </c>
      <c r="BE13" s="479">
        <v>0</v>
      </c>
      <c r="BF13" s="479">
        <v>0</v>
      </c>
      <c r="BG13" s="479">
        <v>0</v>
      </c>
      <c r="BH13" s="479">
        <v>0</v>
      </c>
      <c r="BI13" s="479">
        <v>0</v>
      </c>
      <c r="BJ13" s="479">
        <v>0</v>
      </c>
      <c r="BK13" s="479">
        <v>0</v>
      </c>
      <c r="BL13" s="479">
        <v>0</v>
      </c>
      <c r="BM13" s="479">
        <v>0</v>
      </c>
      <c r="BN13" s="479">
        <v>0</v>
      </c>
      <c r="BO13" s="479">
        <v>0</v>
      </c>
      <c r="BP13" s="479">
        <v>0</v>
      </c>
      <c r="BQ13" s="479">
        <v>0</v>
      </c>
      <c r="BR13" s="479">
        <v>0</v>
      </c>
      <c r="BS13" s="479">
        <v>0</v>
      </c>
      <c r="BT13" s="479">
        <v>0</v>
      </c>
      <c r="BU13" s="479">
        <v>0</v>
      </c>
      <c r="BV13" s="479">
        <v>0</v>
      </c>
      <c r="BW13" s="479">
        <v>0</v>
      </c>
      <c r="BX13" s="479">
        <v>0</v>
      </c>
      <c r="BY13" s="479">
        <v>0</v>
      </c>
      <c r="BZ13" s="479">
        <v>0</v>
      </c>
      <c r="CA13" s="479">
        <v>0</v>
      </c>
      <c r="CB13" s="479">
        <v>0</v>
      </c>
      <c r="CC13" s="479">
        <v>0</v>
      </c>
      <c r="CD13" s="479">
        <v>0</v>
      </c>
      <c r="CE13" s="479">
        <v>0</v>
      </c>
      <c r="CF13" s="479">
        <v>0</v>
      </c>
      <c r="CG13" s="479">
        <v>0</v>
      </c>
      <c r="CH13" s="479">
        <v>0</v>
      </c>
      <c r="CI13" s="479">
        <v>0</v>
      </c>
      <c r="CJ13" s="479">
        <v>0</v>
      </c>
      <c r="CK13" s="479">
        <v>0</v>
      </c>
      <c r="CL13" s="479">
        <v>0</v>
      </c>
      <c r="CM13" s="479">
        <v>0</v>
      </c>
      <c r="CN13" s="479">
        <v>0</v>
      </c>
      <c r="CO13" s="479">
        <v>0</v>
      </c>
      <c r="CP13" s="479">
        <v>0</v>
      </c>
      <c r="CQ13" s="479">
        <v>0</v>
      </c>
      <c r="CR13" s="479">
        <v>0</v>
      </c>
      <c r="CS13" s="479">
        <v>0</v>
      </c>
      <c r="CT13" s="479">
        <v>0</v>
      </c>
      <c r="CU13" s="479">
        <v>0</v>
      </c>
      <c r="CV13" s="479">
        <v>0</v>
      </c>
      <c r="CW13" s="479">
        <v>0</v>
      </c>
      <c r="CX13" s="479">
        <v>0</v>
      </c>
      <c r="CY13" s="479">
        <v>0</v>
      </c>
      <c r="CZ13" s="479">
        <v>0</v>
      </c>
      <c r="DA13" s="479">
        <v>0</v>
      </c>
      <c r="DB13" s="479">
        <v>0</v>
      </c>
      <c r="DC13" s="479">
        <v>0</v>
      </c>
      <c r="DD13" s="479">
        <v>0</v>
      </c>
      <c r="DE13" s="479">
        <v>0</v>
      </c>
      <c r="DF13" s="479">
        <v>0</v>
      </c>
      <c r="DG13" s="479">
        <v>0</v>
      </c>
      <c r="DH13" s="479">
        <v>0</v>
      </c>
      <c r="DI13" s="479">
        <v>0</v>
      </c>
      <c r="DJ13" s="479">
        <v>0</v>
      </c>
      <c r="DK13" s="479">
        <v>0</v>
      </c>
      <c r="DL13" s="479">
        <v>0</v>
      </c>
      <c r="DM13" s="479">
        <v>0</v>
      </c>
      <c r="DN13" s="479">
        <v>0</v>
      </c>
      <c r="DO13" s="479">
        <v>0</v>
      </c>
      <c r="DP13" s="479">
        <v>0</v>
      </c>
      <c r="DQ13" s="479">
        <v>0</v>
      </c>
      <c r="DR13" s="479">
        <v>0</v>
      </c>
      <c r="DS13" s="479">
        <v>0</v>
      </c>
      <c r="DT13" s="479">
        <v>0</v>
      </c>
      <c r="DU13" s="479">
        <v>0</v>
      </c>
      <c r="DV13" s="479">
        <v>0</v>
      </c>
      <c r="DW13" s="479">
        <v>0</v>
      </c>
      <c r="DX13" s="479">
        <v>0</v>
      </c>
      <c r="DY13" s="479">
        <v>0</v>
      </c>
      <c r="DZ13" s="479">
        <v>0</v>
      </c>
      <c r="EA13" s="479">
        <v>0</v>
      </c>
      <c r="EB13" s="479">
        <v>0</v>
      </c>
      <c r="EC13" s="479">
        <v>0</v>
      </c>
      <c r="ED13" s="479">
        <v>0</v>
      </c>
      <c r="EE13" s="479">
        <v>0</v>
      </c>
      <c r="EF13" s="479">
        <v>0</v>
      </c>
      <c r="EG13" s="479">
        <v>0</v>
      </c>
      <c r="EH13" s="479">
        <v>0</v>
      </c>
      <c r="EI13" s="479">
        <v>0</v>
      </c>
      <c r="EJ13" s="479">
        <v>0</v>
      </c>
      <c r="EK13" s="479">
        <v>0</v>
      </c>
      <c r="EL13" s="479">
        <v>0</v>
      </c>
      <c r="EM13" s="479">
        <v>0</v>
      </c>
      <c r="EN13" s="479">
        <v>0</v>
      </c>
      <c r="EO13" s="479">
        <v>0</v>
      </c>
      <c r="EP13" s="479">
        <v>0</v>
      </c>
      <c r="EQ13" s="479">
        <v>0</v>
      </c>
      <c r="ER13" s="479">
        <v>0</v>
      </c>
      <c r="ES13" s="479">
        <v>0</v>
      </c>
      <c r="ET13" s="479">
        <v>0</v>
      </c>
      <c r="EU13" s="479">
        <v>0</v>
      </c>
      <c r="EV13" s="479">
        <v>0</v>
      </c>
      <c r="EW13" s="479">
        <v>0</v>
      </c>
      <c r="EX13" s="479">
        <v>0</v>
      </c>
      <c r="EY13" s="479">
        <v>0</v>
      </c>
      <c r="EZ13" s="479">
        <v>0</v>
      </c>
      <c r="FA13" s="479">
        <v>0</v>
      </c>
      <c r="FB13" s="479">
        <v>0</v>
      </c>
      <c r="FC13" s="479">
        <v>0</v>
      </c>
      <c r="FD13" s="479">
        <v>0</v>
      </c>
      <c r="FE13" s="479">
        <v>0</v>
      </c>
      <c r="FF13" s="479">
        <v>0</v>
      </c>
      <c r="FG13" s="479">
        <v>0</v>
      </c>
      <c r="FH13" s="479">
        <v>0</v>
      </c>
      <c r="FI13" s="479">
        <v>0</v>
      </c>
      <c r="FJ13" s="479">
        <v>0</v>
      </c>
      <c r="FK13" s="479">
        <v>0</v>
      </c>
      <c r="FL13" s="479">
        <v>0</v>
      </c>
      <c r="FM13" s="479">
        <v>0</v>
      </c>
      <c r="FN13" s="479">
        <v>0</v>
      </c>
      <c r="FO13" s="479">
        <v>0</v>
      </c>
      <c r="FP13" s="479">
        <v>0</v>
      </c>
      <c r="FQ13" s="479">
        <v>0</v>
      </c>
      <c r="FR13" s="479">
        <v>0</v>
      </c>
      <c r="FS13" s="479">
        <v>0</v>
      </c>
      <c r="FT13" s="479">
        <v>0</v>
      </c>
      <c r="FU13" s="479">
        <v>0</v>
      </c>
      <c r="FV13" s="479">
        <v>0</v>
      </c>
      <c r="FW13" s="479">
        <v>0</v>
      </c>
      <c r="FX13" s="479">
        <v>0</v>
      </c>
      <c r="FY13" s="479">
        <v>0</v>
      </c>
      <c r="FZ13" s="479">
        <v>0</v>
      </c>
      <c r="GA13" s="479">
        <v>0</v>
      </c>
      <c r="GB13" s="479">
        <v>0</v>
      </c>
      <c r="GC13" s="479">
        <v>0</v>
      </c>
      <c r="GD13" s="479">
        <v>0</v>
      </c>
      <c r="GE13" s="479">
        <v>0</v>
      </c>
      <c r="GF13" s="479">
        <v>0</v>
      </c>
      <c r="GG13" s="479">
        <v>0</v>
      </c>
      <c r="GH13" s="479">
        <v>0</v>
      </c>
      <c r="GI13" s="479">
        <v>0</v>
      </c>
      <c r="GJ13" s="479">
        <v>0</v>
      </c>
      <c r="GK13" s="479">
        <v>0</v>
      </c>
      <c r="GL13" s="479">
        <v>0</v>
      </c>
      <c r="GM13" s="479">
        <v>0</v>
      </c>
      <c r="GN13" s="479">
        <v>0</v>
      </c>
      <c r="GO13" s="479">
        <v>0</v>
      </c>
      <c r="GP13" s="479">
        <v>0</v>
      </c>
      <c r="GQ13" s="479">
        <v>0</v>
      </c>
      <c r="GR13" s="479">
        <v>0</v>
      </c>
      <c r="GS13" s="479">
        <v>0</v>
      </c>
      <c r="GT13" s="479">
        <v>0</v>
      </c>
      <c r="GU13" s="479">
        <v>0</v>
      </c>
      <c r="GV13" s="479">
        <v>0</v>
      </c>
      <c r="GW13" s="479">
        <v>0</v>
      </c>
      <c r="GX13" s="479">
        <v>0</v>
      </c>
      <c r="GY13" s="479">
        <v>0</v>
      </c>
      <c r="GZ13" s="479">
        <v>0</v>
      </c>
      <c r="HA13" s="479">
        <v>0</v>
      </c>
      <c r="HB13" s="479">
        <v>0</v>
      </c>
      <c r="HC13" s="479">
        <v>0</v>
      </c>
      <c r="HD13" s="479">
        <v>0</v>
      </c>
      <c r="HE13" s="479">
        <v>0</v>
      </c>
      <c r="HF13" s="479">
        <v>0</v>
      </c>
      <c r="HG13" s="479">
        <v>0</v>
      </c>
      <c r="HH13" s="479">
        <v>0</v>
      </c>
      <c r="HI13" s="479">
        <v>0</v>
      </c>
      <c r="HJ13" s="479">
        <v>0</v>
      </c>
      <c r="HK13" s="479">
        <v>0</v>
      </c>
      <c r="HL13" s="479">
        <v>0</v>
      </c>
      <c r="HM13" s="479">
        <v>0</v>
      </c>
      <c r="HN13" s="479">
        <v>0</v>
      </c>
      <c r="HO13" s="479">
        <v>0</v>
      </c>
      <c r="HP13" s="473">
        <f t="shared" si="0"/>
        <v>0</v>
      </c>
      <c r="HQ13" s="1146"/>
    </row>
    <row r="14" spans="2:225">
      <c r="B14" s="1141"/>
      <c r="C14" s="731" t="s">
        <v>219</v>
      </c>
      <c r="D14" s="478">
        <v>0</v>
      </c>
      <c r="E14" s="478">
        <v>0</v>
      </c>
      <c r="F14" s="478">
        <v>0</v>
      </c>
      <c r="G14" s="478">
        <v>0</v>
      </c>
      <c r="H14" s="478">
        <v>0</v>
      </c>
      <c r="I14" s="478">
        <v>0</v>
      </c>
      <c r="J14" s="478">
        <v>0</v>
      </c>
      <c r="K14" s="478">
        <v>0</v>
      </c>
      <c r="L14" s="478">
        <v>0</v>
      </c>
      <c r="M14" s="478">
        <v>0</v>
      </c>
      <c r="N14" s="478">
        <v>0</v>
      </c>
      <c r="O14" s="478">
        <v>0</v>
      </c>
      <c r="P14" s="478">
        <v>0</v>
      </c>
      <c r="Q14" s="478">
        <v>0</v>
      </c>
      <c r="R14" s="478">
        <v>0</v>
      </c>
      <c r="S14" s="478">
        <v>0</v>
      </c>
      <c r="T14" s="478">
        <v>0</v>
      </c>
      <c r="U14" s="478">
        <v>0</v>
      </c>
      <c r="V14" s="478">
        <v>0</v>
      </c>
      <c r="W14" s="478">
        <v>0</v>
      </c>
      <c r="X14" s="478">
        <v>0</v>
      </c>
      <c r="Y14" s="478">
        <v>0</v>
      </c>
      <c r="Z14" s="478">
        <v>0</v>
      </c>
      <c r="AA14" s="478">
        <v>0</v>
      </c>
      <c r="AB14" s="478">
        <v>0</v>
      </c>
      <c r="AC14" s="478">
        <v>0</v>
      </c>
      <c r="AD14" s="478">
        <v>0</v>
      </c>
      <c r="AE14" s="478">
        <v>0</v>
      </c>
      <c r="AF14" s="478">
        <v>0</v>
      </c>
      <c r="AG14" s="478">
        <v>0</v>
      </c>
      <c r="AH14" s="478">
        <v>0</v>
      </c>
      <c r="AI14" s="478">
        <v>0</v>
      </c>
      <c r="AJ14" s="478">
        <v>0</v>
      </c>
      <c r="AK14" s="478">
        <v>0</v>
      </c>
      <c r="AL14" s="479">
        <v>0</v>
      </c>
      <c r="AM14" s="478">
        <v>0</v>
      </c>
      <c r="AN14" s="478">
        <v>0</v>
      </c>
      <c r="AO14" s="478">
        <v>0</v>
      </c>
      <c r="AP14" s="478">
        <v>0</v>
      </c>
      <c r="AQ14" s="478">
        <v>0</v>
      </c>
      <c r="AR14" s="478">
        <v>0</v>
      </c>
      <c r="AS14" s="478">
        <v>0</v>
      </c>
      <c r="AT14" s="478">
        <v>0</v>
      </c>
      <c r="AU14" s="478">
        <v>0</v>
      </c>
      <c r="AV14" s="479">
        <v>0</v>
      </c>
      <c r="AW14" s="479">
        <v>0</v>
      </c>
      <c r="AX14" s="479">
        <v>0</v>
      </c>
      <c r="AY14" s="479">
        <v>0</v>
      </c>
      <c r="AZ14" s="479">
        <v>0</v>
      </c>
      <c r="BA14" s="479">
        <v>0</v>
      </c>
      <c r="BB14" s="479">
        <v>0</v>
      </c>
      <c r="BC14" s="479">
        <v>0</v>
      </c>
      <c r="BD14" s="479">
        <v>0</v>
      </c>
      <c r="BE14" s="479">
        <v>0</v>
      </c>
      <c r="BF14" s="479">
        <v>0</v>
      </c>
      <c r="BG14" s="479">
        <v>0</v>
      </c>
      <c r="BH14" s="479">
        <v>0</v>
      </c>
      <c r="BI14" s="479">
        <v>0</v>
      </c>
      <c r="BJ14" s="479">
        <v>0</v>
      </c>
      <c r="BK14" s="479">
        <v>0</v>
      </c>
      <c r="BL14" s="479">
        <v>0</v>
      </c>
      <c r="BM14" s="479">
        <v>0</v>
      </c>
      <c r="BN14" s="479">
        <v>0</v>
      </c>
      <c r="BO14" s="479">
        <v>0</v>
      </c>
      <c r="BP14" s="479">
        <v>0</v>
      </c>
      <c r="BQ14" s="479">
        <v>0</v>
      </c>
      <c r="BR14" s="479">
        <v>0</v>
      </c>
      <c r="BS14" s="479">
        <v>0</v>
      </c>
      <c r="BT14" s="479">
        <v>0</v>
      </c>
      <c r="BU14" s="479">
        <v>0</v>
      </c>
      <c r="BV14" s="479">
        <v>0</v>
      </c>
      <c r="BW14" s="479">
        <v>0</v>
      </c>
      <c r="BX14" s="479">
        <v>0</v>
      </c>
      <c r="BY14" s="479">
        <v>0</v>
      </c>
      <c r="BZ14" s="479">
        <v>0</v>
      </c>
      <c r="CA14" s="479">
        <v>0</v>
      </c>
      <c r="CB14" s="479">
        <v>0</v>
      </c>
      <c r="CC14" s="479">
        <v>0</v>
      </c>
      <c r="CD14" s="479">
        <v>0</v>
      </c>
      <c r="CE14" s="479">
        <v>0</v>
      </c>
      <c r="CF14" s="479">
        <v>0</v>
      </c>
      <c r="CG14" s="479">
        <v>0</v>
      </c>
      <c r="CH14" s="479">
        <v>0</v>
      </c>
      <c r="CI14" s="479">
        <v>0</v>
      </c>
      <c r="CJ14" s="479">
        <v>0</v>
      </c>
      <c r="CK14" s="479">
        <v>0</v>
      </c>
      <c r="CL14" s="479">
        <v>0</v>
      </c>
      <c r="CM14" s="479">
        <v>0</v>
      </c>
      <c r="CN14" s="479">
        <v>0</v>
      </c>
      <c r="CO14" s="479">
        <v>0</v>
      </c>
      <c r="CP14" s="479">
        <v>0</v>
      </c>
      <c r="CQ14" s="479">
        <v>0</v>
      </c>
      <c r="CR14" s="479">
        <v>0</v>
      </c>
      <c r="CS14" s="479">
        <v>0</v>
      </c>
      <c r="CT14" s="479">
        <v>0</v>
      </c>
      <c r="CU14" s="479">
        <v>0</v>
      </c>
      <c r="CV14" s="479">
        <v>0</v>
      </c>
      <c r="CW14" s="479">
        <v>0</v>
      </c>
      <c r="CX14" s="479">
        <v>0</v>
      </c>
      <c r="CY14" s="479">
        <v>0</v>
      </c>
      <c r="CZ14" s="479">
        <v>0</v>
      </c>
      <c r="DA14" s="479">
        <v>0</v>
      </c>
      <c r="DB14" s="479">
        <v>0</v>
      </c>
      <c r="DC14" s="479">
        <v>0</v>
      </c>
      <c r="DD14" s="479">
        <v>0</v>
      </c>
      <c r="DE14" s="479">
        <v>0</v>
      </c>
      <c r="DF14" s="479">
        <v>0</v>
      </c>
      <c r="DG14" s="479">
        <v>0</v>
      </c>
      <c r="DH14" s="479">
        <v>0</v>
      </c>
      <c r="DI14" s="479">
        <v>0</v>
      </c>
      <c r="DJ14" s="479">
        <v>0</v>
      </c>
      <c r="DK14" s="479">
        <v>0</v>
      </c>
      <c r="DL14" s="479">
        <v>0</v>
      </c>
      <c r="DM14" s="479">
        <v>0</v>
      </c>
      <c r="DN14" s="479">
        <v>0</v>
      </c>
      <c r="DO14" s="479">
        <v>0</v>
      </c>
      <c r="DP14" s="479">
        <v>0</v>
      </c>
      <c r="DQ14" s="479">
        <v>0</v>
      </c>
      <c r="DR14" s="479">
        <v>0</v>
      </c>
      <c r="DS14" s="479">
        <v>0</v>
      </c>
      <c r="DT14" s="479">
        <v>0</v>
      </c>
      <c r="DU14" s="479">
        <v>0</v>
      </c>
      <c r="DV14" s="479">
        <v>0</v>
      </c>
      <c r="DW14" s="479">
        <v>0</v>
      </c>
      <c r="DX14" s="479">
        <v>0</v>
      </c>
      <c r="DY14" s="479">
        <v>0</v>
      </c>
      <c r="DZ14" s="479">
        <v>0</v>
      </c>
      <c r="EA14" s="479">
        <v>0</v>
      </c>
      <c r="EB14" s="479">
        <v>0</v>
      </c>
      <c r="EC14" s="479">
        <v>0</v>
      </c>
      <c r="ED14" s="479">
        <v>0</v>
      </c>
      <c r="EE14" s="479">
        <v>0</v>
      </c>
      <c r="EF14" s="479">
        <v>0</v>
      </c>
      <c r="EG14" s="479">
        <v>0</v>
      </c>
      <c r="EH14" s="479">
        <v>0</v>
      </c>
      <c r="EI14" s="479">
        <v>0</v>
      </c>
      <c r="EJ14" s="479">
        <v>0</v>
      </c>
      <c r="EK14" s="479">
        <v>0</v>
      </c>
      <c r="EL14" s="479">
        <v>0</v>
      </c>
      <c r="EM14" s="479">
        <v>0</v>
      </c>
      <c r="EN14" s="479">
        <v>0</v>
      </c>
      <c r="EO14" s="479">
        <v>0</v>
      </c>
      <c r="EP14" s="479">
        <v>0</v>
      </c>
      <c r="EQ14" s="479">
        <v>0</v>
      </c>
      <c r="ER14" s="479">
        <v>0</v>
      </c>
      <c r="ES14" s="479">
        <v>0</v>
      </c>
      <c r="ET14" s="479">
        <v>0</v>
      </c>
      <c r="EU14" s="479">
        <v>0</v>
      </c>
      <c r="EV14" s="479">
        <v>0</v>
      </c>
      <c r="EW14" s="479">
        <v>0</v>
      </c>
      <c r="EX14" s="479">
        <v>0</v>
      </c>
      <c r="EY14" s="479">
        <v>0</v>
      </c>
      <c r="EZ14" s="479">
        <v>0</v>
      </c>
      <c r="FA14" s="479">
        <v>0</v>
      </c>
      <c r="FB14" s="479">
        <v>0</v>
      </c>
      <c r="FC14" s="479">
        <v>0</v>
      </c>
      <c r="FD14" s="479">
        <v>0</v>
      </c>
      <c r="FE14" s="479">
        <v>0</v>
      </c>
      <c r="FF14" s="479">
        <v>0</v>
      </c>
      <c r="FG14" s="479">
        <v>0</v>
      </c>
      <c r="FH14" s="479">
        <v>0</v>
      </c>
      <c r="FI14" s="479">
        <v>0</v>
      </c>
      <c r="FJ14" s="479">
        <v>0</v>
      </c>
      <c r="FK14" s="479">
        <v>0</v>
      </c>
      <c r="FL14" s="479">
        <v>0</v>
      </c>
      <c r="FM14" s="479">
        <v>0</v>
      </c>
      <c r="FN14" s="479">
        <v>0</v>
      </c>
      <c r="FO14" s="479">
        <v>0</v>
      </c>
      <c r="FP14" s="479">
        <v>0</v>
      </c>
      <c r="FQ14" s="479">
        <v>0</v>
      </c>
      <c r="FR14" s="479">
        <v>0</v>
      </c>
      <c r="FS14" s="479">
        <v>0</v>
      </c>
      <c r="FT14" s="479">
        <v>0</v>
      </c>
      <c r="FU14" s="479">
        <v>0</v>
      </c>
      <c r="FV14" s="479">
        <v>0</v>
      </c>
      <c r="FW14" s="479">
        <v>0</v>
      </c>
      <c r="FX14" s="479">
        <v>0</v>
      </c>
      <c r="FY14" s="479">
        <v>0</v>
      </c>
      <c r="FZ14" s="479">
        <v>0</v>
      </c>
      <c r="GA14" s="479">
        <v>0</v>
      </c>
      <c r="GB14" s="479">
        <v>0</v>
      </c>
      <c r="GC14" s="479">
        <v>0</v>
      </c>
      <c r="GD14" s="479">
        <v>0</v>
      </c>
      <c r="GE14" s="479">
        <v>0</v>
      </c>
      <c r="GF14" s="479">
        <v>0</v>
      </c>
      <c r="GG14" s="479">
        <v>0</v>
      </c>
      <c r="GH14" s="479">
        <v>0</v>
      </c>
      <c r="GI14" s="479">
        <v>0</v>
      </c>
      <c r="GJ14" s="479">
        <v>0</v>
      </c>
      <c r="GK14" s="479">
        <v>0</v>
      </c>
      <c r="GL14" s="479">
        <v>0</v>
      </c>
      <c r="GM14" s="479">
        <v>0</v>
      </c>
      <c r="GN14" s="479">
        <v>0</v>
      </c>
      <c r="GO14" s="479">
        <v>0</v>
      </c>
      <c r="GP14" s="479">
        <v>0</v>
      </c>
      <c r="GQ14" s="479">
        <v>0</v>
      </c>
      <c r="GR14" s="479">
        <v>0</v>
      </c>
      <c r="GS14" s="479">
        <v>0</v>
      </c>
      <c r="GT14" s="479">
        <v>0</v>
      </c>
      <c r="GU14" s="479">
        <v>0</v>
      </c>
      <c r="GV14" s="479">
        <v>0</v>
      </c>
      <c r="GW14" s="479">
        <v>0</v>
      </c>
      <c r="GX14" s="479">
        <v>0</v>
      </c>
      <c r="GY14" s="479">
        <v>0</v>
      </c>
      <c r="GZ14" s="479">
        <v>0</v>
      </c>
      <c r="HA14" s="479">
        <v>0</v>
      </c>
      <c r="HB14" s="479">
        <v>0</v>
      </c>
      <c r="HC14" s="479">
        <v>0</v>
      </c>
      <c r="HD14" s="479">
        <v>0</v>
      </c>
      <c r="HE14" s="479">
        <v>0</v>
      </c>
      <c r="HF14" s="479">
        <v>0</v>
      </c>
      <c r="HG14" s="479">
        <v>0</v>
      </c>
      <c r="HH14" s="479">
        <v>0</v>
      </c>
      <c r="HI14" s="479">
        <v>0</v>
      </c>
      <c r="HJ14" s="479">
        <v>0</v>
      </c>
      <c r="HK14" s="479">
        <v>0</v>
      </c>
      <c r="HL14" s="479">
        <v>0</v>
      </c>
      <c r="HM14" s="479">
        <v>0</v>
      </c>
      <c r="HN14" s="479">
        <v>0</v>
      </c>
      <c r="HO14" s="479">
        <v>0</v>
      </c>
      <c r="HP14" s="473">
        <f t="shared" si="0"/>
        <v>0</v>
      </c>
      <c r="HQ14" s="1146"/>
    </row>
    <row r="15" spans="2:225">
      <c r="B15" s="1141"/>
      <c r="C15" s="731" t="s">
        <v>240</v>
      </c>
      <c r="D15" s="478">
        <v>0</v>
      </c>
      <c r="E15" s="478">
        <v>0</v>
      </c>
      <c r="F15" s="478">
        <v>0</v>
      </c>
      <c r="G15" s="478">
        <v>0</v>
      </c>
      <c r="H15" s="478">
        <v>0</v>
      </c>
      <c r="I15" s="478">
        <v>0</v>
      </c>
      <c r="J15" s="478">
        <v>0</v>
      </c>
      <c r="K15" s="478">
        <v>0</v>
      </c>
      <c r="L15" s="478">
        <v>0</v>
      </c>
      <c r="M15" s="478">
        <v>0</v>
      </c>
      <c r="N15" s="478">
        <v>0</v>
      </c>
      <c r="O15" s="478">
        <v>0</v>
      </c>
      <c r="P15" s="478">
        <v>0</v>
      </c>
      <c r="Q15" s="478">
        <v>0</v>
      </c>
      <c r="R15" s="478">
        <v>0</v>
      </c>
      <c r="S15" s="478">
        <v>0</v>
      </c>
      <c r="T15" s="478">
        <v>0</v>
      </c>
      <c r="U15" s="478">
        <v>0</v>
      </c>
      <c r="V15" s="478">
        <v>0</v>
      </c>
      <c r="W15" s="478">
        <v>0</v>
      </c>
      <c r="X15" s="478">
        <v>0</v>
      </c>
      <c r="Y15" s="478">
        <v>0</v>
      </c>
      <c r="Z15" s="478">
        <v>0</v>
      </c>
      <c r="AA15" s="478">
        <v>0</v>
      </c>
      <c r="AB15" s="478">
        <v>0</v>
      </c>
      <c r="AC15" s="478">
        <v>0</v>
      </c>
      <c r="AD15" s="478">
        <v>0</v>
      </c>
      <c r="AE15" s="478">
        <v>0</v>
      </c>
      <c r="AF15" s="478">
        <v>0</v>
      </c>
      <c r="AG15" s="478">
        <v>0</v>
      </c>
      <c r="AH15" s="478">
        <v>0</v>
      </c>
      <c r="AI15" s="478">
        <v>0</v>
      </c>
      <c r="AJ15" s="478">
        <v>0</v>
      </c>
      <c r="AK15" s="478">
        <v>0</v>
      </c>
      <c r="AL15" s="479">
        <v>0</v>
      </c>
      <c r="AM15" s="478">
        <v>0</v>
      </c>
      <c r="AN15" s="478">
        <v>0</v>
      </c>
      <c r="AO15" s="478">
        <v>0</v>
      </c>
      <c r="AP15" s="478">
        <v>0</v>
      </c>
      <c r="AQ15" s="478">
        <v>0</v>
      </c>
      <c r="AR15" s="478">
        <v>0</v>
      </c>
      <c r="AS15" s="478">
        <v>0</v>
      </c>
      <c r="AT15" s="478">
        <v>0</v>
      </c>
      <c r="AU15" s="478">
        <v>0</v>
      </c>
      <c r="AV15" s="479">
        <v>0</v>
      </c>
      <c r="AW15" s="479">
        <v>0</v>
      </c>
      <c r="AX15" s="479">
        <v>0</v>
      </c>
      <c r="AY15" s="479">
        <v>0</v>
      </c>
      <c r="AZ15" s="479">
        <v>0</v>
      </c>
      <c r="BA15" s="479">
        <v>0</v>
      </c>
      <c r="BB15" s="479">
        <v>0</v>
      </c>
      <c r="BC15" s="479">
        <v>0</v>
      </c>
      <c r="BD15" s="479">
        <v>0</v>
      </c>
      <c r="BE15" s="479">
        <v>0</v>
      </c>
      <c r="BF15" s="479">
        <v>0</v>
      </c>
      <c r="BG15" s="479">
        <v>0</v>
      </c>
      <c r="BH15" s="479">
        <v>0</v>
      </c>
      <c r="BI15" s="479">
        <v>0</v>
      </c>
      <c r="BJ15" s="479">
        <v>0</v>
      </c>
      <c r="BK15" s="479">
        <v>0</v>
      </c>
      <c r="BL15" s="479">
        <v>0</v>
      </c>
      <c r="BM15" s="479">
        <v>0</v>
      </c>
      <c r="BN15" s="479">
        <v>0</v>
      </c>
      <c r="BO15" s="479">
        <v>0</v>
      </c>
      <c r="BP15" s="479">
        <v>0</v>
      </c>
      <c r="BQ15" s="479">
        <v>0</v>
      </c>
      <c r="BR15" s="479">
        <v>0</v>
      </c>
      <c r="BS15" s="479">
        <v>0</v>
      </c>
      <c r="BT15" s="479">
        <v>0</v>
      </c>
      <c r="BU15" s="479">
        <v>0</v>
      </c>
      <c r="BV15" s="479">
        <v>0</v>
      </c>
      <c r="BW15" s="479">
        <v>0</v>
      </c>
      <c r="BX15" s="479">
        <v>0</v>
      </c>
      <c r="BY15" s="479">
        <v>0</v>
      </c>
      <c r="BZ15" s="479">
        <v>0</v>
      </c>
      <c r="CA15" s="479">
        <v>0</v>
      </c>
      <c r="CB15" s="479">
        <v>0</v>
      </c>
      <c r="CC15" s="479">
        <v>0</v>
      </c>
      <c r="CD15" s="479">
        <v>0</v>
      </c>
      <c r="CE15" s="479">
        <v>0</v>
      </c>
      <c r="CF15" s="479">
        <v>0</v>
      </c>
      <c r="CG15" s="479">
        <v>0</v>
      </c>
      <c r="CH15" s="479">
        <v>0</v>
      </c>
      <c r="CI15" s="479">
        <v>0</v>
      </c>
      <c r="CJ15" s="479">
        <v>0</v>
      </c>
      <c r="CK15" s="479">
        <v>0</v>
      </c>
      <c r="CL15" s="479">
        <v>0</v>
      </c>
      <c r="CM15" s="479">
        <v>0</v>
      </c>
      <c r="CN15" s="479">
        <v>0</v>
      </c>
      <c r="CO15" s="479">
        <v>0</v>
      </c>
      <c r="CP15" s="479">
        <v>0</v>
      </c>
      <c r="CQ15" s="479">
        <v>0</v>
      </c>
      <c r="CR15" s="479">
        <v>0</v>
      </c>
      <c r="CS15" s="479">
        <v>0</v>
      </c>
      <c r="CT15" s="479">
        <v>0</v>
      </c>
      <c r="CU15" s="479">
        <v>0</v>
      </c>
      <c r="CV15" s="479">
        <v>0</v>
      </c>
      <c r="CW15" s="479">
        <v>0</v>
      </c>
      <c r="CX15" s="479">
        <v>0</v>
      </c>
      <c r="CY15" s="479">
        <v>0</v>
      </c>
      <c r="CZ15" s="479">
        <v>0</v>
      </c>
      <c r="DA15" s="479">
        <v>0</v>
      </c>
      <c r="DB15" s="479">
        <v>0</v>
      </c>
      <c r="DC15" s="479">
        <v>0</v>
      </c>
      <c r="DD15" s="479">
        <v>0</v>
      </c>
      <c r="DE15" s="479">
        <v>0</v>
      </c>
      <c r="DF15" s="479">
        <v>0</v>
      </c>
      <c r="DG15" s="479">
        <v>0</v>
      </c>
      <c r="DH15" s="479">
        <v>0</v>
      </c>
      <c r="DI15" s="479">
        <v>0</v>
      </c>
      <c r="DJ15" s="479">
        <v>0</v>
      </c>
      <c r="DK15" s="479">
        <v>0</v>
      </c>
      <c r="DL15" s="479">
        <v>0</v>
      </c>
      <c r="DM15" s="479">
        <v>0</v>
      </c>
      <c r="DN15" s="479">
        <v>0</v>
      </c>
      <c r="DO15" s="479">
        <v>0</v>
      </c>
      <c r="DP15" s="479">
        <v>0</v>
      </c>
      <c r="DQ15" s="479">
        <v>0</v>
      </c>
      <c r="DR15" s="479">
        <v>0</v>
      </c>
      <c r="DS15" s="479">
        <v>0</v>
      </c>
      <c r="DT15" s="479">
        <v>0</v>
      </c>
      <c r="DU15" s="479">
        <v>0</v>
      </c>
      <c r="DV15" s="479">
        <v>0</v>
      </c>
      <c r="DW15" s="479">
        <v>0</v>
      </c>
      <c r="DX15" s="479">
        <v>0</v>
      </c>
      <c r="DY15" s="479">
        <v>0</v>
      </c>
      <c r="DZ15" s="479">
        <v>0</v>
      </c>
      <c r="EA15" s="479">
        <v>0</v>
      </c>
      <c r="EB15" s="479">
        <v>0</v>
      </c>
      <c r="EC15" s="479">
        <v>0</v>
      </c>
      <c r="ED15" s="479">
        <v>0</v>
      </c>
      <c r="EE15" s="479">
        <v>0</v>
      </c>
      <c r="EF15" s="479">
        <v>0</v>
      </c>
      <c r="EG15" s="479">
        <v>0</v>
      </c>
      <c r="EH15" s="479">
        <v>0</v>
      </c>
      <c r="EI15" s="479">
        <v>0</v>
      </c>
      <c r="EJ15" s="479">
        <v>0</v>
      </c>
      <c r="EK15" s="479">
        <v>0</v>
      </c>
      <c r="EL15" s="479">
        <v>0</v>
      </c>
      <c r="EM15" s="479">
        <v>0</v>
      </c>
      <c r="EN15" s="479">
        <v>0</v>
      </c>
      <c r="EO15" s="479">
        <v>0</v>
      </c>
      <c r="EP15" s="479">
        <v>0</v>
      </c>
      <c r="EQ15" s="479">
        <v>0</v>
      </c>
      <c r="ER15" s="479">
        <v>0</v>
      </c>
      <c r="ES15" s="479">
        <v>0</v>
      </c>
      <c r="ET15" s="479">
        <v>0</v>
      </c>
      <c r="EU15" s="479">
        <v>0</v>
      </c>
      <c r="EV15" s="479">
        <v>0</v>
      </c>
      <c r="EW15" s="479">
        <v>0</v>
      </c>
      <c r="EX15" s="479">
        <v>0</v>
      </c>
      <c r="EY15" s="479">
        <v>0</v>
      </c>
      <c r="EZ15" s="479">
        <v>0</v>
      </c>
      <c r="FA15" s="479">
        <v>0</v>
      </c>
      <c r="FB15" s="479">
        <v>0</v>
      </c>
      <c r="FC15" s="479">
        <v>0</v>
      </c>
      <c r="FD15" s="479">
        <v>0</v>
      </c>
      <c r="FE15" s="479">
        <v>0</v>
      </c>
      <c r="FF15" s="479">
        <v>0</v>
      </c>
      <c r="FG15" s="479">
        <v>0</v>
      </c>
      <c r="FH15" s="479">
        <v>0</v>
      </c>
      <c r="FI15" s="479">
        <v>0</v>
      </c>
      <c r="FJ15" s="479">
        <v>0</v>
      </c>
      <c r="FK15" s="479">
        <v>0</v>
      </c>
      <c r="FL15" s="479">
        <v>0</v>
      </c>
      <c r="FM15" s="479">
        <v>0</v>
      </c>
      <c r="FN15" s="479">
        <v>0</v>
      </c>
      <c r="FO15" s="479">
        <v>0</v>
      </c>
      <c r="FP15" s="479">
        <v>0</v>
      </c>
      <c r="FQ15" s="479">
        <v>0</v>
      </c>
      <c r="FR15" s="479">
        <v>0</v>
      </c>
      <c r="FS15" s="479">
        <v>0</v>
      </c>
      <c r="FT15" s="479">
        <v>0</v>
      </c>
      <c r="FU15" s="479">
        <v>0</v>
      </c>
      <c r="FV15" s="479">
        <v>0</v>
      </c>
      <c r="FW15" s="479">
        <v>0</v>
      </c>
      <c r="FX15" s="479">
        <v>0</v>
      </c>
      <c r="FY15" s="479">
        <v>0</v>
      </c>
      <c r="FZ15" s="479">
        <v>0</v>
      </c>
      <c r="GA15" s="479">
        <v>0</v>
      </c>
      <c r="GB15" s="479">
        <v>0</v>
      </c>
      <c r="GC15" s="479">
        <v>0</v>
      </c>
      <c r="GD15" s="479">
        <v>0</v>
      </c>
      <c r="GE15" s="479">
        <v>0</v>
      </c>
      <c r="GF15" s="479">
        <v>0</v>
      </c>
      <c r="GG15" s="479">
        <v>0</v>
      </c>
      <c r="GH15" s="479">
        <v>0</v>
      </c>
      <c r="GI15" s="479">
        <v>0</v>
      </c>
      <c r="GJ15" s="479">
        <v>0</v>
      </c>
      <c r="GK15" s="479">
        <v>0</v>
      </c>
      <c r="GL15" s="479">
        <v>0</v>
      </c>
      <c r="GM15" s="479">
        <v>0</v>
      </c>
      <c r="GN15" s="479">
        <v>0</v>
      </c>
      <c r="GO15" s="479">
        <v>0</v>
      </c>
      <c r="GP15" s="479">
        <v>0</v>
      </c>
      <c r="GQ15" s="479">
        <v>0</v>
      </c>
      <c r="GR15" s="479">
        <v>0</v>
      </c>
      <c r="GS15" s="479">
        <v>0</v>
      </c>
      <c r="GT15" s="479">
        <v>0</v>
      </c>
      <c r="GU15" s="479">
        <v>0</v>
      </c>
      <c r="GV15" s="479">
        <v>0</v>
      </c>
      <c r="GW15" s="479">
        <v>0</v>
      </c>
      <c r="GX15" s="479">
        <v>0</v>
      </c>
      <c r="GY15" s="479">
        <v>0</v>
      </c>
      <c r="GZ15" s="479">
        <v>0</v>
      </c>
      <c r="HA15" s="479">
        <v>0</v>
      </c>
      <c r="HB15" s="479">
        <v>0</v>
      </c>
      <c r="HC15" s="479">
        <v>0</v>
      </c>
      <c r="HD15" s="479">
        <v>0</v>
      </c>
      <c r="HE15" s="479">
        <v>0</v>
      </c>
      <c r="HF15" s="479">
        <v>0</v>
      </c>
      <c r="HG15" s="479">
        <v>0</v>
      </c>
      <c r="HH15" s="479">
        <v>0</v>
      </c>
      <c r="HI15" s="479">
        <v>0</v>
      </c>
      <c r="HJ15" s="479">
        <v>0</v>
      </c>
      <c r="HK15" s="479">
        <v>0</v>
      </c>
      <c r="HL15" s="479">
        <v>0</v>
      </c>
      <c r="HM15" s="479">
        <v>0</v>
      </c>
      <c r="HN15" s="479">
        <v>0</v>
      </c>
      <c r="HO15" s="479">
        <v>0</v>
      </c>
      <c r="HP15" s="473">
        <f t="shared" si="0"/>
        <v>0</v>
      </c>
      <c r="HQ15" s="1146"/>
    </row>
    <row r="16" spans="2:225">
      <c r="B16" s="1141"/>
      <c r="C16" s="731" t="s">
        <v>239</v>
      </c>
      <c r="D16" s="478">
        <v>0</v>
      </c>
      <c r="E16" s="478">
        <v>0</v>
      </c>
      <c r="F16" s="478">
        <v>0</v>
      </c>
      <c r="G16" s="478">
        <v>0</v>
      </c>
      <c r="H16" s="478">
        <v>0</v>
      </c>
      <c r="I16" s="478">
        <v>0</v>
      </c>
      <c r="J16" s="478">
        <v>0</v>
      </c>
      <c r="K16" s="478">
        <v>0</v>
      </c>
      <c r="L16" s="478">
        <v>0</v>
      </c>
      <c r="M16" s="478">
        <v>0</v>
      </c>
      <c r="N16" s="478">
        <v>0</v>
      </c>
      <c r="O16" s="478">
        <v>0</v>
      </c>
      <c r="P16" s="478">
        <v>0</v>
      </c>
      <c r="Q16" s="478">
        <v>0</v>
      </c>
      <c r="R16" s="478">
        <v>0</v>
      </c>
      <c r="S16" s="478">
        <v>0</v>
      </c>
      <c r="T16" s="478">
        <v>0</v>
      </c>
      <c r="U16" s="478">
        <v>0</v>
      </c>
      <c r="V16" s="478">
        <v>0</v>
      </c>
      <c r="W16" s="478">
        <v>0</v>
      </c>
      <c r="X16" s="478">
        <v>0</v>
      </c>
      <c r="Y16" s="478">
        <v>0</v>
      </c>
      <c r="Z16" s="478">
        <v>0</v>
      </c>
      <c r="AA16" s="478">
        <v>0</v>
      </c>
      <c r="AB16" s="478">
        <v>0</v>
      </c>
      <c r="AC16" s="478">
        <v>0</v>
      </c>
      <c r="AD16" s="478">
        <v>0</v>
      </c>
      <c r="AE16" s="478">
        <v>0</v>
      </c>
      <c r="AF16" s="478">
        <v>0</v>
      </c>
      <c r="AG16" s="478">
        <v>0</v>
      </c>
      <c r="AH16" s="478">
        <v>0</v>
      </c>
      <c r="AI16" s="478">
        <v>0</v>
      </c>
      <c r="AJ16" s="478">
        <v>0</v>
      </c>
      <c r="AK16" s="478">
        <v>0</v>
      </c>
      <c r="AL16" s="479">
        <v>0</v>
      </c>
      <c r="AM16" s="478">
        <v>0</v>
      </c>
      <c r="AN16" s="478">
        <v>0</v>
      </c>
      <c r="AO16" s="478">
        <v>0</v>
      </c>
      <c r="AP16" s="478">
        <v>0</v>
      </c>
      <c r="AQ16" s="478">
        <v>0</v>
      </c>
      <c r="AR16" s="478">
        <v>0</v>
      </c>
      <c r="AS16" s="478">
        <v>0</v>
      </c>
      <c r="AT16" s="478">
        <v>0</v>
      </c>
      <c r="AU16" s="478">
        <v>0</v>
      </c>
      <c r="AV16" s="479">
        <v>0</v>
      </c>
      <c r="AW16" s="479">
        <v>0</v>
      </c>
      <c r="AX16" s="479">
        <v>0</v>
      </c>
      <c r="AY16" s="479">
        <v>0</v>
      </c>
      <c r="AZ16" s="479">
        <v>0</v>
      </c>
      <c r="BA16" s="479">
        <v>0</v>
      </c>
      <c r="BB16" s="479">
        <v>0</v>
      </c>
      <c r="BC16" s="479">
        <v>0</v>
      </c>
      <c r="BD16" s="479">
        <v>0</v>
      </c>
      <c r="BE16" s="479">
        <v>0</v>
      </c>
      <c r="BF16" s="479">
        <v>0</v>
      </c>
      <c r="BG16" s="479">
        <v>0</v>
      </c>
      <c r="BH16" s="479">
        <v>0</v>
      </c>
      <c r="BI16" s="479">
        <v>0</v>
      </c>
      <c r="BJ16" s="479">
        <v>0</v>
      </c>
      <c r="BK16" s="479">
        <v>0</v>
      </c>
      <c r="BL16" s="479">
        <v>0</v>
      </c>
      <c r="BM16" s="479">
        <v>0</v>
      </c>
      <c r="BN16" s="479">
        <v>0</v>
      </c>
      <c r="BO16" s="479">
        <v>0</v>
      </c>
      <c r="BP16" s="479">
        <v>0</v>
      </c>
      <c r="BQ16" s="479">
        <v>0</v>
      </c>
      <c r="BR16" s="479">
        <v>0</v>
      </c>
      <c r="BS16" s="479">
        <v>0</v>
      </c>
      <c r="BT16" s="479">
        <v>0</v>
      </c>
      <c r="BU16" s="479">
        <v>0</v>
      </c>
      <c r="BV16" s="479">
        <v>0</v>
      </c>
      <c r="BW16" s="479">
        <v>0</v>
      </c>
      <c r="BX16" s="479">
        <v>0</v>
      </c>
      <c r="BY16" s="479">
        <v>0</v>
      </c>
      <c r="BZ16" s="479">
        <v>0</v>
      </c>
      <c r="CA16" s="479">
        <v>0</v>
      </c>
      <c r="CB16" s="479">
        <v>0</v>
      </c>
      <c r="CC16" s="479">
        <v>0</v>
      </c>
      <c r="CD16" s="479">
        <v>0</v>
      </c>
      <c r="CE16" s="479">
        <v>0</v>
      </c>
      <c r="CF16" s="479">
        <v>0</v>
      </c>
      <c r="CG16" s="479">
        <v>0</v>
      </c>
      <c r="CH16" s="479">
        <v>0</v>
      </c>
      <c r="CI16" s="479">
        <v>0</v>
      </c>
      <c r="CJ16" s="479">
        <v>0</v>
      </c>
      <c r="CK16" s="479">
        <v>0</v>
      </c>
      <c r="CL16" s="479">
        <v>0</v>
      </c>
      <c r="CM16" s="479">
        <v>0</v>
      </c>
      <c r="CN16" s="479">
        <v>0</v>
      </c>
      <c r="CO16" s="479">
        <v>0</v>
      </c>
      <c r="CP16" s="479">
        <v>0</v>
      </c>
      <c r="CQ16" s="479">
        <v>0</v>
      </c>
      <c r="CR16" s="479">
        <v>0</v>
      </c>
      <c r="CS16" s="479">
        <v>0</v>
      </c>
      <c r="CT16" s="479">
        <v>0</v>
      </c>
      <c r="CU16" s="479">
        <v>0</v>
      </c>
      <c r="CV16" s="479">
        <v>0</v>
      </c>
      <c r="CW16" s="479">
        <v>0</v>
      </c>
      <c r="CX16" s="479">
        <v>0</v>
      </c>
      <c r="CY16" s="479">
        <v>0</v>
      </c>
      <c r="CZ16" s="479">
        <v>0</v>
      </c>
      <c r="DA16" s="479">
        <v>0</v>
      </c>
      <c r="DB16" s="479">
        <v>0</v>
      </c>
      <c r="DC16" s="479">
        <v>0</v>
      </c>
      <c r="DD16" s="479">
        <v>0</v>
      </c>
      <c r="DE16" s="479">
        <v>0</v>
      </c>
      <c r="DF16" s="479">
        <v>0</v>
      </c>
      <c r="DG16" s="479">
        <v>0</v>
      </c>
      <c r="DH16" s="479">
        <v>0</v>
      </c>
      <c r="DI16" s="479">
        <v>0</v>
      </c>
      <c r="DJ16" s="479">
        <v>0</v>
      </c>
      <c r="DK16" s="479">
        <v>0</v>
      </c>
      <c r="DL16" s="479">
        <v>0</v>
      </c>
      <c r="DM16" s="479">
        <v>0</v>
      </c>
      <c r="DN16" s="479">
        <v>0</v>
      </c>
      <c r="DO16" s="479">
        <v>0</v>
      </c>
      <c r="DP16" s="479">
        <v>0</v>
      </c>
      <c r="DQ16" s="479">
        <v>0</v>
      </c>
      <c r="DR16" s="479">
        <v>0</v>
      </c>
      <c r="DS16" s="479">
        <v>0</v>
      </c>
      <c r="DT16" s="479">
        <v>0</v>
      </c>
      <c r="DU16" s="479">
        <v>0</v>
      </c>
      <c r="DV16" s="479">
        <v>0</v>
      </c>
      <c r="DW16" s="479">
        <v>0</v>
      </c>
      <c r="DX16" s="479">
        <v>0</v>
      </c>
      <c r="DY16" s="479">
        <v>0</v>
      </c>
      <c r="DZ16" s="479">
        <v>0</v>
      </c>
      <c r="EA16" s="479">
        <v>0</v>
      </c>
      <c r="EB16" s="479">
        <v>0</v>
      </c>
      <c r="EC16" s="479">
        <v>0</v>
      </c>
      <c r="ED16" s="479">
        <v>0</v>
      </c>
      <c r="EE16" s="479">
        <v>0</v>
      </c>
      <c r="EF16" s="479">
        <v>0</v>
      </c>
      <c r="EG16" s="479">
        <v>0</v>
      </c>
      <c r="EH16" s="479">
        <v>0</v>
      </c>
      <c r="EI16" s="479">
        <v>0</v>
      </c>
      <c r="EJ16" s="479">
        <v>0</v>
      </c>
      <c r="EK16" s="479">
        <v>0</v>
      </c>
      <c r="EL16" s="479">
        <v>0</v>
      </c>
      <c r="EM16" s="479">
        <v>0</v>
      </c>
      <c r="EN16" s="479">
        <v>0</v>
      </c>
      <c r="EO16" s="479">
        <v>0</v>
      </c>
      <c r="EP16" s="479">
        <v>0</v>
      </c>
      <c r="EQ16" s="479">
        <v>0</v>
      </c>
      <c r="ER16" s="479">
        <v>0</v>
      </c>
      <c r="ES16" s="479">
        <v>0</v>
      </c>
      <c r="ET16" s="479">
        <v>0</v>
      </c>
      <c r="EU16" s="479">
        <v>0</v>
      </c>
      <c r="EV16" s="479">
        <v>0</v>
      </c>
      <c r="EW16" s="479">
        <v>0</v>
      </c>
      <c r="EX16" s="479">
        <v>0</v>
      </c>
      <c r="EY16" s="479">
        <v>0</v>
      </c>
      <c r="EZ16" s="479">
        <v>0</v>
      </c>
      <c r="FA16" s="479">
        <v>0</v>
      </c>
      <c r="FB16" s="479">
        <v>0</v>
      </c>
      <c r="FC16" s="479">
        <v>0</v>
      </c>
      <c r="FD16" s="479">
        <v>0</v>
      </c>
      <c r="FE16" s="479">
        <v>0</v>
      </c>
      <c r="FF16" s="479">
        <v>0</v>
      </c>
      <c r="FG16" s="479">
        <v>0</v>
      </c>
      <c r="FH16" s="479">
        <v>0</v>
      </c>
      <c r="FI16" s="479">
        <v>0</v>
      </c>
      <c r="FJ16" s="479">
        <v>0</v>
      </c>
      <c r="FK16" s="479">
        <v>0</v>
      </c>
      <c r="FL16" s="479">
        <v>0</v>
      </c>
      <c r="FM16" s="479">
        <v>0</v>
      </c>
      <c r="FN16" s="479">
        <v>0</v>
      </c>
      <c r="FO16" s="479">
        <v>0</v>
      </c>
      <c r="FP16" s="479">
        <v>0</v>
      </c>
      <c r="FQ16" s="479">
        <v>0</v>
      </c>
      <c r="FR16" s="479">
        <v>0</v>
      </c>
      <c r="FS16" s="479">
        <v>0</v>
      </c>
      <c r="FT16" s="479">
        <v>0</v>
      </c>
      <c r="FU16" s="479">
        <v>0</v>
      </c>
      <c r="FV16" s="479">
        <v>0</v>
      </c>
      <c r="FW16" s="479">
        <v>0</v>
      </c>
      <c r="FX16" s="479">
        <v>0</v>
      </c>
      <c r="FY16" s="479">
        <v>0</v>
      </c>
      <c r="FZ16" s="479">
        <v>0</v>
      </c>
      <c r="GA16" s="479">
        <v>0</v>
      </c>
      <c r="GB16" s="479">
        <v>0</v>
      </c>
      <c r="GC16" s="479">
        <v>0</v>
      </c>
      <c r="GD16" s="479">
        <v>0</v>
      </c>
      <c r="GE16" s="479">
        <v>0</v>
      </c>
      <c r="GF16" s="479">
        <v>0</v>
      </c>
      <c r="GG16" s="479">
        <v>0</v>
      </c>
      <c r="GH16" s="479">
        <v>0</v>
      </c>
      <c r="GI16" s="479">
        <v>0</v>
      </c>
      <c r="GJ16" s="479">
        <v>0</v>
      </c>
      <c r="GK16" s="479">
        <v>0</v>
      </c>
      <c r="GL16" s="479">
        <v>0</v>
      </c>
      <c r="GM16" s="479">
        <v>0</v>
      </c>
      <c r="GN16" s="479">
        <v>0</v>
      </c>
      <c r="GO16" s="479">
        <v>0</v>
      </c>
      <c r="GP16" s="479">
        <v>0</v>
      </c>
      <c r="GQ16" s="479">
        <v>0</v>
      </c>
      <c r="GR16" s="479">
        <v>0</v>
      </c>
      <c r="GS16" s="479">
        <v>0</v>
      </c>
      <c r="GT16" s="479">
        <v>0</v>
      </c>
      <c r="GU16" s="479">
        <v>0</v>
      </c>
      <c r="GV16" s="479">
        <v>0</v>
      </c>
      <c r="GW16" s="479">
        <v>0</v>
      </c>
      <c r="GX16" s="479">
        <v>0</v>
      </c>
      <c r="GY16" s="479">
        <v>0</v>
      </c>
      <c r="GZ16" s="479">
        <v>0</v>
      </c>
      <c r="HA16" s="479">
        <v>0</v>
      </c>
      <c r="HB16" s="479">
        <v>0</v>
      </c>
      <c r="HC16" s="479">
        <v>0</v>
      </c>
      <c r="HD16" s="479">
        <v>0</v>
      </c>
      <c r="HE16" s="479">
        <v>0</v>
      </c>
      <c r="HF16" s="479">
        <v>0</v>
      </c>
      <c r="HG16" s="479">
        <v>0</v>
      </c>
      <c r="HH16" s="479">
        <v>0</v>
      </c>
      <c r="HI16" s="479">
        <v>0</v>
      </c>
      <c r="HJ16" s="479">
        <v>0</v>
      </c>
      <c r="HK16" s="479">
        <v>0</v>
      </c>
      <c r="HL16" s="479">
        <v>0</v>
      </c>
      <c r="HM16" s="479">
        <v>0</v>
      </c>
      <c r="HN16" s="479">
        <v>0</v>
      </c>
      <c r="HO16" s="479">
        <v>0</v>
      </c>
      <c r="HP16" s="473">
        <f t="shared" si="0"/>
        <v>0</v>
      </c>
      <c r="HQ16" s="1147"/>
    </row>
    <row r="17" spans="2:225">
      <c r="B17" s="1129" t="s">
        <v>46</v>
      </c>
      <c r="C17" s="730" t="s">
        <v>232</v>
      </c>
      <c r="D17" s="493">
        <v>2.2499999999999999E-2</v>
      </c>
      <c r="E17" s="493">
        <v>2.2499999999999999E-2</v>
      </c>
      <c r="F17" s="493">
        <v>2.2657E-2</v>
      </c>
      <c r="G17" s="493">
        <v>2.2599999999999999E-2</v>
      </c>
      <c r="H17" s="493">
        <v>2.23E-2</v>
      </c>
      <c r="I17" s="493">
        <v>2.2499999999999999E-2</v>
      </c>
      <c r="J17" s="493">
        <v>2.2599999999999999E-2</v>
      </c>
      <c r="K17" s="665">
        <v>2.2499999999999999E-2</v>
      </c>
      <c r="L17" s="665">
        <v>2.24E-2</v>
      </c>
      <c r="M17" s="665">
        <v>2.274E-2</v>
      </c>
      <c r="N17" s="665">
        <v>2.2953000000000001E-2</v>
      </c>
      <c r="O17" s="665">
        <v>2.2800000000000001E-2</v>
      </c>
      <c r="P17" s="665">
        <v>2.3035E-2</v>
      </c>
      <c r="Q17" s="665">
        <v>2.3515000000000001E-2</v>
      </c>
      <c r="R17" s="665">
        <v>2.5440000000000001E-2</v>
      </c>
      <c r="S17" s="665">
        <v>2.5599999999999998E-2</v>
      </c>
      <c r="T17" s="493">
        <v>2.5499999999999998E-2</v>
      </c>
      <c r="U17" s="493">
        <v>2.5253999999999999E-2</v>
      </c>
      <c r="V17" s="493">
        <v>2.5654E-2</v>
      </c>
      <c r="W17" s="480">
        <v>2.6034999999999999E-2</v>
      </c>
      <c r="X17" s="481">
        <v>2.75E-2</v>
      </c>
      <c r="Y17" s="481">
        <v>2.75E-2</v>
      </c>
      <c r="Z17" s="480">
        <v>2.75E-2</v>
      </c>
      <c r="AA17" s="480">
        <v>2.76E-2</v>
      </c>
      <c r="AB17" s="480">
        <v>2.7400000000000001E-2</v>
      </c>
      <c r="AC17" s="480">
        <v>2.7220000000000001E-2</v>
      </c>
      <c r="AD17" s="480">
        <v>2.9576000000000002E-2</v>
      </c>
      <c r="AE17" s="480">
        <v>2.9400000000000003E-2</v>
      </c>
      <c r="AF17" s="480">
        <v>2.9600000000000001E-2</v>
      </c>
      <c r="AG17" s="481">
        <v>2.9399999999999999E-2</v>
      </c>
      <c r="AH17" s="481">
        <v>2.9399999999999999E-2</v>
      </c>
      <c r="AI17" s="480">
        <v>2.93E-2</v>
      </c>
      <c r="AJ17" s="480">
        <v>2.9420000000000002E-2</v>
      </c>
      <c r="AK17" s="480">
        <v>2.8799999999999999E-2</v>
      </c>
      <c r="AL17" s="482">
        <v>2.9297E-2</v>
      </c>
      <c r="AM17" s="481">
        <v>2.9297E-2</v>
      </c>
      <c r="AN17" s="480">
        <v>2.9297E-2</v>
      </c>
      <c r="AO17" s="480">
        <v>2.8899999999999999E-2</v>
      </c>
      <c r="AP17" s="480">
        <v>2.9135999999999999E-2</v>
      </c>
      <c r="AQ17" s="480">
        <v>2.8900000000000002E-2</v>
      </c>
      <c r="AR17" s="480">
        <v>2.9000000000000001E-2</v>
      </c>
      <c r="AS17" s="480">
        <v>2.86E-2</v>
      </c>
      <c r="AT17" s="481">
        <v>2.9000000000000001E-2</v>
      </c>
      <c r="AU17" s="481">
        <v>2.9000000000000001E-2</v>
      </c>
      <c r="AV17" s="480">
        <v>2.9194999999999999E-2</v>
      </c>
      <c r="AW17" s="482">
        <v>2.9262E-2</v>
      </c>
      <c r="AX17" s="482">
        <v>2.9262E-2</v>
      </c>
      <c r="AY17" s="482">
        <v>2.9262E-2</v>
      </c>
      <c r="AZ17" s="482">
        <v>2.9262E-2</v>
      </c>
      <c r="BA17" s="482">
        <v>2.9262E-2</v>
      </c>
      <c r="BB17" s="482">
        <v>2.9262E-2</v>
      </c>
      <c r="BC17" s="482">
        <v>2.9262E-2</v>
      </c>
      <c r="BD17" s="482">
        <v>2.9100000000000001E-2</v>
      </c>
      <c r="BE17" s="482">
        <v>2.9100000000000001E-2</v>
      </c>
      <c r="BF17" s="482">
        <v>2.9100000000000001E-2</v>
      </c>
      <c r="BG17" s="482">
        <v>2.9100000000000001E-2</v>
      </c>
      <c r="BH17" s="482">
        <v>2.87E-2</v>
      </c>
      <c r="BI17" s="482">
        <v>2.87E-2</v>
      </c>
      <c r="BJ17" s="482">
        <v>2.87E-2</v>
      </c>
      <c r="BK17" s="482">
        <v>2.87E-2</v>
      </c>
      <c r="BL17" s="482">
        <v>2.9000000000000001E-2</v>
      </c>
      <c r="BM17" s="482">
        <v>2.9000000000000001E-2</v>
      </c>
      <c r="BN17" s="482">
        <v>2.9700000000000001E-2</v>
      </c>
      <c r="BO17" s="482">
        <v>3.1619000000000001E-2</v>
      </c>
      <c r="BP17" s="482">
        <v>3.1800000000000002E-2</v>
      </c>
      <c r="BQ17" s="482">
        <v>3.1800000000000002E-2</v>
      </c>
      <c r="BR17" s="482">
        <v>3.15E-2</v>
      </c>
      <c r="BS17" s="482">
        <v>3.15E-2</v>
      </c>
      <c r="BT17" s="482">
        <v>3.4299999999999997E-2</v>
      </c>
      <c r="BU17" s="482">
        <v>3.4299999999999997E-2</v>
      </c>
      <c r="BV17" s="482">
        <v>3.4299999999999997E-2</v>
      </c>
      <c r="BW17" s="482">
        <v>3.4299999999999997E-2</v>
      </c>
      <c r="BX17" s="482">
        <v>3.4299999999999997E-2</v>
      </c>
      <c r="BY17" s="482">
        <v>3.4299999999999997E-2</v>
      </c>
      <c r="BZ17" s="482">
        <v>3.4299999999999997E-2</v>
      </c>
      <c r="CA17" s="482">
        <v>3.5457000000000002E-2</v>
      </c>
      <c r="CB17" s="482">
        <v>3.8948999999999998E-2</v>
      </c>
      <c r="CC17" s="482">
        <v>3.9390000000000001E-2</v>
      </c>
      <c r="CD17" s="482">
        <v>3.9495000000000002E-2</v>
      </c>
      <c r="CE17" s="482">
        <v>3.9329999999999997E-2</v>
      </c>
      <c r="CF17" s="482">
        <v>3.9399999999999998E-2</v>
      </c>
      <c r="CG17" s="482">
        <v>3.95E-2</v>
      </c>
      <c r="CH17" s="482">
        <v>3.95E-2</v>
      </c>
      <c r="CI17" s="482">
        <v>3.9399999999999998E-2</v>
      </c>
      <c r="CJ17" s="482">
        <v>3.9399999999999998E-2</v>
      </c>
      <c r="CK17" s="482">
        <v>3.9215E-2</v>
      </c>
      <c r="CL17" s="483">
        <v>0.04</v>
      </c>
      <c r="CM17" s="483">
        <v>3.9420999999999998E-2</v>
      </c>
      <c r="CN17" s="483">
        <v>3.9316999999999998E-2</v>
      </c>
      <c r="CO17" s="483">
        <v>3.9300000000000002E-2</v>
      </c>
      <c r="CP17" s="483">
        <v>3.9399999999999998E-2</v>
      </c>
      <c r="CQ17" s="483">
        <v>3.9142000000000003E-2</v>
      </c>
      <c r="CR17" s="483">
        <v>3.9120000000000002E-2</v>
      </c>
      <c r="CS17" s="483">
        <v>3.9100000000000003E-2</v>
      </c>
      <c r="CT17" s="483">
        <v>3.9100000000000003E-2</v>
      </c>
      <c r="CU17" s="483">
        <v>3.9199999999999999E-2</v>
      </c>
      <c r="CV17" s="483">
        <v>3.9199999999999999E-2</v>
      </c>
      <c r="CW17" s="483">
        <v>3.9199999999999999E-2</v>
      </c>
      <c r="CX17" s="483">
        <v>3.9199999999999999E-2</v>
      </c>
      <c r="CY17" s="483">
        <v>3.95E-2</v>
      </c>
      <c r="CZ17" s="483">
        <v>3.9280000000000002E-2</v>
      </c>
      <c r="DA17" s="483">
        <v>3.9100000000000003E-2</v>
      </c>
      <c r="DB17" s="483">
        <v>3.9100000000000003E-2</v>
      </c>
      <c r="DC17" s="483">
        <v>3.9120000000000002E-2</v>
      </c>
      <c r="DD17" s="483">
        <v>3.9111E-2</v>
      </c>
      <c r="DE17" s="483">
        <v>3.9111E-2</v>
      </c>
      <c r="DF17" s="483">
        <v>3.9111E-2</v>
      </c>
      <c r="DG17" s="483">
        <v>3.9199999999999999E-2</v>
      </c>
      <c r="DH17" s="483">
        <v>3.9176999999999997E-2</v>
      </c>
      <c r="DI17" s="483">
        <v>3.9222E-2</v>
      </c>
      <c r="DJ17" s="483">
        <v>3.9234999999999999E-2</v>
      </c>
      <c r="DK17" s="483">
        <v>3.9210000000000002E-2</v>
      </c>
      <c r="DL17" s="483">
        <v>3.9E-2</v>
      </c>
      <c r="DM17" s="483">
        <v>3.9494000000000001E-2</v>
      </c>
      <c r="DN17" s="483">
        <v>3.9376000000000001E-2</v>
      </c>
      <c r="DO17" s="483">
        <v>3.9498999999999999E-2</v>
      </c>
      <c r="DP17" s="483">
        <v>3.9699999999999999E-2</v>
      </c>
      <c r="DQ17" s="483">
        <v>3.9225000000000003E-2</v>
      </c>
      <c r="DR17" s="483">
        <v>3.916E-2</v>
      </c>
      <c r="DS17" s="483">
        <v>3.9199999999999999E-2</v>
      </c>
      <c r="DT17" s="483">
        <v>3.9199999999999999E-2</v>
      </c>
      <c r="DU17" s="483">
        <v>3.9135000000000003E-2</v>
      </c>
      <c r="DV17" s="483">
        <v>3.9088999999999999E-2</v>
      </c>
      <c r="DW17" s="483">
        <v>3.9100000000000003E-2</v>
      </c>
      <c r="DX17" s="483">
        <v>3.9100000000000003E-2</v>
      </c>
      <c r="DY17" s="483">
        <v>3.9091000000000001E-2</v>
      </c>
      <c r="DZ17" s="483">
        <v>3.9133000000000001E-2</v>
      </c>
      <c r="EA17" s="483">
        <v>3.9037000000000002E-2</v>
      </c>
      <c r="EB17" s="483">
        <v>3.9100000000000003E-2</v>
      </c>
      <c r="EC17" s="483">
        <v>3.9031999999999997E-2</v>
      </c>
      <c r="ED17" s="483">
        <v>3.9002000000000002E-2</v>
      </c>
      <c r="EE17" s="483">
        <v>3.9004999999999998E-2</v>
      </c>
      <c r="EF17" s="483">
        <v>3.9045999999999997E-2</v>
      </c>
      <c r="EG17" s="483">
        <v>3.9100000000000003E-2</v>
      </c>
      <c r="EH17" s="483">
        <v>3.9079999999999997E-2</v>
      </c>
      <c r="EI17" s="483">
        <v>1.6320000000000001E-2</v>
      </c>
      <c r="EJ17" s="483">
        <v>1.7909999999999999E-2</v>
      </c>
      <c r="EK17" s="483">
        <v>1.8346000000000001E-2</v>
      </c>
      <c r="EL17" s="482">
        <v>1.04E-2</v>
      </c>
      <c r="EM17" s="482">
        <v>1.2800000000000001E-2</v>
      </c>
      <c r="EN17" s="483">
        <v>3.6630000000000003E-2</v>
      </c>
      <c r="EO17" s="483">
        <v>3.6499999999999998E-2</v>
      </c>
      <c r="EP17" s="483">
        <v>3.6499999999999998E-2</v>
      </c>
      <c r="EQ17" s="483">
        <v>3.5767E-2</v>
      </c>
      <c r="ER17" s="483">
        <v>3.4001999999999998E-2</v>
      </c>
      <c r="ES17" s="483">
        <v>3.4014999999999997E-2</v>
      </c>
      <c r="ET17" s="483">
        <v>3.4099999999999998E-2</v>
      </c>
      <c r="EU17" s="483">
        <v>3.4200000000000001E-2</v>
      </c>
      <c r="EV17" s="483">
        <v>3.4042000000000003E-2</v>
      </c>
      <c r="EW17" s="483">
        <v>3.3735000000000001E-2</v>
      </c>
      <c r="EX17" s="483">
        <v>3.2294999999999997E-2</v>
      </c>
      <c r="EY17" s="483">
        <v>3.1544999999999997E-2</v>
      </c>
      <c r="EZ17" s="482">
        <v>3.15E-2</v>
      </c>
      <c r="FA17" s="484">
        <v>3.15E-2</v>
      </c>
      <c r="FB17" s="485">
        <v>3.1535000000000001E-2</v>
      </c>
      <c r="FC17" s="486">
        <v>3.1563000000000001E-2</v>
      </c>
      <c r="FD17" s="486">
        <v>3.1597E-2</v>
      </c>
      <c r="FE17" s="486">
        <v>3.1723000000000001E-2</v>
      </c>
      <c r="FF17" s="486">
        <v>2.9211000000000001E-2</v>
      </c>
      <c r="FG17" s="486">
        <v>2.9116E-2</v>
      </c>
      <c r="FH17" s="486">
        <v>2.913E-2</v>
      </c>
      <c r="FI17" s="486">
        <v>2.9080000000000002E-2</v>
      </c>
      <c r="FJ17" s="486">
        <v>2.9135000000000001E-2</v>
      </c>
      <c r="FK17" s="486">
        <v>2.92E-2</v>
      </c>
      <c r="FL17" s="486">
        <v>2.912E-2</v>
      </c>
      <c r="FM17" s="486">
        <v>2.41E-2</v>
      </c>
      <c r="FN17" s="486">
        <v>2.4001999999999999E-2</v>
      </c>
      <c r="FO17" s="486">
        <v>2.4E-2</v>
      </c>
      <c r="FP17" s="486">
        <v>2.3907000000000001E-2</v>
      </c>
      <c r="FQ17" s="486">
        <v>2.4E-2</v>
      </c>
      <c r="FR17" s="486">
        <v>2.4114E-2</v>
      </c>
      <c r="FS17" s="486">
        <v>1.6364E-2</v>
      </c>
      <c r="FT17" s="486">
        <v>1.6500000000000001E-2</v>
      </c>
      <c r="FU17" s="486">
        <v>1.66E-2</v>
      </c>
      <c r="FV17" s="483">
        <v>3.6700000000000003E-2</v>
      </c>
      <c r="FW17" s="483">
        <v>3.6600000000000001E-2</v>
      </c>
      <c r="FX17" s="483">
        <v>3.6846999999999998E-2</v>
      </c>
      <c r="FY17" s="483">
        <v>3.6600000000000001E-2</v>
      </c>
      <c r="FZ17" s="483">
        <v>3.6900000000000002E-2</v>
      </c>
      <c r="GA17" s="483">
        <v>3.6755999999999997E-2</v>
      </c>
      <c r="GB17" s="483">
        <v>3.6734999999999997E-2</v>
      </c>
      <c r="GC17" s="483">
        <v>3.6906000000000001E-2</v>
      </c>
      <c r="GD17" s="486">
        <v>1.8346000000000001E-2</v>
      </c>
      <c r="GE17" s="486">
        <v>1.8346000000000001E-2</v>
      </c>
      <c r="GF17" s="486">
        <v>1.8346000000000001E-2</v>
      </c>
      <c r="GG17" s="486">
        <v>1.8346000000000001E-2</v>
      </c>
      <c r="GH17" s="486">
        <v>1.8346000000000001E-2</v>
      </c>
      <c r="GI17" s="486">
        <v>1.8346000000000001E-2</v>
      </c>
      <c r="GJ17" s="486">
        <v>1.8346000000000001E-2</v>
      </c>
      <c r="GK17" s="486">
        <v>1.8346000000000001E-2</v>
      </c>
      <c r="GL17" s="486">
        <v>1.8346000000000001E-2</v>
      </c>
      <c r="GM17" s="486">
        <v>1.8346000000000001E-2</v>
      </c>
      <c r="GN17" s="486">
        <v>1.8346000000000001E-2</v>
      </c>
      <c r="GO17" s="486">
        <v>1.8346000000000001E-2</v>
      </c>
      <c r="GP17" s="486">
        <v>1.8346000000000001E-2</v>
      </c>
      <c r="GQ17" s="486">
        <v>1.8346000000000001E-2</v>
      </c>
      <c r="GR17" s="486">
        <v>1.8346000000000001E-2</v>
      </c>
      <c r="GS17" s="486">
        <v>1.8346000000000001E-2</v>
      </c>
      <c r="GT17" s="486">
        <v>1.8346000000000001E-2</v>
      </c>
      <c r="GU17" s="486">
        <v>1.8346000000000001E-2</v>
      </c>
      <c r="GV17" s="486">
        <v>1.8346000000000001E-2</v>
      </c>
      <c r="GW17" s="486">
        <v>1.8346000000000001E-2</v>
      </c>
      <c r="GX17" s="486">
        <v>1.8346000000000001E-2</v>
      </c>
      <c r="GY17" s="486">
        <v>1.8346000000000001E-2</v>
      </c>
      <c r="GZ17" s="486">
        <v>1.8346000000000001E-2</v>
      </c>
      <c r="HA17" s="486">
        <v>1.8346000000000001E-2</v>
      </c>
      <c r="HB17" s="486">
        <v>1.8346000000000001E-2</v>
      </c>
      <c r="HC17" s="486">
        <v>1.8346000000000001E-2</v>
      </c>
      <c r="HD17" s="486">
        <v>1.8346000000000001E-2</v>
      </c>
      <c r="HE17" s="486">
        <v>1.8346000000000001E-2</v>
      </c>
      <c r="HF17" s="486">
        <v>1.8346000000000001E-2</v>
      </c>
      <c r="HG17" s="486">
        <v>1.8346000000000001E-2</v>
      </c>
      <c r="HH17" s="486">
        <v>1.8346000000000001E-2</v>
      </c>
      <c r="HI17" s="486">
        <v>1.8346000000000001E-2</v>
      </c>
      <c r="HJ17" s="486">
        <v>1.8346000000000001E-2</v>
      </c>
      <c r="HK17" s="486">
        <v>1.8346000000000001E-2</v>
      </c>
      <c r="HL17" s="486">
        <v>1.8346000000000001E-2</v>
      </c>
      <c r="HM17" s="486">
        <v>1.8346000000000001E-2</v>
      </c>
      <c r="HN17" s="486">
        <v>1.8346000000000001E-2</v>
      </c>
      <c r="HO17" s="486">
        <v>1.8346000000000001E-2</v>
      </c>
      <c r="HP17" s="473">
        <f t="shared" si="0"/>
        <v>0</v>
      </c>
      <c r="HQ17" s="1135"/>
    </row>
    <row r="18" spans="2:225">
      <c r="B18" s="1129"/>
      <c r="C18" s="730" t="s">
        <v>231</v>
      </c>
      <c r="D18" s="493">
        <v>2.35E-2</v>
      </c>
      <c r="E18" s="493">
        <v>2.35E-2</v>
      </c>
      <c r="F18" s="493">
        <v>2.3657000000000001E-2</v>
      </c>
      <c r="G18" s="493">
        <v>2.3599999999999999E-2</v>
      </c>
      <c r="H18" s="493">
        <v>2.3300000000000001E-2</v>
      </c>
      <c r="I18" s="493">
        <v>2.35E-2</v>
      </c>
      <c r="J18" s="493">
        <v>2.3599999999999999E-2</v>
      </c>
      <c r="K18" s="665">
        <v>2.35E-2</v>
      </c>
      <c r="L18" s="665">
        <v>2.3400000000000001E-2</v>
      </c>
      <c r="M18" s="665">
        <v>2.3740000000000001E-2</v>
      </c>
      <c r="N18" s="665">
        <v>2.3952999999999999E-2</v>
      </c>
      <c r="O18" s="665">
        <v>2.3800000000000002E-2</v>
      </c>
      <c r="P18" s="665">
        <v>2.4035000000000001E-2</v>
      </c>
      <c r="Q18" s="665">
        <v>2.4514999999999999E-2</v>
      </c>
      <c r="R18" s="665">
        <v>2.6440000000000002E-2</v>
      </c>
      <c r="S18" s="665">
        <v>2.6599999999999999E-2</v>
      </c>
      <c r="T18" s="493">
        <v>2.6499999999999999E-2</v>
      </c>
      <c r="U18" s="493">
        <v>2.6254E-2</v>
      </c>
      <c r="V18" s="493">
        <v>2.6654000000000001E-2</v>
      </c>
      <c r="W18" s="480">
        <v>2.7035E-2</v>
      </c>
      <c r="X18" s="481">
        <v>2.8500000000000001E-2</v>
      </c>
      <c r="Y18" s="481">
        <v>2.8500000000000001E-2</v>
      </c>
      <c r="Z18" s="480">
        <v>2.8500000000000001E-2</v>
      </c>
      <c r="AA18" s="480">
        <v>2.86E-2</v>
      </c>
      <c r="AB18" s="480">
        <v>2.8400000000000002E-2</v>
      </c>
      <c r="AC18" s="480">
        <v>2.8219999999999999E-2</v>
      </c>
      <c r="AD18" s="480">
        <v>3.0575999999999999E-2</v>
      </c>
      <c r="AE18" s="480">
        <v>3.04E-2</v>
      </c>
      <c r="AF18" s="480">
        <v>3.0599999999999999E-2</v>
      </c>
      <c r="AG18" s="481">
        <v>3.04E-2</v>
      </c>
      <c r="AH18" s="481">
        <v>3.04E-2</v>
      </c>
      <c r="AI18" s="480">
        <v>3.0300000000000001E-2</v>
      </c>
      <c r="AJ18" s="480">
        <v>3.0419999999999999E-2</v>
      </c>
      <c r="AK18" s="480">
        <v>2.98E-2</v>
      </c>
      <c r="AL18" s="482">
        <v>3.0297000000000001E-2</v>
      </c>
      <c r="AM18" s="481">
        <v>3.0297000000000001E-2</v>
      </c>
      <c r="AN18" s="480">
        <v>3.0297000000000001E-2</v>
      </c>
      <c r="AO18" s="480">
        <v>2.9899999999999999E-2</v>
      </c>
      <c r="AP18" s="480">
        <v>3.0136E-2</v>
      </c>
      <c r="AQ18" s="480">
        <v>2.9899999999999999E-2</v>
      </c>
      <c r="AR18" s="480">
        <v>0.03</v>
      </c>
      <c r="AS18" s="480">
        <v>2.9600000000000001E-2</v>
      </c>
      <c r="AT18" s="481">
        <v>0.03</v>
      </c>
      <c r="AU18" s="481">
        <v>0.03</v>
      </c>
      <c r="AV18" s="480">
        <v>3.0195E-2</v>
      </c>
      <c r="AW18" s="482">
        <f t="shared" ref="AW18:BC19" si="1">AW17+0.1%</f>
        <v>3.0262000000000001E-2</v>
      </c>
      <c r="AX18" s="482">
        <f t="shared" si="1"/>
        <v>3.0262000000000001E-2</v>
      </c>
      <c r="AY18" s="482">
        <f t="shared" si="1"/>
        <v>3.0262000000000001E-2</v>
      </c>
      <c r="AZ18" s="482">
        <f t="shared" si="1"/>
        <v>3.0262000000000001E-2</v>
      </c>
      <c r="BA18" s="482">
        <f t="shared" si="1"/>
        <v>3.0262000000000001E-2</v>
      </c>
      <c r="BB18" s="482">
        <f t="shared" si="1"/>
        <v>3.0262000000000001E-2</v>
      </c>
      <c r="BC18" s="482">
        <f t="shared" si="1"/>
        <v>3.0262000000000001E-2</v>
      </c>
      <c r="BD18" s="482">
        <v>3.0099999999999998E-2</v>
      </c>
      <c r="BE18" s="482">
        <v>3.0099999999999998E-2</v>
      </c>
      <c r="BF18" s="482">
        <v>3.0099999999999998E-2</v>
      </c>
      <c r="BG18" s="482">
        <v>3.0099999999999998E-2</v>
      </c>
      <c r="BH18" s="482">
        <v>2.9700000000000001E-2</v>
      </c>
      <c r="BI18" s="482">
        <v>2.9700000000000001E-2</v>
      </c>
      <c r="BJ18" s="482">
        <v>2.9700000000000001E-2</v>
      </c>
      <c r="BK18" s="482">
        <v>2.9700000000000001E-2</v>
      </c>
      <c r="BL18" s="482">
        <v>0.03</v>
      </c>
      <c r="BM18" s="482">
        <v>0.03</v>
      </c>
      <c r="BN18" s="482">
        <v>3.0700000000000002E-2</v>
      </c>
      <c r="BO18" s="482">
        <v>3.2619000000000002E-2</v>
      </c>
      <c r="BP18" s="482">
        <v>3.2800000000000003E-2</v>
      </c>
      <c r="BQ18" s="482">
        <v>3.2800000000000003E-2</v>
      </c>
      <c r="BR18" s="482">
        <v>3.2500000000000001E-2</v>
      </c>
      <c r="BS18" s="482">
        <v>3.2500000000000001E-2</v>
      </c>
      <c r="BT18" s="482">
        <v>3.5299999999999998E-2</v>
      </c>
      <c r="BU18" s="482">
        <v>3.5299999999999998E-2</v>
      </c>
      <c r="BV18" s="482">
        <v>3.5299999999999998E-2</v>
      </c>
      <c r="BW18" s="482">
        <v>3.5299999999999998E-2</v>
      </c>
      <c r="BX18" s="482">
        <v>3.5299999999999998E-2</v>
      </c>
      <c r="BY18" s="482">
        <v>3.5299999999999998E-2</v>
      </c>
      <c r="BZ18" s="482">
        <v>3.5299999999999998E-2</v>
      </c>
      <c r="CA18" s="482">
        <v>3.6457000000000003E-2</v>
      </c>
      <c r="CB18" s="482">
        <v>3.9948999999999998E-2</v>
      </c>
      <c r="CC18" s="482">
        <v>4.0390000000000002E-2</v>
      </c>
      <c r="CD18" s="482">
        <v>4.0453999999999997E-2</v>
      </c>
      <c r="CE18" s="482">
        <v>4.0329999999999998E-2</v>
      </c>
      <c r="CF18" s="482">
        <v>4.0399999999999998E-2</v>
      </c>
      <c r="CG18" s="482">
        <v>4.0500000000000001E-2</v>
      </c>
      <c r="CH18" s="482">
        <v>4.0500000000000001E-2</v>
      </c>
      <c r="CI18" s="482">
        <v>4.0399999999999998E-2</v>
      </c>
      <c r="CJ18" s="482">
        <v>4.0399999999999998E-2</v>
      </c>
      <c r="CK18" s="482">
        <v>4.0215000000000001E-2</v>
      </c>
      <c r="CL18" s="483">
        <v>4.1000000000000002E-2</v>
      </c>
      <c r="CM18" s="483">
        <v>4.0420999999999999E-2</v>
      </c>
      <c r="CN18" s="483">
        <v>4.0316999999999999E-2</v>
      </c>
      <c r="CO18" s="483">
        <v>4.0300000000000002E-2</v>
      </c>
      <c r="CP18" s="483">
        <v>4.0399999999999998E-2</v>
      </c>
      <c r="CQ18" s="483">
        <v>4.0141999999999997E-2</v>
      </c>
      <c r="CR18" s="483">
        <v>4.0120000000000003E-2</v>
      </c>
      <c r="CS18" s="483">
        <v>4.0099999999999997E-2</v>
      </c>
      <c r="CT18" s="483">
        <v>4.0099999999999997E-2</v>
      </c>
      <c r="CU18" s="483">
        <v>4.02E-2</v>
      </c>
      <c r="CV18" s="483">
        <v>4.02E-2</v>
      </c>
      <c r="CW18" s="483">
        <v>4.02E-2</v>
      </c>
      <c r="CX18" s="483">
        <v>4.02E-2</v>
      </c>
      <c r="CY18" s="483">
        <v>4.0500000000000001E-2</v>
      </c>
      <c r="CZ18" s="483">
        <v>4.0280000000000003E-2</v>
      </c>
      <c r="DA18" s="483">
        <v>4.0099999999999997E-2</v>
      </c>
      <c r="DB18" s="483">
        <v>4.0099999999999997E-2</v>
      </c>
      <c r="DC18" s="483">
        <v>4.0120000000000003E-2</v>
      </c>
      <c r="DD18" s="483">
        <v>4.0111000000000001E-2</v>
      </c>
      <c r="DE18" s="483">
        <v>4.0111000000000001E-2</v>
      </c>
      <c r="DF18" s="483">
        <v>4.0111000000000001E-2</v>
      </c>
      <c r="DG18" s="483">
        <v>4.02E-2</v>
      </c>
      <c r="DH18" s="483">
        <v>4.0176999999999997E-2</v>
      </c>
      <c r="DI18" s="483">
        <v>4.0222000000000001E-2</v>
      </c>
      <c r="DJ18" s="483">
        <v>4.0235E-2</v>
      </c>
      <c r="DK18" s="483">
        <v>4.0210000000000003E-2</v>
      </c>
      <c r="DL18" s="483">
        <v>0.04</v>
      </c>
      <c r="DM18" s="483">
        <v>4.0494000000000002E-2</v>
      </c>
      <c r="DN18" s="483">
        <v>4.0376000000000002E-2</v>
      </c>
      <c r="DO18" s="483">
        <v>4.0499E-2</v>
      </c>
      <c r="DP18" s="483">
        <v>4.07E-2</v>
      </c>
      <c r="DQ18" s="483">
        <v>4.0224999999999997E-2</v>
      </c>
      <c r="DR18" s="483">
        <v>4.0160000000000001E-2</v>
      </c>
      <c r="DS18" s="483">
        <v>4.02E-2</v>
      </c>
      <c r="DT18" s="483">
        <v>4.02E-2</v>
      </c>
      <c r="DU18" s="483">
        <v>4.0134999999999997E-2</v>
      </c>
      <c r="DV18" s="483">
        <v>4.0089E-2</v>
      </c>
      <c r="DW18" s="483">
        <v>4.0099999999999997E-2</v>
      </c>
      <c r="DX18" s="483">
        <v>4.0099999999999997E-2</v>
      </c>
      <c r="DY18" s="483">
        <v>4.0091000000000002E-2</v>
      </c>
      <c r="DZ18" s="483">
        <v>4.0133000000000002E-2</v>
      </c>
      <c r="EA18" s="483">
        <v>4.0037000000000003E-2</v>
      </c>
      <c r="EB18" s="483">
        <v>4.0099999999999997E-2</v>
      </c>
      <c r="EC18" s="483">
        <v>4.0031999999999998E-2</v>
      </c>
      <c r="ED18" s="483">
        <v>4.0002000000000003E-2</v>
      </c>
      <c r="EE18" s="483">
        <v>4.0004999999999999E-2</v>
      </c>
      <c r="EF18" s="483">
        <v>4.0045999999999998E-2</v>
      </c>
      <c r="EG18" s="483">
        <v>4.0099999999999997E-2</v>
      </c>
      <c r="EH18" s="483">
        <v>4.0079999999999998E-2</v>
      </c>
      <c r="EI18" s="483">
        <v>1.7319999999999999E-2</v>
      </c>
      <c r="EJ18" s="483">
        <v>1.891E-2</v>
      </c>
      <c r="EK18" s="483">
        <v>1.9345999999999999E-2</v>
      </c>
      <c r="EL18" s="482">
        <v>1.14E-2</v>
      </c>
      <c r="EM18" s="482">
        <v>1.4800000000000001E-2</v>
      </c>
      <c r="EN18" s="483">
        <v>3.7629999999999997E-2</v>
      </c>
      <c r="EO18" s="483">
        <v>3.7499999999999999E-2</v>
      </c>
      <c r="EP18" s="483">
        <v>3.7499999999999999E-2</v>
      </c>
      <c r="EQ18" s="483">
        <v>3.7670000000000002E-2</v>
      </c>
      <c r="ER18" s="483">
        <v>3.5001999999999998E-2</v>
      </c>
      <c r="ES18" s="483">
        <v>3.5014999999999998E-2</v>
      </c>
      <c r="ET18" s="483">
        <v>3.5099999999999999E-2</v>
      </c>
      <c r="EU18" s="483">
        <v>3.5200000000000002E-2</v>
      </c>
      <c r="EV18" s="483">
        <v>3.5041999999999997E-2</v>
      </c>
      <c r="EW18" s="483">
        <v>3.4735000000000002E-2</v>
      </c>
      <c r="EX18" s="483">
        <v>3.3294999999999998E-2</v>
      </c>
      <c r="EY18" s="483">
        <v>3.2544999999999998E-2</v>
      </c>
      <c r="EZ18" s="482">
        <v>3.2500000000000001E-2</v>
      </c>
      <c r="FA18" s="484">
        <v>3.2500000000000001E-2</v>
      </c>
      <c r="FB18" s="485">
        <v>3.2535000000000001E-2</v>
      </c>
      <c r="FC18" s="486">
        <v>3.2563000000000002E-2</v>
      </c>
      <c r="FD18" s="486">
        <v>3.2597000000000001E-2</v>
      </c>
      <c r="FE18" s="486">
        <v>3.2723000000000002E-2</v>
      </c>
      <c r="FF18" s="486">
        <v>3.0210999999999998E-2</v>
      </c>
      <c r="FG18" s="486">
        <v>3.0116E-2</v>
      </c>
      <c r="FH18" s="486">
        <v>3.0130000000000001E-2</v>
      </c>
      <c r="FI18" s="486">
        <v>3.0079999999999999E-2</v>
      </c>
      <c r="FJ18" s="486">
        <v>3.0134999999999999E-2</v>
      </c>
      <c r="FK18" s="486">
        <v>3.0200000000000001E-2</v>
      </c>
      <c r="FL18" s="486">
        <v>3.0120000000000001E-2</v>
      </c>
      <c r="FM18" s="486">
        <v>2.5100000000000001E-2</v>
      </c>
      <c r="FN18" s="486">
        <v>2.5002E-2</v>
      </c>
      <c r="FO18" s="486">
        <v>2.5000000000000001E-2</v>
      </c>
      <c r="FP18" s="486">
        <v>2.4906999999999999E-2</v>
      </c>
      <c r="FQ18" s="486">
        <v>2.5000000000000001E-2</v>
      </c>
      <c r="FR18" s="486">
        <v>2.5114000000000001E-2</v>
      </c>
      <c r="FS18" s="486">
        <v>1.7364000000000001E-2</v>
      </c>
      <c r="FT18" s="486">
        <v>1.7500000000000002E-2</v>
      </c>
      <c r="FU18" s="486">
        <v>1.7600000000000001E-2</v>
      </c>
      <c r="FV18" s="483">
        <v>3.7699999999999997E-2</v>
      </c>
      <c r="FW18" s="483">
        <v>3.7600000000000001E-2</v>
      </c>
      <c r="FX18" s="483">
        <v>3.7848E-2</v>
      </c>
      <c r="FY18" s="483">
        <v>3.7600000000000001E-2</v>
      </c>
      <c r="FZ18" s="483">
        <v>3.7900000000000003E-2</v>
      </c>
      <c r="GA18" s="483">
        <v>3.7755999999999998E-2</v>
      </c>
      <c r="GB18" s="483">
        <v>3.7734999999999998E-2</v>
      </c>
      <c r="GC18" s="483">
        <v>3.7906000000000002E-2</v>
      </c>
      <c r="GD18" s="486">
        <v>1.9345999999999999E-2</v>
      </c>
      <c r="GE18" s="486">
        <v>1.9345999999999999E-2</v>
      </c>
      <c r="GF18" s="486">
        <v>1.9345999999999999E-2</v>
      </c>
      <c r="GG18" s="486">
        <v>1.9345999999999999E-2</v>
      </c>
      <c r="GH18" s="486">
        <v>1.9345999999999999E-2</v>
      </c>
      <c r="GI18" s="486">
        <v>1.9345999999999999E-2</v>
      </c>
      <c r="GJ18" s="486">
        <v>1.9345999999999999E-2</v>
      </c>
      <c r="GK18" s="486">
        <v>1.9345999999999999E-2</v>
      </c>
      <c r="GL18" s="486">
        <v>1.9345999999999999E-2</v>
      </c>
      <c r="GM18" s="486">
        <v>1.9345999999999999E-2</v>
      </c>
      <c r="GN18" s="486">
        <v>1.9345999999999999E-2</v>
      </c>
      <c r="GO18" s="486">
        <v>1.9345999999999999E-2</v>
      </c>
      <c r="GP18" s="486">
        <v>1.9345999999999999E-2</v>
      </c>
      <c r="GQ18" s="486">
        <v>1.9345999999999999E-2</v>
      </c>
      <c r="GR18" s="486">
        <v>1.9345999999999999E-2</v>
      </c>
      <c r="GS18" s="486">
        <v>1.9345999999999999E-2</v>
      </c>
      <c r="GT18" s="486">
        <v>1.9345999999999999E-2</v>
      </c>
      <c r="GU18" s="486">
        <v>1.9345999999999999E-2</v>
      </c>
      <c r="GV18" s="486">
        <v>1.9345999999999999E-2</v>
      </c>
      <c r="GW18" s="486">
        <v>1.9345999999999999E-2</v>
      </c>
      <c r="GX18" s="486">
        <v>1.9345999999999999E-2</v>
      </c>
      <c r="GY18" s="486">
        <v>1.9345999999999999E-2</v>
      </c>
      <c r="GZ18" s="486">
        <v>1.9345999999999999E-2</v>
      </c>
      <c r="HA18" s="486">
        <v>1.9345999999999999E-2</v>
      </c>
      <c r="HB18" s="486">
        <v>1.9345999999999999E-2</v>
      </c>
      <c r="HC18" s="486">
        <v>1.9345999999999999E-2</v>
      </c>
      <c r="HD18" s="486">
        <v>1.9345999999999999E-2</v>
      </c>
      <c r="HE18" s="486">
        <v>1.9345999999999999E-2</v>
      </c>
      <c r="HF18" s="486">
        <v>1.9345999999999999E-2</v>
      </c>
      <c r="HG18" s="486">
        <v>1.9345999999999999E-2</v>
      </c>
      <c r="HH18" s="486">
        <v>1.9345999999999999E-2</v>
      </c>
      <c r="HI18" s="486">
        <v>1.9345999999999999E-2</v>
      </c>
      <c r="HJ18" s="486">
        <v>1.9345999999999999E-2</v>
      </c>
      <c r="HK18" s="486">
        <v>1.9345999999999999E-2</v>
      </c>
      <c r="HL18" s="486">
        <v>1.9345999999999999E-2</v>
      </c>
      <c r="HM18" s="486">
        <v>1.9345999999999999E-2</v>
      </c>
      <c r="HN18" s="486">
        <v>1.9345999999999999E-2</v>
      </c>
      <c r="HO18" s="486">
        <v>1.9345999999999999E-2</v>
      </c>
      <c r="HP18" s="473">
        <f t="shared" si="0"/>
        <v>0</v>
      </c>
      <c r="HQ18" s="1136"/>
    </row>
    <row r="19" spans="2:225">
      <c r="B19" s="1129"/>
      <c r="C19" s="730" t="s">
        <v>62</v>
      </c>
      <c r="D19" s="493">
        <v>2.4500000000000001E-2</v>
      </c>
      <c r="E19" s="493">
        <v>2.4500000000000001E-2</v>
      </c>
      <c r="F19" s="493">
        <v>2.4656999999999998E-2</v>
      </c>
      <c r="G19" s="493">
        <v>2.46E-2</v>
      </c>
      <c r="H19" s="493">
        <v>2.4299999999999999E-2</v>
      </c>
      <c r="I19" s="493">
        <v>2.4500000000000001E-2</v>
      </c>
      <c r="J19" s="493">
        <v>2.46E-2</v>
      </c>
      <c r="K19" s="665">
        <v>2.4500000000000001E-2</v>
      </c>
      <c r="L19" s="665">
        <v>2.4400000000000002E-2</v>
      </c>
      <c r="M19" s="665">
        <v>2.4740000000000002E-2</v>
      </c>
      <c r="N19" s="665">
        <v>2.4952999999999999E-2</v>
      </c>
      <c r="O19" s="665">
        <v>2.4799999999999999E-2</v>
      </c>
      <c r="P19" s="665">
        <v>2.5035000000000002E-2</v>
      </c>
      <c r="Q19" s="665">
        <v>2.5514999999999999E-2</v>
      </c>
      <c r="R19" s="665">
        <v>2.7439999999999999E-2</v>
      </c>
      <c r="S19" s="665">
        <v>2.76E-2</v>
      </c>
      <c r="T19" s="493">
        <v>2.75E-2</v>
      </c>
      <c r="U19" s="493">
        <v>2.7254E-2</v>
      </c>
      <c r="V19" s="493">
        <v>2.7654000000000001E-2</v>
      </c>
      <c r="W19" s="480">
        <v>2.8035000000000001E-2</v>
      </c>
      <c r="X19" s="481">
        <v>2.9500000000000002E-2</v>
      </c>
      <c r="Y19" s="481">
        <v>2.9500000000000002E-2</v>
      </c>
      <c r="Z19" s="480">
        <v>2.9500000000000002E-2</v>
      </c>
      <c r="AA19" s="480">
        <v>2.9600000000000001E-2</v>
      </c>
      <c r="AB19" s="480">
        <v>2.9399999999999999E-2</v>
      </c>
      <c r="AC19" s="480">
        <v>2.9219999999999999E-2</v>
      </c>
      <c r="AD19" s="480">
        <v>3.1576E-2</v>
      </c>
      <c r="AE19" s="480">
        <v>3.1400000000000004E-2</v>
      </c>
      <c r="AF19" s="480">
        <v>3.1600000000000003E-2</v>
      </c>
      <c r="AG19" s="481">
        <v>3.1399999999999997E-2</v>
      </c>
      <c r="AH19" s="481">
        <v>3.1399999999999997E-2</v>
      </c>
      <c r="AI19" s="480">
        <v>3.1300000000000001E-2</v>
      </c>
      <c r="AJ19" s="480">
        <v>3.1419999999999997E-2</v>
      </c>
      <c r="AK19" s="480">
        <v>3.0800000000000001E-2</v>
      </c>
      <c r="AL19" s="482">
        <v>3.1296999999999998E-2</v>
      </c>
      <c r="AM19" s="481">
        <v>3.1296999999999998E-2</v>
      </c>
      <c r="AN19" s="480">
        <v>3.1296999999999998E-2</v>
      </c>
      <c r="AO19" s="480">
        <v>3.09E-2</v>
      </c>
      <c r="AP19" s="480">
        <v>3.1136E-2</v>
      </c>
      <c r="AQ19" s="480">
        <v>3.09E-2</v>
      </c>
      <c r="AR19" s="480">
        <v>3.1E-2</v>
      </c>
      <c r="AS19" s="480">
        <v>3.0599999999999999E-2</v>
      </c>
      <c r="AT19" s="481">
        <v>3.1E-2</v>
      </c>
      <c r="AU19" s="481">
        <v>3.1E-2</v>
      </c>
      <c r="AV19" s="480">
        <v>3.1195000000000001E-2</v>
      </c>
      <c r="AW19" s="482">
        <f t="shared" si="1"/>
        <v>3.1261999999999998E-2</v>
      </c>
      <c r="AX19" s="482">
        <f t="shared" si="1"/>
        <v>3.1261999999999998E-2</v>
      </c>
      <c r="AY19" s="482">
        <f t="shared" si="1"/>
        <v>3.1261999999999998E-2</v>
      </c>
      <c r="AZ19" s="482">
        <f t="shared" si="1"/>
        <v>3.1261999999999998E-2</v>
      </c>
      <c r="BA19" s="482">
        <f t="shared" si="1"/>
        <v>3.1261999999999998E-2</v>
      </c>
      <c r="BB19" s="482">
        <f t="shared" si="1"/>
        <v>3.1261999999999998E-2</v>
      </c>
      <c r="BC19" s="482">
        <f t="shared" si="1"/>
        <v>3.1261999999999998E-2</v>
      </c>
      <c r="BD19" s="482">
        <v>3.1099999999999999E-2</v>
      </c>
      <c r="BE19" s="482">
        <v>3.1099999999999999E-2</v>
      </c>
      <c r="BF19" s="482">
        <v>3.1099999999999999E-2</v>
      </c>
      <c r="BG19" s="482">
        <v>3.1099999999999999E-2</v>
      </c>
      <c r="BH19" s="482">
        <v>3.0700000000000002E-2</v>
      </c>
      <c r="BI19" s="482">
        <v>3.0700000000000002E-2</v>
      </c>
      <c r="BJ19" s="482">
        <v>3.0700000000000002E-2</v>
      </c>
      <c r="BK19" s="482">
        <v>3.0700000000000002E-2</v>
      </c>
      <c r="BL19" s="482">
        <v>3.1E-2</v>
      </c>
      <c r="BM19" s="482">
        <v>3.1E-2</v>
      </c>
      <c r="BN19" s="482">
        <v>3.1699999999999999E-2</v>
      </c>
      <c r="BO19" s="482">
        <v>3.3619000000000003E-2</v>
      </c>
      <c r="BP19" s="482">
        <v>3.3799999999999997E-2</v>
      </c>
      <c r="BQ19" s="482">
        <v>3.3799999999999997E-2</v>
      </c>
      <c r="BR19" s="482">
        <v>3.3500000000000002E-2</v>
      </c>
      <c r="BS19" s="482">
        <v>3.3500000000000002E-2</v>
      </c>
      <c r="BT19" s="482">
        <v>3.6299999999999999E-2</v>
      </c>
      <c r="BU19" s="482">
        <v>3.6299999999999999E-2</v>
      </c>
      <c r="BV19" s="482">
        <v>3.6299999999999999E-2</v>
      </c>
      <c r="BW19" s="482">
        <v>3.6299999999999999E-2</v>
      </c>
      <c r="BX19" s="482">
        <v>3.6299999999999999E-2</v>
      </c>
      <c r="BY19" s="482">
        <v>3.6299999999999999E-2</v>
      </c>
      <c r="BZ19" s="482">
        <v>3.6299999999999999E-2</v>
      </c>
      <c r="CA19" s="482">
        <v>3.7467E-2</v>
      </c>
      <c r="CB19" s="482">
        <v>4.0948999999999999E-2</v>
      </c>
      <c r="CC19" s="482">
        <v>4.1390000000000003E-2</v>
      </c>
      <c r="CD19" s="482">
        <v>4.0453999999999997E-2</v>
      </c>
      <c r="CE19" s="482">
        <v>4.1329999999999999E-2</v>
      </c>
      <c r="CF19" s="482">
        <v>4.1399999999999999E-2</v>
      </c>
      <c r="CG19" s="482">
        <v>4.1500000000000002E-2</v>
      </c>
      <c r="CH19" s="482">
        <v>4.1500000000000002E-2</v>
      </c>
      <c r="CI19" s="482">
        <v>4.1399999999999999E-2</v>
      </c>
      <c r="CJ19" s="482">
        <v>4.1399999999999999E-2</v>
      </c>
      <c r="CK19" s="482">
        <v>4.1215000000000002E-2</v>
      </c>
      <c r="CL19" s="483">
        <v>4.2000000000000003E-2</v>
      </c>
      <c r="CM19" s="483">
        <v>4.1420999999999999E-2</v>
      </c>
      <c r="CN19" s="483">
        <v>4.1317E-2</v>
      </c>
      <c r="CO19" s="483">
        <v>4.1300000000000003E-2</v>
      </c>
      <c r="CP19" s="483">
        <v>4.1399999999999999E-2</v>
      </c>
      <c r="CQ19" s="483">
        <v>4.1141999999999998E-2</v>
      </c>
      <c r="CR19" s="483">
        <v>4.1119999999999997E-2</v>
      </c>
      <c r="CS19" s="483">
        <v>4.1099999999999998E-2</v>
      </c>
      <c r="CT19" s="483">
        <v>4.1099999999999998E-2</v>
      </c>
      <c r="CU19" s="483">
        <v>4.1200000000000001E-2</v>
      </c>
      <c r="CV19" s="483">
        <v>4.1200000000000001E-2</v>
      </c>
      <c r="CW19" s="483">
        <v>4.1200000000000001E-2</v>
      </c>
      <c r="CX19" s="483">
        <v>4.1200000000000001E-2</v>
      </c>
      <c r="CY19" s="483">
        <v>4.1500000000000002E-2</v>
      </c>
      <c r="CZ19" s="483">
        <v>4.1279999999999997E-2</v>
      </c>
      <c r="DA19" s="483">
        <v>4.1099999999999998E-2</v>
      </c>
      <c r="DB19" s="483">
        <v>4.1099999999999998E-2</v>
      </c>
      <c r="DC19" s="483">
        <v>4.1119999999999997E-2</v>
      </c>
      <c r="DD19" s="483">
        <v>4.1111000000000002E-2</v>
      </c>
      <c r="DE19" s="483">
        <v>4.1111000000000002E-2</v>
      </c>
      <c r="DF19" s="483">
        <v>4.1111000000000002E-2</v>
      </c>
      <c r="DG19" s="483">
        <v>4.1200000000000001E-2</v>
      </c>
      <c r="DH19" s="483">
        <v>4.1176999999999998E-2</v>
      </c>
      <c r="DI19" s="483">
        <v>4.1222000000000002E-2</v>
      </c>
      <c r="DJ19" s="483">
        <v>4.1235000000000001E-2</v>
      </c>
      <c r="DK19" s="483">
        <v>4.1209999999999997E-2</v>
      </c>
      <c r="DL19" s="483">
        <v>4.1000000000000002E-2</v>
      </c>
      <c r="DM19" s="483">
        <v>4.1494000000000003E-2</v>
      </c>
      <c r="DN19" s="483">
        <v>4.1376000000000003E-2</v>
      </c>
      <c r="DO19" s="483">
        <v>4.1499000000000001E-2</v>
      </c>
      <c r="DP19" s="483">
        <v>4.1700000000000001E-2</v>
      </c>
      <c r="DQ19" s="483">
        <v>4.1224999999999998E-2</v>
      </c>
      <c r="DR19" s="483">
        <v>4.1160000000000002E-2</v>
      </c>
      <c r="DS19" s="483">
        <v>4.1200000000000001E-2</v>
      </c>
      <c r="DT19" s="483">
        <v>4.1200000000000001E-2</v>
      </c>
      <c r="DU19" s="483">
        <v>4.1134999999999998E-2</v>
      </c>
      <c r="DV19" s="483">
        <v>4.1089000000000001E-2</v>
      </c>
      <c r="DW19" s="483">
        <v>4.1099999999999998E-2</v>
      </c>
      <c r="DX19" s="483">
        <v>4.1099999999999998E-2</v>
      </c>
      <c r="DY19" s="483">
        <v>4.1091000000000003E-2</v>
      </c>
      <c r="DZ19" s="483">
        <v>4.1133000000000003E-2</v>
      </c>
      <c r="EA19" s="483">
        <v>4.1036999999999997E-2</v>
      </c>
      <c r="EB19" s="483">
        <v>4.1099999999999998E-2</v>
      </c>
      <c r="EC19" s="483">
        <v>4.1031999999999999E-2</v>
      </c>
      <c r="ED19" s="483">
        <v>4.1001999999999997E-2</v>
      </c>
      <c r="EE19" s="483">
        <v>4.1005E-2</v>
      </c>
      <c r="EF19" s="483">
        <v>4.1045999999999999E-2</v>
      </c>
      <c r="EG19" s="483">
        <v>4.1099999999999998E-2</v>
      </c>
      <c r="EH19" s="483">
        <v>4.1079999999999998E-2</v>
      </c>
      <c r="EI19" s="483">
        <v>1.8319999999999999E-2</v>
      </c>
      <c r="EJ19" s="483">
        <v>1.9910000000000001E-2</v>
      </c>
      <c r="EK19" s="483">
        <v>2.0346E-2</v>
      </c>
      <c r="EL19" s="482">
        <v>1.24E-2</v>
      </c>
      <c r="EM19" s="482">
        <v>1.5800000000000002E-2</v>
      </c>
      <c r="EN19" s="483">
        <v>3.8629999999999998E-2</v>
      </c>
      <c r="EO19" s="483">
        <v>3.85E-2</v>
      </c>
      <c r="EP19" s="483">
        <v>3.85E-2</v>
      </c>
      <c r="EQ19" s="483">
        <v>3.7767000000000002E-2</v>
      </c>
      <c r="ER19" s="483">
        <v>3.6001999999999999E-2</v>
      </c>
      <c r="ES19" s="483">
        <v>3.6014999999999998E-2</v>
      </c>
      <c r="ET19" s="483">
        <v>3.61E-2</v>
      </c>
      <c r="EU19" s="483">
        <v>3.6200000000000003E-2</v>
      </c>
      <c r="EV19" s="483">
        <v>3.6041999999999998E-2</v>
      </c>
      <c r="EW19" s="483">
        <v>3.5735000000000003E-2</v>
      </c>
      <c r="EX19" s="483">
        <v>3.4294999999999999E-2</v>
      </c>
      <c r="EY19" s="483">
        <v>3.3544999999999998E-2</v>
      </c>
      <c r="EZ19" s="482">
        <v>3.3500000000000002E-2</v>
      </c>
      <c r="FA19" s="484">
        <v>3.3500000000000002E-2</v>
      </c>
      <c r="FB19" s="485">
        <v>3.3535000000000002E-2</v>
      </c>
      <c r="FC19" s="486">
        <v>3.3563000000000003E-2</v>
      </c>
      <c r="FD19" s="486">
        <v>3.3597000000000002E-2</v>
      </c>
      <c r="FE19" s="486">
        <v>3.3723000000000003E-2</v>
      </c>
      <c r="FF19" s="486">
        <v>3.1210999999999999E-2</v>
      </c>
      <c r="FG19" s="486">
        <v>3.1116000000000001E-2</v>
      </c>
      <c r="FH19" s="486">
        <v>3.1130000000000001E-2</v>
      </c>
      <c r="FI19" s="486">
        <v>3.108E-2</v>
      </c>
      <c r="FJ19" s="486">
        <v>3.1134999999999999E-2</v>
      </c>
      <c r="FK19" s="486">
        <v>3.1199999999999999E-2</v>
      </c>
      <c r="FL19" s="486">
        <v>3.1119999999999998E-2</v>
      </c>
      <c r="FM19" s="486">
        <v>2.6100000000000002E-2</v>
      </c>
      <c r="FN19" s="486">
        <v>2.6002000000000001E-2</v>
      </c>
      <c r="FO19" s="486">
        <v>2.5999999999999999E-2</v>
      </c>
      <c r="FP19" s="486">
        <v>2.5906999999999999E-2</v>
      </c>
      <c r="FQ19" s="486">
        <v>2.5999999999999999E-2</v>
      </c>
      <c r="FR19" s="486">
        <v>2.6113999999999998E-2</v>
      </c>
      <c r="FS19" s="486">
        <v>1.8363999999999998E-2</v>
      </c>
      <c r="FT19" s="486">
        <v>1.8499999999999999E-2</v>
      </c>
      <c r="FU19" s="486">
        <v>1.8599999999999998E-2</v>
      </c>
      <c r="FV19" s="483">
        <v>3.8699999999999998E-2</v>
      </c>
      <c r="FW19" s="483">
        <v>3.8600000000000002E-2</v>
      </c>
      <c r="FX19" s="483">
        <v>3.8847E-2</v>
      </c>
      <c r="FY19" s="483">
        <v>3.8600000000000002E-2</v>
      </c>
      <c r="FZ19" s="483">
        <v>3.8899999999999997E-2</v>
      </c>
      <c r="GA19" s="483">
        <v>3.8755999999999999E-2</v>
      </c>
      <c r="GB19" s="483">
        <v>3.8734999999999999E-2</v>
      </c>
      <c r="GC19" s="483">
        <v>3.8906000000000003E-2</v>
      </c>
      <c r="GD19" s="486">
        <v>2.0346E-2</v>
      </c>
      <c r="GE19" s="486">
        <v>2.0346E-2</v>
      </c>
      <c r="GF19" s="486">
        <v>2.0346E-2</v>
      </c>
      <c r="GG19" s="486">
        <v>2.0346E-2</v>
      </c>
      <c r="GH19" s="486">
        <v>2.0346E-2</v>
      </c>
      <c r="GI19" s="486">
        <v>2.0346E-2</v>
      </c>
      <c r="GJ19" s="486">
        <v>2.0346E-2</v>
      </c>
      <c r="GK19" s="486">
        <v>2.0346E-2</v>
      </c>
      <c r="GL19" s="486">
        <v>2.0346E-2</v>
      </c>
      <c r="GM19" s="486">
        <v>2.0346E-2</v>
      </c>
      <c r="GN19" s="486">
        <v>2.0346E-2</v>
      </c>
      <c r="GO19" s="486">
        <v>2.0346E-2</v>
      </c>
      <c r="GP19" s="486">
        <v>2.0346E-2</v>
      </c>
      <c r="GQ19" s="486">
        <v>2.0346E-2</v>
      </c>
      <c r="GR19" s="486">
        <v>2.0346E-2</v>
      </c>
      <c r="GS19" s="486">
        <v>2.0346E-2</v>
      </c>
      <c r="GT19" s="486">
        <v>2.0346E-2</v>
      </c>
      <c r="GU19" s="486">
        <v>2.0346E-2</v>
      </c>
      <c r="GV19" s="486">
        <v>2.0346E-2</v>
      </c>
      <c r="GW19" s="486">
        <v>2.0346E-2</v>
      </c>
      <c r="GX19" s="486">
        <v>2.0346E-2</v>
      </c>
      <c r="GY19" s="486">
        <v>2.0346E-2</v>
      </c>
      <c r="GZ19" s="486">
        <v>2.0346E-2</v>
      </c>
      <c r="HA19" s="486">
        <v>2.0346E-2</v>
      </c>
      <c r="HB19" s="486">
        <v>2.0346E-2</v>
      </c>
      <c r="HC19" s="486">
        <v>2.0346E-2</v>
      </c>
      <c r="HD19" s="486">
        <v>2.0346E-2</v>
      </c>
      <c r="HE19" s="486">
        <v>2.0346E-2</v>
      </c>
      <c r="HF19" s="486">
        <v>2.0346E-2</v>
      </c>
      <c r="HG19" s="486">
        <v>2.0346E-2</v>
      </c>
      <c r="HH19" s="486">
        <v>2.0346E-2</v>
      </c>
      <c r="HI19" s="486">
        <v>2.0346E-2</v>
      </c>
      <c r="HJ19" s="486">
        <v>2.0346E-2</v>
      </c>
      <c r="HK19" s="486">
        <v>2.0346E-2</v>
      </c>
      <c r="HL19" s="486">
        <v>2.0346E-2</v>
      </c>
      <c r="HM19" s="486">
        <v>2.0346E-2</v>
      </c>
      <c r="HN19" s="486">
        <v>2.0346E-2</v>
      </c>
      <c r="HO19" s="486">
        <v>2.0346E-2</v>
      </c>
      <c r="HP19" s="473">
        <f t="shared" si="0"/>
        <v>0</v>
      </c>
      <c r="HQ19" s="1136"/>
    </row>
    <row r="20" spans="2:225">
      <c r="B20" s="1129"/>
      <c r="C20" s="730" t="s">
        <v>801</v>
      </c>
      <c r="D20" s="493">
        <v>2.5000000000000001E-2</v>
      </c>
      <c r="E20" s="493">
        <v>2.5000000000000001E-2</v>
      </c>
      <c r="F20" s="493">
        <v>2.5156999999999999E-2</v>
      </c>
      <c r="G20" s="493">
        <v>2.5100000000000001E-2</v>
      </c>
      <c r="H20" s="493">
        <v>2.4799999999999999E-2</v>
      </c>
      <c r="I20" s="493">
        <v>2.5000000000000001E-2</v>
      </c>
      <c r="J20" s="493">
        <v>2.5100000000000001E-2</v>
      </c>
      <c r="K20" s="665">
        <v>2.5000000000000001E-2</v>
      </c>
      <c r="L20" s="665">
        <v>2.4899999999999999E-2</v>
      </c>
      <c r="M20" s="665">
        <v>2.5239999999999999E-2</v>
      </c>
      <c r="N20" s="665">
        <v>2.5453E-2</v>
      </c>
      <c r="O20" s="665">
        <v>2.53E-2</v>
      </c>
      <c r="P20" s="665">
        <v>2.5534999999999999E-2</v>
      </c>
      <c r="Q20" s="665">
        <v>2.6015E-2</v>
      </c>
      <c r="R20" s="665">
        <v>2.7944E-2</v>
      </c>
      <c r="S20" s="665">
        <v>2.81E-2</v>
      </c>
      <c r="T20" s="493">
        <v>2.8000000000000001E-2</v>
      </c>
      <c r="U20" s="493">
        <v>2.7753999999999997E-2</v>
      </c>
      <c r="V20" s="493">
        <v>2.8153999999999998E-2</v>
      </c>
      <c r="W20" s="480">
        <v>2.8535000000000001E-2</v>
      </c>
      <c r="X20" s="481">
        <v>0.03</v>
      </c>
      <c r="Y20" s="481">
        <v>0.03</v>
      </c>
      <c r="Z20" s="480">
        <v>0.03</v>
      </c>
      <c r="AA20" s="480">
        <v>3.0099999999999998E-2</v>
      </c>
      <c r="AB20" s="480">
        <v>2.9899999999999999E-2</v>
      </c>
      <c r="AC20" s="480">
        <v>2.972E-2</v>
      </c>
      <c r="AD20" s="480">
        <v>3.2076E-2</v>
      </c>
      <c r="AE20" s="480">
        <v>3.1899999999999998E-2</v>
      </c>
      <c r="AF20" s="480">
        <v>3.2099999999999997E-2</v>
      </c>
      <c r="AG20" s="481">
        <v>3.1899999999999998E-2</v>
      </c>
      <c r="AH20" s="481">
        <v>3.1899999999999998E-2</v>
      </c>
      <c r="AI20" s="480">
        <v>3.1800000000000002E-2</v>
      </c>
      <c r="AJ20" s="480">
        <v>3.1919999999999997E-2</v>
      </c>
      <c r="AK20" s="480">
        <v>3.1300000000000001E-2</v>
      </c>
      <c r="AL20" s="482">
        <v>3.1796999999999999E-2</v>
      </c>
      <c r="AM20" s="481">
        <v>3.1796999999999999E-2</v>
      </c>
      <c r="AN20" s="480">
        <v>3.1796999999999999E-2</v>
      </c>
      <c r="AO20" s="480">
        <v>3.1399999999999997E-2</v>
      </c>
      <c r="AP20" s="480">
        <v>3.1635999999999997E-2</v>
      </c>
      <c r="AQ20" s="480">
        <v>3.1399999999999997E-2</v>
      </c>
      <c r="AR20" s="480">
        <v>3.15E-2</v>
      </c>
      <c r="AS20" s="480">
        <v>3.1099999999999999E-2</v>
      </c>
      <c r="AT20" s="481">
        <v>3.15E-2</v>
      </c>
      <c r="AU20" s="481">
        <v>3.15E-2</v>
      </c>
      <c r="AV20" s="480">
        <v>3.1695000000000001E-2</v>
      </c>
      <c r="AW20" s="482">
        <f t="shared" ref="AW20:BC20" si="2">AW19+0.05%</f>
        <v>3.1761999999999999E-2</v>
      </c>
      <c r="AX20" s="487">
        <f t="shared" si="2"/>
        <v>3.1761999999999999E-2</v>
      </c>
      <c r="AY20" s="487">
        <f t="shared" si="2"/>
        <v>3.1761999999999999E-2</v>
      </c>
      <c r="AZ20" s="487">
        <f t="shared" si="2"/>
        <v>3.1761999999999999E-2</v>
      </c>
      <c r="BA20" s="487">
        <f t="shared" si="2"/>
        <v>3.1761999999999999E-2</v>
      </c>
      <c r="BB20" s="487">
        <f t="shared" si="2"/>
        <v>3.1761999999999999E-2</v>
      </c>
      <c r="BC20" s="487">
        <f t="shared" si="2"/>
        <v>3.1761999999999999E-2</v>
      </c>
      <c r="BD20" s="482">
        <v>3.1600000000000003E-2</v>
      </c>
      <c r="BE20" s="482">
        <v>3.1600000000000003E-2</v>
      </c>
      <c r="BF20" s="482">
        <v>3.1600000000000003E-2</v>
      </c>
      <c r="BG20" s="482">
        <v>3.1600000000000003E-2</v>
      </c>
      <c r="BH20" s="482">
        <v>3.1199999999999999E-2</v>
      </c>
      <c r="BI20" s="482">
        <v>3.1199999999999999E-2</v>
      </c>
      <c r="BJ20" s="482">
        <v>3.1199999999999999E-2</v>
      </c>
      <c r="BK20" s="482">
        <v>3.1199999999999999E-2</v>
      </c>
      <c r="BL20" s="482">
        <v>3.15E-2</v>
      </c>
      <c r="BM20" s="482">
        <v>3.15E-2</v>
      </c>
      <c r="BN20" s="482">
        <v>3.2199999999999999E-2</v>
      </c>
      <c r="BO20" s="482">
        <v>3.4118999999999997E-2</v>
      </c>
      <c r="BP20" s="482">
        <v>3.4299999999999997E-2</v>
      </c>
      <c r="BQ20" s="482">
        <v>3.4299999999999997E-2</v>
      </c>
      <c r="BR20" s="482">
        <v>3.4000000000000002E-2</v>
      </c>
      <c r="BS20" s="482">
        <v>3.4000000000000002E-2</v>
      </c>
      <c r="BT20" s="482">
        <v>3.6799999999999999E-2</v>
      </c>
      <c r="BU20" s="482">
        <v>3.6799999999999999E-2</v>
      </c>
      <c r="BV20" s="482">
        <v>3.6799999999999999E-2</v>
      </c>
      <c r="BW20" s="482">
        <v>3.6799999999999999E-2</v>
      </c>
      <c r="BX20" s="482">
        <v>3.6799999999999999E-2</v>
      </c>
      <c r="BY20" s="482">
        <v>3.6799999999999999E-2</v>
      </c>
      <c r="BZ20" s="482">
        <v>3.6799999999999999E-2</v>
      </c>
      <c r="CA20" s="482">
        <v>3.7956999999999998E-2</v>
      </c>
      <c r="CB20" s="482">
        <v>4.1449E-2</v>
      </c>
      <c r="CC20" s="482">
        <v>4.1889999999999997E-2</v>
      </c>
      <c r="CD20" s="482">
        <v>4.1953999999999998E-2</v>
      </c>
      <c r="CE20" s="482">
        <v>4.1829999999999999E-2</v>
      </c>
      <c r="CF20" s="482">
        <v>4.19E-2</v>
      </c>
      <c r="CG20" s="482">
        <v>4.2000000000000003E-2</v>
      </c>
      <c r="CH20" s="482">
        <v>4.2000000000000003E-2</v>
      </c>
      <c r="CI20" s="482">
        <v>4.19E-2</v>
      </c>
      <c r="CJ20" s="482">
        <v>4.19E-2</v>
      </c>
      <c r="CK20" s="482">
        <v>4.1715000000000002E-2</v>
      </c>
      <c r="CL20" s="483">
        <v>4.2500000000000003E-2</v>
      </c>
      <c r="CM20" s="483">
        <v>4.1921E-2</v>
      </c>
      <c r="CN20" s="483">
        <v>4.1817E-2</v>
      </c>
      <c r="CO20" s="483">
        <v>4.1799999999999997E-2</v>
      </c>
      <c r="CP20" s="483">
        <v>4.19E-2</v>
      </c>
      <c r="CQ20" s="483">
        <v>4.1641999999999998E-2</v>
      </c>
      <c r="CR20" s="483">
        <v>4.1619999999999997E-2</v>
      </c>
      <c r="CS20" s="483">
        <v>4.1599999999999998E-2</v>
      </c>
      <c r="CT20" s="483">
        <v>4.1599999999999998E-2</v>
      </c>
      <c r="CU20" s="483">
        <v>4.1700000000000001E-2</v>
      </c>
      <c r="CV20" s="483">
        <v>4.1700000000000001E-2</v>
      </c>
      <c r="CW20" s="483">
        <v>4.1700000000000001E-2</v>
      </c>
      <c r="CX20" s="483">
        <v>4.1700000000000001E-2</v>
      </c>
      <c r="CY20" s="483">
        <v>4.2000000000000003E-2</v>
      </c>
      <c r="CZ20" s="483">
        <v>4.1779999999999998E-2</v>
      </c>
      <c r="DA20" s="483">
        <v>4.1599999999999998E-2</v>
      </c>
      <c r="DB20" s="483">
        <v>4.1599999999999998E-2</v>
      </c>
      <c r="DC20" s="483">
        <v>4.1619999999999997E-2</v>
      </c>
      <c r="DD20" s="483">
        <v>4.1611000000000002E-2</v>
      </c>
      <c r="DE20" s="483">
        <v>4.1611000000000002E-2</v>
      </c>
      <c r="DF20" s="483">
        <v>4.1611000000000002E-2</v>
      </c>
      <c r="DG20" s="483">
        <v>4.1700000000000001E-2</v>
      </c>
      <c r="DH20" s="483">
        <v>4.1676999999999999E-2</v>
      </c>
      <c r="DI20" s="483">
        <v>4.1722000000000002E-2</v>
      </c>
      <c r="DJ20" s="483">
        <v>4.1735000000000001E-2</v>
      </c>
      <c r="DK20" s="483">
        <v>4.1709999999999997E-2</v>
      </c>
      <c r="DL20" s="483">
        <v>4.1500000000000002E-2</v>
      </c>
      <c r="DM20" s="483">
        <v>4.1993999999999997E-2</v>
      </c>
      <c r="DN20" s="483">
        <v>4.1875999999999997E-2</v>
      </c>
      <c r="DO20" s="483">
        <v>4.1999000000000002E-2</v>
      </c>
      <c r="DP20" s="483">
        <v>4.2200000000000001E-2</v>
      </c>
      <c r="DQ20" s="483">
        <v>4.1724999999999998E-2</v>
      </c>
      <c r="DR20" s="483">
        <v>4.1660000000000003E-2</v>
      </c>
      <c r="DS20" s="483">
        <v>4.1700000000000001E-2</v>
      </c>
      <c r="DT20" s="483">
        <v>4.1700000000000001E-2</v>
      </c>
      <c r="DU20" s="483">
        <v>4.1634999999999998E-2</v>
      </c>
      <c r="DV20" s="483">
        <v>4.1589000000000001E-2</v>
      </c>
      <c r="DW20" s="483">
        <v>4.1599999999999998E-2</v>
      </c>
      <c r="DX20" s="483">
        <v>4.1599999999999998E-2</v>
      </c>
      <c r="DY20" s="483">
        <v>4.1591000000000003E-2</v>
      </c>
      <c r="DZ20" s="483">
        <v>4.1633000000000003E-2</v>
      </c>
      <c r="EA20" s="483">
        <v>4.1536999999999998E-2</v>
      </c>
      <c r="EB20" s="483">
        <v>4.1599999999999998E-2</v>
      </c>
      <c r="EC20" s="483">
        <v>4.1531999999999999E-2</v>
      </c>
      <c r="ED20" s="483">
        <v>4.1501999999999997E-2</v>
      </c>
      <c r="EE20" s="483">
        <v>4.1505E-2</v>
      </c>
      <c r="EF20" s="483">
        <v>4.1546E-2</v>
      </c>
      <c r="EG20" s="483">
        <v>4.1599999999999998E-2</v>
      </c>
      <c r="EH20" s="483">
        <v>4.1579999999999999E-2</v>
      </c>
      <c r="EI20" s="483">
        <v>1.882E-2</v>
      </c>
      <c r="EJ20" s="483">
        <v>2.0410000000000001E-2</v>
      </c>
      <c r="EK20" s="483">
        <v>2.0846E-2</v>
      </c>
      <c r="EL20" s="482">
        <v>1.29E-2</v>
      </c>
      <c r="EM20" s="482">
        <v>1.6299999999999999E-2</v>
      </c>
      <c r="EN20" s="483">
        <v>3.9129999999999998E-2</v>
      </c>
      <c r="EO20" s="483">
        <v>3.9E-2</v>
      </c>
      <c r="EP20" s="483">
        <v>3.9E-2</v>
      </c>
      <c r="EQ20" s="483">
        <v>3.8267000000000002E-2</v>
      </c>
      <c r="ER20" s="483">
        <v>3.6502E-2</v>
      </c>
      <c r="ES20" s="483">
        <v>3.6514999999999999E-2</v>
      </c>
      <c r="ET20" s="483">
        <v>3.6600000000000001E-2</v>
      </c>
      <c r="EU20" s="483">
        <v>3.6700000000000003E-2</v>
      </c>
      <c r="EV20" s="483">
        <v>3.6541999999999998E-2</v>
      </c>
      <c r="EW20" s="483">
        <v>3.6235000000000003E-2</v>
      </c>
      <c r="EX20" s="483">
        <v>3.4795E-2</v>
      </c>
      <c r="EY20" s="483">
        <v>3.4044999999999999E-2</v>
      </c>
      <c r="EZ20" s="482">
        <v>3.4000000000000002E-2</v>
      </c>
      <c r="FA20" s="484">
        <v>3.4000000000000002E-2</v>
      </c>
      <c r="FB20" s="485">
        <v>3.4035000000000003E-2</v>
      </c>
      <c r="FC20" s="486">
        <v>3.4063000000000003E-2</v>
      </c>
      <c r="FD20" s="486">
        <v>3.4097000000000002E-2</v>
      </c>
      <c r="FE20" s="486">
        <v>3.4223000000000003E-2</v>
      </c>
      <c r="FF20" s="486">
        <v>3.1711000000000003E-2</v>
      </c>
      <c r="FG20" s="486">
        <v>3.1615999999999998E-2</v>
      </c>
      <c r="FH20" s="486">
        <v>3.1629999999999998E-2</v>
      </c>
      <c r="FI20" s="486">
        <v>3.1579999999999997E-2</v>
      </c>
      <c r="FJ20" s="486">
        <v>3.1635000000000003E-2</v>
      </c>
      <c r="FK20" s="486">
        <v>3.1699999999999999E-2</v>
      </c>
      <c r="FL20" s="486">
        <v>3.1620000000000002E-2</v>
      </c>
      <c r="FM20" s="486">
        <v>2.6599999999999999E-2</v>
      </c>
      <c r="FN20" s="486">
        <v>2.6502000000000001E-2</v>
      </c>
      <c r="FO20" s="486">
        <v>2.6499999999999999E-2</v>
      </c>
      <c r="FP20" s="486">
        <v>2.6407E-2</v>
      </c>
      <c r="FQ20" s="486">
        <v>2.6499999999999999E-2</v>
      </c>
      <c r="FR20" s="486">
        <v>2.6613999999999999E-2</v>
      </c>
      <c r="FS20" s="486">
        <v>1.8863999999999999E-2</v>
      </c>
      <c r="FT20" s="486">
        <v>1.9E-2</v>
      </c>
      <c r="FU20" s="486">
        <v>1.9099999999999999E-2</v>
      </c>
      <c r="FV20" s="483">
        <v>3.9199999999999999E-2</v>
      </c>
      <c r="FW20" s="483">
        <v>3.9100000000000003E-2</v>
      </c>
      <c r="FX20" s="483">
        <v>3.9347E-2</v>
      </c>
      <c r="FY20" s="483">
        <v>3.9100000000000003E-2</v>
      </c>
      <c r="FZ20" s="483">
        <v>3.9399999999999998E-2</v>
      </c>
      <c r="GA20" s="483">
        <v>3.9255999999999999E-2</v>
      </c>
      <c r="GB20" s="483">
        <v>3.9234999999999999E-2</v>
      </c>
      <c r="GC20" s="483">
        <v>3.9405999999999997E-2</v>
      </c>
      <c r="GD20" s="486">
        <v>2.0846E-2</v>
      </c>
      <c r="GE20" s="486">
        <v>2.0846E-2</v>
      </c>
      <c r="GF20" s="486">
        <v>2.0846E-2</v>
      </c>
      <c r="GG20" s="486">
        <v>2.0846E-2</v>
      </c>
      <c r="GH20" s="486">
        <v>2.0846E-2</v>
      </c>
      <c r="GI20" s="486">
        <v>2.0846E-2</v>
      </c>
      <c r="GJ20" s="486">
        <v>2.0846E-2</v>
      </c>
      <c r="GK20" s="486">
        <v>2.0846E-2</v>
      </c>
      <c r="GL20" s="486">
        <v>2.0846E-2</v>
      </c>
      <c r="GM20" s="486">
        <v>2.0846E-2</v>
      </c>
      <c r="GN20" s="486">
        <v>2.0846E-2</v>
      </c>
      <c r="GO20" s="486">
        <v>2.0846E-2</v>
      </c>
      <c r="GP20" s="486">
        <v>2.0846E-2</v>
      </c>
      <c r="GQ20" s="486">
        <v>2.0846E-2</v>
      </c>
      <c r="GR20" s="486">
        <v>2.0846E-2</v>
      </c>
      <c r="GS20" s="486">
        <v>2.0846E-2</v>
      </c>
      <c r="GT20" s="486">
        <v>2.0846E-2</v>
      </c>
      <c r="GU20" s="486">
        <v>2.0846E-2</v>
      </c>
      <c r="GV20" s="486">
        <v>2.0846E-2</v>
      </c>
      <c r="GW20" s="486">
        <v>2.0846E-2</v>
      </c>
      <c r="GX20" s="486">
        <v>2.0846E-2</v>
      </c>
      <c r="GY20" s="486">
        <v>2.0846E-2</v>
      </c>
      <c r="GZ20" s="486">
        <v>2.0846E-2</v>
      </c>
      <c r="HA20" s="486">
        <v>2.0846E-2</v>
      </c>
      <c r="HB20" s="486">
        <v>2.0846E-2</v>
      </c>
      <c r="HC20" s="486">
        <v>2.0846E-2</v>
      </c>
      <c r="HD20" s="486">
        <v>2.0846E-2</v>
      </c>
      <c r="HE20" s="486">
        <v>2.0846E-2</v>
      </c>
      <c r="HF20" s="486">
        <v>2.0846E-2</v>
      </c>
      <c r="HG20" s="486">
        <v>2.0846E-2</v>
      </c>
      <c r="HH20" s="486">
        <v>2.0846E-2</v>
      </c>
      <c r="HI20" s="486">
        <v>2.0846E-2</v>
      </c>
      <c r="HJ20" s="486">
        <v>2.0846E-2</v>
      </c>
      <c r="HK20" s="486">
        <v>2.0846E-2</v>
      </c>
      <c r="HL20" s="486">
        <v>2.0846E-2</v>
      </c>
      <c r="HM20" s="486">
        <v>2.0846E-2</v>
      </c>
      <c r="HN20" s="486">
        <v>2.0846E-2</v>
      </c>
      <c r="HO20" s="486">
        <v>2.0846E-2</v>
      </c>
      <c r="HP20" s="473">
        <f t="shared" si="0"/>
        <v>0</v>
      </c>
      <c r="HQ20" s="1137"/>
    </row>
    <row r="21" spans="2:225">
      <c r="B21" s="1141" t="s">
        <v>42</v>
      </c>
      <c r="C21" s="731" t="s">
        <v>219</v>
      </c>
      <c r="D21" s="488">
        <v>1E-4</v>
      </c>
      <c r="E21" s="488">
        <v>1E-4</v>
      </c>
      <c r="F21" s="488">
        <v>1E-4</v>
      </c>
      <c r="G21" s="488">
        <v>1E-4</v>
      </c>
      <c r="H21" s="488">
        <v>1E-4</v>
      </c>
      <c r="I21" s="488">
        <v>1E-4</v>
      </c>
      <c r="J21" s="488">
        <v>1E-4</v>
      </c>
      <c r="K21" s="488">
        <v>1E-4</v>
      </c>
      <c r="L21" s="488">
        <v>1E-4</v>
      </c>
      <c r="M21" s="488">
        <v>1E-4</v>
      </c>
      <c r="N21" s="488">
        <v>1E-4</v>
      </c>
      <c r="O21" s="488">
        <v>1E-4</v>
      </c>
      <c r="P21" s="488">
        <v>1E-4</v>
      </c>
      <c r="Q21" s="488">
        <v>1E-4</v>
      </c>
      <c r="R21" s="488">
        <v>1E-4</v>
      </c>
      <c r="S21" s="488">
        <v>1E-4</v>
      </c>
      <c r="T21" s="488">
        <v>1E-4</v>
      </c>
      <c r="U21" s="488">
        <v>1E-4</v>
      </c>
      <c r="V21" s="488">
        <v>1E-4</v>
      </c>
      <c r="W21" s="488">
        <v>1E-4</v>
      </c>
      <c r="X21" s="488">
        <v>1E-4</v>
      </c>
      <c r="Y21" s="488">
        <v>1E-4</v>
      </c>
      <c r="Z21" s="488">
        <v>1E-4</v>
      </c>
      <c r="AA21" s="488">
        <v>1E-4</v>
      </c>
      <c r="AB21" s="488">
        <v>1E-4</v>
      </c>
      <c r="AC21" s="488">
        <v>1E-4</v>
      </c>
      <c r="AD21" s="488">
        <v>1E-4</v>
      </c>
      <c r="AE21" s="488">
        <v>1E-4</v>
      </c>
      <c r="AF21" s="488">
        <v>1E-4</v>
      </c>
      <c r="AG21" s="488">
        <v>1E-4</v>
      </c>
      <c r="AH21" s="488">
        <v>1E-4</v>
      </c>
      <c r="AI21" s="488">
        <v>1E-4</v>
      </c>
      <c r="AJ21" s="488">
        <v>1E-4</v>
      </c>
      <c r="AK21" s="488">
        <v>1E-4</v>
      </c>
      <c r="AL21" s="489">
        <v>1E-4</v>
      </c>
      <c r="AM21" s="488">
        <v>1E-4</v>
      </c>
      <c r="AN21" s="488">
        <v>1E-4</v>
      </c>
      <c r="AO21" s="488">
        <v>1E-4</v>
      </c>
      <c r="AP21" s="488">
        <v>1E-4</v>
      </c>
      <c r="AQ21" s="488">
        <v>1E-4</v>
      </c>
      <c r="AR21" s="488">
        <v>1E-4</v>
      </c>
      <c r="AS21" s="488">
        <v>1E-4</v>
      </c>
      <c r="AT21" s="488">
        <v>1E-4</v>
      </c>
      <c r="AU21" s="488">
        <v>1E-4</v>
      </c>
      <c r="AV21" s="489">
        <v>1E-4</v>
      </c>
      <c r="AW21" s="489">
        <v>1E-4</v>
      </c>
      <c r="AX21" s="489">
        <v>1E-4</v>
      </c>
      <c r="AY21" s="489">
        <v>1E-4</v>
      </c>
      <c r="AZ21" s="489">
        <v>1E-4</v>
      </c>
      <c r="BA21" s="489">
        <v>1E-4</v>
      </c>
      <c r="BB21" s="489">
        <v>1E-4</v>
      </c>
      <c r="BC21" s="489">
        <v>1E-4</v>
      </c>
      <c r="BD21" s="489">
        <v>1E-4</v>
      </c>
      <c r="BE21" s="489">
        <v>1E-4</v>
      </c>
      <c r="BF21" s="489">
        <v>1E-4</v>
      </c>
      <c r="BG21" s="489">
        <v>1E-4</v>
      </c>
      <c r="BH21" s="489">
        <v>1E-4</v>
      </c>
      <c r="BI21" s="489">
        <v>1E-4</v>
      </c>
      <c r="BJ21" s="489">
        <v>1E-4</v>
      </c>
      <c r="BK21" s="489">
        <v>1E-4</v>
      </c>
      <c r="BL21" s="489">
        <v>1E-4</v>
      </c>
      <c r="BM21" s="489">
        <v>1E-4</v>
      </c>
      <c r="BN21" s="489">
        <v>1E-4</v>
      </c>
      <c r="BO21" s="489">
        <v>1E-4</v>
      </c>
      <c r="BP21" s="489">
        <v>1E-4</v>
      </c>
      <c r="BQ21" s="489">
        <v>1E-4</v>
      </c>
      <c r="BR21" s="489">
        <v>1E-4</v>
      </c>
      <c r="BS21" s="489">
        <v>1E-4</v>
      </c>
      <c r="BT21" s="489">
        <v>1E-4</v>
      </c>
      <c r="BU21" s="489">
        <v>1E-4</v>
      </c>
      <c r="BV21" s="489">
        <v>1E-4</v>
      </c>
      <c r="BW21" s="489">
        <v>1E-4</v>
      </c>
      <c r="BX21" s="489">
        <v>1E-4</v>
      </c>
      <c r="BY21" s="489">
        <v>1E-4</v>
      </c>
      <c r="BZ21" s="489">
        <v>1E-4</v>
      </c>
      <c r="CA21" s="489">
        <v>1E-4</v>
      </c>
      <c r="CB21" s="489">
        <v>1E-4</v>
      </c>
      <c r="CC21" s="489">
        <v>1E-4</v>
      </c>
      <c r="CD21" s="489">
        <v>1E-4</v>
      </c>
      <c r="CE21" s="489">
        <v>1E-4</v>
      </c>
      <c r="CF21" s="489">
        <v>1E-4</v>
      </c>
      <c r="CG21" s="489">
        <v>1E-4</v>
      </c>
      <c r="CH21" s="489">
        <v>1E-4</v>
      </c>
      <c r="CI21" s="489">
        <v>1E-4</v>
      </c>
      <c r="CJ21" s="489">
        <v>1E-4</v>
      </c>
      <c r="CK21" s="489">
        <v>1E-4</v>
      </c>
      <c r="CL21" s="489">
        <v>1E-4</v>
      </c>
      <c r="CM21" s="489">
        <v>1E-4</v>
      </c>
      <c r="CN21" s="489">
        <v>1E-4</v>
      </c>
      <c r="CO21" s="489">
        <v>1E-4</v>
      </c>
      <c r="CP21" s="489">
        <v>1E-4</v>
      </c>
      <c r="CQ21" s="489">
        <v>1E-4</v>
      </c>
      <c r="CR21" s="489">
        <v>1E-4</v>
      </c>
      <c r="CS21" s="489">
        <v>1E-4</v>
      </c>
      <c r="CT21" s="489">
        <v>1E-4</v>
      </c>
      <c r="CU21" s="489">
        <v>1E-4</v>
      </c>
      <c r="CV21" s="489">
        <v>1E-4</v>
      </c>
      <c r="CW21" s="489">
        <v>1E-4</v>
      </c>
      <c r="CX21" s="489">
        <v>1E-4</v>
      </c>
      <c r="CY21" s="489">
        <v>1E-4</v>
      </c>
      <c r="CZ21" s="489">
        <v>1E-4</v>
      </c>
      <c r="DA21" s="489">
        <v>1E-4</v>
      </c>
      <c r="DB21" s="489">
        <v>1E-4</v>
      </c>
      <c r="DC21" s="489">
        <v>1E-4</v>
      </c>
      <c r="DD21" s="489">
        <v>1E-4</v>
      </c>
      <c r="DE21" s="489">
        <v>1E-4</v>
      </c>
      <c r="DF21" s="489">
        <v>1E-4</v>
      </c>
      <c r="DG21" s="489">
        <v>1E-4</v>
      </c>
      <c r="DH21" s="489">
        <v>1E-4</v>
      </c>
      <c r="DI21" s="489">
        <v>1E-4</v>
      </c>
      <c r="DJ21" s="489">
        <v>1E-4</v>
      </c>
      <c r="DK21" s="489">
        <v>1E-4</v>
      </c>
      <c r="DL21" s="489">
        <v>1E-4</v>
      </c>
      <c r="DM21" s="489">
        <v>1E-4</v>
      </c>
      <c r="DN21" s="489">
        <v>1E-4</v>
      </c>
      <c r="DO21" s="489">
        <v>1E-4</v>
      </c>
      <c r="DP21" s="489">
        <v>1E-4</v>
      </c>
      <c r="DQ21" s="489">
        <v>1E-4</v>
      </c>
      <c r="DR21" s="489">
        <v>1E-4</v>
      </c>
      <c r="DS21" s="489">
        <v>1E-4</v>
      </c>
      <c r="DT21" s="489">
        <v>1E-4</v>
      </c>
      <c r="DU21" s="489">
        <v>1E-4</v>
      </c>
      <c r="DV21" s="489">
        <v>1E-4</v>
      </c>
      <c r="DW21" s="489">
        <v>1E-4</v>
      </c>
      <c r="DX21" s="489">
        <v>1E-4</v>
      </c>
      <c r="DY21" s="489">
        <v>1E-4</v>
      </c>
      <c r="DZ21" s="489">
        <v>1E-4</v>
      </c>
      <c r="EA21" s="489">
        <v>1E-4</v>
      </c>
      <c r="EB21" s="489">
        <v>1E-4</v>
      </c>
      <c r="EC21" s="489">
        <v>1E-4</v>
      </c>
      <c r="ED21" s="489">
        <v>1E-4</v>
      </c>
      <c r="EE21" s="489">
        <v>1E-4</v>
      </c>
      <c r="EF21" s="489">
        <v>1E-4</v>
      </c>
      <c r="EG21" s="489">
        <v>1E-4</v>
      </c>
      <c r="EH21" s="489">
        <v>1E-4</v>
      </c>
      <c r="EI21" s="489">
        <v>1E-4</v>
      </c>
      <c r="EJ21" s="489">
        <v>1E-4</v>
      </c>
      <c r="EK21" s="489">
        <v>1E-4</v>
      </c>
      <c r="EL21" s="489">
        <v>1E-4</v>
      </c>
      <c r="EM21" s="489">
        <v>1E-4</v>
      </c>
      <c r="EN21" s="489">
        <v>1E-4</v>
      </c>
      <c r="EO21" s="489">
        <v>1E-4</v>
      </c>
      <c r="EP21" s="489">
        <v>1E-4</v>
      </c>
      <c r="EQ21" s="489">
        <v>1E-4</v>
      </c>
      <c r="ER21" s="489">
        <v>1E-4</v>
      </c>
      <c r="ES21" s="489">
        <v>1E-4</v>
      </c>
      <c r="ET21" s="489">
        <v>1E-4</v>
      </c>
      <c r="EU21" s="489">
        <v>1E-4</v>
      </c>
      <c r="EV21" s="489">
        <v>1E-4</v>
      </c>
      <c r="EW21" s="489">
        <v>1E-4</v>
      </c>
      <c r="EX21" s="489">
        <v>1E-4</v>
      </c>
      <c r="EY21" s="489">
        <v>1E-4</v>
      </c>
      <c r="EZ21" s="489">
        <v>1E-4</v>
      </c>
      <c r="FA21" s="489">
        <v>1E-4</v>
      </c>
      <c r="FB21" s="489">
        <v>1E-4</v>
      </c>
      <c r="FC21" s="489">
        <v>1E-4</v>
      </c>
      <c r="FD21" s="489">
        <v>1E-4</v>
      </c>
      <c r="FE21" s="489">
        <v>1E-4</v>
      </c>
      <c r="FF21" s="489">
        <v>1E-4</v>
      </c>
      <c r="FG21" s="489">
        <v>1E-4</v>
      </c>
      <c r="FH21" s="489">
        <v>1E-4</v>
      </c>
      <c r="FI21" s="489">
        <v>1E-4</v>
      </c>
      <c r="FJ21" s="489">
        <v>1E-4</v>
      </c>
      <c r="FK21" s="489">
        <v>1E-4</v>
      </c>
      <c r="FL21" s="489">
        <v>1E-4</v>
      </c>
      <c r="FM21" s="489">
        <v>1E-4</v>
      </c>
      <c r="FN21" s="489">
        <v>1E-4</v>
      </c>
      <c r="FO21" s="489">
        <v>1E-4</v>
      </c>
      <c r="FP21" s="489">
        <v>1E-4</v>
      </c>
      <c r="FQ21" s="489">
        <v>1E-4</v>
      </c>
      <c r="FR21" s="489">
        <v>1E-4</v>
      </c>
      <c r="FS21" s="489">
        <v>1E-4</v>
      </c>
      <c r="FT21" s="489">
        <v>1E-4</v>
      </c>
      <c r="FU21" s="489">
        <v>1E-4</v>
      </c>
      <c r="FV21" s="489">
        <v>1E-4</v>
      </c>
      <c r="FW21" s="489">
        <v>1E-4</v>
      </c>
      <c r="FX21" s="489">
        <v>1E-4</v>
      </c>
      <c r="FY21" s="489">
        <v>1E-4</v>
      </c>
      <c r="FZ21" s="489">
        <v>1E-4</v>
      </c>
      <c r="GA21" s="489">
        <v>1E-4</v>
      </c>
      <c r="GB21" s="489">
        <v>1E-4</v>
      </c>
      <c r="GC21" s="489">
        <v>1E-4</v>
      </c>
      <c r="GD21" s="489">
        <v>1E-4</v>
      </c>
      <c r="GE21" s="489">
        <v>1E-4</v>
      </c>
      <c r="GF21" s="489">
        <v>1E-4</v>
      </c>
      <c r="GG21" s="489">
        <v>1E-4</v>
      </c>
      <c r="GH21" s="489">
        <v>1E-4</v>
      </c>
      <c r="GI21" s="489">
        <v>1E-4</v>
      </c>
      <c r="GJ21" s="489">
        <v>1E-4</v>
      </c>
      <c r="GK21" s="489">
        <v>1E-4</v>
      </c>
      <c r="GL21" s="489">
        <v>1E-4</v>
      </c>
      <c r="GM21" s="489">
        <v>1E-4</v>
      </c>
      <c r="GN21" s="489">
        <v>1E-4</v>
      </c>
      <c r="GO21" s="489">
        <v>1E-4</v>
      </c>
      <c r="GP21" s="489">
        <v>1E-4</v>
      </c>
      <c r="GQ21" s="489">
        <v>1E-4</v>
      </c>
      <c r="GR21" s="489">
        <v>1E-4</v>
      </c>
      <c r="GS21" s="489">
        <v>1E-4</v>
      </c>
      <c r="GT21" s="489">
        <v>1E-4</v>
      </c>
      <c r="GU21" s="489">
        <v>1E-4</v>
      </c>
      <c r="GV21" s="489">
        <v>1E-4</v>
      </c>
      <c r="GW21" s="489">
        <v>1E-4</v>
      </c>
      <c r="GX21" s="489">
        <v>1E-4</v>
      </c>
      <c r="GY21" s="489">
        <v>1E-4</v>
      </c>
      <c r="GZ21" s="489">
        <v>1E-4</v>
      </c>
      <c r="HA21" s="489">
        <v>1E-4</v>
      </c>
      <c r="HB21" s="489">
        <v>1E-4</v>
      </c>
      <c r="HC21" s="489">
        <v>1E-4</v>
      </c>
      <c r="HD21" s="489">
        <v>1E-4</v>
      </c>
      <c r="HE21" s="489">
        <v>1E-4</v>
      </c>
      <c r="HF21" s="489">
        <v>1E-4</v>
      </c>
      <c r="HG21" s="489">
        <v>1E-4</v>
      </c>
      <c r="HH21" s="489">
        <v>1E-4</v>
      </c>
      <c r="HI21" s="489">
        <v>1E-4</v>
      </c>
      <c r="HJ21" s="489">
        <v>1E-4</v>
      </c>
      <c r="HK21" s="489">
        <v>1E-4</v>
      </c>
      <c r="HL21" s="489">
        <v>1E-4</v>
      </c>
      <c r="HM21" s="489">
        <v>1E-4</v>
      </c>
      <c r="HN21" s="489">
        <v>1E-4</v>
      </c>
      <c r="HO21" s="489">
        <v>1E-4</v>
      </c>
      <c r="HP21" s="473">
        <f t="shared" si="0"/>
        <v>0</v>
      </c>
      <c r="HQ21" s="1142"/>
    </row>
    <row r="22" spans="2:225">
      <c r="B22" s="1141"/>
      <c r="C22" s="731" t="s">
        <v>218</v>
      </c>
      <c r="D22" s="488">
        <v>2.0000000000000001E-4</v>
      </c>
      <c r="E22" s="488">
        <v>2.0000000000000001E-4</v>
      </c>
      <c r="F22" s="488">
        <v>2.0000000000000001E-4</v>
      </c>
      <c r="G22" s="488">
        <v>2.0000000000000001E-4</v>
      </c>
      <c r="H22" s="488">
        <v>2.0000000000000001E-4</v>
      </c>
      <c r="I22" s="488">
        <v>2.0000000000000001E-4</v>
      </c>
      <c r="J22" s="488">
        <v>2.0000000000000001E-4</v>
      </c>
      <c r="K22" s="488">
        <v>2.0000000000000001E-4</v>
      </c>
      <c r="L22" s="488">
        <v>2.0000000000000001E-4</v>
      </c>
      <c r="M22" s="488">
        <v>2.0000000000000001E-4</v>
      </c>
      <c r="N22" s="488">
        <v>2.0000000000000001E-4</v>
      </c>
      <c r="O22" s="488">
        <v>2.0000000000000001E-4</v>
      </c>
      <c r="P22" s="488">
        <v>2.0000000000000001E-4</v>
      </c>
      <c r="Q22" s="488">
        <v>2.0000000000000001E-4</v>
      </c>
      <c r="R22" s="488">
        <v>2.0000000000000001E-4</v>
      </c>
      <c r="S22" s="488">
        <v>2.0000000000000001E-4</v>
      </c>
      <c r="T22" s="488">
        <v>2.0000000000000001E-4</v>
      </c>
      <c r="U22" s="488">
        <v>2.0000000000000001E-4</v>
      </c>
      <c r="V22" s="488">
        <v>2.0000000000000001E-4</v>
      </c>
      <c r="W22" s="488">
        <v>2.0000000000000001E-4</v>
      </c>
      <c r="X22" s="488">
        <v>2.0000000000000001E-4</v>
      </c>
      <c r="Y22" s="488">
        <v>2.0000000000000001E-4</v>
      </c>
      <c r="Z22" s="488">
        <v>2.0000000000000001E-4</v>
      </c>
      <c r="AA22" s="488">
        <v>2.0000000000000001E-4</v>
      </c>
      <c r="AB22" s="488">
        <v>2.0000000000000001E-4</v>
      </c>
      <c r="AC22" s="488">
        <v>2.0000000000000001E-4</v>
      </c>
      <c r="AD22" s="488">
        <v>2.0000000000000001E-4</v>
      </c>
      <c r="AE22" s="488">
        <v>2.0000000000000001E-4</v>
      </c>
      <c r="AF22" s="488">
        <v>2.0000000000000001E-4</v>
      </c>
      <c r="AG22" s="488">
        <v>2.0000000000000001E-4</v>
      </c>
      <c r="AH22" s="488">
        <v>2.0000000000000001E-4</v>
      </c>
      <c r="AI22" s="488">
        <v>2.0000000000000001E-4</v>
      </c>
      <c r="AJ22" s="488">
        <v>2.0000000000000001E-4</v>
      </c>
      <c r="AK22" s="488">
        <v>2.0000000000000001E-4</v>
      </c>
      <c r="AL22" s="489">
        <v>2.0000000000000001E-4</v>
      </c>
      <c r="AM22" s="488">
        <v>2.0000000000000001E-4</v>
      </c>
      <c r="AN22" s="488">
        <v>2.0000000000000001E-4</v>
      </c>
      <c r="AO22" s="488">
        <v>2.0000000000000001E-4</v>
      </c>
      <c r="AP22" s="488">
        <v>2.0000000000000001E-4</v>
      </c>
      <c r="AQ22" s="488">
        <v>2.0000000000000001E-4</v>
      </c>
      <c r="AR22" s="488">
        <v>2.0000000000000001E-4</v>
      </c>
      <c r="AS22" s="488">
        <v>2.0000000000000001E-4</v>
      </c>
      <c r="AT22" s="488">
        <v>2.0000000000000001E-4</v>
      </c>
      <c r="AU22" s="488">
        <v>2.0000000000000001E-4</v>
      </c>
      <c r="AV22" s="489">
        <v>2.0000000000000001E-4</v>
      </c>
      <c r="AW22" s="489">
        <v>2.0000000000000001E-4</v>
      </c>
      <c r="AX22" s="489">
        <v>2.0000000000000001E-4</v>
      </c>
      <c r="AY22" s="489">
        <v>2.0000000000000001E-4</v>
      </c>
      <c r="AZ22" s="489">
        <v>2.0000000000000001E-4</v>
      </c>
      <c r="BA22" s="489">
        <v>2.0000000000000001E-4</v>
      </c>
      <c r="BB22" s="489">
        <v>2.0000000000000001E-4</v>
      </c>
      <c r="BC22" s="489">
        <v>2.0000000000000001E-4</v>
      </c>
      <c r="BD22" s="489">
        <v>2.0000000000000001E-4</v>
      </c>
      <c r="BE22" s="489">
        <v>2.0000000000000001E-4</v>
      </c>
      <c r="BF22" s="489">
        <v>2.0000000000000001E-4</v>
      </c>
      <c r="BG22" s="489">
        <v>2.0000000000000001E-4</v>
      </c>
      <c r="BH22" s="489">
        <v>2.0000000000000001E-4</v>
      </c>
      <c r="BI22" s="489">
        <v>2.0000000000000001E-4</v>
      </c>
      <c r="BJ22" s="489">
        <v>2.0000000000000001E-4</v>
      </c>
      <c r="BK22" s="489">
        <v>2.0000000000000001E-4</v>
      </c>
      <c r="BL22" s="489">
        <v>2.0000000000000001E-4</v>
      </c>
      <c r="BM22" s="489">
        <v>2.0000000000000001E-4</v>
      </c>
      <c r="BN22" s="489">
        <v>2.0000000000000001E-4</v>
      </c>
      <c r="BO22" s="489">
        <v>2.0000000000000001E-4</v>
      </c>
      <c r="BP22" s="489">
        <v>2.0000000000000001E-4</v>
      </c>
      <c r="BQ22" s="489">
        <v>2.0000000000000001E-4</v>
      </c>
      <c r="BR22" s="489">
        <v>2.0000000000000001E-4</v>
      </c>
      <c r="BS22" s="489">
        <v>2.0000000000000001E-4</v>
      </c>
      <c r="BT22" s="489">
        <v>2.0000000000000001E-4</v>
      </c>
      <c r="BU22" s="489">
        <v>2.0000000000000001E-4</v>
      </c>
      <c r="BV22" s="489">
        <v>2.0000000000000001E-4</v>
      </c>
      <c r="BW22" s="489">
        <v>2.0000000000000001E-4</v>
      </c>
      <c r="BX22" s="489">
        <v>2.0000000000000001E-4</v>
      </c>
      <c r="BY22" s="489">
        <v>2.0000000000000001E-4</v>
      </c>
      <c r="BZ22" s="489">
        <v>2.0000000000000001E-4</v>
      </c>
      <c r="CA22" s="489">
        <v>2.0000000000000001E-4</v>
      </c>
      <c r="CB22" s="489">
        <v>2.0000000000000001E-4</v>
      </c>
      <c r="CC22" s="489">
        <v>2.0000000000000001E-4</v>
      </c>
      <c r="CD22" s="489">
        <v>2.0000000000000001E-4</v>
      </c>
      <c r="CE22" s="489">
        <v>2.0000000000000001E-4</v>
      </c>
      <c r="CF22" s="489">
        <v>2.0000000000000001E-4</v>
      </c>
      <c r="CG22" s="489">
        <v>2.0000000000000001E-4</v>
      </c>
      <c r="CH22" s="489">
        <v>2.0000000000000001E-4</v>
      </c>
      <c r="CI22" s="489">
        <v>2.0000000000000001E-4</v>
      </c>
      <c r="CJ22" s="489">
        <v>2.0000000000000001E-4</v>
      </c>
      <c r="CK22" s="489">
        <v>2.0000000000000001E-4</v>
      </c>
      <c r="CL22" s="489">
        <v>2.0000000000000001E-4</v>
      </c>
      <c r="CM22" s="489">
        <v>2.0000000000000001E-4</v>
      </c>
      <c r="CN22" s="489">
        <v>2.0000000000000001E-4</v>
      </c>
      <c r="CO22" s="489">
        <v>2.0000000000000001E-4</v>
      </c>
      <c r="CP22" s="489">
        <v>2.0000000000000001E-4</v>
      </c>
      <c r="CQ22" s="489">
        <v>2.0000000000000001E-4</v>
      </c>
      <c r="CR22" s="489">
        <v>2.0000000000000001E-4</v>
      </c>
      <c r="CS22" s="489">
        <v>2.0000000000000001E-4</v>
      </c>
      <c r="CT22" s="489">
        <v>2.0000000000000001E-4</v>
      </c>
      <c r="CU22" s="489">
        <v>2.0000000000000001E-4</v>
      </c>
      <c r="CV22" s="489">
        <v>2.0000000000000001E-4</v>
      </c>
      <c r="CW22" s="489">
        <v>2.0000000000000001E-4</v>
      </c>
      <c r="CX22" s="489">
        <v>2.0000000000000001E-4</v>
      </c>
      <c r="CY22" s="489">
        <v>2.0000000000000001E-4</v>
      </c>
      <c r="CZ22" s="489">
        <v>2.0000000000000001E-4</v>
      </c>
      <c r="DA22" s="489">
        <v>2.0000000000000001E-4</v>
      </c>
      <c r="DB22" s="489">
        <v>2.0000000000000001E-4</v>
      </c>
      <c r="DC22" s="489">
        <v>2.0000000000000001E-4</v>
      </c>
      <c r="DD22" s="489">
        <v>2.0000000000000001E-4</v>
      </c>
      <c r="DE22" s="489">
        <v>2.0000000000000001E-4</v>
      </c>
      <c r="DF22" s="489">
        <v>2.0000000000000001E-4</v>
      </c>
      <c r="DG22" s="489">
        <v>2.0000000000000001E-4</v>
      </c>
      <c r="DH22" s="489">
        <v>2.0000000000000001E-4</v>
      </c>
      <c r="DI22" s="489">
        <v>2.0000000000000001E-4</v>
      </c>
      <c r="DJ22" s="489">
        <v>2.0000000000000001E-4</v>
      </c>
      <c r="DK22" s="489">
        <v>2.0000000000000001E-4</v>
      </c>
      <c r="DL22" s="489">
        <v>2.0000000000000001E-4</v>
      </c>
      <c r="DM22" s="489">
        <v>2.0000000000000001E-4</v>
      </c>
      <c r="DN22" s="489">
        <v>2.0000000000000001E-4</v>
      </c>
      <c r="DO22" s="489">
        <v>2.0000000000000001E-4</v>
      </c>
      <c r="DP22" s="489">
        <v>2.0000000000000001E-4</v>
      </c>
      <c r="DQ22" s="489">
        <v>2.0000000000000001E-4</v>
      </c>
      <c r="DR22" s="489">
        <v>2.0000000000000001E-4</v>
      </c>
      <c r="DS22" s="489">
        <v>2.0000000000000001E-4</v>
      </c>
      <c r="DT22" s="489">
        <v>2.0000000000000001E-4</v>
      </c>
      <c r="DU22" s="489">
        <v>2.0000000000000001E-4</v>
      </c>
      <c r="DV22" s="489">
        <v>2.0000000000000001E-4</v>
      </c>
      <c r="DW22" s="489">
        <v>2.0000000000000001E-4</v>
      </c>
      <c r="DX22" s="489">
        <v>2.0000000000000001E-4</v>
      </c>
      <c r="DY22" s="489">
        <v>2.0000000000000001E-4</v>
      </c>
      <c r="DZ22" s="489">
        <v>2.0000000000000001E-4</v>
      </c>
      <c r="EA22" s="489">
        <v>2.0000000000000001E-4</v>
      </c>
      <c r="EB22" s="489">
        <v>2.0000000000000001E-4</v>
      </c>
      <c r="EC22" s="489">
        <v>2.0000000000000001E-4</v>
      </c>
      <c r="ED22" s="489">
        <v>2.0000000000000001E-4</v>
      </c>
      <c r="EE22" s="489">
        <v>2.0000000000000001E-4</v>
      </c>
      <c r="EF22" s="489">
        <v>2.0000000000000001E-4</v>
      </c>
      <c r="EG22" s="489">
        <v>2.0000000000000001E-4</v>
      </c>
      <c r="EH22" s="489">
        <v>2.0000000000000001E-4</v>
      </c>
      <c r="EI22" s="489">
        <v>2.0000000000000001E-4</v>
      </c>
      <c r="EJ22" s="489">
        <v>2.0000000000000001E-4</v>
      </c>
      <c r="EK22" s="489">
        <v>2.0000000000000001E-4</v>
      </c>
      <c r="EL22" s="489">
        <v>2.0000000000000001E-4</v>
      </c>
      <c r="EM22" s="489">
        <v>2.0000000000000001E-4</v>
      </c>
      <c r="EN22" s="489">
        <v>2.0000000000000001E-4</v>
      </c>
      <c r="EO22" s="489">
        <v>2.0000000000000001E-4</v>
      </c>
      <c r="EP22" s="489">
        <v>2.0000000000000001E-4</v>
      </c>
      <c r="EQ22" s="489">
        <v>2.0000000000000001E-4</v>
      </c>
      <c r="ER22" s="489">
        <v>2.0000000000000001E-4</v>
      </c>
      <c r="ES22" s="489">
        <v>2.0000000000000001E-4</v>
      </c>
      <c r="ET22" s="489">
        <v>2.0000000000000001E-4</v>
      </c>
      <c r="EU22" s="489">
        <v>2.0000000000000001E-4</v>
      </c>
      <c r="EV22" s="489">
        <v>2.0000000000000001E-4</v>
      </c>
      <c r="EW22" s="489">
        <v>2.0000000000000001E-4</v>
      </c>
      <c r="EX22" s="489">
        <v>2.0000000000000001E-4</v>
      </c>
      <c r="EY22" s="489">
        <v>2.0000000000000001E-4</v>
      </c>
      <c r="EZ22" s="489">
        <v>2.0000000000000001E-4</v>
      </c>
      <c r="FA22" s="489">
        <v>2.0000000000000001E-4</v>
      </c>
      <c r="FB22" s="489">
        <v>2.0000000000000001E-4</v>
      </c>
      <c r="FC22" s="489">
        <v>2.0000000000000001E-4</v>
      </c>
      <c r="FD22" s="489">
        <v>2.0000000000000001E-4</v>
      </c>
      <c r="FE22" s="489">
        <v>2.0000000000000001E-4</v>
      </c>
      <c r="FF22" s="489">
        <v>2.0000000000000001E-4</v>
      </c>
      <c r="FG22" s="489">
        <v>2.0000000000000001E-4</v>
      </c>
      <c r="FH22" s="489">
        <v>2.0000000000000001E-4</v>
      </c>
      <c r="FI22" s="489">
        <v>2.0000000000000001E-4</v>
      </c>
      <c r="FJ22" s="489">
        <v>2.0000000000000001E-4</v>
      </c>
      <c r="FK22" s="489">
        <v>2.0000000000000001E-4</v>
      </c>
      <c r="FL22" s="489">
        <v>2.0000000000000001E-4</v>
      </c>
      <c r="FM22" s="489">
        <v>2.0000000000000001E-4</v>
      </c>
      <c r="FN22" s="489">
        <v>2.0000000000000001E-4</v>
      </c>
      <c r="FO22" s="489">
        <v>2.0000000000000001E-4</v>
      </c>
      <c r="FP22" s="489">
        <v>2.0000000000000001E-4</v>
      </c>
      <c r="FQ22" s="489">
        <v>2.0000000000000001E-4</v>
      </c>
      <c r="FR22" s="489">
        <v>2.0000000000000001E-4</v>
      </c>
      <c r="FS22" s="489">
        <v>2.0000000000000001E-4</v>
      </c>
      <c r="FT22" s="489">
        <v>2.0000000000000001E-4</v>
      </c>
      <c r="FU22" s="489">
        <v>2.0000000000000001E-4</v>
      </c>
      <c r="FV22" s="489">
        <v>2.0000000000000001E-4</v>
      </c>
      <c r="FW22" s="489">
        <v>2.0000000000000001E-4</v>
      </c>
      <c r="FX22" s="489">
        <v>2.0000000000000001E-4</v>
      </c>
      <c r="FY22" s="489">
        <v>2.0000000000000001E-4</v>
      </c>
      <c r="FZ22" s="489">
        <v>2.0000000000000001E-4</v>
      </c>
      <c r="GA22" s="489">
        <v>2.0000000000000001E-4</v>
      </c>
      <c r="GB22" s="489">
        <v>2.0000000000000001E-4</v>
      </c>
      <c r="GC22" s="489">
        <v>2.0000000000000001E-4</v>
      </c>
      <c r="GD22" s="489">
        <v>2.0000000000000001E-4</v>
      </c>
      <c r="GE22" s="489">
        <v>2.0000000000000001E-4</v>
      </c>
      <c r="GF22" s="489">
        <v>2.0000000000000001E-4</v>
      </c>
      <c r="GG22" s="489">
        <v>2.0000000000000001E-4</v>
      </c>
      <c r="GH22" s="489">
        <v>2.0000000000000001E-4</v>
      </c>
      <c r="GI22" s="489">
        <v>2.0000000000000001E-4</v>
      </c>
      <c r="GJ22" s="489">
        <v>2.0000000000000001E-4</v>
      </c>
      <c r="GK22" s="489">
        <v>2.0000000000000001E-4</v>
      </c>
      <c r="GL22" s="489">
        <v>2.0000000000000001E-4</v>
      </c>
      <c r="GM22" s="489">
        <v>2.0000000000000001E-4</v>
      </c>
      <c r="GN22" s="489">
        <v>2.0000000000000001E-4</v>
      </c>
      <c r="GO22" s="489">
        <v>2.0000000000000001E-4</v>
      </c>
      <c r="GP22" s="489">
        <v>2.0000000000000001E-4</v>
      </c>
      <c r="GQ22" s="489">
        <v>2.0000000000000001E-4</v>
      </c>
      <c r="GR22" s="489">
        <v>2.0000000000000001E-4</v>
      </c>
      <c r="GS22" s="489">
        <v>2.0000000000000001E-4</v>
      </c>
      <c r="GT22" s="489">
        <v>2.0000000000000001E-4</v>
      </c>
      <c r="GU22" s="489">
        <v>2.0000000000000001E-4</v>
      </c>
      <c r="GV22" s="489">
        <v>2.0000000000000001E-4</v>
      </c>
      <c r="GW22" s="489">
        <v>2.0000000000000001E-4</v>
      </c>
      <c r="GX22" s="489">
        <v>2.0000000000000001E-4</v>
      </c>
      <c r="GY22" s="489">
        <v>2.0000000000000001E-4</v>
      </c>
      <c r="GZ22" s="489">
        <v>2.0000000000000001E-4</v>
      </c>
      <c r="HA22" s="489">
        <v>2.0000000000000001E-4</v>
      </c>
      <c r="HB22" s="489">
        <v>2.0000000000000001E-4</v>
      </c>
      <c r="HC22" s="489">
        <v>2.0000000000000001E-4</v>
      </c>
      <c r="HD22" s="489">
        <v>2.0000000000000001E-4</v>
      </c>
      <c r="HE22" s="489">
        <v>2.0000000000000001E-4</v>
      </c>
      <c r="HF22" s="489">
        <v>2.0000000000000001E-4</v>
      </c>
      <c r="HG22" s="489">
        <v>2.0000000000000001E-4</v>
      </c>
      <c r="HH22" s="489">
        <v>2.0000000000000001E-4</v>
      </c>
      <c r="HI22" s="489">
        <v>2.0000000000000001E-4</v>
      </c>
      <c r="HJ22" s="489">
        <v>2.0000000000000001E-4</v>
      </c>
      <c r="HK22" s="489">
        <v>2.0000000000000001E-4</v>
      </c>
      <c r="HL22" s="489">
        <v>2.0000000000000001E-4</v>
      </c>
      <c r="HM22" s="489">
        <v>2.0000000000000001E-4</v>
      </c>
      <c r="HN22" s="489">
        <v>2.0000000000000001E-4</v>
      </c>
      <c r="HO22" s="489">
        <v>2.0000000000000001E-4</v>
      </c>
      <c r="HP22" s="473">
        <f t="shared" si="0"/>
        <v>0</v>
      </c>
      <c r="HQ22" s="1143"/>
    </row>
    <row r="23" spans="2:225">
      <c r="B23" s="1141"/>
      <c r="C23" s="731" t="s">
        <v>217</v>
      </c>
      <c r="D23" s="488">
        <v>2.9999999999999997E-4</v>
      </c>
      <c r="E23" s="488">
        <v>2.9999999999999997E-4</v>
      </c>
      <c r="F23" s="488">
        <v>2.9999999999999997E-4</v>
      </c>
      <c r="G23" s="488">
        <v>2.9999999999999997E-4</v>
      </c>
      <c r="H23" s="488">
        <v>2.9999999999999997E-4</v>
      </c>
      <c r="I23" s="488">
        <v>2.9999999999999997E-4</v>
      </c>
      <c r="J23" s="488">
        <v>2.9999999999999997E-4</v>
      </c>
      <c r="K23" s="488">
        <v>2.9999999999999997E-4</v>
      </c>
      <c r="L23" s="488">
        <v>2.9999999999999997E-4</v>
      </c>
      <c r="M23" s="488">
        <v>2.9999999999999997E-4</v>
      </c>
      <c r="N23" s="488">
        <v>2.9999999999999997E-4</v>
      </c>
      <c r="O23" s="488">
        <v>2.9999999999999997E-4</v>
      </c>
      <c r="P23" s="488">
        <v>2.9999999999999997E-4</v>
      </c>
      <c r="Q23" s="488">
        <v>2.9999999999999997E-4</v>
      </c>
      <c r="R23" s="488">
        <v>2.9999999999999997E-4</v>
      </c>
      <c r="S23" s="488">
        <v>2.9999999999999997E-4</v>
      </c>
      <c r="T23" s="488">
        <v>2.9999999999999997E-4</v>
      </c>
      <c r="U23" s="488">
        <v>2.9999999999999997E-4</v>
      </c>
      <c r="V23" s="488">
        <v>2.9999999999999997E-4</v>
      </c>
      <c r="W23" s="488">
        <v>2.9999999999999997E-4</v>
      </c>
      <c r="X23" s="488">
        <v>2.9999999999999997E-4</v>
      </c>
      <c r="Y23" s="488">
        <v>2.9999999999999997E-4</v>
      </c>
      <c r="Z23" s="488">
        <v>2.9999999999999997E-4</v>
      </c>
      <c r="AA23" s="488">
        <v>2.9999999999999997E-4</v>
      </c>
      <c r="AB23" s="488">
        <v>2.9999999999999997E-4</v>
      </c>
      <c r="AC23" s="488">
        <v>2.9999999999999997E-4</v>
      </c>
      <c r="AD23" s="488">
        <v>2.9999999999999997E-4</v>
      </c>
      <c r="AE23" s="488">
        <v>2.9999999999999997E-4</v>
      </c>
      <c r="AF23" s="488">
        <v>2.9999999999999997E-4</v>
      </c>
      <c r="AG23" s="488">
        <v>2.9999999999999997E-4</v>
      </c>
      <c r="AH23" s="488">
        <v>2.9999999999999997E-4</v>
      </c>
      <c r="AI23" s="488">
        <v>2.9999999999999997E-4</v>
      </c>
      <c r="AJ23" s="488">
        <v>2.9999999999999997E-4</v>
      </c>
      <c r="AK23" s="488">
        <v>2.9999999999999997E-4</v>
      </c>
      <c r="AL23" s="489">
        <v>2.9999999999999997E-4</v>
      </c>
      <c r="AM23" s="488">
        <v>2.9999999999999997E-4</v>
      </c>
      <c r="AN23" s="488">
        <v>2.9999999999999997E-4</v>
      </c>
      <c r="AO23" s="488">
        <v>2.9999999999999997E-4</v>
      </c>
      <c r="AP23" s="488">
        <v>2.9999999999999997E-4</v>
      </c>
      <c r="AQ23" s="488">
        <v>2.9999999999999997E-4</v>
      </c>
      <c r="AR23" s="488">
        <v>2.9999999999999997E-4</v>
      </c>
      <c r="AS23" s="488">
        <v>2.9999999999999997E-4</v>
      </c>
      <c r="AT23" s="488">
        <v>2.9999999999999997E-4</v>
      </c>
      <c r="AU23" s="488">
        <v>2.9999999999999997E-4</v>
      </c>
      <c r="AV23" s="489">
        <v>2.9999999999999997E-4</v>
      </c>
      <c r="AW23" s="489">
        <v>2.9999999999999997E-4</v>
      </c>
      <c r="AX23" s="489">
        <v>2.9999999999999997E-4</v>
      </c>
      <c r="AY23" s="489">
        <v>2.9999999999999997E-4</v>
      </c>
      <c r="AZ23" s="489">
        <v>2.9999999999999997E-4</v>
      </c>
      <c r="BA23" s="489">
        <v>2.9999999999999997E-4</v>
      </c>
      <c r="BB23" s="489">
        <v>2.9999999999999997E-4</v>
      </c>
      <c r="BC23" s="489">
        <v>2.9999999999999997E-4</v>
      </c>
      <c r="BD23" s="489">
        <v>2.9999999999999997E-4</v>
      </c>
      <c r="BE23" s="489">
        <v>2.9999999999999997E-4</v>
      </c>
      <c r="BF23" s="489">
        <v>2.9999999999999997E-4</v>
      </c>
      <c r="BG23" s="489">
        <v>2.9999999999999997E-4</v>
      </c>
      <c r="BH23" s="489">
        <v>2.9999999999999997E-4</v>
      </c>
      <c r="BI23" s="489">
        <v>2.9999999999999997E-4</v>
      </c>
      <c r="BJ23" s="489">
        <v>2.9999999999999997E-4</v>
      </c>
      <c r="BK23" s="489">
        <v>2.9999999999999997E-4</v>
      </c>
      <c r="BL23" s="489">
        <v>2.9999999999999997E-4</v>
      </c>
      <c r="BM23" s="489">
        <v>2.9999999999999997E-4</v>
      </c>
      <c r="BN23" s="489">
        <v>2.9999999999999997E-4</v>
      </c>
      <c r="BO23" s="489">
        <v>2.9999999999999997E-4</v>
      </c>
      <c r="BP23" s="489">
        <v>2.9999999999999997E-4</v>
      </c>
      <c r="BQ23" s="489">
        <v>2.9999999999999997E-4</v>
      </c>
      <c r="BR23" s="489">
        <v>2.9999999999999997E-4</v>
      </c>
      <c r="BS23" s="489">
        <v>2.9999999999999997E-4</v>
      </c>
      <c r="BT23" s="489">
        <v>2.9999999999999997E-4</v>
      </c>
      <c r="BU23" s="489">
        <v>2.9999999999999997E-4</v>
      </c>
      <c r="BV23" s="489">
        <v>2.9999999999999997E-4</v>
      </c>
      <c r="BW23" s="489">
        <v>2.9999999999999997E-4</v>
      </c>
      <c r="BX23" s="489">
        <v>2.9999999999999997E-4</v>
      </c>
      <c r="BY23" s="489">
        <v>2.9999999999999997E-4</v>
      </c>
      <c r="BZ23" s="489">
        <v>2.9999999999999997E-4</v>
      </c>
      <c r="CA23" s="489">
        <v>2.9999999999999997E-4</v>
      </c>
      <c r="CB23" s="489">
        <v>2.9999999999999997E-4</v>
      </c>
      <c r="CC23" s="489">
        <v>2.9999999999999997E-4</v>
      </c>
      <c r="CD23" s="489">
        <v>2.9999999999999997E-4</v>
      </c>
      <c r="CE23" s="489">
        <v>2.9999999999999997E-4</v>
      </c>
      <c r="CF23" s="489">
        <v>2.9999999999999997E-4</v>
      </c>
      <c r="CG23" s="489">
        <v>2.9999999999999997E-4</v>
      </c>
      <c r="CH23" s="489">
        <v>2.9999999999999997E-4</v>
      </c>
      <c r="CI23" s="489">
        <v>2.9999999999999997E-4</v>
      </c>
      <c r="CJ23" s="489">
        <v>2.9999999999999997E-4</v>
      </c>
      <c r="CK23" s="489">
        <v>2.9999999999999997E-4</v>
      </c>
      <c r="CL23" s="489">
        <v>2.9999999999999997E-4</v>
      </c>
      <c r="CM23" s="489">
        <v>2.9999999999999997E-4</v>
      </c>
      <c r="CN23" s="489">
        <v>2.9999999999999997E-4</v>
      </c>
      <c r="CO23" s="489">
        <v>2.9999999999999997E-4</v>
      </c>
      <c r="CP23" s="489">
        <v>2.9999999999999997E-4</v>
      </c>
      <c r="CQ23" s="489">
        <v>2.9999999999999997E-4</v>
      </c>
      <c r="CR23" s="489">
        <v>2.9999999999999997E-4</v>
      </c>
      <c r="CS23" s="489">
        <v>2.9999999999999997E-4</v>
      </c>
      <c r="CT23" s="489">
        <v>2.9999999999999997E-4</v>
      </c>
      <c r="CU23" s="489">
        <v>2.9999999999999997E-4</v>
      </c>
      <c r="CV23" s="489">
        <v>2.9999999999999997E-4</v>
      </c>
      <c r="CW23" s="489">
        <v>2.9999999999999997E-4</v>
      </c>
      <c r="CX23" s="489">
        <v>2.9999999999999997E-4</v>
      </c>
      <c r="CY23" s="489">
        <v>2.9999999999999997E-4</v>
      </c>
      <c r="CZ23" s="489">
        <v>2.9999999999999997E-4</v>
      </c>
      <c r="DA23" s="489">
        <v>2.9999999999999997E-4</v>
      </c>
      <c r="DB23" s="489">
        <v>2.9999999999999997E-4</v>
      </c>
      <c r="DC23" s="489">
        <v>2.9999999999999997E-4</v>
      </c>
      <c r="DD23" s="489">
        <v>2.9999999999999997E-4</v>
      </c>
      <c r="DE23" s="489">
        <v>2.9999999999999997E-4</v>
      </c>
      <c r="DF23" s="489">
        <v>2.9999999999999997E-4</v>
      </c>
      <c r="DG23" s="489">
        <v>2.9999999999999997E-4</v>
      </c>
      <c r="DH23" s="489">
        <v>2.9999999999999997E-4</v>
      </c>
      <c r="DI23" s="489">
        <v>2.9999999999999997E-4</v>
      </c>
      <c r="DJ23" s="489">
        <v>2.9999999999999997E-4</v>
      </c>
      <c r="DK23" s="489">
        <v>2.9999999999999997E-4</v>
      </c>
      <c r="DL23" s="489">
        <v>2.9999999999999997E-4</v>
      </c>
      <c r="DM23" s="489">
        <v>2.9999999999999997E-4</v>
      </c>
      <c r="DN23" s="489">
        <v>2.9999999999999997E-4</v>
      </c>
      <c r="DO23" s="489">
        <v>2.9999999999999997E-4</v>
      </c>
      <c r="DP23" s="489">
        <v>2.9999999999999997E-4</v>
      </c>
      <c r="DQ23" s="489">
        <v>2.9999999999999997E-4</v>
      </c>
      <c r="DR23" s="489">
        <v>2.9999999999999997E-4</v>
      </c>
      <c r="DS23" s="489">
        <v>2.9999999999999997E-4</v>
      </c>
      <c r="DT23" s="489">
        <v>2.9999999999999997E-4</v>
      </c>
      <c r="DU23" s="489">
        <v>2.9999999999999997E-4</v>
      </c>
      <c r="DV23" s="489">
        <v>2.9999999999999997E-4</v>
      </c>
      <c r="DW23" s="489">
        <v>2.9999999999999997E-4</v>
      </c>
      <c r="DX23" s="489">
        <v>2.9999999999999997E-4</v>
      </c>
      <c r="DY23" s="489">
        <v>2.9999999999999997E-4</v>
      </c>
      <c r="DZ23" s="489">
        <v>2.9999999999999997E-4</v>
      </c>
      <c r="EA23" s="489">
        <v>2.9999999999999997E-4</v>
      </c>
      <c r="EB23" s="489">
        <v>2.9999999999999997E-4</v>
      </c>
      <c r="EC23" s="489">
        <v>2.9999999999999997E-4</v>
      </c>
      <c r="ED23" s="489">
        <v>2.9999999999999997E-4</v>
      </c>
      <c r="EE23" s="489">
        <v>2.9999999999999997E-4</v>
      </c>
      <c r="EF23" s="489">
        <v>2.9999999999999997E-4</v>
      </c>
      <c r="EG23" s="489">
        <v>2.9999999999999997E-4</v>
      </c>
      <c r="EH23" s="489">
        <v>2.9999999999999997E-4</v>
      </c>
      <c r="EI23" s="489">
        <v>2.9999999999999997E-4</v>
      </c>
      <c r="EJ23" s="489">
        <v>2.9999999999999997E-4</v>
      </c>
      <c r="EK23" s="489">
        <v>2.9999999999999997E-4</v>
      </c>
      <c r="EL23" s="489">
        <v>2.9999999999999997E-4</v>
      </c>
      <c r="EM23" s="489">
        <v>2.9999999999999997E-4</v>
      </c>
      <c r="EN23" s="489">
        <v>2.9999999999999997E-4</v>
      </c>
      <c r="EO23" s="489">
        <v>2.9999999999999997E-4</v>
      </c>
      <c r="EP23" s="489">
        <v>2.9999999999999997E-4</v>
      </c>
      <c r="EQ23" s="489">
        <v>2.9999999999999997E-4</v>
      </c>
      <c r="ER23" s="489">
        <v>2.9999999999999997E-4</v>
      </c>
      <c r="ES23" s="489">
        <v>2.9999999999999997E-4</v>
      </c>
      <c r="ET23" s="489">
        <v>2.9999999999999997E-4</v>
      </c>
      <c r="EU23" s="489">
        <v>2.9999999999999997E-4</v>
      </c>
      <c r="EV23" s="489">
        <v>2.9999999999999997E-4</v>
      </c>
      <c r="EW23" s="489">
        <v>2.9999999999999997E-4</v>
      </c>
      <c r="EX23" s="489">
        <v>2.9999999999999997E-4</v>
      </c>
      <c r="EY23" s="489">
        <v>2.9999999999999997E-4</v>
      </c>
      <c r="EZ23" s="489">
        <v>2.9999999999999997E-4</v>
      </c>
      <c r="FA23" s="489">
        <v>2.9999999999999997E-4</v>
      </c>
      <c r="FB23" s="489">
        <v>2.9999999999999997E-4</v>
      </c>
      <c r="FC23" s="489">
        <v>2.9999999999999997E-4</v>
      </c>
      <c r="FD23" s="489">
        <v>2.9999999999999997E-4</v>
      </c>
      <c r="FE23" s="489">
        <v>2.9999999999999997E-4</v>
      </c>
      <c r="FF23" s="489">
        <v>2.9999999999999997E-4</v>
      </c>
      <c r="FG23" s="489">
        <v>2.9999999999999997E-4</v>
      </c>
      <c r="FH23" s="489">
        <v>2.9999999999999997E-4</v>
      </c>
      <c r="FI23" s="489">
        <v>2.9999999999999997E-4</v>
      </c>
      <c r="FJ23" s="489">
        <v>2.9999999999999997E-4</v>
      </c>
      <c r="FK23" s="489">
        <v>2.9999999999999997E-4</v>
      </c>
      <c r="FL23" s="489">
        <v>2.9999999999999997E-4</v>
      </c>
      <c r="FM23" s="489">
        <v>2.9999999999999997E-4</v>
      </c>
      <c r="FN23" s="489">
        <v>2.9999999999999997E-4</v>
      </c>
      <c r="FO23" s="489">
        <v>2.9999999999999997E-4</v>
      </c>
      <c r="FP23" s="489">
        <v>2.9999999999999997E-4</v>
      </c>
      <c r="FQ23" s="489">
        <v>2.9999999999999997E-4</v>
      </c>
      <c r="FR23" s="489">
        <v>2.9999999999999997E-4</v>
      </c>
      <c r="FS23" s="489">
        <v>2.9999999999999997E-4</v>
      </c>
      <c r="FT23" s="489">
        <v>2.9999999999999997E-4</v>
      </c>
      <c r="FU23" s="489">
        <v>2.9999999999999997E-4</v>
      </c>
      <c r="FV23" s="489">
        <v>2.9999999999999997E-4</v>
      </c>
      <c r="FW23" s="489">
        <v>2.9999999999999997E-4</v>
      </c>
      <c r="FX23" s="489">
        <v>2.9999999999999997E-4</v>
      </c>
      <c r="FY23" s="489">
        <v>2.9999999999999997E-4</v>
      </c>
      <c r="FZ23" s="489">
        <v>2.9999999999999997E-4</v>
      </c>
      <c r="GA23" s="489">
        <v>2.9999999999999997E-4</v>
      </c>
      <c r="GB23" s="489">
        <v>2.9999999999999997E-4</v>
      </c>
      <c r="GC23" s="489">
        <v>2.9999999999999997E-4</v>
      </c>
      <c r="GD23" s="489">
        <v>2.9999999999999997E-4</v>
      </c>
      <c r="GE23" s="489">
        <v>2.9999999999999997E-4</v>
      </c>
      <c r="GF23" s="489">
        <v>2.9999999999999997E-4</v>
      </c>
      <c r="GG23" s="489">
        <v>2.9999999999999997E-4</v>
      </c>
      <c r="GH23" s="489">
        <v>2.9999999999999997E-4</v>
      </c>
      <c r="GI23" s="489">
        <v>2.9999999999999997E-4</v>
      </c>
      <c r="GJ23" s="489">
        <v>2.9999999999999997E-4</v>
      </c>
      <c r="GK23" s="489">
        <v>2.9999999999999997E-4</v>
      </c>
      <c r="GL23" s="489">
        <v>2.9999999999999997E-4</v>
      </c>
      <c r="GM23" s="489">
        <v>2.9999999999999997E-4</v>
      </c>
      <c r="GN23" s="489">
        <v>2.9999999999999997E-4</v>
      </c>
      <c r="GO23" s="489">
        <v>2.9999999999999997E-4</v>
      </c>
      <c r="GP23" s="489">
        <v>2.9999999999999997E-4</v>
      </c>
      <c r="GQ23" s="489">
        <v>2.9999999999999997E-4</v>
      </c>
      <c r="GR23" s="489">
        <v>2.9999999999999997E-4</v>
      </c>
      <c r="GS23" s="489">
        <v>2.9999999999999997E-4</v>
      </c>
      <c r="GT23" s="489">
        <v>2.9999999999999997E-4</v>
      </c>
      <c r="GU23" s="489">
        <v>2.9999999999999997E-4</v>
      </c>
      <c r="GV23" s="489">
        <v>2.9999999999999997E-4</v>
      </c>
      <c r="GW23" s="489">
        <v>2.9999999999999997E-4</v>
      </c>
      <c r="GX23" s="489">
        <v>2.9999999999999997E-4</v>
      </c>
      <c r="GY23" s="489">
        <v>2.9999999999999997E-4</v>
      </c>
      <c r="GZ23" s="489">
        <v>2.9999999999999997E-4</v>
      </c>
      <c r="HA23" s="489">
        <v>2.9999999999999997E-4</v>
      </c>
      <c r="HB23" s="489">
        <v>2.9999999999999997E-4</v>
      </c>
      <c r="HC23" s="489">
        <v>2.9999999999999997E-4</v>
      </c>
      <c r="HD23" s="489">
        <v>2.9999999999999997E-4</v>
      </c>
      <c r="HE23" s="489">
        <v>2.9999999999999997E-4</v>
      </c>
      <c r="HF23" s="489">
        <v>2.9999999999999997E-4</v>
      </c>
      <c r="HG23" s="489">
        <v>2.9999999999999997E-4</v>
      </c>
      <c r="HH23" s="489">
        <v>2.9999999999999997E-4</v>
      </c>
      <c r="HI23" s="489">
        <v>2.9999999999999997E-4</v>
      </c>
      <c r="HJ23" s="489">
        <v>2.9999999999999997E-4</v>
      </c>
      <c r="HK23" s="489">
        <v>2.9999999999999997E-4</v>
      </c>
      <c r="HL23" s="489">
        <v>2.9999999999999997E-4</v>
      </c>
      <c r="HM23" s="489">
        <v>2.9999999999999997E-4</v>
      </c>
      <c r="HN23" s="489">
        <v>2.9999999999999997E-4</v>
      </c>
      <c r="HO23" s="489">
        <v>2.9999999999999997E-4</v>
      </c>
      <c r="HP23" s="473">
        <f t="shared" si="0"/>
        <v>0</v>
      </c>
      <c r="HQ23" s="1143"/>
    </row>
    <row r="24" spans="2:225">
      <c r="B24" s="1141"/>
      <c r="C24" s="731" t="s">
        <v>216</v>
      </c>
      <c r="D24" s="488">
        <v>5.0000000000000001E-4</v>
      </c>
      <c r="E24" s="488">
        <v>5.0000000000000001E-4</v>
      </c>
      <c r="F24" s="488">
        <v>5.0000000000000001E-4</v>
      </c>
      <c r="G24" s="488">
        <v>5.0000000000000001E-4</v>
      </c>
      <c r="H24" s="488">
        <v>5.0000000000000001E-4</v>
      </c>
      <c r="I24" s="488">
        <v>5.0000000000000001E-4</v>
      </c>
      <c r="J24" s="488">
        <v>5.0000000000000001E-4</v>
      </c>
      <c r="K24" s="488">
        <v>5.0000000000000001E-4</v>
      </c>
      <c r="L24" s="488">
        <v>5.0000000000000001E-4</v>
      </c>
      <c r="M24" s="488">
        <v>5.0000000000000001E-4</v>
      </c>
      <c r="N24" s="488">
        <v>5.0000000000000001E-4</v>
      </c>
      <c r="O24" s="488">
        <v>5.0000000000000001E-4</v>
      </c>
      <c r="P24" s="488">
        <v>5.0000000000000001E-4</v>
      </c>
      <c r="Q24" s="488">
        <v>5.0000000000000001E-4</v>
      </c>
      <c r="R24" s="488">
        <v>5.0000000000000001E-4</v>
      </c>
      <c r="S24" s="488">
        <v>5.0000000000000001E-4</v>
      </c>
      <c r="T24" s="488">
        <v>5.0000000000000001E-4</v>
      </c>
      <c r="U24" s="488">
        <v>5.0000000000000001E-4</v>
      </c>
      <c r="V24" s="488">
        <v>5.0000000000000001E-4</v>
      </c>
      <c r="W24" s="488">
        <v>5.0000000000000001E-4</v>
      </c>
      <c r="X24" s="488">
        <v>5.0000000000000001E-4</v>
      </c>
      <c r="Y24" s="488">
        <v>5.0000000000000001E-4</v>
      </c>
      <c r="Z24" s="488">
        <v>5.0000000000000001E-4</v>
      </c>
      <c r="AA24" s="488">
        <v>5.0000000000000001E-4</v>
      </c>
      <c r="AB24" s="488">
        <v>5.0000000000000001E-4</v>
      </c>
      <c r="AC24" s="488">
        <v>5.0000000000000001E-4</v>
      </c>
      <c r="AD24" s="488">
        <v>5.0000000000000001E-4</v>
      </c>
      <c r="AE24" s="488">
        <v>5.0000000000000001E-4</v>
      </c>
      <c r="AF24" s="488">
        <v>5.0000000000000001E-4</v>
      </c>
      <c r="AG24" s="488">
        <v>5.0000000000000001E-4</v>
      </c>
      <c r="AH24" s="488">
        <v>5.0000000000000001E-4</v>
      </c>
      <c r="AI24" s="488">
        <v>5.0000000000000001E-4</v>
      </c>
      <c r="AJ24" s="488">
        <v>5.0000000000000001E-4</v>
      </c>
      <c r="AK24" s="488">
        <v>5.0000000000000001E-4</v>
      </c>
      <c r="AL24" s="489">
        <v>5.0000000000000001E-4</v>
      </c>
      <c r="AM24" s="488">
        <v>5.0000000000000001E-4</v>
      </c>
      <c r="AN24" s="488">
        <v>5.0000000000000001E-4</v>
      </c>
      <c r="AO24" s="488">
        <v>5.0000000000000001E-4</v>
      </c>
      <c r="AP24" s="488">
        <v>5.0000000000000001E-4</v>
      </c>
      <c r="AQ24" s="488">
        <v>5.0000000000000001E-4</v>
      </c>
      <c r="AR24" s="488">
        <v>5.0000000000000001E-4</v>
      </c>
      <c r="AS24" s="488">
        <v>5.0000000000000001E-4</v>
      </c>
      <c r="AT24" s="488">
        <v>5.0000000000000001E-4</v>
      </c>
      <c r="AU24" s="488">
        <v>5.0000000000000001E-4</v>
      </c>
      <c r="AV24" s="489">
        <v>5.0000000000000001E-4</v>
      </c>
      <c r="AW24" s="489">
        <v>5.0000000000000001E-4</v>
      </c>
      <c r="AX24" s="489">
        <v>5.0000000000000001E-4</v>
      </c>
      <c r="AY24" s="489">
        <v>5.0000000000000001E-4</v>
      </c>
      <c r="AZ24" s="489">
        <v>5.0000000000000001E-4</v>
      </c>
      <c r="BA24" s="489">
        <v>5.0000000000000001E-4</v>
      </c>
      <c r="BB24" s="489">
        <v>5.0000000000000001E-4</v>
      </c>
      <c r="BC24" s="489">
        <v>5.0000000000000001E-4</v>
      </c>
      <c r="BD24" s="489">
        <v>5.0000000000000001E-4</v>
      </c>
      <c r="BE24" s="489">
        <v>5.0000000000000001E-4</v>
      </c>
      <c r="BF24" s="489">
        <v>5.0000000000000001E-4</v>
      </c>
      <c r="BG24" s="489">
        <v>5.0000000000000001E-4</v>
      </c>
      <c r="BH24" s="489">
        <v>5.0000000000000001E-4</v>
      </c>
      <c r="BI24" s="489">
        <v>5.0000000000000001E-4</v>
      </c>
      <c r="BJ24" s="489">
        <v>5.0000000000000001E-4</v>
      </c>
      <c r="BK24" s="489">
        <v>5.0000000000000001E-4</v>
      </c>
      <c r="BL24" s="489">
        <v>5.0000000000000001E-4</v>
      </c>
      <c r="BM24" s="489">
        <v>5.0000000000000001E-4</v>
      </c>
      <c r="BN24" s="489">
        <v>5.0000000000000001E-4</v>
      </c>
      <c r="BO24" s="489">
        <v>5.0000000000000001E-4</v>
      </c>
      <c r="BP24" s="489">
        <v>5.0000000000000001E-4</v>
      </c>
      <c r="BQ24" s="489">
        <v>5.0000000000000001E-4</v>
      </c>
      <c r="BR24" s="489">
        <v>5.0000000000000001E-4</v>
      </c>
      <c r="BS24" s="489">
        <v>5.0000000000000001E-4</v>
      </c>
      <c r="BT24" s="489">
        <v>5.0000000000000001E-4</v>
      </c>
      <c r="BU24" s="489">
        <v>5.0000000000000001E-4</v>
      </c>
      <c r="BV24" s="489">
        <v>5.0000000000000001E-4</v>
      </c>
      <c r="BW24" s="489">
        <v>5.0000000000000001E-4</v>
      </c>
      <c r="BX24" s="489">
        <v>5.0000000000000001E-4</v>
      </c>
      <c r="BY24" s="489">
        <v>5.0000000000000001E-4</v>
      </c>
      <c r="BZ24" s="489">
        <v>5.0000000000000001E-4</v>
      </c>
      <c r="CA24" s="489">
        <v>5.0000000000000001E-4</v>
      </c>
      <c r="CB24" s="489">
        <v>5.0000000000000001E-4</v>
      </c>
      <c r="CC24" s="489">
        <v>5.0000000000000001E-4</v>
      </c>
      <c r="CD24" s="489">
        <v>5.0000000000000001E-4</v>
      </c>
      <c r="CE24" s="489">
        <v>5.0000000000000001E-4</v>
      </c>
      <c r="CF24" s="489">
        <v>5.0000000000000001E-4</v>
      </c>
      <c r="CG24" s="489">
        <v>5.0000000000000001E-4</v>
      </c>
      <c r="CH24" s="489">
        <v>5.0000000000000001E-4</v>
      </c>
      <c r="CI24" s="489">
        <v>5.0000000000000001E-4</v>
      </c>
      <c r="CJ24" s="489">
        <v>5.0000000000000001E-4</v>
      </c>
      <c r="CK24" s="489">
        <v>5.0000000000000001E-4</v>
      </c>
      <c r="CL24" s="489">
        <v>5.0000000000000001E-4</v>
      </c>
      <c r="CM24" s="489">
        <v>5.0000000000000001E-4</v>
      </c>
      <c r="CN24" s="489">
        <v>5.0000000000000001E-4</v>
      </c>
      <c r="CO24" s="489">
        <v>5.0000000000000001E-4</v>
      </c>
      <c r="CP24" s="489">
        <v>5.0000000000000001E-4</v>
      </c>
      <c r="CQ24" s="489">
        <v>5.0000000000000001E-4</v>
      </c>
      <c r="CR24" s="489">
        <v>5.0000000000000001E-4</v>
      </c>
      <c r="CS24" s="489">
        <v>5.0000000000000001E-4</v>
      </c>
      <c r="CT24" s="489">
        <v>5.0000000000000001E-4</v>
      </c>
      <c r="CU24" s="489">
        <v>5.0000000000000001E-4</v>
      </c>
      <c r="CV24" s="489">
        <v>5.0000000000000001E-4</v>
      </c>
      <c r="CW24" s="489">
        <v>5.0000000000000001E-4</v>
      </c>
      <c r="CX24" s="489">
        <v>5.0000000000000001E-4</v>
      </c>
      <c r="CY24" s="489">
        <v>5.0000000000000001E-4</v>
      </c>
      <c r="CZ24" s="489">
        <v>5.0000000000000001E-4</v>
      </c>
      <c r="DA24" s="489">
        <v>5.0000000000000001E-4</v>
      </c>
      <c r="DB24" s="489">
        <v>5.0000000000000001E-4</v>
      </c>
      <c r="DC24" s="489">
        <v>5.0000000000000001E-4</v>
      </c>
      <c r="DD24" s="489">
        <v>5.0000000000000001E-4</v>
      </c>
      <c r="DE24" s="489">
        <v>5.0000000000000001E-4</v>
      </c>
      <c r="DF24" s="489">
        <v>5.0000000000000001E-4</v>
      </c>
      <c r="DG24" s="489">
        <v>5.0000000000000001E-4</v>
      </c>
      <c r="DH24" s="489">
        <v>5.0000000000000001E-4</v>
      </c>
      <c r="DI24" s="489">
        <v>5.0000000000000001E-4</v>
      </c>
      <c r="DJ24" s="489">
        <v>5.0000000000000001E-4</v>
      </c>
      <c r="DK24" s="489">
        <v>5.0000000000000001E-4</v>
      </c>
      <c r="DL24" s="489">
        <v>5.0000000000000001E-4</v>
      </c>
      <c r="DM24" s="489">
        <v>5.0000000000000001E-4</v>
      </c>
      <c r="DN24" s="489">
        <v>5.0000000000000001E-4</v>
      </c>
      <c r="DO24" s="489">
        <v>5.0000000000000001E-4</v>
      </c>
      <c r="DP24" s="489">
        <v>5.0000000000000001E-4</v>
      </c>
      <c r="DQ24" s="489">
        <v>5.0000000000000001E-4</v>
      </c>
      <c r="DR24" s="489">
        <v>5.0000000000000001E-4</v>
      </c>
      <c r="DS24" s="489">
        <v>5.0000000000000001E-4</v>
      </c>
      <c r="DT24" s="489">
        <v>5.0000000000000001E-4</v>
      </c>
      <c r="DU24" s="489">
        <v>5.0000000000000001E-4</v>
      </c>
      <c r="DV24" s="489">
        <v>5.0000000000000001E-4</v>
      </c>
      <c r="DW24" s="489">
        <v>5.0000000000000001E-4</v>
      </c>
      <c r="DX24" s="489">
        <v>5.0000000000000001E-4</v>
      </c>
      <c r="DY24" s="489">
        <v>5.0000000000000001E-4</v>
      </c>
      <c r="DZ24" s="489">
        <v>5.0000000000000001E-4</v>
      </c>
      <c r="EA24" s="489">
        <v>5.0000000000000001E-4</v>
      </c>
      <c r="EB24" s="489">
        <v>5.0000000000000001E-4</v>
      </c>
      <c r="EC24" s="489">
        <v>5.0000000000000001E-4</v>
      </c>
      <c r="ED24" s="489">
        <v>5.0000000000000001E-4</v>
      </c>
      <c r="EE24" s="489">
        <v>5.0000000000000001E-4</v>
      </c>
      <c r="EF24" s="489">
        <v>5.0000000000000001E-4</v>
      </c>
      <c r="EG24" s="489">
        <v>5.0000000000000001E-4</v>
      </c>
      <c r="EH24" s="489">
        <v>5.0000000000000001E-4</v>
      </c>
      <c r="EI24" s="489">
        <v>5.2999999999999998E-4</v>
      </c>
      <c r="EJ24" s="489">
        <v>5.2999999999999998E-4</v>
      </c>
      <c r="EK24" s="489">
        <v>5.2999999999999998E-4</v>
      </c>
      <c r="EL24" s="489">
        <v>5.2999999999999998E-4</v>
      </c>
      <c r="EM24" s="489">
        <v>5.2999999999999998E-4</v>
      </c>
      <c r="EN24" s="489">
        <v>5.2999999999999998E-4</v>
      </c>
      <c r="EO24" s="489">
        <v>5.2999999999999998E-4</v>
      </c>
      <c r="EP24" s="489">
        <v>5.2999999999999998E-4</v>
      </c>
      <c r="EQ24" s="489">
        <v>5.2999999999999998E-4</v>
      </c>
      <c r="ER24" s="489">
        <v>5.2999999999999998E-4</v>
      </c>
      <c r="ES24" s="489">
        <v>5.2999999999999998E-4</v>
      </c>
      <c r="ET24" s="489">
        <v>5.2999999999999998E-4</v>
      </c>
      <c r="EU24" s="489">
        <v>5.2999999999999998E-4</v>
      </c>
      <c r="EV24" s="489">
        <v>5.2999999999999998E-4</v>
      </c>
      <c r="EW24" s="489">
        <v>5.2999999999999998E-4</v>
      </c>
      <c r="EX24" s="489">
        <v>5.2999999999999998E-4</v>
      </c>
      <c r="EY24" s="489">
        <v>5.2999999999999998E-4</v>
      </c>
      <c r="EZ24" s="489">
        <v>5.2999999999999998E-4</v>
      </c>
      <c r="FA24" s="489">
        <v>5.2999999999999998E-4</v>
      </c>
      <c r="FB24" s="489">
        <v>5.2999999999999998E-4</v>
      </c>
      <c r="FC24" s="489">
        <v>5.2999999999999998E-4</v>
      </c>
      <c r="FD24" s="489">
        <v>5.2999999999999998E-4</v>
      </c>
      <c r="FE24" s="489">
        <v>5.2999999999999998E-4</v>
      </c>
      <c r="FF24" s="489">
        <v>5.2999999999999998E-4</v>
      </c>
      <c r="FG24" s="489">
        <v>5.2999999999999998E-4</v>
      </c>
      <c r="FH24" s="489">
        <v>5.2999999999999998E-4</v>
      </c>
      <c r="FI24" s="489">
        <v>5.2999999999999998E-4</v>
      </c>
      <c r="FJ24" s="489">
        <v>5.2999999999999998E-4</v>
      </c>
      <c r="FK24" s="489">
        <v>5.2999999999999998E-4</v>
      </c>
      <c r="FL24" s="489">
        <v>5.2999999999999998E-4</v>
      </c>
      <c r="FM24" s="489">
        <v>5.2999999999999998E-4</v>
      </c>
      <c r="FN24" s="489">
        <v>5.2999999999999998E-4</v>
      </c>
      <c r="FO24" s="489">
        <v>5.2999999999999998E-4</v>
      </c>
      <c r="FP24" s="489">
        <v>5.2999999999999998E-4</v>
      </c>
      <c r="FQ24" s="489">
        <v>5.2999999999999998E-4</v>
      </c>
      <c r="FR24" s="489">
        <v>5.2999999999999998E-4</v>
      </c>
      <c r="FS24" s="489">
        <v>5.2999999999999998E-4</v>
      </c>
      <c r="FT24" s="489">
        <v>5.2999999999999998E-4</v>
      </c>
      <c r="FU24" s="489">
        <v>5.2999999999999998E-4</v>
      </c>
      <c r="FV24" s="489">
        <v>5.2999999999999998E-4</v>
      </c>
      <c r="FW24" s="489">
        <v>5.2999999999999998E-4</v>
      </c>
      <c r="FX24" s="489">
        <v>5.0000000000000001E-4</v>
      </c>
      <c r="FY24" s="489">
        <v>5.0000000000000001E-4</v>
      </c>
      <c r="FZ24" s="489">
        <v>5.2999999999999998E-4</v>
      </c>
      <c r="GA24" s="489">
        <v>5.2999999999999998E-4</v>
      </c>
      <c r="GB24" s="489">
        <v>5.2999999999999998E-4</v>
      </c>
      <c r="GC24" s="489">
        <v>5.2999999999999998E-4</v>
      </c>
      <c r="GD24" s="489">
        <v>5.2999999999999998E-4</v>
      </c>
      <c r="GE24" s="489">
        <v>5.2999999999999998E-4</v>
      </c>
      <c r="GF24" s="489">
        <v>5.2999999999999998E-4</v>
      </c>
      <c r="GG24" s="489">
        <v>5.2999999999999998E-4</v>
      </c>
      <c r="GH24" s="489">
        <v>5.2999999999999998E-4</v>
      </c>
      <c r="GI24" s="489">
        <v>5.2999999999999998E-4</v>
      </c>
      <c r="GJ24" s="489">
        <v>5.2999999999999998E-4</v>
      </c>
      <c r="GK24" s="489">
        <v>5.2999999999999998E-4</v>
      </c>
      <c r="GL24" s="489">
        <v>5.2999999999999998E-4</v>
      </c>
      <c r="GM24" s="489">
        <v>5.2999999999999998E-4</v>
      </c>
      <c r="GN24" s="489">
        <v>5.2999999999999998E-4</v>
      </c>
      <c r="GO24" s="489">
        <v>5.2999999999999998E-4</v>
      </c>
      <c r="GP24" s="489">
        <v>5.2999999999999998E-4</v>
      </c>
      <c r="GQ24" s="489">
        <v>5.2999999999999998E-4</v>
      </c>
      <c r="GR24" s="489">
        <v>5.2999999999999998E-4</v>
      </c>
      <c r="GS24" s="489">
        <v>5.2999999999999998E-4</v>
      </c>
      <c r="GT24" s="489">
        <v>5.2999999999999998E-4</v>
      </c>
      <c r="GU24" s="489">
        <v>5.2999999999999998E-4</v>
      </c>
      <c r="GV24" s="489">
        <v>5.2999999999999998E-4</v>
      </c>
      <c r="GW24" s="489">
        <v>5.2999999999999998E-4</v>
      </c>
      <c r="GX24" s="489">
        <v>5.2999999999999998E-4</v>
      </c>
      <c r="GY24" s="489">
        <v>5.2999999999999998E-4</v>
      </c>
      <c r="GZ24" s="489">
        <v>5.2999999999999998E-4</v>
      </c>
      <c r="HA24" s="489">
        <v>5.2999999999999998E-4</v>
      </c>
      <c r="HB24" s="489">
        <v>5.2999999999999998E-4</v>
      </c>
      <c r="HC24" s="489">
        <v>5.2999999999999998E-4</v>
      </c>
      <c r="HD24" s="489">
        <v>5.2999999999999998E-4</v>
      </c>
      <c r="HE24" s="489">
        <v>5.2999999999999998E-4</v>
      </c>
      <c r="HF24" s="489">
        <v>5.2999999999999998E-4</v>
      </c>
      <c r="HG24" s="489">
        <v>5.2999999999999998E-4</v>
      </c>
      <c r="HH24" s="489">
        <v>5.2999999999999998E-4</v>
      </c>
      <c r="HI24" s="489">
        <v>5.2999999999999998E-4</v>
      </c>
      <c r="HJ24" s="489">
        <v>5.2999999999999998E-4</v>
      </c>
      <c r="HK24" s="489">
        <v>5.2999999999999998E-4</v>
      </c>
      <c r="HL24" s="489">
        <v>5.2999999999999998E-4</v>
      </c>
      <c r="HM24" s="489">
        <v>5.2999999999999998E-4</v>
      </c>
      <c r="HN24" s="489">
        <v>5.2999999999999998E-4</v>
      </c>
      <c r="HO24" s="489">
        <v>5.2999999999999998E-4</v>
      </c>
      <c r="HP24" s="473">
        <f t="shared" si="0"/>
        <v>0</v>
      </c>
      <c r="HQ24" s="1144"/>
    </row>
    <row r="25" spans="2:225">
      <c r="B25" s="764" t="s">
        <v>12</v>
      </c>
      <c r="C25" s="730" t="s">
        <v>229</v>
      </c>
      <c r="D25" s="846">
        <v>2.7699999999999999E-2</v>
      </c>
      <c r="E25" s="846">
        <v>2.7699999999999999E-2</v>
      </c>
      <c r="F25" s="846">
        <v>2.7199999999999998E-2</v>
      </c>
      <c r="G25" s="476">
        <v>2.7199999999999998E-2</v>
      </c>
      <c r="H25" s="493">
        <v>2.7699999999999999E-2</v>
      </c>
      <c r="I25" s="493">
        <v>2.7199999999999998E-2</v>
      </c>
      <c r="J25" s="476">
        <v>2.6700000000000002E-2</v>
      </c>
      <c r="K25" s="476">
        <v>2.6700000000000002E-2</v>
      </c>
      <c r="L25" s="493">
        <v>2.6700000000000002E-2</v>
      </c>
      <c r="M25" s="493">
        <v>2.7199999999999998E-2</v>
      </c>
      <c r="N25" s="493">
        <v>2.92E-2</v>
      </c>
      <c r="O25" s="493">
        <v>2.87E-2</v>
      </c>
      <c r="P25" s="493">
        <v>2.8199999999999999E-2</v>
      </c>
      <c r="Q25" s="493">
        <v>2.7699999999999999E-2</v>
      </c>
      <c r="R25" s="493">
        <v>2.87E-2</v>
      </c>
      <c r="S25" s="493">
        <v>2.9700000000000001E-2</v>
      </c>
      <c r="T25" s="476">
        <v>2.92E-2</v>
      </c>
      <c r="U25" s="493">
        <v>2.92E-2</v>
      </c>
      <c r="V25" s="493">
        <v>3.0200000000000001E-2</v>
      </c>
      <c r="W25" s="480">
        <v>3.0700000000000002E-2</v>
      </c>
      <c r="X25" s="481">
        <v>3.1199999999999999E-2</v>
      </c>
      <c r="Y25" s="481">
        <v>3.1199999999999999E-2</v>
      </c>
      <c r="Z25" s="480">
        <v>3.1199999999999999E-2</v>
      </c>
      <c r="AA25" s="481">
        <v>3.1699999999999999E-2</v>
      </c>
      <c r="AB25" s="480">
        <v>3.1699999999999999E-2</v>
      </c>
      <c r="AC25" s="481">
        <v>3.2199999999999999E-2</v>
      </c>
      <c r="AD25" s="480">
        <v>3.27E-2</v>
      </c>
      <c r="AE25" s="481">
        <v>3.3700000000000001E-2</v>
      </c>
      <c r="AF25" s="481">
        <v>3.3700000000000001E-2</v>
      </c>
      <c r="AG25" s="481">
        <v>3.3700000000000001E-2</v>
      </c>
      <c r="AH25" s="480">
        <v>3.3700000000000001E-2</v>
      </c>
      <c r="AI25" s="481">
        <v>3.4200000000000001E-2</v>
      </c>
      <c r="AJ25" s="481">
        <v>3.4200000000000001E-2</v>
      </c>
      <c r="AK25" s="481">
        <v>3.4200000000000001E-2</v>
      </c>
      <c r="AL25" s="482">
        <v>3.4200000000000001E-2</v>
      </c>
      <c r="AM25" s="481">
        <v>3.4200000000000001E-2</v>
      </c>
      <c r="AN25" s="481">
        <v>3.4200000000000001E-2</v>
      </c>
      <c r="AO25" s="481">
        <v>3.4200000000000001E-2</v>
      </c>
      <c r="AP25" s="481">
        <v>3.4200000000000001E-2</v>
      </c>
      <c r="AQ25" s="481">
        <v>3.4200000000000001E-2</v>
      </c>
      <c r="AR25" s="481">
        <v>3.4200000000000001E-2</v>
      </c>
      <c r="AS25" s="481">
        <v>3.4200000000000001E-2</v>
      </c>
      <c r="AT25" s="481">
        <v>3.4200000000000001E-2</v>
      </c>
      <c r="AU25" s="481">
        <v>3.4200000000000001E-2</v>
      </c>
      <c r="AV25" s="480">
        <v>3.4200000000000001E-2</v>
      </c>
      <c r="AW25" s="482">
        <v>3.4700000000000002E-2</v>
      </c>
      <c r="AX25" s="482">
        <v>3.4700000000000002E-2</v>
      </c>
      <c r="AY25" s="482">
        <v>3.4700000000000002E-2</v>
      </c>
      <c r="AZ25" s="482">
        <v>3.4700000000000002E-2</v>
      </c>
      <c r="BA25" s="482">
        <v>3.4700000000000002E-2</v>
      </c>
      <c r="BB25" s="482">
        <v>3.4700000000000002E-2</v>
      </c>
      <c r="BC25" s="482">
        <v>3.4700000000000002E-2</v>
      </c>
      <c r="BD25" s="482">
        <v>3.4700000000000002E-2</v>
      </c>
      <c r="BE25" s="482">
        <v>3.4700000000000002E-2</v>
      </c>
      <c r="BF25" s="482">
        <v>3.4700000000000002E-2</v>
      </c>
      <c r="BG25" s="482">
        <v>3.4700000000000002E-2</v>
      </c>
      <c r="BH25" s="482">
        <v>3.4700000000000002E-2</v>
      </c>
      <c r="BI25" s="482">
        <v>3.4700000000000002E-2</v>
      </c>
      <c r="BJ25" s="482">
        <v>3.4700000000000002E-2</v>
      </c>
      <c r="BK25" s="482">
        <v>3.4700000000000002E-2</v>
      </c>
      <c r="BL25" s="482">
        <v>3.6200000000000003E-2</v>
      </c>
      <c r="BM25" s="482">
        <v>3.6700000000000003E-2</v>
      </c>
      <c r="BN25" s="482">
        <v>3.7199999999999997E-2</v>
      </c>
      <c r="BO25" s="482">
        <v>3.7199999999999997E-2</v>
      </c>
      <c r="BP25" s="482">
        <v>3.85E-2</v>
      </c>
      <c r="BQ25" s="482">
        <v>3.85E-2</v>
      </c>
      <c r="BR25" s="482">
        <v>3.9E-2</v>
      </c>
      <c r="BS25" s="482">
        <v>3.9E-2</v>
      </c>
      <c r="BT25" s="482">
        <v>3.9699999999999999E-2</v>
      </c>
      <c r="BU25" s="482">
        <v>3.9699999999999999E-2</v>
      </c>
      <c r="BV25" s="482">
        <v>3.9699999999999999E-2</v>
      </c>
      <c r="BW25" s="482">
        <v>3.9699999999999999E-2</v>
      </c>
      <c r="BX25" s="482">
        <v>3.9E-2</v>
      </c>
      <c r="BY25" s="482">
        <v>3.8199999999999998E-2</v>
      </c>
      <c r="BZ25" s="482">
        <v>3.8199999999999998E-2</v>
      </c>
      <c r="CA25" s="482">
        <v>3.9300000000000002E-2</v>
      </c>
      <c r="CB25" s="482">
        <v>4.2099999999999999E-2</v>
      </c>
      <c r="CC25" s="482">
        <v>4.2900000000000001E-2</v>
      </c>
      <c r="CD25" s="482">
        <v>4.2200000000000001E-2</v>
      </c>
      <c r="CE25" s="482">
        <v>4.2799999999999998E-2</v>
      </c>
      <c r="CF25" s="482">
        <v>4.2999999999999997E-2</v>
      </c>
      <c r="CG25" s="482">
        <v>4.2900000000000001E-2</v>
      </c>
      <c r="CH25" s="482">
        <v>4.4400000000000002E-2</v>
      </c>
      <c r="CI25" s="482">
        <v>4.4400000000000002E-2</v>
      </c>
      <c r="CJ25" s="482">
        <v>4.4299999999999999E-2</v>
      </c>
      <c r="CK25" s="482">
        <v>4.4200000000000003E-2</v>
      </c>
      <c r="CL25" s="482">
        <v>4.4299999999999999E-2</v>
      </c>
      <c r="CM25" s="482">
        <v>4.4600000000000001E-2</v>
      </c>
      <c r="CN25" s="482">
        <v>4.4499999999999998E-2</v>
      </c>
      <c r="CO25" s="482">
        <v>4.4499999999999998E-2</v>
      </c>
      <c r="CP25" s="482">
        <v>4.4900000000000002E-2</v>
      </c>
      <c r="CQ25" s="482">
        <v>4.4900000000000002E-2</v>
      </c>
      <c r="CR25" s="482">
        <v>4.4900000000000002E-2</v>
      </c>
      <c r="CS25" s="482">
        <v>4.48E-2</v>
      </c>
      <c r="CT25" s="482">
        <v>4.3700000000000003E-2</v>
      </c>
      <c r="CU25" s="482">
        <v>4.3700000000000003E-2</v>
      </c>
      <c r="CV25" s="482">
        <v>4.3700000000000003E-2</v>
      </c>
      <c r="CW25" s="482">
        <v>4.3700000000000003E-2</v>
      </c>
      <c r="CX25" s="482">
        <v>4.3700000000000003E-2</v>
      </c>
      <c r="CY25" s="482">
        <v>4.53E-2</v>
      </c>
      <c r="CZ25" s="482">
        <v>4.4999999999999998E-2</v>
      </c>
      <c r="DA25" s="482">
        <v>4.4999999999999998E-2</v>
      </c>
      <c r="DB25" s="482">
        <v>4.36E-2</v>
      </c>
      <c r="DC25" s="482">
        <v>4.36E-2</v>
      </c>
      <c r="DD25" s="482">
        <v>4.36E-2</v>
      </c>
      <c r="DE25" s="484">
        <v>4.36E-2</v>
      </c>
      <c r="DF25" s="482">
        <v>4.3700000000000003E-2</v>
      </c>
      <c r="DG25" s="482">
        <v>4.3700000000000003E-2</v>
      </c>
      <c r="DH25" s="482">
        <v>4.3700000000000003E-2</v>
      </c>
      <c r="DI25" s="482">
        <v>4.3700000000000003E-2</v>
      </c>
      <c r="DJ25" s="482">
        <v>4.3700000000000003E-2</v>
      </c>
      <c r="DK25" s="482">
        <v>4.3700000000000003E-2</v>
      </c>
      <c r="DL25" s="482">
        <v>4.4299999999999999E-2</v>
      </c>
      <c r="DM25" s="483" t="s">
        <v>124</v>
      </c>
      <c r="DN25" s="483"/>
      <c r="DO25" s="483"/>
      <c r="DP25" s="483"/>
      <c r="DQ25" s="483"/>
      <c r="DR25" s="483"/>
      <c r="DS25" s="483"/>
      <c r="DT25" s="483"/>
      <c r="DU25" s="483"/>
      <c r="DV25" s="483"/>
      <c r="DW25" s="483"/>
      <c r="DX25" s="483"/>
      <c r="DY25" s="483"/>
      <c r="DZ25" s="483"/>
      <c r="EA25" s="483"/>
      <c r="EB25" s="483"/>
      <c r="EC25" s="483"/>
      <c r="ED25" s="483"/>
      <c r="EE25" s="483"/>
      <c r="EF25" s="483"/>
      <c r="EG25" s="483"/>
      <c r="EH25" s="483"/>
      <c r="EI25" s="483"/>
      <c r="EJ25" s="483"/>
      <c r="EK25" s="483"/>
      <c r="EL25" s="482"/>
      <c r="EM25" s="482"/>
      <c r="EN25" s="483"/>
      <c r="EO25" s="483"/>
      <c r="EP25" s="483"/>
      <c r="EQ25" s="483"/>
      <c r="ER25" s="483"/>
      <c r="ES25" s="483"/>
      <c r="ET25" s="483"/>
      <c r="EU25" s="483"/>
      <c r="EV25" s="483"/>
      <c r="EW25" s="483"/>
      <c r="EX25" s="483"/>
      <c r="EY25" s="483"/>
      <c r="EZ25" s="482"/>
      <c r="FA25" s="484"/>
      <c r="FB25" s="485"/>
      <c r="FC25" s="486"/>
      <c r="FD25" s="486"/>
      <c r="FE25" s="486"/>
      <c r="FF25" s="486"/>
      <c r="FG25" s="486"/>
      <c r="FH25" s="486"/>
      <c r="FI25" s="486"/>
      <c r="FJ25" s="486"/>
      <c r="FK25" s="486"/>
      <c r="FL25" s="486"/>
      <c r="FM25" s="486"/>
      <c r="FN25" s="486"/>
      <c r="FO25" s="486"/>
      <c r="FP25" s="486"/>
      <c r="FQ25" s="486"/>
      <c r="FR25" s="486"/>
      <c r="FS25" s="486"/>
      <c r="FT25" s="486"/>
      <c r="FU25" s="486"/>
      <c r="FV25" s="483"/>
      <c r="FW25" s="483"/>
      <c r="FX25" s="483"/>
      <c r="FY25" s="483"/>
      <c r="FZ25" s="483"/>
      <c r="GA25" s="483"/>
      <c r="GB25" s="483"/>
      <c r="GC25" s="483"/>
      <c r="GD25" s="486"/>
      <c r="GE25" s="486"/>
      <c r="GF25" s="486"/>
      <c r="GG25" s="486"/>
      <c r="GH25" s="486"/>
      <c r="GI25" s="486"/>
      <c r="GJ25" s="486"/>
      <c r="GK25" s="486"/>
      <c r="GL25" s="486"/>
      <c r="GM25" s="486"/>
      <c r="GN25" s="486"/>
      <c r="GO25" s="486"/>
      <c r="GP25" s="486"/>
      <c r="GQ25" s="486"/>
      <c r="GR25" s="486"/>
      <c r="GS25" s="486"/>
      <c r="GT25" s="486"/>
      <c r="GU25" s="486"/>
      <c r="GV25" s="486"/>
      <c r="GW25" s="486"/>
      <c r="GX25" s="486"/>
      <c r="GY25" s="486"/>
      <c r="GZ25" s="486"/>
      <c r="HA25" s="486"/>
      <c r="HB25" s="486"/>
      <c r="HC25" s="486"/>
      <c r="HD25" s="486"/>
      <c r="HE25" s="486"/>
      <c r="HF25" s="486"/>
      <c r="HG25" s="486"/>
      <c r="HH25" s="486"/>
      <c r="HI25" s="486"/>
      <c r="HJ25" s="486"/>
      <c r="HK25" s="486"/>
      <c r="HL25" s="486"/>
      <c r="HM25" s="486"/>
      <c r="HN25" s="486"/>
      <c r="HO25" s="486"/>
      <c r="HP25" s="473">
        <f t="shared" si="0"/>
        <v>0</v>
      </c>
      <c r="HQ25" s="490"/>
    </row>
    <row r="26" spans="2:225">
      <c r="B26" s="491"/>
      <c r="C26" s="491"/>
      <c r="D26" s="491"/>
      <c r="E26" s="491"/>
      <c r="F26" s="491"/>
      <c r="G26" s="491"/>
      <c r="H26" s="491"/>
      <c r="I26" s="491"/>
      <c r="J26" s="491"/>
      <c r="K26" s="491"/>
      <c r="L26" s="491"/>
      <c r="M26" s="491"/>
      <c r="N26" s="491"/>
      <c r="O26" s="491"/>
      <c r="P26" s="491"/>
      <c r="Q26" s="491"/>
      <c r="R26" s="491"/>
      <c r="S26" s="491"/>
      <c r="T26" s="492"/>
      <c r="U26" s="492"/>
      <c r="V26" s="492"/>
      <c r="W26" s="491"/>
      <c r="X26" s="491"/>
      <c r="Y26" s="491"/>
      <c r="Z26" s="491"/>
      <c r="AA26" s="491"/>
      <c r="AB26" s="491"/>
      <c r="AC26" s="491"/>
      <c r="AD26" s="491"/>
      <c r="AE26" s="491"/>
      <c r="AF26" s="491"/>
      <c r="AG26" s="491"/>
      <c r="AH26" s="491"/>
      <c r="AI26" s="491"/>
      <c r="AJ26" s="491"/>
      <c r="AK26" s="491"/>
      <c r="AL26" s="492"/>
      <c r="AM26" s="491"/>
      <c r="AN26" s="491"/>
      <c r="AO26" s="491"/>
      <c r="AP26" s="491"/>
      <c r="AQ26" s="491"/>
      <c r="AR26" s="491"/>
      <c r="AS26" s="491"/>
      <c r="AT26" s="491"/>
      <c r="AU26" s="491"/>
      <c r="AV26" s="492"/>
      <c r="AW26" s="492"/>
      <c r="AX26" s="492"/>
      <c r="AY26" s="492"/>
      <c r="AZ26" s="492"/>
      <c r="BA26" s="492"/>
      <c r="BB26" s="492"/>
      <c r="BC26" s="492"/>
      <c r="BD26" s="492"/>
      <c r="BE26" s="492"/>
      <c r="BF26" s="492"/>
      <c r="BG26" s="492"/>
      <c r="BH26" s="492"/>
      <c r="BI26" s="492"/>
      <c r="BJ26" s="492"/>
      <c r="BK26" s="492"/>
      <c r="BL26" s="492"/>
      <c r="BM26" s="492"/>
      <c r="BN26" s="492"/>
      <c r="BO26" s="492"/>
      <c r="BP26" s="492"/>
      <c r="BQ26" s="492"/>
      <c r="BR26" s="492"/>
      <c r="BS26" s="492"/>
      <c r="BT26" s="492"/>
      <c r="BU26" s="492"/>
      <c r="BV26" s="492"/>
      <c r="BW26" s="492"/>
      <c r="BX26" s="492"/>
      <c r="BY26" s="492"/>
      <c r="BZ26" s="492"/>
      <c r="CA26" s="492"/>
      <c r="CB26" s="492"/>
      <c r="CC26" s="492"/>
      <c r="CD26" s="492"/>
      <c r="CE26" s="492"/>
      <c r="CF26" s="492"/>
      <c r="CG26" s="492"/>
      <c r="CH26" s="492"/>
      <c r="CI26" s="492"/>
      <c r="CJ26" s="492"/>
      <c r="CK26" s="492"/>
      <c r="CL26" s="492"/>
      <c r="CM26" s="492"/>
      <c r="CN26" s="492"/>
      <c r="CO26" s="492"/>
      <c r="CP26" s="492"/>
      <c r="CQ26" s="492"/>
      <c r="CR26" s="492"/>
      <c r="CS26" s="492"/>
      <c r="CT26" s="492"/>
      <c r="CU26" s="492"/>
      <c r="CV26" s="492"/>
      <c r="CW26" s="492"/>
      <c r="CX26" s="492"/>
      <c r="CY26" s="492"/>
      <c r="CZ26" s="492"/>
      <c r="DA26" s="492"/>
      <c r="DB26" s="492"/>
      <c r="DC26" s="492"/>
      <c r="DD26" s="492"/>
      <c r="DE26" s="492"/>
      <c r="DF26" s="492"/>
      <c r="DG26" s="492"/>
      <c r="DH26" s="492"/>
      <c r="DI26" s="492"/>
      <c r="DJ26" s="492"/>
      <c r="DK26" s="492"/>
      <c r="DL26" s="492"/>
      <c r="DM26" s="492"/>
      <c r="DN26" s="492"/>
      <c r="DO26" s="492"/>
      <c r="DP26" s="492"/>
      <c r="DQ26" s="492"/>
      <c r="DR26" s="492"/>
      <c r="DS26" s="492"/>
      <c r="DT26" s="492"/>
      <c r="DU26" s="492"/>
      <c r="DV26" s="492"/>
      <c r="DW26" s="492"/>
      <c r="DX26" s="492"/>
      <c r="DY26" s="492"/>
      <c r="DZ26" s="492"/>
      <c r="EA26" s="492"/>
      <c r="EB26" s="492"/>
      <c r="EC26" s="492"/>
      <c r="ED26" s="492"/>
      <c r="EE26" s="492"/>
      <c r="EF26" s="492"/>
      <c r="EG26" s="492"/>
      <c r="EH26" s="492"/>
      <c r="EI26" s="492"/>
      <c r="EJ26" s="492"/>
      <c r="EK26" s="492"/>
      <c r="EL26" s="492"/>
      <c r="EM26" s="492"/>
      <c r="EN26" s="492"/>
      <c r="EO26" s="492"/>
      <c r="EP26" s="492"/>
      <c r="EQ26" s="492"/>
      <c r="ER26" s="492"/>
      <c r="ES26" s="492"/>
      <c r="ET26" s="492"/>
      <c r="EU26" s="492"/>
      <c r="EV26" s="492"/>
      <c r="EW26" s="492"/>
      <c r="EX26" s="492"/>
      <c r="EY26" s="492"/>
      <c r="EZ26" s="492"/>
      <c r="FA26" s="492"/>
      <c r="FB26" s="492"/>
      <c r="FC26" s="492"/>
      <c r="FD26" s="492"/>
      <c r="FE26" s="492"/>
      <c r="FF26" s="492"/>
      <c r="FG26" s="492"/>
      <c r="FH26" s="492"/>
      <c r="FI26" s="492"/>
      <c r="FJ26" s="492"/>
      <c r="FK26" s="492"/>
      <c r="FL26" s="492"/>
      <c r="FM26" s="492"/>
      <c r="FN26" s="492"/>
      <c r="FO26" s="492"/>
      <c r="FP26" s="492"/>
      <c r="FQ26" s="492"/>
      <c r="FR26" s="492"/>
      <c r="FS26" s="492"/>
      <c r="FT26" s="492"/>
      <c r="FU26" s="492"/>
      <c r="FV26" s="492"/>
      <c r="FW26" s="492"/>
      <c r="FX26" s="492"/>
      <c r="FY26" s="492"/>
      <c r="FZ26" s="492"/>
      <c r="GA26" s="492"/>
      <c r="GB26" s="492"/>
      <c r="GC26" s="492"/>
      <c r="GD26" s="492"/>
      <c r="GE26" s="492"/>
      <c r="GF26" s="492"/>
      <c r="GG26" s="492"/>
      <c r="GH26" s="492"/>
      <c r="GI26" s="492"/>
      <c r="GJ26" s="492"/>
      <c r="GK26" s="492"/>
      <c r="GL26" s="492"/>
      <c r="GM26" s="492"/>
      <c r="GN26" s="492"/>
      <c r="GO26" s="492"/>
      <c r="GP26" s="492"/>
      <c r="GQ26" s="492"/>
      <c r="GR26" s="492"/>
      <c r="GS26" s="492"/>
      <c r="GT26" s="492"/>
      <c r="GU26" s="492"/>
      <c r="GV26" s="492"/>
      <c r="GW26" s="492"/>
      <c r="GX26" s="492"/>
      <c r="GY26" s="492"/>
      <c r="GZ26" s="492"/>
      <c r="HA26" s="492"/>
      <c r="HB26" s="492"/>
      <c r="HC26" s="492"/>
      <c r="HD26" s="492"/>
      <c r="HE26" s="492"/>
      <c r="HF26" s="492"/>
      <c r="HG26" s="492"/>
      <c r="HH26" s="492"/>
      <c r="HI26" s="492"/>
      <c r="HJ26" s="492"/>
      <c r="HK26" s="492"/>
      <c r="HL26" s="492"/>
      <c r="HM26" s="492"/>
      <c r="HN26" s="492"/>
      <c r="HO26" s="492"/>
      <c r="HP26" s="492"/>
      <c r="HQ26" s="492"/>
    </row>
    <row r="27" spans="2:225">
      <c r="B27" s="1131" t="s">
        <v>213</v>
      </c>
      <c r="C27" s="1131"/>
      <c r="D27" s="1131"/>
      <c r="E27" s="1131"/>
      <c r="F27" s="1131"/>
      <c r="G27" s="1131"/>
      <c r="H27" s="1131"/>
      <c r="I27" s="1131"/>
      <c r="J27" s="1131"/>
      <c r="K27" s="1131"/>
      <c r="L27" s="1131"/>
      <c r="M27" s="1131"/>
      <c r="N27" s="1131"/>
      <c r="O27" s="1131"/>
      <c r="P27" s="1131"/>
      <c r="Q27" s="1131"/>
      <c r="R27" s="1131"/>
      <c r="S27" s="1131"/>
      <c r="T27" s="1131"/>
      <c r="U27" s="1131"/>
      <c r="V27" s="1131"/>
      <c r="W27" s="1131"/>
      <c r="X27" s="1131"/>
      <c r="Y27" s="1131"/>
      <c r="Z27" s="1131"/>
      <c r="AA27" s="1131"/>
      <c r="AB27" s="1131"/>
      <c r="AC27" s="1131"/>
      <c r="AD27" s="1131"/>
      <c r="AE27" s="1131"/>
      <c r="AF27" s="1131"/>
      <c r="AG27" s="1131"/>
      <c r="AH27" s="1131"/>
      <c r="AI27" s="1131"/>
      <c r="AJ27" s="1131"/>
      <c r="AK27" s="1131"/>
      <c r="AL27" s="1131"/>
      <c r="AM27" s="1131"/>
      <c r="AN27" s="1131"/>
      <c r="AO27" s="1131"/>
      <c r="AP27" s="1131"/>
      <c r="AQ27" s="1131"/>
      <c r="AR27" s="1131"/>
      <c r="AS27" s="1131"/>
      <c r="AT27" s="1131"/>
      <c r="AU27" s="1131"/>
      <c r="AV27" s="1131"/>
      <c r="AW27" s="1131"/>
      <c r="AX27" s="1131"/>
      <c r="AY27" s="1131"/>
      <c r="AZ27" s="1131"/>
      <c r="BA27" s="1131"/>
      <c r="BB27" s="1131"/>
      <c r="BC27" s="1131"/>
      <c r="BD27" s="1131"/>
      <c r="BE27" s="1131"/>
      <c r="BF27" s="1131"/>
      <c r="BG27" s="1131"/>
      <c r="BH27" s="1131"/>
      <c r="BI27" s="1131"/>
      <c r="BJ27" s="1131"/>
      <c r="BK27" s="1131"/>
      <c r="BL27" s="1131"/>
      <c r="BM27" s="1131"/>
      <c r="BN27" s="1131"/>
      <c r="BO27" s="1131"/>
      <c r="BP27" s="1131"/>
      <c r="BQ27" s="1131"/>
      <c r="BR27" s="1131"/>
      <c r="BS27" s="1131"/>
      <c r="BT27" s="1131"/>
      <c r="BU27" s="1131"/>
      <c r="BV27" s="1131"/>
      <c r="BW27" s="1131"/>
      <c r="BX27" s="1131"/>
      <c r="BY27" s="1131"/>
      <c r="BZ27" s="1131"/>
      <c r="CA27" s="1131"/>
      <c r="CB27" s="1131"/>
      <c r="CC27" s="1131"/>
      <c r="CD27" s="1131"/>
      <c r="CE27" s="1131"/>
      <c r="CF27" s="1131"/>
      <c r="CG27" s="1131"/>
      <c r="CH27" s="1131"/>
      <c r="CI27" s="1131"/>
      <c r="CJ27" s="1131"/>
      <c r="CK27" s="1131"/>
      <c r="CL27" s="1131"/>
      <c r="CM27" s="1131"/>
      <c r="CN27" s="1131"/>
      <c r="CO27" s="1131"/>
      <c r="CP27" s="1131"/>
      <c r="CQ27" s="1131"/>
      <c r="CR27" s="1131"/>
      <c r="CS27" s="1131"/>
      <c r="CT27" s="1131"/>
      <c r="CU27" s="1131"/>
      <c r="CV27" s="1131"/>
      <c r="CW27" s="1131"/>
      <c r="CX27" s="1131"/>
      <c r="CY27" s="1131"/>
      <c r="CZ27" s="1131"/>
      <c r="DA27" s="1131"/>
      <c r="DB27" s="1131"/>
      <c r="DC27" s="1131"/>
      <c r="DD27" s="1131"/>
      <c r="DE27" s="1131"/>
      <c r="DF27" s="1131"/>
      <c r="DG27" s="1131"/>
      <c r="DH27" s="1131"/>
      <c r="DI27" s="1131"/>
      <c r="DJ27" s="1131"/>
      <c r="DK27" s="1131"/>
      <c r="DL27" s="1131"/>
      <c r="DM27" s="1131"/>
      <c r="DN27" s="1131"/>
      <c r="DO27" s="1131"/>
      <c r="DP27" s="1131"/>
      <c r="DQ27" s="1131"/>
      <c r="DR27" s="1131"/>
      <c r="DS27" s="1131"/>
      <c r="DT27" s="1131"/>
      <c r="DU27" s="1131"/>
      <c r="DV27" s="1131"/>
      <c r="DW27" s="1131"/>
      <c r="DX27" s="1131"/>
      <c r="DY27" s="1131"/>
      <c r="DZ27" s="1131"/>
      <c r="EA27" s="1131"/>
      <c r="EB27" s="1131"/>
      <c r="EC27" s="1131"/>
      <c r="ED27" s="1131"/>
      <c r="EE27" s="1131"/>
      <c r="EF27" s="1131"/>
      <c r="EG27" s="1131"/>
      <c r="EH27" s="1131"/>
      <c r="EI27" s="1131"/>
      <c r="EJ27" s="1131"/>
      <c r="EK27" s="1131"/>
      <c r="EL27" s="1131"/>
      <c r="EM27" s="1131"/>
      <c r="EN27" s="1131"/>
      <c r="EO27" s="1131"/>
      <c r="EP27" s="1131"/>
      <c r="EQ27" s="1131"/>
      <c r="ER27" s="1131"/>
      <c r="ES27" s="1131"/>
      <c r="ET27" s="1131"/>
      <c r="EU27" s="1131"/>
      <c r="EV27" s="1131"/>
      <c r="EW27" s="1131"/>
      <c r="EX27" s="1131"/>
      <c r="EY27" s="1131"/>
      <c r="EZ27" s="1131"/>
      <c r="FA27" s="1131"/>
      <c r="FB27" s="1131"/>
      <c r="FC27" s="1131"/>
      <c r="FD27" s="1131"/>
      <c r="FE27" s="1131"/>
      <c r="FF27" s="1131"/>
      <c r="FG27" s="1131"/>
      <c r="FH27" s="1131"/>
      <c r="FI27" s="1131"/>
      <c r="FJ27" s="1131"/>
      <c r="FK27" s="1131"/>
      <c r="FL27" s="1131"/>
      <c r="FM27" s="1131"/>
      <c r="FN27" s="1131"/>
      <c r="FO27" s="1131"/>
      <c r="FP27" s="1131"/>
      <c r="FQ27" s="1131"/>
      <c r="FR27" s="1131"/>
      <c r="FS27" s="1131"/>
      <c r="FT27" s="1131"/>
      <c r="FU27" s="1131"/>
      <c r="FV27" s="1131"/>
      <c r="FW27" s="1131"/>
      <c r="FX27" s="1131"/>
      <c r="FY27" s="1131"/>
      <c r="FZ27" s="1131"/>
      <c r="GA27" s="1131"/>
      <c r="GB27" s="1131"/>
      <c r="GC27" s="1131"/>
      <c r="GD27" s="1131"/>
      <c r="GE27" s="1131"/>
      <c r="GF27" s="1131"/>
      <c r="GG27" s="1131"/>
      <c r="GH27" s="1131"/>
      <c r="GI27" s="1131"/>
      <c r="GJ27" s="1131"/>
      <c r="GK27" s="1131"/>
      <c r="GL27" s="1131"/>
      <c r="GM27" s="1131"/>
      <c r="GN27" s="1131"/>
      <c r="GO27" s="1131"/>
      <c r="GP27" s="1131"/>
      <c r="GQ27" s="1131"/>
      <c r="GR27" s="1131"/>
      <c r="GS27" s="1131"/>
      <c r="GT27" s="1131"/>
      <c r="GU27" s="1131"/>
      <c r="GV27" s="1131" t="s">
        <v>225</v>
      </c>
      <c r="GW27" s="1131"/>
      <c r="GX27" s="1131"/>
      <c r="GY27" s="1131"/>
      <c r="GZ27" s="1131"/>
      <c r="HA27" s="1131"/>
      <c r="HB27" s="1131"/>
      <c r="HC27" s="1131"/>
      <c r="HD27" s="1131"/>
      <c r="HE27" s="1131"/>
      <c r="HF27" s="1131"/>
      <c r="HG27" s="1131"/>
      <c r="HH27" s="1131"/>
      <c r="HI27" s="1131"/>
      <c r="HJ27" s="1131"/>
      <c r="HK27" s="1131"/>
      <c r="HL27" s="1131"/>
      <c r="HM27" s="1131"/>
      <c r="HN27" s="1131"/>
      <c r="HO27" s="1131"/>
      <c r="HP27" s="1131"/>
      <c r="HQ27" s="1131"/>
    </row>
    <row r="28" spans="2:225">
      <c r="B28" s="464" t="s">
        <v>121</v>
      </c>
      <c r="C28" s="464" t="s">
        <v>120</v>
      </c>
      <c r="D28" s="465">
        <f t="shared" ref="D28:F28" si="3">D3</f>
        <v>46099</v>
      </c>
      <c r="E28" s="465">
        <f t="shared" ref="E28" si="4">E3</f>
        <v>46092</v>
      </c>
      <c r="F28" s="465">
        <f t="shared" si="3"/>
        <v>46085</v>
      </c>
      <c r="G28" s="465">
        <f t="shared" ref="G28:O28" si="5">G3</f>
        <v>46078</v>
      </c>
      <c r="H28" s="465">
        <f t="shared" ref="H28" si="6">H3</f>
        <v>46071</v>
      </c>
      <c r="I28" s="465">
        <f>I3</f>
        <v>46057</v>
      </c>
      <c r="J28" s="465">
        <f t="shared" si="5"/>
        <v>46050</v>
      </c>
      <c r="K28" s="465">
        <f t="shared" si="5"/>
        <v>46043</v>
      </c>
      <c r="L28" s="465">
        <f t="shared" si="5"/>
        <v>46036</v>
      </c>
      <c r="M28" s="465">
        <f t="shared" si="5"/>
        <v>46029</v>
      </c>
      <c r="N28" s="465">
        <f t="shared" si="5"/>
        <v>46022</v>
      </c>
      <c r="O28" s="465">
        <f t="shared" si="5"/>
        <v>46015</v>
      </c>
      <c r="P28" s="465">
        <f t="shared" ref="P28:V28" si="7">P3</f>
        <v>46008</v>
      </c>
      <c r="Q28" s="465">
        <f>Q3</f>
        <v>46001</v>
      </c>
      <c r="R28" s="465">
        <f t="shared" si="7"/>
        <v>45994</v>
      </c>
      <c r="S28" s="465">
        <f t="shared" si="7"/>
        <v>45987</v>
      </c>
      <c r="T28" s="465">
        <f t="shared" si="7"/>
        <v>45980</v>
      </c>
      <c r="U28" s="465">
        <f t="shared" si="7"/>
        <v>45973</v>
      </c>
      <c r="V28" s="465">
        <f t="shared" si="7"/>
        <v>45966</v>
      </c>
      <c r="W28" s="465">
        <f t="shared" ref="W28:AF28" si="8">W3</f>
        <v>45959</v>
      </c>
      <c r="X28" s="465">
        <f>X3</f>
        <v>45952</v>
      </c>
      <c r="Y28" s="465">
        <f>Y3</f>
        <v>45945</v>
      </c>
      <c r="Z28" s="465">
        <f>Z3</f>
        <v>45938</v>
      </c>
      <c r="AA28" s="465">
        <f>AA3</f>
        <v>45931</v>
      </c>
      <c r="AB28" s="465">
        <f t="shared" si="8"/>
        <v>45924</v>
      </c>
      <c r="AC28" s="465">
        <f t="shared" si="8"/>
        <v>45917</v>
      </c>
      <c r="AD28" s="465">
        <f t="shared" si="8"/>
        <v>45910</v>
      </c>
      <c r="AE28" s="465">
        <f t="shared" si="8"/>
        <v>45903</v>
      </c>
      <c r="AF28" s="465">
        <f t="shared" si="8"/>
        <v>45896</v>
      </c>
      <c r="AG28" s="465">
        <f t="shared" ref="AG28:CR28" si="9">AG3</f>
        <v>45889</v>
      </c>
      <c r="AH28" s="465">
        <f t="shared" si="9"/>
        <v>45882</v>
      </c>
      <c r="AI28" s="465">
        <f t="shared" si="9"/>
        <v>45875</v>
      </c>
      <c r="AJ28" s="465">
        <f t="shared" si="9"/>
        <v>45868</v>
      </c>
      <c r="AK28" s="465">
        <f t="shared" si="9"/>
        <v>45861</v>
      </c>
      <c r="AL28" s="465">
        <f t="shared" si="9"/>
        <v>45854</v>
      </c>
      <c r="AM28" s="465">
        <f t="shared" si="9"/>
        <v>45847</v>
      </c>
      <c r="AN28" s="465">
        <f t="shared" si="9"/>
        <v>45840</v>
      </c>
      <c r="AO28" s="465">
        <f t="shared" si="9"/>
        <v>45833</v>
      </c>
      <c r="AP28" s="465">
        <f t="shared" si="9"/>
        <v>45826</v>
      </c>
      <c r="AQ28" s="465">
        <f t="shared" si="9"/>
        <v>45819</v>
      </c>
      <c r="AR28" s="465">
        <f t="shared" si="9"/>
        <v>45812</v>
      </c>
      <c r="AS28" s="465">
        <f t="shared" si="9"/>
        <v>45805</v>
      </c>
      <c r="AT28" s="465">
        <f t="shared" si="9"/>
        <v>45798</v>
      </c>
      <c r="AU28" s="465">
        <f t="shared" si="9"/>
        <v>45792</v>
      </c>
      <c r="AV28" s="465">
        <f t="shared" si="9"/>
        <v>38480</v>
      </c>
      <c r="AW28" s="465">
        <f t="shared" si="9"/>
        <v>45777</v>
      </c>
      <c r="AX28" s="465">
        <f t="shared" si="9"/>
        <v>45757</v>
      </c>
      <c r="AY28" s="465">
        <f t="shared" si="9"/>
        <v>45750</v>
      </c>
      <c r="AZ28" s="465">
        <f t="shared" si="9"/>
        <v>45742</v>
      </c>
      <c r="BA28" s="465">
        <f t="shared" si="9"/>
        <v>45736</v>
      </c>
      <c r="BB28" s="465">
        <f t="shared" si="9"/>
        <v>45729</v>
      </c>
      <c r="BC28" s="465">
        <f t="shared" si="9"/>
        <v>45722</v>
      </c>
      <c r="BD28" s="465">
        <f t="shared" si="9"/>
        <v>45715</v>
      </c>
      <c r="BE28" s="465">
        <f t="shared" si="9"/>
        <v>45708</v>
      </c>
      <c r="BF28" s="465">
        <f t="shared" si="9"/>
        <v>45701</v>
      </c>
      <c r="BG28" s="465">
        <f t="shared" si="9"/>
        <v>46092</v>
      </c>
      <c r="BH28" s="465">
        <f t="shared" si="9"/>
        <v>45688</v>
      </c>
      <c r="BI28" s="465">
        <f t="shared" si="9"/>
        <v>45681</v>
      </c>
      <c r="BJ28" s="465">
        <f t="shared" si="9"/>
        <v>45673</v>
      </c>
      <c r="BK28" s="465">
        <f t="shared" si="9"/>
        <v>45666</v>
      </c>
      <c r="BL28" s="465">
        <f t="shared" si="9"/>
        <v>45659</v>
      </c>
      <c r="BM28" s="465">
        <f t="shared" si="9"/>
        <v>45652</v>
      </c>
      <c r="BN28" s="465">
        <f t="shared" si="9"/>
        <v>45645</v>
      </c>
      <c r="BO28" s="465">
        <f t="shared" si="9"/>
        <v>45638</v>
      </c>
      <c r="BP28" s="465">
        <f t="shared" si="9"/>
        <v>45631</v>
      </c>
      <c r="BQ28" s="465">
        <f t="shared" si="9"/>
        <v>45625</v>
      </c>
      <c r="BR28" s="465">
        <f t="shared" si="9"/>
        <v>45617</v>
      </c>
      <c r="BS28" s="465">
        <f t="shared" si="9"/>
        <v>45610</v>
      </c>
      <c r="BT28" s="465">
        <f t="shared" si="9"/>
        <v>45603</v>
      </c>
      <c r="BU28" s="465">
        <f t="shared" si="9"/>
        <v>45595</v>
      </c>
      <c r="BV28" s="465">
        <f t="shared" si="9"/>
        <v>45591</v>
      </c>
      <c r="BW28" s="465">
        <f t="shared" si="9"/>
        <v>45582</v>
      </c>
      <c r="BX28" s="465">
        <f t="shared" si="9"/>
        <v>45575</v>
      </c>
      <c r="BY28" s="465">
        <f t="shared" si="9"/>
        <v>45568</v>
      </c>
      <c r="BZ28" s="465">
        <f t="shared" si="9"/>
        <v>45561</v>
      </c>
      <c r="CA28" s="465">
        <f t="shared" si="9"/>
        <v>45554</v>
      </c>
      <c r="CB28" s="465">
        <f t="shared" si="9"/>
        <v>45547</v>
      </c>
      <c r="CC28" s="465">
        <f t="shared" si="9"/>
        <v>45540</v>
      </c>
      <c r="CD28" s="465">
        <f t="shared" si="9"/>
        <v>45533</v>
      </c>
      <c r="CE28" s="465">
        <f t="shared" si="9"/>
        <v>45526</v>
      </c>
      <c r="CF28" s="465">
        <f t="shared" si="9"/>
        <v>45517</v>
      </c>
      <c r="CG28" s="465">
        <f t="shared" si="9"/>
        <v>45511</v>
      </c>
      <c r="CH28" s="465">
        <f t="shared" si="9"/>
        <v>45505</v>
      </c>
      <c r="CI28" s="465">
        <f t="shared" si="9"/>
        <v>45498</v>
      </c>
      <c r="CJ28" s="465">
        <f t="shared" si="9"/>
        <v>45492</v>
      </c>
      <c r="CK28" s="465">
        <f t="shared" si="9"/>
        <v>45484</v>
      </c>
      <c r="CL28" s="465">
        <f t="shared" si="9"/>
        <v>45477</v>
      </c>
      <c r="CM28" s="465">
        <f t="shared" si="9"/>
        <v>45470</v>
      </c>
      <c r="CN28" s="465">
        <f t="shared" si="9"/>
        <v>45463</v>
      </c>
      <c r="CO28" s="465">
        <f t="shared" si="9"/>
        <v>45456</v>
      </c>
      <c r="CP28" s="465">
        <f t="shared" si="9"/>
        <v>45449</v>
      </c>
      <c r="CQ28" s="465">
        <f t="shared" si="9"/>
        <v>45442</v>
      </c>
      <c r="CR28" s="465">
        <f t="shared" si="9"/>
        <v>45435</v>
      </c>
      <c r="CS28" s="465">
        <f t="shared" ref="CS28:FD28" si="10">CS3</f>
        <v>45428</v>
      </c>
      <c r="CT28" s="465">
        <f t="shared" si="10"/>
        <v>45421</v>
      </c>
      <c r="CU28" s="465">
        <f t="shared" si="10"/>
        <v>45414</v>
      </c>
      <c r="CV28" s="465">
        <f t="shared" si="10"/>
        <v>45407</v>
      </c>
      <c r="CW28" s="465">
        <f t="shared" si="10"/>
        <v>45400</v>
      </c>
      <c r="CX28" s="465">
        <f t="shared" si="10"/>
        <v>45393</v>
      </c>
      <c r="CY28" s="465">
        <f t="shared" si="10"/>
        <v>45386</v>
      </c>
      <c r="CZ28" s="465">
        <f t="shared" si="10"/>
        <v>45378</v>
      </c>
      <c r="DA28" s="465">
        <f t="shared" si="10"/>
        <v>45372</v>
      </c>
      <c r="DB28" s="465">
        <f t="shared" si="10"/>
        <v>45365</v>
      </c>
      <c r="DC28" s="465">
        <f t="shared" si="10"/>
        <v>45358</v>
      </c>
      <c r="DD28" s="465">
        <f t="shared" si="10"/>
        <v>45351</v>
      </c>
      <c r="DE28" s="465">
        <f t="shared" si="10"/>
        <v>45343</v>
      </c>
      <c r="DF28" s="465">
        <f t="shared" si="10"/>
        <v>45336</v>
      </c>
      <c r="DG28" s="465">
        <f t="shared" si="10"/>
        <v>45329</v>
      </c>
      <c r="DH28" s="465">
        <f t="shared" si="10"/>
        <v>45323</v>
      </c>
      <c r="DI28" s="465">
        <f t="shared" si="10"/>
        <v>45316</v>
      </c>
      <c r="DJ28" s="465">
        <f t="shared" si="10"/>
        <v>45309</v>
      </c>
      <c r="DK28" s="465">
        <f t="shared" si="10"/>
        <v>45302</v>
      </c>
      <c r="DL28" s="465">
        <f t="shared" si="10"/>
        <v>45295</v>
      </c>
      <c r="DM28" s="465">
        <f t="shared" si="10"/>
        <v>45288</v>
      </c>
      <c r="DN28" s="465">
        <f t="shared" si="10"/>
        <v>45281</v>
      </c>
      <c r="DO28" s="465">
        <f t="shared" si="10"/>
        <v>45274</v>
      </c>
      <c r="DP28" s="465">
        <f t="shared" si="10"/>
        <v>45267</v>
      </c>
      <c r="DQ28" s="465">
        <f t="shared" si="10"/>
        <v>45260</v>
      </c>
      <c r="DR28" s="465">
        <f t="shared" si="10"/>
        <v>45253</v>
      </c>
      <c r="DS28" s="465">
        <f t="shared" si="10"/>
        <v>45246</v>
      </c>
      <c r="DT28" s="465">
        <f t="shared" si="10"/>
        <v>45239</v>
      </c>
      <c r="DU28" s="465">
        <f t="shared" si="10"/>
        <v>45232</v>
      </c>
      <c r="DV28" s="465">
        <f t="shared" si="10"/>
        <v>45225</v>
      </c>
      <c r="DW28" s="465">
        <f t="shared" si="10"/>
        <v>45218</v>
      </c>
      <c r="DX28" s="465">
        <f t="shared" si="10"/>
        <v>45211</v>
      </c>
      <c r="DY28" s="465">
        <f t="shared" si="10"/>
        <v>45197</v>
      </c>
      <c r="DZ28" s="465">
        <f t="shared" si="10"/>
        <v>45190</v>
      </c>
      <c r="EA28" s="465">
        <f t="shared" si="10"/>
        <v>45183</v>
      </c>
      <c r="EB28" s="465">
        <f t="shared" si="10"/>
        <v>45176</v>
      </c>
      <c r="EC28" s="465">
        <f t="shared" si="10"/>
        <v>45168</v>
      </c>
      <c r="ED28" s="465">
        <f t="shared" si="10"/>
        <v>45162</v>
      </c>
      <c r="EE28" s="465">
        <f t="shared" si="10"/>
        <v>45155</v>
      </c>
      <c r="EF28" s="465">
        <f t="shared" si="10"/>
        <v>45148</v>
      </c>
      <c r="EG28" s="465">
        <f t="shared" si="10"/>
        <v>45141</v>
      </c>
      <c r="EH28" s="465">
        <f t="shared" si="10"/>
        <v>45134</v>
      </c>
      <c r="EI28" s="465">
        <f t="shared" si="10"/>
        <v>44839</v>
      </c>
      <c r="EJ28" s="465">
        <f t="shared" si="10"/>
        <v>44831</v>
      </c>
      <c r="EK28" s="465">
        <f t="shared" si="10"/>
        <v>44826</v>
      </c>
      <c r="EL28" s="465">
        <f t="shared" si="10"/>
        <v>44818</v>
      </c>
      <c r="EM28" s="465">
        <f t="shared" si="10"/>
        <v>44811</v>
      </c>
      <c r="EN28" s="465">
        <f t="shared" si="10"/>
        <v>45070</v>
      </c>
      <c r="EO28" s="465">
        <f t="shared" si="10"/>
        <v>45063</v>
      </c>
      <c r="EP28" s="465">
        <f t="shared" si="10"/>
        <v>45056</v>
      </c>
      <c r="EQ28" s="465">
        <f t="shared" si="10"/>
        <v>45050</v>
      </c>
      <c r="ER28" s="465">
        <f t="shared" si="10"/>
        <v>45042</v>
      </c>
      <c r="ES28" s="465">
        <f t="shared" si="10"/>
        <v>45035</v>
      </c>
      <c r="ET28" s="465">
        <f t="shared" si="10"/>
        <v>45028</v>
      </c>
      <c r="EU28" s="465">
        <f t="shared" si="10"/>
        <v>45020</v>
      </c>
      <c r="EV28" s="465">
        <f t="shared" si="10"/>
        <v>45014</v>
      </c>
      <c r="EW28" s="465">
        <f t="shared" si="10"/>
        <v>45008</v>
      </c>
      <c r="EX28" s="465">
        <f t="shared" si="10"/>
        <v>45002</v>
      </c>
      <c r="EY28" s="465">
        <f t="shared" si="10"/>
        <v>45000</v>
      </c>
      <c r="EZ28" s="465">
        <f t="shared" si="10"/>
        <v>44993</v>
      </c>
      <c r="FA28" s="465">
        <f t="shared" si="10"/>
        <v>44986</v>
      </c>
      <c r="FB28" s="465">
        <f t="shared" si="10"/>
        <v>44979</v>
      </c>
      <c r="FC28" s="465">
        <f t="shared" si="10"/>
        <v>44972</v>
      </c>
      <c r="FD28" s="465">
        <f t="shared" si="10"/>
        <v>44965</v>
      </c>
      <c r="FE28" s="465">
        <f t="shared" ref="FE28:HO28" si="11">FE3</f>
        <v>44958</v>
      </c>
      <c r="FF28" s="465">
        <f t="shared" si="11"/>
        <v>44951</v>
      </c>
      <c r="FG28" s="465">
        <f t="shared" si="11"/>
        <v>44944</v>
      </c>
      <c r="FH28" s="465">
        <f t="shared" si="11"/>
        <v>44937</v>
      </c>
      <c r="FI28" s="465">
        <f t="shared" si="11"/>
        <v>44930</v>
      </c>
      <c r="FJ28" s="465">
        <f t="shared" si="11"/>
        <v>44923</v>
      </c>
      <c r="FK28" s="465">
        <f t="shared" si="11"/>
        <v>44916</v>
      </c>
      <c r="FL28" s="465">
        <f t="shared" si="11"/>
        <v>44910</v>
      </c>
      <c r="FM28" s="465">
        <f t="shared" si="11"/>
        <v>44902</v>
      </c>
      <c r="FN28" s="465">
        <f t="shared" si="11"/>
        <v>44896</v>
      </c>
      <c r="FO28" s="465">
        <f t="shared" si="11"/>
        <v>44888</v>
      </c>
      <c r="FP28" s="465">
        <f t="shared" si="11"/>
        <v>44881</v>
      </c>
      <c r="FQ28" s="465">
        <f t="shared" si="11"/>
        <v>44874</v>
      </c>
      <c r="FR28" s="465">
        <f t="shared" si="11"/>
        <v>44868</v>
      </c>
      <c r="FS28" s="465">
        <f t="shared" si="11"/>
        <v>44860</v>
      </c>
      <c r="FT28" s="465">
        <f t="shared" si="11"/>
        <v>44853</v>
      </c>
      <c r="FU28" s="465">
        <f t="shared" si="11"/>
        <v>44846</v>
      </c>
      <c r="FV28" s="465">
        <f t="shared" si="11"/>
        <v>45085</v>
      </c>
      <c r="FW28" s="465">
        <f t="shared" si="11"/>
        <v>45076</v>
      </c>
      <c r="FX28" s="465">
        <f t="shared" si="11"/>
        <v>45127</v>
      </c>
      <c r="FY28" s="465">
        <f t="shared" si="11"/>
        <v>45120</v>
      </c>
      <c r="FZ28" s="465">
        <f t="shared" si="11"/>
        <v>45113</v>
      </c>
      <c r="GA28" s="465">
        <f t="shared" si="11"/>
        <v>45105</v>
      </c>
      <c r="GB28" s="465">
        <f t="shared" si="11"/>
        <v>45099</v>
      </c>
      <c r="GC28" s="465">
        <f t="shared" si="11"/>
        <v>45092</v>
      </c>
      <c r="GD28" s="465">
        <f t="shared" si="11"/>
        <v>44803</v>
      </c>
      <c r="GE28" s="465">
        <f t="shared" si="11"/>
        <v>44797</v>
      </c>
      <c r="GF28" s="465">
        <f t="shared" si="11"/>
        <v>44790</v>
      </c>
      <c r="GG28" s="465">
        <f t="shared" si="11"/>
        <v>44783</v>
      </c>
      <c r="GH28" s="465">
        <f t="shared" si="11"/>
        <v>44776</v>
      </c>
      <c r="GI28" s="465">
        <f t="shared" si="11"/>
        <v>44769</v>
      </c>
      <c r="GJ28" s="465">
        <f t="shared" si="11"/>
        <v>44762</v>
      </c>
      <c r="GK28" s="465">
        <f t="shared" si="11"/>
        <v>44755</v>
      </c>
      <c r="GL28" s="465">
        <f t="shared" si="11"/>
        <v>44748</v>
      </c>
      <c r="GM28" s="465">
        <f t="shared" si="11"/>
        <v>44741</v>
      </c>
      <c r="GN28" s="465">
        <f t="shared" si="11"/>
        <v>44733</v>
      </c>
      <c r="GO28" s="465">
        <f t="shared" si="11"/>
        <v>44727</v>
      </c>
      <c r="GP28" s="465">
        <f t="shared" si="11"/>
        <v>44720</v>
      </c>
      <c r="GQ28" s="465">
        <f t="shared" si="11"/>
        <v>44713</v>
      </c>
      <c r="GR28" s="465">
        <f t="shared" si="11"/>
        <v>44706</v>
      </c>
      <c r="GS28" s="465">
        <f t="shared" si="11"/>
        <v>44699</v>
      </c>
      <c r="GT28" s="465">
        <f t="shared" si="11"/>
        <v>44690</v>
      </c>
      <c r="GU28" s="465">
        <f t="shared" si="11"/>
        <v>44687</v>
      </c>
      <c r="GV28" s="465">
        <f t="shared" si="11"/>
        <v>44685</v>
      </c>
      <c r="GW28" s="465">
        <f t="shared" si="11"/>
        <v>44678</v>
      </c>
      <c r="GX28" s="465">
        <f t="shared" si="11"/>
        <v>44670</v>
      </c>
      <c r="GY28" s="465">
        <f t="shared" si="11"/>
        <v>44663</v>
      </c>
      <c r="GZ28" s="465">
        <f t="shared" si="11"/>
        <v>44662</v>
      </c>
      <c r="HA28" s="465">
        <f t="shared" si="11"/>
        <v>44659</v>
      </c>
      <c r="HB28" s="465">
        <f t="shared" si="11"/>
        <v>44657</v>
      </c>
      <c r="HC28" s="465">
        <f t="shared" si="11"/>
        <v>44656</v>
      </c>
      <c r="HD28" s="465">
        <f t="shared" si="11"/>
        <v>44655</v>
      </c>
      <c r="HE28" s="465">
        <f t="shared" si="11"/>
        <v>44652</v>
      </c>
      <c r="HF28" s="465">
        <f t="shared" si="11"/>
        <v>44650</v>
      </c>
      <c r="HG28" s="465">
        <f t="shared" si="11"/>
        <v>44649</v>
      </c>
      <c r="HH28" s="465">
        <f t="shared" si="11"/>
        <v>44648</v>
      </c>
      <c r="HI28" s="465">
        <f t="shared" si="11"/>
        <v>44645</v>
      </c>
      <c r="HJ28" s="465">
        <f t="shared" si="11"/>
        <v>44644</v>
      </c>
      <c r="HK28" s="465">
        <f t="shared" si="11"/>
        <v>44642</v>
      </c>
      <c r="HL28" s="465">
        <f t="shared" si="11"/>
        <v>44641</v>
      </c>
      <c r="HM28" s="465">
        <f t="shared" si="11"/>
        <v>44638</v>
      </c>
      <c r="HN28" s="465">
        <f t="shared" si="11"/>
        <v>44637</v>
      </c>
      <c r="HO28" s="465">
        <f t="shared" si="11"/>
        <v>44636</v>
      </c>
      <c r="HP28" s="468" t="s">
        <v>113</v>
      </c>
      <c r="HQ28" s="469" t="s">
        <v>223</v>
      </c>
    </row>
    <row r="29" spans="2:225">
      <c r="B29" s="1129" t="s">
        <v>37</v>
      </c>
      <c r="C29" s="730" t="s">
        <v>256</v>
      </c>
      <c r="D29" s="476">
        <v>2.9499999999999998E-2</v>
      </c>
      <c r="E29" s="476">
        <v>2.9499999999999998E-2</v>
      </c>
      <c r="F29" s="476">
        <v>2.9499999999999998E-2</v>
      </c>
      <c r="G29" s="476">
        <v>2.9499999999999998E-2</v>
      </c>
      <c r="H29" s="493">
        <v>2.9499999999999998E-2</v>
      </c>
      <c r="I29" s="476">
        <v>0.03</v>
      </c>
      <c r="J29" s="476">
        <v>0.03</v>
      </c>
      <c r="K29" s="476">
        <v>0.03</v>
      </c>
      <c r="L29" s="476">
        <v>0.03</v>
      </c>
      <c r="M29" s="476">
        <v>0.03</v>
      </c>
      <c r="N29" s="476">
        <v>0.03</v>
      </c>
      <c r="O29" s="476">
        <v>0.03</v>
      </c>
      <c r="P29" s="476">
        <v>0.03</v>
      </c>
      <c r="Q29" s="493">
        <v>0.03</v>
      </c>
      <c r="R29" s="493">
        <v>3.15E-2</v>
      </c>
      <c r="S29" s="476">
        <v>3.2000000000000001E-2</v>
      </c>
      <c r="T29" s="477">
        <v>3.2000000000000001E-2</v>
      </c>
      <c r="U29" s="477">
        <v>3.2000000000000001E-2</v>
      </c>
      <c r="V29" s="493">
        <v>3.2000000000000001E-2</v>
      </c>
      <c r="W29" s="493">
        <v>3.1E-2</v>
      </c>
      <c r="X29" s="493">
        <v>3.2500000000000001E-2</v>
      </c>
      <c r="Y29" s="476">
        <v>3.3000000000000002E-2</v>
      </c>
      <c r="Z29" s="476">
        <v>3.3000000000000002E-2</v>
      </c>
      <c r="AA29" s="476">
        <v>3.3000000000000002E-2</v>
      </c>
      <c r="AB29" s="493">
        <v>3.3000000000000002E-2</v>
      </c>
      <c r="AC29" s="493">
        <v>3.3500000000000002E-2</v>
      </c>
      <c r="AD29" s="476">
        <v>3.5000000000000003E-2</v>
      </c>
      <c r="AE29" s="493">
        <v>3.5000000000000003E-2</v>
      </c>
      <c r="AF29" s="493">
        <v>3.5499999999999997E-2</v>
      </c>
      <c r="AG29" s="476">
        <v>3.5999999999999997E-2</v>
      </c>
      <c r="AH29" s="476">
        <v>3.5999999999999997E-2</v>
      </c>
      <c r="AI29" s="493">
        <v>3.5999999999999997E-2</v>
      </c>
      <c r="AJ29" s="476">
        <v>3.6499999999999998E-2</v>
      </c>
      <c r="AK29" s="476">
        <v>3.6499999999999998E-2</v>
      </c>
      <c r="AL29" s="477">
        <v>3.6499999999999998E-2</v>
      </c>
      <c r="AM29" s="476">
        <v>3.6499999999999998E-2</v>
      </c>
      <c r="AN29" s="476">
        <v>3.6499999999999998E-2</v>
      </c>
      <c r="AO29" s="476">
        <v>3.6499999999999998E-2</v>
      </c>
      <c r="AP29" s="476">
        <v>3.6499999999999998E-2</v>
      </c>
      <c r="AQ29" s="476">
        <v>3.6499999999999998E-2</v>
      </c>
      <c r="AR29" s="476">
        <v>3.6499999999999998E-2</v>
      </c>
      <c r="AS29" s="476">
        <v>3.6499999999999998E-2</v>
      </c>
      <c r="AT29" s="476">
        <v>3.6499999999999998E-2</v>
      </c>
      <c r="AU29" s="476">
        <v>3.6499999999999998E-2</v>
      </c>
      <c r="AV29" s="477">
        <v>3.6499999999999998E-2</v>
      </c>
      <c r="AW29" s="477">
        <v>3.6499999999999998E-2</v>
      </c>
      <c r="AX29" s="477">
        <v>3.6499999999999998E-2</v>
      </c>
      <c r="AY29" s="477">
        <v>3.6499999999999998E-2</v>
      </c>
      <c r="AZ29" s="477">
        <v>3.6499999999999998E-2</v>
      </c>
      <c r="BA29" s="477">
        <v>3.6499999999999998E-2</v>
      </c>
      <c r="BB29" s="477">
        <v>3.6499999999999998E-2</v>
      </c>
      <c r="BC29" s="477">
        <v>3.6499999999999998E-2</v>
      </c>
      <c r="BD29" s="477">
        <v>3.6499999999999998E-2</v>
      </c>
      <c r="BE29" s="477">
        <v>3.6499999999999998E-2</v>
      </c>
      <c r="BF29" s="477">
        <v>3.6499999999999998E-2</v>
      </c>
      <c r="BG29" s="477">
        <v>3.6499999999999998E-2</v>
      </c>
      <c r="BH29" s="477">
        <v>3.6999999999999998E-2</v>
      </c>
      <c r="BI29" s="477">
        <v>3.6999999999999998E-2</v>
      </c>
      <c r="BJ29" s="477">
        <v>3.6999999999999998E-2</v>
      </c>
      <c r="BK29" s="477">
        <v>3.6999999999999998E-2</v>
      </c>
      <c r="BL29" s="477">
        <v>3.6999999999999998E-2</v>
      </c>
      <c r="BM29" s="477">
        <v>3.6999999999999998E-2</v>
      </c>
      <c r="BN29" s="477">
        <v>3.6999999999999998E-2</v>
      </c>
      <c r="BO29" s="477">
        <v>3.85E-2</v>
      </c>
      <c r="BP29" s="477">
        <v>3.85E-2</v>
      </c>
      <c r="BQ29" s="477">
        <v>3.85E-2</v>
      </c>
      <c r="BR29" s="477">
        <v>3.9E-2</v>
      </c>
      <c r="BS29" s="477">
        <v>3.9E-2</v>
      </c>
      <c r="BT29" s="477">
        <v>3.9E-2</v>
      </c>
      <c r="BU29" s="477">
        <v>0.04</v>
      </c>
      <c r="BV29" s="477">
        <v>4.0500000000000001E-2</v>
      </c>
      <c r="BW29" s="477">
        <v>4.0500000000000001E-2</v>
      </c>
      <c r="BX29" s="477">
        <v>4.0500000000000001E-2</v>
      </c>
      <c r="BY29" s="477">
        <v>4.0500000000000001E-2</v>
      </c>
      <c r="BZ29" s="477">
        <v>4.0500000000000001E-2</v>
      </c>
      <c r="CA29" s="477">
        <v>4.0500000000000001E-2</v>
      </c>
      <c r="CB29" s="477">
        <v>4.4999999999999998E-2</v>
      </c>
      <c r="CC29" s="477">
        <v>4.4999999999999998E-2</v>
      </c>
      <c r="CD29" s="477">
        <v>4.5499999999999999E-2</v>
      </c>
      <c r="CE29" s="477">
        <v>4.5999999999999999E-2</v>
      </c>
      <c r="CF29" s="477">
        <v>4.5999999999999999E-2</v>
      </c>
      <c r="CG29" s="477">
        <v>4.5999999999999999E-2</v>
      </c>
      <c r="CH29" s="477">
        <v>4.5999999999999999E-2</v>
      </c>
      <c r="CI29" s="477">
        <v>4.5999999999999999E-2</v>
      </c>
      <c r="CJ29" s="477">
        <v>4.5999999999999999E-2</v>
      </c>
      <c r="CK29" s="477">
        <v>4.5999999999999999E-2</v>
      </c>
      <c r="CL29" s="477">
        <v>4.5999999999999999E-2</v>
      </c>
      <c r="CM29" s="477">
        <v>4.5999999999999999E-2</v>
      </c>
      <c r="CN29" s="477">
        <v>4.5999999999999999E-2</v>
      </c>
      <c r="CO29" s="477">
        <v>4.5999999999999999E-2</v>
      </c>
      <c r="CP29" s="477">
        <v>4.5999999999999999E-2</v>
      </c>
      <c r="CQ29" s="477">
        <v>4.5999999999999999E-2</v>
      </c>
      <c r="CR29" s="477">
        <v>4.5999999999999999E-2</v>
      </c>
      <c r="CS29" s="477">
        <v>4.5999999999999999E-2</v>
      </c>
      <c r="CT29" s="477">
        <v>4.5999999999999999E-2</v>
      </c>
      <c r="CU29" s="477">
        <v>4.5999999999999999E-2</v>
      </c>
      <c r="CV29" s="477">
        <v>4.5999999999999999E-2</v>
      </c>
      <c r="CW29" s="477">
        <v>4.5999999999999999E-2</v>
      </c>
      <c r="CX29" s="477">
        <v>4.5999999999999999E-2</v>
      </c>
      <c r="CY29" s="477">
        <v>4.5999999999999999E-2</v>
      </c>
      <c r="CZ29" s="477">
        <v>4.5999999999999999E-2</v>
      </c>
      <c r="DA29" s="477">
        <v>4.5999999999999999E-2</v>
      </c>
      <c r="DB29" s="477">
        <v>4.5999999999999999E-2</v>
      </c>
      <c r="DC29" s="477">
        <v>4.5999999999999999E-2</v>
      </c>
      <c r="DD29" s="477">
        <v>4.5999999999999999E-2</v>
      </c>
      <c r="DE29" s="477">
        <v>4.5999999999999999E-2</v>
      </c>
      <c r="DF29" s="477">
        <v>4.5999999999999999E-2</v>
      </c>
      <c r="DG29" s="477">
        <v>4.5999999999999999E-2</v>
      </c>
      <c r="DH29" s="477">
        <v>4.5999999999999999E-2</v>
      </c>
      <c r="DI29" s="477">
        <v>4.5999999999999999E-2</v>
      </c>
      <c r="DJ29" s="477">
        <v>4.5999999999999999E-2</v>
      </c>
      <c r="DK29" s="477">
        <v>4.5999999999999999E-2</v>
      </c>
      <c r="DL29" s="477">
        <v>4.5999999999999999E-2</v>
      </c>
      <c r="DM29" s="477">
        <v>4.65E-2</v>
      </c>
      <c r="DN29" s="477">
        <v>4.65E-2</v>
      </c>
      <c r="DO29" s="477">
        <v>4.65E-2</v>
      </c>
      <c r="DP29" s="477">
        <v>4.65E-2</v>
      </c>
      <c r="DQ29" s="477">
        <v>4.5999999999999999E-2</v>
      </c>
      <c r="DR29" s="477">
        <v>4.5999999999999999E-2</v>
      </c>
      <c r="DS29" s="477">
        <v>4.5999999999999999E-2</v>
      </c>
      <c r="DT29" s="477">
        <v>4.5999999999999999E-2</v>
      </c>
      <c r="DU29" s="477">
        <v>4.5999999999999999E-2</v>
      </c>
      <c r="DV29" s="477">
        <v>4.5999999999999999E-2</v>
      </c>
      <c r="DW29" s="477">
        <v>4.5999999999999999E-2</v>
      </c>
      <c r="DX29" s="477">
        <v>4.5999999999999999E-2</v>
      </c>
      <c r="DY29" s="477">
        <v>4.5499999999999999E-2</v>
      </c>
      <c r="DZ29" s="477">
        <v>4.5499999999999999E-2</v>
      </c>
      <c r="EA29" s="477">
        <v>4.5499999999999999E-2</v>
      </c>
      <c r="EB29" s="477">
        <v>4.5499999999999999E-2</v>
      </c>
      <c r="EC29" s="477">
        <v>4.5499999999999999E-2</v>
      </c>
      <c r="ED29" s="477">
        <v>4.5499999999999999E-2</v>
      </c>
      <c r="EE29" s="477">
        <v>4.5499999999999999E-2</v>
      </c>
      <c r="EF29" s="477">
        <v>4.5499999999999999E-2</v>
      </c>
      <c r="EG29" s="477">
        <v>4.5499999999999999E-2</v>
      </c>
      <c r="EH29" s="477">
        <v>4.4999999999999998E-2</v>
      </c>
      <c r="EI29" s="477">
        <v>2.4500000000000001E-2</v>
      </c>
      <c r="EJ29" s="477">
        <v>2.4E-2</v>
      </c>
      <c r="EK29" s="477">
        <v>2.4E-2</v>
      </c>
      <c r="EL29" s="477">
        <v>2.1000000000000001E-2</v>
      </c>
      <c r="EM29" s="477">
        <v>0.02</v>
      </c>
      <c r="EN29" s="477">
        <v>4.2500000000000003E-2</v>
      </c>
      <c r="EO29" s="477">
        <v>4.2500000000000003E-2</v>
      </c>
      <c r="EP29" s="477">
        <v>4.2000000000000003E-2</v>
      </c>
      <c r="EQ29" s="477">
        <v>4.2000000000000003E-2</v>
      </c>
      <c r="ER29" s="477">
        <v>4.1500000000000002E-2</v>
      </c>
      <c r="ES29" s="477">
        <v>4.0500000000000001E-2</v>
      </c>
      <c r="ET29" s="477">
        <v>0.04</v>
      </c>
      <c r="EU29" s="477">
        <v>0.04</v>
      </c>
      <c r="EV29" s="477">
        <v>0.04</v>
      </c>
      <c r="EW29" s="477">
        <v>0.04</v>
      </c>
      <c r="EX29" s="477">
        <v>3.95E-2</v>
      </c>
      <c r="EY29" s="477">
        <v>3.95E-2</v>
      </c>
      <c r="EZ29" s="477">
        <v>3.85E-2</v>
      </c>
      <c r="FA29" s="477">
        <v>3.7499999999999999E-2</v>
      </c>
      <c r="FB29" s="477">
        <v>3.7499999999999999E-2</v>
      </c>
      <c r="FC29" s="477">
        <v>3.7499999999999999E-2</v>
      </c>
      <c r="FD29" s="477">
        <v>3.7499999999999999E-2</v>
      </c>
      <c r="FE29" s="477">
        <v>3.7499999999999999E-2</v>
      </c>
      <c r="FF29" s="477">
        <v>3.5999999999999997E-2</v>
      </c>
      <c r="FG29" s="477">
        <v>3.5999999999999997E-2</v>
      </c>
      <c r="FH29" s="477">
        <v>3.5499999999999997E-2</v>
      </c>
      <c r="FI29" s="477">
        <v>3.5499999999999997E-2</v>
      </c>
      <c r="FJ29" s="477">
        <v>3.5499999999999997E-2</v>
      </c>
      <c r="FK29" s="477">
        <v>3.5499999999999997E-2</v>
      </c>
      <c r="FL29" s="477">
        <v>3.5000000000000003E-2</v>
      </c>
      <c r="FM29" s="477">
        <v>3.3500000000000002E-2</v>
      </c>
      <c r="FN29" s="477">
        <v>3.3000000000000002E-2</v>
      </c>
      <c r="FO29" s="477">
        <v>3.15E-2</v>
      </c>
      <c r="FP29" s="477">
        <v>3.1E-2</v>
      </c>
      <c r="FQ29" s="477">
        <v>3.0499999999999999E-2</v>
      </c>
      <c r="FR29" s="477">
        <v>0.03</v>
      </c>
      <c r="FS29" s="477">
        <v>2.8500000000000001E-2</v>
      </c>
      <c r="FT29" s="477">
        <v>2.75E-2</v>
      </c>
      <c r="FU29" s="477">
        <v>2.5999999999999999E-2</v>
      </c>
      <c r="FV29" s="477">
        <v>4.3499999999999997E-2</v>
      </c>
      <c r="FW29" s="477">
        <v>4.2999999999999997E-2</v>
      </c>
      <c r="FX29" s="477">
        <v>4.4499999999999998E-2</v>
      </c>
      <c r="FY29" s="477">
        <v>4.3499999999999997E-2</v>
      </c>
      <c r="FZ29" s="477">
        <v>4.2999999999999997E-2</v>
      </c>
      <c r="GA29" s="477">
        <v>4.2999999999999997E-2</v>
      </c>
      <c r="GB29" s="477">
        <v>4.2999999999999997E-2</v>
      </c>
      <c r="GC29" s="477">
        <v>4.3499999999999997E-2</v>
      </c>
      <c r="GD29" s="477">
        <v>2.4E-2</v>
      </c>
      <c r="GE29" s="477">
        <v>2.4E-2</v>
      </c>
      <c r="GF29" s="477">
        <v>2.4E-2</v>
      </c>
      <c r="GG29" s="477">
        <v>2.4E-2</v>
      </c>
      <c r="GH29" s="477">
        <v>2.4E-2</v>
      </c>
      <c r="GI29" s="477">
        <v>2.4E-2</v>
      </c>
      <c r="GJ29" s="477">
        <v>2.4E-2</v>
      </c>
      <c r="GK29" s="477">
        <v>2.4E-2</v>
      </c>
      <c r="GL29" s="477">
        <v>2.4E-2</v>
      </c>
      <c r="GM29" s="477">
        <v>2.4E-2</v>
      </c>
      <c r="GN29" s="477">
        <v>2.4E-2</v>
      </c>
      <c r="GO29" s="477">
        <v>2.4E-2</v>
      </c>
      <c r="GP29" s="477">
        <v>2.4E-2</v>
      </c>
      <c r="GQ29" s="477">
        <v>2.4E-2</v>
      </c>
      <c r="GR29" s="477">
        <v>2.4E-2</v>
      </c>
      <c r="GS29" s="477">
        <v>2.4E-2</v>
      </c>
      <c r="GT29" s="477">
        <v>2.4E-2</v>
      </c>
      <c r="GU29" s="477">
        <v>2.4E-2</v>
      </c>
      <c r="GV29" s="477">
        <v>2.4E-2</v>
      </c>
      <c r="GW29" s="477">
        <v>2.4E-2</v>
      </c>
      <c r="GX29" s="477">
        <v>2.4E-2</v>
      </c>
      <c r="GY29" s="477">
        <v>2.4E-2</v>
      </c>
      <c r="GZ29" s="477">
        <v>2.4E-2</v>
      </c>
      <c r="HA29" s="477">
        <v>2.4E-2</v>
      </c>
      <c r="HB29" s="477">
        <v>2.4E-2</v>
      </c>
      <c r="HC29" s="477">
        <v>2.4E-2</v>
      </c>
      <c r="HD29" s="477">
        <v>2.4E-2</v>
      </c>
      <c r="HE29" s="477">
        <v>2.4E-2</v>
      </c>
      <c r="HF29" s="477">
        <v>2.4E-2</v>
      </c>
      <c r="HG29" s="477">
        <v>2.4E-2</v>
      </c>
      <c r="HH29" s="477">
        <v>2.4E-2</v>
      </c>
      <c r="HI29" s="477">
        <v>2.4E-2</v>
      </c>
      <c r="HJ29" s="477">
        <v>2.4E-2</v>
      </c>
      <c r="HK29" s="477">
        <v>2.4E-2</v>
      </c>
      <c r="HL29" s="477">
        <v>2.4E-2</v>
      </c>
      <c r="HM29" s="477">
        <v>2.4E-2</v>
      </c>
      <c r="HN29" s="477">
        <v>2.4E-2</v>
      </c>
      <c r="HO29" s="477">
        <v>2.4E-2</v>
      </c>
      <c r="HP29" s="473">
        <f t="shared" ref="HP29:HP72" si="12">D29-E29</f>
        <v>0</v>
      </c>
      <c r="HQ29" s="1135"/>
    </row>
    <row r="30" spans="2:225">
      <c r="B30" s="1129"/>
      <c r="C30" s="730" t="s">
        <v>255</v>
      </c>
      <c r="D30" s="476">
        <v>0.03</v>
      </c>
      <c r="E30" s="476">
        <v>0.03</v>
      </c>
      <c r="F30" s="476">
        <v>0.03</v>
      </c>
      <c r="G30" s="476">
        <v>0.03</v>
      </c>
      <c r="H30" s="493">
        <v>0.03</v>
      </c>
      <c r="I30" s="476">
        <v>3.0499999999999999E-2</v>
      </c>
      <c r="J30" s="476">
        <v>3.0499999999999999E-2</v>
      </c>
      <c r="K30" s="476">
        <v>3.0499999999999999E-2</v>
      </c>
      <c r="L30" s="476">
        <v>3.0499999999999999E-2</v>
      </c>
      <c r="M30" s="476">
        <v>3.0499999999999999E-2</v>
      </c>
      <c r="N30" s="476">
        <v>3.0499999999999999E-2</v>
      </c>
      <c r="O30" s="476">
        <v>3.0499999999999999E-2</v>
      </c>
      <c r="P30" s="476">
        <v>3.0499999999999999E-2</v>
      </c>
      <c r="Q30" s="493">
        <v>3.0499999999999999E-2</v>
      </c>
      <c r="R30" s="493">
        <v>3.2000000000000001E-2</v>
      </c>
      <c r="S30" s="476">
        <v>3.2500000000000001E-2</v>
      </c>
      <c r="T30" s="477">
        <v>3.2500000000000001E-2</v>
      </c>
      <c r="U30" s="477">
        <v>3.2500000000000001E-2</v>
      </c>
      <c r="V30" s="493">
        <v>3.2500000000000001E-2</v>
      </c>
      <c r="W30" s="493">
        <v>3.15E-2</v>
      </c>
      <c r="X30" s="493">
        <v>3.3000000000000002E-2</v>
      </c>
      <c r="Y30" s="476">
        <v>3.3500000000000002E-2</v>
      </c>
      <c r="Z30" s="476">
        <v>3.3500000000000002E-2</v>
      </c>
      <c r="AA30" s="476">
        <v>3.3500000000000002E-2</v>
      </c>
      <c r="AB30" s="493">
        <v>3.3500000000000002E-2</v>
      </c>
      <c r="AC30" s="493">
        <v>3.4000000000000002E-2</v>
      </c>
      <c r="AD30" s="476">
        <v>3.5499999999999997E-2</v>
      </c>
      <c r="AE30" s="493">
        <v>3.5499999999999997E-2</v>
      </c>
      <c r="AF30" s="493">
        <v>3.5999999999999997E-2</v>
      </c>
      <c r="AG30" s="476">
        <v>3.6499999999999998E-2</v>
      </c>
      <c r="AH30" s="476">
        <v>3.6499999999999998E-2</v>
      </c>
      <c r="AI30" s="493">
        <v>3.6499999999999998E-2</v>
      </c>
      <c r="AJ30" s="476">
        <v>3.6999999999999998E-2</v>
      </c>
      <c r="AK30" s="476">
        <v>3.6999999999999998E-2</v>
      </c>
      <c r="AL30" s="477">
        <v>3.6999999999999998E-2</v>
      </c>
      <c r="AM30" s="476">
        <v>3.6999999999999998E-2</v>
      </c>
      <c r="AN30" s="476">
        <v>3.6999999999999998E-2</v>
      </c>
      <c r="AO30" s="476">
        <v>3.6999999999999998E-2</v>
      </c>
      <c r="AP30" s="476">
        <v>3.6999999999999998E-2</v>
      </c>
      <c r="AQ30" s="476">
        <v>3.6999999999999998E-2</v>
      </c>
      <c r="AR30" s="476">
        <v>3.6999999999999998E-2</v>
      </c>
      <c r="AS30" s="476">
        <v>3.6999999999999998E-2</v>
      </c>
      <c r="AT30" s="476">
        <v>3.6999999999999998E-2</v>
      </c>
      <c r="AU30" s="476">
        <v>3.6999999999999998E-2</v>
      </c>
      <c r="AV30" s="477">
        <v>3.6999999999999998E-2</v>
      </c>
      <c r="AW30" s="477">
        <v>3.6999999999999998E-2</v>
      </c>
      <c r="AX30" s="477">
        <v>3.6999999999999998E-2</v>
      </c>
      <c r="AY30" s="477">
        <v>3.6999999999999998E-2</v>
      </c>
      <c r="AZ30" s="477">
        <v>3.6999999999999998E-2</v>
      </c>
      <c r="BA30" s="477">
        <v>3.6999999999999998E-2</v>
      </c>
      <c r="BB30" s="477">
        <v>3.6999999999999998E-2</v>
      </c>
      <c r="BC30" s="477">
        <v>3.6999999999999998E-2</v>
      </c>
      <c r="BD30" s="477">
        <v>3.6999999999999998E-2</v>
      </c>
      <c r="BE30" s="477">
        <v>3.6999999999999998E-2</v>
      </c>
      <c r="BF30" s="477">
        <v>3.6999999999999998E-2</v>
      </c>
      <c r="BG30" s="477">
        <v>3.6999999999999998E-2</v>
      </c>
      <c r="BH30" s="477">
        <v>3.7499999999999999E-2</v>
      </c>
      <c r="BI30" s="477">
        <v>3.7499999999999999E-2</v>
      </c>
      <c r="BJ30" s="477">
        <v>3.7499999999999999E-2</v>
      </c>
      <c r="BK30" s="477">
        <v>3.7499999999999999E-2</v>
      </c>
      <c r="BL30" s="477">
        <v>3.7499999999999999E-2</v>
      </c>
      <c r="BM30" s="477">
        <v>3.7499999999999999E-2</v>
      </c>
      <c r="BN30" s="477">
        <v>3.7499999999999999E-2</v>
      </c>
      <c r="BO30" s="477">
        <v>3.9E-2</v>
      </c>
      <c r="BP30" s="477">
        <v>3.9E-2</v>
      </c>
      <c r="BQ30" s="477">
        <v>3.9E-2</v>
      </c>
      <c r="BR30" s="477">
        <v>3.95E-2</v>
      </c>
      <c r="BS30" s="477">
        <v>3.95E-2</v>
      </c>
      <c r="BT30" s="477">
        <v>3.95E-2</v>
      </c>
      <c r="BU30" s="477">
        <v>4.0500000000000001E-2</v>
      </c>
      <c r="BV30" s="477">
        <v>4.1000000000000002E-2</v>
      </c>
      <c r="BW30" s="477">
        <v>4.1000000000000002E-2</v>
      </c>
      <c r="BX30" s="477">
        <v>4.1000000000000002E-2</v>
      </c>
      <c r="BY30" s="477">
        <v>4.1000000000000002E-2</v>
      </c>
      <c r="BZ30" s="477">
        <v>4.1000000000000002E-2</v>
      </c>
      <c r="CA30" s="477">
        <v>4.1000000000000002E-2</v>
      </c>
      <c r="CB30" s="477">
        <v>4.5499999999999999E-2</v>
      </c>
      <c r="CC30" s="477">
        <v>4.5499999999999999E-2</v>
      </c>
      <c r="CD30" s="477">
        <v>4.5999999999999999E-2</v>
      </c>
      <c r="CE30" s="477">
        <v>4.65E-2</v>
      </c>
      <c r="CF30" s="477">
        <v>4.65E-2</v>
      </c>
      <c r="CG30" s="477">
        <v>4.65E-2</v>
      </c>
      <c r="CH30" s="477">
        <v>4.65E-2</v>
      </c>
      <c r="CI30" s="477">
        <v>4.65E-2</v>
      </c>
      <c r="CJ30" s="477">
        <v>4.65E-2</v>
      </c>
      <c r="CK30" s="477">
        <v>4.65E-2</v>
      </c>
      <c r="CL30" s="477">
        <v>4.65E-2</v>
      </c>
      <c r="CM30" s="477">
        <v>4.65E-2</v>
      </c>
      <c r="CN30" s="477">
        <v>4.65E-2</v>
      </c>
      <c r="CO30" s="477">
        <v>4.65E-2</v>
      </c>
      <c r="CP30" s="477">
        <v>4.65E-2</v>
      </c>
      <c r="CQ30" s="477">
        <v>4.65E-2</v>
      </c>
      <c r="CR30" s="477">
        <v>4.65E-2</v>
      </c>
      <c r="CS30" s="477">
        <v>4.65E-2</v>
      </c>
      <c r="CT30" s="477">
        <v>4.65E-2</v>
      </c>
      <c r="CU30" s="477">
        <v>4.65E-2</v>
      </c>
      <c r="CV30" s="477">
        <v>4.65E-2</v>
      </c>
      <c r="CW30" s="477">
        <v>4.65E-2</v>
      </c>
      <c r="CX30" s="477">
        <v>4.65E-2</v>
      </c>
      <c r="CY30" s="477">
        <v>4.65E-2</v>
      </c>
      <c r="CZ30" s="477">
        <v>4.65E-2</v>
      </c>
      <c r="DA30" s="477">
        <v>4.65E-2</v>
      </c>
      <c r="DB30" s="477">
        <v>4.65E-2</v>
      </c>
      <c r="DC30" s="477">
        <v>4.65E-2</v>
      </c>
      <c r="DD30" s="477">
        <v>4.65E-2</v>
      </c>
      <c r="DE30" s="477">
        <v>4.65E-2</v>
      </c>
      <c r="DF30" s="477">
        <v>4.65E-2</v>
      </c>
      <c r="DG30" s="477">
        <v>4.65E-2</v>
      </c>
      <c r="DH30" s="477">
        <v>4.65E-2</v>
      </c>
      <c r="DI30" s="477">
        <v>4.65E-2</v>
      </c>
      <c r="DJ30" s="477">
        <v>4.65E-2</v>
      </c>
      <c r="DK30" s="477">
        <v>4.65E-2</v>
      </c>
      <c r="DL30" s="477">
        <v>4.65E-2</v>
      </c>
      <c r="DM30" s="477">
        <v>4.7E-2</v>
      </c>
      <c r="DN30" s="477">
        <v>4.7E-2</v>
      </c>
      <c r="DO30" s="477">
        <v>4.7E-2</v>
      </c>
      <c r="DP30" s="477">
        <v>4.7E-2</v>
      </c>
      <c r="DQ30" s="477">
        <v>4.65E-2</v>
      </c>
      <c r="DR30" s="477">
        <v>4.65E-2</v>
      </c>
      <c r="DS30" s="477">
        <v>4.65E-2</v>
      </c>
      <c r="DT30" s="477">
        <v>4.65E-2</v>
      </c>
      <c r="DU30" s="477">
        <v>4.65E-2</v>
      </c>
      <c r="DV30" s="477">
        <v>4.65E-2</v>
      </c>
      <c r="DW30" s="477">
        <v>4.65E-2</v>
      </c>
      <c r="DX30" s="477">
        <v>4.65E-2</v>
      </c>
      <c r="DY30" s="477">
        <v>4.5999999999999999E-2</v>
      </c>
      <c r="DZ30" s="477">
        <v>4.5999999999999999E-2</v>
      </c>
      <c r="EA30" s="477">
        <v>4.5999999999999999E-2</v>
      </c>
      <c r="EB30" s="477">
        <v>4.5999999999999999E-2</v>
      </c>
      <c r="EC30" s="477">
        <v>4.5999999999999999E-2</v>
      </c>
      <c r="ED30" s="477">
        <v>4.5999999999999999E-2</v>
      </c>
      <c r="EE30" s="477">
        <v>4.5999999999999999E-2</v>
      </c>
      <c r="EF30" s="477">
        <v>4.5999999999999999E-2</v>
      </c>
      <c r="EG30" s="477">
        <v>4.5999999999999999E-2</v>
      </c>
      <c r="EH30" s="477">
        <v>4.5499999999999999E-2</v>
      </c>
      <c r="EI30" s="477">
        <v>2.5499999999999998E-2</v>
      </c>
      <c r="EJ30" s="477">
        <v>2.5000000000000001E-2</v>
      </c>
      <c r="EK30" s="477">
        <v>2.5000000000000001E-2</v>
      </c>
      <c r="EL30" s="477">
        <v>2.1999999999999999E-2</v>
      </c>
      <c r="EM30" s="477">
        <v>2.1000000000000001E-2</v>
      </c>
      <c r="EN30" s="477">
        <v>4.2999999999999997E-2</v>
      </c>
      <c r="EO30" s="477">
        <v>4.2999999999999997E-2</v>
      </c>
      <c r="EP30" s="477">
        <v>4.2500000000000003E-2</v>
      </c>
      <c r="EQ30" s="477">
        <v>4.2500000000000003E-2</v>
      </c>
      <c r="ER30" s="477">
        <v>4.2000000000000003E-2</v>
      </c>
      <c r="ES30" s="477">
        <v>4.1000000000000002E-2</v>
      </c>
      <c r="ET30" s="477">
        <v>4.0500000000000001E-2</v>
      </c>
      <c r="EU30" s="477">
        <v>4.0500000000000001E-2</v>
      </c>
      <c r="EV30" s="477">
        <v>4.0500000000000001E-2</v>
      </c>
      <c r="EW30" s="477">
        <v>4.0500000000000001E-2</v>
      </c>
      <c r="EX30" s="477">
        <v>0.04</v>
      </c>
      <c r="EY30" s="477">
        <v>0.04</v>
      </c>
      <c r="EZ30" s="477">
        <v>3.9E-2</v>
      </c>
      <c r="FA30" s="477">
        <v>3.7999999999999999E-2</v>
      </c>
      <c r="FB30" s="477">
        <v>3.7999999999999999E-2</v>
      </c>
      <c r="FC30" s="477">
        <v>3.7999999999999999E-2</v>
      </c>
      <c r="FD30" s="477">
        <v>3.7999999999999999E-2</v>
      </c>
      <c r="FE30" s="477">
        <v>3.7999999999999999E-2</v>
      </c>
      <c r="FF30" s="477">
        <v>3.6499999999999998E-2</v>
      </c>
      <c r="FG30" s="477">
        <v>3.6499999999999998E-2</v>
      </c>
      <c r="FH30" s="477">
        <v>3.5999999999999997E-2</v>
      </c>
      <c r="FI30" s="477">
        <v>3.5999999999999997E-2</v>
      </c>
      <c r="FJ30" s="477">
        <v>3.5999999999999997E-2</v>
      </c>
      <c r="FK30" s="477">
        <v>3.5999999999999997E-2</v>
      </c>
      <c r="FL30" s="477">
        <v>3.5499999999999997E-2</v>
      </c>
      <c r="FM30" s="477">
        <v>3.4000000000000002E-2</v>
      </c>
      <c r="FN30" s="477">
        <v>3.3500000000000002E-2</v>
      </c>
      <c r="FO30" s="477">
        <v>3.2000000000000001E-2</v>
      </c>
      <c r="FP30" s="477">
        <v>3.15E-2</v>
      </c>
      <c r="FQ30" s="477">
        <v>3.1E-2</v>
      </c>
      <c r="FR30" s="477">
        <v>3.0499999999999999E-2</v>
      </c>
      <c r="FS30" s="477">
        <v>2.9499999999999998E-2</v>
      </c>
      <c r="FT30" s="477">
        <v>2.8500000000000001E-2</v>
      </c>
      <c r="FU30" s="477">
        <v>2.7E-2</v>
      </c>
      <c r="FV30" s="477">
        <v>4.3999999999999997E-2</v>
      </c>
      <c r="FW30" s="477">
        <v>4.3499999999999997E-2</v>
      </c>
      <c r="FX30" s="477">
        <v>4.4999999999999998E-2</v>
      </c>
      <c r="FY30" s="477">
        <v>4.3999999999999997E-2</v>
      </c>
      <c r="FZ30" s="477">
        <v>4.3499999999999997E-2</v>
      </c>
      <c r="GA30" s="477">
        <v>4.3499999999999997E-2</v>
      </c>
      <c r="GB30" s="477">
        <v>4.3499999999999997E-2</v>
      </c>
      <c r="GC30" s="477">
        <v>4.3999999999999997E-2</v>
      </c>
      <c r="GD30" s="477">
        <v>2.5000000000000001E-2</v>
      </c>
      <c r="GE30" s="477">
        <v>2.5000000000000001E-2</v>
      </c>
      <c r="GF30" s="477">
        <v>2.5000000000000001E-2</v>
      </c>
      <c r="GG30" s="477">
        <v>2.5000000000000001E-2</v>
      </c>
      <c r="GH30" s="477">
        <v>2.5000000000000001E-2</v>
      </c>
      <c r="GI30" s="477">
        <v>2.5000000000000001E-2</v>
      </c>
      <c r="GJ30" s="477">
        <v>2.5000000000000001E-2</v>
      </c>
      <c r="GK30" s="477">
        <v>2.5000000000000001E-2</v>
      </c>
      <c r="GL30" s="477">
        <v>2.5000000000000001E-2</v>
      </c>
      <c r="GM30" s="477">
        <v>2.5000000000000001E-2</v>
      </c>
      <c r="GN30" s="477">
        <v>2.5000000000000001E-2</v>
      </c>
      <c r="GO30" s="477">
        <v>2.5000000000000001E-2</v>
      </c>
      <c r="GP30" s="477">
        <v>2.5000000000000001E-2</v>
      </c>
      <c r="GQ30" s="477">
        <v>2.5000000000000001E-2</v>
      </c>
      <c r="GR30" s="477">
        <v>2.5000000000000001E-2</v>
      </c>
      <c r="GS30" s="477">
        <v>2.5000000000000001E-2</v>
      </c>
      <c r="GT30" s="477">
        <v>2.5000000000000001E-2</v>
      </c>
      <c r="GU30" s="477">
        <v>2.5000000000000001E-2</v>
      </c>
      <c r="GV30" s="477">
        <v>2.5000000000000001E-2</v>
      </c>
      <c r="GW30" s="477">
        <v>2.5000000000000001E-2</v>
      </c>
      <c r="GX30" s="477">
        <v>2.5000000000000001E-2</v>
      </c>
      <c r="GY30" s="477">
        <v>2.5000000000000001E-2</v>
      </c>
      <c r="GZ30" s="477">
        <v>2.5000000000000001E-2</v>
      </c>
      <c r="HA30" s="477">
        <v>2.5000000000000001E-2</v>
      </c>
      <c r="HB30" s="477">
        <v>2.5000000000000001E-2</v>
      </c>
      <c r="HC30" s="477">
        <v>2.5000000000000001E-2</v>
      </c>
      <c r="HD30" s="477">
        <v>2.5000000000000001E-2</v>
      </c>
      <c r="HE30" s="477">
        <v>2.5000000000000001E-2</v>
      </c>
      <c r="HF30" s="477">
        <v>2.5000000000000001E-2</v>
      </c>
      <c r="HG30" s="477">
        <v>2.5000000000000001E-2</v>
      </c>
      <c r="HH30" s="477">
        <v>2.5000000000000001E-2</v>
      </c>
      <c r="HI30" s="477">
        <v>2.5000000000000001E-2</v>
      </c>
      <c r="HJ30" s="477">
        <v>2.5000000000000001E-2</v>
      </c>
      <c r="HK30" s="477">
        <v>2.5000000000000001E-2</v>
      </c>
      <c r="HL30" s="477">
        <v>2.5000000000000001E-2</v>
      </c>
      <c r="HM30" s="477">
        <v>2.5000000000000001E-2</v>
      </c>
      <c r="HN30" s="477">
        <v>2.5000000000000001E-2</v>
      </c>
      <c r="HO30" s="477">
        <v>2.5000000000000001E-2</v>
      </c>
      <c r="HP30" s="473">
        <f t="shared" si="12"/>
        <v>0</v>
      </c>
      <c r="HQ30" s="1136"/>
    </row>
    <row r="31" spans="2:225">
      <c r="B31" s="1129"/>
      <c r="C31" s="730" t="s">
        <v>260</v>
      </c>
      <c r="D31" s="476">
        <v>3.15E-2</v>
      </c>
      <c r="E31" s="476">
        <v>3.15E-2</v>
      </c>
      <c r="F31" s="476">
        <v>3.15E-2</v>
      </c>
      <c r="G31" s="476">
        <v>3.15E-2</v>
      </c>
      <c r="H31" s="493">
        <v>3.15E-2</v>
      </c>
      <c r="I31" s="476">
        <v>3.2000000000000001E-2</v>
      </c>
      <c r="J31" s="476">
        <v>3.2000000000000001E-2</v>
      </c>
      <c r="K31" s="476">
        <v>3.2000000000000001E-2</v>
      </c>
      <c r="L31" s="476">
        <v>3.2000000000000001E-2</v>
      </c>
      <c r="M31" s="476">
        <v>3.2000000000000001E-2</v>
      </c>
      <c r="N31" s="476">
        <v>3.2000000000000001E-2</v>
      </c>
      <c r="O31" s="476">
        <v>3.2000000000000001E-2</v>
      </c>
      <c r="P31" s="476">
        <v>3.2000000000000001E-2</v>
      </c>
      <c r="Q31" s="493">
        <v>3.2000000000000001E-2</v>
      </c>
      <c r="R31" s="493">
        <v>3.3500000000000002E-2</v>
      </c>
      <c r="S31" s="476">
        <v>3.4000000000000002E-2</v>
      </c>
      <c r="T31" s="477">
        <v>3.4000000000000002E-2</v>
      </c>
      <c r="U31" s="477">
        <v>3.4000000000000002E-2</v>
      </c>
      <c r="V31" s="493">
        <v>3.4000000000000002E-2</v>
      </c>
      <c r="W31" s="493">
        <v>3.3000000000000002E-2</v>
      </c>
      <c r="X31" s="493">
        <v>3.4500000000000003E-2</v>
      </c>
      <c r="Y31" s="476">
        <v>3.5000000000000003E-2</v>
      </c>
      <c r="Z31" s="476">
        <v>3.5000000000000003E-2</v>
      </c>
      <c r="AA31" s="476">
        <v>3.5000000000000003E-2</v>
      </c>
      <c r="AB31" s="493">
        <v>3.5000000000000003E-2</v>
      </c>
      <c r="AC31" s="493">
        <v>3.5499999999999997E-2</v>
      </c>
      <c r="AD31" s="476">
        <v>3.6999999999999998E-2</v>
      </c>
      <c r="AE31" s="493">
        <v>3.6999999999999998E-2</v>
      </c>
      <c r="AF31" s="493">
        <v>3.7499999999999999E-2</v>
      </c>
      <c r="AG31" s="476">
        <v>3.7999999999999999E-2</v>
      </c>
      <c r="AH31" s="476">
        <v>3.7999999999999999E-2</v>
      </c>
      <c r="AI31" s="493">
        <v>3.7999999999999999E-2</v>
      </c>
      <c r="AJ31" s="476">
        <v>3.85E-2</v>
      </c>
      <c r="AK31" s="476">
        <v>3.85E-2</v>
      </c>
      <c r="AL31" s="477">
        <v>3.85E-2</v>
      </c>
      <c r="AM31" s="476">
        <v>3.85E-2</v>
      </c>
      <c r="AN31" s="476">
        <v>3.85E-2</v>
      </c>
      <c r="AO31" s="476">
        <v>3.85E-2</v>
      </c>
      <c r="AP31" s="476">
        <v>3.85E-2</v>
      </c>
      <c r="AQ31" s="476">
        <v>3.85E-2</v>
      </c>
      <c r="AR31" s="476">
        <v>3.85E-2</v>
      </c>
      <c r="AS31" s="476">
        <v>3.85E-2</v>
      </c>
      <c r="AT31" s="476">
        <v>3.85E-2</v>
      </c>
      <c r="AU31" s="476">
        <v>3.85E-2</v>
      </c>
      <c r="AV31" s="477">
        <v>3.85E-2</v>
      </c>
      <c r="AW31" s="477">
        <v>3.85E-2</v>
      </c>
      <c r="AX31" s="477">
        <v>3.85E-2</v>
      </c>
      <c r="AY31" s="477">
        <v>3.85E-2</v>
      </c>
      <c r="AZ31" s="477">
        <v>3.85E-2</v>
      </c>
      <c r="BA31" s="477">
        <v>3.85E-2</v>
      </c>
      <c r="BB31" s="477">
        <v>3.85E-2</v>
      </c>
      <c r="BC31" s="477">
        <v>3.85E-2</v>
      </c>
      <c r="BD31" s="477">
        <v>3.85E-2</v>
      </c>
      <c r="BE31" s="477">
        <v>3.85E-2</v>
      </c>
      <c r="BF31" s="477">
        <v>3.85E-2</v>
      </c>
      <c r="BG31" s="477">
        <v>3.85E-2</v>
      </c>
      <c r="BH31" s="477">
        <v>3.9E-2</v>
      </c>
      <c r="BI31" s="477">
        <v>3.9E-2</v>
      </c>
      <c r="BJ31" s="477">
        <v>3.9E-2</v>
      </c>
      <c r="BK31" s="477">
        <v>3.9E-2</v>
      </c>
      <c r="BL31" s="477">
        <v>3.9E-2</v>
      </c>
      <c r="BM31" s="477">
        <v>3.9E-2</v>
      </c>
      <c r="BN31" s="477">
        <v>3.9E-2</v>
      </c>
      <c r="BO31" s="477">
        <v>4.0500000000000001E-2</v>
      </c>
      <c r="BP31" s="477">
        <v>4.0500000000000001E-2</v>
      </c>
      <c r="BQ31" s="477">
        <v>4.0500000000000001E-2</v>
      </c>
      <c r="BR31" s="477">
        <v>4.1000000000000002E-2</v>
      </c>
      <c r="BS31" s="477">
        <v>4.1000000000000002E-2</v>
      </c>
      <c r="BT31" s="477">
        <v>4.1000000000000002E-2</v>
      </c>
      <c r="BU31" s="477">
        <v>4.2000000000000003E-2</v>
      </c>
      <c r="BV31" s="477">
        <v>4.2500000000000003E-2</v>
      </c>
      <c r="BW31" s="477">
        <v>4.2500000000000003E-2</v>
      </c>
      <c r="BX31" s="477">
        <v>4.2500000000000003E-2</v>
      </c>
      <c r="BY31" s="477">
        <v>4.2500000000000003E-2</v>
      </c>
      <c r="BZ31" s="477">
        <v>4.2500000000000003E-2</v>
      </c>
      <c r="CA31" s="477">
        <v>4.2500000000000003E-2</v>
      </c>
      <c r="CB31" s="477">
        <v>4.7E-2</v>
      </c>
      <c r="CC31" s="477">
        <v>4.7E-2</v>
      </c>
      <c r="CD31" s="477">
        <v>4.7500000000000001E-2</v>
      </c>
      <c r="CE31" s="477">
        <v>4.8000000000000001E-2</v>
      </c>
      <c r="CF31" s="477">
        <v>4.8000000000000001E-2</v>
      </c>
      <c r="CG31" s="477">
        <v>4.8000000000000001E-2</v>
      </c>
      <c r="CH31" s="477">
        <v>4.8000000000000001E-2</v>
      </c>
      <c r="CI31" s="477">
        <v>4.8000000000000001E-2</v>
      </c>
      <c r="CJ31" s="477">
        <v>4.8000000000000001E-2</v>
      </c>
      <c r="CK31" s="477">
        <v>4.8000000000000001E-2</v>
      </c>
      <c r="CL31" s="477">
        <v>4.8000000000000001E-2</v>
      </c>
      <c r="CM31" s="477">
        <v>4.8000000000000001E-2</v>
      </c>
      <c r="CN31" s="477">
        <v>4.8000000000000001E-2</v>
      </c>
      <c r="CO31" s="477">
        <v>4.8000000000000001E-2</v>
      </c>
      <c r="CP31" s="477">
        <v>4.8000000000000001E-2</v>
      </c>
      <c r="CQ31" s="477">
        <v>4.8000000000000001E-2</v>
      </c>
      <c r="CR31" s="477">
        <v>4.8000000000000001E-2</v>
      </c>
      <c r="CS31" s="477">
        <v>4.8000000000000001E-2</v>
      </c>
      <c r="CT31" s="477">
        <v>4.8000000000000001E-2</v>
      </c>
      <c r="CU31" s="477">
        <v>4.8000000000000001E-2</v>
      </c>
      <c r="CV31" s="477">
        <v>4.8000000000000001E-2</v>
      </c>
      <c r="CW31" s="477">
        <v>4.8000000000000001E-2</v>
      </c>
      <c r="CX31" s="477">
        <v>4.8000000000000001E-2</v>
      </c>
      <c r="CY31" s="477">
        <v>4.8000000000000001E-2</v>
      </c>
      <c r="CZ31" s="477">
        <v>4.8000000000000001E-2</v>
      </c>
      <c r="DA31" s="477">
        <v>4.8000000000000001E-2</v>
      </c>
      <c r="DB31" s="477">
        <v>4.8000000000000001E-2</v>
      </c>
      <c r="DC31" s="477">
        <v>4.8000000000000001E-2</v>
      </c>
      <c r="DD31" s="477">
        <v>4.8000000000000001E-2</v>
      </c>
      <c r="DE31" s="477">
        <v>4.8000000000000001E-2</v>
      </c>
      <c r="DF31" s="477">
        <v>4.8000000000000001E-2</v>
      </c>
      <c r="DG31" s="477">
        <v>4.8000000000000001E-2</v>
      </c>
      <c r="DH31" s="477">
        <v>4.8000000000000001E-2</v>
      </c>
      <c r="DI31" s="477">
        <v>4.8000000000000001E-2</v>
      </c>
      <c r="DJ31" s="477">
        <v>4.8000000000000001E-2</v>
      </c>
      <c r="DK31" s="477">
        <v>4.8000000000000001E-2</v>
      </c>
      <c r="DL31" s="477">
        <v>4.8000000000000001E-2</v>
      </c>
      <c r="DM31" s="477">
        <v>4.8500000000000001E-2</v>
      </c>
      <c r="DN31" s="477">
        <v>4.8500000000000001E-2</v>
      </c>
      <c r="DO31" s="477">
        <v>4.8500000000000001E-2</v>
      </c>
      <c r="DP31" s="477">
        <v>4.8500000000000001E-2</v>
      </c>
      <c r="DQ31" s="477">
        <v>4.8000000000000001E-2</v>
      </c>
      <c r="DR31" s="477">
        <v>4.8000000000000001E-2</v>
      </c>
      <c r="DS31" s="477">
        <v>4.8000000000000001E-2</v>
      </c>
      <c r="DT31" s="477">
        <v>4.8000000000000001E-2</v>
      </c>
      <c r="DU31" s="477">
        <v>4.8000000000000001E-2</v>
      </c>
      <c r="DV31" s="477">
        <v>4.8000000000000001E-2</v>
      </c>
      <c r="DW31" s="477">
        <v>4.8000000000000001E-2</v>
      </c>
      <c r="DX31" s="477">
        <v>4.8000000000000001E-2</v>
      </c>
      <c r="DY31" s="477">
        <v>4.7500000000000001E-2</v>
      </c>
      <c r="DZ31" s="477">
        <v>4.7500000000000001E-2</v>
      </c>
      <c r="EA31" s="477">
        <v>4.7500000000000001E-2</v>
      </c>
      <c r="EB31" s="477">
        <v>4.7500000000000001E-2</v>
      </c>
      <c r="EC31" s="477">
        <v>4.7500000000000001E-2</v>
      </c>
      <c r="ED31" s="477">
        <v>4.7500000000000001E-2</v>
      </c>
      <c r="EE31" s="477">
        <v>4.7500000000000001E-2</v>
      </c>
      <c r="EF31" s="477">
        <v>4.7500000000000001E-2</v>
      </c>
      <c r="EG31" s="477">
        <v>4.7500000000000001E-2</v>
      </c>
      <c r="EH31" s="477">
        <v>4.7E-2</v>
      </c>
      <c r="EI31" s="477">
        <v>2.6499999999999999E-2</v>
      </c>
      <c r="EJ31" s="477">
        <v>2.5999999999999999E-2</v>
      </c>
      <c r="EK31" s="477">
        <v>2.5999999999999999E-2</v>
      </c>
      <c r="EL31" s="477">
        <v>2.3E-2</v>
      </c>
      <c r="EM31" s="477">
        <v>2.1999999999999999E-2</v>
      </c>
      <c r="EN31" s="477">
        <v>4.4499999999999998E-2</v>
      </c>
      <c r="EO31" s="477">
        <v>4.4499999999999998E-2</v>
      </c>
      <c r="EP31" s="477">
        <v>4.3999999999999997E-2</v>
      </c>
      <c r="EQ31" s="477">
        <v>4.3999999999999997E-2</v>
      </c>
      <c r="ER31" s="477">
        <v>4.3499999999999997E-2</v>
      </c>
      <c r="ES31" s="477">
        <v>4.2500000000000003E-2</v>
      </c>
      <c r="ET31" s="477">
        <v>4.2000000000000003E-2</v>
      </c>
      <c r="EU31" s="477">
        <v>4.2000000000000003E-2</v>
      </c>
      <c r="EV31" s="477">
        <v>4.2000000000000003E-2</v>
      </c>
      <c r="EW31" s="477">
        <v>4.2000000000000003E-2</v>
      </c>
      <c r="EX31" s="477">
        <v>4.1500000000000002E-2</v>
      </c>
      <c r="EY31" s="477">
        <v>4.1500000000000002E-2</v>
      </c>
      <c r="EZ31" s="477">
        <v>4.0500000000000001E-2</v>
      </c>
      <c r="FA31" s="477">
        <v>3.95E-2</v>
      </c>
      <c r="FB31" s="477">
        <v>3.95E-2</v>
      </c>
      <c r="FC31" s="477">
        <v>3.95E-2</v>
      </c>
      <c r="FD31" s="477">
        <v>3.95E-2</v>
      </c>
      <c r="FE31" s="477">
        <v>3.95E-2</v>
      </c>
      <c r="FF31" s="477">
        <v>3.7999999999999999E-2</v>
      </c>
      <c r="FG31" s="477">
        <v>3.7999999999999999E-2</v>
      </c>
      <c r="FH31" s="477">
        <v>3.7499999999999999E-2</v>
      </c>
      <c r="FI31" s="477">
        <v>3.7499999999999999E-2</v>
      </c>
      <c r="FJ31" s="477">
        <v>3.7499999999999999E-2</v>
      </c>
      <c r="FK31" s="477">
        <v>3.7499999999999999E-2</v>
      </c>
      <c r="FL31" s="477">
        <v>3.6999999999999998E-2</v>
      </c>
      <c r="FM31" s="477">
        <v>3.5499999999999997E-2</v>
      </c>
      <c r="FN31" s="477">
        <v>3.5000000000000003E-2</v>
      </c>
      <c r="FO31" s="477">
        <v>3.3500000000000002E-2</v>
      </c>
      <c r="FP31" s="477">
        <v>3.3000000000000002E-2</v>
      </c>
      <c r="FQ31" s="477">
        <v>3.2500000000000001E-2</v>
      </c>
      <c r="FR31" s="477">
        <v>3.2000000000000001E-2</v>
      </c>
      <c r="FS31" s="477">
        <v>3.0499999999999999E-2</v>
      </c>
      <c r="FT31" s="477">
        <v>2.9499999999999998E-2</v>
      </c>
      <c r="FU31" s="477">
        <v>2.8000000000000001E-2</v>
      </c>
      <c r="FV31" s="477">
        <v>4.5499999999999999E-2</v>
      </c>
      <c r="FW31" s="477">
        <v>4.4999999999999998E-2</v>
      </c>
      <c r="FX31" s="477">
        <v>4.65E-2</v>
      </c>
      <c r="FY31" s="477">
        <v>4.5499999999999999E-2</v>
      </c>
      <c r="FZ31" s="477">
        <v>4.4999999999999998E-2</v>
      </c>
      <c r="GA31" s="477">
        <v>4.4999999999999998E-2</v>
      </c>
      <c r="GB31" s="477">
        <v>4.4999999999999998E-2</v>
      </c>
      <c r="GC31" s="477">
        <v>4.5499999999999999E-2</v>
      </c>
      <c r="GD31" s="477">
        <v>2.5999999999999999E-2</v>
      </c>
      <c r="GE31" s="477">
        <v>2.5999999999999999E-2</v>
      </c>
      <c r="GF31" s="477">
        <v>2.5999999999999999E-2</v>
      </c>
      <c r="GG31" s="477">
        <v>2.5999999999999999E-2</v>
      </c>
      <c r="GH31" s="477">
        <v>2.5999999999999999E-2</v>
      </c>
      <c r="GI31" s="477">
        <v>2.5999999999999999E-2</v>
      </c>
      <c r="GJ31" s="477">
        <v>2.5999999999999999E-2</v>
      </c>
      <c r="GK31" s="477">
        <v>2.5999999999999999E-2</v>
      </c>
      <c r="GL31" s="477">
        <v>2.5999999999999999E-2</v>
      </c>
      <c r="GM31" s="477">
        <v>2.5999999999999999E-2</v>
      </c>
      <c r="GN31" s="477">
        <v>2.5999999999999999E-2</v>
      </c>
      <c r="GO31" s="477">
        <v>2.5999999999999999E-2</v>
      </c>
      <c r="GP31" s="477">
        <v>2.5999999999999999E-2</v>
      </c>
      <c r="GQ31" s="477">
        <v>2.5999999999999999E-2</v>
      </c>
      <c r="GR31" s="477">
        <v>2.5999999999999999E-2</v>
      </c>
      <c r="GS31" s="477">
        <v>2.5999999999999999E-2</v>
      </c>
      <c r="GT31" s="477">
        <v>2.5999999999999999E-2</v>
      </c>
      <c r="GU31" s="477">
        <v>2.5999999999999999E-2</v>
      </c>
      <c r="GV31" s="477">
        <v>2.5999999999999999E-2</v>
      </c>
      <c r="GW31" s="477">
        <v>2.5999999999999999E-2</v>
      </c>
      <c r="GX31" s="477">
        <v>2.5999999999999999E-2</v>
      </c>
      <c r="GY31" s="477">
        <v>2.5999999999999999E-2</v>
      </c>
      <c r="GZ31" s="477">
        <v>2.5999999999999999E-2</v>
      </c>
      <c r="HA31" s="477">
        <v>2.5999999999999999E-2</v>
      </c>
      <c r="HB31" s="477">
        <v>2.5999999999999999E-2</v>
      </c>
      <c r="HC31" s="477">
        <v>2.5999999999999999E-2</v>
      </c>
      <c r="HD31" s="477">
        <v>2.5999999999999999E-2</v>
      </c>
      <c r="HE31" s="477">
        <v>2.5999999999999999E-2</v>
      </c>
      <c r="HF31" s="477">
        <v>2.5999999999999999E-2</v>
      </c>
      <c r="HG31" s="477">
        <v>2.5999999999999999E-2</v>
      </c>
      <c r="HH31" s="477">
        <v>2.5999999999999999E-2</v>
      </c>
      <c r="HI31" s="477">
        <v>2.5999999999999999E-2</v>
      </c>
      <c r="HJ31" s="477">
        <v>2.5999999999999999E-2</v>
      </c>
      <c r="HK31" s="477">
        <v>2.5999999999999999E-2</v>
      </c>
      <c r="HL31" s="477">
        <v>2.5999999999999999E-2</v>
      </c>
      <c r="HM31" s="477">
        <v>2.5999999999999999E-2</v>
      </c>
      <c r="HN31" s="477">
        <v>2.5999999999999999E-2</v>
      </c>
      <c r="HO31" s="477">
        <v>2.5999999999999999E-2</v>
      </c>
      <c r="HP31" s="473">
        <f t="shared" si="12"/>
        <v>0</v>
      </c>
      <c r="HQ31" s="1137"/>
    </row>
    <row r="32" spans="2:225">
      <c r="B32" s="1152" t="s">
        <v>50</v>
      </c>
      <c r="C32" s="729" t="s">
        <v>258</v>
      </c>
      <c r="D32" s="664">
        <v>3.04E-2</v>
      </c>
      <c r="E32" s="664">
        <v>3.04E-2</v>
      </c>
      <c r="F32" s="666">
        <v>0.03</v>
      </c>
      <c r="G32" s="664">
        <v>0.03</v>
      </c>
      <c r="H32" s="664">
        <v>2.9899999999999999E-2</v>
      </c>
      <c r="I32" s="666">
        <v>0.03</v>
      </c>
      <c r="J32" s="666">
        <v>0.03</v>
      </c>
      <c r="K32" s="664">
        <v>0.03</v>
      </c>
      <c r="L32" s="664">
        <v>3.0599999999999999E-2</v>
      </c>
      <c r="M32" s="664">
        <v>3.1E-2</v>
      </c>
      <c r="N32" s="664">
        <v>3.1600000000000003E-2</v>
      </c>
      <c r="O32" s="666">
        <v>3.2199999999999999E-2</v>
      </c>
      <c r="P32" s="664">
        <v>3.2199999999999999E-2</v>
      </c>
      <c r="Q32" s="664">
        <v>3.27E-2</v>
      </c>
      <c r="R32" s="664">
        <v>3.2099999999999997E-2</v>
      </c>
      <c r="S32" s="664">
        <v>3.2300000000000002E-2</v>
      </c>
      <c r="T32" s="494">
        <v>3.3000000000000002E-2</v>
      </c>
      <c r="U32" s="494">
        <v>3.2899999999999999E-2</v>
      </c>
      <c r="V32" s="494">
        <v>3.3099999999999997E-2</v>
      </c>
      <c r="W32" s="494">
        <v>3.2899999999999992E-2</v>
      </c>
      <c r="X32" s="494">
        <v>3.3499999999999995E-2</v>
      </c>
      <c r="Y32" s="494">
        <v>3.3599999999999998E-2</v>
      </c>
      <c r="Z32" s="494">
        <v>3.44E-2</v>
      </c>
      <c r="AA32" s="494">
        <v>3.4500000000000003E-2</v>
      </c>
      <c r="AB32" s="494">
        <v>3.5400000000000001E-2</v>
      </c>
      <c r="AC32" s="494">
        <v>3.5200000000000002E-2</v>
      </c>
      <c r="AD32" s="494">
        <v>3.56E-2</v>
      </c>
      <c r="AE32" s="494">
        <v>3.6299999999999999E-2</v>
      </c>
      <c r="AF32" s="494">
        <v>3.7400000000000003E-2</v>
      </c>
      <c r="AG32" s="494">
        <v>3.7699999999999997E-2</v>
      </c>
      <c r="AH32" s="495">
        <v>3.7900000000000003E-2</v>
      </c>
      <c r="AI32" s="495">
        <v>3.7699999999999997E-2</v>
      </c>
      <c r="AJ32" s="495">
        <v>3.78E-2</v>
      </c>
      <c r="AK32" s="495">
        <v>3.78E-2</v>
      </c>
      <c r="AL32" s="496">
        <v>3.78E-2</v>
      </c>
      <c r="AM32" s="497">
        <v>3.78E-2</v>
      </c>
      <c r="AN32" s="495">
        <v>3.7600000000000001E-2</v>
      </c>
      <c r="AO32" s="497">
        <v>3.7600000000000001E-2</v>
      </c>
      <c r="AP32" s="495">
        <v>3.7499999999999999E-2</v>
      </c>
      <c r="AQ32" s="495">
        <v>3.7499999999999999E-2</v>
      </c>
      <c r="AR32" s="497">
        <v>3.7499999999999999E-2</v>
      </c>
      <c r="AS32" s="495">
        <v>3.7600000000000001E-2</v>
      </c>
      <c r="AT32" s="495">
        <v>3.7600000000000001E-2</v>
      </c>
      <c r="AU32" s="495">
        <v>3.7600000000000001E-2</v>
      </c>
      <c r="AV32" s="497">
        <v>3.7600000000000001E-2</v>
      </c>
      <c r="AW32" s="496">
        <v>3.8199999999999998E-2</v>
      </c>
      <c r="AX32" s="496">
        <v>3.7499999999999999E-2</v>
      </c>
      <c r="AY32" s="496">
        <v>3.7499999999999999E-2</v>
      </c>
      <c r="AZ32" s="496">
        <v>3.7499999999999999E-2</v>
      </c>
      <c r="BA32" s="496">
        <v>3.7499999999999999E-2</v>
      </c>
      <c r="BB32" s="496">
        <v>3.7499999999999999E-2</v>
      </c>
      <c r="BC32" s="496">
        <v>3.7499999999999999E-2</v>
      </c>
      <c r="BD32" s="496">
        <v>3.73E-2</v>
      </c>
      <c r="BE32" s="496">
        <v>3.73E-2</v>
      </c>
      <c r="BF32" s="496">
        <v>3.73E-2</v>
      </c>
      <c r="BG32" s="496">
        <v>3.73E-2</v>
      </c>
      <c r="BH32" s="496">
        <v>3.73E-2</v>
      </c>
      <c r="BI32" s="496">
        <v>3.73E-2</v>
      </c>
      <c r="BJ32" s="496">
        <v>3.73E-2</v>
      </c>
      <c r="BK32" s="496">
        <v>3.73E-2</v>
      </c>
      <c r="BL32" s="496">
        <v>3.78E-2</v>
      </c>
      <c r="BM32" s="496">
        <v>3.78E-2</v>
      </c>
      <c r="BN32" s="496">
        <v>3.78E-2</v>
      </c>
      <c r="BO32" s="496">
        <v>3.8300000000000001E-2</v>
      </c>
      <c r="BP32" s="496">
        <v>3.9800000000000002E-2</v>
      </c>
      <c r="BQ32" s="496">
        <v>3.9800000000000002E-2</v>
      </c>
      <c r="BR32" s="496">
        <v>4.0399999999999998E-2</v>
      </c>
      <c r="BS32" s="496">
        <v>4.0399999999999998E-2</v>
      </c>
      <c r="BT32" s="496">
        <v>4.1000000000000002E-2</v>
      </c>
      <c r="BU32" s="496">
        <v>4.1000000000000002E-2</v>
      </c>
      <c r="BV32" s="496">
        <v>4.1700000000000001E-2</v>
      </c>
      <c r="BW32" s="496">
        <v>4.2799999999999998E-2</v>
      </c>
      <c r="BX32" s="496">
        <v>4.2799999999999998E-2</v>
      </c>
      <c r="BY32" s="496">
        <v>4.2799999999999998E-2</v>
      </c>
      <c r="BZ32" s="496">
        <v>4.2799999999999998E-2</v>
      </c>
      <c r="CA32" s="496">
        <v>4.3799999999999999E-2</v>
      </c>
      <c r="CB32" s="496">
        <v>4.53E-2</v>
      </c>
      <c r="CC32" s="496">
        <v>4.58E-2</v>
      </c>
      <c r="CD32" s="496">
        <v>4.6800000000000001E-2</v>
      </c>
      <c r="CE32" s="496">
        <v>4.7399999999999998E-2</v>
      </c>
      <c r="CF32" s="496">
        <v>4.7699999999999999E-2</v>
      </c>
      <c r="CG32" s="496">
        <v>4.7600000000000003E-2</v>
      </c>
      <c r="CH32" s="496">
        <v>4.7699999999999999E-2</v>
      </c>
      <c r="CI32" s="496">
        <v>4.7800000000000002E-2</v>
      </c>
      <c r="CJ32" s="496">
        <v>4.7699999999999999E-2</v>
      </c>
      <c r="CK32" s="496">
        <v>4.7600000000000003E-2</v>
      </c>
      <c r="CL32" s="496">
        <v>4.7600000000000003E-2</v>
      </c>
      <c r="CM32" s="496">
        <v>4.7699999999999999E-2</v>
      </c>
      <c r="CN32" s="496">
        <v>4.7699999999999999E-2</v>
      </c>
      <c r="CO32" s="496">
        <v>4.7600000000000003E-2</v>
      </c>
      <c r="CP32" s="496">
        <v>4.7600000000000003E-2</v>
      </c>
      <c r="CQ32" s="496">
        <v>4.7600000000000003E-2</v>
      </c>
      <c r="CR32" s="496">
        <v>4.7500000000000001E-2</v>
      </c>
      <c r="CS32" s="496">
        <v>4.7500000000000001E-2</v>
      </c>
      <c r="CT32" s="496">
        <v>4.7500000000000001E-2</v>
      </c>
      <c r="CU32" s="496">
        <v>4.7500000000000001E-2</v>
      </c>
      <c r="CV32" s="496">
        <v>4.7500000000000001E-2</v>
      </c>
      <c r="CW32" s="472">
        <v>4.8500000000000001E-2</v>
      </c>
      <c r="CX32" s="472">
        <v>4.8500000000000001E-2</v>
      </c>
      <c r="CY32" s="472">
        <v>4.8500000000000001E-2</v>
      </c>
      <c r="CZ32" s="472">
        <v>4.8599999999999997E-2</v>
      </c>
      <c r="DA32" s="472">
        <v>4.8599999999999997E-2</v>
      </c>
      <c r="DB32" s="472">
        <v>4.8599999999999997E-2</v>
      </c>
      <c r="DC32" s="484">
        <v>4.8500000000000001E-2</v>
      </c>
      <c r="DD32" s="484">
        <v>4.8599999999999997E-2</v>
      </c>
      <c r="DE32" s="472">
        <v>4.8500000000000001E-2</v>
      </c>
      <c r="DF32" s="472">
        <v>4.8500000000000001E-2</v>
      </c>
      <c r="DG32" s="472">
        <v>4.8500000000000001E-2</v>
      </c>
      <c r="DH32" s="472">
        <v>4.8599999999999997E-2</v>
      </c>
      <c r="DI32" s="472">
        <v>4.8599999999999997E-2</v>
      </c>
      <c r="DJ32" s="472">
        <v>4.8599999999999997E-2</v>
      </c>
      <c r="DK32" s="472">
        <v>4.8599999999999997E-2</v>
      </c>
      <c r="DL32" s="472">
        <v>4.8800000000000003E-2</v>
      </c>
      <c r="DM32" s="472">
        <v>4.8800000000000003E-2</v>
      </c>
      <c r="DN32" s="472">
        <v>4.8899999999999999E-2</v>
      </c>
      <c r="DO32" s="472">
        <v>4.8899999999999999E-2</v>
      </c>
      <c r="DP32" s="472">
        <v>4.8899999999999999E-2</v>
      </c>
      <c r="DQ32" s="472">
        <v>4.87E-2</v>
      </c>
      <c r="DR32" s="472">
        <v>4.87E-2</v>
      </c>
      <c r="DS32" s="472">
        <v>4.8500000000000001E-2</v>
      </c>
      <c r="DT32" s="472">
        <v>4.8500000000000001E-2</v>
      </c>
      <c r="DU32" s="472">
        <v>4.8500000000000001E-2</v>
      </c>
      <c r="DV32" s="472">
        <v>4.8599999999999997E-2</v>
      </c>
      <c r="DW32" s="472">
        <v>4.87E-2</v>
      </c>
      <c r="DX32" s="472">
        <v>4.8599999999999997E-2</v>
      </c>
      <c r="DY32" s="472">
        <v>4.8500000000000001E-2</v>
      </c>
      <c r="DZ32" s="472">
        <v>4.8500000000000001E-2</v>
      </c>
      <c r="EA32" s="472">
        <v>4.8599999999999997E-2</v>
      </c>
      <c r="EB32" s="472">
        <v>4.8599999999999997E-2</v>
      </c>
      <c r="EC32" s="472">
        <v>4.8599999999999997E-2</v>
      </c>
      <c r="ED32" s="472">
        <v>4.8500000000000001E-2</v>
      </c>
      <c r="EE32" s="472">
        <v>4.8399999999999999E-2</v>
      </c>
      <c r="EF32" s="472">
        <v>4.8399999999999999E-2</v>
      </c>
      <c r="EG32" s="472">
        <v>4.8500000000000001E-2</v>
      </c>
      <c r="EH32" s="472">
        <v>4.8500000000000001E-2</v>
      </c>
      <c r="EI32" s="472">
        <v>2.6599999999999999E-2</v>
      </c>
      <c r="EJ32" s="472">
        <v>2.52E-2</v>
      </c>
      <c r="EK32" s="472">
        <v>2.5100000000000001E-2</v>
      </c>
      <c r="EL32" s="472">
        <v>2.3900000000000001E-2</v>
      </c>
      <c r="EM32" s="472">
        <v>2.0799999999999999E-2</v>
      </c>
      <c r="EN32" s="472">
        <v>4.6300000000000001E-2</v>
      </c>
      <c r="EO32" s="472">
        <v>4.5999999999999999E-2</v>
      </c>
      <c r="EP32" s="472">
        <v>4.5900000000000003E-2</v>
      </c>
      <c r="EQ32" s="472">
        <v>4.5699999999999998E-2</v>
      </c>
      <c r="ER32" s="472">
        <v>4.5199999999999997E-2</v>
      </c>
      <c r="ES32" s="472">
        <v>4.4699999999999997E-2</v>
      </c>
      <c r="ET32" s="472">
        <v>4.41E-2</v>
      </c>
      <c r="EU32" s="472">
        <v>4.36E-2</v>
      </c>
      <c r="EV32" s="472">
        <v>4.3400000000000001E-2</v>
      </c>
      <c r="EW32" s="472">
        <v>4.2799999999999998E-2</v>
      </c>
      <c r="EX32" s="472">
        <v>4.1599999999999998E-2</v>
      </c>
      <c r="EY32" s="472">
        <v>4.1799999999999997E-2</v>
      </c>
      <c r="EZ32" s="472">
        <v>4.1599999999999998E-2</v>
      </c>
      <c r="FA32" s="472">
        <v>4.0899999999999999E-2</v>
      </c>
      <c r="FB32" s="472">
        <v>4.02E-2</v>
      </c>
      <c r="FC32" s="472">
        <v>4.02E-2</v>
      </c>
      <c r="FD32" s="472">
        <v>4.02E-2</v>
      </c>
      <c r="FE32" s="484">
        <v>0.04</v>
      </c>
      <c r="FF32" s="484">
        <v>0.04</v>
      </c>
      <c r="FG32" s="484">
        <v>3.95E-2</v>
      </c>
      <c r="FH32" s="484">
        <v>3.8899999999999997E-2</v>
      </c>
      <c r="FI32" s="484">
        <v>3.8399999999999997E-2</v>
      </c>
      <c r="FJ32" s="484">
        <v>3.7999999999999999E-2</v>
      </c>
      <c r="FK32" s="484">
        <v>3.7999999999999999E-2</v>
      </c>
      <c r="FL32" s="484">
        <v>3.7999999999999999E-2</v>
      </c>
      <c r="FM32" s="484">
        <v>3.7100000000000001E-2</v>
      </c>
      <c r="FN32" s="484">
        <v>3.61E-2</v>
      </c>
      <c r="FO32" s="484">
        <v>3.5000000000000003E-2</v>
      </c>
      <c r="FP32" s="484">
        <v>3.3500000000000002E-2</v>
      </c>
      <c r="FQ32" s="484">
        <v>3.3000000000000002E-2</v>
      </c>
      <c r="FR32" s="484">
        <v>3.2899999999999999E-2</v>
      </c>
      <c r="FS32" s="484">
        <v>3.1099999999999999E-2</v>
      </c>
      <c r="FT32" s="484">
        <v>2.9499999999999998E-2</v>
      </c>
      <c r="FU32" s="484">
        <v>2.76E-2</v>
      </c>
      <c r="FV32" s="472">
        <v>4.65E-2</v>
      </c>
      <c r="FW32" s="472">
        <v>4.6899999999999997E-2</v>
      </c>
      <c r="FX32" s="472">
        <v>4.7899999999999998E-2</v>
      </c>
      <c r="FY32" s="472">
        <v>4.7300000000000002E-2</v>
      </c>
      <c r="FZ32" s="472">
        <v>4.6699999999999998E-2</v>
      </c>
      <c r="GA32" s="472">
        <v>4.6300000000000001E-2</v>
      </c>
      <c r="GB32" s="472">
        <v>4.6100000000000002E-2</v>
      </c>
      <c r="GC32" s="472">
        <v>4.6300000000000001E-2</v>
      </c>
      <c r="GD32" s="472">
        <v>2.5100000000000001E-2</v>
      </c>
      <c r="GE32" s="472">
        <v>2.5100000000000001E-2</v>
      </c>
      <c r="GF32" s="472">
        <v>2.5100000000000001E-2</v>
      </c>
      <c r="GG32" s="472">
        <v>2.5100000000000001E-2</v>
      </c>
      <c r="GH32" s="472">
        <v>2.5100000000000001E-2</v>
      </c>
      <c r="GI32" s="472">
        <v>2.5100000000000001E-2</v>
      </c>
      <c r="GJ32" s="472">
        <v>2.5100000000000001E-2</v>
      </c>
      <c r="GK32" s="472">
        <v>2.5100000000000001E-2</v>
      </c>
      <c r="GL32" s="472">
        <v>2.5100000000000001E-2</v>
      </c>
      <c r="GM32" s="472">
        <v>2.5100000000000001E-2</v>
      </c>
      <c r="GN32" s="472">
        <v>2.5100000000000001E-2</v>
      </c>
      <c r="GO32" s="472">
        <v>2.5100000000000001E-2</v>
      </c>
      <c r="GP32" s="472">
        <v>2.5100000000000001E-2</v>
      </c>
      <c r="GQ32" s="472">
        <v>2.5100000000000001E-2</v>
      </c>
      <c r="GR32" s="472">
        <v>2.5100000000000001E-2</v>
      </c>
      <c r="GS32" s="472">
        <v>2.5100000000000001E-2</v>
      </c>
      <c r="GT32" s="472">
        <v>2.5100000000000001E-2</v>
      </c>
      <c r="GU32" s="472">
        <v>2.5100000000000001E-2</v>
      </c>
      <c r="GV32" s="472">
        <v>2.5100000000000001E-2</v>
      </c>
      <c r="GW32" s="472">
        <v>2.5100000000000001E-2</v>
      </c>
      <c r="GX32" s="472">
        <v>2.5100000000000001E-2</v>
      </c>
      <c r="GY32" s="472">
        <v>2.5100000000000001E-2</v>
      </c>
      <c r="GZ32" s="472">
        <v>2.5100000000000001E-2</v>
      </c>
      <c r="HA32" s="472">
        <v>2.5100000000000001E-2</v>
      </c>
      <c r="HB32" s="472">
        <v>2.5100000000000001E-2</v>
      </c>
      <c r="HC32" s="472">
        <v>2.5100000000000001E-2</v>
      </c>
      <c r="HD32" s="472">
        <v>2.5100000000000001E-2</v>
      </c>
      <c r="HE32" s="472">
        <v>2.5100000000000001E-2</v>
      </c>
      <c r="HF32" s="472">
        <v>2.5100000000000001E-2</v>
      </c>
      <c r="HG32" s="472">
        <v>2.5100000000000001E-2</v>
      </c>
      <c r="HH32" s="472">
        <v>2.5100000000000001E-2</v>
      </c>
      <c r="HI32" s="472">
        <v>2.5100000000000001E-2</v>
      </c>
      <c r="HJ32" s="472">
        <v>2.5100000000000001E-2</v>
      </c>
      <c r="HK32" s="472">
        <v>2.5100000000000001E-2</v>
      </c>
      <c r="HL32" s="472">
        <v>2.5100000000000001E-2</v>
      </c>
      <c r="HM32" s="472">
        <v>2.5100000000000001E-2</v>
      </c>
      <c r="HN32" s="472">
        <v>2.5100000000000001E-2</v>
      </c>
      <c r="HO32" s="472">
        <v>2.5100000000000001E-2</v>
      </c>
      <c r="HP32" s="473">
        <f t="shared" si="12"/>
        <v>0</v>
      </c>
      <c r="HQ32" s="1145"/>
    </row>
    <row r="33" spans="2:225">
      <c r="B33" s="1152"/>
      <c r="C33" s="729" t="s">
        <v>255</v>
      </c>
      <c r="D33" s="664">
        <v>3.1399999999999997E-2</v>
      </c>
      <c r="E33" s="664">
        <v>3.1399999999999997E-2</v>
      </c>
      <c r="F33" s="666">
        <v>3.1E-2</v>
      </c>
      <c r="G33" s="664">
        <v>3.1E-2</v>
      </c>
      <c r="H33" s="664">
        <v>3.09E-2</v>
      </c>
      <c r="I33" s="666">
        <v>3.1E-2</v>
      </c>
      <c r="J33" s="666">
        <v>3.1E-2</v>
      </c>
      <c r="K33" s="664">
        <v>3.1E-2</v>
      </c>
      <c r="L33" s="664">
        <v>3.1600000000000003E-2</v>
      </c>
      <c r="M33" s="664">
        <v>3.2000000000000001E-2</v>
      </c>
      <c r="N33" s="664">
        <v>3.2599999999999997E-2</v>
      </c>
      <c r="O33" s="666">
        <v>3.32E-2</v>
      </c>
      <c r="P33" s="664">
        <v>3.32E-2</v>
      </c>
      <c r="Q33" s="664">
        <v>3.3700000000000001E-2</v>
      </c>
      <c r="R33" s="664">
        <v>3.3099999999999997E-2</v>
      </c>
      <c r="S33" s="664">
        <v>3.3300000000000003E-2</v>
      </c>
      <c r="T33" s="494">
        <v>3.4000000000000002E-2</v>
      </c>
      <c r="U33" s="494">
        <v>3.39E-2</v>
      </c>
      <c r="V33" s="494">
        <v>3.4099999999999998E-2</v>
      </c>
      <c r="W33" s="494">
        <v>3.3899999999999986E-2</v>
      </c>
      <c r="X33" s="494">
        <v>3.4499999999999989E-2</v>
      </c>
      <c r="Y33" s="494">
        <v>3.4599999999999992E-2</v>
      </c>
      <c r="Z33" s="494">
        <v>3.5399999999999994E-2</v>
      </c>
      <c r="AA33" s="494">
        <v>3.5499999999999997E-2</v>
      </c>
      <c r="AB33" s="494">
        <v>3.6400000000000002E-2</v>
      </c>
      <c r="AC33" s="494">
        <v>3.6200000000000003E-2</v>
      </c>
      <c r="AD33" s="494">
        <v>3.6600000000000001E-2</v>
      </c>
      <c r="AE33" s="494">
        <v>3.73E-2</v>
      </c>
      <c r="AF33" s="494">
        <v>3.8399999999999997E-2</v>
      </c>
      <c r="AG33" s="494">
        <v>3.8699999999999998E-2</v>
      </c>
      <c r="AH33" s="495">
        <v>3.8899999999999997E-2</v>
      </c>
      <c r="AI33" s="495">
        <v>3.8699999999999998E-2</v>
      </c>
      <c r="AJ33" s="495">
        <v>3.8800000000000001E-2</v>
      </c>
      <c r="AK33" s="495">
        <v>3.8800000000000001E-2</v>
      </c>
      <c r="AL33" s="496">
        <v>3.8800000000000001E-2</v>
      </c>
      <c r="AM33" s="497">
        <v>3.8800000000000001E-2</v>
      </c>
      <c r="AN33" s="495">
        <v>3.8600000000000002E-2</v>
      </c>
      <c r="AO33" s="497">
        <v>3.8600000000000002E-2</v>
      </c>
      <c r="AP33" s="495">
        <v>3.85E-2</v>
      </c>
      <c r="AQ33" s="495">
        <v>3.85E-2</v>
      </c>
      <c r="AR33" s="497">
        <v>3.85E-2</v>
      </c>
      <c r="AS33" s="495">
        <v>3.8600000000000002E-2</v>
      </c>
      <c r="AT33" s="495">
        <v>3.8600000000000002E-2</v>
      </c>
      <c r="AU33" s="495">
        <v>3.8600000000000002E-2</v>
      </c>
      <c r="AV33" s="497">
        <v>3.8600000000000002E-2</v>
      </c>
      <c r="AW33" s="496">
        <v>3.9199999999999999E-2</v>
      </c>
      <c r="AX33" s="496">
        <v>3.85E-2</v>
      </c>
      <c r="AY33" s="496">
        <v>3.85E-2</v>
      </c>
      <c r="AZ33" s="496">
        <v>3.85E-2</v>
      </c>
      <c r="BA33" s="496">
        <v>3.85E-2</v>
      </c>
      <c r="BB33" s="496">
        <v>3.85E-2</v>
      </c>
      <c r="BC33" s="496">
        <v>3.85E-2</v>
      </c>
      <c r="BD33" s="496">
        <v>3.8300000000000001E-2</v>
      </c>
      <c r="BE33" s="496">
        <v>3.8300000000000001E-2</v>
      </c>
      <c r="BF33" s="496">
        <v>3.8300000000000001E-2</v>
      </c>
      <c r="BG33" s="496">
        <v>3.8300000000000001E-2</v>
      </c>
      <c r="BH33" s="496">
        <v>3.8300000000000001E-2</v>
      </c>
      <c r="BI33" s="496">
        <v>3.8300000000000001E-2</v>
      </c>
      <c r="BJ33" s="496">
        <v>3.8300000000000001E-2</v>
      </c>
      <c r="BK33" s="496">
        <v>3.8300000000000001E-2</v>
      </c>
      <c r="BL33" s="496">
        <v>3.8800000000000001E-2</v>
      </c>
      <c r="BM33" s="496">
        <v>3.8800000000000001E-2</v>
      </c>
      <c r="BN33" s="496">
        <v>3.8800000000000001E-2</v>
      </c>
      <c r="BO33" s="496">
        <v>3.9300000000000002E-2</v>
      </c>
      <c r="BP33" s="496">
        <v>4.0800000000000003E-2</v>
      </c>
      <c r="BQ33" s="496">
        <v>4.0800000000000003E-2</v>
      </c>
      <c r="BR33" s="496">
        <v>4.1399999999999999E-2</v>
      </c>
      <c r="BS33" s="496">
        <v>4.1399999999999999E-2</v>
      </c>
      <c r="BT33" s="496">
        <v>4.2000000000000003E-2</v>
      </c>
      <c r="BU33" s="496">
        <v>4.2000000000000003E-2</v>
      </c>
      <c r="BV33" s="496">
        <v>4.2700000000000002E-2</v>
      </c>
      <c r="BW33" s="496">
        <v>4.3799999999999999E-2</v>
      </c>
      <c r="BX33" s="496">
        <v>4.3799999999999999E-2</v>
      </c>
      <c r="BY33" s="496">
        <v>4.3799999999999999E-2</v>
      </c>
      <c r="BZ33" s="496">
        <v>4.3799999999999999E-2</v>
      </c>
      <c r="CA33" s="496">
        <v>4.48E-2</v>
      </c>
      <c r="CB33" s="496">
        <v>4.6300000000000001E-2</v>
      </c>
      <c r="CC33" s="496">
        <v>4.6800000000000001E-2</v>
      </c>
      <c r="CD33" s="496">
        <v>4.7800000000000002E-2</v>
      </c>
      <c r="CE33" s="496">
        <v>4.8399999999999999E-2</v>
      </c>
      <c r="CF33" s="496">
        <v>4.87E-2</v>
      </c>
      <c r="CG33" s="496">
        <v>4.8599999999999997E-2</v>
      </c>
      <c r="CH33" s="496">
        <v>4.87E-2</v>
      </c>
      <c r="CI33" s="496">
        <v>4.8800000000000003E-2</v>
      </c>
      <c r="CJ33" s="496">
        <v>4.87E-2</v>
      </c>
      <c r="CK33" s="496">
        <v>4.8599999999999997E-2</v>
      </c>
      <c r="CL33" s="496">
        <v>4.8599999999999997E-2</v>
      </c>
      <c r="CM33" s="496">
        <v>4.87E-2</v>
      </c>
      <c r="CN33" s="496">
        <v>4.87E-2</v>
      </c>
      <c r="CO33" s="496">
        <v>4.8599999999999997E-2</v>
      </c>
      <c r="CP33" s="496">
        <v>4.8599999999999997E-2</v>
      </c>
      <c r="CQ33" s="496">
        <v>4.8599999999999997E-2</v>
      </c>
      <c r="CR33" s="496">
        <v>4.8500000000000001E-2</v>
      </c>
      <c r="CS33" s="496">
        <v>4.8500000000000001E-2</v>
      </c>
      <c r="CT33" s="496">
        <v>4.8500000000000001E-2</v>
      </c>
      <c r="CU33" s="496">
        <v>4.8500000000000001E-2</v>
      </c>
      <c r="CV33" s="496">
        <v>4.8500000000000001E-2</v>
      </c>
      <c r="CW33" s="472">
        <v>4.9500000000000002E-2</v>
      </c>
      <c r="CX33" s="472">
        <v>4.9500000000000002E-2</v>
      </c>
      <c r="CY33" s="472">
        <v>4.9500000000000002E-2</v>
      </c>
      <c r="CZ33" s="472">
        <v>4.9599999999999998E-2</v>
      </c>
      <c r="DA33" s="472">
        <v>4.9599999999999998E-2</v>
      </c>
      <c r="DB33" s="472">
        <v>4.9599999999999998E-2</v>
      </c>
      <c r="DC33" s="484">
        <v>4.9500000000000002E-2</v>
      </c>
      <c r="DD33" s="484">
        <v>4.9599999999999998E-2</v>
      </c>
      <c r="DE33" s="472">
        <v>4.9500000000000002E-2</v>
      </c>
      <c r="DF33" s="472">
        <v>4.9500000000000002E-2</v>
      </c>
      <c r="DG33" s="472">
        <v>4.9500000000000002E-2</v>
      </c>
      <c r="DH33" s="472">
        <v>4.9599999999999998E-2</v>
      </c>
      <c r="DI33" s="472">
        <v>4.9599999999999998E-2</v>
      </c>
      <c r="DJ33" s="472">
        <v>4.9599999999999998E-2</v>
      </c>
      <c r="DK33" s="472">
        <v>4.9599999999999998E-2</v>
      </c>
      <c r="DL33" s="472">
        <v>4.9799999999999997E-2</v>
      </c>
      <c r="DM33" s="472">
        <v>4.9799999999999997E-2</v>
      </c>
      <c r="DN33" s="472">
        <v>4.99E-2</v>
      </c>
      <c r="DO33" s="472">
        <v>4.99E-2</v>
      </c>
      <c r="DP33" s="472">
        <v>4.99E-2</v>
      </c>
      <c r="DQ33" s="472">
        <v>4.9700000000000001E-2</v>
      </c>
      <c r="DR33" s="472">
        <v>4.9700000000000001E-2</v>
      </c>
      <c r="DS33" s="472">
        <v>4.9500000000000002E-2</v>
      </c>
      <c r="DT33" s="472">
        <v>4.9500000000000002E-2</v>
      </c>
      <c r="DU33" s="472">
        <v>4.9500000000000002E-2</v>
      </c>
      <c r="DV33" s="472">
        <v>4.9599999999999998E-2</v>
      </c>
      <c r="DW33" s="472">
        <v>4.9700000000000001E-2</v>
      </c>
      <c r="DX33" s="472">
        <v>4.9599999999999998E-2</v>
      </c>
      <c r="DY33" s="472">
        <v>4.9500000000000002E-2</v>
      </c>
      <c r="DZ33" s="472">
        <v>4.9500000000000002E-2</v>
      </c>
      <c r="EA33" s="472">
        <v>4.9599999999999998E-2</v>
      </c>
      <c r="EB33" s="472">
        <v>4.9599999999999998E-2</v>
      </c>
      <c r="EC33" s="472">
        <v>4.9599999999999998E-2</v>
      </c>
      <c r="ED33" s="472">
        <v>4.9500000000000002E-2</v>
      </c>
      <c r="EE33" s="472">
        <v>4.9399999999999999E-2</v>
      </c>
      <c r="EF33" s="472">
        <v>4.9399999999999999E-2</v>
      </c>
      <c r="EG33" s="472">
        <v>4.9500000000000002E-2</v>
      </c>
      <c r="EH33" s="472">
        <v>4.9500000000000002E-2</v>
      </c>
      <c r="EI33" s="472">
        <v>2.76E-2</v>
      </c>
      <c r="EJ33" s="472">
        <v>2.6200000000000001E-2</v>
      </c>
      <c r="EK33" s="472">
        <v>2.6100000000000002E-2</v>
      </c>
      <c r="EL33" s="472">
        <v>2.4899999999999999E-2</v>
      </c>
      <c r="EM33" s="472">
        <v>2.18E-2</v>
      </c>
      <c r="EN33" s="472">
        <v>4.7300000000000002E-2</v>
      </c>
      <c r="EO33" s="472">
        <v>4.7E-2</v>
      </c>
      <c r="EP33" s="472">
        <v>4.6899999999999997E-2</v>
      </c>
      <c r="EQ33" s="472">
        <v>4.6699999999999998E-2</v>
      </c>
      <c r="ER33" s="472">
        <v>4.6199999999999998E-2</v>
      </c>
      <c r="ES33" s="472">
        <v>4.5699999999999998E-2</v>
      </c>
      <c r="ET33" s="472">
        <v>4.5100000000000001E-2</v>
      </c>
      <c r="EU33" s="472">
        <v>4.4600000000000001E-2</v>
      </c>
      <c r="EV33" s="472">
        <v>4.4400000000000002E-2</v>
      </c>
      <c r="EW33" s="472">
        <v>4.3799999999999999E-2</v>
      </c>
      <c r="EX33" s="472">
        <v>4.2599999999999999E-2</v>
      </c>
      <c r="EY33" s="472">
        <v>4.2799999999999998E-2</v>
      </c>
      <c r="EZ33" s="472">
        <v>4.2599999999999999E-2</v>
      </c>
      <c r="FA33" s="472">
        <v>4.19E-2</v>
      </c>
      <c r="FB33" s="472">
        <v>4.1200000000000001E-2</v>
      </c>
      <c r="FC33" s="472">
        <v>4.1200000000000001E-2</v>
      </c>
      <c r="FD33" s="472">
        <v>4.1200000000000001E-2</v>
      </c>
      <c r="FE33" s="484">
        <v>4.1000000000000002E-2</v>
      </c>
      <c r="FF33" s="484">
        <v>4.1000000000000002E-2</v>
      </c>
      <c r="FG33" s="484">
        <v>4.0500000000000001E-2</v>
      </c>
      <c r="FH33" s="484">
        <v>3.9899999999999998E-2</v>
      </c>
      <c r="FI33" s="484">
        <v>3.9399999999999998E-2</v>
      </c>
      <c r="FJ33" s="484">
        <v>3.9E-2</v>
      </c>
      <c r="FK33" s="484">
        <v>3.9E-2</v>
      </c>
      <c r="FL33" s="484">
        <v>3.9E-2</v>
      </c>
      <c r="FM33" s="484">
        <v>3.8100000000000002E-2</v>
      </c>
      <c r="FN33" s="484">
        <v>3.7100000000000001E-2</v>
      </c>
      <c r="FO33" s="484">
        <v>3.5999999999999997E-2</v>
      </c>
      <c r="FP33" s="484">
        <v>3.4500000000000003E-2</v>
      </c>
      <c r="FQ33" s="484">
        <v>3.3500000000000002E-2</v>
      </c>
      <c r="FR33" s="484">
        <v>3.39E-2</v>
      </c>
      <c r="FS33" s="484">
        <v>3.2099999999999997E-2</v>
      </c>
      <c r="FT33" s="484">
        <v>3.0499999999999999E-2</v>
      </c>
      <c r="FU33" s="484">
        <v>2.86E-2</v>
      </c>
      <c r="FV33" s="472">
        <v>4.7500000000000001E-2</v>
      </c>
      <c r="FW33" s="472">
        <v>4.7899999999999998E-2</v>
      </c>
      <c r="FX33" s="472">
        <v>4.8899999999999999E-2</v>
      </c>
      <c r="FY33" s="472">
        <v>4.8300000000000003E-2</v>
      </c>
      <c r="FZ33" s="472">
        <v>4.7699999999999999E-2</v>
      </c>
      <c r="GA33" s="472">
        <v>4.7300000000000002E-2</v>
      </c>
      <c r="GB33" s="472">
        <v>4.7100000000000003E-2</v>
      </c>
      <c r="GC33" s="472">
        <v>4.7300000000000002E-2</v>
      </c>
      <c r="GD33" s="472">
        <v>2.6100000000000002E-2</v>
      </c>
      <c r="GE33" s="472">
        <v>2.6100000000000002E-2</v>
      </c>
      <c r="GF33" s="472">
        <v>2.6100000000000002E-2</v>
      </c>
      <c r="GG33" s="472">
        <v>2.6100000000000002E-2</v>
      </c>
      <c r="GH33" s="472">
        <v>2.6100000000000002E-2</v>
      </c>
      <c r="GI33" s="472">
        <v>2.6100000000000002E-2</v>
      </c>
      <c r="GJ33" s="472">
        <v>2.6100000000000002E-2</v>
      </c>
      <c r="GK33" s="472">
        <v>2.6100000000000002E-2</v>
      </c>
      <c r="GL33" s="472">
        <v>2.6100000000000002E-2</v>
      </c>
      <c r="GM33" s="472">
        <v>2.6100000000000002E-2</v>
      </c>
      <c r="GN33" s="472">
        <v>2.6100000000000002E-2</v>
      </c>
      <c r="GO33" s="472">
        <v>2.6100000000000002E-2</v>
      </c>
      <c r="GP33" s="472">
        <v>2.6100000000000002E-2</v>
      </c>
      <c r="GQ33" s="472">
        <v>2.6100000000000002E-2</v>
      </c>
      <c r="GR33" s="472">
        <v>2.6100000000000002E-2</v>
      </c>
      <c r="GS33" s="472">
        <v>2.6100000000000002E-2</v>
      </c>
      <c r="GT33" s="472">
        <v>2.6100000000000002E-2</v>
      </c>
      <c r="GU33" s="472">
        <v>2.6100000000000002E-2</v>
      </c>
      <c r="GV33" s="472">
        <v>2.6100000000000002E-2</v>
      </c>
      <c r="GW33" s="472">
        <v>2.6100000000000002E-2</v>
      </c>
      <c r="GX33" s="472">
        <v>2.6100000000000002E-2</v>
      </c>
      <c r="GY33" s="472">
        <v>2.6100000000000002E-2</v>
      </c>
      <c r="GZ33" s="472">
        <v>2.6100000000000002E-2</v>
      </c>
      <c r="HA33" s="472">
        <v>2.6100000000000002E-2</v>
      </c>
      <c r="HB33" s="472">
        <v>2.6100000000000002E-2</v>
      </c>
      <c r="HC33" s="472">
        <v>2.6100000000000002E-2</v>
      </c>
      <c r="HD33" s="472">
        <v>2.6100000000000002E-2</v>
      </c>
      <c r="HE33" s="472">
        <v>2.6100000000000002E-2</v>
      </c>
      <c r="HF33" s="472">
        <v>2.6100000000000002E-2</v>
      </c>
      <c r="HG33" s="472">
        <v>2.6100000000000002E-2</v>
      </c>
      <c r="HH33" s="472">
        <v>2.6100000000000002E-2</v>
      </c>
      <c r="HI33" s="472">
        <v>2.6100000000000002E-2</v>
      </c>
      <c r="HJ33" s="472">
        <v>2.6100000000000002E-2</v>
      </c>
      <c r="HK33" s="472">
        <v>2.6100000000000002E-2</v>
      </c>
      <c r="HL33" s="472">
        <v>2.6100000000000002E-2</v>
      </c>
      <c r="HM33" s="472">
        <v>2.6100000000000002E-2</v>
      </c>
      <c r="HN33" s="472">
        <v>2.6100000000000002E-2</v>
      </c>
      <c r="HO33" s="472">
        <v>2.6100000000000002E-2</v>
      </c>
      <c r="HP33" s="473">
        <f t="shared" si="12"/>
        <v>0</v>
      </c>
      <c r="HQ33" s="1146"/>
    </row>
    <row r="34" spans="2:225">
      <c r="B34" s="1152"/>
      <c r="C34" s="729" t="s">
        <v>254</v>
      </c>
      <c r="D34" s="664">
        <v>3.1399999999999997E-2</v>
      </c>
      <c r="E34" s="664">
        <v>3.1399999999999997E-2</v>
      </c>
      <c r="F34" s="666">
        <v>3.1E-2</v>
      </c>
      <c r="G34" s="664">
        <v>3.1E-2</v>
      </c>
      <c r="H34" s="664">
        <v>3.09E-2</v>
      </c>
      <c r="I34" s="666">
        <v>3.1E-2</v>
      </c>
      <c r="J34" s="666">
        <v>3.1E-2</v>
      </c>
      <c r="K34" s="664">
        <v>3.1E-2</v>
      </c>
      <c r="L34" s="664">
        <v>3.1600000000000003E-2</v>
      </c>
      <c r="M34" s="664">
        <v>3.2000000000000001E-2</v>
      </c>
      <c r="N34" s="664">
        <v>3.2599999999999997E-2</v>
      </c>
      <c r="O34" s="666">
        <v>3.32E-2</v>
      </c>
      <c r="P34" s="664">
        <v>3.32E-2</v>
      </c>
      <c r="Q34" s="664">
        <v>3.3700000000000001E-2</v>
      </c>
      <c r="R34" s="664">
        <v>3.3099999999999997E-2</v>
      </c>
      <c r="S34" s="664">
        <v>3.3300000000000003E-2</v>
      </c>
      <c r="T34" s="494">
        <v>3.4000000000000002E-2</v>
      </c>
      <c r="U34" s="494">
        <v>3.39E-2</v>
      </c>
      <c r="V34" s="494">
        <v>3.4099999999999998E-2</v>
      </c>
      <c r="W34" s="494">
        <v>3.3899999999999986E-2</v>
      </c>
      <c r="X34" s="494">
        <v>3.4499999999999989E-2</v>
      </c>
      <c r="Y34" s="494">
        <v>3.4599999999999992E-2</v>
      </c>
      <c r="Z34" s="494">
        <v>3.5399999999999994E-2</v>
      </c>
      <c r="AA34" s="494">
        <v>3.5499999999999997E-2</v>
      </c>
      <c r="AB34" s="494">
        <v>3.6400000000000002E-2</v>
      </c>
      <c r="AC34" s="494">
        <v>3.6200000000000003E-2</v>
      </c>
      <c r="AD34" s="494">
        <v>3.6600000000000001E-2</v>
      </c>
      <c r="AE34" s="494">
        <v>3.73E-2</v>
      </c>
      <c r="AF34" s="494">
        <v>3.8399999999999997E-2</v>
      </c>
      <c r="AG34" s="494">
        <v>3.8699999999999998E-2</v>
      </c>
      <c r="AH34" s="495">
        <v>3.8899999999999997E-2</v>
      </c>
      <c r="AI34" s="495">
        <v>3.8699999999999998E-2</v>
      </c>
      <c r="AJ34" s="495">
        <v>3.8800000000000001E-2</v>
      </c>
      <c r="AK34" s="495">
        <v>3.8800000000000001E-2</v>
      </c>
      <c r="AL34" s="496">
        <v>3.8800000000000001E-2</v>
      </c>
      <c r="AM34" s="497">
        <v>3.8800000000000001E-2</v>
      </c>
      <c r="AN34" s="495">
        <v>3.8600000000000002E-2</v>
      </c>
      <c r="AO34" s="497">
        <v>3.8600000000000002E-2</v>
      </c>
      <c r="AP34" s="495">
        <v>3.85E-2</v>
      </c>
      <c r="AQ34" s="495">
        <v>3.85E-2</v>
      </c>
      <c r="AR34" s="497">
        <v>3.85E-2</v>
      </c>
      <c r="AS34" s="495">
        <v>3.8600000000000002E-2</v>
      </c>
      <c r="AT34" s="495">
        <v>3.8600000000000002E-2</v>
      </c>
      <c r="AU34" s="495">
        <v>3.8600000000000002E-2</v>
      </c>
      <c r="AV34" s="497">
        <v>3.8600000000000002E-2</v>
      </c>
      <c r="AW34" s="496">
        <v>3.9199999999999999E-2</v>
      </c>
      <c r="AX34" s="496">
        <v>3.85E-2</v>
      </c>
      <c r="AY34" s="496">
        <v>3.85E-2</v>
      </c>
      <c r="AZ34" s="496">
        <v>3.85E-2</v>
      </c>
      <c r="BA34" s="496">
        <v>3.85E-2</v>
      </c>
      <c r="BB34" s="496">
        <v>3.85E-2</v>
      </c>
      <c r="BC34" s="496">
        <v>3.85E-2</v>
      </c>
      <c r="BD34" s="496">
        <v>3.8300000000000001E-2</v>
      </c>
      <c r="BE34" s="496">
        <v>3.8300000000000001E-2</v>
      </c>
      <c r="BF34" s="496">
        <v>3.8300000000000001E-2</v>
      </c>
      <c r="BG34" s="496">
        <v>3.8300000000000001E-2</v>
      </c>
      <c r="BH34" s="496">
        <v>3.8300000000000001E-2</v>
      </c>
      <c r="BI34" s="496">
        <v>3.8300000000000001E-2</v>
      </c>
      <c r="BJ34" s="496">
        <v>3.8300000000000001E-2</v>
      </c>
      <c r="BK34" s="496">
        <v>3.8300000000000001E-2</v>
      </c>
      <c r="BL34" s="496">
        <v>3.8800000000000001E-2</v>
      </c>
      <c r="BM34" s="496">
        <v>3.8800000000000001E-2</v>
      </c>
      <c r="BN34" s="496">
        <v>3.8800000000000001E-2</v>
      </c>
      <c r="BO34" s="496">
        <v>3.9300000000000002E-2</v>
      </c>
      <c r="BP34" s="496">
        <v>4.0800000000000003E-2</v>
      </c>
      <c r="BQ34" s="496">
        <v>4.0800000000000003E-2</v>
      </c>
      <c r="BR34" s="496">
        <v>4.1399999999999999E-2</v>
      </c>
      <c r="BS34" s="496">
        <v>4.1399999999999999E-2</v>
      </c>
      <c r="BT34" s="496">
        <v>4.2000000000000003E-2</v>
      </c>
      <c r="BU34" s="496">
        <v>4.2000000000000003E-2</v>
      </c>
      <c r="BV34" s="496">
        <v>4.2700000000000002E-2</v>
      </c>
      <c r="BW34" s="496">
        <v>4.3799999999999999E-2</v>
      </c>
      <c r="BX34" s="496">
        <v>4.3799999999999999E-2</v>
      </c>
      <c r="BY34" s="496">
        <v>4.3799999999999999E-2</v>
      </c>
      <c r="BZ34" s="496">
        <v>4.3799999999999999E-2</v>
      </c>
      <c r="CA34" s="496">
        <v>4.48E-2</v>
      </c>
      <c r="CB34" s="496">
        <v>4.6300000000000001E-2</v>
      </c>
      <c r="CC34" s="496">
        <v>4.6800000000000001E-2</v>
      </c>
      <c r="CD34" s="496">
        <v>4.7800000000000002E-2</v>
      </c>
      <c r="CE34" s="496">
        <v>4.8399999999999999E-2</v>
      </c>
      <c r="CF34" s="496">
        <v>4.87E-2</v>
      </c>
      <c r="CG34" s="496">
        <v>4.8599999999999997E-2</v>
      </c>
      <c r="CH34" s="496">
        <v>4.87E-2</v>
      </c>
      <c r="CI34" s="496">
        <v>4.8800000000000003E-2</v>
      </c>
      <c r="CJ34" s="496">
        <v>4.87E-2</v>
      </c>
      <c r="CK34" s="496">
        <v>4.8599999999999997E-2</v>
      </c>
      <c r="CL34" s="496">
        <v>4.8599999999999997E-2</v>
      </c>
      <c r="CM34" s="496">
        <v>4.87E-2</v>
      </c>
      <c r="CN34" s="496">
        <v>4.87E-2</v>
      </c>
      <c r="CO34" s="496">
        <v>4.8599999999999997E-2</v>
      </c>
      <c r="CP34" s="496">
        <v>4.8599999999999997E-2</v>
      </c>
      <c r="CQ34" s="496">
        <v>4.8599999999999997E-2</v>
      </c>
      <c r="CR34" s="496">
        <v>4.8500000000000001E-2</v>
      </c>
      <c r="CS34" s="496">
        <v>4.8500000000000001E-2</v>
      </c>
      <c r="CT34" s="496">
        <v>4.8500000000000001E-2</v>
      </c>
      <c r="CU34" s="496">
        <v>4.8500000000000001E-2</v>
      </c>
      <c r="CV34" s="496">
        <v>4.8500000000000001E-2</v>
      </c>
      <c r="CW34" s="472">
        <v>4.9500000000000002E-2</v>
      </c>
      <c r="CX34" s="472">
        <v>4.9500000000000002E-2</v>
      </c>
      <c r="CY34" s="472">
        <v>4.9500000000000002E-2</v>
      </c>
      <c r="CZ34" s="472">
        <v>4.9599999999999998E-2</v>
      </c>
      <c r="DA34" s="472">
        <v>4.9599999999999998E-2</v>
      </c>
      <c r="DB34" s="472">
        <v>4.9599999999999998E-2</v>
      </c>
      <c r="DC34" s="484">
        <v>4.9500000000000002E-2</v>
      </c>
      <c r="DD34" s="484">
        <v>4.9599999999999998E-2</v>
      </c>
      <c r="DE34" s="472">
        <v>4.9500000000000002E-2</v>
      </c>
      <c r="DF34" s="472">
        <v>4.9500000000000002E-2</v>
      </c>
      <c r="DG34" s="472">
        <v>4.9500000000000002E-2</v>
      </c>
      <c r="DH34" s="472">
        <v>4.9599999999999998E-2</v>
      </c>
      <c r="DI34" s="472">
        <v>4.9599999999999998E-2</v>
      </c>
      <c r="DJ34" s="472">
        <v>4.9599999999999998E-2</v>
      </c>
      <c r="DK34" s="472">
        <v>4.9599999999999998E-2</v>
      </c>
      <c r="DL34" s="472">
        <v>4.9799999999999997E-2</v>
      </c>
      <c r="DM34" s="472">
        <v>4.9799999999999997E-2</v>
      </c>
      <c r="DN34" s="472">
        <v>4.99E-2</v>
      </c>
      <c r="DO34" s="472">
        <v>4.99E-2</v>
      </c>
      <c r="DP34" s="472">
        <v>4.99E-2</v>
      </c>
      <c r="DQ34" s="472">
        <v>4.9700000000000001E-2</v>
      </c>
      <c r="DR34" s="472">
        <v>4.9700000000000001E-2</v>
      </c>
      <c r="DS34" s="472">
        <v>4.9500000000000002E-2</v>
      </c>
      <c r="DT34" s="472">
        <v>4.9500000000000002E-2</v>
      </c>
      <c r="DU34" s="472">
        <v>4.9500000000000002E-2</v>
      </c>
      <c r="DV34" s="472">
        <v>4.9599999999999998E-2</v>
      </c>
      <c r="DW34" s="472">
        <v>4.9700000000000001E-2</v>
      </c>
      <c r="DX34" s="472">
        <v>4.9599999999999998E-2</v>
      </c>
      <c r="DY34" s="472">
        <v>4.9500000000000002E-2</v>
      </c>
      <c r="DZ34" s="472">
        <v>4.9500000000000002E-2</v>
      </c>
      <c r="EA34" s="472">
        <v>4.9599999999999998E-2</v>
      </c>
      <c r="EB34" s="472">
        <v>4.9599999999999998E-2</v>
      </c>
      <c r="EC34" s="472">
        <v>4.9599999999999998E-2</v>
      </c>
      <c r="ED34" s="472">
        <v>4.9500000000000002E-2</v>
      </c>
      <c r="EE34" s="472">
        <v>4.9399999999999999E-2</v>
      </c>
      <c r="EF34" s="472">
        <v>4.9399999999999999E-2</v>
      </c>
      <c r="EG34" s="472">
        <v>4.9500000000000002E-2</v>
      </c>
      <c r="EH34" s="472">
        <v>4.9500000000000002E-2</v>
      </c>
      <c r="EI34" s="472">
        <v>2.76E-2</v>
      </c>
      <c r="EJ34" s="472">
        <v>2.6200000000000001E-2</v>
      </c>
      <c r="EK34" s="472">
        <v>2.6100000000000002E-2</v>
      </c>
      <c r="EL34" s="472">
        <v>2.4899999999999999E-2</v>
      </c>
      <c r="EM34" s="472">
        <v>2.18E-2</v>
      </c>
      <c r="EN34" s="472">
        <v>4.7300000000000002E-2</v>
      </c>
      <c r="EO34" s="472">
        <v>4.7E-2</v>
      </c>
      <c r="EP34" s="472">
        <v>4.6899999999999997E-2</v>
      </c>
      <c r="EQ34" s="472">
        <v>4.6699999999999998E-2</v>
      </c>
      <c r="ER34" s="472">
        <v>4.6199999999999998E-2</v>
      </c>
      <c r="ES34" s="472">
        <v>4.5699999999999998E-2</v>
      </c>
      <c r="ET34" s="472">
        <v>4.5100000000000001E-2</v>
      </c>
      <c r="EU34" s="472">
        <v>4.4600000000000001E-2</v>
      </c>
      <c r="EV34" s="472">
        <v>4.4400000000000002E-2</v>
      </c>
      <c r="EW34" s="472">
        <v>4.3799999999999999E-2</v>
      </c>
      <c r="EX34" s="472">
        <v>4.2599999999999999E-2</v>
      </c>
      <c r="EY34" s="472">
        <v>4.2799999999999998E-2</v>
      </c>
      <c r="EZ34" s="472">
        <v>4.2599999999999999E-2</v>
      </c>
      <c r="FA34" s="472">
        <v>4.19E-2</v>
      </c>
      <c r="FB34" s="472">
        <v>4.1200000000000001E-2</v>
      </c>
      <c r="FC34" s="472">
        <v>4.1200000000000001E-2</v>
      </c>
      <c r="FD34" s="472">
        <v>4.1200000000000001E-2</v>
      </c>
      <c r="FE34" s="484">
        <v>4.1000000000000002E-2</v>
      </c>
      <c r="FF34" s="484">
        <v>4.1000000000000002E-2</v>
      </c>
      <c r="FG34" s="484">
        <v>4.0500000000000001E-2</v>
      </c>
      <c r="FH34" s="484">
        <v>3.9899999999999998E-2</v>
      </c>
      <c r="FI34" s="484">
        <v>3.9399999999999998E-2</v>
      </c>
      <c r="FJ34" s="484">
        <v>3.9E-2</v>
      </c>
      <c r="FK34" s="484">
        <v>3.9E-2</v>
      </c>
      <c r="FL34" s="484">
        <v>3.9E-2</v>
      </c>
      <c r="FM34" s="484">
        <v>3.8100000000000002E-2</v>
      </c>
      <c r="FN34" s="484">
        <v>3.7100000000000001E-2</v>
      </c>
      <c r="FO34" s="484">
        <v>3.5999999999999997E-2</v>
      </c>
      <c r="FP34" s="484">
        <v>3.4500000000000003E-2</v>
      </c>
      <c r="FQ34" s="484">
        <v>3.4000000000000002E-2</v>
      </c>
      <c r="FR34" s="484">
        <v>3.39E-2</v>
      </c>
      <c r="FS34" s="484">
        <v>3.2099999999999997E-2</v>
      </c>
      <c r="FT34" s="484">
        <v>3.0499999999999999E-2</v>
      </c>
      <c r="FU34" s="484">
        <v>2.86E-2</v>
      </c>
      <c r="FV34" s="472">
        <v>4.7500000000000001E-2</v>
      </c>
      <c r="FW34" s="472">
        <v>4.7899999999999998E-2</v>
      </c>
      <c r="FX34" s="472">
        <v>4.8899999999999999E-2</v>
      </c>
      <c r="FY34" s="472">
        <v>4.8300000000000003E-2</v>
      </c>
      <c r="FZ34" s="472">
        <v>4.7699999999999999E-2</v>
      </c>
      <c r="GA34" s="472">
        <v>4.7300000000000002E-2</v>
      </c>
      <c r="GB34" s="472">
        <v>4.7100000000000003E-2</v>
      </c>
      <c r="GC34" s="472">
        <v>4.7300000000000002E-2</v>
      </c>
      <c r="GD34" s="472">
        <v>2.6100000000000002E-2</v>
      </c>
      <c r="GE34" s="472">
        <v>2.6100000000000002E-2</v>
      </c>
      <c r="GF34" s="472">
        <v>2.6100000000000002E-2</v>
      </c>
      <c r="GG34" s="472">
        <v>2.6100000000000002E-2</v>
      </c>
      <c r="GH34" s="472">
        <v>2.6100000000000002E-2</v>
      </c>
      <c r="GI34" s="472">
        <v>2.6100000000000002E-2</v>
      </c>
      <c r="GJ34" s="472">
        <v>2.6100000000000002E-2</v>
      </c>
      <c r="GK34" s="472">
        <v>2.6100000000000002E-2</v>
      </c>
      <c r="GL34" s="472">
        <v>2.6100000000000002E-2</v>
      </c>
      <c r="GM34" s="472">
        <v>2.6100000000000002E-2</v>
      </c>
      <c r="GN34" s="472">
        <v>2.6100000000000002E-2</v>
      </c>
      <c r="GO34" s="472">
        <v>2.6100000000000002E-2</v>
      </c>
      <c r="GP34" s="472">
        <v>2.6100000000000002E-2</v>
      </c>
      <c r="GQ34" s="472">
        <v>2.6100000000000002E-2</v>
      </c>
      <c r="GR34" s="472">
        <v>2.6100000000000002E-2</v>
      </c>
      <c r="GS34" s="472">
        <v>2.6100000000000002E-2</v>
      </c>
      <c r="GT34" s="472">
        <v>2.6100000000000002E-2</v>
      </c>
      <c r="GU34" s="472">
        <v>2.6100000000000002E-2</v>
      </c>
      <c r="GV34" s="472">
        <v>2.6100000000000002E-2</v>
      </c>
      <c r="GW34" s="472">
        <v>2.6100000000000002E-2</v>
      </c>
      <c r="GX34" s="472">
        <v>2.6100000000000002E-2</v>
      </c>
      <c r="GY34" s="472">
        <v>2.6100000000000002E-2</v>
      </c>
      <c r="GZ34" s="472">
        <v>2.6100000000000002E-2</v>
      </c>
      <c r="HA34" s="472">
        <v>2.6100000000000002E-2</v>
      </c>
      <c r="HB34" s="472">
        <v>2.6100000000000002E-2</v>
      </c>
      <c r="HC34" s="472">
        <v>2.6100000000000002E-2</v>
      </c>
      <c r="HD34" s="472">
        <v>2.6100000000000002E-2</v>
      </c>
      <c r="HE34" s="472">
        <v>2.6100000000000002E-2</v>
      </c>
      <c r="HF34" s="472">
        <v>2.6100000000000002E-2</v>
      </c>
      <c r="HG34" s="472">
        <v>2.6100000000000002E-2</v>
      </c>
      <c r="HH34" s="472">
        <v>2.6100000000000002E-2</v>
      </c>
      <c r="HI34" s="472">
        <v>2.6100000000000002E-2</v>
      </c>
      <c r="HJ34" s="472">
        <v>2.6100000000000002E-2</v>
      </c>
      <c r="HK34" s="472">
        <v>2.6100000000000002E-2</v>
      </c>
      <c r="HL34" s="472">
        <v>2.6100000000000002E-2</v>
      </c>
      <c r="HM34" s="472">
        <v>2.6100000000000002E-2</v>
      </c>
      <c r="HN34" s="472">
        <v>2.6100000000000002E-2</v>
      </c>
      <c r="HO34" s="472">
        <v>2.6100000000000002E-2</v>
      </c>
      <c r="HP34" s="473">
        <f t="shared" si="12"/>
        <v>0</v>
      </c>
      <c r="HQ34" s="1146"/>
    </row>
    <row r="35" spans="2:225">
      <c r="B35" s="1152"/>
      <c r="C35" s="729" t="s">
        <v>253</v>
      </c>
      <c r="D35" s="664">
        <v>3.2399999999999998E-2</v>
      </c>
      <c r="E35" s="664">
        <v>3.2399999999999998E-2</v>
      </c>
      <c r="F35" s="666">
        <v>3.2000000000000001E-2</v>
      </c>
      <c r="G35" s="664">
        <v>3.2000000000000001E-2</v>
      </c>
      <c r="H35" s="664">
        <v>3.1899999999999998E-2</v>
      </c>
      <c r="I35" s="666">
        <v>3.2000000000000001E-2</v>
      </c>
      <c r="J35" s="666">
        <v>3.2000000000000001E-2</v>
      </c>
      <c r="K35" s="664">
        <v>3.2000000000000001E-2</v>
      </c>
      <c r="L35" s="664">
        <v>3.2599999999999997E-2</v>
      </c>
      <c r="M35" s="664">
        <v>3.3000000000000002E-2</v>
      </c>
      <c r="N35" s="664">
        <v>3.3599999999999998E-2</v>
      </c>
      <c r="O35" s="666">
        <v>3.4200000000000001E-2</v>
      </c>
      <c r="P35" s="664">
        <v>3.4200000000000001E-2</v>
      </c>
      <c r="Q35" s="664">
        <v>3.4700000000000002E-2</v>
      </c>
      <c r="R35" s="664">
        <v>3.4099999999999998E-2</v>
      </c>
      <c r="S35" s="664">
        <v>3.4300000000000004E-2</v>
      </c>
      <c r="T35" s="494">
        <v>3.5000000000000003E-2</v>
      </c>
      <c r="U35" s="494">
        <v>3.49E-2</v>
      </c>
      <c r="V35" s="494">
        <v>3.5099999999999999E-2</v>
      </c>
      <c r="W35" s="494">
        <v>3.4899999999999987E-2</v>
      </c>
      <c r="X35" s="494">
        <v>3.549999999999999E-2</v>
      </c>
      <c r="Y35" s="494">
        <v>3.5599999999999993E-2</v>
      </c>
      <c r="Z35" s="494">
        <v>3.6399999999999995E-2</v>
      </c>
      <c r="AA35" s="494">
        <v>3.6499999999999998E-2</v>
      </c>
      <c r="AB35" s="494">
        <v>3.7400000000000003E-2</v>
      </c>
      <c r="AC35" s="494">
        <v>3.7199999999999997E-2</v>
      </c>
      <c r="AD35" s="494">
        <v>3.7600000000000001E-2</v>
      </c>
      <c r="AE35" s="494">
        <v>3.8300000000000001E-2</v>
      </c>
      <c r="AF35" s="494">
        <v>3.9399999999999998E-2</v>
      </c>
      <c r="AG35" s="494">
        <v>3.9699999999999999E-2</v>
      </c>
      <c r="AH35" s="495">
        <v>3.9899999999999998E-2</v>
      </c>
      <c r="AI35" s="495">
        <v>3.9699999999999999E-2</v>
      </c>
      <c r="AJ35" s="495">
        <v>3.9800000000000002E-2</v>
      </c>
      <c r="AK35" s="495">
        <v>3.9800000000000002E-2</v>
      </c>
      <c r="AL35" s="496">
        <v>3.9800000000000002E-2</v>
      </c>
      <c r="AM35" s="497">
        <v>3.9800000000000002E-2</v>
      </c>
      <c r="AN35" s="495">
        <v>3.9600000000000003E-2</v>
      </c>
      <c r="AO35" s="497">
        <v>3.9600000000000003E-2</v>
      </c>
      <c r="AP35" s="495">
        <v>3.95E-2</v>
      </c>
      <c r="AQ35" s="495">
        <v>3.95E-2</v>
      </c>
      <c r="AR35" s="497">
        <v>3.95E-2</v>
      </c>
      <c r="AS35" s="495">
        <v>3.9600000000000003E-2</v>
      </c>
      <c r="AT35" s="495">
        <v>3.9600000000000003E-2</v>
      </c>
      <c r="AU35" s="495">
        <v>3.9600000000000003E-2</v>
      </c>
      <c r="AV35" s="497">
        <v>3.9600000000000003E-2</v>
      </c>
      <c r="AW35" s="496">
        <v>4.02E-2</v>
      </c>
      <c r="AX35" s="496">
        <v>3.95E-2</v>
      </c>
      <c r="AY35" s="496">
        <v>3.95E-2</v>
      </c>
      <c r="AZ35" s="496">
        <v>3.95E-2</v>
      </c>
      <c r="BA35" s="496">
        <v>3.95E-2</v>
      </c>
      <c r="BB35" s="496">
        <v>3.95E-2</v>
      </c>
      <c r="BC35" s="496">
        <v>3.95E-2</v>
      </c>
      <c r="BD35" s="496">
        <v>3.9300000000000002E-2</v>
      </c>
      <c r="BE35" s="496">
        <v>3.9300000000000002E-2</v>
      </c>
      <c r="BF35" s="496">
        <v>3.9300000000000002E-2</v>
      </c>
      <c r="BG35" s="496">
        <v>3.9300000000000002E-2</v>
      </c>
      <c r="BH35" s="496">
        <v>3.9300000000000002E-2</v>
      </c>
      <c r="BI35" s="496">
        <v>3.9300000000000002E-2</v>
      </c>
      <c r="BJ35" s="496">
        <v>3.9300000000000002E-2</v>
      </c>
      <c r="BK35" s="496">
        <v>3.9300000000000002E-2</v>
      </c>
      <c r="BL35" s="496">
        <v>3.9800000000000002E-2</v>
      </c>
      <c r="BM35" s="496">
        <v>3.9800000000000002E-2</v>
      </c>
      <c r="BN35" s="496">
        <v>3.9800000000000002E-2</v>
      </c>
      <c r="BO35" s="496">
        <v>4.0300000000000002E-2</v>
      </c>
      <c r="BP35" s="496">
        <v>4.1799999999999997E-2</v>
      </c>
      <c r="BQ35" s="496">
        <v>4.1799999999999997E-2</v>
      </c>
      <c r="BR35" s="496">
        <v>4.24E-2</v>
      </c>
      <c r="BS35" s="496">
        <v>4.24E-2</v>
      </c>
      <c r="BT35" s="496">
        <v>4.2999999999999997E-2</v>
      </c>
      <c r="BU35" s="496">
        <v>4.2999999999999997E-2</v>
      </c>
      <c r="BV35" s="496">
        <v>4.3700000000000003E-2</v>
      </c>
      <c r="BW35" s="496">
        <v>4.48E-2</v>
      </c>
      <c r="BX35" s="496">
        <v>4.48E-2</v>
      </c>
      <c r="BY35" s="496">
        <v>4.48E-2</v>
      </c>
      <c r="BZ35" s="496">
        <v>4.48E-2</v>
      </c>
      <c r="CA35" s="496">
        <v>4.58E-2</v>
      </c>
      <c r="CB35" s="496">
        <v>4.7300000000000002E-2</v>
      </c>
      <c r="CC35" s="496">
        <v>4.7800000000000002E-2</v>
      </c>
      <c r="CD35" s="496">
        <v>4.8800000000000003E-2</v>
      </c>
      <c r="CE35" s="496">
        <v>4.9399999999999999E-2</v>
      </c>
      <c r="CF35" s="496">
        <v>4.9700000000000001E-2</v>
      </c>
      <c r="CG35" s="496">
        <v>4.9599999999999998E-2</v>
      </c>
      <c r="CH35" s="496">
        <v>4.9700000000000001E-2</v>
      </c>
      <c r="CI35" s="496">
        <v>4.9799999999999997E-2</v>
      </c>
      <c r="CJ35" s="496">
        <v>4.9700000000000001E-2</v>
      </c>
      <c r="CK35" s="496">
        <v>4.9599999999999998E-2</v>
      </c>
      <c r="CL35" s="496">
        <v>4.9599999999999998E-2</v>
      </c>
      <c r="CM35" s="496">
        <v>4.9700000000000001E-2</v>
      </c>
      <c r="CN35" s="496">
        <v>4.9700000000000001E-2</v>
      </c>
      <c r="CO35" s="496">
        <v>4.9599999999999998E-2</v>
      </c>
      <c r="CP35" s="496">
        <v>4.9599999999999998E-2</v>
      </c>
      <c r="CQ35" s="496">
        <v>4.9599999999999998E-2</v>
      </c>
      <c r="CR35" s="496">
        <v>4.9500000000000002E-2</v>
      </c>
      <c r="CS35" s="496">
        <v>4.9500000000000002E-2</v>
      </c>
      <c r="CT35" s="496">
        <v>4.9500000000000002E-2</v>
      </c>
      <c r="CU35" s="496">
        <v>4.9500000000000002E-2</v>
      </c>
      <c r="CV35" s="496">
        <v>4.9500000000000002E-2</v>
      </c>
      <c r="CW35" s="472">
        <v>5.0500000000000003E-2</v>
      </c>
      <c r="CX35" s="472">
        <v>5.0500000000000003E-2</v>
      </c>
      <c r="CY35" s="472">
        <v>5.0500000000000003E-2</v>
      </c>
      <c r="CZ35" s="472">
        <v>5.0599999999999999E-2</v>
      </c>
      <c r="DA35" s="472">
        <v>5.0599999999999999E-2</v>
      </c>
      <c r="DB35" s="472">
        <v>5.0599999999999999E-2</v>
      </c>
      <c r="DC35" s="484">
        <v>5.0500000000000003E-2</v>
      </c>
      <c r="DD35" s="484">
        <v>5.0599999999999999E-2</v>
      </c>
      <c r="DE35" s="472">
        <v>5.0540000000000002E-2</v>
      </c>
      <c r="DF35" s="472">
        <v>5.0540000000000002E-2</v>
      </c>
      <c r="DG35" s="472">
        <v>5.0540000000000002E-2</v>
      </c>
      <c r="DH35" s="472">
        <v>5.0599999999999999E-2</v>
      </c>
      <c r="DI35" s="472">
        <v>5.0599999999999999E-2</v>
      </c>
      <c r="DJ35" s="472">
        <v>5.0599999999999999E-2</v>
      </c>
      <c r="DK35" s="472">
        <v>5.0599999999999999E-2</v>
      </c>
      <c r="DL35" s="472">
        <v>5.0799999999999998E-2</v>
      </c>
      <c r="DM35" s="472">
        <v>5.0799999999999998E-2</v>
      </c>
      <c r="DN35" s="472">
        <v>5.0900000000000001E-2</v>
      </c>
      <c r="DO35" s="472">
        <v>5.0900000000000001E-2</v>
      </c>
      <c r="DP35" s="472">
        <v>5.0900000000000001E-2</v>
      </c>
      <c r="DQ35" s="472">
        <v>5.0700000000000002E-2</v>
      </c>
      <c r="DR35" s="472">
        <v>5.0700000000000002E-2</v>
      </c>
      <c r="DS35" s="472">
        <v>5.0500000000000003E-2</v>
      </c>
      <c r="DT35" s="472">
        <v>5.0500000000000003E-2</v>
      </c>
      <c r="DU35" s="472">
        <v>5.0500000000000003E-2</v>
      </c>
      <c r="DV35" s="472">
        <v>5.0599999999999999E-2</v>
      </c>
      <c r="DW35" s="472">
        <v>5.0700000000000002E-2</v>
      </c>
      <c r="DX35" s="472">
        <v>5.0599999999999999E-2</v>
      </c>
      <c r="DY35" s="472">
        <v>5.0500000000000003E-2</v>
      </c>
      <c r="DZ35" s="472">
        <v>5.0500000000000003E-2</v>
      </c>
      <c r="EA35" s="472">
        <v>5.0599999999999999E-2</v>
      </c>
      <c r="EB35" s="472">
        <v>5.0599999999999999E-2</v>
      </c>
      <c r="EC35" s="472">
        <v>5.0599999999999999E-2</v>
      </c>
      <c r="ED35" s="472">
        <v>5.0500000000000003E-2</v>
      </c>
      <c r="EE35" s="472">
        <v>5.04E-2</v>
      </c>
      <c r="EF35" s="472">
        <v>5.04E-2</v>
      </c>
      <c r="EG35" s="472">
        <v>5.0500000000000003E-2</v>
      </c>
      <c r="EH35" s="472">
        <v>5.0500000000000003E-2</v>
      </c>
      <c r="EI35" s="472">
        <v>2.86E-2</v>
      </c>
      <c r="EJ35" s="472">
        <v>2.7199999999999998E-2</v>
      </c>
      <c r="EK35" s="472">
        <v>2.7099999999999999E-2</v>
      </c>
      <c r="EL35" s="472">
        <v>2.5899999999999999E-2</v>
      </c>
      <c r="EM35" s="472">
        <v>2.2800000000000001E-2</v>
      </c>
      <c r="EN35" s="472">
        <v>4.8300000000000003E-2</v>
      </c>
      <c r="EO35" s="472">
        <v>4.8000000000000001E-2</v>
      </c>
      <c r="EP35" s="472">
        <v>4.7899999999999998E-2</v>
      </c>
      <c r="EQ35" s="472">
        <v>4.7699999999999999E-2</v>
      </c>
      <c r="ER35" s="472">
        <v>4.7199999999999999E-2</v>
      </c>
      <c r="ES35" s="472">
        <v>4.6699999999999998E-2</v>
      </c>
      <c r="ET35" s="472">
        <v>4.6100000000000002E-2</v>
      </c>
      <c r="EU35" s="472">
        <v>4.5600000000000002E-2</v>
      </c>
      <c r="EV35" s="472">
        <v>4.5400000000000003E-2</v>
      </c>
      <c r="EW35" s="472">
        <v>4.48E-2</v>
      </c>
      <c r="EX35" s="472">
        <v>4.36E-2</v>
      </c>
      <c r="EY35" s="472">
        <v>4.3799999999999999E-2</v>
      </c>
      <c r="EZ35" s="472">
        <v>4.36E-2</v>
      </c>
      <c r="FA35" s="472">
        <v>4.2900000000000001E-2</v>
      </c>
      <c r="FB35" s="472">
        <v>4.2200000000000001E-2</v>
      </c>
      <c r="FC35" s="472">
        <v>4.2200000000000001E-2</v>
      </c>
      <c r="FD35" s="472">
        <v>4.2200000000000001E-2</v>
      </c>
      <c r="FE35" s="484">
        <v>4.2000000000000003E-2</v>
      </c>
      <c r="FF35" s="484">
        <v>4.2000000000000003E-2</v>
      </c>
      <c r="FG35" s="484">
        <v>4.1500000000000002E-2</v>
      </c>
      <c r="FH35" s="484">
        <v>4.0899999999999999E-2</v>
      </c>
      <c r="FI35" s="484">
        <v>4.0399999999999998E-2</v>
      </c>
      <c r="FJ35" s="484">
        <v>0.04</v>
      </c>
      <c r="FK35" s="484">
        <v>0.04</v>
      </c>
      <c r="FL35" s="484">
        <v>0.04</v>
      </c>
      <c r="FM35" s="484">
        <v>3.9100000000000003E-2</v>
      </c>
      <c r="FN35" s="484">
        <v>3.8100000000000002E-2</v>
      </c>
      <c r="FO35" s="484">
        <v>3.6999999999999998E-2</v>
      </c>
      <c r="FP35" s="484">
        <v>3.5499999999999997E-2</v>
      </c>
      <c r="FQ35" s="484">
        <v>3.4799999999999998E-2</v>
      </c>
      <c r="FR35" s="484">
        <v>3.49E-2</v>
      </c>
      <c r="FS35" s="484">
        <v>3.3099999999999997E-2</v>
      </c>
      <c r="FT35" s="484">
        <v>3.15E-2</v>
      </c>
      <c r="FU35" s="484">
        <v>2.9600000000000001E-2</v>
      </c>
      <c r="FV35" s="472">
        <v>4.8500000000000001E-2</v>
      </c>
      <c r="FW35" s="472">
        <v>4.8899999999999999E-2</v>
      </c>
      <c r="FX35" s="472">
        <v>4.99E-2</v>
      </c>
      <c r="FY35" s="472">
        <v>4.9299999999999997E-2</v>
      </c>
      <c r="FZ35" s="472">
        <v>4.87E-2</v>
      </c>
      <c r="GA35" s="472">
        <v>4.8300000000000003E-2</v>
      </c>
      <c r="GB35" s="472">
        <v>4.8099999999999997E-2</v>
      </c>
      <c r="GC35" s="472">
        <v>4.8300000000000003E-2</v>
      </c>
      <c r="GD35" s="472">
        <v>2.7099999999999999E-2</v>
      </c>
      <c r="GE35" s="472">
        <v>2.7099999999999999E-2</v>
      </c>
      <c r="GF35" s="472">
        <v>2.7099999999999999E-2</v>
      </c>
      <c r="GG35" s="472">
        <v>2.7099999999999999E-2</v>
      </c>
      <c r="GH35" s="472">
        <v>2.7099999999999999E-2</v>
      </c>
      <c r="GI35" s="472">
        <v>2.7099999999999999E-2</v>
      </c>
      <c r="GJ35" s="472">
        <v>2.7099999999999999E-2</v>
      </c>
      <c r="GK35" s="472">
        <v>2.7099999999999999E-2</v>
      </c>
      <c r="GL35" s="472">
        <v>2.7099999999999999E-2</v>
      </c>
      <c r="GM35" s="472">
        <v>2.7099999999999999E-2</v>
      </c>
      <c r="GN35" s="472">
        <v>2.7099999999999999E-2</v>
      </c>
      <c r="GO35" s="472">
        <v>2.7099999999999999E-2</v>
      </c>
      <c r="GP35" s="472">
        <v>2.7099999999999999E-2</v>
      </c>
      <c r="GQ35" s="472">
        <v>2.7099999999999999E-2</v>
      </c>
      <c r="GR35" s="472">
        <v>2.7099999999999999E-2</v>
      </c>
      <c r="GS35" s="472">
        <v>2.7099999999999999E-2</v>
      </c>
      <c r="GT35" s="472">
        <v>2.7099999999999999E-2</v>
      </c>
      <c r="GU35" s="472">
        <v>2.7099999999999999E-2</v>
      </c>
      <c r="GV35" s="472">
        <v>2.7099999999999999E-2</v>
      </c>
      <c r="GW35" s="472">
        <v>2.7099999999999999E-2</v>
      </c>
      <c r="GX35" s="472">
        <v>2.7099999999999999E-2</v>
      </c>
      <c r="GY35" s="472">
        <v>2.7099999999999999E-2</v>
      </c>
      <c r="GZ35" s="472">
        <v>2.7099999999999999E-2</v>
      </c>
      <c r="HA35" s="472">
        <v>2.7099999999999999E-2</v>
      </c>
      <c r="HB35" s="472">
        <v>2.7099999999999999E-2</v>
      </c>
      <c r="HC35" s="472">
        <v>2.7099999999999999E-2</v>
      </c>
      <c r="HD35" s="472">
        <v>2.7099999999999999E-2</v>
      </c>
      <c r="HE35" s="472">
        <v>2.7099999999999999E-2</v>
      </c>
      <c r="HF35" s="472">
        <v>2.7099999999999999E-2</v>
      </c>
      <c r="HG35" s="472">
        <v>2.7099999999999999E-2</v>
      </c>
      <c r="HH35" s="472">
        <v>2.7099999999999999E-2</v>
      </c>
      <c r="HI35" s="472">
        <v>2.7099999999999999E-2</v>
      </c>
      <c r="HJ35" s="472">
        <v>2.7099999999999999E-2</v>
      </c>
      <c r="HK35" s="472">
        <v>2.7099999999999999E-2</v>
      </c>
      <c r="HL35" s="472">
        <v>2.7099999999999999E-2</v>
      </c>
      <c r="HM35" s="472">
        <v>2.7099999999999999E-2</v>
      </c>
      <c r="HN35" s="472">
        <v>2.7099999999999999E-2</v>
      </c>
      <c r="HO35" s="472">
        <v>2.7099999999999999E-2</v>
      </c>
      <c r="HP35" s="473">
        <f t="shared" si="12"/>
        <v>0</v>
      </c>
      <c r="HQ35" s="1147"/>
    </row>
    <row r="36" spans="2:225">
      <c r="B36" s="1129" t="s">
        <v>16</v>
      </c>
      <c r="C36" s="730" t="s">
        <v>258</v>
      </c>
      <c r="D36" s="500">
        <v>3.2000000000000001E-2</v>
      </c>
      <c r="E36" s="500">
        <v>3.2000000000000001E-2</v>
      </c>
      <c r="F36" s="500">
        <v>3.2000000000000001E-2</v>
      </c>
      <c r="G36" s="500">
        <v>3.2000000000000001E-2</v>
      </c>
      <c r="H36" s="500">
        <v>3.2000000000000001E-2</v>
      </c>
      <c r="I36" s="500">
        <v>3.2000000000000001E-2</v>
      </c>
      <c r="J36" s="500">
        <v>3.2000000000000001E-2</v>
      </c>
      <c r="K36" s="500">
        <v>3.2000000000000001E-2</v>
      </c>
      <c r="L36" s="500">
        <v>3.2000000000000001E-2</v>
      </c>
      <c r="M36" s="502">
        <v>3.2000000000000001E-2</v>
      </c>
      <c r="N36" s="500">
        <v>3.5000000000000003E-2</v>
      </c>
      <c r="O36" s="502">
        <v>3.5000000000000003E-2</v>
      </c>
      <c r="P36" s="500">
        <v>3.5999999999999997E-2</v>
      </c>
      <c r="Q36" s="500">
        <v>3.5999999999999997E-2</v>
      </c>
      <c r="R36" s="500">
        <v>3.5999999999999997E-2</v>
      </c>
      <c r="S36" s="500">
        <v>3.5999999999999997E-2</v>
      </c>
      <c r="T36" s="500">
        <v>3.5999999999999997E-2</v>
      </c>
      <c r="U36" s="500">
        <v>3.5999999999999997E-2</v>
      </c>
      <c r="V36" s="500">
        <v>3.5999999999999997E-2</v>
      </c>
      <c r="W36" s="476">
        <v>3.5999999999999997E-2</v>
      </c>
      <c r="X36" s="476">
        <v>3.5999999999999997E-2</v>
      </c>
      <c r="Y36" s="476">
        <v>3.5999999999999997E-2</v>
      </c>
      <c r="Z36" s="493">
        <v>3.5999999999999997E-2</v>
      </c>
      <c r="AA36" s="476">
        <v>3.6999999999999998E-2</v>
      </c>
      <c r="AB36" s="476">
        <v>3.6999999999999998E-2</v>
      </c>
      <c r="AC36" s="476">
        <v>3.6999999999999998E-2</v>
      </c>
      <c r="AD36" s="476">
        <v>3.7999999999999999E-2</v>
      </c>
      <c r="AE36" s="476">
        <v>3.7999999999999999E-2</v>
      </c>
      <c r="AF36" s="493">
        <v>3.7999999999999999E-2</v>
      </c>
      <c r="AG36" s="476">
        <v>0.04</v>
      </c>
      <c r="AH36" s="476">
        <v>0.04</v>
      </c>
      <c r="AI36" s="476">
        <v>0.04</v>
      </c>
      <c r="AJ36" s="476">
        <v>0.04</v>
      </c>
      <c r="AK36" s="476">
        <v>0.04</v>
      </c>
      <c r="AL36" s="477">
        <v>0.04</v>
      </c>
      <c r="AM36" s="476">
        <v>0.04</v>
      </c>
      <c r="AN36" s="476">
        <v>0.04</v>
      </c>
      <c r="AO36" s="476">
        <v>0.04</v>
      </c>
      <c r="AP36" s="476">
        <v>0.04</v>
      </c>
      <c r="AQ36" s="476">
        <v>0.04</v>
      </c>
      <c r="AR36" s="476">
        <v>0.04</v>
      </c>
      <c r="AS36" s="476">
        <v>0.04</v>
      </c>
      <c r="AT36" s="476">
        <v>0.04</v>
      </c>
      <c r="AU36" s="476">
        <v>0.04</v>
      </c>
      <c r="AV36" s="477">
        <v>0.04</v>
      </c>
      <c r="AW36" s="477">
        <v>0.04</v>
      </c>
      <c r="AX36" s="477">
        <v>0.04</v>
      </c>
      <c r="AY36" s="477">
        <v>0.04</v>
      </c>
      <c r="AZ36" s="477">
        <v>0.04</v>
      </c>
      <c r="BA36" s="477">
        <v>0.04</v>
      </c>
      <c r="BB36" s="477">
        <v>0.04</v>
      </c>
      <c r="BC36" s="477">
        <v>0.04</v>
      </c>
      <c r="BD36" s="477">
        <v>4.1000000000000002E-2</v>
      </c>
      <c r="BE36" s="477">
        <v>4.1000000000000002E-2</v>
      </c>
      <c r="BF36" s="477">
        <v>4.1000000000000002E-2</v>
      </c>
      <c r="BG36" s="477">
        <v>4.1000000000000002E-2</v>
      </c>
      <c r="BH36" s="477">
        <v>4.1000000000000002E-2</v>
      </c>
      <c r="BI36" s="477">
        <v>4.1000000000000002E-2</v>
      </c>
      <c r="BJ36" s="477">
        <v>4.1000000000000002E-2</v>
      </c>
      <c r="BK36" s="477">
        <v>4.2000000000000003E-2</v>
      </c>
      <c r="BL36" s="477">
        <v>4.3499999999999997E-2</v>
      </c>
      <c r="BM36" s="477">
        <v>4.3499999999999997E-2</v>
      </c>
      <c r="BN36" s="477">
        <v>4.3499999999999997E-2</v>
      </c>
      <c r="BO36" s="477">
        <v>4.3499999999999997E-2</v>
      </c>
      <c r="BP36" s="477">
        <v>4.3499999999999997E-2</v>
      </c>
      <c r="BQ36" s="477">
        <v>4.3499999999999997E-2</v>
      </c>
      <c r="BR36" s="477">
        <v>4.3499999999999997E-2</v>
      </c>
      <c r="BS36" s="477">
        <v>4.3499999999999997E-2</v>
      </c>
      <c r="BT36" s="477">
        <v>4.4999999999999998E-2</v>
      </c>
      <c r="BU36" s="477">
        <v>4.4999999999999998E-2</v>
      </c>
      <c r="BV36" s="477">
        <v>4.4999999999999998E-2</v>
      </c>
      <c r="BW36" s="477">
        <v>4.4999999999999998E-2</v>
      </c>
      <c r="BX36" s="477">
        <v>4.4999999999999998E-2</v>
      </c>
      <c r="BY36" s="477">
        <v>4.4999999999999998E-2</v>
      </c>
      <c r="BZ36" s="477">
        <v>4.4999999999999998E-2</v>
      </c>
      <c r="CA36" s="477">
        <v>4.5999999999999999E-2</v>
      </c>
      <c r="CB36" s="477">
        <v>4.5999999999999999E-2</v>
      </c>
      <c r="CC36" s="477">
        <v>4.5999999999999999E-2</v>
      </c>
      <c r="CD36" s="477">
        <v>4.5999999999999999E-2</v>
      </c>
      <c r="CE36" s="477">
        <v>4.5999999999999999E-2</v>
      </c>
      <c r="CF36" s="477">
        <v>4.5999999999999999E-2</v>
      </c>
      <c r="CG36" s="477">
        <v>4.5999999999999999E-2</v>
      </c>
      <c r="CH36" s="477">
        <v>4.5999999999999999E-2</v>
      </c>
      <c r="CI36" s="477">
        <v>4.5999999999999999E-2</v>
      </c>
      <c r="CJ36" s="477">
        <v>4.5999999999999999E-2</v>
      </c>
      <c r="CK36" s="477">
        <v>4.5999999999999999E-2</v>
      </c>
      <c r="CL36" s="477">
        <v>4.5999999999999999E-2</v>
      </c>
      <c r="CM36" s="477">
        <v>4.5999999999999999E-2</v>
      </c>
      <c r="CN36" s="477">
        <v>4.5999999999999999E-2</v>
      </c>
      <c r="CO36" s="477">
        <v>4.5999999999999999E-2</v>
      </c>
      <c r="CP36" s="477">
        <v>4.5999999999999999E-2</v>
      </c>
      <c r="CQ36" s="477">
        <v>4.5999999999999999E-2</v>
      </c>
      <c r="CR36" s="477">
        <v>4.5999999999999999E-2</v>
      </c>
      <c r="CS36" s="477">
        <v>4.5999999999999999E-2</v>
      </c>
      <c r="CT36" s="477">
        <v>4.5999999999999999E-2</v>
      </c>
      <c r="CU36" s="477">
        <v>4.5999999999999999E-2</v>
      </c>
      <c r="CV36" s="477">
        <v>4.5999999999999999E-2</v>
      </c>
      <c r="CW36" s="477">
        <v>4.5999999999999999E-2</v>
      </c>
      <c r="CX36" s="477">
        <v>4.5999999999999999E-2</v>
      </c>
      <c r="CY36" s="477">
        <v>4.5999999999999999E-2</v>
      </c>
      <c r="CZ36" s="477">
        <v>4.5999999999999999E-2</v>
      </c>
      <c r="DA36" s="477">
        <v>4.5999999999999999E-2</v>
      </c>
      <c r="DB36" s="477">
        <v>4.5999999999999999E-2</v>
      </c>
      <c r="DC36" s="477">
        <v>4.5999999999999999E-2</v>
      </c>
      <c r="DD36" s="477">
        <v>4.5999999999999999E-2</v>
      </c>
      <c r="DE36" s="477">
        <v>4.5999999999999999E-2</v>
      </c>
      <c r="DF36" s="477">
        <v>4.5999999999999999E-2</v>
      </c>
      <c r="DG36" s="477">
        <v>4.5999999999999999E-2</v>
      </c>
      <c r="DH36" s="477">
        <v>4.5999999999999999E-2</v>
      </c>
      <c r="DI36" s="477">
        <v>4.5999999999999999E-2</v>
      </c>
      <c r="DJ36" s="477">
        <v>4.5999999999999999E-2</v>
      </c>
      <c r="DK36" s="477">
        <v>4.5999999999999999E-2</v>
      </c>
      <c r="DL36" s="477">
        <v>4.5999999999999999E-2</v>
      </c>
      <c r="DM36" s="477">
        <v>4.5999999999999999E-2</v>
      </c>
      <c r="DN36" s="477">
        <v>4.5999999999999999E-2</v>
      </c>
      <c r="DO36" s="477">
        <v>4.5999999999999999E-2</v>
      </c>
      <c r="DP36" s="477">
        <v>4.5999999999999999E-2</v>
      </c>
      <c r="DQ36" s="477">
        <v>4.5999999999999999E-2</v>
      </c>
      <c r="DR36" s="477">
        <v>4.5999999999999999E-2</v>
      </c>
      <c r="DS36" s="477">
        <v>4.5999999999999999E-2</v>
      </c>
      <c r="DT36" s="477">
        <v>4.5999999999999999E-2</v>
      </c>
      <c r="DU36" s="477">
        <v>4.5999999999999999E-2</v>
      </c>
      <c r="DV36" s="477">
        <v>4.5999999999999999E-2</v>
      </c>
      <c r="DW36" s="477">
        <v>4.5999999999999999E-2</v>
      </c>
      <c r="DX36" s="477">
        <v>4.5999999999999999E-2</v>
      </c>
      <c r="DY36" s="477">
        <v>4.5999999999999999E-2</v>
      </c>
      <c r="DZ36" s="477">
        <v>4.5999999999999999E-2</v>
      </c>
      <c r="EA36" s="477">
        <v>4.5999999999999999E-2</v>
      </c>
      <c r="EB36" s="477">
        <v>4.5999999999999999E-2</v>
      </c>
      <c r="EC36" s="477">
        <v>4.5999999999999999E-2</v>
      </c>
      <c r="ED36" s="477">
        <v>4.5999999999999999E-2</v>
      </c>
      <c r="EE36" s="477">
        <v>4.5999999999999999E-2</v>
      </c>
      <c r="EF36" s="477">
        <v>4.5999999999999999E-2</v>
      </c>
      <c r="EG36" s="477">
        <v>4.5999999999999999E-2</v>
      </c>
      <c r="EH36" s="477">
        <v>4.5999999999999999E-2</v>
      </c>
      <c r="EI36" s="477">
        <v>2.8500000000000001E-2</v>
      </c>
      <c r="EJ36" s="477">
        <v>2.75E-2</v>
      </c>
      <c r="EK36" s="477">
        <v>2.5499999999999998E-2</v>
      </c>
      <c r="EL36" s="477">
        <v>2.1999999999999999E-2</v>
      </c>
      <c r="EM36" s="477">
        <v>2.1000000000000001E-2</v>
      </c>
      <c r="EN36" s="477">
        <v>4.3999999999999997E-2</v>
      </c>
      <c r="EO36" s="477">
        <v>4.2999999999999997E-2</v>
      </c>
      <c r="EP36" s="477">
        <v>4.2999999999999997E-2</v>
      </c>
      <c r="EQ36" s="477">
        <v>4.2000000000000003E-2</v>
      </c>
      <c r="ER36" s="477">
        <v>4.2000000000000003E-2</v>
      </c>
      <c r="ES36" s="477">
        <v>4.2000000000000003E-2</v>
      </c>
      <c r="ET36" s="477">
        <v>4.2000000000000003E-2</v>
      </c>
      <c r="EU36" s="477">
        <v>4.1000000000000002E-2</v>
      </c>
      <c r="EV36" s="477">
        <v>4.1000000000000002E-2</v>
      </c>
      <c r="EW36" s="477">
        <v>4.1000000000000002E-2</v>
      </c>
      <c r="EX36" s="477">
        <v>4.1000000000000002E-2</v>
      </c>
      <c r="EY36" s="477">
        <v>4.1000000000000002E-2</v>
      </c>
      <c r="EZ36" s="477">
        <v>0.04</v>
      </c>
      <c r="FA36" s="477">
        <v>0.04</v>
      </c>
      <c r="FB36" s="477">
        <v>3.7999999999999999E-2</v>
      </c>
      <c r="FC36" s="477">
        <v>3.7999999999999999E-2</v>
      </c>
      <c r="FD36" s="477">
        <v>3.7999999999999999E-2</v>
      </c>
      <c r="FE36" s="477">
        <v>3.7999999999999999E-2</v>
      </c>
      <c r="FF36" s="477">
        <v>3.7999999999999999E-2</v>
      </c>
      <c r="FG36" s="477">
        <v>3.7999999999999999E-2</v>
      </c>
      <c r="FH36" s="477">
        <v>3.7999999999999999E-2</v>
      </c>
      <c r="FI36" s="477">
        <v>3.7999999999999999E-2</v>
      </c>
      <c r="FJ36" s="477">
        <v>3.7999999999999999E-2</v>
      </c>
      <c r="FK36" s="477">
        <v>3.7999999999999999E-2</v>
      </c>
      <c r="FL36" s="477">
        <v>3.6999999999999998E-2</v>
      </c>
      <c r="FM36" s="477">
        <v>3.6999999999999998E-2</v>
      </c>
      <c r="FN36" s="477">
        <v>3.5999999999999997E-2</v>
      </c>
      <c r="FO36" s="477">
        <v>3.5999999999999997E-2</v>
      </c>
      <c r="FP36" s="477">
        <v>3.5000000000000003E-2</v>
      </c>
      <c r="FQ36" s="477">
        <v>3.3000000000000002E-2</v>
      </c>
      <c r="FR36" s="477">
        <v>3.2000000000000001E-2</v>
      </c>
      <c r="FS36" s="477">
        <v>3.0499999999999999E-2</v>
      </c>
      <c r="FT36" s="477">
        <v>0.03</v>
      </c>
      <c r="FU36" s="477">
        <v>2.9000000000000001E-2</v>
      </c>
      <c r="FV36" s="477">
        <v>4.4999999999999998E-2</v>
      </c>
      <c r="FW36" s="477">
        <v>4.3999999999999997E-2</v>
      </c>
      <c r="FX36" s="477">
        <v>4.5999999999999999E-2</v>
      </c>
      <c r="FY36" s="477">
        <v>4.5999999999999999E-2</v>
      </c>
      <c r="FZ36" s="477">
        <v>4.5999999999999999E-2</v>
      </c>
      <c r="GA36" s="477">
        <v>4.5999999999999999E-2</v>
      </c>
      <c r="GB36" s="477">
        <v>4.5999999999999999E-2</v>
      </c>
      <c r="GC36" s="477">
        <v>4.5999999999999999E-2</v>
      </c>
      <c r="GD36" s="477">
        <v>2.5499999999999998E-2</v>
      </c>
      <c r="GE36" s="477">
        <v>2.5499999999999998E-2</v>
      </c>
      <c r="GF36" s="477">
        <v>2.5499999999999998E-2</v>
      </c>
      <c r="GG36" s="477">
        <v>2.5499999999999998E-2</v>
      </c>
      <c r="GH36" s="477">
        <v>2.5499999999999998E-2</v>
      </c>
      <c r="GI36" s="477">
        <v>2.5499999999999998E-2</v>
      </c>
      <c r="GJ36" s="477">
        <v>2.5499999999999998E-2</v>
      </c>
      <c r="GK36" s="477">
        <v>2.5499999999999998E-2</v>
      </c>
      <c r="GL36" s="477">
        <v>2.5499999999999998E-2</v>
      </c>
      <c r="GM36" s="477">
        <v>2.5499999999999998E-2</v>
      </c>
      <c r="GN36" s="477">
        <v>2.5499999999999998E-2</v>
      </c>
      <c r="GO36" s="477">
        <v>2.5499999999999998E-2</v>
      </c>
      <c r="GP36" s="477">
        <v>2.5499999999999998E-2</v>
      </c>
      <c r="GQ36" s="477">
        <v>2.5499999999999998E-2</v>
      </c>
      <c r="GR36" s="477">
        <v>2.5499999999999998E-2</v>
      </c>
      <c r="GS36" s="477">
        <v>2.5499999999999998E-2</v>
      </c>
      <c r="GT36" s="477">
        <v>2.5499999999999998E-2</v>
      </c>
      <c r="GU36" s="477">
        <v>2.5499999999999998E-2</v>
      </c>
      <c r="GV36" s="477">
        <v>2.5499999999999998E-2</v>
      </c>
      <c r="GW36" s="477">
        <v>2.5499999999999998E-2</v>
      </c>
      <c r="GX36" s="477">
        <v>2.5499999999999998E-2</v>
      </c>
      <c r="GY36" s="477">
        <v>2.5499999999999998E-2</v>
      </c>
      <c r="GZ36" s="477">
        <v>2.5499999999999998E-2</v>
      </c>
      <c r="HA36" s="477">
        <v>2.5499999999999998E-2</v>
      </c>
      <c r="HB36" s="477">
        <v>2.5499999999999998E-2</v>
      </c>
      <c r="HC36" s="477">
        <v>2.5499999999999998E-2</v>
      </c>
      <c r="HD36" s="477">
        <v>2.5499999999999998E-2</v>
      </c>
      <c r="HE36" s="477">
        <v>2.5499999999999998E-2</v>
      </c>
      <c r="HF36" s="477">
        <v>2.5499999999999998E-2</v>
      </c>
      <c r="HG36" s="477">
        <v>2.5499999999999998E-2</v>
      </c>
      <c r="HH36" s="477">
        <v>2.5499999999999998E-2</v>
      </c>
      <c r="HI36" s="477">
        <v>2.5499999999999998E-2</v>
      </c>
      <c r="HJ36" s="477">
        <v>2.5499999999999998E-2</v>
      </c>
      <c r="HK36" s="477">
        <v>2.5499999999999998E-2</v>
      </c>
      <c r="HL36" s="477">
        <v>2.5499999999999998E-2</v>
      </c>
      <c r="HM36" s="477">
        <v>2.5499999999999998E-2</v>
      </c>
      <c r="HN36" s="477">
        <v>2.5499999999999998E-2</v>
      </c>
      <c r="HO36" s="477">
        <v>2.5499999999999998E-2</v>
      </c>
      <c r="HP36" s="473">
        <f t="shared" si="12"/>
        <v>0</v>
      </c>
      <c r="HQ36" s="1135"/>
    </row>
    <row r="37" spans="2:225">
      <c r="B37" s="1129"/>
      <c r="C37" s="730" t="s">
        <v>221</v>
      </c>
      <c r="D37" s="500">
        <v>3.2000000000000001E-2</v>
      </c>
      <c r="E37" s="500">
        <v>3.2000000000000001E-2</v>
      </c>
      <c r="F37" s="500">
        <v>3.2000000000000001E-2</v>
      </c>
      <c r="G37" s="500">
        <v>3.2000000000000001E-2</v>
      </c>
      <c r="H37" s="500">
        <v>3.2000000000000001E-2</v>
      </c>
      <c r="I37" s="500">
        <v>3.2000000000000001E-2</v>
      </c>
      <c r="J37" s="500">
        <v>3.2000000000000001E-2</v>
      </c>
      <c r="K37" s="500">
        <v>3.2000000000000001E-2</v>
      </c>
      <c r="L37" s="500">
        <v>3.2000000000000001E-2</v>
      </c>
      <c r="M37" s="502">
        <v>3.2000000000000001E-2</v>
      </c>
      <c r="N37" s="500">
        <v>3.5499999999999997E-2</v>
      </c>
      <c r="O37" s="502">
        <v>3.5499999999999997E-2</v>
      </c>
      <c r="P37" s="500">
        <v>3.6499999999999998E-2</v>
      </c>
      <c r="Q37" s="500">
        <v>3.6499999999999998E-2</v>
      </c>
      <c r="R37" s="500">
        <v>3.6499999999999998E-2</v>
      </c>
      <c r="S37" s="500">
        <v>3.6499999999999998E-2</v>
      </c>
      <c r="T37" s="500">
        <v>3.6499999999999998E-2</v>
      </c>
      <c r="U37" s="500">
        <v>3.6499999999999998E-2</v>
      </c>
      <c r="V37" s="500">
        <v>3.6499999999999998E-2</v>
      </c>
      <c r="W37" s="476">
        <v>3.6499999999999998E-2</v>
      </c>
      <c r="X37" s="476">
        <v>3.6499999999999998E-2</v>
      </c>
      <c r="Y37" s="476">
        <v>3.6499999999999998E-2</v>
      </c>
      <c r="Z37" s="493">
        <v>3.6499999999999998E-2</v>
      </c>
      <c r="AA37" s="476">
        <v>3.7499999999999999E-2</v>
      </c>
      <c r="AB37" s="476">
        <v>3.7499999999999999E-2</v>
      </c>
      <c r="AC37" s="476">
        <v>3.7499999999999999E-2</v>
      </c>
      <c r="AD37" s="476">
        <v>3.85E-2</v>
      </c>
      <c r="AE37" s="476">
        <v>3.85E-2</v>
      </c>
      <c r="AF37" s="493">
        <v>3.85E-2</v>
      </c>
      <c r="AG37" s="476">
        <v>4.0500000000000001E-2</v>
      </c>
      <c r="AH37" s="476">
        <v>4.0500000000000001E-2</v>
      </c>
      <c r="AI37" s="476">
        <v>4.0500000000000001E-2</v>
      </c>
      <c r="AJ37" s="476">
        <v>4.0500000000000001E-2</v>
      </c>
      <c r="AK37" s="476">
        <v>4.0500000000000001E-2</v>
      </c>
      <c r="AL37" s="477">
        <v>4.0500000000000001E-2</v>
      </c>
      <c r="AM37" s="476">
        <v>4.0500000000000001E-2</v>
      </c>
      <c r="AN37" s="476">
        <v>4.0500000000000001E-2</v>
      </c>
      <c r="AO37" s="476">
        <v>4.0500000000000001E-2</v>
      </c>
      <c r="AP37" s="476">
        <v>4.0500000000000001E-2</v>
      </c>
      <c r="AQ37" s="476">
        <v>4.0500000000000001E-2</v>
      </c>
      <c r="AR37" s="476">
        <v>4.0500000000000001E-2</v>
      </c>
      <c r="AS37" s="476">
        <v>4.0500000000000001E-2</v>
      </c>
      <c r="AT37" s="476">
        <v>4.0500000000000001E-2</v>
      </c>
      <c r="AU37" s="476">
        <v>4.0500000000000001E-2</v>
      </c>
      <c r="AV37" s="477">
        <v>4.0500000000000001E-2</v>
      </c>
      <c r="AW37" s="477">
        <v>4.0500000000000001E-2</v>
      </c>
      <c r="AX37" s="477">
        <v>4.0500000000000001E-2</v>
      </c>
      <c r="AY37" s="477">
        <v>4.0500000000000001E-2</v>
      </c>
      <c r="AZ37" s="477">
        <v>4.0500000000000001E-2</v>
      </c>
      <c r="BA37" s="477">
        <v>4.0500000000000001E-2</v>
      </c>
      <c r="BB37" s="477">
        <v>4.0500000000000001E-2</v>
      </c>
      <c r="BC37" s="477">
        <v>4.0500000000000001E-2</v>
      </c>
      <c r="BD37" s="477">
        <v>4.1500000000000002E-2</v>
      </c>
      <c r="BE37" s="477">
        <v>4.1500000000000002E-2</v>
      </c>
      <c r="BF37" s="477">
        <v>4.1500000000000002E-2</v>
      </c>
      <c r="BG37" s="477">
        <v>4.1500000000000002E-2</v>
      </c>
      <c r="BH37" s="477">
        <v>4.1500000000000002E-2</v>
      </c>
      <c r="BI37" s="477">
        <v>4.1500000000000002E-2</v>
      </c>
      <c r="BJ37" s="477">
        <v>4.1500000000000002E-2</v>
      </c>
      <c r="BK37" s="477">
        <v>4.2500000000000003E-2</v>
      </c>
      <c r="BL37" s="477">
        <v>4.3999999999999997E-2</v>
      </c>
      <c r="BM37" s="477">
        <v>4.3999999999999997E-2</v>
      </c>
      <c r="BN37" s="477">
        <v>4.3999999999999997E-2</v>
      </c>
      <c r="BO37" s="477">
        <v>4.3999999999999997E-2</v>
      </c>
      <c r="BP37" s="477">
        <v>4.3999999999999997E-2</v>
      </c>
      <c r="BQ37" s="477">
        <v>4.3999999999999997E-2</v>
      </c>
      <c r="BR37" s="477">
        <v>4.3999999999999997E-2</v>
      </c>
      <c r="BS37" s="477">
        <v>4.3999999999999997E-2</v>
      </c>
      <c r="BT37" s="477">
        <v>4.5499999999999999E-2</v>
      </c>
      <c r="BU37" s="477">
        <v>4.5499999999999999E-2</v>
      </c>
      <c r="BV37" s="477">
        <v>4.5499999999999999E-2</v>
      </c>
      <c r="BW37" s="477">
        <v>4.5499999999999999E-2</v>
      </c>
      <c r="BX37" s="477">
        <v>4.5499999999999999E-2</v>
      </c>
      <c r="BY37" s="477">
        <v>4.5499999999999999E-2</v>
      </c>
      <c r="BZ37" s="477">
        <v>4.5499999999999999E-2</v>
      </c>
      <c r="CA37" s="477">
        <v>4.65E-2</v>
      </c>
      <c r="CB37" s="477">
        <v>4.65E-2</v>
      </c>
      <c r="CC37" s="477">
        <v>4.65E-2</v>
      </c>
      <c r="CD37" s="477">
        <v>4.65E-2</v>
      </c>
      <c r="CE37" s="477">
        <v>4.65E-2</v>
      </c>
      <c r="CF37" s="477">
        <v>4.65E-2</v>
      </c>
      <c r="CG37" s="477">
        <v>4.65E-2</v>
      </c>
      <c r="CH37" s="477">
        <v>4.65E-2</v>
      </c>
      <c r="CI37" s="477">
        <v>4.65E-2</v>
      </c>
      <c r="CJ37" s="477">
        <v>4.65E-2</v>
      </c>
      <c r="CK37" s="477">
        <v>4.65E-2</v>
      </c>
      <c r="CL37" s="477">
        <v>4.65E-2</v>
      </c>
      <c r="CM37" s="477">
        <v>4.65E-2</v>
      </c>
      <c r="CN37" s="477">
        <v>4.65E-2</v>
      </c>
      <c r="CO37" s="477">
        <v>4.65E-2</v>
      </c>
      <c r="CP37" s="477">
        <v>4.65E-2</v>
      </c>
      <c r="CQ37" s="477">
        <v>4.65E-2</v>
      </c>
      <c r="CR37" s="477">
        <v>4.65E-2</v>
      </c>
      <c r="CS37" s="477">
        <v>4.65E-2</v>
      </c>
      <c r="CT37" s="477">
        <v>4.65E-2</v>
      </c>
      <c r="CU37" s="477">
        <v>4.65E-2</v>
      </c>
      <c r="CV37" s="477">
        <v>4.65E-2</v>
      </c>
      <c r="CW37" s="477">
        <v>4.65E-2</v>
      </c>
      <c r="CX37" s="477">
        <v>4.65E-2</v>
      </c>
      <c r="CY37" s="477">
        <v>4.65E-2</v>
      </c>
      <c r="CZ37" s="477">
        <v>4.65E-2</v>
      </c>
      <c r="DA37" s="477">
        <v>4.65E-2</v>
      </c>
      <c r="DB37" s="477">
        <v>4.65E-2</v>
      </c>
      <c r="DC37" s="477">
        <v>4.65E-2</v>
      </c>
      <c r="DD37" s="477">
        <v>4.65E-2</v>
      </c>
      <c r="DE37" s="477">
        <v>4.65E-2</v>
      </c>
      <c r="DF37" s="477">
        <v>4.65E-2</v>
      </c>
      <c r="DG37" s="477">
        <v>4.65E-2</v>
      </c>
      <c r="DH37" s="477">
        <v>4.65E-2</v>
      </c>
      <c r="DI37" s="477">
        <v>4.65E-2</v>
      </c>
      <c r="DJ37" s="477">
        <v>4.65E-2</v>
      </c>
      <c r="DK37" s="477">
        <v>4.65E-2</v>
      </c>
      <c r="DL37" s="477">
        <v>4.65E-2</v>
      </c>
      <c r="DM37" s="477">
        <v>4.65E-2</v>
      </c>
      <c r="DN37" s="477">
        <v>4.65E-2</v>
      </c>
      <c r="DO37" s="477">
        <v>4.65E-2</v>
      </c>
      <c r="DP37" s="477">
        <v>4.65E-2</v>
      </c>
      <c r="DQ37" s="477">
        <v>4.65E-2</v>
      </c>
      <c r="DR37" s="477">
        <v>4.65E-2</v>
      </c>
      <c r="DS37" s="477">
        <v>4.65E-2</v>
      </c>
      <c r="DT37" s="477">
        <v>4.65E-2</v>
      </c>
      <c r="DU37" s="477">
        <v>4.65E-2</v>
      </c>
      <c r="DV37" s="477">
        <v>4.65E-2</v>
      </c>
      <c r="DW37" s="477">
        <v>4.65E-2</v>
      </c>
      <c r="DX37" s="477">
        <v>4.65E-2</v>
      </c>
      <c r="DY37" s="477">
        <v>4.65E-2</v>
      </c>
      <c r="DZ37" s="477">
        <v>4.65E-2</v>
      </c>
      <c r="EA37" s="477">
        <v>4.65E-2</v>
      </c>
      <c r="EB37" s="477">
        <v>4.65E-2</v>
      </c>
      <c r="EC37" s="477">
        <v>4.65E-2</v>
      </c>
      <c r="ED37" s="477">
        <v>4.65E-2</v>
      </c>
      <c r="EE37" s="477">
        <v>4.65E-2</v>
      </c>
      <c r="EF37" s="477">
        <v>4.65E-2</v>
      </c>
      <c r="EG37" s="477">
        <v>4.65E-2</v>
      </c>
      <c r="EH37" s="477">
        <v>4.65E-2</v>
      </c>
      <c r="EI37" s="477">
        <v>2.9000000000000001E-2</v>
      </c>
      <c r="EJ37" s="477">
        <v>2.8000000000000001E-2</v>
      </c>
      <c r="EK37" s="477">
        <v>2.5999999999999999E-2</v>
      </c>
      <c r="EL37" s="477">
        <v>2.2499999999999999E-2</v>
      </c>
      <c r="EM37" s="477">
        <v>2.1499999999999998E-2</v>
      </c>
      <c r="EN37" s="477">
        <v>4.4499999999999998E-2</v>
      </c>
      <c r="EO37" s="477">
        <v>4.3499999999999997E-2</v>
      </c>
      <c r="EP37" s="477">
        <v>4.3499999999999997E-2</v>
      </c>
      <c r="EQ37" s="477">
        <v>4.2500000000000003E-2</v>
      </c>
      <c r="ER37" s="477">
        <v>4.2500000000000003E-2</v>
      </c>
      <c r="ES37" s="477">
        <v>4.2500000000000003E-2</v>
      </c>
      <c r="ET37" s="477">
        <v>4.2500000000000003E-2</v>
      </c>
      <c r="EU37" s="477">
        <v>4.1500000000000002E-2</v>
      </c>
      <c r="EV37" s="477">
        <v>4.1500000000000002E-2</v>
      </c>
      <c r="EW37" s="477">
        <v>4.1500000000000002E-2</v>
      </c>
      <c r="EX37" s="477">
        <v>4.1500000000000002E-2</v>
      </c>
      <c r="EY37" s="477">
        <v>4.1500000000000002E-2</v>
      </c>
      <c r="EZ37" s="477">
        <v>4.0500000000000001E-2</v>
      </c>
      <c r="FA37" s="477">
        <v>4.0500000000000001E-2</v>
      </c>
      <c r="FB37" s="477">
        <v>3.85E-2</v>
      </c>
      <c r="FC37" s="477">
        <v>3.85E-2</v>
      </c>
      <c r="FD37" s="477">
        <v>3.85E-2</v>
      </c>
      <c r="FE37" s="477">
        <v>3.85E-2</v>
      </c>
      <c r="FF37" s="477">
        <v>3.85E-2</v>
      </c>
      <c r="FG37" s="477">
        <v>3.85E-2</v>
      </c>
      <c r="FH37" s="477">
        <v>3.85E-2</v>
      </c>
      <c r="FI37" s="477">
        <v>3.85E-2</v>
      </c>
      <c r="FJ37" s="477">
        <v>3.85E-2</v>
      </c>
      <c r="FK37" s="477">
        <v>3.85E-2</v>
      </c>
      <c r="FL37" s="477">
        <v>3.7499999999999999E-2</v>
      </c>
      <c r="FM37" s="477">
        <v>3.7499999999999999E-2</v>
      </c>
      <c r="FN37" s="477">
        <v>3.6499999999999998E-2</v>
      </c>
      <c r="FO37" s="477">
        <v>3.6499999999999998E-2</v>
      </c>
      <c r="FP37" s="477">
        <v>3.5499999999999997E-2</v>
      </c>
      <c r="FQ37" s="477">
        <v>3.3500000000000002E-2</v>
      </c>
      <c r="FR37" s="477">
        <v>3.2500000000000001E-2</v>
      </c>
      <c r="FS37" s="477">
        <v>3.1E-2</v>
      </c>
      <c r="FT37" s="477">
        <v>3.0499999999999999E-2</v>
      </c>
      <c r="FU37" s="477">
        <v>2.9499999999999998E-2</v>
      </c>
      <c r="FV37" s="477">
        <v>4.5499999999999999E-2</v>
      </c>
      <c r="FW37" s="477">
        <v>4.4499999999999998E-2</v>
      </c>
      <c r="FX37" s="477">
        <v>4.65E-2</v>
      </c>
      <c r="FY37" s="477">
        <v>4.65E-2</v>
      </c>
      <c r="FZ37" s="477">
        <v>4.65E-2</v>
      </c>
      <c r="GA37" s="477">
        <v>4.65E-2</v>
      </c>
      <c r="GB37" s="477">
        <v>4.65E-2</v>
      </c>
      <c r="GC37" s="477">
        <v>4.65E-2</v>
      </c>
      <c r="GD37" s="477">
        <v>2.5999999999999999E-2</v>
      </c>
      <c r="GE37" s="477">
        <v>2.5999999999999999E-2</v>
      </c>
      <c r="GF37" s="477">
        <v>2.5999999999999999E-2</v>
      </c>
      <c r="GG37" s="477">
        <v>2.5999999999999999E-2</v>
      </c>
      <c r="GH37" s="477">
        <v>2.5999999999999999E-2</v>
      </c>
      <c r="GI37" s="477">
        <v>2.5999999999999999E-2</v>
      </c>
      <c r="GJ37" s="477">
        <v>2.5999999999999999E-2</v>
      </c>
      <c r="GK37" s="477">
        <v>2.5999999999999999E-2</v>
      </c>
      <c r="GL37" s="477">
        <v>2.5999999999999999E-2</v>
      </c>
      <c r="GM37" s="477">
        <v>2.5999999999999999E-2</v>
      </c>
      <c r="GN37" s="477">
        <v>2.5999999999999999E-2</v>
      </c>
      <c r="GO37" s="477">
        <v>2.5999999999999999E-2</v>
      </c>
      <c r="GP37" s="477">
        <v>2.5999999999999999E-2</v>
      </c>
      <c r="GQ37" s="477">
        <v>2.5999999999999999E-2</v>
      </c>
      <c r="GR37" s="477">
        <v>2.5999999999999999E-2</v>
      </c>
      <c r="GS37" s="477">
        <v>2.5999999999999999E-2</v>
      </c>
      <c r="GT37" s="477">
        <v>2.5999999999999999E-2</v>
      </c>
      <c r="GU37" s="477">
        <v>2.5999999999999999E-2</v>
      </c>
      <c r="GV37" s="477">
        <v>2.5999999999999999E-2</v>
      </c>
      <c r="GW37" s="477">
        <v>2.5999999999999999E-2</v>
      </c>
      <c r="GX37" s="477">
        <v>2.5999999999999999E-2</v>
      </c>
      <c r="GY37" s="477">
        <v>2.5999999999999999E-2</v>
      </c>
      <c r="GZ37" s="477">
        <v>2.5999999999999999E-2</v>
      </c>
      <c r="HA37" s="477">
        <v>2.5999999999999999E-2</v>
      </c>
      <c r="HB37" s="477">
        <v>2.5999999999999999E-2</v>
      </c>
      <c r="HC37" s="477">
        <v>2.5999999999999999E-2</v>
      </c>
      <c r="HD37" s="477">
        <v>2.5999999999999999E-2</v>
      </c>
      <c r="HE37" s="477">
        <v>2.5999999999999999E-2</v>
      </c>
      <c r="HF37" s="477">
        <v>2.5999999999999999E-2</v>
      </c>
      <c r="HG37" s="477">
        <v>2.5999999999999999E-2</v>
      </c>
      <c r="HH37" s="477">
        <v>2.5999999999999999E-2</v>
      </c>
      <c r="HI37" s="477">
        <v>2.5999999999999999E-2</v>
      </c>
      <c r="HJ37" s="477">
        <v>2.5999999999999999E-2</v>
      </c>
      <c r="HK37" s="477">
        <v>2.5999999999999999E-2</v>
      </c>
      <c r="HL37" s="477">
        <v>2.5999999999999999E-2</v>
      </c>
      <c r="HM37" s="477">
        <v>2.5999999999999999E-2</v>
      </c>
      <c r="HN37" s="477">
        <v>2.5999999999999999E-2</v>
      </c>
      <c r="HO37" s="477">
        <v>2.5999999999999999E-2</v>
      </c>
      <c r="HP37" s="473">
        <f t="shared" si="12"/>
        <v>0</v>
      </c>
      <c r="HQ37" s="1136"/>
    </row>
    <row r="38" spans="2:225">
      <c r="B38" s="1129"/>
      <c r="C38" s="730" t="s">
        <v>220</v>
      </c>
      <c r="D38" s="500">
        <v>3.3000000000000002E-2</v>
      </c>
      <c r="E38" s="500">
        <v>3.3000000000000002E-2</v>
      </c>
      <c r="F38" s="500">
        <v>3.3000000000000002E-2</v>
      </c>
      <c r="G38" s="500">
        <v>3.3000000000000002E-2</v>
      </c>
      <c r="H38" s="500">
        <v>3.3000000000000002E-2</v>
      </c>
      <c r="I38" s="500">
        <v>3.3000000000000002E-2</v>
      </c>
      <c r="J38" s="500">
        <v>3.3000000000000002E-2</v>
      </c>
      <c r="K38" s="500">
        <v>3.3000000000000002E-2</v>
      </c>
      <c r="L38" s="500">
        <v>3.3000000000000002E-2</v>
      </c>
      <c r="M38" s="502">
        <v>3.3000000000000002E-2</v>
      </c>
      <c r="N38" s="500">
        <v>3.5999999999999997E-2</v>
      </c>
      <c r="O38" s="502">
        <v>3.5999999999999997E-2</v>
      </c>
      <c r="P38" s="500">
        <v>3.6999999999999998E-2</v>
      </c>
      <c r="Q38" s="500">
        <v>3.6999999999999998E-2</v>
      </c>
      <c r="R38" s="500">
        <v>3.6999999999999998E-2</v>
      </c>
      <c r="S38" s="500">
        <v>3.6999999999999998E-2</v>
      </c>
      <c r="T38" s="500">
        <v>3.6999999999999998E-2</v>
      </c>
      <c r="U38" s="500">
        <v>3.6999999999999998E-2</v>
      </c>
      <c r="V38" s="500">
        <v>3.6999999999999998E-2</v>
      </c>
      <c r="W38" s="476">
        <v>3.6999999999999998E-2</v>
      </c>
      <c r="X38" s="476">
        <v>3.6999999999999998E-2</v>
      </c>
      <c r="Y38" s="476">
        <v>3.6999999999999998E-2</v>
      </c>
      <c r="Z38" s="493">
        <v>3.6999999999999998E-2</v>
      </c>
      <c r="AA38" s="476">
        <v>3.7999999999999999E-2</v>
      </c>
      <c r="AB38" s="476">
        <v>3.7999999999999999E-2</v>
      </c>
      <c r="AC38" s="476">
        <v>3.7999999999999999E-2</v>
      </c>
      <c r="AD38" s="476">
        <v>3.9E-2</v>
      </c>
      <c r="AE38" s="476">
        <v>3.9E-2</v>
      </c>
      <c r="AF38" s="493">
        <v>3.9E-2</v>
      </c>
      <c r="AG38" s="476">
        <v>4.1000000000000002E-2</v>
      </c>
      <c r="AH38" s="476">
        <v>4.1000000000000002E-2</v>
      </c>
      <c r="AI38" s="476">
        <v>4.1000000000000002E-2</v>
      </c>
      <c r="AJ38" s="476">
        <v>4.1000000000000002E-2</v>
      </c>
      <c r="AK38" s="476">
        <v>4.1000000000000002E-2</v>
      </c>
      <c r="AL38" s="477">
        <v>4.1000000000000002E-2</v>
      </c>
      <c r="AM38" s="476">
        <v>4.1000000000000002E-2</v>
      </c>
      <c r="AN38" s="476">
        <v>4.1000000000000002E-2</v>
      </c>
      <c r="AO38" s="476">
        <v>4.1000000000000002E-2</v>
      </c>
      <c r="AP38" s="476">
        <v>4.1000000000000002E-2</v>
      </c>
      <c r="AQ38" s="476">
        <v>4.1000000000000002E-2</v>
      </c>
      <c r="AR38" s="476">
        <v>4.1000000000000002E-2</v>
      </c>
      <c r="AS38" s="476">
        <v>4.1000000000000002E-2</v>
      </c>
      <c r="AT38" s="476">
        <v>4.1000000000000002E-2</v>
      </c>
      <c r="AU38" s="476">
        <v>4.1000000000000002E-2</v>
      </c>
      <c r="AV38" s="477">
        <v>4.1000000000000002E-2</v>
      </c>
      <c r="AW38" s="477">
        <v>4.1000000000000002E-2</v>
      </c>
      <c r="AX38" s="477">
        <v>4.1000000000000002E-2</v>
      </c>
      <c r="AY38" s="477">
        <v>4.1000000000000002E-2</v>
      </c>
      <c r="AZ38" s="477">
        <v>4.1000000000000002E-2</v>
      </c>
      <c r="BA38" s="477">
        <v>4.1000000000000002E-2</v>
      </c>
      <c r="BB38" s="477">
        <v>4.1000000000000002E-2</v>
      </c>
      <c r="BC38" s="477">
        <v>4.1000000000000002E-2</v>
      </c>
      <c r="BD38" s="477">
        <v>4.2000000000000003E-2</v>
      </c>
      <c r="BE38" s="477">
        <v>4.2000000000000003E-2</v>
      </c>
      <c r="BF38" s="477">
        <v>4.2000000000000003E-2</v>
      </c>
      <c r="BG38" s="477">
        <v>4.2000000000000003E-2</v>
      </c>
      <c r="BH38" s="477">
        <v>4.2000000000000003E-2</v>
      </c>
      <c r="BI38" s="477">
        <v>4.2000000000000003E-2</v>
      </c>
      <c r="BJ38" s="477">
        <v>4.2000000000000003E-2</v>
      </c>
      <c r="BK38" s="477">
        <v>4.2999999999999997E-2</v>
      </c>
      <c r="BL38" s="477">
        <v>4.4499999999999998E-2</v>
      </c>
      <c r="BM38" s="477">
        <v>4.4499999999999998E-2</v>
      </c>
      <c r="BN38" s="477">
        <v>4.4499999999999998E-2</v>
      </c>
      <c r="BO38" s="477">
        <v>4.4499999999999998E-2</v>
      </c>
      <c r="BP38" s="477">
        <v>4.4499999999999998E-2</v>
      </c>
      <c r="BQ38" s="477">
        <v>4.4499999999999998E-2</v>
      </c>
      <c r="BR38" s="477">
        <v>4.4499999999999998E-2</v>
      </c>
      <c r="BS38" s="477">
        <v>4.4499999999999998E-2</v>
      </c>
      <c r="BT38" s="477">
        <v>4.5999999999999999E-2</v>
      </c>
      <c r="BU38" s="477">
        <v>4.5999999999999999E-2</v>
      </c>
      <c r="BV38" s="477">
        <v>4.5999999999999999E-2</v>
      </c>
      <c r="BW38" s="477">
        <v>4.5999999999999999E-2</v>
      </c>
      <c r="BX38" s="477">
        <v>4.5999999999999999E-2</v>
      </c>
      <c r="BY38" s="477">
        <v>4.5999999999999999E-2</v>
      </c>
      <c r="BZ38" s="477">
        <v>4.5999999999999999E-2</v>
      </c>
      <c r="CA38" s="477">
        <v>4.7E-2</v>
      </c>
      <c r="CB38" s="477">
        <v>4.7E-2</v>
      </c>
      <c r="CC38" s="477">
        <v>4.7E-2</v>
      </c>
      <c r="CD38" s="477">
        <v>4.7E-2</v>
      </c>
      <c r="CE38" s="477">
        <v>4.7E-2</v>
      </c>
      <c r="CF38" s="477">
        <v>4.7E-2</v>
      </c>
      <c r="CG38" s="477">
        <v>4.7E-2</v>
      </c>
      <c r="CH38" s="477">
        <v>4.7E-2</v>
      </c>
      <c r="CI38" s="477">
        <v>4.7E-2</v>
      </c>
      <c r="CJ38" s="477">
        <v>4.7E-2</v>
      </c>
      <c r="CK38" s="477">
        <v>4.7E-2</v>
      </c>
      <c r="CL38" s="477">
        <v>4.7E-2</v>
      </c>
      <c r="CM38" s="477">
        <v>4.7E-2</v>
      </c>
      <c r="CN38" s="477">
        <v>4.7E-2</v>
      </c>
      <c r="CO38" s="477">
        <v>4.7E-2</v>
      </c>
      <c r="CP38" s="477">
        <v>4.7E-2</v>
      </c>
      <c r="CQ38" s="477">
        <v>4.7E-2</v>
      </c>
      <c r="CR38" s="477">
        <v>4.7E-2</v>
      </c>
      <c r="CS38" s="477">
        <v>4.7E-2</v>
      </c>
      <c r="CT38" s="477">
        <v>4.7E-2</v>
      </c>
      <c r="CU38" s="477">
        <v>4.7E-2</v>
      </c>
      <c r="CV38" s="477">
        <v>4.7E-2</v>
      </c>
      <c r="CW38" s="477">
        <v>4.7E-2</v>
      </c>
      <c r="CX38" s="477">
        <v>4.7E-2</v>
      </c>
      <c r="CY38" s="477">
        <v>4.7E-2</v>
      </c>
      <c r="CZ38" s="477">
        <v>4.7E-2</v>
      </c>
      <c r="DA38" s="477">
        <v>4.7E-2</v>
      </c>
      <c r="DB38" s="477">
        <v>4.7E-2</v>
      </c>
      <c r="DC38" s="477">
        <v>4.7E-2</v>
      </c>
      <c r="DD38" s="477">
        <v>4.7E-2</v>
      </c>
      <c r="DE38" s="477">
        <v>4.7E-2</v>
      </c>
      <c r="DF38" s="477">
        <v>4.7E-2</v>
      </c>
      <c r="DG38" s="477">
        <v>4.7E-2</v>
      </c>
      <c r="DH38" s="477">
        <v>4.7E-2</v>
      </c>
      <c r="DI38" s="477">
        <v>4.7E-2</v>
      </c>
      <c r="DJ38" s="477">
        <v>4.7E-2</v>
      </c>
      <c r="DK38" s="477">
        <v>4.7E-2</v>
      </c>
      <c r="DL38" s="477">
        <v>4.7E-2</v>
      </c>
      <c r="DM38" s="477">
        <v>4.7E-2</v>
      </c>
      <c r="DN38" s="477">
        <v>4.7E-2</v>
      </c>
      <c r="DO38" s="477">
        <v>4.7E-2</v>
      </c>
      <c r="DP38" s="477">
        <v>4.7E-2</v>
      </c>
      <c r="DQ38" s="477">
        <v>4.7E-2</v>
      </c>
      <c r="DR38" s="477">
        <v>4.7E-2</v>
      </c>
      <c r="DS38" s="477">
        <v>4.7E-2</v>
      </c>
      <c r="DT38" s="477">
        <v>4.7E-2</v>
      </c>
      <c r="DU38" s="477">
        <v>4.7E-2</v>
      </c>
      <c r="DV38" s="477">
        <v>4.7E-2</v>
      </c>
      <c r="DW38" s="477">
        <v>4.7E-2</v>
      </c>
      <c r="DX38" s="477">
        <v>4.7E-2</v>
      </c>
      <c r="DY38" s="477">
        <v>4.7E-2</v>
      </c>
      <c r="DZ38" s="477">
        <v>4.7E-2</v>
      </c>
      <c r="EA38" s="477">
        <v>4.7E-2</v>
      </c>
      <c r="EB38" s="477">
        <v>4.7E-2</v>
      </c>
      <c r="EC38" s="477">
        <v>4.7E-2</v>
      </c>
      <c r="ED38" s="477">
        <v>4.7E-2</v>
      </c>
      <c r="EE38" s="477">
        <v>4.7E-2</v>
      </c>
      <c r="EF38" s="477">
        <v>4.7E-2</v>
      </c>
      <c r="EG38" s="477">
        <v>4.7E-2</v>
      </c>
      <c r="EH38" s="477">
        <v>4.7E-2</v>
      </c>
      <c r="EI38" s="477">
        <v>2.9499999999999998E-2</v>
      </c>
      <c r="EJ38" s="477">
        <v>2.8500000000000001E-2</v>
      </c>
      <c r="EK38" s="477">
        <v>2.6499999999999999E-2</v>
      </c>
      <c r="EL38" s="477">
        <v>2.3E-2</v>
      </c>
      <c r="EM38" s="477">
        <v>2.1999999999999999E-2</v>
      </c>
      <c r="EN38" s="477">
        <v>4.4999999999999998E-2</v>
      </c>
      <c r="EO38" s="477">
        <v>4.3999999999999997E-2</v>
      </c>
      <c r="EP38" s="477">
        <v>4.3999999999999997E-2</v>
      </c>
      <c r="EQ38" s="477">
        <v>4.2999999999999997E-2</v>
      </c>
      <c r="ER38" s="477">
        <v>4.2999999999999997E-2</v>
      </c>
      <c r="ES38" s="477">
        <v>4.2999999999999997E-2</v>
      </c>
      <c r="ET38" s="477">
        <v>4.2999999999999997E-2</v>
      </c>
      <c r="EU38" s="477">
        <v>4.2000000000000003E-2</v>
      </c>
      <c r="EV38" s="477">
        <v>4.2000000000000003E-2</v>
      </c>
      <c r="EW38" s="477">
        <v>4.2000000000000003E-2</v>
      </c>
      <c r="EX38" s="477">
        <v>4.2000000000000003E-2</v>
      </c>
      <c r="EY38" s="477">
        <v>4.2000000000000003E-2</v>
      </c>
      <c r="EZ38" s="477">
        <v>4.1000000000000002E-2</v>
      </c>
      <c r="FA38" s="477">
        <v>4.1000000000000002E-2</v>
      </c>
      <c r="FB38" s="477">
        <v>3.9E-2</v>
      </c>
      <c r="FC38" s="477">
        <v>3.9E-2</v>
      </c>
      <c r="FD38" s="477">
        <v>3.9E-2</v>
      </c>
      <c r="FE38" s="477">
        <v>3.9E-2</v>
      </c>
      <c r="FF38" s="477">
        <v>3.9E-2</v>
      </c>
      <c r="FG38" s="477">
        <v>3.9E-2</v>
      </c>
      <c r="FH38" s="477">
        <v>3.9E-2</v>
      </c>
      <c r="FI38" s="477">
        <v>3.9E-2</v>
      </c>
      <c r="FJ38" s="477">
        <v>3.9E-2</v>
      </c>
      <c r="FK38" s="477">
        <v>3.9E-2</v>
      </c>
      <c r="FL38" s="477">
        <v>3.7999999999999999E-2</v>
      </c>
      <c r="FM38" s="477">
        <v>3.7999999999999999E-2</v>
      </c>
      <c r="FN38" s="477">
        <v>3.6999999999999998E-2</v>
      </c>
      <c r="FO38" s="477">
        <v>3.6999999999999998E-2</v>
      </c>
      <c r="FP38" s="477">
        <v>3.5999999999999997E-2</v>
      </c>
      <c r="FQ38" s="477">
        <v>3.4000000000000002E-2</v>
      </c>
      <c r="FR38" s="477">
        <v>3.3000000000000002E-2</v>
      </c>
      <c r="FS38" s="477">
        <v>3.15E-2</v>
      </c>
      <c r="FT38" s="477">
        <v>3.1E-2</v>
      </c>
      <c r="FU38" s="477">
        <v>0.03</v>
      </c>
      <c r="FV38" s="477">
        <v>4.5999999999999999E-2</v>
      </c>
      <c r="FW38" s="477">
        <v>4.4999999999999998E-2</v>
      </c>
      <c r="FX38" s="477">
        <v>4.7E-2</v>
      </c>
      <c r="FY38" s="477">
        <v>4.7E-2</v>
      </c>
      <c r="FZ38" s="477">
        <v>4.7E-2</v>
      </c>
      <c r="GA38" s="477">
        <v>4.7E-2</v>
      </c>
      <c r="GB38" s="477">
        <v>4.7E-2</v>
      </c>
      <c r="GC38" s="477">
        <v>4.7E-2</v>
      </c>
      <c r="GD38" s="477">
        <v>2.6499999999999999E-2</v>
      </c>
      <c r="GE38" s="477">
        <v>2.6499999999999999E-2</v>
      </c>
      <c r="GF38" s="477">
        <v>2.6499999999999999E-2</v>
      </c>
      <c r="GG38" s="477">
        <v>2.6499999999999999E-2</v>
      </c>
      <c r="GH38" s="477">
        <v>2.6499999999999999E-2</v>
      </c>
      <c r="GI38" s="477">
        <v>2.6499999999999999E-2</v>
      </c>
      <c r="GJ38" s="477">
        <v>2.6499999999999999E-2</v>
      </c>
      <c r="GK38" s="477">
        <v>2.6499999999999999E-2</v>
      </c>
      <c r="GL38" s="477">
        <v>2.6499999999999999E-2</v>
      </c>
      <c r="GM38" s="477">
        <v>2.6499999999999999E-2</v>
      </c>
      <c r="GN38" s="477">
        <v>2.6499999999999999E-2</v>
      </c>
      <c r="GO38" s="477">
        <v>2.6499999999999999E-2</v>
      </c>
      <c r="GP38" s="477">
        <v>2.6499999999999999E-2</v>
      </c>
      <c r="GQ38" s="477">
        <v>2.6499999999999999E-2</v>
      </c>
      <c r="GR38" s="477">
        <v>2.6499999999999999E-2</v>
      </c>
      <c r="GS38" s="477">
        <v>2.6499999999999999E-2</v>
      </c>
      <c r="GT38" s="477">
        <v>2.6499999999999999E-2</v>
      </c>
      <c r="GU38" s="477">
        <v>2.6499999999999999E-2</v>
      </c>
      <c r="GV38" s="477">
        <v>2.6499999999999999E-2</v>
      </c>
      <c r="GW38" s="477">
        <v>2.6499999999999999E-2</v>
      </c>
      <c r="GX38" s="477">
        <v>2.6499999999999999E-2</v>
      </c>
      <c r="GY38" s="477">
        <v>2.6499999999999999E-2</v>
      </c>
      <c r="GZ38" s="477">
        <v>2.6499999999999999E-2</v>
      </c>
      <c r="HA38" s="477">
        <v>2.6499999999999999E-2</v>
      </c>
      <c r="HB38" s="477">
        <v>2.6499999999999999E-2</v>
      </c>
      <c r="HC38" s="477">
        <v>2.6499999999999999E-2</v>
      </c>
      <c r="HD38" s="477">
        <v>2.6499999999999999E-2</v>
      </c>
      <c r="HE38" s="477">
        <v>2.6499999999999999E-2</v>
      </c>
      <c r="HF38" s="477">
        <v>2.6499999999999999E-2</v>
      </c>
      <c r="HG38" s="477">
        <v>2.6499999999999999E-2</v>
      </c>
      <c r="HH38" s="477">
        <v>2.6499999999999999E-2</v>
      </c>
      <c r="HI38" s="477">
        <v>2.6499999999999999E-2</v>
      </c>
      <c r="HJ38" s="477">
        <v>2.6499999999999999E-2</v>
      </c>
      <c r="HK38" s="477">
        <v>2.6499999999999999E-2</v>
      </c>
      <c r="HL38" s="477">
        <v>2.6499999999999999E-2</v>
      </c>
      <c r="HM38" s="477">
        <v>2.6499999999999999E-2</v>
      </c>
      <c r="HN38" s="477">
        <v>2.6499999999999999E-2</v>
      </c>
      <c r="HO38" s="477">
        <v>2.6499999999999999E-2</v>
      </c>
      <c r="HP38" s="473">
        <f t="shared" si="12"/>
        <v>0</v>
      </c>
      <c r="HQ38" s="1137"/>
    </row>
    <row r="39" spans="2:225">
      <c r="B39" s="1138" t="s">
        <v>20</v>
      </c>
      <c r="C39" s="732" t="s">
        <v>256</v>
      </c>
      <c r="D39" s="494">
        <v>2.5499999999999998E-2</v>
      </c>
      <c r="E39" s="494">
        <v>2.5499999999999998E-2</v>
      </c>
      <c r="F39" s="494">
        <v>2.52E-2</v>
      </c>
      <c r="G39" s="488">
        <v>2.5000000000000001E-2</v>
      </c>
      <c r="H39" s="494">
        <v>2.5000000000000001E-2</v>
      </c>
      <c r="I39" s="494">
        <v>2.6800000000000001E-2</v>
      </c>
      <c r="J39" s="494">
        <v>2.4899999999999999E-2</v>
      </c>
      <c r="K39" s="494">
        <v>2.5000000000000001E-2</v>
      </c>
      <c r="L39" s="494">
        <v>2.52E-2</v>
      </c>
      <c r="M39" s="494">
        <v>2.5499999999999998E-2</v>
      </c>
      <c r="N39" s="488">
        <v>2.6800000000000001E-2</v>
      </c>
      <c r="O39" s="494">
        <v>2.6800000000000001E-2</v>
      </c>
      <c r="P39" s="494">
        <v>2.7E-2</v>
      </c>
      <c r="Q39" s="488">
        <v>2.8000000000000001E-2</v>
      </c>
      <c r="R39" s="488">
        <v>2.8000000000000001E-2</v>
      </c>
      <c r="S39" s="488">
        <v>2.8000000000000001E-2</v>
      </c>
      <c r="T39" s="489">
        <v>2.8000000000000001E-2</v>
      </c>
      <c r="U39" s="489">
        <v>2.8000000000000001E-2</v>
      </c>
      <c r="V39" s="494">
        <v>2.8000000000000001E-2</v>
      </c>
      <c r="W39" s="494">
        <v>2.8799999999999999E-2</v>
      </c>
      <c r="X39" s="494">
        <v>2.92E-2</v>
      </c>
      <c r="Y39" s="494">
        <v>2.9399999999999999E-2</v>
      </c>
      <c r="Z39" s="488">
        <v>2.9499999999999998E-2</v>
      </c>
      <c r="AA39" s="488">
        <v>2.9499999999999998E-2</v>
      </c>
      <c r="AB39" s="488">
        <v>2.9499999999999998E-2</v>
      </c>
      <c r="AC39" s="494">
        <v>2.9499999999999998E-2</v>
      </c>
      <c r="AD39" s="494">
        <v>3.1E-2</v>
      </c>
      <c r="AE39" s="488">
        <v>3.15E-2</v>
      </c>
      <c r="AF39" s="488">
        <v>3.15E-2</v>
      </c>
      <c r="AG39" s="494">
        <v>3.15E-2</v>
      </c>
      <c r="AH39" s="471">
        <v>3.1800000000000002E-2</v>
      </c>
      <c r="AI39" s="470">
        <v>3.1800000000000002E-2</v>
      </c>
      <c r="AJ39" s="471">
        <v>3.2000000000000001E-2</v>
      </c>
      <c r="AK39" s="470">
        <v>3.2000000000000001E-2</v>
      </c>
      <c r="AL39" s="472">
        <v>3.2500000000000001E-2</v>
      </c>
      <c r="AM39" s="470">
        <v>3.2500000000000001E-2</v>
      </c>
      <c r="AN39" s="470">
        <v>3.2300000000000002E-2</v>
      </c>
      <c r="AO39" s="471">
        <v>3.2500000000000001E-2</v>
      </c>
      <c r="AP39" s="471">
        <v>3.2500000000000001E-2</v>
      </c>
      <c r="AQ39" s="471">
        <v>3.2500000000000001E-2</v>
      </c>
      <c r="AR39" s="471">
        <v>3.2500000000000001E-2</v>
      </c>
      <c r="AS39" s="471">
        <v>3.2500000000000001E-2</v>
      </c>
      <c r="AT39" s="470">
        <v>3.2500000000000001E-2</v>
      </c>
      <c r="AU39" s="471">
        <v>3.2399999999999998E-2</v>
      </c>
      <c r="AV39" s="470">
        <v>3.2500000000000001E-2</v>
      </c>
      <c r="AW39" s="472">
        <v>3.2000000000000001E-2</v>
      </c>
      <c r="AX39" s="472">
        <v>3.2000000000000001E-2</v>
      </c>
      <c r="AY39" s="472">
        <v>3.2000000000000001E-2</v>
      </c>
      <c r="AZ39" s="472">
        <v>3.2000000000000001E-2</v>
      </c>
      <c r="BA39" s="472">
        <v>3.2000000000000001E-2</v>
      </c>
      <c r="BB39" s="472">
        <v>3.2000000000000001E-2</v>
      </c>
      <c r="BC39" s="472">
        <v>3.2000000000000001E-2</v>
      </c>
      <c r="BD39" s="472">
        <v>3.2000000000000001E-2</v>
      </c>
      <c r="BE39" s="472">
        <v>3.2000000000000001E-2</v>
      </c>
      <c r="BF39" s="472">
        <v>3.2000000000000001E-2</v>
      </c>
      <c r="BG39" s="472">
        <v>3.2000000000000001E-2</v>
      </c>
      <c r="BH39" s="472">
        <v>3.4500000000000003E-2</v>
      </c>
      <c r="BI39" s="472">
        <v>3.4500000000000003E-2</v>
      </c>
      <c r="BJ39" s="472">
        <v>3.4500000000000003E-2</v>
      </c>
      <c r="BK39" s="472">
        <v>3.4500000000000003E-2</v>
      </c>
      <c r="BL39" s="472">
        <v>3.4500000000000003E-2</v>
      </c>
      <c r="BM39" s="472">
        <v>3.4500000000000003E-2</v>
      </c>
      <c r="BN39" s="472">
        <v>3.4500000000000003E-2</v>
      </c>
      <c r="BO39" s="472">
        <v>3.5000000000000003E-2</v>
      </c>
      <c r="BP39" s="472">
        <v>3.5000000000000003E-2</v>
      </c>
      <c r="BQ39" s="472">
        <v>3.5000000000000003E-2</v>
      </c>
      <c r="BR39" s="472">
        <v>3.6999999999999998E-2</v>
      </c>
      <c r="BS39" s="472">
        <v>3.6999999999999998E-2</v>
      </c>
      <c r="BT39" s="472">
        <v>3.6999999999999998E-2</v>
      </c>
      <c r="BU39" s="472">
        <v>3.6999999999999998E-2</v>
      </c>
      <c r="BV39" s="472">
        <v>3.6999999999999998E-2</v>
      </c>
      <c r="BW39" s="472">
        <v>3.6999999999999998E-2</v>
      </c>
      <c r="BX39" s="472">
        <v>3.7499999999999999E-2</v>
      </c>
      <c r="BY39" s="472">
        <v>3.7499999999999999E-2</v>
      </c>
      <c r="BZ39" s="472">
        <v>3.6999999999999998E-2</v>
      </c>
      <c r="CA39" s="472">
        <v>3.9600000000000003E-2</v>
      </c>
      <c r="CB39" s="472">
        <v>4.1500000000000002E-2</v>
      </c>
      <c r="CC39" s="472">
        <v>4.1000000000000002E-2</v>
      </c>
      <c r="CD39" s="472">
        <v>4.1799999999999997E-2</v>
      </c>
      <c r="CE39" s="472">
        <v>4.2599999999999999E-2</v>
      </c>
      <c r="CF39" s="472">
        <v>4.2599999999999999E-2</v>
      </c>
      <c r="CG39" s="472">
        <v>4.2599999999999999E-2</v>
      </c>
      <c r="CH39" s="477"/>
      <c r="CI39" s="477"/>
      <c r="CJ39" s="477"/>
      <c r="CK39" s="477"/>
      <c r="CL39" s="477"/>
      <c r="CM39" s="477"/>
      <c r="CN39" s="477"/>
      <c r="CO39" s="477"/>
      <c r="CP39" s="477"/>
      <c r="CQ39" s="477"/>
      <c r="CR39" s="477"/>
      <c r="CS39" s="477"/>
      <c r="CT39" s="477"/>
      <c r="CU39" s="477"/>
      <c r="CV39" s="477"/>
      <c r="CW39" s="477"/>
      <c r="CX39" s="477"/>
      <c r="CY39" s="477"/>
      <c r="CZ39" s="477"/>
      <c r="DA39" s="477"/>
      <c r="DB39" s="477"/>
      <c r="DC39" s="477"/>
      <c r="DD39" s="477"/>
      <c r="DE39" s="477"/>
      <c r="DF39" s="477"/>
      <c r="DG39" s="477"/>
      <c r="DH39" s="477"/>
      <c r="DI39" s="477"/>
      <c r="DJ39" s="477"/>
      <c r="DK39" s="477"/>
      <c r="DL39" s="477"/>
      <c r="DM39" s="477"/>
      <c r="DN39" s="477"/>
      <c r="DO39" s="477"/>
      <c r="DP39" s="477"/>
      <c r="DQ39" s="477"/>
      <c r="DR39" s="477"/>
      <c r="DS39" s="477"/>
      <c r="DT39" s="477"/>
      <c r="DU39" s="477"/>
      <c r="DV39" s="477"/>
      <c r="DW39" s="477"/>
      <c r="DX39" s="477"/>
      <c r="DY39" s="477"/>
      <c r="DZ39" s="477"/>
      <c r="EA39" s="477"/>
      <c r="EB39" s="477"/>
      <c r="EC39" s="477"/>
      <c r="ED39" s="477"/>
      <c r="EE39" s="477"/>
      <c r="EF39" s="477"/>
      <c r="EG39" s="477"/>
      <c r="EH39" s="477"/>
      <c r="EI39" s="477"/>
      <c r="EJ39" s="477"/>
      <c r="EK39" s="477"/>
      <c r="EL39" s="477"/>
      <c r="EM39" s="477"/>
      <c r="EN39" s="477"/>
      <c r="EO39" s="477"/>
      <c r="EP39" s="477"/>
      <c r="EQ39" s="477"/>
      <c r="ER39" s="477"/>
      <c r="ES39" s="477"/>
      <c r="ET39" s="477"/>
      <c r="EU39" s="477"/>
      <c r="EV39" s="477"/>
      <c r="EW39" s="477"/>
      <c r="EX39" s="477"/>
      <c r="EY39" s="477"/>
      <c r="EZ39" s="477"/>
      <c r="FA39" s="477"/>
      <c r="FB39" s="477"/>
      <c r="FC39" s="477"/>
      <c r="FD39" s="477"/>
      <c r="FE39" s="477"/>
      <c r="FF39" s="477"/>
      <c r="FG39" s="477"/>
      <c r="FH39" s="477"/>
      <c r="FI39" s="477"/>
      <c r="FJ39" s="477"/>
      <c r="FK39" s="477"/>
      <c r="FL39" s="477"/>
      <c r="FM39" s="477"/>
      <c r="FN39" s="477"/>
      <c r="FO39" s="477"/>
      <c r="FP39" s="477"/>
      <c r="FQ39" s="477"/>
      <c r="FR39" s="477"/>
      <c r="FS39" s="477"/>
      <c r="FT39" s="477"/>
      <c r="FU39" s="477"/>
      <c r="FV39" s="477"/>
      <c r="FW39" s="477"/>
      <c r="FX39" s="477"/>
      <c r="FY39" s="477"/>
      <c r="FZ39" s="477"/>
      <c r="GA39" s="477"/>
      <c r="GB39" s="477"/>
      <c r="GC39" s="477"/>
      <c r="GD39" s="472"/>
      <c r="GE39" s="472"/>
      <c r="GF39" s="472"/>
      <c r="GG39" s="472"/>
      <c r="GH39" s="472"/>
      <c r="GI39" s="472"/>
      <c r="GJ39" s="472"/>
      <c r="GK39" s="472"/>
      <c r="GL39" s="472"/>
      <c r="GM39" s="472"/>
      <c r="GN39" s="472"/>
      <c r="GO39" s="472"/>
      <c r="GP39" s="472"/>
      <c r="GQ39" s="472"/>
      <c r="GR39" s="472"/>
      <c r="GS39" s="472"/>
      <c r="GT39" s="472"/>
      <c r="GU39" s="472"/>
      <c r="GV39" s="472"/>
      <c r="GW39" s="472"/>
      <c r="GX39" s="472"/>
      <c r="GY39" s="472"/>
      <c r="GZ39" s="472"/>
      <c r="HA39" s="472"/>
      <c r="HB39" s="472"/>
      <c r="HC39" s="472"/>
      <c r="HD39" s="472"/>
      <c r="HE39" s="472"/>
      <c r="HF39" s="472"/>
      <c r="HG39" s="472"/>
      <c r="HH39" s="472"/>
      <c r="HI39" s="472"/>
      <c r="HJ39" s="472"/>
      <c r="HK39" s="472"/>
      <c r="HL39" s="472"/>
      <c r="HM39" s="472"/>
      <c r="HN39" s="472"/>
      <c r="HO39" s="472"/>
      <c r="HP39" s="473">
        <f t="shared" si="12"/>
        <v>0</v>
      </c>
      <c r="HQ39" s="498"/>
    </row>
    <row r="40" spans="2:225">
      <c r="B40" s="1139"/>
      <c r="C40" s="732" t="s">
        <v>255</v>
      </c>
      <c r="D40" s="494">
        <v>2.5499999999999998E-2</v>
      </c>
      <c r="E40" s="494">
        <v>2.5499999999999998E-2</v>
      </c>
      <c r="F40" s="494">
        <v>2.52E-2</v>
      </c>
      <c r="G40" s="488">
        <v>2.5000000000000001E-2</v>
      </c>
      <c r="H40" s="494">
        <v>2.5000000000000001E-2</v>
      </c>
      <c r="I40" s="494">
        <v>2.6800000000000001E-2</v>
      </c>
      <c r="J40" s="494">
        <v>2.4899999999999999E-2</v>
      </c>
      <c r="K40" s="494">
        <v>2.5000000000000001E-2</v>
      </c>
      <c r="L40" s="494">
        <v>2.52E-2</v>
      </c>
      <c r="M40" s="494">
        <v>2.5499999999999998E-2</v>
      </c>
      <c r="N40" s="488">
        <v>2.6800000000000001E-2</v>
      </c>
      <c r="O40" s="494">
        <v>2.6800000000000001E-2</v>
      </c>
      <c r="P40" s="494">
        <v>2.7E-2</v>
      </c>
      <c r="Q40" s="488">
        <v>2.8000000000000001E-2</v>
      </c>
      <c r="R40" s="488">
        <v>2.8000000000000001E-2</v>
      </c>
      <c r="S40" s="488">
        <v>2.8000000000000001E-2</v>
      </c>
      <c r="T40" s="489">
        <v>2.8000000000000001E-2</v>
      </c>
      <c r="U40" s="489">
        <v>2.8000000000000001E-2</v>
      </c>
      <c r="V40" s="494">
        <v>2.8000000000000001E-2</v>
      </c>
      <c r="W40" s="494">
        <v>2.8799999999999999E-2</v>
      </c>
      <c r="X40" s="494">
        <v>2.92E-2</v>
      </c>
      <c r="Y40" s="494">
        <v>2.9399999999999999E-2</v>
      </c>
      <c r="Z40" s="488">
        <v>2.9499999999999998E-2</v>
      </c>
      <c r="AA40" s="488">
        <v>2.9499999999999998E-2</v>
      </c>
      <c r="AB40" s="488">
        <v>2.9499999999999998E-2</v>
      </c>
      <c r="AC40" s="494">
        <v>2.9499999999999998E-2</v>
      </c>
      <c r="AD40" s="494">
        <v>3.1E-2</v>
      </c>
      <c r="AE40" s="488">
        <v>3.15E-2</v>
      </c>
      <c r="AF40" s="488">
        <v>3.15E-2</v>
      </c>
      <c r="AG40" s="494">
        <v>3.15E-2</v>
      </c>
      <c r="AH40" s="471">
        <v>3.1800000000000002E-2</v>
      </c>
      <c r="AI40" s="470">
        <v>3.1800000000000002E-2</v>
      </c>
      <c r="AJ40" s="471">
        <v>3.2000000000000001E-2</v>
      </c>
      <c r="AK40" s="470">
        <v>3.2000000000000001E-2</v>
      </c>
      <c r="AL40" s="472">
        <v>3.2500000000000001E-2</v>
      </c>
      <c r="AM40" s="470">
        <v>3.2500000000000001E-2</v>
      </c>
      <c r="AN40" s="470">
        <v>3.2300000000000002E-2</v>
      </c>
      <c r="AO40" s="471">
        <v>3.2500000000000001E-2</v>
      </c>
      <c r="AP40" s="471">
        <v>3.2500000000000001E-2</v>
      </c>
      <c r="AQ40" s="471">
        <v>3.2500000000000001E-2</v>
      </c>
      <c r="AR40" s="471">
        <v>3.2500000000000001E-2</v>
      </c>
      <c r="AS40" s="471">
        <v>3.2500000000000001E-2</v>
      </c>
      <c r="AT40" s="470">
        <v>3.2500000000000001E-2</v>
      </c>
      <c r="AU40" s="471">
        <v>3.2399999999999998E-2</v>
      </c>
      <c r="AV40" s="470">
        <v>3.2500000000000001E-2</v>
      </c>
      <c r="AW40" s="472">
        <v>3.2000000000000001E-2</v>
      </c>
      <c r="AX40" s="472">
        <v>3.2000000000000001E-2</v>
      </c>
      <c r="AY40" s="472">
        <v>3.2000000000000001E-2</v>
      </c>
      <c r="AZ40" s="472">
        <v>3.2000000000000001E-2</v>
      </c>
      <c r="BA40" s="472">
        <v>3.2000000000000001E-2</v>
      </c>
      <c r="BB40" s="472">
        <v>3.2000000000000001E-2</v>
      </c>
      <c r="BC40" s="472">
        <v>3.2000000000000001E-2</v>
      </c>
      <c r="BD40" s="472">
        <v>3.2000000000000001E-2</v>
      </c>
      <c r="BE40" s="472">
        <v>3.2000000000000001E-2</v>
      </c>
      <c r="BF40" s="472">
        <v>3.2000000000000001E-2</v>
      </c>
      <c r="BG40" s="472">
        <v>3.2000000000000001E-2</v>
      </c>
      <c r="BH40" s="472">
        <v>3.4500000000000003E-2</v>
      </c>
      <c r="BI40" s="472">
        <v>3.4500000000000003E-2</v>
      </c>
      <c r="BJ40" s="472">
        <v>3.4500000000000003E-2</v>
      </c>
      <c r="BK40" s="472">
        <v>3.4500000000000003E-2</v>
      </c>
      <c r="BL40" s="472">
        <v>3.4500000000000003E-2</v>
      </c>
      <c r="BM40" s="472">
        <v>3.4500000000000003E-2</v>
      </c>
      <c r="BN40" s="472">
        <v>3.4500000000000003E-2</v>
      </c>
      <c r="BO40" s="472">
        <v>3.5000000000000003E-2</v>
      </c>
      <c r="BP40" s="472">
        <v>3.5000000000000003E-2</v>
      </c>
      <c r="BQ40" s="472">
        <v>3.5000000000000003E-2</v>
      </c>
      <c r="BR40" s="472">
        <v>3.6999999999999998E-2</v>
      </c>
      <c r="BS40" s="472">
        <v>3.6999999999999998E-2</v>
      </c>
      <c r="BT40" s="472">
        <v>3.6999999999999998E-2</v>
      </c>
      <c r="BU40" s="472">
        <v>3.6999999999999998E-2</v>
      </c>
      <c r="BV40" s="472">
        <v>3.6999999999999998E-2</v>
      </c>
      <c r="BW40" s="472">
        <v>3.6999999999999998E-2</v>
      </c>
      <c r="BX40" s="472">
        <v>3.7499999999999999E-2</v>
      </c>
      <c r="BY40" s="472">
        <v>3.7499999999999999E-2</v>
      </c>
      <c r="BZ40" s="472">
        <v>3.6999999999999998E-2</v>
      </c>
      <c r="CA40" s="472">
        <v>3.9600000000000003E-2</v>
      </c>
      <c r="CB40" s="472">
        <v>4.1500000000000002E-2</v>
      </c>
      <c r="CC40" s="472">
        <v>4.1000000000000002E-2</v>
      </c>
      <c r="CD40" s="472">
        <v>4.1799999999999997E-2</v>
      </c>
      <c r="CE40" s="472">
        <v>4.2599999999999999E-2</v>
      </c>
      <c r="CF40" s="472">
        <v>4.2599999999999999E-2</v>
      </c>
      <c r="CG40" s="472">
        <v>4.2599999999999999E-2</v>
      </c>
      <c r="CH40" s="477"/>
      <c r="CI40" s="477"/>
      <c r="CJ40" s="477"/>
      <c r="CK40" s="477"/>
      <c r="CL40" s="477"/>
      <c r="CM40" s="477"/>
      <c r="CN40" s="477"/>
      <c r="CO40" s="477"/>
      <c r="CP40" s="477"/>
      <c r="CQ40" s="477"/>
      <c r="CR40" s="477"/>
      <c r="CS40" s="477"/>
      <c r="CT40" s="477"/>
      <c r="CU40" s="477"/>
      <c r="CV40" s="477"/>
      <c r="CW40" s="477"/>
      <c r="CX40" s="477"/>
      <c r="CY40" s="477"/>
      <c r="CZ40" s="477"/>
      <c r="DA40" s="477"/>
      <c r="DB40" s="477"/>
      <c r="DC40" s="477"/>
      <c r="DD40" s="477"/>
      <c r="DE40" s="477"/>
      <c r="DF40" s="477"/>
      <c r="DG40" s="477"/>
      <c r="DH40" s="477"/>
      <c r="DI40" s="477"/>
      <c r="DJ40" s="477"/>
      <c r="DK40" s="477"/>
      <c r="DL40" s="477"/>
      <c r="DM40" s="477"/>
      <c r="DN40" s="477"/>
      <c r="DO40" s="477"/>
      <c r="DP40" s="477"/>
      <c r="DQ40" s="477"/>
      <c r="DR40" s="477"/>
      <c r="DS40" s="477"/>
      <c r="DT40" s="477"/>
      <c r="DU40" s="477"/>
      <c r="DV40" s="477"/>
      <c r="DW40" s="477"/>
      <c r="DX40" s="477"/>
      <c r="DY40" s="477"/>
      <c r="DZ40" s="477"/>
      <c r="EA40" s="477"/>
      <c r="EB40" s="477"/>
      <c r="EC40" s="477"/>
      <c r="ED40" s="477"/>
      <c r="EE40" s="477"/>
      <c r="EF40" s="477"/>
      <c r="EG40" s="477"/>
      <c r="EH40" s="477"/>
      <c r="EI40" s="477"/>
      <c r="EJ40" s="477"/>
      <c r="EK40" s="477"/>
      <c r="EL40" s="477"/>
      <c r="EM40" s="477"/>
      <c r="EN40" s="477"/>
      <c r="EO40" s="477"/>
      <c r="EP40" s="477"/>
      <c r="EQ40" s="477"/>
      <c r="ER40" s="477"/>
      <c r="ES40" s="477"/>
      <c r="ET40" s="477"/>
      <c r="EU40" s="477"/>
      <c r="EV40" s="477"/>
      <c r="EW40" s="477"/>
      <c r="EX40" s="477"/>
      <c r="EY40" s="477"/>
      <c r="EZ40" s="477"/>
      <c r="FA40" s="477"/>
      <c r="FB40" s="477"/>
      <c r="FC40" s="477"/>
      <c r="FD40" s="477"/>
      <c r="FE40" s="477"/>
      <c r="FF40" s="477"/>
      <c r="FG40" s="477"/>
      <c r="FH40" s="477"/>
      <c r="FI40" s="477"/>
      <c r="FJ40" s="477"/>
      <c r="FK40" s="477"/>
      <c r="FL40" s="477"/>
      <c r="FM40" s="477"/>
      <c r="FN40" s="477"/>
      <c r="FO40" s="477"/>
      <c r="FP40" s="477"/>
      <c r="FQ40" s="477"/>
      <c r="FR40" s="477"/>
      <c r="FS40" s="477"/>
      <c r="FT40" s="477"/>
      <c r="FU40" s="477"/>
      <c r="FV40" s="477"/>
      <c r="FW40" s="477"/>
      <c r="FX40" s="477"/>
      <c r="FY40" s="477"/>
      <c r="FZ40" s="477"/>
      <c r="GA40" s="477"/>
      <c r="GB40" s="477"/>
      <c r="GC40" s="477"/>
      <c r="GD40" s="472"/>
      <c r="GE40" s="472"/>
      <c r="GF40" s="472"/>
      <c r="GG40" s="472"/>
      <c r="GH40" s="472"/>
      <c r="GI40" s="472"/>
      <c r="GJ40" s="472"/>
      <c r="GK40" s="472"/>
      <c r="GL40" s="472"/>
      <c r="GM40" s="472"/>
      <c r="GN40" s="472"/>
      <c r="GO40" s="472"/>
      <c r="GP40" s="472"/>
      <c r="GQ40" s="472"/>
      <c r="GR40" s="472"/>
      <c r="GS40" s="472"/>
      <c r="GT40" s="472"/>
      <c r="GU40" s="472"/>
      <c r="GV40" s="472"/>
      <c r="GW40" s="472"/>
      <c r="GX40" s="472"/>
      <c r="GY40" s="472"/>
      <c r="GZ40" s="472"/>
      <c r="HA40" s="472"/>
      <c r="HB40" s="472"/>
      <c r="HC40" s="472"/>
      <c r="HD40" s="472"/>
      <c r="HE40" s="472"/>
      <c r="HF40" s="472"/>
      <c r="HG40" s="472"/>
      <c r="HH40" s="472"/>
      <c r="HI40" s="472"/>
      <c r="HJ40" s="472"/>
      <c r="HK40" s="472"/>
      <c r="HL40" s="472"/>
      <c r="HM40" s="472"/>
      <c r="HN40" s="472"/>
      <c r="HO40" s="472"/>
      <c r="HP40" s="473">
        <f t="shared" si="12"/>
        <v>0</v>
      </c>
      <c r="HQ40" s="498"/>
    </row>
    <row r="41" spans="2:225">
      <c r="B41" s="1139"/>
      <c r="C41" s="732" t="s">
        <v>254</v>
      </c>
      <c r="D41" s="494">
        <v>2.5999999999999999E-2</v>
      </c>
      <c r="E41" s="494">
        <v>2.5999999999999999E-2</v>
      </c>
      <c r="F41" s="494">
        <v>2.5700000000000001E-2</v>
      </c>
      <c r="G41" s="488">
        <v>2.5499999999999998E-2</v>
      </c>
      <c r="H41" s="494">
        <v>2.5499999999999998E-2</v>
      </c>
      <c r="I41" s="494">
        <v>2.7300000000000001E-2</v>
      </c>
      <c r="J41" s="494">
        <v>2.5399999999999999E-2</v>
      </c>
      <c r="K41" s="494">
        <v>2.5499999999999998E-2</v>
      </c>
      <c r="L41" s="494">
        <v>2.5700000000000001E-2</v>
      </c>
      <c r="M41" s="494">
        <v>2.5999999999999999E-2</v>
      </c>
      <c r="N41" s="488">
        <v>2.7300000000000001E-2</v>
      </c>
      <c r="O41" s="494">
        <v>2.7300000000000001E-2</v>
      </c>
      <c r="P41" s="494">
        <v>2.75E-2</v>
      </c>
      <c r="Q41" s="488">
        <v>2.8500000000000001E-2</v>
      </c>
      <c r="R41" s="488">
        <v>2.8500000000000001E-2</v>
      </c>
      <c r="S41" s="488">
        <v>2.8500000000000001E-2</v>
      </c>
      <c r="T41" s="489">
        <v>2.8500000000000001E-2</v>
      </c>
      <c r="U41" s="489">
        <v>2.8500000000000001E-2</v>
      </c>
      <c r="V41" s="494">
        <v>2.8500000000000001E-2</v>
      </c>
      <c r="W41" s="494">
        <v>2.93E-2</v>
      </c>
      <c r="X41" s="494">
        <v>2.9700000000000001E-2</v>
      </c>
      <c r="Y41" s="494">
        <v>2.9899999999999999E-2</v>
      </c>
      <c r="Z41" s="488">
        <v>0.03</v>
      </c>
      <c r="AA41" s="488">
        <v>0.03</v>
      </c>
      <c r="AB41" s="488">
        <v>0.03</v>
      </c>
      <c r="AC41" s="494">
        <v>0.03</v>
      </c>
      <c r="AD41" s="494">
        <v>3.15E-2</v>
      </c>
      <c r="AE41" s="488">
        <v>3.2000000000000001E-2</v>
      </c>
      <c r="AF41" s="488">
        <v>3.2000000000000001E-2</v>
      </c>
      <c r="AG41" s="494">
        <v>3.2000000000000001E-2</v>
      </c>
      <c r="AH41" s="471">
        <v>3.2300000000000002E-2</v>
      </c>
      <c r="AI41" s="470">
        <v>3.2300000000000002E-2</v>
      </c>
      <c r="AJ41" s="471">
        <v>3.2500000000000001E-2</v>
      </c>
      <c r="AK41" s="470">
        <v>3.2500000000000001E-2</v>
      </c>
      <c r="AL41" s="472">
        <v>3.3000000000000002E-2</v>
      </c>
      <c r="AM41" s="470">
        <v>3.3000000000000002E-2</v>
      </c>
      <c r="AN41" s="470">
        <v>3.2800000000000003E-2</v>
      </c>
      <c r="AO41" s="471">
        <v>3.3000000000000002E-2</v>
      </c>
      <c r="AP41" s="471">
        <v>3.3000000000000002E-2</v>
      </c>
      <c r="AQ41" s="471">
        <v>3.3000000000000002E-2</v>
      </c>
      <c r="AR41" s="471">
        <v>3.3000000000000002E-2</v>
      </c>
      <c r="AS41" s="471">
        <v>3.3000000000000002E-2</v>
      </c>
      <c r="AT41" s="470">
        <v>3.3000000000000002E-2</v>
      </c>
      <c r="AU41" s="471">
        <v>3.2899999999999999E-2</v>
      </c>
      <c r="AV41" s="470">
        <v>3.3000000000000002E-2</v>
      </c>
      <c r="AW41" s="472">
        <v>3.2500000000000001E-2</v>
      </c>
      <c r="AX41" s="472">
        <v>3.2500000000000001E-2</v>
      </c>
      <c r="AY41" s="472">
        <v>3.2500000000000001E-2</v>
      </c>
      <c r="AZ41" s="472">
        <v>3.2500000000000001E-2</v>
      </c>
      <c r="BA41" s="472">
        <v>3.2500000000000001E-2</v>
      </c>
      <c r="BB41" s="472">
        <v>3.2500000000000001E-2</v>
      </c>
      <c r="BC41" s="472">
        <v>3.2500000000000001E-2</v>
      </c>
      <c r="BD41" s="472">
        <v>3.2500000000000001E-2</v>
      </c>
      <c r="BE41" s="472">
        <v>3.2500000000000001E-2</v>
      </c>
      <c r="BF41" s="472">
        <v>3.2500000000000001E-2</v>
      </c>
      <c r="BG41" s="472">
        <v>3.2500000000000001E-2</v>
      </c>
      <c r="BH41" s="472">
        <v>3.5000000000000003E-2</v>
      </c>
      <c r="BI41" s="472">
        <v>3.5000000000000003E-2</v>
      </c>
      <c r="BJ41" s="472">
        <v>3.5000000000000003E-2</v>
      </c>
      <c r="BK41" s="472">
        <v>3.5000000000000003E-2</v>
      </c>
      <c r="BL41" s="472">
        <v>3.5000000000000003E-2</v>
      </c>
      <c r="BM41" s="472">
        <v>3.5000000000000003E-2</v>
      </c>
      <c r="BN41" s="472">
        <v>3.5000000000000003E-2</v>
      </c>
      <c r="BO41" s="472">
        <v>3.5499999999999997E-2</v>
      </c>
      <c r="BP41" s="472">
        <v>3.5499999999999997E-2</v>
      </c>
      <c r="BQ41" s="472">
        <v>3.5499999999999997E-2</v>
      </c>
      <c r="BR41" s="472">
        <v>3.7499999999999999E-2</v>
      </c>
      <c r="BS41" s="472">
        <v>3.7499999999999999E-2</v>
      </c>
      <c r="BT41" s="472">
        <v>3.7499999999999999E-2</v>
      </c>
      <c r="BU41" s="472">
        <v>3.7499999999999999E-2</v>
      </c>
      <c r="BV41" s="472">
        <v>3.7499999999999999E-2</v>
      </c>
      <c r="BW41" s="472">
        <v>3.7499999999999999E-2</v>
      </c>
      <c r="BX41" s="472">
        <v>3.7999999999999999E-2</v>
      </c>
      <c r="BY41" s="472">
        <v>3.7999999999999999E-2</v>
      </c>
      <c r="BZ41" s="472">
        <v>3.7499999999999999E-2</v>
      </c>
      <c r="CA41" s="472">
        <v>4.0099999999999997E-2</v>
      </c>
      <c r="CB41" s="472">
        <v>4.2000000000000003E-2</v>
      </c>
      <c r="CC41" s="472">
        <v>4.1500000000000002E-2</v>
      </c>
      <c r="CD41" s="472">
        <v>4.2299999999999997E-2</v>
      </c>
      <c r="CE41" s="472">
        <v>4.3099999999999999E-2</v>
      </c>
      <c r="CF41" s="472">
        <v>4.3099999999999999E-2</v>
      </c>
      <c r="CG41" s="472">
        <v>4.3099999999999999E-2</v>
      </c>
      <c r="CH41" s="477"/>
      <c r="CI41" s="477"/>
      <c r="CJ41" s="477"/>
      <c r="CK41" s="477"/>
      <c r="CL41" s="477"/>
      <c r="CM41" s="477"/>
      <c r="CN41" s="477"/>
      <c r="CO41" s="477"/>
      <c r="CP41" s="477"/>
      <c r="CQ41" s="477"/>
      <c r="CR41" s="477"/>
      <c r="CS41" s="477"/>
      <c r="CT41" s="477"/>
      <c r="CU41" s="477"/>
      <c r="CV41" s="477"/>
      <c r="CW41" s="477"/>
      <c r="CX41" s="477"/>
      <c r="CY41" s="477"/>
      <c r="CZ41" s="477"/>
      <c r="DA41" s="477"/>
      <c r="DB41" s="477"/>
      <c r="DC41" s="477"/>
      <c r="DD41" s="477"/>
      <c r="DE41" s="477"/>
      <c r="DF41" s="477"/>
      <c r="DG41" s="477"/>
      <c r="DH41" s="477"/>
      <c r="DI41" s="477"/>
      <c r="DJ41" s="477"/>
      <c r="DK41" s="477"/>
      <c r="DL41" s="477"/>
      <c r="DM41" s="477"/>
      <c r="DN41" s="477"/>
      <c r="DO41" s="477"/>
      <c r="DP41" s="477"/>
      <c r="DQ41" s="477"/>
      <c r="DR41" s="477"/>
      <c r="DS41" s="477"/>
      <c r="DT41" s="477"/>
      <c r="DU41" s="477"/>
      <c r="DV41" s="477"/>
      <c r="DW41" s="477"/>
      <c r="DX41" s="477"/>
      <c r="DY41" s="477"/>
      <c r="DZ41" s="477"/>
      <c r="EA41" s="477"/>
      <c r="EB41" s="477"/>
      <c r="EC41" s="477"/>
      <c r="ED41" s="477"/>
      <c r="EE41" s="477"/>
      <c r="EF41" s="477"/>
      <c r="EG41" s="477"/>
      <c r="EH41" s="477"/>
      <c r="EI41" s="477"/>
      <c r="EJ41" s="477"/>
      <c r="EK41" s="477"/>
      <c r="EL41" s="477"/>
      <c r="EM41" s="477"/>
      <c r="EN41" s="477"/>
      <c r="EO41" s="477"/>
      <c r="EP41" s="477"/>
      <c r="EQ41" s="477"/>
      <c r="ER41" s="477"/>
      <c r="ES41" s="477"/>
      <c r="ET41" s="477"/>
      <c r="EU41" s="477"/>
      <c r="EV41" s="477"/>
      <c r="EW41" s="477"/>
      <c r="EX41" s="477"/>
      <c r="EY41" s="477"/>
      <c r="EZ41" s="477"/>
      <c r="FA41" s="477"/>
      <c r="FB41" s="477"/>
      <c r="FC41" s="477"/>
      <c r="FD41" s="477"/>
      <c r="FE41" s="477"/>
      <c r="FF41" s="477"/>
      <c r="FG41" s="477"/>
      <c r="FH41" s="477"/>
      <c r="FI41" s="477"/>
      <c r="FJ41" s="477"/>
      <c r="FK41" s="477"/>
      <c r="FL41" s="477"/>
      <c r="FM41" s="477"/>
      <c r="FN41" s="477"/>
      <c r="FO41" s="477"/>
      <c r="FP41" s="477"/>
      <c r="FQ41" s="477"/>
      <c r="FR41" s="477"/>
      <c r="FS41" s="477"/>
      <c r="FT41" s="477"/>
      <c r="FU41" s="477"/>
      <c r="FV41" s="477"/>
      <c r="FW41" s="477"/>
      <c r="FX41" s="477"/>
      <c r="FY41" s="477"/>
      <c r="FZ41" s="477"/>
      <c r="GA41" s="477"/>
      <c r="GB41" s="477"/>
      <c r="GC41" s="477"/>
      <c r="GD41" s="472"/>
      <c r="GE41" s="472"/>
      <c r="GF41" s="472"/>
      <c r="GG41" s="472"/>
      <c r="GH41" s="472"/>
      <c r="GI41" s="472"/>
      <c r="GJ41" s="472"/>
      <c r="GK41" s="472"/>
      <c r="GL41" s="472"/>
      <c r="GM41" s="472"/>
      <c r="GN41" s="472"/>
      <c r="GO41" s="472"/>
      <c r="GP41" s="472"/>
      <c r="GQ41" s="472"/>
      <c r="GR41" s="472"/>
      <c r="GS41" s="472"/>
      <c r="GT41" s="472"/>
      <c r="GU41" s="472"/>
      <c r="GV41" s="472"/>
      <c r="GW41" s="472"/>
      <c r="GX41" s="472"/>
      <c r="GY41" s="472"/>
      <c r="GZ41" s="472"/>
      <c r="HA41" s="472"/>
      <c r="HB41" s="472"/>
      <c r="HC41" s="472"/>
      <c r="HD41" s="472"/>
      <c r="HE41" s="472"/>
      <c r="HF41" s="472"/>
      <c r="HG41" s="472"/>
      <c r="HH41" s="472"/>
      <c r="HI41" s="472"/>
      <c r="HJ41" s="472"/>
      <c r="HK41" s="472"/>
      <c r="HL41" s="472"/>
      <c r="HM41" s="472"/>
      <c r="HN41" s="472"/>
      <c r="HO41" s="472"/>
      <c r="HP41" s="473">
        <f t="shared" si="12"/>
        <v>0</v>
      </c>
      <c r="HQ41" s="498"/>
    </row>
    <row r="42" spans="2:225">
      <c r="B42" s="1140"/>
      <c r="C42" s="732" t="s">
        <v>253</v>
      </c>
      <c r="D42" s="494">
        <v>2.5999999999999999E-2</v>
      </c>
      <c r="E42" s="494">
        <v>2.5999999999999999E-2</v>
      </c>
      <c r="F42" s="494">
        <v>2.5700000000000001E-2</v>
      </c>
      <c r="G42" s="488">
        <v>2.5499999999999998E-2</v>
      </c>
      <c r="H42" s="494">
        <v>2.5499999999999998E-2</v>
      </c>
      <c r="I42" s="494">
        <v>2.7300000000000001E-2</v>
      </c>
      <c r="J42" s="494">
        <v>2.5399999999999999E-2</v>
      </c>
      <c r="K42" s="494">
        <v>2.5499999999999998E-2</v>
      </c>
      <c r="L42" s="494">
        <v>2.5700000000000001E-2</v>
      </c>
      <c r="M42" s="494">
        <v>2.5999999999999999E-2</v>
      </c>
      <c r="N42" s="488">
        <v>2.7300000000000001E-2</v>
      </c>
      <c r="O42" s="494">
        <v>2.7300000000000001E-2</v>
      </c>
      <c r="P42" s="494">
        <v>2.75E-2</v>
      </c>
      <c r="Q42" s="488">
        <v>2.8500000000000001E-2</v>
      </c>
      <c r="R42" s="488">
        <v>2.8500000000000001E-2</v>
      </c>
      <c r="S42" s="488">
        <v>2.8500000000000001E-2</v>
      </c>
      <c r="T42" s="489">
        <v>2.8500000000000001E-2</v>
      </c>
      <c r="U42" s="489">
        <v>2.8500000000000001E-2</v>
      </c>
      <c r="V42" s="494">
        <v>2.8500000000000001E-2</v>
      </c>
      <c r="W42" s="494">
        <v>2.93E-2</v>
      </c>
      <c r="X42" s="494">
        <v>2.9700000000000001E-2</v>
      </c>
      <c r="Y42" s="494">
        <v>2.9899999999999999E-2</v>
      </c>
      <c r="Z42" s="488">
        <v>0.03</v>
      </c>
      <c r="AA42" s="488">
        <v>0.03</v>
      </c>
      <c r="AB42" s="488">
        <v>0.03</v>
      </c>
      <c r="AC42" s="494">
        <v>0.03</v>
      </c>
      <c r="AD42" s="494">
        <v>3.15E-2</v>
      </c>
      <c r="AE42" s="488">
        <v>3.2000000000000001E-2</v>
      </c>
      <c r="AF42" s="488">
        <v>3.2000000000000001E-2</v>
      </c>
      <c r="AG42" s="494">
        <v>3.2000000000000001E-2</v>
      </c>
      <c r="AH42" s="471">
        <v>3.2300000000000002E-2</v>
      </c>
      <c r="AI42" s="470">
        <v>3.2300000000000002E-2</v>
      </c>
      <c r="AJ42" s="471">
        <v>3.2500000000000001E-2</v>
      </c>
      <c r="AK42" s="470">
        <v>3.2500000000000001E-2</v>
      </c>
      <c r="AL42" s="472">
        <v>3.3000000000000002E-2</v>
      </c>
      <c r="AM42" s="470">
        <v>3.3000000000000002E-2</v>
      </c>
      <c r="AN42" s="470">
        <v>3.2800000000000003E-2</v>
      </c>
      <c r="AO42" s="471">
        <v>3.3000000000000002E-2</v>
      </c>
      <c r="AP42" s="471">
        <v>3.3000000000000002E-2</v>
      </c>
      <c r="AQ42" s="471">
        <v>3.3000000000000002E-2</v>
      </c>
      <c r="AR42" s="471">
        <v>3.3000000000000002E-2</v>
      </c>
      <c r="AS42" s="471">
        <v>3.3000000000000002E-2</v>
      </c>
      <c r="AT42" s="470">
        <v>3.3000000000000002E-2</v>
      </c>
      <c r="AU42" s="471">
        <v>3.2899999999999999E-2</v>
      </c>
      <c r="AV42" s="470">
        <v>3.3000000000000002E-2</v>
      </c>
      <c r="AW42" s="472">
        <v>3.2500000000000001E-2</v>
      </c>
      <c r="AX42" s="472">
        <v>3.2500000000000001E-2</v>
      </c>
      <c r="AY42" s="472">
        <v>3.2500000000000001E-2</v>
      </c>
      <c r="AZ42" s="472">
        <v>3.2500000000000001E-2</v>
      </c>
      <c r="BA42" s="472">
        <v>3.2500000000000001E-2</v>
      </c>
      <c r="BB42" s="472">
        <v>3.2500000000000001E-2</v>
      </c>
      <c r="BC42" s="472">
        <v>3.2500000000000001E-2</v>
      </c>
      <c r="BD42" s="472">
        <v>3.2500000000000001E-2</v>
      </c>
      <c r="BE42" s="472">
        <v>3.2500000000000001E-2</v>
      </c>
      <c r="BF42" s="472">
        <v>3.2500000000000001E-2</v>
      </c>
      <c r="BG42" s="472">
        <v>3.2500000000000001E-2</v>
      </c>
      <c r="BH42" s="472">
        <v>3.5000000000000003E-2</v>
      </c>
      <c r="BI42" s="472">
        <v>3.5000000000000003E-2</v>
      </c>
      <c r="BJ42" s="472">
        <v>3.5000000000000003E-2</v>
      </c>
      <c r="BK42" s="472">
        <v>3.5000000000000003E-2</v>
      </c>
      <c r="BL42" s="472">
        <v>3.5000000000000003E-2</v>
      </c>
      <c r="BM42" s="472">
        <v>3.5000000000000003E-2</v>
      </c>
      <c r="BN42" s="472">
        <v>3.5000000000000003E-2</v>
      </c>
      <c r="BO42" s="472">
        <v>3.5499999999999997E-2</v>
      </c>
      <c r="BP42" s="472">
        <v>3.5499999999999997E-2</v>
      </c>
      <c r="BQ42" s="472">
        <v>3.5499999999999997E-2</v>
      </c>
      <c r="BR42" s="472">
        <v>3.7499999999999999E-2</v>
      </c>
      <c r="BS42" s="472">
        <v>3.7499999999999999E-2</v>
      </c>
      <c r="BT42" s="472">
        <v>3.7499999999999999E-2</v>
      </c>
      <c r="BU42" s="472">
        <v>3.7499999999999999E-2</v>
      </c>
      <c r="BV42" s="472">
        <v>3.7499999999999999E-2</v>
      </c>
      <c r="BW42" s="472">
        <v>3.7499999999999999E-2</v>
      </c>
      <c r="BX42" s="472">
        <v>3.7999999999999999E-2</v>
      </c>
      <c r="BY42" s="472">
        <v>3.7999999999999999E-2</v>
      </c>
      <c r="BZ42" s="472">
        <v>3.7499999999999999E-2</v>
      </c>
      <c r="CA42" s="472">
        <v>4.0099999999999997E-2</v>
      </c>
      <c r="CB42" s="472">
        <v>4.2000000000000003E-2</v>
      </c>
      <c r="CC42" s="472">
        <v>4.1500000000000002E-2</v>
      </c>
      <c r="CD42" s="472">
        <v>4.2299999999999997E-2</v>
      </c>
      <c r="CE42" s="472">
        <v>4.3099999999999999E-2</v>
      </c>
      <c r="CF42" s="472">
        <v>4.3099999999999999E-2</v>
      </c>
      <c r="CG42" s="472">
        <v>4.3099999999999999E-2</v>
      </c>
      <c r="CH42" s="477">
        <v>0.05</v>
      </c>
      <c r="CI42" s="477">
        <v>0.05</v>
      </c>
      <c r="CJ42" s="477">
        <v>0.05</v>
      </c>
      <c r="CK42" s="477">
        <v>0.05</v>
      </c>
      <c r="CL42" s="477">
        <v>0.05</v>
      </c>
      <c r="CM42" s="477">
        <v>0.05</v>
      </c>
      <c r="CN42" s="477">
        <v>0.05</v>
      </c>
      <c r="CO42" s="477">
        <v>0.05</v>
      </c>
      <c r="CP42" s="477">
        <v>0.05</v>
      </c>
      <c r="CQ42" s="477">
        <v>0.05</v>
      </c>
      <c r="CR42" s="477">
        <v>0.05</v>
      </c>
      <c r="CS42" s="477">
        <v>0.05</v>
      </c>
      <c r="CT42" s="477">
        <v>0.05</v>
      </c>
      <c r="CU42" s="477">
        <v>0.05</v>
      </c>
      <c r="CV42" s="477">
        <v>0.05</v>
      </c>
      <c r="CW42" s="477">
        <v>0.05</v>
      </c>
      <c r="CX42" s="477">
        <v>0.05</v>
      </c>
      <c r="CY42" s="477">
        <v>0.05</v>
      </c>
      <c r="CZ42" s="477">
        <v>0.05</v>
      </c>
      <c r="DA42" s="477">
        <v>0.05</v>
      </c>
      <c r="DB42" s="477">
        <v>0.05</v>
      </c>
      <c r="DC42" s="477">
        <v>0.05</v>
      </c>
      <c r="DD42" s="477">
        <v>0.05</v>
      </c>
      <c r="DE42" s="477">
        <v>0.05</v>
      </c>
      <c r="DF42" s="477">
        <v>0.05</v>
      </c>
      <c r="DG42" s="477">
        <v>0.05</v>
      </c>
      <c r="DH42" s="477">
        <v>5.0500000000000003E-2</v>
      </c>
      <c r="DI42" s="477">
        <v>5.0500000000000003E-2</v>
      </c>
      <c r="DJ42" s="477">
        <v>5.0500000000000003E-2</v>
      </c>
      <c r="DK42" s="477">
        <v>5.0500000000000003E-2</v>
      </c>
      <c r="DL42" s="477">
        <v>5.0500000000000003E-2</v>
      </c>
      <c r="DM42" s="477">
        <v>5.0500000000000003E-2</v>
      </c>
      <c r="DN42" s="477">
        <v>5.0500000000000003E-2</v>
      </c>
      <c r="DO42" s="477">
        <v>5.0500000000000003E-2</v>
      </c>
      <c r="DP42" s="477">
        <v>5.0500000000000003E-2</v>
      </c>
      <c r="DQ42" s="477">
        <v>5.0500000000000003E-2</v>
      </c>
      <c r="DR42" s="477">
        <v>5.0500000000000003E-2</v>
      </c>
      <c r="DS42" s="477">
        <v>5.0500000000000003E-2</v>
      </c>
      <c r="DT42" s="477">
        <v>5.0500000000000003E-2</v>
      </c>
      <c r="DU42" s="477">
        <v>5.0500000000000003E-2</v>
      </c>
      <c r="DV42" s="477">
        <v>0.05</v>
      </c>
      <c r="DW42" s="477">
        <v>0.05</v>
      </c>
      <c r="DX42" s="477">
        <v>0.05</v>
      </c>
      <c r="DY42" s="477">
        <v>0.05</v>
      </c>
      <c r="DZ42" s="477">
        <v>0.05</v>
      </c>
      <c r="EA42" s="477">
        <v>0.05</v>
      </c>
      <c r="EB42" s="477">
        <v>0.05</v>
      </c>
      <c r="EC42" s="477">
        <v>4.8000000000000001E-2</v>
      </c>
      <c r="ED42" s="477">
        <v>4.8000000000000001E-2</v>
      </c>
      <c r="EE42" s="477">
        <v>4.8000000000000001E-2</v>
      </c>
      <c r="EF42" s="477">
        <v>4.8000000000000001E-2</v>
      </c>
      <c r="EG42" s="477">
        <v>4.8000000000000001E-2</v>
      </c>
      <c r="EH42" s="477">
        <v>4.7500000000000001E-2</v>
      </c>
      <c r="EI42" s="477">
        <v>2.7E-2</v>
      </c>
      <c r="EJ42" s="477">
        <v>2.1999999999999999E-2</v>
      </c>
      <c r="EK42" s="477">
        <v>2.1999999999999999E-2</v>
      </c>
      <c r="EL42" s="477">
        <v>2.1999999999999999E-2</v>
      </c>
      <c r="EM42" s="477">
        <v>2.1999999999999999E-2</v>
      </c>
      <c r="EN42" s="477">
        <v>4.4999999999999998E-2</v>
      </c>
      <c r="EO42" s="477">
        <v>4.4999999999999998E-2</v>
      </c>
      <c r="EP42" s="477">
        <v>4.4999999999999998E-2</v>
      </c>
      <c r="EQ42" s="477">
        <v>4.4999999999999998E-2</v>
      </c>
      <c r="ER42" s="477">
        <v>4.4999999999999998E-2</v>
      </c>
      <c r="ES42" s="477">
        <v>4.4999999999999998E-2</v>
      </c>
      <c r="ET42" s="477">
        <v>4.4999999999999998E-2</v>
      </c>
      <c r="EU42" s="477">
        <v>4.4999999999999998E-2</v>
      </c>
      <c r="EV42" s="477">
        <v>4.3999999999999997E-2</v>
      </c>
      <c r="EW42" s="477">
        <v>4.3999999999999997E-2</v>
      </c>
      <c r="EX42" s="477">
        <v>4.3999999999999997E-2</v>
      </c>
      <c r="EY42" s="477">
        <v>4.3999999999999997E-2</v>
      </c>
      <c r="EZ42" s="477">
        <v>4.3999999999999997E-2</v>
      </c>
      <c r="FA42" s="477">
        <v>4.3999999999999997E-2</v>
      </c>
      <c r="FB42" s="477">
        <v>0.04</v>
      </c>
      <c r="FC42" s="477">
        <v>0.04</v>
      </c>
      <c r="FD42" s="477">
        <v>0.04</v>
      </c>
      <c r="FE42" s="477">
        <v>0.04</v>
      </c>
      <c r="FF42" s="477">
        <v>3.9E-2</v>
      </c>
      <c r="FG42" s="477">
        <v>3.9E-2</v>
      </c>
      <c r="FH42" s="477">
        <v>3.9E-2</v>
      </c>
      <c r="FI42" s="477">
        <v>3.9E-2</v>
      </c>
      <c r="FJ42" s="477">
        <v>3.7999999999999999E-2</v>
      </c>
      <c r="FK42" s="477">
        <v>3.7999999999999999E-2</v>
      </c>
      <c r="FL42" s="477">
        <v>3.7999999999999999E-2</v>
      </c>
      <c r="FM42" s="477">
        <v>3.7999999999999999E-2</v>
      </c>
      <c r="FN42" s="477">
        <v>3.7999999999999999E-2</v>
      </c>
      <c r="FO42" s="477">
        <v>3.3000000000000002E-2</v>
      </c>
      <c r="FP42" s="477">
        <v>3.3000000000000002E-2</v>
      </c>
      <c r="FQ42" s="477">
        <v>3.3000000000000002E-2</v>
      </c>
      <c r="FR42" s="477">
        <v>3.3000000000000002E-2</v>
      </c>
      <c r="FS42" s="477">
        <v>2.7E-2</v>
      </c>
      <c r="FT42" s="477">
        <v>2.7E-2</v>
      </c>
      <c r="FU42" s="477">
        <v>2.7E-2</v>
      </c>
      <c r="FV42" s="477">
        <v>4.7E-2</v>
      </c>
      <c r="FW42" s="477">
        <v>4.4999999999999998E-2</v>
      </c>
      <c r="FX42" s="477">
        <v>4.7500000000000001E-2</v>
      </c>
      <c r="FY42" s="477">
        <v>4.7500000000000001E-2</v>
      </c>
      <c r="FZ42" s="477">
        <v>4.7500000000000001E-2</v>
      </c>
      <c r="GA42" s="477">
        <v>4.7E-2</v>
      </c>
      <c r="GB42" s="477">
        <v>4.7E-2</v>
      </c>
      <c r="GC42" s="477">
        <v>4.7E-2</v>
      </c>
      <c r="GD42" s="472">
        <v>2.1999999999999999E-2</v>
      </c>
      <c r="GE42" s="472">
        <v>2.1999999999999999E-2</v>
      </c>
      <c r="GF42" s="472">
        <v>2.1999999999999999E-2</v>
      </c>
      <c r="GG42" s="472">
        <v>2.1999999999999999E-2</v>
      </c>
      <c r="GH42" s="472">
        <v>2.1999999999999999E-2</v>
      </c>
      <c r="GI42" s="472">
        <v>2.1999999999999999E-2</v>
      </c>
      <c r="GJ42" s="472">
        <v>2.1999999999999999E-2</v>
      </c>
      <c r="GK42" s="472">
        <v>2.1999999999999999E-2</v>
      </c>
      <c r="GL42" s="472">
        <v>2.1999999999999999E-2</v>
      </c>
      <c r="GM42" s="472">
        <v>2.1999999999999999E-2</v>
      </c>
      <c r="GN42" s="472">
        <v>2.1999999999999999E-2</v>
      </c>
      <c r="GO42" s="472">
        <v>2.1999999999999999E-2</v>
      </c>
      <c r="GP42" s="472">
        <v>2.1999999999999999E-2</v>
      </c>
      <c r="GQ42" s="472">
        <v>2.1999999999999999E-2</v>
      </c>
      <c r="GR42" s="472">
        <v>2.1999999999999999E-2</v>
      </c>
      <c r="GS42" s="472">
        <v>2.1999999999999999E-2</v>
      </c>
      <c r="GT42" s="472">
        <v>2.1999999999999999E-2</v>
      </c>
      <c r="GU42" s="472">
        <v>2.1999999999999999E-2</v>
      </c>
      <c r="GV42" s="472">
        <v>2.1999999999999999E-2</v>
      </c>
      <c r="GW42" s="472">
        <v>2.1999999999999999E-2</v>
      </c>
      <c r="GX42" s="472">
        <v>2.1999999999999999E-2</v>
      </c>
      <c r="GY42" s="472">
        <v>2.1999999999999999E-2</v>
      </c>
      <c r="GZ42" s="472">
        <v>2.1999999999999999E-2</v>
      </c>
      <c r="HA42" s="472">
        <v>2.1999999999999999E-2</v>
      </c>
      <c r="HB42" s="472">
        <v>2.1999999999999999E-2</v>
      </c>
      <c r="HC42" s="472">
        <v>2.1999999999999999E-2</v>
      </c>
      <c r="HD42" s="472">
        <v>2.1999999999999999E-2</v>
      </c>
      <c r="HE42" s="472">
        <v>2.1999999999999999E-2</v>
      </c>
      <c r="HF42" s="472">
        <v>2.1999999999999999E-2</v>
      </c>
      <c r="HG42" s="472">
        <v>2.1999999999999999E-2</v>
      </c>
      <c r="HH42" s="472">
        <v>2.1999999999999999E-2</v>
      </c>
      <c r="HI42" s="472">
        <v>2.1999999999999999E-2</v>
      </c>
      <c r="HJ42" s="472">
        <v>2.1999999999999999E-2</v>
      </c>
      <c r="HK42" s="472">
        <v>2.1999999999999999E-2</v>
      </c>
      <c r="HL42" s="472">
        <v>2.1999999999999999E-2</v>
      </c>
      <c r="HM42" s="472">
        <v>2.1999999999999999E-2</v>
      </c>
      <c r="HN42" s="472">
        <v>2.1999999999999999E-2</v>
      </c>
      <c r="HO42" s="472">
        <v>2.1999999999999999E-2</v>
      </c>
      <c r="HP42" s="473">
        <f t="shared" si="12"/>
        <v>0</v>
      </c>
      <c r="HQ42" s="499"/>
    </row>
    <row r="43" spans="2:225">
      <c r="B43" s="1129" t="s">
        <v>33</v>
      </c>
      <c r="C43" s="730" t="s">
        <v>252</v>
      </c>
      <c r="D43" s="500">
        <v>2.75E-2</v>
      </c>
      <c r="E43" s="500">
        <v>2.75E-2</v>
      </c>
      <c r="F43" s="500">
        <v>2.75E-2</v>
      </c>
      <c r="G43" s="500">
        <v>2.75E-2</v>
      </c>
      <c r="H43" s="500">
        <v>2.75E-2</v>
      </c>
      <c r="I43" s="500">
        <v>2.75E-2</v>
      </c>
      <c r="J43" s="500">
        <v>2.75E-2</v>
      </c>
      <c r="K43" s="500">
        <v>2.75E-2</v>
      </c>
      <c r="L43" s="500">
        <v>2.75E-2</v>
      </c>
      <c r="M43" s="500">
        <v>2.75E-2</v>
      </c>
      <c r="N43" s="500">
        <v>2.75E-2</v>
      </c>
      <c r="O43" s="500">
        <v>2.75E-2</v>
      </c>
      <c r="P43" s="500">
        <v>2.75E-2</v>
      </c>
      <c r="Q43" s="500">
        <v>2.75E-2</v>
      </c>
      <c r="R43" s="500">
        <v>2.75E-2</v>
      </c>
      <c r="S43" s="500">
        <v>2.75E-2</v>
      </c>
      <c r="T43" s="500">
        <v>2.75E-2</v>
      </c>
      <c r="U43" s="500">
        <v>2.75E-2</v>
      </c>
      <c r="V43" s="500">
        <v>2.75E-2</v>
      </c>
      <c r="W43" s="500">
        <v>2.75E-2</v>
      </c>
      <c r="X43" s="500">
        <v>2.75E-2</v>
      </c>
      <c r="Y43" s="502">
        <v>2.75E-2</v>
      </c>
      <c r="Z43" s="500">
        <v>2.8000000000000001E-2</v>
      </c>
      <c r="AA43" s="500">
        <v>2.8000000000000001E-2</v>
      </c>
      <c r="AB43" s="500">
        <v>2.8000000000000001E-2</v>
      </c>
      <c r="AC43" s="500">
        <v>2.8000000000000001E-2</v>
      </c>
      <c r="AD43" s="500">
        <v>2.8000000000000001E-2</v>
      </c>
      <c r="AE43" s="500">
        <v>2.8000000000000001E-2</v>
      </c>
      <c r="AF43" s="500">
        <v>2.8000000000000001E-2</v>
      </c>
      <c r="AG43" s="500">
        <v>2.8000000000000001E-2</v>
      </c>
      <c r="AH43" s="500">
        <v>2.8000000000000001E-2</v>
      </c>
      <c r="AI43" s="500">
        <v>2.8000000000000001E-2</v>
      </c>
      <c r="AJ43" s="500">
        <v>2.8000000000000001E-2</v>
      </c>
      <c r="AK43" s="500">
        <v>2.8000000000000001E-2</v>
      </c>
      <c r="AL43" s="501">
        <v>2.8000000000000001E-2</v>
      </c>
      <c r="AM43" s="500">
        <v>2.8000000000000001E-2</v>
      </c>
      <c r="AN43" s="500">
        <v>2.8000000000000001E-2</v>
      </c>
      <c r="AO43" s="500">
        <v>2.8000000000000001E-2</v>
      </c>
      <c r="AP43" s="500">
        <v>2.8000000000000001E-2</v>
      </c>
      <c r="AQ43" s="500">
        <v>2.8000000000000001E-2</v>
      </c>
      <c r="AR43" s="500">
        <v>2.8000000000000001E-2</v>
      </c>
      <c r="AS43" s="500">
        <v>2.8000000000000001E-2</v>
      </c>
      <c r="AT43" s="500">
        <v>2.8000000000000001E-2</v>
      </c>
      <c r="AU43" s="500">
        <v>2.8000000000000001E-2</v>
      </c>
      <c r="AV43" s="502">
        <v>2.8500000000000001E-2</v>
      </c>
      <c r="AW43" s="501">
        <v>3.2500000000000001E-2</v>
      </c>
      <c r="AX43" s="501">
        <v>3.2500000000000001E-2</v>
      </c>
      <c r="AY43" s="501">
        <v>3.2500000000000001E-2</v>
      </c>
      <c r="AZ43" s="501">
        <v>3.2500000000000001E-2</v>
      </c>
      <c r="BA43" s="501">
        <v>3.2500000000000001E-2</v>
      </c>
      <c r="BB43" s="501">
        <v>3.2500000000000001E-2</v>
      </c>
      <c r="BC43" s="501">
        <v>3.2500000000000001E-2</v>
      </c>
      <c r="BD43" s="501">
        <v>3.2500000000000001E-2</v>
      </c>
      <c r="BE43" s="501">
        <v>3.2500000000000001E-2</v>
      </c>
      <c r="BF43" s="501">
        <v>3.2500000000000001E-2</v>
      </c>
      <c r="BG43" s="501">
        <v>3.2500000000000001E-2</v>
      </c>
      <c r="BH43" s="501">
        <v>3.2500000000000001E-2</v>
      </c>
      <c r="BI43" s="501">
        <v>3.2500000000000001E-2</v>
      </c>
      <c r="BJ43" s="501">
        <v>3.2500000000000001E-2</v>
      </c>
      <c r="BK43" s="501">
        <v>3.2500000000000001E-2</v>
      </c>
      <c r="BL43" s="501">
        <v>3.2500000000000001E-2</v>
      </c>
      <c r="BM43" s="501">
        <v>3.2500000000000001E-2</v>
      </c>
      <c r="BN43" s="501">
        <v>3.2500000000000001E-2</v>
      </c>
      <c r="BO43" s="501">
        <v>3.2500000000000001E-2</v>
      </c>
      <c r="BP43" s="501">
        <v>3.2500000000000001E-2</v>
      </c>
      <c r="BQ43" s="501">
        <v>3.2500000000000001E-2</v>
      </c>
      <c r="BR43" s="501">
        <v>3.2500000000000001E-2</v>
      </c>
      <c r="BS43" s="501">
        <v>3.2500000000000001E-2</v>
      </c>
      <c r="BT43" s="501">
        <v>3.2500000000000001E-2</v>
      </c>
      <c r="BU43" s="501">
        <v>3.2500000000000001E-2</v>
      </c>
      <c r="BV43" s="501">
        <v>3.2500000000000001E-2</v>
      </c>
      <c r="BW43" s="501">
        <v>3.2500000000000001E-2</v>
      </c>
      <c r="BX43" s="501">
        <v>3.3500000000000002E-2</v>
      </c>
      <c r="BY43" s="501">
        <v>3.3500000000000002E-2</v>
      </c>
      <c r="BZ43" s="501">
        <v>3.7499999999999999E-2</v>
      </c>
      <c r="CA43" s="501">
        <v>3.7499999999999999E-2</v>
      </c>
      <c r="CB43" s="501">
        <v>3.7499999999999999E-2</v>
      </c>
      <c r="CC43" s="501">
        <v>3.5499999999999997E-2</v>
      </c>
      <c r="CD43" s="501">
        <v>3.5499999999999997E-2</v>
      </c>
      <c r="CE43" s="501">
        <v>3.5499999999999997E-2</v>
      </c>
      <c r="CF43" s="501">
        <v>3.5499999999999997E-2</v>
      </c>
      <c r="CG43" s="501">
        <v>3.5499999999999997E-2</v>
      </c>
      <c r="CH43" s="501">
        <v>3.5499999999999997E-2</v>
      </c>
      <c r="CI43" s="501">
        <v>3.5499999999999997E-2</v>
      </c>
      <c r="CJ43" s="501">
        <v>3.5499999999999997E-2</v>
      </c>
      <c r="CK43" s="501">
        <v>3.5499999999999997E-2</v>
      </c>
      <c r="CL43" s="501">
        <v>3.5499999999999997E-2</v>
      </c>
      <c r="CM43" s="501">
        <v>3.5499999999999997E-2</v>
      </c>
      <c r="CN43" s="501">
        <v>3.5499999999999997E-2</v>
      </c>
      <c r="CO43" s="501">
        <v>3.5499999999999997E-2</v>
      </c>
      <c r="CP43" s="501">
        <v>3.5499999999999997E-2</v>
      </c>
      <c r="CQ43" s="501">
        <v>3.5499999999999997E-2</v>
      </c>
      <c r="CR43" s="501">
        <v>3.5499999999999997E-2</v>
      </c>
      <c r="CS43" s="501">
        <v>3.5499999999999997E-2</v>
      </c>
      <c r="CT43" s="501">
        <v>3.5499999999999997E-2</v>
      </c>
      <c r="CU43" s="501">
        <v>3.5499999999999997E-2</v>
      </c>
      <c r="CV43" s="501">
        <v>3.5499999999999997E-2</v>
      </c>
      <c r="CW43" s="501">
        <v>3.5499999999999997E-2</v>
      </c>
      <c r="CX43" s="501">
        <v>3.5499999999999997E-2</v>
      </c>
      <c r="CY43" s="501">
        <v>3.5499999999999997E-2</v>
      </c>
      <c r="CZ43" s="501">
        <v>3.6499999999999998E-2</v>
      </c>
      <c r="DA43" s="501">
        <v>3.6499999999999998E-2</v>
      </c>
      <c r="DB43" s="501">
        <v>3.6499999999999998E-2</v>
      </c>
      <c r="DC43" s="501">
        <v>3.6499999999999998E-2</v>
      </c>
      <c r="DD43" s="501">
        <v>3.6499999999999998E-2</v>
      </c>
      <c r="DE43" s="501">
        <v>3.6499999999999998E-2</v>
      </c>
      <c r="DF43" s="501">
        <v>3.6499999999999998E-2</v>
      </c>
      <c r="DG43" s="501">
        <v>3.6499999999999998E-2</v>
      </c>
      <c r="DH43" s="501">
        <v>3.6499999999999998E-2</v>
      </c>
      <c r="DI43" s="501">
        <v>3.6499999999999998E-2</v>
      </c>
      <c r="DJ43" s="501">
        <v>3.6499999999999998E-2</v>
      </c>
      <c r="DK43" s="501">
        <v>3.6499999999999998E-2</v>
      </c>
      <c r="DL43" s="501">
        <v>3.6499999999999998E-2</v>
      </c>
      <c r="DM43" s="501">
        <v>3.6499999999999998E-2</v>
      </c>
      <c r="DN43" s="501">
        <v>3.6499999999999998E-2</v>
      </c>
      <c r="DO43" s="501">
        <v>3.6499999999999998E-2</v>
      </c>
      <c r="DP43" s="501">
        <v>3.6499999999999998E-2</v>
      </c>
      <c r="DQ43" s="501">
        <v>3.6499999999999998E-2</v>
      </c>
      <c r="DR43" s="501">
        <v>3.6499999999999998E-2</v>
      </c>
      <c r="DS43" s="501">
        <v>3.6499999999999998E-2</v>
      </c>
      <c r="DT43" s="501">
        <v>3.6499999999999998E-2</v>
      </c>
      <c r="DU43" s="501">
        <v>3.6499999999999998E-2</v>
      </c>
      <c r="DV43" s="501">
        <v>3.6499999999999998E-2</v>
      </c>
      <c r="DW43" s="501">
        <v>3.5999999999999997E-2</v>
      </c>
      <c r="DX43" s="501">
        <v>3.5999999999999997E-2</v>
      </c>
      <c r="DY43" s="501">
        <v>3.5999999999999997E-2</v>
      </c>
      <c r="DZ43" s="501">
        <v>3.5999999999999997E-2</v>
      </c>
      <c r="EA43" s="501">
        <v>3.5999999999999997E-2</v>
      </c>
      <c r="EB43" s="501">
        <v>3.5999999999999997E-2</v>
      </c>
      <c r="EC43" s="501">
        <v>3.5999999999999997E-2</v>
      </c>
      <c r="ED43" s="501">
        <v>3.5999999999999997E-2</v>
      </c>
      <c r="EE43" s="501">
        <v>3.5999999999999997E-2</v>
      </c>
      <c r="EF43" s="501">
        <v>3.5999999999999997E-2</v>
      </c>
      <c r="EG43" s="501">
        <v>3.5999999999999997E-2</v>
      </c>
      <c r="EH43" s="501">
        <v>3.5999999999999997E-2</v>
      </c>
      <c r="EI43" s="501">
        <v>3.5999999999999997E-2</v>
      </c>
      <c r="EJ43" s="501">
        <v>3.5999999999999997E-2</v>
      </c>
      <c r="EK43" s="501">
        <v>3.5999999999999997E-2</v>
      </c>
      <c r="EL43" s="501">
        <v>3.5999999999999997E-2</v>
      </c>
      <c r="EM43" s="501">
        <v>3.5999999999999997E-2</v>
      </c>
      <c r="EN43" s="501">
        <v>3.5999999999999997E-2</v>
      </c>
      <c r="EO43" s="501">
        <v>3.5999999999999997E-2</v>
      </c>
      <c r="EP43" s="501">
        <v>3.5999999999999997E-2</v>
      </c>
      <c r="EQ43" s="501">
        <v>3.5999999999999997E-2</v>
      </c>
      <c r="ER43" s="501">
        <v>3.5999999999999997E-2</v>
      </c>
      <c r="ES43" s="501">
        <v>3.5999999999999997E-2</v>
      </c>
      <c r="ET43" s="501">
        <v>3.5999999999999997E-2</v>
      </c>
      <c r="EU43" s="501">
        <v>3.5999999999999997E-2</v>
      </c>
      <c r="EV43" s="501">
        <v>3.5999999999999997E-2</v>
      </c>
      <c r="EW43" s="501">
        <v>3.5999999999999997E-2</v>
      </c>
      <c r="EX43" s="501">
        <v>3.5999999999999997E-2</v>
      </c>
      <c r="EY43" s="501">
        <v>3.5999999999999997E-2</v>
      </c>
      <c r="EZ43" s="501">
        <v>3.5999999999999997E-2</v>
      </c>
      <c r="FA43" s="501">
        <v>3.5999999999999997E-2</v>
      </c>
      <c r="FB43" s="501">
        <v>3.5999999999999997E-2</v>
      </c>
      <c r="FC43" s="501">
        <v>3.5999999999999997E-2</v>
      </c>
      <c r="FD43" s="501">
        <v>3.5999999999999997E-2</v>
      </c>
      <c r="FE43" s="501">
        <v>3.5999999999999997E-2</v>
      </c>
      <c r="FF43" s="501">
        <v>3.5999999999999997E-2</v>
      </c>
      <c r="FG43" s="501">
        <v>3.5999999999999997E-2</v>
      </c>
      <c r="FH43" s="501">
        <v>3.5999999999999997E-2</v>
      </c>
      <c r="FI43" s="501">
        <v>3.5999999999999997E-2</v>
      </c>
      <c r="FJ43" s="501">
        <v>3.5999999999999997E-2</v>
      </c>
      <c r="FK43" s="501">
        <v>3.5999999999999997E-2</v>
      </c>
      <c r="FL43" s="501">
        <v>3.5999999999999997E-2</v>
      </c>
      <c r="FM43" s="501">
        <v>3.5999999999999997E-2</v>
      </c>
      <c r="FN43" s="501">
        <v>3.5999999999999997E-2</v>
      </c>
      <c r="FO43" s="501">
        <v>3.5999999999999997E-2</v>
      </c>
      <c r="FP43" s="501">
        <v>3.5999999999999997E-2</v>
      </c>
      <c r="FQ43" s="501">
        <v>3.5999999999999997E-2</v>
      </c>
      <c r="FR43" s="501">
        <v>3.5999999999999997E-2</v>
      </c>
      <c r="FS43" s="501">
        <v>3.5999999999999997E-2</v>
      </c>
      <c r="FT43" s="501">
        <v>3.5999999999999997E-2</v>
      </c>
      <c r="FU43" s="501">
        <v>3.5999999999999997E-2</v>
      </c>
      <c r="FV43" s="501">
        <v>3.5999999999999997E-2</v>
      </c>
      <c r="FW43" s="501">
        <v>3.5999999999999997E-2</v>
      </c>
      <c r="FX43" s="501">
        <v>3.5999999999999997E-2</v>
      </c>
      <c r="FY43" s="501">
        <v>3.5999999999999997E-2</v>
      </c>
      <c r="FZ43" s="501">
        <v>3.5999999999999997E-2</v>
      </c>
      <c r="GA43" s="501">
        <v>3.5999999999999997E-2</v>
      </c>
      <c r="GB43" s="501">
        <v>3.95E-2</v>
      </c>
      <c r="GC43" s="501">
        <v>3.95E-2</v>
      </c>
      <c r="GD43" s="501">
        <v>0</v>
      </c>
      <c r="GE43" s="501">
        <v>0</v>
      </c>
      <c r="GF43" s="501">
        <v>0</v>
      </c>
      <c r="GG43" s="501">
        <v>0</v>
      </c>
      <c r="GH43" s="501">
        <v>0</v>
      </c>
      <c r="GI43" s="501">
        <v>0</v>
      </c>
      <c r="GJ43" s="501">
        <v>0</v>
      </c>
      <c r="GK43" s="501">
        <v>0</v>
      </c>
      <c r="GL43" s="501">
        <v>0</v>
      </c>
      <c r="GM43" s="501">
        <v>0</v>
      </c>
      <c r="GN43" s="501">
        <v>0</v>
      </c>
      <c r="GO43" s="501">
        <v>0</v>
      </c>
      <c r="GP43" s="501">
        <v>0</v>
      </c>
      <c r="GQ43" s="501">
        <v>0</v>
      </c>
      <c r="GR43" s="501">
        <v>0</v>
      </c>
      <c r="GS43" s="501">
        <v>0</v>
      </c>
      <c r="GT43" s="501">
        <v>0</v>
      </c>
      <c r="GU43" s="501">
        <v>0</v>
      </c>
      <c r="GV43" s="501">
        <v>0</v>
      </c>
      <c r="GW43" s="501">
        <v>0</v>
      </c>
      <c r="GX43" s="501">
        <v>0</v>
      </c>
      <c r="GY43" s="501">
        <v>0</v>
      </c>
      <c r="GZ43" s="501">
        <v>0</v>
      </c>
      <c r="HA43" s="501">
        <v>0</v>
      </c>
      <c r="HB43" s="501">
        <v>0</v>
      </c>
      <c r="HC43" s="501">
        <v>0</v>
      </c>
      <c r="HD43" s="501">
        <v>0</v>
      </c>
      <c r="HE43" s="501">
        <v>0</v>
      </c>
      <c r="HF43" s="501">
        <v>0</v>
      </c>
      <c r="HG43" s="501">
        <v>0</v>
      </c>
      <c r="HH43" s="501">
        <v>0</v>
      </c>
      <c r="HI43" s="501">
        <v>0</v>
      </c>
      <c r="HJ43" s="501">
        <v>0</v>
      </c>
      <c r="HK43" s="501">
        <v>0</v>
      </c>
      <c r="HL43" s="501">
        <v>0</v>
      </c>
      <c r="HM43" s="501">
        <v>0</v>
      </c>
      <c r="HN43" s="501">
        <v>0</v>
      </c>
      <c r="HO43" s="501">
        <v>0</v>
      </c>
      <c r="HP43" s="473">
        <f t="shared" si="12"/>
        <v>0</v>
      </c>
      <c r="HQ43" s="1132" t="s">
        <v>251</v>
      </c>
    </row>
    <row r="44" spans="2:225">
      <c r="B44" s="1129"/>
      <c r="C44" s="730" t="s">
        <v>250</v>
      </c>
      <c r="D44" s="500">
        <v>2.75E-2</v>
      </c>
      <c r="E44" s="500">
        <v>2.75E-2</v>
      </c>
      <c r="F44" s="500">
        <v>2.75E-2</v>
      </c>
      <c r="G44" s="500">
        <v>2.75E-2</v>
      </c>
      <c r="H44" s="500">
        <v>2.75E-2</v>
      </c>
      <c r="I44" s="500">
        <v>2.75E-2</v>
      </c>
      <c r="J44" s="500">
        <v>2.75E-2</v>
      </c>
      <c r="K44" s="500">
        <v>2.75E-2</v>
      </c>
      <c r="L44" s="500">
        <v>2.75E-2</v>
      </c>
      <c r="M44" s="500">
        <v>2.75E-2</v>
      </c>
      <c r="N44" s="500">
        <v>2.75E-2</v>
      </c>
      <c r="O44" s="500">
        <v>2.75E-2</v>
      </c>
      <c r="P44" s="500">
        <v>2.75E-2</v>
      </c>
      <c r="Q44" s="500">
        <v>2.75E-2</v>
      </c>
      <c r="R44" s="500">
        <v>2.75E-2</v>
      </c>
      <c r="S44" s="500">
        <v>2.75E-2</v>
      </c>
      <c r="T44" s="500">
        <v>2.75E-2</v>
      </c>
      <c r="U44" s="500">
        <v>2.75E-2</v>
      </c>
      <c r="V44" s="500">
        <v>2.75E-2</v>
      </c>
      <c r="W44" s="500">
        <v>2.75E-2</v>
      </c>
      <c r="X44" s="500">
        <v>2.75E-2</v>
      </c>
      <c r="Y44" s="502">
        <v>2.75E-2</v>
      </c>
      <c r="Z44" s="500">
        <v>2.8000000000000001E-2</v>
      </c>
      <c r="AA44" s="500">
        <v>2.8000000000000001E-2</v>
      </c>
      <c r="AB44" s="500">
        <v>2.8000000000000001E-2</v>
      </c>
      <c r="AC44" s="500">
        <v>2.8000000000000001E-2</v>
      </c>
      <c r="AD44" s="500">
        <v>2.8000000000000001E-2</v>
      </c>
      <c r="AE44" s="500">
        <v>2.8000000000000001E-2</v>
      </c>
      <c r="AF44" s="500">
        <v>2.8000000000000001E-2</v>
      </c>
      <c r="AG44" s="500">
        <v>2.8000000000000001E-2</v>
      </c>
      <c r="AH44" s="500">
        <v>2.8000000000000001E-2</v>
      </c>
      <c r="AI44" s="500">
        <v>2.8000000000000001E-2</v>
      </c>
      <c r="AJ44" s="500">
        <v>2.8000000000000001E-2</v>
      </c>
      <c r="AK44" s="500">
        <v>2.8000000000000001E-2</v>
      </c>
      <c r="AL44" s="501">
        <v>2.8000000000000001E-2</v>
      </c>
      <c r="AM44" s="500">
        <v>2.8000000000000001E-2</v>
      </c>
      <c r="AN44" s="500">
        <v>2.8000000000000001E-2</v>
      </c>
      <c r="AO44" s="500">
        <v>2.8000000000000001E-2</v>
      </c>
      <c r="AP44" s="500">
        <v>2.8000000000000001E-2</v>
      </c>
      <c r="AQ44" s="500">
        <v>2.8000000000000001E-2</v>
      </c>
      <c r="AR44" s="500">
        <v>2.8000000000000001E-2</v>
      </c>
      <c r="AS44" s="500">
        <v>2.8000000000000001E-2</v>
      </c>
      <c r="AT44" s="500">
        <v>2.8000000000000001E-2</v>
      </c>
      <c r="AU44" s="500">
        <v>2.8000000000000001E-2</v>
      </c>
      <c r="AV44" s="502">
        <v>2.8500000000000001E-2</v>
      </c>
      <c r="AW44" s="501">
        <v>3.2500000000000001E-2</v>
      </c>
      <c r="AX44" s="501">
        <v>3.2500000000000001E-2</v>
      </c>
      <c r="AY44" s="501">
        <v>3.2500000000000001E-2</v>
      </c>
      <c r="AZ44" s="501">
        <v>3.2500000000000001E-2</v>
      </c>
      <c r="BA44" s="501">
        <v>3.2500000000000001E-2</v>
      </c>
      <c r="BB44" s="501">
        <v>3.2500000000000001E-2</v>
      </c>
      <c r="BC44" s="501">
        <v>3.2500000000000001E-2</v>
      </c>
      <c r="BD44" s="501">
        <v>3.2500000000000001E-2</v>
      </c>
      <c r="BE44" s="501">
        <v>3.2500000000000001E-2</v>
      </c>
      <c r="BF44" s="501">
        <v>3.2500000000000001E-2</v>
      </c>
      <c r="BG44" s="501">
        <v>3.2500000000000001E-2</v>
      </c>
      <c r="BH44" s="501">
        <v>3.2500000000000001E-2</v>
      </c>
      <c r="BI44" s="501">
        <v>3.2500000000000001E-2</v>
      </c>
      <c r="BJ44" s="501">
        <v>3.2500000000000001E-2</v>
      </c>
      <c r="BK44" s="501">
        <v>3.2500000000000001E-2</v>
      </c>
      <c r="BL44" s="501">
        <v>3.2500000000000001E-2</v>
      </c>
      <c r="BM44" s="501">
        <v>3.2500000000000001E-2</v>
      </c>
      <c r="BN44" s="501">
        <v>3.2500000000000001E-2</v>
      </c>
      <c r="BO44" s="501">
        <v>3.2500000000000001E-2</v>
      </c>
      <c r="BP44" s="501">
        <v>3.2500000000000001E-2</v>
      </c>
      <c r="BQ44" s="501">
        <v>3.2500000000000001E-2</v>
      </c>
      <c r="BR44" s="501">
        <v>3.2500000000000001E-2</v>
      </c>
      <c r="BS44" s="501">
        <v>3.2500000000000001E-2</v>
      </c>
      <c r="BT44" s="501">
        <v>3.2500000000000001E-2</v>
      </c>
      <c r="BU44" s="501">
        <v>3.2500000000000001E-2</v>
      </c>
      <c r="BV44" s="501">
        <v>3.2500000000000001E-2</v>
      </c>
      <c r="BW44" s="501">
        <v>3.2500000000000001E-2</v>
      </c>
      <c r="BX44" s="501">
        <v>3.3500000000000002E-2</v>
      </c>
      <c r="BY44" s="501">
        <v>3.3500000000000002E-2</v>
      </c>
      <c r="BZ44" s="501">
        <v>3.7499999999999999E-2</v>
      </c>
      <c r="CA44" s="501">
        <v>3.7499999999999999E-2</v>
      </c>
      <c r="CB44" s="501">
        <v>3.7499999999999999E-2</v>
      </c>
      <c r="CC44" s="501">
        <v>3.5499999999999997E-2</v>
      </c>
      <c r="CD44" s="501">
        <v>3.5499999999999997E-2</v>
      </c>
      <c r="CE44" s="501">
        <v>3.5499999999999997E-2</v>
      </c>
      <c r="CF44" s="501">
        <v>3.5499999999999997E-2</v>
      </c>
      <c r="CG44" s="501">
        <v>3.5499999999999997E-2</v>
      </c>
      <c r="CH44" s="501">
        <v>3.5499999999999997E-2</v>
      </c>
      <c r="CI44" s="501">
        <v>3.5499999999999997E-2</v>
      </c>
      <c r="CJ44" s="501">
        <v>3.5499999999999997E-2</v>
      </c>
      <c r="CK44" s="501">
        <v>3.5499999999999997E-2</v>
      </c>
      <c r="CL44" s="501">
        <v>3.5499999999999997E-2</v>
      </c>
      <c r="CM44" s="501">
        <v>3.5499999999999997E-2</v>
      </c>
      <c r="CN44" s="501">
        <v>3.5499999999999997E-2</v>
      </c>
      <c r="CO44" s="501">
        <v>3.5499999999999997E-2</v>
      </c>
      <c r="CP44" s="501">
        <v>3.5499999999999997E-2</v>
      </c>
      <c r="CQ44" s="501">
        <v>3.5499999999999997E-2</v>
      </c>
      <c r="CR44" s="501">
        <v>3.5499999999999997E-2</v>
      </c>
      <c r="CS44" s="501">
        <v>3.5499999999999997E-2</v>
      </c>
      <c r="CT44" s="501">
        <v>3.5499999999999997E-2</v>
      </c>
      <c r="CU44" s="501">
        <v>3.5499999999999997E-2</v>
      </c>
      <c r="CV44" s="501">
        <v>3.5499999999999997E-2</v>
      </c>
      <c r="CW44" s="501">
        <v>3.5499999999999997E-2</v>
      </c>
      <c r="CX44" s="501">
        <v>3.5499999999999997E-2</v>
      </c>
      <c r="CY44" s="501">
        <v>3.5499999999999997E-2</v>
      </c>
      <c r="CZ44" s="501">
        <v>3.6499999999999998E-2</v>
      </c>
      <c r="DA44" s="501">
        <v>3.6499999999999998E-2</v>
      </c>
      <c r="DB44" s="501">
        <v>3.6499999999999998E-2</v>
      </c>
      <c r="DC44" s="501">
        <v>3.6499999999999998E-2</v>
      </c>
      <c r="DD44" s="501">
        <v>3.6499999999999998E-2</v>
      </c>
      <c r="DE44" s="501">
        <v>3.6499999999999998E-2</v>
      </c>
      <c r="DF44" s="501">
        <v>3.6499999999999998E-2</v>
      </c>
      <c r="DG44" s="501">
        <v>3.6499999999999998E-2</v>
      </c>
      <c r="DH44" s="501">
        <v>3.6499999999999998E-2</v>
      </c>
      <c r="DI44" s="501">
        <v>3.6499999999999998E-2</v>
      </c>
      <c r="DJ44" s="501">
        <v>3.6499999999999998E-2</v>
      </c>
      <c r="DK44" s="501">
        <v>3.6499999999999998E-2</v>
      </c>
      <c r="DL44" s="501">
        <v>3.6499999999999998E-2</v>
      </c>
      <c r="DM44" s="501">
        <v>3.6499999999999998E-2</v>
      </c>
      <c r="DN44" s="501">
        <v>3.6499999999999998E-2</v>
      </c>
      <c r="DO44" s="501">
        <v>3.6499999999999998E-2</v>
      </c>
      <c r="DP44" s="501">
        <v>3.6499999999999998E-2</v>
      </c>
      <c r="DQ44" s="501">
        <v>3.6499999999999998E-2</v>
      </c>
      <c r="DR44" s="501">
        <v>3.6499999999999998E-2</v>
      </c>
      <c r="DS44" s="501">
        <v>3.6499999999999998E-2</v>
      </c>
      <c r="DT44" s="501">
        <v>3.6499999999999998E-2</v>
      </c>
      <c r="DU44" s="501">
        <v>3.6499999999999998E-2</v>
      </c>
      <c r="DV44" s="501">
        <v>3.6499999999999998E-2</v>
      </c>
      <c r="DW44" s="501">
        <v>3.5999999999999997E-2</v>
      </c>
      <c r="DX44" s="501">
        <v>3.5999999999999997E-2</v>
      </c>
      <c r="DY44" s="501">
        <v>3.5999999999999997E-2</v>
      </c>
      <c r="DZ44" s="501">
        <v>3.5999999999999997E-2</v>
      </c>
      <c r="EA44" s="501">
        <v>3.5999999999999997E-2</v>
      </c>
      <c r="EB44" s="501">
        <v>3.5999999999999997E-2</v>
      </c>
      <c r="EC44" s="501">
        <v>3.5999999999999997E-2</v>
      </c>
      <c r="ED44" s="501">
        <v>3.5999999999999997E-2</v>
      </c>
      <c r="EE44" s="501">
        <v>3.5999999999999997E-2</v>
      </c>
      <c r="EF44" s="501">
        <v>3.5999999999999997E-2</v>
      </c>
      <c r="EG44" s="501">
        <v>3.5999999999999997E-2</v>
      </c>
      <c r="EH44" s="501">
        <v>3.5999999999999997E-2</v>
      </c>
      <c r="EI44" s="501">
        <v>3.5999999999999997E-2</v>
      </c>
      <c r="EJ44" s="501">
        <v>3.5999999999999997E-2</v>
      </c>
      <c r="EK44" s="501">
        <v>3.5999999999999997E-2</v>
      </c>
      <c r="EL44" s="501">
        <v>3.5999999999999997E-2</v>
      </c>
      <c r="EM44" s="501">
        <v>3.5999999999999997E-2</v>
      </c>
      <c r="EN44" s="501">
        <v>3.5999999999999997E-2</v>
      </c>
      <c r="EO44" s="501">
        <v>3.5999999999999997E-2</v>
      </c>
      <c r="EP44" s="501">
        <v>3.5999999999999997E-2</v>
      </c>
      <c r="EQ44" s="501">
        <v>3.5999999999999997E-2</v>
      </c>
      <c r="ER44" s="501">
        <v>3.5999999999999997E-2</v>
      </c>
      <c r="ES44" s="501">
        <v>3.5999999999999997E-2</v>
      </c>
      <c r="ET44" s="501">
        <v>3.5999999999999997E-2</v>
      </c>
      <c r="EU44" s="501">
        <v>3.5999999999999997E-2</v>
      </c>
      <c r="EV44" s="501">
        <v>3.5999999999999997E-2</v>
      </c>
      <c r="EW44" s="501">
        <v>3.5999999999999997E-2</v>
      </c>
      <c r="EX44" s="501">
        <v>3.5999999999999997E-2</v>
      </c>
      <c r="EY44" s="501">
        <v>3.5999999999999997E-2</v>
      </c>
      <c r="EZ44" s="501">
        <v>3.5999999999999997E-2</v>
      </c>
      <c r="FA44" s="501">
        <v>3.5999999999999997E-2</v>
      </c>
      <c r="FB44" s="501">
        <v>3.5999999999999997E-2</v>
      </c>
      <c r="FC44" s="501">
        <v>3.5999999999999997E-2</v>
      </c>
      <c r="FD44" s="501">
        <v>3.5999999999999997E-2</v>
      </c>
      <c r="FE44" s="501">
        <v>3.5999999999999997E-2</v>
      </c>
      <c r="FF44" s="501">
        <v>3.5999999999999997E-2</v>
      </c>
      <c r="FG44" s="501">
        <v>3.5999999999999997E-2</v>
      </c>
      <c r="FH44" s="501">
        <v>3.5999999999999997E-2</v>
      </c>
      <c r="FI44" s="501">
        <v>3.5999999999999997E-2</v>
      </c>
      <c r="FJ44" s="501">
        <v>3.5999999999999997E-2</v>
      </c>
      <c r="FK44" s="501">
        <v>3.5999999999999997E-2</v>
      </c>
      <c r="FL44" s="501">
        <v>3.5999999999999997E-2</v>
      </c>
      <c r="FM44" s="501">
        <v>3.5999999999999997E-2</v>
      </c>
      <c r="FN44" s="501">
        <v>3.5999999999999997E-2</v>
      </c>
      <c r="FO44" s="501">
        <v>3.5999999999999997E-2</v>
      </c>
      <c r="FP44" s="501">
        <v>3.5999999999999997E-2</v>
      </c>
      <c r="FQ44" s="501">
        <v>3.5999999999999997E-2</v>
      </c>
      <c r="FR44" s="501">
        <v>3.5999999999999997E-2</v>
      </c>
      <c r="FS44" s="501">
        <v>3.5999999999999997E-2</v>
      </c>
      <c r="FT44" s="501">
        <v>3.5999999999999997E-2</v>
      </c>
      <c r="FU44" s="501">
        <v>3.5999999999999997E-2</v>
      </c>
      <c r="FV44" s="501">
        <v>3.5999999999999997E-2</v>
      </c>
      <c r="FW44" s="501">
        <v>3.5999999999999997E-2</v>
      </c>
      <c r="FX44" s="501">
        <v>3.5999999999999997E-2</v>
      </c>
      <c r="FY44" s="501">
        <v>3.5999999999999997E-2</v>
      </c>
      <c r="FZ44" s="501">
        <v>3.5999999999999997E-2</v>
      </c>
      <c r="GA44" s="501">
        <v>3.5999999999999997E-2</v>
      </c>
      <c r="GB44" s="501">
        <v>3.95E-2</v>
      </c>
      <c r="GC44" s="501">
        <v>3.95E-2</v>
      </c>
      <c r="GD44" s="501">
        <v>0</v>
      </c>
      <c r="GE44" s="501">
        <v>0</v>
      </c>
      <c r="GF44" s="501">
        <v>0</v>
      </c>
      <c r="GG44" s="501">
        <v>0</v>
      </c>
      <c r="GH44" s="501">
        <v>0</v>
      </c>
      <c r="GI44" s="501">
        <v>0</v>
      </c>
      <c r="GJ44" s="501">
        <v>0</v>
      </c>
      <c r="GK44" s="501">
        <v>0</v>
      </c>
      <c r="GL44" s="501">
        <v>0</v>
      </c>
      <c r="GM44" s="501">
        <v>0</v>
      </c>
      <c r="GN44" s="501">
        <v>0</v>
      </c>
      <c r="GO44" s="501">
        <v>0</v>
      </c>
      <c r="GP44" s="501">
        <v>0</v>
      </c>
      <c r="GQ44" s="501">
        <v>0</v>
      </c>
      <c r="GR44" s="501">
        <v>0</v>
      </c>
      <c r="GS44" s="501">
        <v>0</v>
      </c>
      <c r="GT44" s="501">
        <v>0</v>
      </c>
      <c r="GU44" s="501">
        <v>0</v>
      </c>
      <c r="GV44" s="501">
        <v>0</v>
      </c>
      <c r="GW44" s="501">
        <v>0</v>
      </c>
      <c r="GX44" s="501">
        <v>0</v>
      </c>
      <c r="GY44" s="501">
        <v>0</v>
      </c>
      <c r="GZ44" s="501">
        <v>0</v>
      </c>
      <c r="HA44" s="501">
        <v>0</v>
      </c>
      <c r="HB44" s="501">
        <v>0</v>
      </c>
      <c r="HC44" s="501">
        <v>0</v>
      </c>
      <c r="HD44" s="501">
        <v>0</v>
      </c>
      <c r="HE44" s="501">
        <v>0</v>
      </c>
      <c r="HF44" s="501">
        <v>0</v>
      </c>
      <c r="HG44" s="501">
        <v>0</v>
      </c>
      <c r="HH44" s="501">
        <v>0</v>
      </c>
      <c r="HI44" s="501">
        <v>0</v>
      </c>
      <c r="HJ44" s="501">
        <v>0</v>
      </c>
      <c r="HK44" s="501">
        <v>0</v>
      </c>
      <c r="HL44" s="501">
        <v>0</v>
      </c>
      <c r="HM44" s="501">
        <v>0</v>
      </c>
      <c r="HN44" s="501">
        <v>0</v>
      </c>
      <c r="HO44" s="501">
        <v>0</v>
      </c>
      <c r="HP44" s="473">
        <f t="shared" si="12"/>
        <v>0</v>
      </c>
      <c r="HQ44" s="1133"/>
    </row>
    <row r="45" spans="2:225">
      <c r="B45" s="1129"/>
      <c r="C45" s="730" t="s">
        <v>249</v>
      </c>
      <c r="D45" s="500">
        <v>2.75E-2</v>
      </c>
      <c r="E45" s="500">
        <v>2.75E-2</v>
      </c>
      <c r="F45" s="500">
        <v>2.75E-2</v>
      </c>
      <c r="G45" s="500">
        <v>2.75E-2</v>
      </c>
      <c r="H45" s="500">
        <v>2.75E-2</v>
      </c>
      <c r="I45" s="500">
        <v>2.75E-2</v>
      </c>
      <c r="J45" s="500">
        <v>2.75E-2</v>
      </c>
      <c r="K45" s="500">
        <v>2.75E-2</v>
      </c>
      <c r="L45" s="500">
        <v>2.75E-2</v>
      </c>
      <c r="M45" s="500">
        <v>2.75E-2</v>
      </c>
      <c r="N45" s="500">
        <v>2.75E-2</v>
      </c>
      <c r="O45" s="500">
        <v>2.75E-2</v>
      </c>
      <c r="P45" s="500">
        <v>2.75E-2</v>
      </c>
      <c r="Q45" s="500">
        <v>2.75E-2</v>
      </c>
      <c r="R45" s="500">
        <v>2.75E-2</v>
      </c>
      <c r="S45" s="500">
        <v>2.75E-2</v>
      </c>
      <c r="T45" s="500">
        <v>2.75E-2</v>
      </c>
      <c r="U45" s="500">
        <v>2.75E-2</v>
      </c>
      <c r="V45" s="500">
        <v>2.75E-2</v>
      </c>
      <c r="W45" s="500">
        <v>2.75E-2</v>
      </c>
      <c r="X45" s="500">
        <v>2.75E-2</v>
      </c>
      <c r="Y45" s="502">
        <v>2.75E-2</v>
      </c>
      <c r="Z45" s="500">
        <v>2.8000000000000001E-2</v>
      </c>
      <c r="AA45" s="500">
        <v>2.8000000000000001E-2</v>
      </c>
      <c r="AB45" s="500">
        <v>2.8000000000000001E-2</v>
      </c>
      <c r="AC45" s="500">
        <v>2.8000000000000001E-2</v>
      </c>
      <c r="AD45" s="500">
        <v>2.8000000000000001E-2</v>
      </c>
      <c r="AE45" s="500">
        <v>2.8000000000000001E-2</v>
      </c>
      <c r="AF45" s="500">
        <v>2.8000000000000001E-2</v>
      </c>
      <c r="AG45" s="500">
        <v>2.8000000000000001E-2</v>
      </c>
      <c r="AH45" s="500">
        <v>2.8000000000000001E-2</v>
      </c>
      <c r="AI45" s="500">
        <v>2.8000000000000001E-2</v>
      </c>
      <c r="AJ45" s="500">
        <v>2.8000000000000001E-2</v>
      </c>
      <c r="AK45" s="500">
        <v>2.8000000000000001E-2</v>
      </c>
      <c r="AL45" s="501">
        <v>2.8000000000000001E-2</v>
      </c>
      <c r="AM45" s="500">
        <v>2.8000000000000001E-2</v>
      </c>
      <c r="AN45" s="500">
        <v>2.8000000000000001E-2</v>
      </c>
      <c r="AO45" s="500">
        <v>2.8000000000000001E-2</v>
      </c>
      <c r="AP45" s="500">
        <v>2.8000000000000001E-2</v>
      </c>
      <c r="AQ45" s="500">
        <v>2.8000000000000001E-2</v>
      </c>
      <c r="AR45" s="500">
        <v>2.8000000000000001E-2</v>
      </c>
      <c r="AS45" s="500">
        <v>2.8000000000000001E-2</v>
      </c>
      <c r="AT45" s="500">
        <v>2.8000000000000001E-2</v>
      </c>
      <c r="AU45" s="500">
        <v>2.8000000000000001E-2</v>
      </c>
      <c r="AV45" s="502">
        <v>2.8500000000000001E-2</v>
      </c>
      <c r="AW45" s="501">
        <v>3.3500000000000002E-2</v>
      </c>
      <c r="AX45" s="501">
        <v>3.3500000000000002E-2</v>
      </c>
      <c r="AY45" s="501">
        <v>3.3500000000000002E-2</v>
      </c>
      <c r="AZ45" s="501">
        <v>3.3500000000000002E-2</v>
      </c>
      <c r="BA45" s="501">
        <v>3.3500000000000002E-2</v>
      </c>
      <c r="BB45" s="501">
        <v>3.3500000000000002E-2</v>
      </c>
      <c r="BC45" s="501">
        <v>3.3500000000000002E-2</v>
      </c>
      <c r="BD45" s="501">
        <v>3.3500000000000002E-2</v>
      </c>
      <c r="BE45" s="501">
        <v>3.3500000000000002E-2</v>
      </c>
      <c r="BF45" s="501">
        <v>3.3500000000000002E-2</v>
      </c>
      <c r="BG45" s="501">
        <v>3.3500000000000002E-2</v>
      </c>
      <c r="BH45" s="501">
        <v>3.3500000000000002E-2</v>
      </c>
      <c r="BI45" s="501">
        <v>3.3500000000000002E-2</v>
      </c>
      <c r="BJ45" s="501">
        <v>3.3500000000000002E-2</v>
      </c>
      <c r="BK45" s="501">
        <v>3.3500000000000002E-2</v>
      </c>
      <c r="BL45" s="501">
        <v>3.3500000000000002E-2</v>
      </c>
      <c r="BM45" s="501">
        <v>3.3500000000000002E-2</v>
      </c>
      <c r="BN45" s="501">
        <v>3.3500000000000002E-2</v>
      </c>
      <c r="BO45" s="501">
        <v>3.3500000000000002E-2</v>
      </c>
      <c r="BP45" s="501">
        <v>3.3500000000000002E-2</v>
      </c>
      <c r="BQ45" s="501">
        <v>3.3500000000000002E-2</v>
      </c>
      <c r="BR45" s="501">
        <v>3.3500000000000002E-2</v>
      </c>
      <c r="BS45" s="501">
        <v>3.3500000000000002E-2</v>
      </c>
      <c r="BT45" s="501">
        <v>3.3500000000000002E-2</v>
      </c>
      <c r="BU45" s="501">
        <v>3.3500000000000002E-2</v>
      </c>
      <c r="BV45" s="501">
        <v>3.3500000000000002E-2</v>
      </c>
      <c r="BW45" s="501">
        <v>3.3500000000000002E-2</v>
      </c>
      <c r="BX45" s="501">
        <v>3.4500000000000003E-2</v>
      </c>
      <c r="BY45" s="501">
        <v>3.4500000000000003E-2</v>
      </c>
      <c r="BZ45" s="501">
        <v>3.85E-2</v>
      </c>
      <c r="CA45" s="501">
        <v>3.85E-2</v>
      </c>
      <c r="CB45" s="501">
        <v>3.85E-2</v>
      </c>
      <c r="CC45" s="501">
        <v>3.6499999999999998E-2</v>
      </c>
      <c r="CD45" s="501">
        <v>3.6499999999999998E-2</v>
      </c>
      <c r="CE45" s="501">
        <v>3.6499999999999998E-2</v>
      </c>
      <c r="CF45" s="501">
        <v>3.6499999999999998E-2</v>
      </c>
      <c r="CG45" s="501">
        <v>3.6499999999999998E-2</v>
      </c>
      <c r="CH45" s="501">
        <v>3.6499999999999998E-2</v>
      </c>
      <c r="CI45" s="501">
        <v>3.6499999999999998E-2</v>
      </c>
      <c r="CJ45" s="501">
        <v>3.6499999999999998E-2</v>
      </c>
      <c r="CK45" s="501">
        <v>3.6499999999999998E-2</v>
      </c>
      <c r="CL45" s="501">
        <v>3.6499999999999998E-2</v>
      </c>
      <c r="CM45" s="501">
        <v>3.6499999999999998E-2</v>
      </c>
      <c r="CN45" s="501">
        <v>3.6499999999999998E-2</v>
      </c>
      <c r="CO45" s="501">
        <v>3.6499999999999998E-2</v>
      </c>
      <c r="CP45" s="501">
        <v>3.6499999999999998E-2</v>
      </c>
      <c r="CQ45" s="501">
        <v>3.6499999999999998E-2</v>
      </c>
      <c r="CR45" s="501">
        <v>3.6499999999999998E-2</v>
      </c>
      <c r="CS45" s="501">
        <v>3.6499999999999998E-2</v>
      </c>
      <c r="CT45" s="501">
        <v>3.6499999999999998E-2</v>
      </c>
      <c r="CU45" s="501">
        <v>3.6499999999999998E-2</v>
      </c>
      <c r="CV45" s="501">
        <v>3.6499999999999998E-2</v>
      </c>
      <c r="CW45" s="501">
        <v>3.6499999999999998E-2</v>
      </c>
      <c r="CX45" s="501">
        <v>3.6499999999999998E-2</v>
      </c>
      <c r="CY45" s="501">
        <v>3.6499999999999998E-2</v>
      </c>
      <c r="CZ45" s="501">
        <v>3.7499999999999999E-2</v>
      </c>
      <c r="DA45" s="501">
        <v>3.7499999999999999E-2</v>
      </c>
      <c r="DB45" s="501">
        <v>3.7499999999999999E-2</v>
      </c>
      <c r="DC45" s="501">
        <v>3.7499999999999999E-2</v>
      </c>
      <c r="DD45" s="501">
        <v>3.7499999999999999E-2</v>
      </c>
      <c r="DE45" s="501">
        <v>3.7499999999999999E-2</v>
      </c>
      <c r="DF45" s="501">
        <v>3.7499999999999999E-2</v>
      </c>
      <c r="DG45" s="501">
        <v>3.7499999999999999E-2</v>
      </c>
      <c r="DH45" s="501">
        <v>3.7499999999999999E-2</v>
      </c>
      <c r="DI45" s="501">
        <v>3.7499999999999999E-2</v>
      </c>
      <c r="DJ45" s="501">
        <v>3.7499999999999999E-2</v>
      </c>
      <c r="DK45" s="501">
        <v>3.7499999999999999E-2</v>
      </c>
      <c r="DL45" s="501">
        <v>3.7499999999999999E-2</v>
      </c>
      <c r="DM45" s="501">
        <v>3.7499999999999999E-2</v>
      </c>
      <c r="DN45" s="501">
        <v>3.7499999999999999E-2</v>
      </c>
      <c r="DO45" s="501">
        <v>3.7499999999999999E-2</v>
      </c>
      <c r="DP45" s="501">
        <v>3.7499999999999999E-2</v>
      </c>
      <c r="DQ45" s="501">
        <v>3.7499999999999999E-2</v>
      </c>
      <c r="DR45" s="501">
        <v>3.7499999999999999E-2</v>
      </c>
      <c r="DS45" s="501">
        <v>3.7499999999999999E-2</v>
      </c>
      <c r="DT45" s="501">
        <v>3.7499999999999999E-2</v>
      </c>
      <c r="DU45" s="501">
        <v>3.7499999999999999E-2</v>
      </c>
      <c r="DV45" s="501">
        <v>3.7499999999999999E-2</v>
      </c>
      <c r="DW45" s="501">
        <v>3.6999999999999998E-2</v>
      </c>
      <c r="DX45" s="501">
        <v>3.6999999999999998E-2</v>
      </c>
      <c r="DY45" s="501">
        <v>3.6999999999999998E-2</v>
      </c>
      <c r="DZ45" s="501">
        <v>3.6999999999999998E-2</v>
      </c>
      <c r="EA45" s="501">
        <v>3.6999999999999998E-2</v>
      </c>
      <c r="EB45" s="501">
        <v>3.6999999999999998E-2</v>
      </c>
      <c r="EC45" s="501">
        <v>3.6999999999999998E-2</v>
      </c>
      <c r="ED45" s="501">
        <v>3.6999999999999998E-2</v>
      </c>
      <c r="EE45" s="501">
        <v>3.6999999999999998E-2</v>
      </c>
      <c r="EF45" s="501">
        <v>3.6999999999999998E-2</v>
      </c>
      <c r="EG45" s="501">
        <v>3.6999999999999998E-2</v>
      </c>
      <c r="EH45" s="501">
        <v>3.6999999999999998E-2</v>
      </c>
      <c r="EI45" s="501">
        <v>3.6999999999999998E-2</v>
      </c>
      <c r="EJ45" s="501">
        <v>3.6999999999999998E-2</v>
      </c>
      <c r="EK45" s="501">
        <v>3.6999999999999998E-2</v>
      </c>
      <c r="EL45" s="501">
        <v>3.6999999999999998E-2</v>
      </c>
      <c r="EM45" s="501">
        <v>3.6999999999999998E-2</v>
      </c>
      <c r="EN45" s="501">
        <v>3.6999999999999998E-2</v>
      </c>
      <c r="EO45" s="501">
        <v>3.6999999999999998E-2</v>
      </c>
      <c r="EP45" s="501">
        <v>3.6999999999999998E-2</v>
      </c>
      <c r="EQ45" s="501">
        <v>3.6999999999999998E-2</v>
      </c>
      <c r="ER45" s="501">
        <v>3.6999999999999998E-2</v>
      </c>
      <c r="ES45" s="501">
        <v>3.6999999999999998E-2</v>
      </c>
      <c r="ET45" s="501">
        <v>3.6999999999999998E-2</v>
      </c>
      <c r="EU45" s="501">
        <v>3.6999999999999998E-2</v>
      </c>
      <c r="EV45" s="501">
        <v>3.6999999999999998E-2</v>
      </c>
      <c r="EW45" s="501">
        <v>3.6999999999999998E-2</v>
      </c>
      <c r="EX45" s="501">
        <v>3.6999999999999998E-2</v>
      </c>
      <c r="EY45" s="501">
        <v>3.6999999999999998E-2</v>
      </c>
      <c r="EZ45" s="501">
        <v>3.6999999999999998E-2</v>
      </c>
      <c r="FA45" s="501">
        <v>3.6999999999999998E-2</v>
      </c>
      <c r="FB45" s="501">
        <v>3.6999999999999998E-2</v>
      </c>
      <c r="FC45" s="501">
        <v>3.6999999999999998E-2</v>
      </c>
      <c r="FD45" s="501">
        <v>3.6999999999999998E-2</v>
      </c>
      <c r="FE45" s="501">
        <v>3.6999999999999998E-2</v>
      </c>
      <c r="FF45" s="501">
        <v>3.6999999999999998E-2</v>
      </c>
      <c r="FG45" s="501">
        <v>3.6999999999999998E-2</v>
      </c>
      <c r="FH45" s="501">
        <v>3.6999999999999998E-2</v>
      </c>
      <c r="FI45" s="501">
        <v>3.6999999999999998E-2</v>
      </c>
      <c r="FJ45" s="501">
        <v>3.6999999999999998E-2</v>
      </c>
      <c r="FK45" s="501">
        <v>3.6999999999999998E-2</v>
      </c>
      <c r="FL45" s="501">
        <v>3.6999999999999998E-2</v>
      </c>
      <c r="FM45" s="501">
        <v>3.6999999999999998E-2</v>
      </c>
      <c r="FN45" s="501">
        <v>3.6999999999999998E-2</v>
      </c>
      <c r="FO45" s="501">
        <v>3.6999999999999998E-2</v>
      </c>
      <c r="FP45" s="501">
        <v>3.6999999999999998E-2</v>
      </c>
      <c r="FQ45" s="501">
        <v>3.6999999999999998E-2</v>
      </c>
      <c r="FR45" s="501">
        <v>3.6999999999999998E-2</v>
      </c>
      <c r="FS45" s="501">
        <v>3.6999999999999998E-2</v>
      </c>
      <c r="FT45" s="501">
        <v>3.6999999999999998E-2</v>
      </c>
      <c r="FU45" s="501">
        <v>3.6999999999999998E-2</v>
      </c>
      <c r="FV45" s="501">
        <v>3.6999999999999998E-2</v>
      </c>
      <c r="FW45" s="501">
        <v>3.6999999999999998E-2</v>
      </c>
      <c r="FX45" s="501">
        <v>3.6999999999999998E-2</v>
      </c>
      <c r="FY45" s="501">
        <v>3.6999999999999998E-2</v>
      </c>
      <c r="FZ45" s="501">
        <v>3.6999999999999998E-2</v>
      </c>
      <c r="GA45" s="501">
        <v>3.6999999999999998E-2</v>
      </c>
      <c r="GB45" s="501">
        <v>4.0500000000000001E-2</v>
      </c>
      <c r="GC45" s="501">
        <v>4.0500000000000001E-2</v>
      </c>
      <c r="GD45" s="501">
        <v>0</v>
      </c>
      <c r="GE45" s="501">
        <v>0</v>
      </c>
      <c r="GF45" s="501">
        <v>0</v>
      </c>
      <c r="GG45" s="501">
        <v>0</v>
      </c>
      <c r="GH45" s="501">
        <v>0</v>
      </c>
      <c r="GI45" s="501">
        <v>0</v>
      </c>
      <c r="GJ45" s="501">
        <v>0</v>
      </c>
      <c r="GK45" s="501">
        <v>0</v>
      </c>
      <c r="GL45" s="501">
        <v>0</v>
      </c>
      <c r="GM45" s="501">
        <v>0</v>
      </c>
      <c r="GN45" s="501">
        <v>0</v>
      </c>
      <c r="GO45" s="501">
        <v>0</v>
      </c>
      <c r="GP45" s="501">
        <v>0</v>
      </c>
      <c r="GQ45" s="501">
        <v>0</v>
      </c>
      <c r="GR45" s="501">
        <v>0</v>
      </c>
      <c r="GS45" s="501">
        <v>0</v>
      </c>
      <c r="GT45" s="501">
        <v>0</v>
      </c>
      <c r="GU45" s="501">
        <v>0</v>
      </c>
      <c r="GV45" s="501">
        <v>0</v>
      </c>
      <c r="GW45" s="501">
        <v>0</v>
      </c>
      <c r="GX45" s="501">
        <v>0</v>
      </c>
      <c r="GY45" s="501">
        <v>0</v>
      </c>
      <c r="GZ45" s="501">
        <v>0</v>
      </c>
      <c r="HA45" s="501">
        <v>0</v>
      </c>
      <c r="HB45" s="501">
        <v>0</v>
      </c>
      <c r="HC45" s="501">
        <v>0</v>
      </c>
      <c r="HD45" s="501">
        <v>0</v>
      </c>
      <c r="HE45" s="501">
        <v>0</v>
      </c>
      <c r="HF45" s="501">
        <v>0</v>
      </c>
      <c r="HG45" s="501">
        <v>0</v>
      </c>
      <c r="HH45" s="501">
        <v>0</v>
      </c>
      <c r="HI45" s="501">
        <v>0</v>
      </c>
      <c r="HJ45" s="501">
        <v>0</v>
      </c>
      <c r="HK45" s="501">
        <v>0</v>
      </c>
      <c r="HL45" s="501">
        <v>0</v>
      </c>
      <c r="HM45" s="501">
        <v>0</v>
      </c>
      <c r="HN45" s="501">
        <v>0</v>
      </c>
      <c r="HO45" s="501">
        <v>0</v>
      </c>
      <c r="HP45" s="473">
        <f t="shared" si="12"/>
        <v>0</v>
      </c>
      <c r="HQ45" s="1133"/>
    </row>
    <row r="46" spans="2:225">
      <c r="B46" s="1129"/>
      <c r="C46" s="730" t="s">
        <v>248</v>
      </c>
      <c r="D46" s="500">
        <v>2.9499999999999998E-2</v>
      </c>
      <c r="E46" s="500">
        <v>2.9499999999999998E-2</v>
      </c>
      <c r="F46" s="500">
        <v>2.9499999999999998E-2</v>
      </c>
      <c r="G46" s="500">
        <v>2.9499999999999998E-2</v>
      </c>
      <c r="H46" s="500">
        <v>2.9499999999999998E-2</v>
      </c>
      <c r="I46" s="500">
        <v>2.9499999999999998E-2</v>
      </c>
      <c r="J46" s="500">
        <v>2.9499999999999998E-2</v>
      </c>
      <c r="K46" s="500">
        <v>2.9499999999999998E-2</v>
      </c>
      <c r="L46" s="500">
        <v>2.9499999999999998E-2</v>
      </c>
      <c r="M46" s="500">
        <v>2.9499999999999998E-2</v>
      </c>
      <c r="N46" s="500">
        <v>2.9499999999999998E-2</v>
      </c>
      <c r="O46" s="500">
        <v>2.9499999999999998E-2</v>
      </c>
      <c r="P46" s="500">
        <v>2.9499999999999998E-2</v>
      </c>
      <c r="Q46" s="500">
        <v>2.9499999999999998E-2</v>
      </c>
      <c r="R46" s="500">
        <v>2.9499999999999998E-2</v>
      </c>
      <c r="S46" s="500">
        <v>2.9499999999999998E-2</v>
      </c>
      <c r="T46" s="500">
        <v>2.9499999999999998E-2</v>
      </c>
      <c r="U46" s="500">
        <v>2.9499999999999998E-2</v>
      </c>
      <c r="V46" s="500">
        <v>2.9499999999999998E-2</v>
      </c>
      <c r="W46" s="500">
        <v>2.9499999999999998E-2</v>
      </c>
      <c r="X46" s="500">
        <v>2.9499999999999998E-2</v>
      </c>
      <c r="Y46" s="502">
        <v>2.9499999999999998E-2</v>
      </c>
      <c r="Z46" s="500">
        <v>0.03</v>
      </c>
      <c r="AA46" s="500">
        <v>0.03</v>
      </c>
      <c r="AB46" s="500">
        <v>0.03</v>
      </c>
      <c r="AC46" s="500">
        <v>0.03</v>
      </c>
      <c r="AD46" s="500">
        <v>0.03</v>
      </c>
      <c r="AE46" s="500">
        <v>0.03</v>
      </c>
      <c r="AF46" s="500">
        <v>0.03</v>
      </c>
      <c r="AG46" s="500">
        <v>0.03</v>
      </c>
      <c r="AH46" s="500">
        <v>0.03</v>
      </c>
      <c r="AI46" s="500">
        <v>0.03</v>
      </c>
      <c r="AJ46" s="500">
        <v>0.03</v>
      </c>
      <c r="AK46" s="500">
        <v>0.03</v>
      </c>
      <c r="AL46" s="501">
        <v>0.03</v>
      </c>
      <c r="AM46" s="500">
        <v>0.03</v>
      </c>
      <c r="AN46" s="500">
        <v>0.03</v>
      </c>
      <c r="AO46" s="500">
        <v>0.03</v>
      </c>
      <c r="AP46" s="500">
        <v>0.03</v>
      </c>
      <c r="AQ46" s="500">
        <v>0.03</v>
      </c>
      <c r="AR46" s="500">
        <v>0.03</v>
      </c>
      <c r="AS46" s="500">
        <v>0.03</v>
      </c>
      <c r="AT46" s="500">
        <v>0.03</v>
      </c>
      <c r="AU46" s="500">
        <v>0.03</v>
      </c>
      <c r="AV46" s="502">
        <v>3.0499999999999999E-2</v>
      </c>
      <c r="AW46" s="501">
        <v>3.4500000000000003E-2</v>
      </c>
      <c r="AX46" s="501">
        <v>3.4500000000000003E-2</v>
      </c>
      <c r="AY46" s="501">
        <v>3.4500000000000003E-2</v>
      </c>
      <c r="AZ46" s="501">
        <v>3.4500000000000003E-2</v>
      </c>
      <c r="BA46" s="501">
        <v>3.4500000000000003E-2</v>
      </c>
      <c r="BB46" s="501">
        <v>3.4500000000000003E-2</v>
      </c>
      <c r="BC46" s="501">
        <v>3.4500000000000003E-2</v>
      </c>
      <c r="BD46" s="501">
        <v>3.4500000000000003E-2</v>
      </c>
      <c r="BE46" s="501">
        <v>3.4500000000000003E-2</v>
      </c>
      <c r="BF46" s="501">
        <v>3.4500000000000003E-2</v>
      </c>
      <c r="BG46" s="501">
        <v>3.4500000000000003E-2</v>
      </c>
      <c r="BH46" s="501">
        <v>3.4500000000000003E-2</v>
      </c>
      <c r="BI46" s="501">
        <v>3.4500000000000003E-2</v>
      </c>
      <c r="BJ46" s="501">
        <v>3.4500000000000003E-2</v>
      </c>
      <c r="BK46" s="501">
        <v>3.4500000000000003E-2</v>
      </c>
      <c r="BL46" s="501">
        <v>3.4500000000000003E-2</v>
      </c>
      <c r="BM46" s="501">
        <v>3.4500000000000003E-2</v>
      </c>
      <c r="BN46" s="501">
        <v>3.4500000000000003E-2</v>
      </c>
      <c r="BO46" s="501">
        <v>3.4500000000000003E-2</v>
      </c>
      <c r="BP46" s="501">
        <v>3.4500000000000003E-2</v>
      </c>
      <c r="BQ46" s="501">
        <v>3.4500000000000003E-2</v>
      </c>
      <c r="BR46" s="501">
        <v>3.4500000000000003E-2</v>
      </c>
      <c r="BS46" s="501">
        <v>3.4500000000000003E-2</v>
      </c>
      <c r="BT46" s="501">
        <v>3.4500000000000003E-2</v>
      </c>
      <c r="BU46" s="501">
        <v>3.4500000000000003E-2</v>
      </c>
      <c r="BV46" s="501">
        <v>3.4500000000000003E-2</v>
      </c>
      <c r="BW46" s="501">
        <v>3.4500000000000003E-2</v>
      </c>
      <c r="BX46" s="501">
        <v>3.5499999999999997E-2</v>
      </c>
      <c r="BY46" s="501">
        <v>3.5499999999999997E-2</v>
      </c>
      <c r="BZ46" s="501">
        <v>3.95E-2</v>
      </c>
      <c r="CA46" s="501">
        <v>3.95E-2</v>
      </c>
      <c r="CB46" s="501">
        <v>3.95E-2</v>
      </c>
      <c r="CC46" s="501">
        <v>3.7499999999999999E-2</v>
      </c>
      <c r="CD46" s="501">
        <v>3.7499999999999999E-2</v>
      </c>
      <c r="CE46" s="501">
        <v>3.7499999999999999E-2</v>
      </c>
      <c r="CF46" s="501">
        <v>3.7499999999999999E-2</v>
      </c>
      <c r="CG46" s="501">
        <v>3.7499999999999999E-2</v>
      </c>
      <c r="CH46" s="501">
        <v>3.7499999999999999E-2</v>
      </c>
      <c r="CI46" s="501">
        <v>3.7499999999999999E-2</v>
      </c>
      <c r="CJ46" s="501">
        <v>3.7499999999999999E-2</v>
      </c>
      <c r="CK46" s="501">
        <v>3.7499999999999999E-2</v>
      </c>
      <c r="CL46" s="501">
        <v>3.7499999999999999E-2</v>
      </c>
      <c r="CM46" s="501">
        <v>3.7499999999999999E-2</v>
      </c>
      <c r="CN46" s="501">
        <v>3.7499999999999999E-2</v>
      </c>
      <c r="CO46" s="501">
        <v>3.7499999999999999E-2</v>
      </c>
      <c r="CP46" s="501">
        <v>3.7499999999999999E-2</v>
      </c>
      <c r="CQ46" s="501">
        <v>3.7499999999999999E-2</v>
      </c>
      <c r="CR46" s="501">
        <v>3.7499999999999999E-2</v>
      </c>
      <c r="CS46" s="501">
        <v>3.7499999999999999E-2</v>
      </c>
      <c r="CT46" s="501">
        <v>3.7499999999999999E-2</v>
      </c>
      <c r="CU46" s="501">
        <v>3.7499999999999999E-2</v>
      </c>
      <c r="CV46" s="501">
        <v>3.7499999999999999E-2</v>
      </c>
      <c r="CW46" s="501">
        <v>3.7499999999999999E-2</v>
      </c>
      <c r="CX46" s="501">
        <v>3.7499999999999999E-2</v>
      </c>
      <c r="CY46" s="501">
        <v>3.7499999999999999E-2</v>
      </c>
      <c r="CZ46" s="501">
        <v>3.85E-2</v>
      </c>
      <c r="DA46" s="501">
        <v>3.85E-2</v>
      </c>
      <c r="DB46" s="501">
        <v>3.85E-2</v>
      </c>
      <c r="DC46" s="501">
        <v>3.85E-2</v>
      </c>
      <c r="DD46" s="501">
        <v>3.85E-2</v>
      </c>
      <c r="DE46" s="501">
        <v>3.85E-2</v>
      </c>
      <c r="DF46" s="501">
        <v>3.85E-2</v>
      </c>
      <c r="DG46" s="501">
        <v>3.85E-2</v>
      </c>
      <c r="DH46" s="501">
        <v>3.85E-2</v>
      </c>
      <c r="DI46" s="501">
        <v>3.85E-2</v>
      </c>
      <c r="DJ46" s="501">
        <v>3.85E-2</v>
      </c>
      <c r="DK46" s="501">
        <v>3.85E-2</v>
      </c>
      <c r="DL46" s="501">
        <v>3.85E-2</v>
      </c>
      <c r="DM46" s="501">
        <v>3.85E-2</v>
      </c>
      <c r="DN46" s="501">
        <v>3.85E-2</v>
      </c>
      <c r="DO46" s="501">
        <v>3.85E-2</v>
      </c>
      <c r="DP46" s="501">
        <v>3.85E-2</v>
      </c>
      <c r="DQ46" s="501">
        <v>3.85E-2</v>
      </c>
      <c r="DR46" s="501">
        <v>3.85E-2</v>
      </c>
      <c r="DS46" s="501">
        <v>3.85E-2</v>
      </c>
      <c r="DT46" s="501">
        <v>3.85E-2</v>
      </c>
      <c r="DU46" s="501">
        <v>3.85E-2</v>
      </c>
      <c r="DV46" s="501">
        <v>3.85E-2</v>
      </c>
      <c r="DW46" s="501">
        <v>3.7999999999999999E-2</v>
      </c>
      <c r="DX46" s="501">
        <v>3.7999999999999999E-2</v>
      </c>
      <c r="DY46" s="501">
        <v>3.7999999999999999E-2</v>
      </c>
      <c r="DZ46" s="501">
        <v>3.7999999999999999E-2</v>
      </c>
      <c r="EA46" s="501">
        <v>3.7999999999999999E-2</v>
      </c>
      <c r="EB46" s="501">
        <v>3.7999999999999999E-2</v>
      </c>
      <c r="EC46" s="501">
        <v>3.7999999999999999E-2</v>
      </c>
      <c r="ED46" s="501">
        <v>3.7999999999999999E-2</v>
      </c>
      <c r="EE46" s="501">
        <v>3.7999999999999999E-2</v>
      </c>
      <c r="EF46" s="501">
        <v>3.7999999999999999E-2</v>
      </c>
      <c r="EG46" s="501">
        <v>3.7999999999999999E-2</v>
      </c>
      <c r="EH46" s="501">
        <v>3.7999999999999999E-2</v>
      </c>
      <c r="EI46" s="501">
        <v>3.7999999999999999E-2</v>
      </c>
      <c r="EJ46" s="501">
        <v>3.7999999999999999E-2</v>
      </c>
      <c r="EK46" s="501">
        <v>3.7999999999999999E-2</v>
      </c>
      <c r="EL46" s="501">
        <v>3.7999999999999999E-2</v>
      </c>
      <c r="EM46" s="501">
        <v>3.7999999999999999E-2</v>
      </c>
      <c r="EN46" s="501">
        <v>3.7999999999999999E-2</v>
      </c>
      <c r="EO46" s="501">
        <v>3.7999999999999999E-2</v>
      </c>
      <c r="EP46" s="501">
        <v>3.7999999999999999E-2</v>
      </c>
      <c r="EQ46" s="501">
        <v>3.7999999999999999E-2</v>
      </c>
      <c r="ER46" s="501">
        <v>3.7999999999999999E-2</v>
      </c>
      <c r="ES46" s="501">
        <v>3.7999999999999999E-2</v>
      </c>
      <c r="ET46" s="501">
        <v>3.7999999999999999E-2</v>
      </c>
      <c r="EU46" s="501">
        <v>3.7999999999999999E-2</v>
      </c>
      <c r="EV46" s="501">
        <v>3.7999999999999999E-2</v>
      </c>
      <c r="EW46" s="501">
        <v>3.7999999999999999E-2</v>
      </c>
      <c r="EX46" s="501">
        <v>3.7999999999999999E-2</v>
      </c>
      <c r="EY46" s="501">
        <v>3.7999999999999999E-2</v>
      </c>
      <c r="EZ46" s="501">
        <v>3.7999999999999999E-2</v>
      </c>
      <c r="FA46" s="501">
        <v>3.7999999999999999E-2</v>
      </c>
      <c r="FB46" s="501">
        <v>3.7999999999999999E-2</v>
      </c>
      <c r="FC46" s="501">
        <v>3.7999999999999999E-2</v>
      </c>
      <c r="FD46" s="501">
        <v>3.7999999999999999E-2</v>
      </c>
      <c r="FE46" s="501">
        <v>3.7999999999999999E-2</v>
      </c>
      <c r="FF46" s="501">
        <v>3.7999999999999999E-2</v>
      </c>
      <c r="FG46" s="501">
        <v>3.7999999999999999E-2</v>
      </c>
      <c r="FH46" s="501">
        <v>3.7999999999999999E-2</v>
      </c>
      <c r="FI46" s="501">
        <v>3.7999999999999999E-2</v>
      </c>
      <c r="FJ46" s="501">
        <v>3.7999999999999999E-2</v>
      </c>
      <c r="FK46" s="501">
        <v>3.7999999999999999E-2</v>
      </c>
      <c r="FL46" s="501">
        <v>3.7999999999999999E-2</v>
      </c>
      <c r="FM46" s="501">
        <v>3.7999999999999999E-2</v>
      </c>
      <c r="FN46" s="501">
        <v>3.7999999999999999E-2</v>
      </c>
      <c r="FO46" s="501">
        <v>3.7999999999999999E-2</v>
      </c>
      <c r="FP46" s="501">
        <v>3.7999999999999999E-2</v>
      </c>
      <c r="FQ46" s="501">
        <v>3.7999999999999999E-2</v>
      </c>
      <c r="FR46" s="501">
        <v>3.7999999999999999E-2</v>
      </c>
      <c r="FS46" s="501">
        <v>3.7999999999999999E-2</v>
      </c>
      <c r="FT46" s="501">
        <v>3.7999999999999999E-2</v>
      </c>
      <c r="FU46" s="501">
        <v>3.7999999999999999E-2</v>
      </c>
      <c r="FV46" s="501">
        <v>3.7999999999999999E-2</v>
      </c>
      <c r="FW46" s="501">
        <v>3.7999999999999999E-2</v>
      </c>
      <c r="FX46" s="501">
        <v>3.7999999999999999E-2</v>
      </c>
      <c r="FY46" s="501">
        <v>3.7999999999999999E-2</v>
      </c>
      <c r="FZ46" s="501">
        <v>3.7999999999999999E-2</v>
      </c>
      <c r="GA46" s="501">
        <v>3.7999999999999999E-2</v>
      </c>
      <c r="GB46" s="501">
        <v>4.1500000000000002E-2</v>
      </c>
      <c r="GC46" s="501">
        <v>4.1500000000000002E-2</v>
      </c>
      <c r="GD46" s="501">
        <v>0</v>
      </c>
      <c r="GE46" s="501">
        <v>0</v>
      </c>
      <c r="GF46" s="501">
        <v>0</v>
      </c>
      <c r="GG46" s="501">
        <v>0</v>
      </c>
      <c r="GH46" s="501">
        <v>0</v>
      </c>
      <c r="GI46" s="501">
        <v>0</v>
      </c>
      <c r="GJ46" s="501">
        <v>0</v>
      </c>
      <c r="GK46" s="501">
        <v>0</v>
      </c>
      <c r="GL46" s="501">
        <v>0</v>
      </c>
      <c r="GM46" s="501">
        <v>0</v>
      </c>
      <c r="GN46" s="501">
        <v>0</v>
      </c>
      <c r="GO46" s="501">
        <v>0</v>
      </c>
      <c r="GP46" s="501">
        <v>0</v>
      </c>
      <c r="GQ46" s="501">
        <v>0</v>
      </c>
      <c r="GR46" s="501">
        <v>0</v>
      </c>
      <c r="GS46" s="501">
        <v>0</v>
      </c>
      <c r="GT46" s="501">
        <v>0</v>
      </c>
      <c r="GU46" s="501">
        <v>0</v>
      </c>
      <c r="GV46" s="501">
        <v>0</v>
      </c>
      <c r="GW46" s="501">
        <v>0</v>
      </c>
      <c r="GX46" s="501">
        <v>0</v>
      </c>
      <c r="GY46" s="501">
        <v>0</v>
      </c>
      <c r="GZ46" s="501">
        <v>0</v>
      </c>
      <c r="HA46" s="501">
        <v>0</v>
      </c>
      <c r="HB46" s="501">
        <v>0</v>
      </c>
      <c r="HC46" s="501">
        <v>0</v>
      </c>
      <c r="HD46" s="501">
        <v>0</v>
      </c>
      <c r="HE46" s="501">
        <v>0</v>
      </c>
      <c r="HF46" s="501">
        <v>0</v>
      </c>
      <c r="HG46" s="501">
        <v>0</v>
      </c>
      <c r="HH46" s="501">
        <v>0</v>
      </c>
      <c r="HI46" s="501">
        <v>0</v>
      </c>
      <c r="HJ46" s="501">
        <v>0</v>
      </c>
      <c r="HK46" s="501">
        <v>0</v>
      </c>
      <c r="HL46" s="501">
        <v>0</v>
      </c>
      <c r="HM46" s="501">
        <v>0</v>
      </c>
      <c r="HN46" s="501">
        <v>0</v>
      </c>
      <c r="HO46" s="501">
        <v>0</v>
      </c>
      <c r="HP46" s="473">
        <f t="shared" si="12"/>
        <v>0</v>
      </c>
      <c r="HQ46" s="1133"/>
    </row>
    <row r="47" spans="2:225">
      <c r="B47" s="1129"/>
      <c r="C47" s="730" t="s">
        <v>247</v>
      </c>
      <c r="D47" s="500">
        <v>3.0499999999999999E-2</v>
      </c>
      <c r="E47" s="500">
        <v>3.0499999999999999E-2</v>
      </c>
      <c r="F47" s="500">
        <v>3.0499999999999999E-2</v>
      </c>
      <c r="G47" s="500">
        <v>3.0499999999999999E-2</v>
      </c>
      <c r="H47" s="500">
        <v>3.0499999999999999E-2</v>
      </c>
      <c r="I47" s="500">
        <v>3.0499999999999999E-2</v>
      </c>
      <c r="J47" s="500">
        <v>3.0499999999999999E-2</v>
      </c>
      <c r="K47" s="500">
        <v>3.0499999999999999E-2</v>
      </c>
      <c r="L47" s="500">
        <v>3.0499999999999999E-2</v>
      </c>
      <c r="M47" s="500">
        <v>3.0499999999999999E-2</v>
      </c>
      <c r="N47" s="500">
        <v>3.0499999999999999E-2</v>
      </c>
      <c r="O47" s="500">
        <v>3.0499999999999999E-2</v>
      </c>
      <c r="P47" s="500">
        <v>3.0499999999999999E-2</v>
      </c>
      <c r="Q47" s="500">
        <v>3.0499999999999999E-2</v>
      </c>
      <c r="R47" s="500">
        <v>3.0499999999999999E-2</v>
      </c>
      <c r="S47" s="500">
        <v>3.0499999999999999E-2</v>
      </c>
      <c r="T47" s="500">
        <v>3.0499999999999999E-2</v>
      </c>
      <c r="U47" s="500">
        <v>3.0499999999999999E-2</v>
      </c>
      <c r="V47" s="500">
        <v>3.0499999999999999E-2</v>
      </c>
      <c r="W47" s="500">
        <v>3.0499999999999999E-2</v>
      </c>
      <c r="X47" s="500">
        <v>3.0499999999999999E-2</v>
      </c>
      <c r="Y47" s="502">
        <v>3.0499999999999999E-2</v>
      </c>
      <c r="Z47" s="500">
        <v>3.1E-2</v>
      </c>
      <c r="AA47" s="500">
        <v>3.1E-2</v>
      </c>
      <c r="AB47" s="500">
        <v>3.1E-2</v>
      </c>
      <c r="AC47" s="500">
        <v>3.1E-2</v>
      </c>
      <c r="AD47" s="500">
        <v>3.1E-2</v>
      </c>
      <c r="AE47" s="500">
        <v>3.1E-2</v>
      </c>
      <c r="AF47" s="500">
        <v>3.1E-2</v>
      </c>
      <c r="AG47" s="500">
        <v>3.1E-2</v>
      </c>
      <c r="AH47" s="500">
        <v>3.1E-2</v>
      </c>
      <c r="AI47" s="500">
        <v>3.1E-2</v>
      </c>
      <c r="AJ47" s="500">
        <v>3.1E-2</v>
      </c>
      <c r="AK47" s="500">
        <v>3.1E-2</v>
      </c>
      <c r="AL47" s="501">
        <v>3.1E-2</v>
      </c>
      <c r="AM47" s="500">
        <v>3.1E-2</v>
      </c>
      <c r="AN47" s="500">
        <v>3.1E-2</v>
      </c>
      <c r="AO47" s="500">
        <v>3.1E-2</v>
      </c>
      <c r="AP47" s="500">
        <v>3.1E-2</v>
      </c>
      <c r="AQ47" s="500">
        <v>3.1E-2</v>
      </c>
      <c r="AR47" s="500">
        <v>3.1E-2</v>
      </c>
      <c r="AS47" s="500">
        <v>3.1E-2</v>
      </c>
      <c r="AT47" s="500">
        <v>3.1E-2</v>
      </c>
      <c r="AU47" s="500">
        <v>3.1E-2</v>
      </c>
      <c r="AV47" s="502">
        <v>3.15E-2</v>
      </c>
      <c r="AW47" s="501">
        <v>3.4500000000000003E-2</v>
      </c>
      <c r="AX47" s="501">
        <v>3.4500000000000003E-2</v>
      </c>
      <c r="AY47" s="501">
        <v>3.4500000000000003E-2</v>
      </c>
      <c r="AZ47" s="501">
        <v>3.4500000000000003E-2</v>
      </c>
      <c r="BA47" s="501">
        <v>3.4500000000000003E-2</v>
      </c>
      <c r="BB47" s="501">
        <v>3.4500000000000003E-2</v>
      </c>
      <c r="BC47" s="501">
        <v>3.4500000000000003E-2</v>
      </c>
      <c r="BD47" s="501">
        <v>3.4500000000000003E-2</v>
      </c>
      <c r="BE47" s="501">
        <v>3.4500000000000003E-2</v>
      </c>
      <c r="BF47" s="501">
        <v>3.4500000000000003E-2</v>
      </c>
      <c r="BG47" s="501">
        <v>3.4500000000000003E-2</v>
      </c>
      <c r="BH47" s="501">
        <v>3.4500000000000003E-2</v>
      </c>
      <c r="BI47" s="501">
        <v>3.4500000000000003E-2</v>
      </c>
      <c r="BJ47" s="501">
        <v>3.4500000000000003E-2</v>
      </c>
      <c r="BK47" s="501">
        <v>3.4500000000000003E-2</v>
      </c>
      <c r="BL47" s="501">
        <v>3.4500000000000003E-2</v>
      </c>
      <c r="BM47" s="501">
        <v>3.4500000000000003E-2</v>
      </c>
      <c r="BN47" s="501">
        <v>3.4500000000000003E-2</v>
      </c>
      <c r="BO47" s="501">
        <v>3.4500000000000003E-2</v>
      </c>
      <c r="BP47" s="501">
        <v>3.4500000000000003E-2</v>
      </c>
      <c r="BQ47" s="501">
        <v>3.4500000000000003E-2</v>
      </c>
      <c r="BR47" s="501">
        <v>3.4500000000000003E-2</v>
      </c>
      <c r="BS47" s="501">
        <v>3.4500000000000003E-2</v>
      </c>
      <c r="BT47" s="501">
        <v>3.4500000000000003E-2</v>
      </c>
      <c r="BU47" s="501">
        <v>3.4500000000000003E-2</v>
      </c>
      <c r="BV47" s="501">
        <v>3.4500000000000003E-2</v>
      </c>
      <c r="BW47" s="501">
        <v>3.4500000000000003E-2</v>
      </c>
      <c r="BX47" s="501">
        <v>3.5499999999999997E-2</v>
      </c>
      <c r="BY47" s="501">
        <v>3.5499999999999997E-2</v>
      </c>
      <c r="BZ47" s="501">
        <v>3.95E-2</v>
      </c>
      <c r="CA47" s="501">
        <v>3.95E-2</v>
      </c>
      <c r="CB47" s="501">
        <v>3.95E-2</v>
      </c>
      <c r="CC47" s="501">
        <v>3.7499999999999999E-2</v>
      </c>
      <c r="CD47" s="501">
        <v>3.7499999999999999E-2</v>
      </c>
      <c r="CE47" s="501">
        <v>3.7499999999999999E-2</v>
      </c>
      <c r="CF47" s="501">
        <v>3.7499999999999999E-2</v>
      </c>
      <c r="CG47" s="501">
        <v>3.7499999999999999E-2</v>
      </c>
      <c r="CH47" s="501">
        <v>3.7499999999999999E-2</v>
      </c>
      <c r="CI47" s="501">
        <v>3.7499999999999999E-2</v>
      </c>
      <c r="CJ47" s="501">
        <v>3.7499999999999999E-2</v>
      </c>
      <c r="CK47" s="501">
        <v>3.7499999999999999E-2</v>
      </c>
      <c r="CL47" s="501">
        <v>3.7499999999999999E-2</v>
      </c>
      <c r="CM47" s="501">
        <v>3.7499999999999999E-2</v>
      </c>
      <c r="CN47" s="501">
        <v>3.7499999999999999E-2</v>
      </c>
      <c r="CO47" s="501">
        <v>3.7499999999999999E-2</v>
      </c>
      <c r="CP47" s="501">
        <v>3.7499999999999999E-2</v>
      </c>
      <c r="CQ47" s="501">
        <v>3.7499999999999999E-2</v>
      </c>
      <c r="CR47" s="501">
        <v>3.7499999999999999E-2</v>
      </c>
      <c r="CS47" s="501">
        <v>3.7499999999999999E-2</v>
      </c>
      <c r="CT47" s="501">
        <v>3.7499999999999999E-2</v>
      </c>
      <c r="CU47" s="501">
        <v>3.7499999999999999E-2</v>
      </c>
      <c r="CV47" s="501">
        <v>3.7499999999999999E-2</v>
      </c>
      <c r="CW47" s="501">
        <v>3.7499999999999999E-2</v>
      </c>
      <c r="CX47" s="501">
        <v>3.7499999999999999E-2</v>
      </c>
      <c r="CY47" s="501">
        <v>3.7499999999999999E-2</v>
      </c>
      <c r="CZ47" s="501">
        <v>3.85E-2</v>
      </c>
      <c r="DA47" s="501">
        <v>3.85E-2</v>
      </c>
      <c r="DB47" s="501">
        <v>3.85E-2</v>
      </c>
      <c r="DC47" s="501">
        <v>3.85E-2</v>
      </c>
      <c r="DD47" s="501">
        <v>3.85E-2</v>
      </c>
      <c r="DE47" s="501">
        <v>3.85E-2</v>
      </c>
      <c r="DF47" s="501">
        <v>3.85E-2</v>
      </c>
      <c r="DG47" s="501">
        <v>3.85E-2</v>
      </c>
      <c r="DH47" s="501">
        <v>3.85E-2</v>
      </c>
      <c r="DI47" s="501">
        <v>3.85E-2</v>
      </c>
      <c r="DJ47" s="501">
        <v>3.85E-2</v>
      </c>
      <c r="DK47" s="501">
        <v>3.85E-2</v>
      </c>
      <c r="DL47" s="501">
        <v>3.85E-2</v>
      </c>
      <c r="DM47" s="501">
        <v>3.85E-2</v>
      </c>
      <c r="DN47" s="501">
        <v>3.85E-2</v>
      </c>
      <c r="DO47" s="501">
        <v>3.85E-2</v>
      </c>
      <c r="DP47" s="501">
        <v>3.85E-2</v>
      </c>
      <c r="DQ47" s="501">
        <v>3.85E-2</v>
      </c>
      <c r="DR47" s="501">
        <v>3.85E-2</v>
      </c>
      <c r="DS47" s="501">
        <v>3.85E-2</v>
      </c>
      <c r="DT47" s="501">
        <v>3.85E-2</v>
      </c>
      <c r="DU47" s="501">
        <v>3.85E-2</v>
      </c>
      <c r="DV47" s="501">
        <v>3.85E-2</v>
      </c>
      <c r="DW47" s="501">
        <v>3.7999999999999999E-2</v>
      </c>
      <c r="DX47" s="501">
        <v>3.7999999999999999E-2</v>
      </c>
      <c r="DY47" s="501">
        <v>3.7999999999999999E-2</v>
      </c>
      <c r="DZ47" s="501">
        <v>3.7999999999999999E-2</v>
      </c>
      <c r="EA47" s="501">
        <v>3.7999999999999999E-2</v>
      </c>
      <c r="EB47" s="501">
        <v>3.7999999999999999E-2</v>
      </c>
      <c r="EC47" s="501">
        <v>3.7999999999999999E-2</v>
      </c>
      <c r="ED47" s="501">
        <v>3.7999999999999999E-2</v>
      </c>
      <c r="EE47" s="501">
        <v>3.7999999999999999E-2</v>
      </c>
      <c r="EF47" s="501">
        <v>3.7999999999999999E-2</v>
      </c>
      <c r="EG47" s="501">
        <v>3.7999999999999999E-2</v>
      </c>
      <c r="EH47" s="501">
        <v>3.7999999999999999E-2</v>
      </c>
      <c r="EI47" s="501">
        <v>3.7999999999999999E-2</v>
      </c>
      <c r="EJ47" s="501">
        <v>3.7999999999999999E-2</v>
      </c>
      <c r="EK47" s="501">
        <v>3.7999999999999999E-2</v>
      </c>
      <c r="EL47" s="501">
        <v>3.7999999999999999E-2</v>
      </c>
      <c r="EM47" s="501">
        <v>3.7999999999999999E-2</v>
      </c>
      <c r="EN47" s="501">
        <v>3.7999999999999999E-2</v>
      </c>
      <c r="EO47" s="501">
        <v>3.7999999999999999E-2</v>
      </c>
      <c r="EP47" s="501">
        <v>3.7999999999999999E-2</v>
      </c>
      <c r="EQ47" s="501">
        <v>3.7999999999999999E-2</v>
      </c>
      <c r="ER47" s="501">
        <v>3.7999999999999999E-2</v>
      </c>
      <c r="ES47" s="501">
        <v>3.7999999999999999E-2</v>
      </c>
      <c r="ET47" s="501">
        <v>3.7999999999999999E-2</v>
      </c>
      <c r="EU47" s="501">
        <v>3.7999999999999999E-2</v>
      </c>
      <c r="EV47" s="501">
        <v>3.7999999999999999E-2</v>
      </c>
      <c r="EW47" s="501">
        <v>3.7999999999999999E-2</v>
      </c>
      <c r="EX47" s="501">
        <v>3.7999999999999999E-2</v>
      </c>
      <c r="EY47" s="501">
        <v>3.7999999999999999E-2</v>
      </c>
      <c r="EZ47" s="501">
        <v>3.7999999999999999E-2</v>
      </c>
      <c r="FA47" s="501">
        <v>3.7999999999999999E-2</v>
      </c>
      <c r="FB47" s="501">
        <v>3.7999999999999999E-2</v>
      </c>
      <c r="FC47" s="501">
        <v>3.7999999999999999E-2</v>
      </c>
      <c r="FD47" s="501">
        <v>3.7999999999999999E-2</v>
      </c>
      <c r="FE47" s="501">
        <v>3.7999999999999999E-2</v>
      </c>
      <c r="FF47" s="501">
        <v>3.7999999999999999E-2</v>
      </c>
      <c r="FG47" s="501">
        <v>3.7999999999999999E-2</v>
      </c>
      <c r="FH47" s="501">
        <v>3.7999999999999999E-2</v>
      </c>
      <c r="FI47" s="501">
        <v>3.7999999999999999E-2</v>
      </c>
      <c r="FJ47" s="501">
        <v>3.7999999999999999E-2</v>
      </c>
      <c r="FK47" s="501">
        <v>3.7999999999999999E-2</v>
      </c>
      <c r="FL47" s="501">
        <v>3.7999999999999999E-2</v>
      </c>
      <c r="FM47" s="501">
        <v>3.7999999999999999E-2</v>
      </c>
      <c r="FN47" s="501">
        <v>3.7999999999999999E-2</v>
      </c>
      <c r="FO47" s="501">
        <v>3.7999999999999999E-2</v>
      </c>
      <c r="FP47" s="501">
        <v>3.7999999999999999E-2</v>
      </c>
      <c r="FQ47" s="501">
        <v>3.7999999999999999E-2</v>
      </c>
      <c r="FR47" s="501">
        <v>3.7999999999999999E-2</v>
      </c>
      <c r="FS47" s="501">
        <v>3.7999999999999999E-2</v>
      </c>
      <c r="FT47" s="501">
        <v>3.7999999999999999E-2</v>
      </c>
      <c r="FU47" s="501">
        <v>3.7999999999999999E-2</v>
      </c>
      <c r="FV47" s="501">
        <v>3.7999999999999999E-2</v>
      </c>
      <c r="FW47" s="501">
        <v>3.7999999999999999E-2</v>
      </c>
      <c r="FX47" s="501">
        <v>3.7999999999999999E-2</v>
      </c>
      <c r="FY47" s="501">
        <v>3.7999999999999999E-2</v>
      </c>
      <c r="FZ47" s="501">
        <v>3.7999999999999999E-2</v>
      </c>
      <c r="GA47" s="501">
        <v>3.7999999999999999E-2</v>
      </c>
      <c r="GB47" s="501">
        <v>4.1500000000000002E-2</v>
      </c>
      <c r="GC47" s="501">
        <v>4.1500000000000002E-2</v>
      </c>
      <c r="GD47" s="501">
        <v>5.0000000000000001E-4</v>
      </c>
      <c r="GE47" s="501">
        <v>5.0000000000000001E-4</v>
      </c>
      <c r="GF47" s="501">
        <v>5.0000000000000001E-4</v>
      </c>
      <c r="GG47" s="501">
        <v>5.0000000000000001E-4</v>
      </c>
      <c r="GH47" s="501">
        <v>5.0000000000000001E-4</v>
      </c>
      <c r="GI47" s="501">
        <v>5.0000000000000001E-4</v>
      </c>
      <c r="GJ47" s="501">
        <v>5.0000000000000001E-4</v>
      </c>
      <c r="GK47" s="501">
        <v>5.0000000000000001E-4</v>
      </c>
      <c r="GL47" s="501">
        <v>5.0000000000000001E-4</v>
      </c>
      <c r="GM47" s="501">
        <v>5.0000000000000001E-4</v>
      </c>
      <c r="GN47" s="501">
        <v>5.0000000000000001E-4</v>
      </c>
      <c r="GO47" s="501">
        <v>5.0000000000000001E-4</v>
      </c>
      <c r="GP47" s="501">
        <v>5.0000000000000001E-4</v>
      </c>
      <c r="GQ47" s="501">
        <v>5.0000000000000001E-4</v>
      </c>
      <c r="GR47" s="501">
        <v>5.0000000000000001E-4</v>
      </c>
      <c r="GS47" s="501">
        <v>5.0000000000000001E-4</v>
      </c>
      <c r="GT47" s="501">
        <v>5.0000000000000001E-4</v>
      </c>
      <c r="GU47" s="501">
        <v>5.0000000000000001E-4</v>
      </c>
      <c r="GV47" s="501">
        <v>5.0000000000000001E-4</v>
      </c>
      <c r="GW47" s="501">
        <v>5.0000000000000001E-4</v>
      </c>
      <c r="GX47" s="501">
        <v>5.0000000000000001E-4</v>
      </c>
      <c r="GY47" s="501">
        <v>5.0000000000000001E-4</v>
      </c>
      <c r="GZ47" s="501">
        <v>5.0000000000000001E-4</v>
      </c>
      <c r="HA47" s="501">
        <v>5.0000000000000001E-4</v>
      </c>
      <c r="HB47" s="501">
        <v>5.0000000000000001E-4</v>
      </c>
      <c r="HC47" s="501">
        <v>5.0000000000000001E-4</v>
      </c>
      <c r="HD47" s="501">
        <v>5.0000000000000001E-4</v>
      </c>
      <c r="HE47" s="501">
        <v>5.0000000000000001E-4</v>
      </c>
      <c r="HF47" s="501">
        <v>5.0000000000000001E-4</v>
      </c>
      <c r="HG47" s="501">
        <v>5.0000000000000001E-4</v>
      </c>
      <c r="HH47" s="501">
        <v>5.0000000000000001E-4</v>
      </c>
      <c r="HI47" s="501">
        <v>5.0000000000000001E-4</v>
      </c>
      <c r="HJ47" s="501">
        <v>5.0000000000000001E-4</v>
      </c>
      <c r="HK47" s="501">
        <v>5.0000000000000001E-4</v>
      </c>
      <c r="HL47" s="501">
        <v>5.0000000000000001E-4</v>
      </c>
      <c r="HM47" s="501">
        <v>5.0000000000000001E-4</v>
      </c>
      <c r="HN47" s="501">
        <v>5.0000000000000001E-4</v>
      </c>
      <c r="HO47" s="501">
        <v>5.0000000000000001E-4</v>
      </c>
      <c r="HP47" s="473">
        <f t="shared" si="12"/>
        <v>0</v>
      </c>
      <c r="HQ47" s="1133"/>
    </row>
    <row r="48" spans="2:225">
      <c r="B48" s="1129"/>
      <c r="C48" s="730" t="s">
        <v>246</v>
      </c>
      <c r="D48" s="500">
        <v>3.0499999999999999E-2</v>
      </c>
      <c r="E48" s="500">
        <v>3.0499999999999999E-2</v>
      </c>
      <c r="F48" s="500">
        <v>3.0499999999999999E-2</v>
      </c>
      <c r="G48" s="500">
        <v>3.0499999999999999E-2</v>
      </c>
      <c r="H48" s="500">
        <v>3.0499999999999999E-2</v>
      </c>
      <c r="I48" s="500">
        <v>3.0499999999999999E-2</v>
      </c>
      <c r="J48" s="500">
        <v>3.0499999999999999E-2</v>
      </c>
      <c r="K48" s="500">
        <v>3.0499999999999999E-2</v>
      </c>
      <c r="L48" s="500">
        <v>3.0499999999999999E-2</v>
      </c>
      <c r="M48" s="500">
        <v>3.0499999999999999E-2</v>
      </c>
      <c r="N48" s="500">
        <v>3.0499999999999999E-2</v>
      </c>
      <c r="O48" s="500">
        <v>3.0499999999999999E-2</v>
      </c>
      <c r="P48" s="500">
        <v>3.0499999999999999E-2</v>
      </c>
      <c r="Q48" s="500">
        <v>3.0499999999999999E-2</v>
      </c>
      <c r="R48" s="500">
        <v>3.0499999999999999E-2</v>
      </c>
      <c r="S48" s="500">
        <v>3.0499999999999999E-2</v>
      </c>
      <c r="T48" s="500">
        <v>3.0499999999999999E-2</v>
      </c>
      <c r="U48" s="500">
        <v>3.0499999999999999E-2</v>
      </c>
      <c r="V48" s="500">
        <v>3.0499999999999999E-2</v>
      </c>
      <c r="W48" s="500">
        <v>3.0499999999999999E-2</v>
      </c>
      <c r="X48" s="500">
        <v>3.0499999999999999E-2</v>
      </c>
      <c r="Y48" s="502">
        <v>3.0499999999999999E-2</v>
      </c>
      <c r="Z48" s="500">
        <v>3.1E-2</v>
      </c>
      <c r="AA48" s="500">
        <v>3.1E-2</v>
      </c>
      <c r="AB48" s="500">
        <v>3.1E-2</v>
      </c>
      <c r="AC48" s="500">
        <v>3.1E-2</v>
      </c>
      <c r="AD48" s="500">
        <v>3.1E-2</v>
      </c>
      <c r="AE48" s="500">
        <v>3.1E-2</v>
      </c>
      <c r="AF48" s="500">
        <v>3.1E-2</v>
      </c>
      <c r="AG48" s="500">
        <v>3.1E-2</v>
      </c>
      <c r="AH48" s="500">
        <v>3.1E-2</v>
      </c>
      <c r="AI48" s="500">
        <v>3.1E-2</v>
      </c>
      <c r="AJ48" s="500">
        <v>3.1E-2</v>
      </c>
      <c r="AK48" s="500">
        <v>3.1E-2</v>
      </c>
      <c r="AL48" s="501">
        <v>3.1E-2</v>
      </c>
      <c r="AM48" s="500">
        <v>3.1E-2</v>
      </c>
      <c r="AN48" s="500">
        <v>3.1E-2</v>
      </c>
      <c r="AO48" s="500">
        <v>3.1E-2</v>
      </c>
      <c r="AP48" s="500">
        <v>3.1E-2</v>
      </c>
      <c r="AQ48" s="500">
        <v>3.1E-2</v>
      </c>
      <c r="AR48" s="500">
        <v>3.1E-2</v>
      </c>
      <c r="AS48" s="500">
        <v>3.1E-2</v>
      </c>
      <c r="AT48" s="500">
        <v>3.1E-2</v>
      </c>
      <c r="AU48" s="500">
        <v>3.1E-2</v>
      </c>
      <c r="AV48" s="502">
        <v>3.15E-2</v>
      </c>
      <c r="AW48" s="501">
        <v>3.4500000000000003E-2</v>
      </c>
      <c r="AX48" s="501">
        <v>3.4500000000000003E-2</v>
      </c>
      <c r="AY48" s="501">
        <v>3.4500000000000003E-2</v>
      </c>
      <c r="AZ48" s="501">
        <v>3.4500000000000003E-2</v>
      </c>
      <c r="BA48" s="501">
        <v>3.4500000000000003E-2</v>
      </c>
      <c r="BB48" s="501">
        <v>3.4500000000000003E-2</v>
      </c>
      <c r="BC48" s="501">
        <v>3.4500000000000003E-2</v>
      </c>
      <c r="BD48" s="501">
        <v>3.4500000000000003E-2</v>
      </c>
      <c r="BE48" s="501">
        <v>3.4500000000000003E-2</v>
      </c>
      <c r="BF48" s="501">
        <v>3.4500000000000003E-2</v>
      </c>
      <c r="BG48" s="501">
        <v>3.4500000000000003E-2</v>
      </c>
      <c r="BH48" s="501">
        <v>3.4500000000000003E-2</v>
      </c>
      <c r="BI48" s="501">
        <v>3.4500000000000003E-2</v>
      </c>
      <c r="BJ48" s="501">
        <v>3.4500000000000003E-2</v>
      </c>
      <c r="BK48" s="501">
        <v>3.4500000000000003E-2</v>
      </c>
      <c r="BL48" s="501">
        <v>3.4500000000000003E-2</v>
      </c>
      <c r="BM48" s="501">
        <v>3.4500000000000003E-2</v>
      </c>
      <c r="BN48" s="501">
        <v>3.4500000000000003E-2</v>
      </c>
      <c r="BO48" s="501">
        <v>3.4500000000000003E-2</v>
      </c>
      <c r="BP48" s="501">
        <v>3.4500000000000003E-2</v>
      </c>
      <c r="BQ48" s="501">
        <v>3.4500000000000003E-2</v>
      </c>
      <c r="BR48" s="501">
        <v>3.4500000000000003E-2</v>
      </c>
      <c r="BS48" s="501">
        <v>3.4500000000000003E-2</v>
      </c>
      <c r="BT48" s="501">
        <v>3.4500000000000003E-2</v>
      </c>
      <c r="BU48" s="501">
        <v>3.4500000000000003E-2</v>
      </c>
      <c r="BV48" s="501">
        <v>3.4500000000000003E-2</v>
      </c>
      <c r="BW48" s="501">
        <v>3.4500000000000003E-2</v>
      </c>
      <c r="BX48" s="501">
        <v>3.5499999999999997E-2</v>
      </c>
      <c r="BY48" s="501">
        <v>3.5499999999999997E-2</v>
      </c>
      <c r="BZ48" s="501">
        <v>3.95E-2</v>
      </c>
      <c r="CA48" s="501">
        <v>3.95E-2</v>
      </c>
      <c r="CB48" s="501">
        <v>3.95E-2</v>
      </c>
      <c r="CC48" s="501">
        <v>3.7499999999999999E-2</v>
      </c>
      <c r="CD48" s="501">
        <v>3.7499999999999999E-2</v>
      </c>
      <c r="CE48" s="501">
        <v>3.7499999999999999E-2</v>
      </c>
      <c r="CF48" s="501">
        <v>3.7499999999999999E-2</v>
      </c>
      <c r="CG48" s="501">
        <v>3.7499999999999999E-2</v>
      </c>
      <c r="CH48" s="501">
        <v>3.7499999999999999E-2</v>
      </c>
      <c r="CI48" s="501">
        <v>3.7499999999999999E-2</v>
      </c>
      <c r="CJ48" s="501">
        <v>3.7499999999999999E-2</v>
      </c>
      <c r="CK48" s="501">
        <v>3.7499999999999999E-2</v>
      </c>
      <c r="CL48" s="501">
        <v>3.7499999999999999E-2</v>
      </c>
      <c r="CM48" s="501">
        <v>3.7499999999999999E-2</v>
      </c>
      <c r="CN48" s="501">
        <v>3.7499999999999999E-2</v>
      </c>
      <c r="CO48" s="501">
        <v>3.7499999999999999E-2</v>
      </c>
      <c r="CP48" s="501">
        <v>3.7499999999999999E-2</v>
      </c>
      <c r="CQ48" s="501">
        <v>3.7499999999999999E-2</v>
      </c>
      <c r="CR48" s="501">
        <v>3.7499999999999999E-2</v>
      </c>
      <c r="CS48" s="501">
        <v>3.7499999999999999E-2</v>
      </c>
      <c r="CT48" s="501">
        <v>3.7499999999999999E-2</v>
      </c>
      <c r="CU48" s="501">
        <v>3.7499999999999999E-2</v>
      </c>
      <c r="CV48" s="501">
        <v>3.7499999999999999E-2</v>
      </c>
      <c r="CW48" s="501">
        <v>3.7499999999999999E-2</v>
      </c>
      <c r="CX48" s="501">
        <v>3.7499999999999999E-2</v>
      </c>
      <c r="CY48" s="501">
        <v>3.7499999999999999E-2</v>
      </c>
      <c r="CZ48" s="501">
        <v>3.85E-2</v>
      </c>
      <c r="DA48" s="501">
        <v>3.85E-2</v>
      </c>
      <c r="DB48" s="501">
        <v>3.85E-2</v>
      </c>
      <c r="DC48" s="501">
        <v>3.85E-2</v>
      </c>
      <c r="DD48" s="501">
        <v>3.85E-2</v>
      </c>
      <c r="DE48" s="501">
        <v>3.85E-2</v>
      </c>
      <c r="DF48" s="501">
        <v>3.85E-2</v>
      </c>
      <c r="DG48" s="501">
        <v>3.85E-2</v>
      </c>
      <c r="DH48" s="501">
        <v>3.85E-2</v>
      </c>
      <c r="DI48" s="501">
        <v>3.85E-2</v>
      </c>
      <c r="DJ48" s="501">
        <v>3.85E-2</v>
      </c>
      <c r="DK48" s="501">
        <v>3.85E-2</v>
      </c>
      <c r="DL48" s="501">
        <v>3.85E-2</v>
      </c>
      <c r="DM48" s="501">
        <v>3.85E-2</v>
      </c>
      <c r="DN48" s="501">
        <v>3.85E-2</v>
      </c>
      <c r="DO48" s="501">
        <v>3.85E-2</v>
      </c>
      <c r="DP48" s="501">
        <v>3.85E-2</v>
      </c>
      <c r="DQ48" s="501">
        <v>3.85E-2</v>
      </c>
      <c r="DR48" s="501">
        <v>3.85E-2</v>
      </c>
      <c r="DS48" s="501">
        <v>3.85E-2</v>
      </c>
      <c r="DT48" s="501">
        <v>3.85E-2</v>
      </c>
      <c r="DU48" s="501">
        <v>3.85E-2</v>
      </c>
      <c r="DV48" s="501">
        <v>3.85E-2</v>
      </c>
      <c r="DW48" s="501">
        <v>3.7999999999999999E-2</v>
      </c>
      <c r="DX48" s="501">
        <v>3.7999999999999999E-2</v>
      </c>
      <c r="DY48" s="501">
        <v>3.7999999999999999E-2</v>
      </c>
      <c r="DZ48" s="501">
        <v>3.7999999999999999E-2</v>
      </c>
      <c r="EA48" s="501">
        <v>3.7999999999999999E-2</v>
      </c>
      <c r="EB48" s="501">
        <v>3.7999999999999999E-2</v>
      </c>
      <c r="EC48" s="501">
        <v>3.7999999999999999E-2</v>
      </c>
      <c r="ED48" s="501">
        <v>3.7999999999999999E-2</v>
      </c>
      <c r="EE48" s="501">
        <v>3.7999999999999999E-2</v>
      </c>
      <c r="EF48" s="501">
        <v>3.7999999999999999E-2</v>
      </c>
      <c r="EG48" s="501">
        <v>3.7999999999999999E-2</v>
      </c>
      <c r="EH48" s="501">
        <v>3.7999999999999999E-2</v>
      </c>
      <c r="EI48" s="501">
        <v>3.7999999999999999E-2</v>
      </c>
      <c r="EJ48" s="501">
        <v>3.7999999999999999E-2</v>
      </c>
      <c r="EK48" s="501">
        <v>3.7999999999999999E-2</v>
      </c>
      <c r="EL48" s="501">
        <v>3.7999999999999999E-2</v>
      </c>
      <c r="EM48" s="501">
        <v>3.7999999999999999E-2</v>
      </c>
      <c r="EN48" s="501">
        <v>3.7999999999999999E-2</v>
      </c>
      <c r="EO48" s="501">
        <v>3.7999999999999999E-2</v>
      </c>
      <c r="EP48" s="501">
        <v>3.7999999999999999E-2</v>
      </c>
      <c r="EQ48" s="501">
        <v>3.7999999999999999E-2</v>
      </c>
      <c r="ER48" s="501">
        <v>3.7999999999999999E-2</v>
      </c>
      <c r="ES48" s="501">
        <v>3.7999999999999999E-2</v>
      </c>
      <c r="ET48" s="501">
        <v>3.7999999999999999E-2</v>
      </c>
      <c r="EU48" s="501">
        <v>3.7999999999999999E-2</v>
      </c>
      <c r="EV48" s="501">
        <v>3.7999999999999999E-2</v>
      </c>
      <c r="EW48" s="501">
        <v>3.7999999999999999E-2</v>
      </c>
      <c r="EX48" s="501">
        <v>3.7999999999999999E-2</v>
      </c>
      <c r="EY48" s="501">
        <v>3.7999999999999999E-2</v>
      </c>
      <c r="EZ48" s="501">
        <v>3.7999999999999999E-2</v>
      </c>
      <c r="FA48" s="501">
        <v>3.7999999999999999E-2</v>
      </c>
      <c r="FB48" s="501">
        <v>3.7999999999999999E-2</v>
      </c>
      <c r="FC48" s="501">
        <v>3.7999999999999999E-2</v>
      </c>
      <c r="FD48" s="501">
        <v>3.7999999999999999E-2</v>
      </c>
      <c r="FE48" s="501">
        <v>3.7999999999999999E-2</v>
      </c>
      <c r="FF48" s="501">
        <v>3.7999999999999999E-2</v>
      </c>
      <c r="FG48" s="501">
        <v>3.7999999999999999E-2</v>
      </c>
      <c r="FH48" s="501">
        <v>3.7999999999999999E-2</v>
      </c>
      <c r="FI48" s="501">
        <v>3.7999999999999999E-2</v>
      </c>
      <c r="FJ48" s="501">
        <v>3.7999999999999999E-2</v>
      </c>
      <c r="FK48" s="501">
        <v>3.7999999999999999E-2</v>
      </c>
      <c r="FL48" s="501">
        <v>3.7999999999999999E-2</v>
      </c>
      <c r="FM48" s="501">
        <v>3.7999999999999999E-2</v>
      </c>
      <c r="FN48" s="501">
        <v>3.7999999999999999E-2</v>
      </c>
      <c r="FO48" s="501">
        <v>3.7999999999999999E-2</v>
      </c>
      <c r="FP48" s="501">
        <v>3.7999999999999999E-2</v>
      </c>
      <c r="FQ48" s="501">
        <v>3.7999999999999999E-2</v>
      </c>
      <c r="FR48" s="501">
        <v>3.7999999999999999E-2</v>
      </c>
      <c r="FS48" s="501">
        <v>3.7999999999999999E-2</v>
      </c>
      <c r="FT48" s="501">
        <v>3.7999999999999999E-2</v>
      </c>
      <c r="FU48" s="501">
        <v>3.7999999999999999E-2</v>
      </c>
      <c r="FV48" s="501">
        <v>3.7999999999999999E-2</v>
      </c>
      <c r="FW48" s="501">
        <v>3.7999999999999999E-2</v>
      </c>
      <c r="FX48" s="501">
        <v>3.7999999999999999E-2</v>
      </c>
      <c r="FY48" s="501">
        <v>3.7999999999999999E-2</v>
      </c>
      <c r="FZ48" s="501">
        <v>3.7999999999999999E-2</v>
      </c>
      <c r="GA48" s="501">
        <v>3.7999999999999999E-2</v>
      </c>
      <c r="GB48" s="501">
        <v>4.1500000000000002E-2</v>
      </c>
      <c r="GC48" s="501">
        <v>4.1500000000000002E-2</v>
      </c>
      <c r="GD48" s="501">
        <v>5.0000000000000001E-4</v>
      </c>
      <c r="GE48" s="501">
        <v>5.0000000000000001E-4</v>
      </c>
      <c r="GF48" s="501">
        <v>5.0000000000000001E-4</v>
      </c>
      <c r="GG48" s="501">
        <v>5.0000000000000001E-4</v>
      </c>
      <c r="GH48" s="501">
        <v>5.0000000000000001E-4</v>
      </c>
      <c r="GI48" s="501">
        <v>5.0000000000000001E-4</v>
      </c>
      <c r="GJ48" s="501">
        <v>5.0000000000000001E-4</v>
      </c>
      <c r="GK48" s="501">
        <v>5.0000000000000001E-4</v>
      </c>
      <c r="GL48" s="501">
        <v>5.0000000000000001E-4</v>
      </c>
      <c r="GM48" s="501">
        <v>5.0000000000000001E-4</v>
      </c>
      <c r="GN48" s="501">
        <v>5.0000000000000001E-4</v>
      </c>
      <c r="GO48" s="501">
        <v>5.0000000000000001E-4</v>
      </c>
      <c r="GP48" s="501">
        <v>5.0000000000000001E-4</v>
      </c>
      <c r="GQ48" s="501">
        <v>5.0000000000000001E-4</v>
      </c>
      <c r="GR48" s="501">
        <v>5.0000000000000001E-4</v>
      </c>
      <c r="GS48" s="501">
        <v>5.0000000000000001E-4</v>
      </c>
      <c r="GT48" s="501">
        <v>5.0000000000000001E-4</v>
      </c>
      <c r="GU48" s="501">
        <v>5.0000000000000001E-4</v>
      </c>
      <c r="GV48" s="501">
        <v>5.0000000000000001E-4</v>
      </c>
      <c r="GW48" s="501">
        <v>5.0000000000000001E-4</v>
      </c>
      <c r="GX48" s="501">
        <v>5.0000000000000001E-4</v>
      </c>
      <c r="GY48" s="501">
        <v>5.0000000000000001E-4</v>
      </c>
      <c r="GZ48" s="501">
        <v>5.0000000000000001E-4</v>
      </c>
      <c r="HA48" s="501">
        <v>5.0000000000000001E-4</v>
      </c>
      <c r="HB48" s="501">
        <v>5.0000000000000001E-4</v>
      </c>
      <c r="HC48" s="501">
        <v>5.0000000000000001E-4</v>
      </c>
      <c r="HD48" s="501">
        <v>5.0000000000000001E-4</v>
      </c>
      <c r="HE48" s="501">
        <v>5.0000000000000001E-4</v>
      </c>
      <c r="HF48" s="501">
        <v>5.0000000000000001E-4</v>
      </c>
      <c r="HG48" s="501">
        <v>5.0000000000000001E-4</v>
      </c>
      <c r="HH48" s="501">
        <v>5.0000000000000001E-4</v>
      </c>
      <c r="HI48" s="501">
        <v>5.0000000000000001E-4</v>
      </c>
      <c r="HJ48" s="501">
        <v>5.0000000000000001E-4</v>
      </c>
      <c r="HK48" s="501">
        <v>5.0000000000000001E-4</v>
      </c>
      <c r="HL48" s="501">
        <v>5.0000000000000001E-4</v>
      </c>
      <c r="HM48" s="501">
        <v>5.0000000000000001E-4</v>
      </c>
      <c r="HN48" s="501">
        <v>5.0000000000000001E-4</v>
      </c>
      <c r="HO48" s="501">
        <v>5.0000000000000001E-4</v>
      </c>
      <c r="HP48" s="473">
        <f t="shared" si="12"/>
        <v>0</v>
      </c>
      <c r="HQ48" s="1134"/>
    </row>
    <row r="49" spans="2:226">
      <c r="B49" s="1126" t="s">
        <v>35</v>
      </c>
      <c r="C49" s="733" t="s">
        <v>245</v>
      </c>
      <c r="D49" s="488">
        <v>3.5000000000000003E-2</v>
      </c>
      <c r="E49" s="488">
        <v>3.5000000000000003E-2</v>
      </c>
      <c r="F49" s="488">
        <v>3.5000000000000003E-2</v>
      </c>
      <c r="G49" s="488">
        <v>3.5000000000000003E-2</v>
      </c>
      <c r="H49" s="488">
        <v>3.5000000000000003E-2</v>
      </c>
      <c r="I49" s="488">
        <v>3.5000000000000003E-2</v>
      </c>
      <c r="J49" s="488">
        <v>3.5000000000000003E-2</v>
      </c>
      <c r="K49" s="488">
        <v>3.5000000000000003E-2</v>
      </c>
      <c r="L49" s="488">
        <v>3.5000000000000003E-2</v>
      </c>
      <c r="M49" s="488">
        <v>3.5999999999999997E-2</v>
      </c>
      <c r="N49" s="488">
        <v>3.5999999999999997E-2</v>
      </c>
      <c r="O49" s="494">
        <v>3.5999999999999997E-2</v>
      </c>
      <c r="P49" s="488">
        <v>3.6999999999999998E-2</v>
      </c>
      <c r="Q49" s="488">
        <v>3.6999999999999998E-2</v>
      </c>
      <c r="R49" s="488">
        <v>3.6999999999999998E-2</v>
      </c>
      <c r="S49" s="488">
        <v>3.6999999999999998E-2</v>
      </c>
      <c r="T49" s="494">
        <v>3.6999999999999998E-2</v>
      </c>
      <c r="U49" s="488">
        <v>3.7999999999999999E-2</v>
      </c>
      <c r="V49" s="488">
        <v>3.7999999999999999E-2</v>
      </c>
      <c r="W49" s="503">
        <v>3.7999999999999999E-2</v>
      </c>
      <c r="X49" s="478">
        <v>3.9E-2</v>
      </c>
      <c r="Y49" s="478">
        <v>3.9E-2</v>
      </c>
      <c r="Z49" s="478">
        <v>3.9E-2</v>
      </c>
      <c r="AA49" s="478">
        <v>3.9E-2</v>
      </c>
      <c r="AB49" s="478">
        <v>3.9E-2</v>
      </c>
      <c r="AC49" s="478">
        <v>3.9E-2</v>
      </c>
      <c r="AD49" s="478">
        <v>3.9E-2</v>
      </c>
      <c r="AE49" s="503">
        <v>3.9E-2</v>
      </c>
      <c r="AF49" s="478">
        <v>4.0500000000000001E-2</v>
      </c>
      <c r="AG49" s="478">
        <v>4.0500000000000001E-2</v>
      </c>
      <c r="AH49" s="478">
        <v>4.0500000000000001E-2</v>
      </c>
      <c r="AI49" s="478">
        <v>4.0500000000000001E-2</v>
      </c>
      <c r="AJ49" s="478">
        <v>4.0500000000000001E-2</v>
      </c>
      <c r="AK49" s="478">
        <v>4.0500000000000001E-2</v>
      </c>
      <c r="AL49" s="479">
        <v>4.0500000000000001E-2</v>
      </c>
      <c r="AM49" s="478">
        <v>4.0500000000000001E-2</v>
      </c>
      <c r="AN49" s="478">
        <v>4.0500000000000001E-2</v>
      </c>
      <c r="AO49" s="478">
        <v>4.0500000000000001E-2</v>
      </c>
      <c r="AP49" s="478">
        <v>4.0500000000000001E-2</v>
      </c>
      <c r="AQ49" s="478">
        <v>4.0500000000000001E-2</v>
      </c>
      <c r="AR49" s="478">
        <v>4.0500000000000001E-2</v>
      </c>
      <c r="AS49" s="478">
        <v>4.0500000000000001E-2</v>
      </c>
      <c r="AT49" s="478">
        <v>4.0500000000000001E-2</v>
      </c>
      <c r="AU49" s="478">
        <v>4.0500000000000001E-2</v>
      </c>
      <c r="AV49" s="503">
        <v>4.0500000000000001E-2</v>
      </c>
      <c r="AW49" s="479">
        <v>4.2000000000000003E-2</v>
      </c>
      <c r="AX49" s="479">
        <v>4.2000000000000003E-2</v>
      </c>
      <c r="AY49" s="479">
        <v>4.2000000000000003E-2</v>
      </c>
      <c r="AZ49" s="479">
        <v>4.2000000000000003E-2</v>
      </c>
      <c r="BA49" s="479">
        <v>4.2000000000000003E-2</v>
      </c>
      <c r="BB49" s="479">
        <v>4.2000000000000003E-2</v>
      </c>
      <c r="BC49" s="479">
        <v>4.2000000000000003E-2</v>
      </c>
      <c r="BD49" s="479">
        <v>4.2000000000000003E-2</v>
      </c>
      <c r="BE49" s="479">
        <v>4.2000000000000003E-2</v>
      </c>
      <c r="BF49" s="479">
        <v>4.2000000000000003E-2</v>
      </c>
      <c r="BG49" s="479">
        <v>4.2000000000000003E-2</v>
      </c>
      <c r="BH49" s="479">
        <v>4.2000000000000003E-2</v>
      </c>
      <c r="BI49" s="479">
        <v>4.2000000000000003E-2</v>
      </c>
      <c r="BJ49" s="479">
        <v>4.2000000000000003E-2</v>
      </c>
      <c r="BK49" s="479">
        <v>4.2000000000000003E-2</v>
      </c>
      <c r="BL49" s="479">
        <v>4.2000000000000003E-2</v>
      </c>
      <c r="BM49" s="479">
        <v>4.2000000000000003E-2</v>
      </c>
      <c r="BN49" s="479">
        <v>4.2000000000000003E-2</v>
      </c>
      <c r="BO49" s="479">
        <v>4.2000000000000003E-2</v>
      </c>
      <c r="BP49" s="479">
        <v>4.2000000000000003E-2</v>
      </c>
      <c r="BQ49" s="479">
        <v>4.2000000000000003E-2</v>
      </c>
      <c r="BR49" s="479">
        <v>4.2000000000000003E-2</v>
      </c>
      <c r="BS49" s="479">
        <v>4.2000000000000003E-2</v>
      </c>
      <c r="BT49" s="479">
        <v>4.2000000000000003E-2</v>
      </c>
      <c r="BU49" s="479">
        <v>4.2000000000000003E-2</v>
      </c>
      <c r="BV49" s="479">
        <v>4.2000000000000003E-2</v>
      </c>
      <c r="BW49" s="479">
        <v>4.2000000000000003E-2</v>
      </c>
      <c r="BX49" s="479">
        <v>4.2000000000000003E-2</v>
      </c>
      <c r="BY49" s="479">
        <v>4.2000000000000003E-2</v>
      </c>
      <c r="BZ49" s="479">
        <v>4.2000000000000003E-2</v>
      </c>
      <c r="CA49" s="479">
        <v>4.2000000000000003E-2</v>
      </c>
      <c r="CB49" s="479">
        <v>4.2000000000000003E-2</v>
      </c>
      <c r="CC49" s="479">
        <v>4.2000000000000003E-2</v>
      </c>
      <c r="CD49" s="479">
        <v>4.2000000000000003E-2</v>
      </c>
      <c r="CE49" s="479">
        <v>4.2000000000000003E-2</v>
      </c>
      <c r="CF49" s="479">
        <v>4.2000000000000003E-2</v>
      </c>
      <c r="CG49" s="479">
        <v>4.2000000000000003E-2</v>
      </c>
      <c r="CH49" s="479">
        <v>4.2000000000000003E-2</v>
      </c>
      <c r="CI49" s="479">
        <v>4.2000000000000003E-2</v>
      </c>
      <c r="CJ49" s="479">
        <v>4.2000000000000003E-2</v>
      </c>
      <c r="CK49" s="479">
        <v>4.2000000000000003E-2</v>
      </c>
      <c r="CL49" s="479">
        <v>4.2000000000000003E-2</v>
      </c>
      <c r="CM49" s="479">
        <v>4.2000000000000003E-2</v>
      </c>
      <c r="CN49" s="479">
        <v>4.2000000000000003E-2</v>
      </c>
      <c r="CO49" s="479">
        <v>4.2000000000000003E-2</v>
      </c>
      <c r="CP49" s="479">
        <v>4.2000000000000003E-2</v>
      </c>
      <c r="CQ49" s="479">
        <v>4.2000000000000003E-2</v>
      </c>
      <c r="CR49" s="479">
        <v>4.2000000000000003E-2</v>
      </c>
      <c r="CS49" s="479">
        <v>4.2000000000000003E-2</v>
      </c>
      <c r="CT49" s="479">
        <v>4.2999999999999997E-2</v>
      </c>
      <c r="CU49" s="504">
        <v>4.2999999999999997E-2</v>
      </c>
      <c r="CV49" s="505">
        <v>4.2000000000000003E-2</v>
      </c>
      <c r="CW49" s="505">
        <v>4.2000000000000003E-2</v>
      </c>
      <c r="CX49" s="505">
        <v>4.2000000000000003E-2</v>
      </c>
      <c r="CY49" s="505">
        <v>4.2000000000000003E-2</v>
      </c>
      <c r="CZ49" s="505">
        <v>4.2000000000000003E-2</v>
      </c>
      <c r="DA49" s="505">
        <v>4.2000000000000003E-2</v>
      </c>
      <c r="DB49" s="505">
        <v>4.2000000000000003E-2</v>
      </c>
      <c r="DC49" s="505">
        <v>4.2000000000000003E-2</v>
      </c>
      <c r="DD49" s="505">
        <v>4.2000000000000003E-2</v>
      </c>
      <c r="DE49" s="505">
        <v>4.2000000000000003E-2</v>
      </c>
      <c r="DF49" s="505">
        <v>4.2000000000000003E-2</v>
      </c>
      <c r="DG49" s="505">
        <v>4.2000000000000003E-2</v>
      </c>
      <c r="DH49" s="505">
        <v>4.2000000000000003E-2</v>
      </c>
      <c r="DI49" s="505">
        <v>4.2000000000000003E-2</v>
      </c>
      <c r="DJ49" s="505">
        <v>4.2000000000000003E-2</v>
      </c>
      <c r="DK49" s="505">
        <v>4.2000000000000003E-2</v>
      </c>
      <c r="DL49" s="505">
        <v>4.2000000000000003E-2</v>
      </c>
      <c r="DM49" s="505">
        <v>4.2000000000000003E-2</v>
      </c>
      <c r="DN49" s="505">
        <v>4.2000000000000003E-2</v>
      </c>
      <c r="DO49" s="505">
        <v>4.2000000000000003E-2</v>
      </c>
      <c r="DP49" s="505">
        <v>4.2000000000000003E-2</v>
      </c>
      <c r="DQ49" s="505">
        <v>4.2000000000000003E-2</v>
      </c>
      <c r="DR49" s="505">
        <v>4.2000000000000003E-2</v>
      </c>
      <c r="DS49" s="505">
        <v>4.2000000000000003E-2</v>
      </c>
      <c r="DT49" s="505">
        <v>4.2000000000000003E-2</v>
      </c>
      <c r="DU49" s="505">
        <v>4.2000000000000003E-2</v>
      </c>
      <c r="DV49" s="505">
        <v>4.2000000000000003E-2</v>
      </c>
      <c r="DW49" s="505">
        <v>4.2000000000000003E-2</v>
      </c>
      <c r="DX49" s="505">
        <v>4.2000000000000003E-2</v>
      </c>
      <c r="DY49" s="505">
        <v>4.2000000000000003E-2</v>
      </c>
      <c r="DZ49" s="505">
        <v>4.2000000000000003E-2</v>
      </c>
      <c r="EA49" s="505">
        <v>4.2000000000000003E-2</v>
      </c>
      <c r="EB49" s="505">
        <v>4.2000000000000003E-2</v>
      </c>
      <c r="EC49" s="505">
        <v>4.2000000000000003E-2</v>
      </c>
      <c r="ED49" s="505">
        <v>4.2000000000000003E-2</v>
      </c>
      <c r="EE49" s="505">
        <v>4.2000000000000003E-2</v>
      </c>
      <c r="EF49" s="505">
        <v>4.2000000000000003E-2</v>
      </c>
      <c r="EG49" s="505">
        <v>4.2000000000000003E-2</v>
      </c>
      <c r="EH49" s="505">
        <v>4.2000000000000003E-2</v>
      </c>
      <c r="EI49" s="505">
        <v>4.2000000000000003E-2</v>
      </c>
      <c r="EJ49" s="505">
        <v>4.2000000000000003E-2</v>
      </c>
      <c r="EK49" s="505">
        <v>4.2000000000000003E-2</v>
      </c>
      <c r="EL49" s="505">
        <v>4.2000000000000003E-2</v>
      </c>
      <c r="EM49" s="505">
        <v>4.2000000000000003E-2</v>
      </c>
      <c r="EN49" s="505">
        <v>4.2000000000000003E-2</v>
      </c>
      <c r="EO49" s="505">
        <v>4.2000000000000003E-2</v>
      </c>
      <c r="EP49" s="505">
        <v>4.2000000000000003E-2</v>
      </c>
      <c r="EQ49" s="505">
        <v>4.2000000000000003E-2</v>
      </c>
      <c r="ER49" s="505">
        <v>4.2000000000000003E-2</v>
      </c>
      <c r="ES49" s="505">
        <v>4.2000000000000003E-2</v>
      </c>
      <c r="ET49" s="505">
        <v>4.2000000000000003E-2</v>
      </c>
      <c r="EU49" s="505">
        <v>4.2000000000000003E-2</v>
      </c>
      <c r="EV49" s="505">
        <v>4.2000000000000003E-2</v>
      </c>
      <c r="EW49" s="505">
        <v>4.2000000000000003E-2</v>
      </c>
      <c r="EX49" s="505">
        <v>4.2000000000000003E-2</v>
      </c>
      <c r="EY49" s="505">
        <v>4.2000000000000003E-2</v>
      </c>
      <c r="EZ49" s="505">
        <v>4.2000000000000003E-2</v>
      </c>
      <c r="FA49" s="505">
        <v>4.2000000000000003E-2</v>
      </c>
      <c r="FB49" s="505">
        <v>4.2000000000000003E-2</v>
      </c>
      <c r="FC49" s="505">
        <v>4.2000000000000003E-2</v>
      </c>
      <c r="FD49" s="505">
        <v>4.2000000000000003E-2</v>
      </c>
      <c r="FE49" s="505">
        <v>4.2000000000000003E-2</v>
      </c>
      <c r="FF49" s="505">
        <v>4.2000000000000003E-2</v>
      </c>
      <c r="FG49" s="505">
        <v>4.2000000000000003E-2</v>
      </c>
      <c r="FH49" s="505">
        <v>4.2000000000000003E-2</v>
      </c>
      <c r="FI49" s="505">
        <v>4.2000000000000003E-2</v>
      </c>
      <c r="FJ49" s="505">
        <v>4.2000000000000003E-2</v>
      </c>
      <c r="FK49" s="505">
        <v>4.2000000000000003E-2</v>
      </c>
      <c r="FL49" s="505">
        <v>4.2000000000000003E-2</v>
      </c>
      <c r="FM49" s="505">
        <v>4.2000000000000003E-2</v>
      </c>
      <c r="FN49" s="505">
        <v>4.2000000000000003E-2</v>
      </c>
      <c r="FO49" s="505">
        <v>4.2000000000000003E-2</v>
      </c>
      <c r="FP49" s="505">
        <v>4.2000000000000003E-2</v>
      </c>
      <c r="FQ49" s="505">
        <v>4.2000000000000003E-2</v>
      </c>
      <c r="FR49" s="505">
        <v>4.2000000000000003E-2</v>
      </c>
      <c r="FS49" s="505">
        <v>4.2000000000000003E-2</v>
      </c>
      <c r="FT49" s="505">
        <v>4.2000000000000003E-2</v>
      </c>
      <c r="FU49" s="505">
        <v>4.2000000000000003E-2</v>
      </c>
      <c r="FV49" s="505">
        <v>4.2000000000000003E-2</v>
      </c>
      <c r="FW49" s="505">
        <v>4.2000000000000003E-2</v>
      </c>
      <c r="FX49" s="505">
        <v>4.2000000000000003E-2</v>
      </c>
      <c r="FY49" s="505">
        <v>4.2000000000000003E-2</v>
      </c>
      <c r="FZ49" s="505">
        <v>4.2000000000000003E-2</v>
      </c>
      <c r="GA49" s="505">
        <v>4.2000000000000003E-2</v>
      </c>
      <c r="GB49" s="505">
        <v>4.2000000000000003E-2</v>
      </c>
      <c r="GC49" s="505">
        <v>4.2000000000000003E-2</v>
      </c>
      <c r="GD49" s="505">
        <v>1.9E-2</v>
      </c>
      <c r="GE49" s="505">
        <v>1.9E-2</v>
      </c>
      <c r="GF49" s="505">
        <v>1.9E-2</v>
      </c>
      <c r="GG49" s="505">
        <v>1.9E-2</v>
      </c>
      <c r="GH49" s="505">
        <v>1.9E-2</v>
      </c>
      <c r="GI49" s="505">
        <v>1.9E-2</v>
      </c>
      <c r="GJ49" s="505">
        <v>1.9E-2</v>
      </c>
      <c r="GK49" s="505">
        <v>1.9E-2</v>
      </c>
      <c r="GL49" s="505">
        <v>1.9E-2</v>
      </c>
      <c r="GM49" s="505">
        <v>1.9E-2</v>
      </c>
      <c r="GN49" s="505">
        <v>1.9E-2</v>
      </c>
      <c r="GO49" s="505">
        <v>1.9E-2</v>
      </c>
      <c r="GP49" s="505">
        <v>1.9E-2</v>
      </c>
      <c r="GQ49" s="505">
        <v>1.9E-2</v>
      </c>
      <c r="GR49" s="505">
        <v>1.9E-2</v>
      </c>
      <c r="GS49" s="505">
        <v>1.9E-2</v>
      </c>
      <c r="GT49" s="505">
        <v>1.9E-2</v>
      </c>
      <c r="GU49" s="505">
        <v>1.9E-2</v>
      </c>
      <c r="GV49" s="505">
        <v>1.9E-2</v>
      </c>
      <c r="GW49" s="505">
        <v>1.9E-2</v>
      </c>
      <c r="GX49" s="505">
        <v>1.9E-2</v>
      </c>
      <c r="GY49" s="505">
        <v>1.9E-2</v>
      </c>
      <c r="GZ49" s="505">
        <v>1.9E-2</v>
      </c>
      <c r="HA49" s="505">
        <v>1.9E-2</v>
      </c>
      <c r="HB49" s="505">
        <v>1.9E-2</v>
      </c>
      <c r="HC49" s="505">
        <v>1.9E-2</v>
      </c>
      <c r="HD49" s="505">
        <v>1.9E-2</v>
      </c>
      <c r="HE49" s="505">
        <v>1.9E-2</v>
      </c>
      <c r="HF49" s="505">
        <v>1.9E-2</v>
      </c>
      <c r="HG49" s="505">
        <v>1.9E-2</v>
      </c>
      <c r="HH49" s="505">
        <v>1.9E-2</v>
      </c>
      <c r="HI49" s="505">
        <v>1.9E-2</v>
      </c>
      <c r="HJ49" s="505">
        <v>1.9E-2</v>
      </c>
      <c r="HK49" s="505">
        <v>1.9E-2</v>
      </c>
      <c r="HL49" s="505">
        <v>1.9E-2</v>
      </c>
      <c r="HM49" s="505">
        <v>1.9E-2</v>
      </c>
      <c r="HN49" s="505">
        <v>1.9E-2</v>
      </c>
      <c r="HO49" s="505">
        <v>1.9E-2</v>
      </c>
      <c r="HP49" s="473">
        <f t="shared" si="12"/>
        <v>0</v>
      </c>
      <c r="HQ49" s="499"/>
    </row>
    <row r="50" spans="2:226">
      <c r="B50" s="1128"/>
      <c r="C50" s="733" t="s">
        <v>244</v>
      </c>
      <c r="D50" s="488">
        <v>3.5999999999999997E-2</v>
      </c>
      <c r="E50" s="488">
        <v>3.5999999999999997E-2</v>
      </c>
      <c r="F50" s="488">
        <v>3.5999999999999997E-2</v>
      </c>
      <c r="G50" s="488">
        <v>3.5999999999999997E-2</v>
      </c>
      <c r="H50" s="488">
        <v>3.5999999999999997E-2</v>
      </c>
      <c r="I50" s="488">
        <v>3.5999999999999997E-2</v>
      </c>
      <c r="J50" s="488">
        <v>3.5999999999999997E-2</v>
      </c>
      <c r="K50" s="488">
        <v>3.5999999999999997E-2</v>
      </c>
      <c r="L50" s="488">
        <v>3.5999999999999997E-2</v>
      </c>
      <c r="M50" s="488">
        <v>3.6999999999999998E-2</v>
      </c>
      <c r="N50" s="488">
        <v>3.6999999999999998E-2</v>
      </c>
      <c r="O50" s="494">
        <v>3.6999999999999998E-2</v>
      </c>
      <c r="P50" s="488">
        <v>3.7999999999999999E-2</v>
      </c>
      <c r="Q50" s="488">
        <v>3.7999999999999999E-2</v>
      </c>
      <c r="R50" s="488">
        <v>3.7999999999999999E-2</v>
      </c>
      <c r="S50" s="488">
        <v>3.7999999999999999E-2</v>
      </c>
      <c r="T50" s="494">
        <v>3.7999999999999999E-2</v>
      </c>
      <c r="U50" s="488">
        <v>3.9E-2</v>
      </c>
      <c r="V50" s="488">
        <v>3.9E-2</v>
      </c>
      <c r="W50" s="503">
        <v>3.9E-2</v>
      </c>
      <c r="X50" s="478">
        <v>0.04</v>
      </c>
      <c r="Y50" s="478">
        <v>0.04</v>
      </c>
      <c r="Z50" s="478">
        <v>0.04</v>
      </c>
      <c r="AA50" s="478">
        <v>0.04</v>
      </c>
      <c r="AB50" s="478">
        <v>0.04</v>
      </c>
      <c r="AC50" s="478">
        <v>0.04</v>
      </c>
      <c r="AD50" s="478">
        <v>0.04</v>
      </c>
      <c r="AE50" s="503">
        <v>0.04</v>
      </c>
      <c r="AF50" s="478">
        <v>4.1500000000000002E-2</v>
      </c>
      <c r="AG50" s="478">
        <v>4.1500000000000002E-2</v>
      </c>
      <c r="AH50" s="478">
        <v>4.1500000000000002E-2</v>
      </c>
      <c r="AI50" s="478">
        <v>4.1500000000000002E-2</v>
      </c>
      <c r="AJ50" s="478">
        <v>4.1500000000000002E-2</v>
      </c>
      <c r="AK50" s="478">
        <v>4.1500000000000002E-2</v>
      </c>
      <c r="AL50" s="479">
        <v>4.1500000000000002E-2</v>
      </c>
      <c r="AM50" s="478">
        <v>4.1500000000000002E-2</v>
      </c>
      <c r="AN50" s="478">
        <v>4.1500000000000002E-2</v>
      </c>
      <c r="AO50" s="478">
        <v>4.1500000000000002E-2</v>
      </c>
      <c r="AP50" s="478">
        <v>4.1500000000000002E-2</v>
      </c>
      <c r="AQ50" s="478">
        <v>4.1500000000000002E-2</v>
      </c>
      <c r="AR50" s="478">
        <v>4.1500000000000002E-2</v>
      </c>
      <c r="AS50" s="478">
        <v>4.1500000000000002E-2</v>
      </c>
      <c r="AT50" s="478">
        <v>4.1500000000000002E-2</v>
      </c>
      <c r="AU50" s="478">
        <v>4.1500000000000002E-2</v>
      </c>
      <c r="AV50" s="503">
        <v>4.1500000000000002E-2</v>
      </c>
      <c r="AW50" s="479">
        <v>4.2999999999999997E-2</v>
      </c>
      <c r="AX50" s="479">
        <v>4.2999999999999997E-2</v>
      </c>
      <c r="AY50" s="479">
        <v>4.2999999999999997E-2</v>
      </c>
      <c r="AZ50" s="479">
        <v>4.2999999999999997E-2</v>
      </c>
      <c r="BA50" s="479">
        <v>4.2999999999999997E-2</v>
      </c>
      <c r="BB50" s="479">
        <v>4.2999999999999997E-2</v>
      </c>
      <c r="BC50" s="479">
        <v>4.2999999999999997E-2</v>
      </c>
      <c r="BD50" s="479">
        <v>4.2999999999999997E-2</v>
      </c>
      <c r="BE50" s="479">
        <v>4.2999999999999997E-2</v>
      </c>
      <c r="BF50" s="479">
        <v>4.2999999999999997E-2</v>
      </c>
      <c r="BG50" s="479">
        <v>4.2999999999999997E-2</v>
      </c>
      <c r="BH50" s="479">
        <v>4.2999999999999997E-2</v>
      </c>
      <c r="BI50" s="479">
        <v>4.2999999999999997E-2</v>
      </c>
      <c r="BJ50" s="479">
        <v>4.2999999999999997E-2</v>
      </c>
      <c r="BK50" s="479">
        <v>4.2999999999999997E-2</v>
      </c>
      <c r="BL50" s="479">
        <v>4.2999999999999997E-2</v>
      </c>
      <c r="BM50" s="479">
        <v>4.2999999999999997E-2</v>
      </c>
      <c r="BN50" s="479">
        <v>4.2999999999999997E-2</v>
      </c>
      <c r="BO50" s="479">
        <v>4.2999999999999997E-2</v>
      </c>
      <c r="BP50" s="479">
        <v>4.2999999999999997E-2</v>
      </c>
      <c r="BQ50" s="479">
        <v>4.2999999999999997E-2</v>
      </c>
      <c r="BR50" s="479">
        <v>4.2999999999999997E-2</v>
      </c>
      <c r="BS50" s="479">
        <v>4.2999999999999997E-2</v>
      </c>
      <c r="BT50" s="479">
        <v>4.2999999999999997E-2</v>
      </c>
      <c r="BU50" s="479">
        <v>4.2999999999999997E-2</v>
      </c>
      <c r="BV50" s="479">
        <v>4.2999999999999997E-2</v>
      </c>
      <c r="BW50" s="479">
        <v>4.2999999999999997E-2</v>
      </c>
      <c r="BX50" s="479">
        <v>4.2999999999999997E-2</v>
      </c>
      <c r="BY50" s="479">
        <v>4.2999999999999997E-2</v>
      </c>
      <c r="BZ50" s="479">
        <v>4.2999999999999997E-2</v>
      </c>
      <c r="CA50" s="479">
        <v>4.2999999999999997E-2</v>
      </c>
      <c r="CB50" s="479">
        <v>4.2999999999999997E-2</v>
      </c>
      <c r="CC50" s="479">
        <v>4.2999999999999997E-2</v>
      </c>
      <c r="CD50" s="479">
        <v>4.2999999999999997E-2</v>
      </c>
      <c r="CE50" s="479">
        <v>4.2999999999999997E-2</v>
      </c>
      <c r="CF50" s="479">
        <v>4.2999999999999997E-2</v>
      </c>
      <c r="CG50" s="479">
        <v>4.2999999999999997E-2</v>
      </c>
      <c r="CH50" s="479">
        <v>4.2999999999999997E-2</v>
      </c>
      <c r="CI50" s="479">
        <v>4.2999999999999997E-2</v>
      </c>
      <c r="CJ50" s="479">
        <v>4.2999999999999997E-2</v>
      </c>
      <c r="CK50" s="479">
        <v>4.2999999999999997E-2</v>
      </c>
      <c r="CL50" s="479">
        <v>4.2999999999999997E-2</v>
      </c>
      <c r="CM50" s="479">
        <v>4.2999999999999997E-2</v>
      </c>
      <c r="CN50" s="479">
        <v>4.2999999999999997E-2</v>
      </c>
      <c r="CO50" s="479">
        <v>4.2999999999999997E-2</v>
      </c>
      <c r="CP50" s="479">
        <v>4.2999999999999997E-2</v>
      </c>
      <c r="CQ50" s="479">
        <v>4.2999999999999997E-2</v>
      </c>
      <c r="CR50" s="479">
        <v>4.2999999999999997E-2</v>
      </c>
      <c r="CS50" s="479">
        <v>4.2999999999999997E-2</v>
      </c>
      <c r="CT50" s="479">
        <v>4.2999999999999997E-2</v>
      </c>
      <c r="CU50" s="506">
        <v>4.2999999999999997E-2</v>
      </c>
      <c r="CV50" s="505">
        <v>4.2999999999999997E-2</v>
      </c>
      <c r="CW50" s="505">
        <v>4.2999999999999997E-2</v>
      </c>
      <c r="CX50" s="505">
        <v>4.2999999999999997E-2</v>
      </c>
      <c r="CY50" s="505">
        <v>4.2999999999999997E-2</v>
      </c>
      <c r="CZ50" s="505">
        <v>4.2999999999999997E-2</v>
      </c>
      <c r="DA50" s="505">
        <v>4.2999999999999997E-2</v>
      </c>
      <c r="DB50" s="505">
        <v>4.2999999999999997E-2</v>
      </c>
      <c r="DC50" s="505">
        <v>4.2999999999999997E-2</v>
      </c>
      <c r="DD50" s="505">
        <v>4.2999999999999997E-2</v>
      </c>
      <c r="DE50" s="505">
        <v>4.2999999999999997E-2</v>
      </c>
      <c r="DF50" s="505">
        <v>4.2999999999999997E-2</v>
      </c>
      <c r="DG50" s="505">
        <v>4.2999999999999997E-2</v>
      </c>
      <c r="DH50" s="505">
        <v>4.2999999999999997E-2</v>
      </c>
      <c r="DI50" s="505">
        <v>4.2999999999999997E-2</v>
      </c>
      <c r="DJ50" s="505">
        <v>4.2999999999999997E-2</v>
      </c>
      <c r="DK50" s="505">
        <v>4.2999999999999997E-2</v>
      </c>
      <c r="DL50" s="505">
        <v>4.2999999999999997E-2</v>
      </c>
      <c r="DM50" s="505">
        <v>4.2999999999999997E-2</v>
      </c>
      <c r="DN50" s="505">
        <v>4.2999999999999997E-2</v>
      </c>
      <c r="DO50" s="505">
        <v>4.2999999999999997E-2</v>
      </c>
      <c r="DP50" s="505">
        <v>4.2999999999999997E-2</v>
      </c>
      <c r="DQ50" s="505">
        <v>4.2999999999999997E-2</v>
      </c>
      <c r="DR50" s="505">
        <v>4.2999999999999997E-2</v>
      </c>
      <c r="DS50" s="505">
        <v>4.2999999999999997E-2</v>
      </c>
      <c r="DT50" s="505">
        <v>4.2999999999999997E-2</v>
      </c>
      <c r="DU50" s="505">
        <v>4.2999999999999997E-2</v>
      </c>
      <c r="DV50" s="505">
        <v>4.2999999999999997E-2</v>
      </c>
      <c r="DW50" s="505">
        <v>4.2999999999999997E-2</v>
      </c>
      <c r="DX50" s="505">
        <v>4.2999999999999997E-2</v>
      </c>
      <c r="DY50" s="505">
        <v>4.2999999999999997E-2</v>
      </c>
      <c r="DZ50" s="505">
        <v>4.2999999999999997E-2</v>
      </c>
      <c r="EA50" s="505">
        <v>4.2999999999999997E-2</v>
      </c>
      <c r="EB50" s="505">
        <v>4.2999999999999997E-2</v>
      </c>
      <c r="EC50" s="505">
        <v>4.2999999999999997E-2</v>
      </c>
      <c r="ED50" s="505">
        <v>4.2999999999999997E-2</v>
      </c>
      <c r="EE50" s="505">
        <v>4.2999999999999997E-2</v>
      </c>
      <c r="EF50" s="505">
        <v>4.2999999999999997E-2</v>
      </c>
      <c r="EG50" s="505">
        <v>4.2999999999999997E-2</v>
      </c>
      <c r="EH50" s="505">
        <v>4.2999999999999997E-2</v>
      </c>
      <c r="EI50" s="505">
        <v>4.2999999999999997E-2</v>
      </c>
      <c r="EJ50" s="505">
        <v>4.2999999999999997E-2</v>
      </c>
      <c r="EK50" s="505">
        <v>4.2999999999999997E-2</v>
      </c>
      <c r="EL50" s="505">
        <v>4.2999999999999997E-2</v>
      </c>
      <c r="EM50" s="505">
        <v>4.2999999999999997E-2</v>
      </c>
      <c r="EN50" s="505">
        <v>4.2999999999999997E-2</v>
      </c>
      <c r="EO50" s="505">
        <v>4.2999999999999997E-2</v>
      </c>
      <c r="EP50" s="505">
        <v>4.2999999999999997E-2</v>
      </c>
      <c r="EQ50" s="505">
        <v>4.2999999999999997E-2</v>
      </c>
      <c r="ER50" s="505">
        <v>4.2999999999999997E-2</v>
      </c>
      <c r="ES50" s="505">
        <v>4.2999999999999997E-2</v>
      </c>
      <c r="ET50" s="505">
        <v>4.2999999999999997E-2</v>
      </c>
      <c r="EU50" s="505">
        <v>4.2999999999999997E-2</v>
      </c>
      <c r="EV50" s="505">
        <v>4.2999999999999997E-2</v>
      </c>
      <c r="EW50" s="505">
        <v>4.2999999999999997E-2</v>
      </c>
      <c r="EX50" s="505">
        <v>4.2999999999999997E-2</v>
      </c>
      <c r="EY50" s="505">
        <v>4.2999999999999997E-2</v>
      </c>
      <c r="EZ50" s="505">
        <v>4.2999999999999997E-2</v>
      </c>
      <c r="FA50" s="505">
        <v>4.2999999999999997E-2</v>
      </c>
      <c r="FB50" s="505">
        <v>4.2999999999999997E-2</v>
      </c>
      <c r="FC50" s="505">
        <v>4.2999999999999997E-2</v>
      </c>
      <c r="FD50" s="505">
        <v>4.2999999999999997E-2</v>
      </c>
      <c r="FE50" s="505">
        <v>4.2999999999999997E-2</v>
      </c>
      <c r="FF50" s="505">
        <v>4.2999999999999997E-2</v>
      </c>
      <c r="FG50" s="505">
        <v>4.2999999999999997E-2</v>
      </c>
      <c r="FH50" s="505">
        <v>4.2999999999999997E-2</v>
      </c>
      <c r="FI50" s="505">
        <v>4.2999999999999997E-2</v>
      </c>
      <c r="FJ50" s="505">
        <v>4.2999999999999997E-2</v>
      </c>
      <c r="FK50" s="505">
        <v>4.2999999999999997E-2</v>
      </c>
      <c r="FL50" s="505">
        <v>4.2999999999999997E-2</v>
      </c>
      <c r="FM50" s="505">
        <v>4.2999999999999997E-2</v>
      </c>
      <c r="FN50" s="505">
        <v>4.2999999999999997E-2</v>
      </c>
      <c r="FO50" s="505">
        <v>4.2999999999999997E-2</v>
      </c>
      <c r="FP50" s="505">
        <v>4.2999999999999997E-2</v>
      </c>
      <c r="FQ50" s="505">
        <v>4.2999999999999997E-2</v>
      </c>
      <c r="FR50" s="505">
        <v>4.2999999999999997E-2</v>
      </c>
      <c r="FS50" s="505">
        <v>4.2999999999999997E-2</v>
      </c>
      <c r="FT50" s="505">
        <v>4.2999999999999997E-2</v>
      </c>
      <c r="FU50" s="505">
        <v>4.2999999999999997E-2</v>
      </c>
      <c r="FV50" s="505">
        <v>4.2999999999999997E-2</v>
      </c>
      <c r="FW50" s="505">
        <v>4.2999999999999997E-2</v>
      </c>
      <c r="FX50" s="505">
        <v>4.2999999999999997E-2</v>
      </c>
      <c r="FY50" s="505">
        <v>4.2999999999999997E-2</v>
      </c>
      <c r="FZ50" s="505">
        <v>4.2999999999999997E-2</v>
      </c>
      <c r="GA50" s="505">
        <v>4.2999999999999997E-2</v>
      </c>
      <c r="GB50" s="505">
        <v>4.2999999999999997E-2</v>
      </c>
      <c r="GC50" s="505">
        <v>4.2999999999999997E-2</v>
      </c>
      <c r="GD50" s="505">
        <v>0.02</v>
      </c>
      <c r="GE50" s="505">
        <v>0.02</v>
      </c>
      <c r="GF50" s="505">
        <v>0.02</v>
      </c>
      <c r="GG50" s="505">
        <v>0.02</v>
      </c>
      <c r="GH50" s="505">
        <v>0.02</v>
      </c>
      <c r="GI50" s="505">
        <v>0.02</v>
      </c>
      <c r="GJ50" s="505">
        <v>0.02</v>
      </c>
      <c r="GK50" s="505">
        <v>0.02</v>
      </c>
      <c r="GL50" s="505">
        <v>0.02</v>
      </c>
      <c r="GM50" s="505">
        <v>0.02</v>
      </c>
      <c r="GN50" s="505">
        <v>0.02</v>
      </c>
      <c r="GO50" s="505">
        <v>0.02</v>
      </c>
      <c r="GP50" s="505">
        <v>0.02</v>
      </c>
      <c r="GQ50" s="505">
        <v>0.02</v>
      </c>
      <c r="GR50" s="505">
        <v>0.02</v>
      </c>
      <c r="GS50" s="505">
        <v>0.02</v>
      </c>
      <c r="GT50" s="505">
        <v>0.02</v>
      </c>
      <c r="GU50" s="505">
        <v>0.02</v>
      </c>
      <c r="GV50" s="505">
        <v>0.02</v>
      </c>
      <c r="GW50" s="505">
        <v>0.02</v>
      </c>
      <c r="GX50" s="505">
        <v>0.02</v>
      </c>
      <c r="GY50" s="505">
        <v>0.02</v>
      </c>
      <c r="GZ50" s="505">
        <v>0.02</v>
      </c>
      <c r="HA50" s="505">
        <v>0.02</v>
      </c>
      <c r="HB50" s="505">
        <v>0.02</v>
      </c>
      <c r="HC50" s="505">
        <v>0.02</v>
      </c>
      <c r="HD50" s="505">
        <v>0.02</v>
      </c>
      <c r="HE50" s="505">
        <v>0.02</v>
      </c>
      <c r="HF50" s="505">
        <v>0.02</v>
      </c>
      <c r="HG50" s="505">
        <v>0.02</v>
      </c>
      <c r="HH50" s="505">
        <v>0.02</v>
      </c>
      <c r="HI50" s="505">
        <v>0.02</v>
      </c>
      <c r="HJ50" s="505">
        <v>0.02</v>
      </c>
      <c r="HK50" s="505">
        <v>0.02</v>
      </c>
      <c r="HL50" s="505">
        <v>0.02</v>
      </c>
      <c r="HM50" s="505">
        <v>0.02</v>
      </c>
      <c r="HN50" s="505">
        <v>0.02</v>
      </c>
      <c r="HO50" s="505">
        <v>0.02</v>
      </c>
      <c r="HP50" s="473">
        <f t="shared" si="12"/>
        <v>0</v>
      </c>
      <c r="HQ50" s="507"/>
    </row>
    <row r="51" spans="2:226">
      <c r="B51" s="1148" t="s">
        <v>26</v>
      </c>
      <c r="C51" s="734" t="s">
        <v>243</v>
      </c>
      <c r="D51" s="493">
        <v>3.3799999999999997E-2</v>
      </c>
      <c r="E51" s="493">
        <v>3.3799999999999997E-2</v>
      </c>
      <c r="F51" s="476">
        <v>3.3700000000000001E-2</v>
      </c>
      <c r="G51" s="493">
        <v>3.3700000000000001E-2</v>
      </c>
      <c r="H51" s="493">
        <v>3.3599999999999998E-2</v>
      </c>
      <c r="I51" s="476">
        <v>3.3700000000000001E-2</v>
      </c>
      <c r="J51" s="476">
        <v>3.3700000000000001E-2</v>
      </c>
      <c r="K51" s="493">
        <v>3.3700000000000001E-2</v>
      </c>
      <c r="L51" s="493">
        <v>3.3799999999999997E-2</v>
      </c>
      <c r="M51" s="493">
        <v>3.3700000000000001E-2</v>
      </c>
      <c r="N51" s="493">
        <v>3.4000000000000002E-2</v>
      </c>
      <c r="O51" s="476">
        <v>3.4299999999999997E-2</v>
      </c>
      <c r="P51" s="493">
        <v>3.4299999999999997E-2</v>
      </c>
      <c r="Q51" s="493">
        <v>3.4599999999999999E-2</v>
      </c>
      <c r="R51" s="493">
        <v>3.5299999999999998E-2</v>
      </c>
      <c r="S51" s="493">
        <v>3.6200000000000003E-2</v>
      </c>
      <c r="T51" s="493">
        <v>3.6600000000000001E-2</v>
      </c>
      <c r="U51" s="493">
        <v>3.6499999999999998E-2</v>
      </c>
      <c r="V51" s="493">
        <v>3.7099999999999994E-2</v>
      </c>
      <c r="W51" s="502">
        <v>3.6699999999999997E-2</v>
      </c>
      <c r="X51" s="502">
        <v>3.6999999999999998E-2</v>
      </c>
      <c r="Y51" s="502">
        <v>3.73E-2</v>
      </c>
      <c r="Z51" s="502">
        <v>3.78E-2</v>
      </c>
      <c r="AA51" s="502">
        <v>3.8300000000000001E-2</v>
      </c>
      <c r="AB51" s="502">
        <v>3.8600000000000002E-2</v>
      </c>
      <c r="AC51" s="502">
        <v>3.3399999999999999E-2</v>
      </c>
      <c r="AD51" s="502">
        <v>3.3799999999999997E-2</v>
      </c>
      <c r="AE51" s="502">
        <v>3.4500000000000003E-2</v>
      </c>
      <c r="AF51" s="502">
        <v>3.5200000000000002E-2</v>
      </c>
      <c r="AG51" s="502">
        <v>3.5400000000000001E-2</v>
      </c>
      <c r="AH51" s="500">
        <v>3.5700000000000003E-2</v>
      </c>
      <c r="AI51" s="502">
        <v>3.5499999999999997E-2</v>
      </c>
      <c r="AJ51" s="500">
        <v>3.56E-2</v>
      </c>
      <c r="AK51" s="502">
        <v>3.5499999999999997E-2</v>
      </c>
      <c r="AL51" s="501">
        <v>3.5400000000000001E-2</v>
      </c>
      <c r="AM51" s="502">
        <v>3.5400000000000001E-2</v>
      </c>
      <c r="AN51" s="502">
        <v>3.5299999999999998E-2</v>
      </c>
      <c r="AO51" s="502">
        <v>3.5200000000000002E-2</v>
      </c>
      <c r="AP51" s="502">
        <v>4.02E-2</v>
      </c>
      <c r="AQ51" s="502">
        <v>4.0099999999999997E-2</v>
      </c>
      <c r="AR51" s="502">
        <v>4.02E-2</v>
      </c>
      <c r="AS51" s="500">
        <v>4.0300000000000002E-2</v>
      </c>
      <c r="AT51" s="500">
        <v>4.0300000000000002E-2</v>
      </c>
      <c r="AU51" s="500">
        <v>4.0300000000000002E-2</v>
      </c>
      <c r="AV51" s="502">
        <v>4.0399999999999998E-2</v>
      </c>
      <c r="AW51" s="501">
        <v>4.0099999999999997E-2</v>
      </c>
      <c r="AX51" s="501">
        <v>4.0099999999999997E-2</v>
      </c>
      <c r="AY51" s="501">
        <v>4.0099999999999997E-2</v>
      </c>
      <c r="AZ51" s="501">
        <v>4.0099999999999997E-2</v>
      </c>
      <c r="BA51" s="501">
        <v>4.0099999999999997E-2</v>
      </c>
      <c r="BB51" s="501">
        <v>4.0099999999999997E-2</v>
      </c>
      <c r="BC51" s="501">
        <v>4.0099999999999997E-2</v>
      </c>
      <c r="BD51" s="501">
        <v>0.04</v>
      </c>
      <c r="BE51" s="501">
        <v>0.04</v>
      </c>
      <c r="BF51" s="501">
        <v>0.04</v>
      </c>
      <c r="BG51" s="501">
        <v>3.9600000000000003E-2</v>
      </c>
      <c r="BH51" s="501">
        <v>3.9600000000000003E-2</v>
      </c>
      <c r="BI51" s="501">
        <v>3.9600000000000003E-2</v>
      </c>
      <c r="BJ51" s="501">
        <v>3.9600000000000003E-2</v>
      </c>
      <c r="BK51" s="501">
        <v>3.9600000000000003E-2</v>
      </c>
      <c r="BL51" s="501">
        <v>3.9899999999999998E-2</v>
      </c>
      <c r="BM51" s="501">
        <v>4.0300000000000002E-2</v>
      </c>
      <c r="BN51" s="501">
        <v>4.0300000000000002E-2</v>
      </c>
      <c r="BO51" s="501">
        <v>4.1000000000000002E-2</v>
      </c>
      <c r="BP51" s="501">
        <v>4.2299999999999997E-2</v>
      </c>
      <c r="BQ51" s="501">
        <v>4.2299999999999997E-2</v>
      </c>
      <c r="BR51" s="501">
        <v>4.2799999999999998E-2</v>
      </c>
      <c r="BS51" s="501">
        <v>4.2799999999999998E-2</v>
      </c>
      <c r="BT51" s="501">
        <v>4.3700000000000003E-2</v>
      </c>
      <c r="BU51" s="501">
        <v>4.3700000000000003E-2</v>
      </c>
      <c r="BV51" s="501">
        <v>4.3700000000000003E-2</v>
      </c>
      <c r="BW51" s="501">
        <v>4.4900000000000002E-2</v>
      </c>
      <c r="BX51" s="501">
        <v>4.4900000000000002E-2</v>
      </c>
      <c r="BY51" s="501">
        <v>4.4900000000000002E-2</v>
      </c>
      <c r="BZ51" s="501">
        <v>4.4900000000000002E-2</v>
      </c>
      <c r="CA51" s="501">
        <v>4.5900000000000003E-2</v>
      </c>
      <c r="CB51" s="501">
        <v>4.7399999999999998E-2</v>
      </c>
      <c r="CC51" s="501">
        <v>4.8000000000000001E-2</v>
      </c>
      <c r="CD51" s="501">
        <v>4.9000000000000002E-2</v>
      </c>
      <c r="CE51" s="501">
        <v>4.9599999999999998E-2</v>
      </c>
      <c r="CF51" s="501">
        <v>4.99E-2</v>
      </c>
      <c r="CG51" s="501">
        <v>4.9799999999999997E-2</v>
      </c>
      <c r="CH51" s="501">
        <v>4.99E-2</v>
      </c>
      <c r="CI51" s="501">
        <v>0.05</v>
      </c>
      <c r="CJ51" s="501">
        <v>5.0099999999999999E-2</v>
      </c>
      <c r="CK51" s="501">
        <v>5.0099999999999999E-2</v>
      </c>
      <c r="CL51" s="501">
        <v>5.0099999999999999E-2</v>
      </c>
      <c r="CM51" s="501">
        <v>5.0299999999999997E-2</v>
      </c>
      <c r="CN51" s="501">
        <v>5.0200000000000002E-2</v>
      </c>
      <c r="CO51" s="501">
        <v>5.0099999999999999E-2</v>
      </c>
      <c r="CP51" s="501">
        <v>5.0099999999999999E-2</v>
      </c>
      <c r="CQ51" s="501">
        <v>5.0099999999999999E-2</v>
      </c>
      <c r="CR51" s="501">
        <v>5.0900000000000001E-2</v>
      </c>
      <c r="CS51" s="501">
        <v>5.0599999999999999E-2</v>
      </c>
      <c r="CT51" s="501">
        <v>5.0599999999999999E-2</v>
      </c>
      <c r="CU51" s="484">
        <v>5.0500000000000003E-2</v>
      </c>
      <c r="CV51" s="482">
        <v>5.0599999999999999E-2</v>
      </c>
      <c r="CW51" s="482">
        <v>5.0599999999999999E-2</v>
      </c>
      <c r="CX51" s="482">
        <v>5.0599999999999999E-2</v>
      </c>
      <c r="CY51" s="482">
        <v>5.0599999999999999E-2</v>
      </c>
      <c r="CZ51" s="482">
        <v>5.0700000000000002E-2</v>
      </c>
      <c r="DA51" s="482">
        <v>5.0700000000000002E-2</v>
      </c>
      <c r="DB51" s="482">
        <v>5.0700000000000002E-2</v>
      </c>
      <c r="DC51" s="484">
        <v>5.0599999999999999E-2</v>
      </c>
      <c r="DD51" s="484">
        <v>5.0700000000000002E-2</v>
      </c>
      <c r="DE51" s="482">
        <v>5.0599999999999999E-2</v>
      </c>
      <c r="DF51" s="482">
        <v>5.0599999999999999E-2</v>
      </c>
      <c r="DG51" s="482">
        <v>5.0599999999999999E-2</v>
      </c>
      <c r="DH51" s="482">
        <v>0.05</v>
      </c>
      <c r="DI51" s="482">
        <v>5.0099999999999999E-2</v>
      </c>
      <c r="DJ51" s="482">
        <v>4.9700000000000001E-2</v>
      </c>
      <c r="DK51" s="482">
        <v>4.9799999999999997E-2</v>
      </c>
      <c r="DL51" s="482">
        <v>4.99E-2</v>
      </c>
      <c r="DM51" s="482">
        <v>0.05</v>
      </c>
      <c r="DN51" s="482">
        <v>0.05</v>
      </c>
      <c r="DO51" s="482">
        <v>0.05</v>
      </c>
      <c r="DP51" s="482">
        <v>0.05</v>
      </c>
      <c r="DQ51" s="482">
        <v>5.04E-2</v>
      </c>
      <c r="DR51" s="482">
        <v>5.0299999999999997E-2</v>
      </c>
      <c r="DS51" s="482">
        <v>5.0200000000000002E-2</v>
      </c>
      <c r="DT51" s="482">
        <v>5.0299999999999997E-2</v>
      </c>
      <c r="DU51" s="482">
        <v>5.0299999999999997E-2</v>
      </c>
      <c r="DV51" s="482">
        <v>5.0299999999999997E-2</v>
      </c>
      <c r="DW51" s="482">
        <v>5.04E-2</v>
      </c>
      <c r="DX51" s="482">
        <v>5.0599999999999999E-2</v>
      </c>
      <c r="DY51" s="482">
        <v>5.0299999999999997E-2</v>
      </c>
      <c r="DZ51" s="482">
        <v>5.0500000000000003E-2</v>
      </c>
      <c r="EA51" s="482">
        <v>5.0599999999999999E-2</v>
      </c>
      <c r="EB51" s="482">
        <v>5.0599999999999999E-2</v>
      </c>
      <c r="EC51" s="482">
        <v>5.0599999999999999E-2</v>
      </c>
      <c r="ED51" s="482">
        <v>5.0500000000000003E-2</v>
      </c>
      <c r="EE51" s="482">
        <v>5.04E-2</v>
      </c>
      <c r="EF51" s="482">
        <v>5.0500000000000003E-2</v>
      </c>
      <c r="EG51" s="482">
        <v>5.0500000000000003E-2</v>
      </c>
      <c r="EH51" s="482">
        <v>5.04E-2</v>
      </c>
      <c r="EI51" s="482">
        <v>3.7900000000000003E-2</v>
      </c>
      <c r="EJ51" s="482">
        <v>3.7900000000000003E-2</v>
      </c>
      <c r="EK51" s="482">
        <v>3.7900000000000003E-2</v>
      </c>
      <c r="EL51" s="482">
        <v>3.7900000000000003E-2</v>
      </c>
      <c r="EM51" s="482">
        <v>3.7900000000000003E-2</v>
      </c>
      <c r="EN51" s="482">
        <v>4.7500000000000001E-2</v>
      </c>
      <c r="EO51" s="482">
        <v>4.7699999999999999E-2</v>
      </c>
      <c r="EP51" s="482">
        <v>4.7500000000000001E-2</v>
      </c>
      <c r="EQ51" s="482">
        <v>4.7199999999999999E-2</v>
      </c>
      <c r="ER51" s="482">
        <v>4.6699999999999998E-2</v>
      </c>
      <c r="ES51" s="482">
        <v>4.6100000000000002E-2</v>
      </c>
      <c r="ET51" s="482">
        <v>4.5100000000000001E-2</v>
      </c>
      <c r="EU51" s="482">
        <v>4.4600000000000001E-2</v>
      </c>
      <c r="EV51" s="482">
        <v>4.48E-2</v>
      </c>
      <c r="EW51" s="482">
        <v>4.5199999999999997E-2</v>
      </c>
      <c r="EX51" s="482">
        <v>4.2900000000000001E-2</v>
      </c>
      <c r="EY51" s="482">
        <v>4.3299999999999998E-2</v>
      </c>
      <c r="EZ51" s="482">
        <v>4.2200000000000001E-2</v>
      </c>
      <c r="FA51" s="484">
        <v>4.1700000000000001E-2</v>
      </c>
      <c r="FB51" s="484">
        <v>4.0599999999999997E-2</v>
      </c>
      <c r="FC51" s="477">
        <v>4.0099999999999997E-2</v>
      </c>
      <c r="FD51" s="477">
        <v>3.9899999999999998E-2</v>
      </c>
      <c r="FE51" s="477">
        <v>4.02E-2</v>
      </c>
      <c r="FF51" s="477">
        <v>4.0300000000000002E-2</v>
      </c>
      <c r="FG51" s="477">
        <v>3.9800000000000002E-2</v>
      </c>
      <c r="FH51" s="477">
        <v>3.9300000000000002E-2</v>
      </c>
      <c r="FI51" s="477">
        <v>3.8600000000000002E-2</v>
      </c>
      <c r="FJ51" s="477">
        <v>3.8600000000000002E-2</v>
      </c>
      <c r="FK51" s="477">
        <v>3.8300000000000001E-2</v>
      </c>
      <c r="FL51" s="477">
        <v>3.8699999999999998E-2</v>
      </c>
      <c r="FM51" s="477">
        <v>3.6799999999999999E-2</v>
      </c>
      <c r="FN51" s="477">
        <v>3.5799999999999998E-2</v>
      </c>
      <c r="FO51" s="477">
        <v>3.44E-2</v>
      </c>
      <c r="FP51" s="477">
        <v>3.4000000000000002E-2</v>
      </c>
      <c r="FQ51" s="477">
        <v>3.4000000000000002E-2</v>
      </c>
      <c r="FR51" s="477">
        <v>3.3799999999999997E-2</v>
      </c>
      <c r="FS51" s="477">
        <v>3.15E-2</v>
      </c>
      <c r="FT51" s="477">
        <v>3.1099999999999999E-2</v>
      </c>
      <c r="FU51" s="477">
        <v>3.0599999999999999E-2</v>
      </c>
      <c r="FV51" s="482">
        <v>4.8599999999999997E-2</v>
      </c>
      <c r="FW51" s="482">
        <v>4.8000000000000001E-2</v>
      </c>
      <c r="FX51" s="482">
        <v>4.9799999999999997E-2</v>
      </c>
      <c r="FY51" s="482">
        <v>4.9200000000000001E-2</v>
      </c>
      <c r="FZ51" s="482">
        <v>4.8599999999999997E-2</v>
      </c>
      <c r="GA51" s="482">
        <v>4.8099999999999997E-2</v>
      </c>
      <c r="GB51" s="482">
        <v>4.8000000000000001E-2</v>
      </c>
      <c r="GC51" s="482">
        <v>4.87E-2</v>
      </c>
      <c r="GD51" s="482">
        <v>2.6800000000000001E-2</v>
      </c>
      <c r="GE51" s="482">
        <v>2.6800000000000001E-2</v>
      </c>
      <c r="GF51" s="482">
        <v>2.6800000000000001E-2</v>
      </c>
      <c r="GG51" s="482">
        <v>2.6800000000000001E-2</v>
      </c>
      <c r="GH51" s="482">
        <v>2.6800000000000001E-2</v>
      </c>
      <c r="GI51" s="482">
        <v>2.6800000000000001E-2</v>
      </c>
      <c r="GJ51" s="482">
        <v>2.6800000000000001E-2</v>
      </c>
      <c r="GK51" s="482">
        <v>2.6800000000000001E-2</v>
      </c>
      <c r="GL51" s="482">
        <v>2.6800000000000001E-2</v>
      </c>
      <c r="GM51" s="482">
        <v>2.6800000000000001E-2</v>
      </c>
      <c r="GN51" s="482">
        <v>2.6800000000000001E-2</v>
      </c>
      <c r="GO51" s="482">
        <v>2.6800000000000001E-2</v>
      </c>
      <c r="GP51" s="482">
        <v>2.6800000000000001E-2</v>
      </c>
      <c r="GQ51" s="482">
        <v>2.6800000000000001E-2</v>
      </c>
      <c r="GR51" s="482">
        <v>2.6800000000000001E-2</v>
      </c>
      <c r="GS51" s="482">
        <v>2.6800000000000001E-2</v>
      </c>
      <c r="GT51" s="482">
        <v>2.6800000000000001E-2</v>
      </c>
      <c r="GU51" s="482">
        <v>2.6800000000000001E-2</v>
      </c>
      <c r="GV51" s="482">
        <v>2.6800000000000001E-2</v>
      </c>
      <c r="GW51" s="482">
        <v>2.6800000000000001E-2</v>
      </c>
      <c r="GX51" s="482">
        <v>2.6800000000000001E-2</v>
      </c>
      <c r="GY51" s="482">
        <v>2.6800000000000001E-2</v>
      </c>
      <c r="GZ51" s="482">
        <v>2.6800000000000001E-2</v>
      </c>
      <c r="HA51" s="482">
        <v>2.6800000000000001E-2</v>
      </c>
      <c r="HB51" s="482">
        <v>2.6800000000000001E-2</v>
      </c>
      <c r="HC51" s="482">
        <v>2.6800000000000001E-2</v>
      </c>
      <c r="HD51" s="482">
        <v>2.6800000000000001E-2</v>
      </c>
      <c r="HE51" s="482">
        <v>2.6800000000000001E-2</v>
      </c>
      <c r="HF51" s="482">
        <v>2.6800000000000001E-2</v>
      </c>
      <c r="HG51" s="482">
        <v>2.6800000000000001E-2</v>
      </c>
      <c r="HH51" s="482">
        <v>2.6800000000000001E-2</v>
      </c>
      <c r="HI51" s="482">
        <v>2.6800000000000001E-2</v>
      </c>
      <c r="HJ51" s="482">
        <v>2.6800000000000001E-2</v>
      </c>
      <c r="HK51" s="482">
        <v>2.6800000000000001E-2</v>
      </c>
      <c r="HL51" s="482">
        <v>2.6800000000000001E-2</v>
      </c>
      <c r="HM51" s="482">
        <v>2.6800000000000001E-2</v>
      </c>
      <c r="HN51" s="482">
        <v>2.6800000000000001E-2</v>
      </c>
      <c r="HO51" s="482">
        <v>2.6800000000000001E-2</v>
      </c>
      <c r="HP51" s="473">
        <f t="shared" si="12"/>
        <v>0</v>
      </c>
      <c r="HQ51" s="1135"/>
    </row>
    <row r="52" spans="2:226">
      <c r="B52" s="1148"/>
      <c r="C52" s="734" t="s">
        <v>242</v>
      </c>
      <c r="D52" s="493">
        <v>3.3799999999999997E-2</v>
      </c>
      <c r="E52" s="493">
        <v>3.3799999999999997E-2</v>
      </c>
      <c r="F52" s="476">
        <v>3.3700000000000001E-2</v>
      </c>
      <c r="G52" s="493">
        <v>3.3700000000000001E-2</v>
      </c>
      <c r="H52" s="493">
        <v>3.3599999999999998E-2</v>
      </c>
      <c r="I52" s="476">
        <v>3.3700000000000001E-2</v>
      </c>
      <c r="J52" s="476">
        <v>3.3700000000000001E-2</v>
      </c>
      <c r="K52" s="493">
        <v>3.3700000000000001E-2</v>
      </c>
      <c r="L52" s="493">
        <v>3.3799999999999997E-2</v>
      </c>
      <c r="M52" s="493">
        <v>3.3700000000000001E-2</v>
      </c>
      <c r="N52" s="493">
        <v>3.4000000000000002E-2</v>
      </c>
      <c r="O52" s="476">
        <v>3.4299999999999997E-2</v>
      </c>
      <c r="P52" s="493">
        <v>3.4299999999999997E-2</v>
      </c>
      <c r="Q52" s="493">
        <v>3.4599999999999999E-2</v>
      </c>
      <c r="R52" s="493">
        <v>3.5299999999999998E-2</v>
      </c>
      <c r="S52" s="493">
        <v>3.6200000000000003E-2</v>
      </c>
      <c r="T52" s="493">
        <v>3.6600000000000001E-2</v>
      </c>
      <c r="U52" s="493">
        <v>3.6499999999999998E-2</v>
      </c>
      <c r="V52" s="493">
        <v>3.7099999999999994E-2</v>
      </c>
      <c r="W52" s="502">
        <v>3.6699999999999997E-2</v>
      </c>
      <c r="X52" s="502">
        <v>3.6999999999999998E-2</v>
      </c>
      <c r="Y52" s="502">
        <v>3.73E-2</v>
      </c>
      <c r="Z52" s="502">
        <v>3.78E-2</v>
      </c>
      <c r="AA52" s="502">
        <v>3.8300000000000001E-2</v>
      </c>
      <c r="AB52" s="502">
        <v>3.8600000000000002E-2</v>
      </c>
      <c r="AC52" s="502">
        <v>3.3399999999999999E-2</v>
      </c>
      <c r="AD52" s="502">
        <v>3.3799999999999997E-2</v>
      </c>
      <c r="AE52" s="502">
        <v>3.4500000000000003E-2</v>
      </c>
      <c r="AF52" s="502">
        <v>3.5200000000000002E-2</v>
      </c>
      <c r="AG52" s="502">
        <v>3.5400000000000001E-2</v>
      </c>
      <c r="AH52" s="500">
        <v>3.5700000000000003E-2</v>
      </c>
      <c r="AI52" s="502">
        <v>3.5499999999999997E-2</v>
      </c>
      <c r="AJ52" s="500">
        <v>3.56E-2</v>
      </c>
      <c r="AK52" s="502">
        <v>3.5499999999999997E-2</v>
      </c>
      <c r="AL52" s="501">
        <v>3.5400000000000001E-2</v>
      </c>
      <c r="AM52" s="502">
        <v>3.5400000000000001E-2</v>
      </c>
      <c r="AN52" s="502">
        <v>3.5299999999999998E-2</v>
      </c>
      <c r="AO52" s="502">
        <v>3.5200000000000002E-2</v>
      </c>
      <c r="AP52" s="502">
        <v>4.02E-2</v>
      </c>
      <c r="AQ52" s="502">
        <v>4.0099999999999997E-2</v>
      </c>
      <c r="AR52" s="502">
        <v>4.02E-2</v>
      </c>
      <c r="AS52" s="500">
        <v>4.0300000000000002E-2</v>
      </c>
      <c r="AT52" s="500">
        <v>4.0300000000000002E-2</v>
      </c>
      <c r="AU52" s="500">
        <v>4.0300000000000002E-2</v>
      </c>
      <c r="AV52" s="502">
        <v>4.0399999999999998E-2</v>
      </c>
      <c r="AW52" s="501">
        <v>4.0099999999999997E-2</v>
      </c>
      <c r="AX52" s="501">
        <v>4.0099999999999997E-2</v>
      </c>
      <c r="AY52" s="501">
        <v>4.0099999999999997E-2</v>
      </c>
      <c r="AZ52" s="501">
        <v>4.0099999999999997E-2</v>
      </c>
      <c r="BA52" s="501">
        <v>4.0099999999999997E-2</v>
      </c>
      <c r="BB52" s="501">
        <v>4.0099999999999997E-2</v>
      </c>
      <c r="BC52" s="501">
        <v>4.0099999999999997E-2</v>
      </c>
      <c r="BD52" s="501">
        <v>0.04</v>
      </c>
      <c r="BE52" s="501">
        <v>0.04</v>
      </c>
      <c r="BF52" s="501">
        <v>0.04</v>
      </c>
      <c r="BG52" s="501">
        <v>3.9600000000000003E-2</v>
      </c>
      <c r="BH52" s="501">
        <v>3.9600000000000003E-2</v>
      </c>
      <c r="BI52" s="501">
        <v>3.9600000000000003E-2</v>
      </c>
      <c r="BJ52" s="501">
        <v>3.9600000000000003E-2</v>
      </c>
      <c r="BK52" s="501">
        <v>3.9600000000000003E-2</v>
      </c>
      <c r="BL52" s="501">
        <v>3.9899999999999998E-2</v>
      </c>
      <c r="BM52" s="501">
        <v>4.0300000000000002E-2</v>
      </c>
      <c r="BN52" s="501">
        <v>4.0300000000000002E-2</v>
      </c>
      <c r="BO52" s="501">
        <v>4.1000000000000002E-2</v>
      </c>
      <c r="BP52" s="501">
        <v>4.2299999999999997E-2</v>
      </c>
      <c r="BQ52" s="501">
        <v>4.2299999999999997E-2</v>
      </c>
      <c r="BR52" s="501">
        <v>4.2799999999999998E-2</v>
      </c>
      <c r="BS52" s="501">
        <v>4.2799999999999998E-2</v>
      </c>
      <c r="BT52" s="501">
        <v>4.3700000000000003E-2</v>
      </c>
      <c r="BU52" s="501">
        <v>4.3700000000000003E-2</v>
      </c>
      <c r="BV52" s="501">
        <v>4.3700000000000003E-2</v>
      </c>
      <c r="BW52" s="501">
        <v>4.4900000000000002E-2</v>
      </c>
      <c r="BX52" s="501">
        <v>4.4900000000000002E-2</v>
      </c>
      <c r="BY52" s="501">
        <v>4.4900000000000002E-2</v>
      </c>
      <c r="BZ52" s="501">
        <v>4.4900000000000002E-2</v>
      </c>
      <c r="CA52" s="501">
        <v>4.5900000000000003E-2</v>
      </c>
      <c r="CB52" s="501">
        <v>4.7399999999999998E-2</v>
      </c>
      <c r="CC52" s="501">
        <v>4.8000000000000001E-2</v>
      </c>
      <c r="CD52" s="501">
        <v>4.9000000000000002E-2</v>
      </c>
      <c r="CE52" s="501">
        <v>4.9599999999999998E-2</v>
      </c>
      <c r="CF52" s="501">
        <v>4.99E-2</v>
      </c>
      <c r="CG52" s="501">
        <v>4.9799999999999997E-2</v>
      </c>
      <c r="CH52" s="501">
        <v>4.99E-2</v>
      </c>
      <c r="CI52" s="501">
        <v>0.05</v>
      </c>
      <c r="CJ52" s="501">
        <v>5.0099999999999999E-2</v>
      </c>
      <c r="CK52" s="501">
        <v>5.0099999999999999E-2</v>
      </c>
      <c r="CL52" s="501">
        <v>5.0099999999999999E-2</v>
      </c>
      <c r="CM52" s="501">
        <v>5.0299999999999997E-2</v>
      </c>
      <c r="CN52" s="501">
        <v>5.0200000000000002E-2</v>
      </c>
      <c r="CO52" s="501">
        <v>5.0099999999999999E-2</v>
      </c>
      <c r="CP52" s="501">
        <v>5.0099999999999999E-2</v>
      </c>
      <c r="CQ52" s="501">
        <v>5.0099999999999999E-2</v>
      </c>
      <c r="CR52" s="501">
        <v>5.0900000000000001E-2</v>
      </c>
      <c r="CS52" s="501">
        <v>5.0599999999999999E-2</v>
      </c>
      <c r="CT52" s="501">
        <v>5.0599999999999999E-2</v>
      </c>
      <c r="CU52" s="484">
        <v>5.0500000000000003E-2</v>
      </c>
      <c r="CV52" s="482">
        <v>5.0599999999999999E-2</v>
      </c>
      <c r="CW52" s="482">
        <v>5.0599999999999999E-2</v>
      </c>
      <c r="CX52" s="482">
        <v>5.0599999999999999E-2</v>
      </c>
      <c r="CY52" s="482">
        <v>5.0599999999999999E-2</v>
      </c>
      <c r="CZ52" s="482">
        <v>5.0700000000000002E-2</v>
      </c>
      <c r="DA52" s="482">
        <v>5.0700000000000002E-2</v>
      </c>
      <c r="DB52" s="482">
        <v>5.0700000000000002E-2</v>
      </c>
      <c r="DC52" s="484">
        <v>5.0599999999999999E-2</v>
      </c>
      <c r="DD52" s="484">
        <v>5.0700000000000002E-2</v>
      </c>
      <c r="DE52" s="482">
        <v>5.0599999999999999E-2</v>
      </c>
      <c r="DF52" s="482">
        <v>5.0599999999999999E-2</v>
      </c>
      <c r="DG52" s="482">
        <v>5.0599999999999999E-2</v>
      </c>
      <c r="DH52" s="482">
        <v>0.05</v>
      </c>
      <c r="DI52" s="482">
        <v>5.0099999999999999E-2</v>
      </c>
      <c r="DJ52" s="482">
        <v>4.9700000000000001E-2</v>
      </c>
      <c r="DK52" s="482">
        <v>4.9799999999999997E-2</v>
      </c>
      <c r="DL52" s="482">
        <v>4.99E-2</v>
      </c>
      <c r="DM52" s="482">
        <v>0.05</v>
      </c>
      <c r="DN52" s="482">
        <v>0.05</v>
      </c>
      <c r="DO52" s="482">
        <v>0.05</v>
      </c>
      <c r="DP52" s="482">
        <v>0.05</v>
      </c>
      <c r="DQ52" s="482">
        <v>5.04E-2</v>
      </c>
      <c r="DR52" s="482">
        <v>5.0299999999999997E-2</v>
      </c>
      <c r="DS52" s="482">
        <v>5.0200000000000002E-2</v>
      </c>
      <c r="DT52" s="482">
        <v>5.0299999999999997E-2</v>
      </c>
      <c r="DU52" s="482">
        <v>5.0299999999999997E-2</v>
      </c>
      <c r="DV52" s="482">
        <v>5.0299999999999997E-2</v>
      </c>
      <c r="DW52" s="482">
        <v>5.04E-2</v>
      </c>
      <c r="DX52" s="482">
        <v>5.0599999999999999E-2</v>
      </c>
      <c r="DY52" s="482">
        <v>5.0299999999999997E-2</v>
      </c>
      <c r="DZ52" s="482">
        <v>5.0500000000000003E-2</v>
      </c>
      <c r="EA52" s="482">
        <v>5.0599999999999999E-2</v>
      </c>
      <c r="EB52" s="482">
        <v>5.0599999999999999E-2</v>
      </c>
      <c r="EC52" s="482">
        <v>5.0599999999999999E-2</v>
      </c>
      <c r="ED52" s="482">
        <v>5.0500000000000003E-2</v>
      </c>
      <c r="EE52" s="482">
        <v>5.04E-2</v>
      </c>
      <c r="EF52" s="482">
        <v>5.0500000000000003E-2</v>
      </c>
      <c r="EG52" s="482">
        <v>5.0500000000000003E-2</v>
      </c>
      <c r="EH52" s="482">
        <v>5.04E-2</v>
      </c>
      <c r="EI52" s="482">
        <v>3.7900000000000003E-2</v>
      </c>
      <c r="EJ52" s="482">
        <v>3.7900000000000003E-2</v>
      </c>
      <c r="EK52" s="482">
        <v>3.7900000000000003E-2</v>
      </c>
      <c r="EL52" s="482">
        <v>3.7900000000000003E-2</v>
      </c>
      <c r="EM52" s="482">
        <v>3.7900000000000003E-2</v>
      </c>
      <c r="EN52" s="482">
        <v>4.7500000000000001E-2</v>
      </c>
      <c r="EO52" s="482">
        <v>4.7699999999999999E-2</v>
      </c>
      <c r="EP52" s="482">
        <v>4.7500000000000001E-2</v>
      </c>
      <c r="EQ52" s="482">
        <v>4.7199999999999999E-2</v>
      </c>
      <c r="ER52" s="482">
        <v>4.6699999999999998E-2</v>
      </c>
      <c r="ES52" s="482">
        <v>4.6100000000000002E-2</v>
      </c>
      <c r="ET52" s="482">
        <v>4.5100000000000001E-2</v>
      </c>
      <c r="EU52" s="482">
        <v>4.4600000000000001E-2</v>
      </c>
      <c r="EV52" s="482">
        <v>4.48E-2</v>
      </c>
      <c r="EW52" s="482">
        <v>4.5199999999999997E-2</v>
      </c>
      <c r="EX52" s="482">
        <v>4.2900000000000001E-2</v>
      </c>
      <c r="EY52" s="482">
        <v>4.3299999999999998E-2</v>
      </c>
      <c r="EZ52" s="482">
        <v>4.2200000000000001E-2</v>
      </c>
      <c r="FA52" s="484">
        <v>4.1700000000000001E-2</v>
      </c>
      <c r="FB52" s="484">
        <v>4.0599999999999997E-2</v>
      </c>
      <c r="FC52" s="477">
        <v>4.0099999999999997E-2</v>
      </c>
      <c r="FD52" s="477">
        <v>3.9899999999999998E-2</v>
      </c>
      <c r="FE52" s="477">
        <v>4.02E-2</v>
      </c>
      <c r="FF52" s="477">
        <v>4.0300000000000002E-2</v>
      </c>
      <c r="FG52" s="477">
        <v>3.9800000000000002E-2</v>
      </c>
      <c r="FH52" s="477">
        <v>3.9300000000000002E-2</v>
      </c>
      <c r="FI52" s="477">
        <v>3.8600000000000002E-2</v>
      </c>
      <c r="FJ52" s="477">
        <v>3.8600000000000002E-2</v>
      </c>
      <c r="FK52" s="477">
        <v>3.8300000000000001E-2</v>
      </c>
      <c r="FL52" s="477">
        <v>3.8699999999999998E-2</v>
      </c>
      <c r="FM52" s="477">
        <v>3.6799999999999999E-2</v>
      </c>
      <c r="FN52" s="477">
        <v>3.5799999999999998E-2</v>
      </c>
      <c r="FO52" s="477">
        <v>3.44E-2</v>
      </c>
      <c r="FP52" s="477">
        <v>3.4000000000000002E-2</v>
      </c>
      <c r="FQ52" s="477">
        <v>3.4000000000000002E-2</v>
      </c>
      <c r="FR52" s="477">
        <v>3.3799999999999997E-2</v>
      </c>
      <c r="FS52" s="477">
        <v>3.15E-2</v>
      </c>
      <c r="FT52" s="477">
        <v>3.1099999999999999E-2</v>
      </c>
      <c r="FU52" s="477">
        <v>3.0599999999999999E-2</v>
      </c>
      <c r="FV52" s="482">
        <v>4.8599999999999997E-2</v>
      </c>
      <c r="FW52" s="482">
        <v>4.8000000000000001E-2</v>
      </c>
      <c r="FX52" s="482">
        <v>4.9799999999999997E-2</v>
      </c>
      <c r="FY52" s="482">
        <v>4.9200000000000001E-2</v>
      </c>
      <c r="FZ52" s="482">
        <v>4.8599999999999997E-2</v>
      </c>
      <c r="GA52" s="482">
        <v>4.8099999999999997E-2</v>
      </c>
      <c r="GB52" s="482">
        <v>4.8000000000000001E-2</v>
      </c>
      <c r="GC52" s="482">
        <v>4.87E-2</v>
      </c>
      <c r="GD52" s="482">
        <v>2.6800000000000001E-2</v>
      </c>
      <c r="GE52" s="482">
        <v>2.6800000000000001E-2</v>
      </c>
      <c r="GF52" s="482">
        <v>2.6800000000000001E-2</v>
      </c>
      <c r="GG52" s="482">
        <v>2.6800000000000001E-2</v>
      </c>
      <c r="GH52" s="482">
        <v>2.6800000000000001E-2</v>
      </c>
      <c r="GI52" s="482">
        <v>2.6800000000000001E-2</v>
      </c>
      <c r="GJ52" s="482">
        <v>2.6800000000000001E-2</v>
      </c>
      <c r="GK52" s="482">
        <v>2.6800000000000001E-2</v>
      </c>
      <c r="GL52" s="482">
        <v>2.6800000000000001E-2</v>
      </c>
      <c r="GM52" s="482">
        <v>2.6800000000000001E-2</v>
      </c>
      <c r="GN52" s="482">
        <v>2.6800000000000001E-2</v>
      </c>
      <c r="GO52" s="482">
        <v>2.6800000000000001E-2</v>
      </c>
      <c r="GP52" s="482">
        <v>2.6800000000000001E-2</v>
      </c>
      <c r="GQ52" s="482">
        <v>2.6800000000000001E-2</v>
      </c>
      <c r="GR52" s="482">
        <v>2.6800000000000001E-2</v>
      </c>
      <c r="GS52" s="482">
        <v>2.6800000000000001E-2</v>
      </c>
      <c r="GT52" s="482">
        <v>2.6800000000000001E-2</v>
      </c>
      <c r="GU52" s="482">
        <v>2.6800000000000001E-2</v>
      </c>
      <c r="GV52" s="482">
        <v>2.6800000000000001E-2</v>
      </c>
      <c r="GW52" s="482">
        <v>2.6800000000000001E-2</v>
      </c>
      <c r="GX52" s="482">
        <v>2.6800000000000001E-2</v>
      </c>
      <c r="GY52" s="482">
        <v>2.6800000000000001E-2</v>
      </c>
      <c r="GZ52" s="482">
        <v>2.6800000000000001E-2</v>
      </c>
      <c r="HA52" s="482">
        <v>2.6800000000000001E-2</v>
      </c>
      <c r="HB52" s="482">
        <v>2.6800000000000001E-2</v>
      </c>
      <c r="HC52" s="482">
        <v>2.6800000000000001E-2</v>
      </c>
      <c r="HD52" s="482">
        <v>2.6800000000000001E-2</v>
      </c>
      <c r="HE52" s="482">
        <v>2.6800000000000001E-2</v>
      </c>
      <c r="HF52" s="482">
        <v>2.6800000000000001E-2</v>
      </c>
      <c r="HG52" s="482">
        <v>2.6800000000000001E-2</v>
      </c>
      <c r="HH52" s="482">
        <v>2.6800000000000001E-2</v>
      </c>
      <c r="HI52" s="482">
        <v>2.6800000000000001E-2</v>
      </c>
      <c r="HJ52" s="482">
        <v>2.6800000000000001E-2</v>
      </c>
      <c r="HK52" s="482">
        <v>2.6800000000000001E-2</v>
      </c>
      <c r="HL52" s="482">
        <v>2.6800000000000001E-2</v>
      </c>
      <c r="HM52" s="482">
        <v>2.6800000000000001E-2</v>
      </c>
      <c r="HN52" s="482">
        <v>2.6800000000000001E-2</v>
      </c>
      <c r="HO52" s="482">
        <v>2.6800000000000001E-2</v>
      </c>
      <c r="HP52" s="473">
        <f t="shared" si="12"/>
        <v>0</v>
      </c>
      <c r="HQ52" s="1136"/>
    </row>
    <row r="53" spans="2:226">
      <c r="B53" s="1148"/>
      <c r="C53" s="734" t="s">
        <v>241</v>
      </c>
      <c r="D53" s="493">
        <v>3.3799999999999997E-2</v>
      </c>
      <c r="E53" s="493">
        <v>3.3799999999999997E-2</v>
      </c>
      <c r="F53" s="476">
        <v>3.3700000000000001E-2</v>
      </c>
      <c r="G53" s="493">
        <v>3.3700000000000001E-2</v>
      </c>
      <c r="H53" s="493">
        <v>3.3599999999999998E-2</v>
      </c>
      <c r="I53" s="476">
        <v>3.3700000000000001E-2</v>
      </c>
      <c r="J53" s="476">
        <v>3.3700000000000001E-2</v>
      </c>
      <c r="K53" s="493">
        <v>3.3700000000000001E-2</v>
      </c>
      <c r="L53" s="493">
        <v>3.3799999999999997E-2</v>
      </c>
      <c r="M53" s="493">
        <v>3.3700000000000001E-2</v>
      </c>
      <c r="N53" s="493">
        <v>3.4000000000000002E-2</v>
      </c>
      <c r="O53" s="476">
        <v>3.4299999999999997E-2</v>
      </c>
      <c r="P53" s="493">
        <v>3.4299999999999997E-2</v>
      </c>
      <c r="Q53" s="493">
        <v>3.4599999999999999E-2</v>
      </c>
      <c r="R53" s="493">
        <v>3.5299999999999998E-2</v>
      </c>
      <c r="S53" s="493">
        <v>3.6200000000000003E-2</v>
      </c>
      <c r="T53" s="493">
        <v>3.6600000000000001E-2</v>
      </c>
      <c r="U53" s="493">
        <v>3.6499999999999998E-2</v>
      </c>
      <c r="V53" s="493">
        <v>3.7099999999999994E-2</v>
      </c>
      <c r="W53" s="502">
        <v>3.6699999999999997E-2</v>
      </c>
      <c r="X53" s="502">
        <v>3.6999999999999998E-2</v>
      </c>
      <c r="Y53" s="502">
        <v>3.73E-2</v>
      </c>
      <c r="Z53" s="502">
        <v>3.78E-2</v>
      </c>
      <c r="AA53" s="502">
        <v>3.8300000000000001E-2</v>
      </c>
      <c r="AB53" s="502">
        <v>3.8600000000000002E-2</v>
      </c>
      <c r="AC53" s="502">
        <v>3.3399999999999999E-2</v>
      </c>
      <c r="AD53" s="502">
        <v>3.3799999999999997E-2</v>
      </c>
      <c r="AE53" s="502">
        <v>3.4500000000000003E-2</v>
      </c>
      <c r="AF53" s="502">
        <v>3.5200000000000002E-2</v>
      </c>
      <c r="AG53" s="502">
        <v>3.5400000000000001E-2</v>
      </c>
      <c r="AH53" s="500">
        <v>3.5700000000000003E-2</v>
      </c>
      <c r="AI53" s="502">
        <v>3.5499999999999997E-2</v>
      </c>
      <c r="AJ53" s="500">
        <v>3.56E-2</v>
      </c>
      <c r="AK53" s="502">
        <v>3.5499999999999997E-2</v>
      </c>
      <c r="AL53" s="501">
        <v>3.5400000000000001E-2</v>
      </c>
      <c r="AM53" s="502">
        <v>3.5400000000000001E-2</v>
      </c>
      <c r="AN53" s="502">
        <v>3.5299999999999998E-2</v>
      </c>
      <c r="AO53" s="502">
        <v>3.5200000000000002E-2</v>
      </c>
      <c r="AP53" s="502">
        <v>4.02E-2</v>
      </c>
      <c r="AQ53" s="502">
        <v>4.0099999999999997E-2</v>
      </c>
      <c r="AR53" s="502">
        <v>4.02E-2</v>
      </c>
      <c r="AS53" s="500">
        <v>4.0300000000000002E-2</v>
      </c>
      <c r="AT53" s="500">
        <v>4.0300000000000002E-2</v>
      </c>
      <c r="AU53" s="500">
        <v>4.0300000000000002E-2</v>
      </c>
      <c r="AV53" s="502">
        <v>4.0399999999999998E-2</v>
      </c>
      <c r="AW53" s="501">
        <v>4.0099999999999997E-2</v>
      </c>
      <c r="AX53" s="501">
        <v>4.0099999999999997E-2</v>
      </c>
      <c r="AY53" s="501">
        <v>4.0099999999999997E-2</v>
      </c>
      <c r="AZ53" s="501">
        <v>4.0099999999999997E-2</v>
      </c>
      <c r="BA53" s="501">
        <v>4.0099999999999997E-2</v>
      </c>
      <c r="BB53" s="501">
        <v>4.0099999999999997E-2</v>
      </c>
      <c r="BC53" s="501">
        <v>4.0099999999999997E-2</v>
      </c>
      <c r="BD53" s="501">
        <v>0.04</v>
      </c>
      <c r="BE53" s="501">
        <v>0.04</v>
      </c>
      <c r="BF53" s="501">
        <v>0.04</v>
      </c>
      <c r="BG53" s="501">
        <v>3.9600000000000003E-2</v>
      </c>
      <c r="BH53" s="501">
        <v>3.9600000000000003E-2</v>
      </c>
      <c r="BI53" s="501">
        <v>3.9600000000000003E-2</v>
      </c>
      <c r="BJ53" s="501">
        <v>3.9600000000000003E-2</v>
      </c>
      <c r="BK53" s="501">
        <v>3.9600000000000003E-2</v>
      </c>
      <c r="BL53" s="501">
        <v>3.9899999999999998E-2</v>
      </c>
      <c r="BM53" s="501">
        <v>4.0300000000000002E-2</v>
      </c>
      <c r="BN53" s="501">
        <v>4.0300000000000002E-2</v>
      </c>
      <c r="BO53" s="501">
        <v>4.1000000000000002E-2</v>
      </c>
      <c r="BP53" s="501">
        <v>4.2299999999999997E-2</v>
      </c>
      <c r="BQ53" s="501">
        <v>4.2299999999999997E-2</v>
      </c>
      <c r="BR53" s="501">
        <v>4.2799999999999998E-2</v>
      </c>
      <c r="BS53" s="501">
        <v>4.2799999999999998E-2</v>
      </c>
      <c r="BT53" s="501">
        <v>4.3700000000000003E-2</v>
      </c>
      <c r="BU53" s="501">
        <v>4.3700000000000003E-2</v>
      </c>
      <c r="BV53" s="501">
        <v>4.3700000000000003E-2</v>
      </c>
      <c r="BW53" s="501">
        <v>4.4900000000000002E-2</v>
      </c>
      <c r="BX53" s="501">
        <v>4.4900000000000002E-2</v>
      </c>
      <c r="BY53" s="501">
        <v>4.4900000000000002E-2</v>
      </c>
      <c r="BZ53" s="501">
        <v>4.4900000000000002E-2</v>
      </c>
      <c r="CA53" s="501">
        <v>4.5900000000000003E-2</v>
      </c>
      <c r="CB53" s="501">
        <v>4.7399999999999998E-2</v>
      </c>
      <c r="CC53" s="501">
        <v>4.8000000000000001E-2</v>
      </c>
      <c r="CD53" s="501">
        <v>4.9000000000000002E-2</v>
      </c>
      <c r="CE53" s="501">
        <v>4.9599999999999998E-2</v>
      </c>
      <c r="CF53" s="501">
        <v>4.99E-2</v>
      </c>
      <c r="CG53" s="501">
        <v>4.9799999999999997E-2</v>
      </c>
      <c r="CH53" s="501">
        <v>4.99E-2</v>
      </c>
      <c r="CI53" s="501">
        <v>0.05</v>
      </c>
      <c r="CJ53" s="501">
        <v>5.0099999999999999E-2</v>
      </c>
      <c r="CK53" s="501">
        <v>5.0099999999999999E-2</v>
      </c>
      <c r="CL53" s="501">
        <v>5.0099999999999999E-2</v>
      </c>
      <c r="CM53" s="501">
        <v>5.0299999999999997E-2</v>
      </c>
      <c r="CN53" s="501">
        <v>5.0200000000000002E-2</v>
      </c>
      <c r="CO53" s="501">
        <v>5.0099999999999999E-2</v>
      </c>
      <c r="CP53" s="501">
        <v>5.0099999999999999E-2</v>
      </c>
      <c r="CQ53" s="501">
        <v>5.0099999999999999E-2</v>
      </c>
      <c r="CR53" s="501">
        <v>5.0900000000000001E-2</v>
      </c>
      <c r="CS53" s="501">
        <v>5.0599999999999999E-2</v>
      </c>
      <c r="CT53" s="501">
        <v>5.0599999999999999E-2</v>
      </c>
      <c r="CU53" s="484">
        <v>5.0500000000000003E-2</v>
      </c>
      <c r="CV53" s="482">
        <v>5.0599999999999999E-2</v>
      </c>
      <c r="CW53" s="482">
        <v>5.0599999999999999E-2</v>
      </c>
      <c r="CX53" s="482">
        <v>5.0599999999999999E-2</v>
      </c>
      <c r="CY53" s="482">
        <v>5.0599999999999999E-2</v>
      </c>
      <c r="CZ53" s="482">
        <v>5.0700000000000002E-2</v>
      </c>
      <c r="DA53" s="482">
        <v>5.0700000000000002E-2</v>
      </c>
      <c r="DB53" s="482">
        <v>5.0700000000000002E-2</v>
      </c>
      <c r="DC53" s="484">
        <v>5.0599999999999999E-2</v>
      </c>
      <c r="DD53" s="484">
        <v>5.0700000000000002E-2</v>
      </c>
      <c r="DE53" s="482">
        <v>5.0599999999999999E-2</v>
      </c>
      <c r="DF53" s="482">
        <v>5.0599999999999999E-2</v>
      </c>
      <c r="DG53" s="482">
        <v>5.0599999999999999E-2</v>
      </c>
      <c r="DH53" s="482">
        <v>0.05</v>
      </c>
      <c r="DI53" s="482">
        <v>5.0099999999999999E-2</v>
      </c>
      <c r="DJ53" s="482">
        <v>4.9700000000000001E-2</v>
      </c>
      <c r="DK53" s="482">
        <v>4.9799999999999997E-2</v>
      </c>
      <c r="DL53" s="482">
        <v>4.99E-2</v>
      </c>
      <c r="DM53" s="482">
        <v>0.05</v>
      </c>
      <c r="DN53" s="482">
        <v>0.05</v>
      </c>
      <c r="DO53" s="482">
        <v>0.05</v>
      </c>
      <c r="DP53" s="482">
        <v>0.05</v>
      </c>
      <c r="DQ53" s="482">
        <v>5.04E-2</v>
      </c>
      <c r="DR53" s="482">
        <v>5.0299999999999997E-2</v>
      </c>
      <c r="DS53" s="482">
        <v>5.0200000000000002E-2</v>
      </c>
      <c r="DT53" s="482">
        <v>5.0299999999999997E-2</v>
      </c>
      <c r="DU53" s="482">
        <v>5.0299999999999997E-2</v>
      </c>
      <c r="DV53" s="482">
        <v>5.0299999999999997E-2</v>
      </c>
      <c r="DW53" s="482">
        <v>5.04E-2</v>
      </c>
      <c r="DX53" s="482">
        <v>5.0599999999999999E-2</v>
      </c>
      <c r="DY53" s="482">
        <v>5.0299999999999997E-2</v>
      </c>
      <c r="DZ53" s="482">
        <v>5.0500000000000003E-2</v>
      </c>
      <c r="EA53" s="482">
        <v>5.0599999999999999E-2</v>
      </c>
      <c r="EB53" s="482">
        <v>5.0599999999999999E-2</v>
      </c>
      <c r="EC53" s="482">
        <v>5.0599999999999999E-2</v>
      </c>
      <c r="ED53" s="482">
        <v>5.0500000000000003E-2</v>
      </c>
      <c r="EE53" s="482">
        <v>5.04E-2</v>
      </c>
      <c r="EF53" s="482">
        <v>5.0500000000000003E-2</v>
      </c>
      <c r="EG53" s="482">
        <v>5.0500000000000003E-2</v>
      </c>
      <c r="EH53" s="482">
        <v>5.04E-2</v>
      </c>
      <c r="EI53" s="482">
        <v>3.7900000000000003E-2</v>
      </c>
      <c r="EJ53" s="482">
        <v>3.7900000000000003E-2</v>
      </c>
      <c r="EK53" s="482">
        <v>3.7900000000000003E-2</v>
      </c>
      <c r="EL53" s="482">
        <v>3.7900000000000003E-2</v>
      </c>
      <c r="EM53" s="482">
        <v>3.7900000000000003E-2</v>
      </c>
      <c r="EN53" s="482">
        <v>4.7500000000000001E-2</v>
      </c>
      <c r="EO53" s="482">
        <v>4.7699999999999999E-2</v>
      </c>
      <c r="EP53" s="482">
        <v>4.7500000000000001E-2</v>
      </c>
      <c r="EQ53" s="482">
        <v>4.7199999999999999E-2</v>
      </c>
      <c r="ER53" s="482">
        <v>4.6699999999999998E-2</v>
      </c>
      <c r="ES53" s="482">
        <v>4.6100000000000002E-2</v>
      </c>
      <c r="ET53" s="482">
        <v>4.5100000000000001E-2</v>
      </c>
      <c r="EU53" s="482">
        <v>4.4600000000000001E-2</v>
      </c>
      <c r="EV53" s="482">
        <v>4.48E-2</v>
      </c>
      <c r="EW53" s="482">
        <v>4.5199999999999997E-2</v>
      </c>
      <c r="EX53" s="482">
        <v>4.2900000000000001E-2</v>
      </c>
      <c r="EY53" s="482">
        <v>4.3299999999999998E-2</v>
      </c>
      <c r="EZ53" s="482">
        <v>4.2200000000000001E-2</v>
      </c>
      <c r="FA53" s="484">
        <v>4.1700000000000001E-2</v>
      </c>
      <c r="FB53" s="484">
        <v>4.0599999999999997E-2</v>
      </c>
      <c r="FC53" s="477">
        <v>4.0099999999999997E-2</v>
      </c>
      <c r="FD53" s="477">
        <v>3.9899999999999998E-2</v>
      </c>
      <c r="FE53" s="477">
        <v>4.02E-2</v>
      </c>
      <c r="FF53" s="477">
        <v>4.0300000000000002E-2</v>
      </c>
      <c r="FG53" s="477">
        <v>3.9800000000000002E-2</v>
      </c>
      <c r="FH53" s="477">
        <v>3.9300000000000002E-2</v>
      </c>
      <c r="FI53" s="477">
        <v>3.8600000000000002E-2</v>
      </c>
      <c r="FJ53" s="477">
        <v>3.8600000000000002E-2</v>
      </c>
      <c r="FK53" s="477">
        <v>3.8300000000000001E-2</v>
      </c>
      <c r="FL53" s="477">
        <v>3.8699999999999998E-2</v>
      </c>
      <c r="FM53" s="477">
        <v>3.6799999999999999E-2</v>
      </c>
      <c r="FN53" s="477">
        <v>3.5799999999999998E-2</v>
      </c>
      <c r="FO53" s="477">
        <v>3.44E-2</v>
      </c>
      <c r="FP53" s="477">
        <v>3.4000000000000002E-2</v>
      </c>
      <c r="FQ53" s="477">
        <v>3.4000000000000002E-2</v>
      </c>
      <c r="FR53" s="477">
        <v>3.3799999999999997E-2</v>
      </c>
      <c r="FS53" s="477">
        <v>3.15E-2</v>
      </c>
      <c r="FT53" s="477">
        <v>3.1099999999999999E-2</v>
      </c>
      <c r="FU53" s="477">
        <v>3.0599999999999999E-2</v>
      </c>
      <c r="FV53" s="482">
        <v>4.8599999999999997E-2</v>
      </c>
      <c r="FW53" s="482">
        <v>4.8000000000000001E-2</v>
      </c>
      <c r="FX53" s="482">
        <v>4.9799999999999997E-2</v>
      </c>
      <c r="FY53" s="482">
        <v>4.9200000000000001E-2</v>
      </c>
      <c r="FZ53" s="482">
        <v>4.8599999999999997E-2</v>
      </c>
      <c r="GA53" s="482">
        <v>4.8099999999999997E-2</v>
      </c>
      <c r="GB53" s="482">
        <v>4.8000000000000001E-2</v>
      </c>
      <c r="GC53" s="482">
        <v>4.87E-2</v>
      </c>
      <c r="GD53" s="482">
        <v>2.6800000000000001E-2</v>
      </c>
      <c r="GE53" s="482">
        <v>2.6800000000000001E-2</v>
      </c>
      <c r="GF53" s="482">
        <v>2.6800000000000001E-2</v>
      </c>
      <c r="GG53" s="482">
        <v>2.6800000000000001E-2</v>
      </c>
      <c r="GH53" s="482">
        <v>2.6800000000000001E-2</v>
      </c>
      <c r="GI53" s="482">
        <v>2.6800000000000001E-2</v>
      </c>
      <c r="GJ53" s="482">
        <v>2.6800000000000001E-2</v>
      </c>
      <c r="GK53" s="482">
        <v>2.6800000000000001E-2</v>
      </c>
      <c r="GL53" s="482">
        <v>2.6800000000000001E-2</v>
      </c>
      <c r="GM53" s="482">
        <v>2.6800000000000001E-2</v>
      </c>
      <c r="GN53" s="482">
        <v>2.6800000000000001E-2</v>
      </c>
      <c r="GO53" s="482">
        <v>2.6800000000000001E-2</v>
      </c>
      <c r="GP53" s="482">
        <v>2.6800000000000001E-2</v>
      </c>
      <c r="GQ53" s="482">
        <v>2.6800000000000001E-2</v>
      </c>
      <c r="GR53" s="482">
        <v>2.6800000000000001E-2</v>
      </c>
      <c r="GS53" s="482">
        <v>2.6800000000000001E-2</v>
      </c>
      <c r="GT53" s="482">
        <v>2.6800000000000001E-2</v>
      </c>
      <c r="GU53" s="482">
        <v>2.6800000000000001E-2</v>
      </c>
      <c r="GV53" s="482">
        <v>2.6800000000000001E-2</v>
      </c>
      <c r="GW53" s="482">
        <v>2.6800000000000001E-2</v>
      </c>
      <c r="GX53" s="482">
        <v>2.6800000000000001E-2</v>
      </c>
      <c r="GY53" s="482">
        <v>2.6800000000000001E-2</v>
      </c>
      <c r="GZ53" s="482">
        <v>2.6800000000000001E-2</v>
      </c>
      <c r="HA53" s="482">
        <v>2.6800000000000001E-2</v>
      </c>
      <c r="HB53" s="482">
        <v>2.6800000000000001E-2</v>
      </c>
      <c r="HC53" s="482">
        <v>2.6800000000000001E-2</v>
      </c>
      <c r="HD53" s="482">
        <v>2.6800000000000001E-2</v>
      </c>
      <c r="HE53" s="482">
        <v>2.6800000000000001E-2</v>
      </c>
      <c r="HF53" s="482">
        <v>2.6800000000000001E-2</v>
      </c>
      <c r="HG53" s="482">
        <v>2.6800000000000001E-2</v>
      </c>
      <c r="HH53" s="482">
        <v>2.6800000000000001E-2</v>
      </c>
      <c r="HI53" s="482">
        <v>2.6800000000000001E-2</v>
      </c>
      <c r="HJ53" s="482">
        <v>2.6800000000000001E-2</v>
      </c>
      <c r="HK53" s="482">
        <v>2.6800000000000001E-2</v>
      </c>
      <c r="HL53" s="482">
        <v>2.6800000000000001E-2</v>
      </c>
      <c r="HM53" s="482">
        <v>2.6800000000000001E-2</v>
      </c>
      <c r="HN53" s="482">
        <v>2.6800000000000001E-2</v>
      </c>
      <c r="HO53" s="482">
        <v>2.6800000000000001E-2</v>
      </c>
      <c r="HP53" s="473">
        <f t="shared" si="12"/>
        <v>0</v>
      </c>
      <c r="HQ53" s="1136"/>
    </row>
    <row r="54" spans="2:226">
      <c r="B54" s="1148"/>
      <c r="C54" s="734" t="s">
        <v>219</v>
      </c>
      <c r="D54" s="493">
        <v>3.3799999999999997E-2</v>
      </c>
      <c r="E54" s="493">
        <v>3.3799999999999997E-2</v>
      </c>
      <c r="F54" s="476">
        <v>3.3700000000000001E-2</v>
      </c>
      <c r="G54" s="493">
        <v>3.3700000000000001E-2</v>
      </c>
      <c r="H54" s="493">
        <v>3.3599999999999998E-2</v>
      </c>
      <c r="I54" s="476">
        <v>3.3700000000000001E-2</v>
      </c>
      <c r="J54" s="476">
        <v>3.3700000000000001E-2</v>
      </c>
      <c r="K54" s="493">
        <v>3.3700000000000001E-2</v>
      </c>
      <c r="L54" s="493">
        <v>3.3799999999999997E-2</v>
      </c>
      <c r="M54" s="493">
        <v>3.3700000000000001E-2</v>
      </c>
      <c r="N54" s="493">
        <v>3.4000000000000002E-2</v>
      </c>
      <c r="O54" s="476">
        <v>3.4299999999999997E-2</v>
      </c>
      <c r="P54" s="493">
        <v>3.4299999999999997E-2</v>
      </c>
      <c r="Q54" s="493">
        <v>3.4599999999999999E-2</v>
      </c>
      <c r="R54" s="493">
        <v>3.5299999999999998E-2</v>
      </c>
      <c r="S54" s="493">
        <v>3.6200000000000003E-2</v>
      </c>
      <c r="T54" s="493">
        <v>3.6600000000000001E-2</v>
      </c>
      <c r="U54" s="493">
        <v>3.6499999999999998E-2</v>
      </c>
      <c r="V54" s="493">
        <v>3.7099999999999994E-2</v>
      </c>
      <c r="W54" s="502">
        <v>3.6699999999999997E-2</v>
      </c>
      <c r="X54" s="502">
        <v>3.6999999999999998E-2</v>
      </c>
      <c r="Y54" s="502">
        <v>3.73E-2</v>
      </c>
      <c r="Z54" s="502">
        <v>3.78E-2</v>
      </c>
      <c r="AA54" s="502">
        <v>3.8300000000000001E-2</v>
      </c>
      <c r="AB54" s="502">
        <v>3.8600000000000002E-2</v>
      </c>
      <c r="AC54" s="502">
        <v>3.3399999999999999E-2</v>
      </c>
      <c r="AD54" s="502">
        <v>3.3799999999999997E-2</v>
      </c>
      <c r="AE54" s="502">
        <v>3.4500000000000003E-2</v>
      </c>
      <c r="AF54" s="502">
        <v>3.5200000000000002E-2</v>
      </c>
      <c r="AG54" s="502">
        <v>3.5400000000000001E-2</v>
      </c>
      <c r="AH54" s="500">
        <v>3.5700000000000003E-2</v>
      </c>
      <c r="AI54" s="502">
        <v>3.5499999999999997E-2</v>
      </c>
      <c r="AJ54" s="500">
        <v>3.56E-2</v>
      </c>
      <c r="AK54" s="502">
        <v>3.5499999999999997E-2</v>
      </c>
      <c r="AL54" s="501">
        <v>3.5400000000000001E-2</v>
      </c>
      <c r="AM54" s="502">
        <v>3.5400000000000001E-2</v>
      </c>
      <c r="AN54" s="502">
        <v>3.5299999999999998E-2</v>
      </c>
      <c r="AO54" s="502">
        <v>3.5200000000000002E-2</v>
      </c>
      <c r="AP54" s="502">
        <v>4.02E-2</v>
      </c>
      <c r="AQ54" s="502">
        <v>4.0099999999999997E-2</v>
      </c>
      <c r="AR54" s="502">
        <v>4.02E-2</v>
      </c>
      <c r="AS54" s="500">
        <v>4.0300000000000002E-2</v>
      </c>
      <c r="AT54" s="500">
        <v>4.0300000000000002E-2</v>
      </c>
      <c r="AU54" s="500">
        <v>4.0300000000000002E-2</v>
      </c>
      <c r="AV54" s="502">
        <v>4.0399999999999998E-2</v>
      </c>
      <c r="AW54" s="501">
        <v>4.0099999999999997E-2</v>
      </c>
      <c r="AX54" s="501">
        <v>4.0099999999999997E-2</v>
      </c>
      <c r="AY54" s="501">
        <v>4.0099999999999997E-2</v>
      </c>
      <c r="AZ54" s="501">
        <v>4.0099999999999997E-2</v>
      </c>
      <c r="BA54" s="501">
        <v>4.0099999999999997E-2</v>
      </c>
      <c r="BB54" s="501">
        <v>4.0099999999999997E-2</v>
      </c>
      <c r="BC54" s="501">
        <v>4.0099999999999997E-2</v>
      </c>
      <c r="BD54" s="501">
        <v>0.04</v>
      </c>
      <c r="BE54" s="501">
        <v>0.04</v>
      </c>
      <c r="BF54" s="501">
        <v>0.04</v>
      </c>
      <c r="BG54" s="501">
        <v>3.9600000000000003E-2</v>
      </c>
      <c r="BH54" s="501">
        <v>3.9600000000000003E-2</v>
      </c>
      <c r="BI54" s="501">
        <v>3.9600000000000003E-2</v>
      </c>
      <c r="BJ54" s="501">
        <v>3.9600000000000003E-2</v>
      </c>
      <c r="BK54" s="501">
        <v>3.9600000000000003E-2</v>
      </c>
      <c r="BL54" s="501">
        <v>3.9899999999999998E-2</v>
      </c>
      <c r="BM54" s="501">
        <v>4.0300000000000002E-2</v>
      </c>
      <c r="BN54" s="501">
        <v>4.0300000000000002E-2</v>
      </c>
      <c r="BO54" s="501">
        <v>4.1000000000000002E-2</v>
      </c>
      <c r="BP54" s="501">
        <v>4.2299999999999997E-2</v>
      </c>
      <c r="BQ54" s="501">
        <v>4.2299999999999997E-2</v>
      </c>
      <c r="BR54" s="501">
        <v>4.2799999999999998E-2</v>
      </c>
      <c r="BS54" s="501">
        <v>4.2799999999999998E-2</v>
      </c>
      <c r="BT54" s="501">
        <v>4.3700000000000003E-2</v>
      </c>
      <c r="BU54" s="501">
        <v>4.3700000000000003E-2</v>
      </c>
      <c r="BV54" s="501">
        <v>4.3700000000000003E-2</v>
      </c>
      <c r="BW54" s="501">
        <v>4.4900000000000002E-2</v>
      </c>
      <c r="BX54" s="501">
        <v>4.4900000000000002E-2</v>
      </c>
      <c r="BY54" s="501">
        <v>4.4900000000000002E-2</v>
      </c>
      <c r="BZ54" s="501">
        <v>4.4900000000000002E-2</v>
      </c>
      <c r="CA54" s="501">
        <v>4.5900000000000003E-2</v>
      </c>
      <c r="CB54" s="501">
        <v>4.7399999999999998E-2</v>
      </c>
      <c r="CC54" s="501">
        <v>4.8000000000000001E-2</v>
      </c>
      <c r="CD54" s="501">
        <v>4.9000000000000002E-2</v>
      </c>
      <c r="CE54" s="501">
        <v>4.9599999999999998E-2</v>
      </c>
      <c r="CF54" s="501">
        <v>4.99E-2</v>
      </c>
      <c r="CG54" s="501">
        <v>4.9799999999999997E-2</v>
      </c>
      <c r="CH54" s="501">
        <v>4.99E-2</v>
      </c>
      <c r="CI54" s="501">
        <v>0.05</v>
      </c>
      <c r="CJ54" s="501">
        <v>5.0099999999999999E-2</v>
      </c>
      <c r="CK54" s="501">
        <v>5.0099999999999999E-2</v>
      </c>
      <c r="CL54" s="501">
        <v>5.0099999999999999E-2</v>
      </c>
      <c r="CM54" s="501">
        <v>5.0299999999999997E-2</v>
      </c>
      <c r="CN54" s="501">
        <v>5.0200000000000002E-2</v>
      </c>
      <c r="CO54" s="501">
        <v>5.0099999999999999E-2</v>
      </c>
      <c r="CP54" s="501">
        <v>5.0099999999999999E-2</v>
      </c>
      <c r="CQ54" s="501">
        <v>5.0099999999999999E-2</v>
      </c>
      <c r="CR54" s="501">
        <v>5.0900000000000001E-2</v>
      </c>
      <c r="CS54" s="501">
        <v>5.0599999999999999E-2</v>
      </c>
      <c r="CT54" s="501">
        <v>5.0599999999999999E-2</v>
      </c>
      <c r="CU54" s="484">
        <v>5.0500000000000003E-2</v>
      </c>
      <c r="CV54" s="482">
        <v>5.0599999999999999E-2</v>
      </c>
      <c r="CW54" s="482">
        <v>5.0599999999999999E-2</v>
      </c>
      <c r="CX54" s="482">
        <v>5.0599999999999999E-2</v>
      </c>
      <c r="CY54" s="482">
        <v>5.0599999999999999E-2</v>
      </c>
      <c r="CZ54" s="482">
        <v>5.0700000000000002E-2</v>
      </c>
      <c r="DA54" s="482">
        <v>5.0700000000000002E-2</v>
      </c>
      <c r="DB54" s="482">
        <v>5.0700000000000002E-2</v>
      </c>
      <c r="DC54" s="484">
        <v>5.0599999999999999E-2</v>
      </c>
      <c r="DD54" s="484">
        <v>5.0700000000000002E-2</v>
      </c>
      <c r="DE54" s="482">
        <v>5.0599999999999999E-2</v>
      </c>
      <c r="DF54" s="482">
        <v>5.0599999999999999E-2</v>
      </c>
      <c r="DG54" s="482">
        <v>5.0599999999999999E-2</v>
      </c>
      <c r="DH54" s="482">
        <v>0.05</v>
      </c>
      <c r="DI54" s="482">
        <v>5.0099999999999999E-2</v>
      </c>
      <c r="DJ54" s="482">
        <v>4.9700000000000001E-2</v>
      </c>
      <c r="DK54" s="482">
        <v>4.9799999999999997E-2</v>
      </c>
      <c r="DL54" s="482">
        <v>4.99E-2</v>
      </c>
      <c r="DM54" s="482">
        <v>0.05</v>
      </c>
      <c r="DN54" s="482">
        <v>0.05</v>
      </c>
      <c r="DO54" s="482">
        <v>0.05</v>
      </c>
      <c r="DP54" s="482">
        <v>0.05</v>
      </c>
      <c r="DQ54" s="482">
        <v>5.04E-2</v>
      </c>
      <c r="DR54" s="482">
        <v>5.0299999999999997E-2</v>
      </c>
      <c r="DS54" s="482">
        <v>5.0200000000000002E-2</v>
      </c>
      <c r="DT54" s="482">
        <v>5.0299999999999997E-2</v>
      </c>
      <c r="DU54" s="482">
        <v>5.0299999999999997E-2</v>
      </c>
      <c r="DV54" s="482">
        <v>5.0299999999999997E-2</v>
      </c>
      <c r="DW54" s="482">
        <v>5.04E-2</v>
      </c>
      <c r="DX54" s="482">
        <v>5.0599999999999999E-2</v>
      </c>
      <c r="DY54" s="482">
        <v>5.0299999999999997E-2</v>
      </c>
      <c r="DZ54" s="482">
        <v>5.0500000000000003E-2</v>
      </c>
      <c r="EA54" s="482">
        <v>5.0599999999999999E-2</v>
      </c>
      <c r="EB54" s="482">
        <v>5.0599999999999999E-2</v>
      </c>
      <c r="EC54" s="482">
        <v>5.0599999999999999E-2</v>
      </c>
      <c r="ED54" s="482">
        <v>5.0500000000000003E-2</v>
      </c>
      <c r="EE54" s="482">
        <v>5.04E-2</v>
      </c>
      <c r="EF54" s="482">
        <v>5.0500000000000003E-2</v>
      </c>
      <c r="EG54" s="482">
        <v>5.0500000000000003E-2</v>
      </c>
      <c r="EH54" s="482">
        <v>5.04E-2</v>
      </c>
      <c r="EI54" s="482">
        <v>2.8799999999999999E-2</v>
      </c>
      <c r="EJ54" s="482">
        <v>2.7400000000000001E-2</v>
      </c>
      <c r="EK54" s="482">
        <v>2.6800000000000001E-2</v>
      </c>
      <c r="EL54" s="482">
        <v>2.64E-2</v>
      </c>
      <c r="EM54" s="482">
        <v>2.5000000000000001E-2</v>
      </c>
      <c r="EN54" s="482">
        <v>4.7500000000000001E-2</v>
      </c>
      <c r="EO54" s="482">
        <v>4.7699999999999999E-2</v>
      </c>
      <c r="EP54" s="482">
        <v>4.7500000000000001E-2</v>
      </c>
      <c r="EQ54" s="482">
        <v>4.7199999999999999E-2</v>
      </c>
      <c r="ER54" s="482">
        <v>4.6699999999999998E-2</v>
      </c>
      <c r="ES54" s="482">
        <v>4.6100000000000002E-2</v>
      </c>
      <c r="ET54" s="482">
        <v>4.5100000000000001E-2</v>
      </c>
      <c r="EU54" s="482">
        <v>4.4600000000000001E-2</v>
      </c>
      <c r="EV54" s="482">
        <v>4.48E-2</v>
      </c>
      <c r="EW54" s="482">
        <v>4.5199999999999997E-2</v>
      </c>
      <c r="EX54" s="482">
        <v>4.2900000000000001E-2</v>
      </c>
      <c r="EY54" s="482">
        <v>4.3299999999999998E-2</v>
      </c>
      <c r="EZ54" s="482">
        <v>4.2200000000000001E-2</v>
      </c>
      <c r="FA54" s="484">
        <v>4.1700000000000001E-2</v>
      </c>
      <c r="FB54" s="484">
        <v>4.0599999999999997E-2</v>
      </c>
      <c r="FC54" s="477">
        <v>4.0099999999999997E-2</v>
      </c>
      <c r="FD54" s="477">
        <v>3.9899999999999998E-2</v>
      </c>
      <c r="FE54" s="477">
        <v>4.02E-2</v>
      </c>
      <c r="FF54" s="477">
        <v>4.0300000000000002E-2</v>
      </c>
      <c r="FG54" s="477">
        <v>3.9800000000000002E-2</v>
      </c>
      <c r="FH54" s="477">
        <v>3.9300000000000002E-2</v>
      </c>
      <c r="FI54" s="477">
        <v>3.8600000000000002E-2</v>
      </c>
      <c r="FJ54" s="477">
        <v>3.8600000000000002E-2</v>
      </c>
      <c r="FK54" s="477">
        <v>3.8300000000000001E-2</v>
      </c>
      <c r="FL54" s="477">
        <v>3.8699999999999998E-2</v>
      </c>
      <c r="FM54" s="477">
        <v>3.6799999999999999E-2</v>
      </c>
      <c r="FN54" s="477">
        <v>3.5799999999999998E-2</v>
      </c>
      <c r="FO54" s="477">
        <v>3.44E-2</v>
      </c>
      <c r="FP54" s="477">
        <v>3.4000000000000002E-2</v>
      </c>
      <c r="FQ54" s="477">
        <v>3.4000000000000002E-2</v>
      </c>
      <c r="FR54" s="477">
        <v>3.3799999999999997E-2</v>
      </c>
      <c r="FS54" s="477">
        <v>3.15E-2</v>
      </c>
      <c r="FT54" s="477">
        <v>3.1099999999999999E-2</v>
      </c>
      <c r="FU54" s="477">
        <v>3.0599999999999999E-2</v>
      </c>
      <c r="FV54" s="482">
        <v>4.8599999999999997E-2</v>
      </c>
      <c r="FW54" s="482">
        <v>4.8000000000000001E-2</v>
      </c>
      <c r="FX54" s="482">
        <v>4.9799999999999997E-2</v>
      </c>
      <c r="FY54" s="482">
        <v>4.9200000000000001E-2</v>
      </c>
      <c r="FZ54" s="482">
        <v>4.8599999999999997E-2</v>
      </c>
      <c r="GA54" s="482">
        <v>4.8099999999999997E-2</v>
      </c>
      <c r="GB54" s="482">
        <v>4.8000000000000001E-2</v>
      </c>
      <c r="GC54" s="482">
        <v>4.87E-2</v>
      </c>
      <c r="GD54" s="482">
        <v>2.6800000000000001E-2</v>
      </c>
      <c r="GE54" s="482">
        <v>2.6800000000000001E-2</v>
      </c>
      <c r="GF54" s="482">
        <v>2.6800000000000001E-2</v>
      </c>
      <c r="GG54" s="482">
        <v>2.6800000000000001E-2</v>
      </c>
      <c r="GH54" s="482">
        <v>2.6800000000000001E-2</v>
      </c>
      <c r="GI54" s="482">
        <v>2.6800000000000001E-2</v>
      </c>
      <c r="GJ54" s="482">
        <v>2.6800000000000001E-2</v>
      </c>
      <c r="GK54" s="482">
        <v>2.6800000000000001E-2</v>
      </c>
      <c r="GL54" s="482">
        <v>2.6800000000000001E-2</v>
      </c>
      <c r="GM54" s="482">
        <v>2.6800000000000001E-2</v>
      </c>
      <c r="GN54" s="482">
        <v>2.6800000000000001E-2</v>
      </c>
      <c r="GO54" s="482">
        <v>2.6800000000000001E-2</v>
      </c>
      <c r="GP54" s="482">
        <v>2.6800000000000001E-2</v>
      </c>
      <c r="GQ54" s="482">
        <v>2.6800000000000001E-2</v>
      </c>
      <c r="GR54" s="482">
        <v>2.6800000000000001E-2</v>
      </c>
      <c r="GS54" s="482">
        <v>2.6800000000000001E-2</v>
      </c>
      <c r="GT54" s="482">
        <v>2.6800000000000001E-2</v>
      </c>
      <c r="GU54" s="482">
        <v>2.6800000000000001E-2</v>
      </c>
      <c r="GV54" s="482">
        <v>2.6800000000000001E-2</v>
      </c>
      <c r="GW54" s="482">
        <v>2.6800000000000001E-2</v>
      </c>
      <c r="GX54" s="482">
        <v>2.6800000000000001E-2</v>
      </c>
      <c r="GY54" s="482">
        <v>2.6800000000000001E-2</v>
      </c>
      <c r="GZ54" s="482">
        <v>2.6800000000000001E-2</v>
      </c>
      <c r="HA54" s="482">
        <v>2.6800000000000001E-2</v>
      </c>
      <c r="HB54" s="482">
        <v>2.6800000000000001E-2</v>
      </c>
      <c r="HC54" s="482">
        <v>2.6800000000000001E-2</v>
      </c>
      <c r="HD54" s="482">
        <v>2.6800000000000001E-2</v>
      </c>
      <c r="HE54" s="482">
        <v>2.6800000000000001E-2</v>
      </c>
      <c r="HF54" s="482">
        <v>2.6800000000000001E-2</v>
      </c>
      <c r="HG54" s="482">
        <v>2.6800000000000001E-2</v>
      </c>
      <c r="HH54" s="482">
        <v>2.6800000000000001E-2</v>
      </c>
      <c r="HI54" s="482">
        <v>2.6800000000000001E-2</v>
      </c>
      <c r="HJ54" s="482">
        <v>2.6800000000000001E-2</v>
      </c>
      <c r="HK54" s="482">
        <v>2.6800000000000001E-2</v>
      </c>
      <c r="HL54" s="482">
        <v>2.6800000000000001E-2</v>
      </c>
      <c r="HM54" s="482">
        <v>2.6800000000000001E-2</v>
      </c>
      <c r="HN54" s="482">
        <v>2.6800000000000001E-2</v>
      </c>
      <c r="HO54" s="482">
        <v>2.6800000000000001E-2</v>
      </c>
      <c r="HP54" s="473">
        <f t="shared" si="12"/>
        <v>0</v>
      </c>
      <c r="HQ54" s="1136"/>
    </row>
    <row r="55" spans="2:226">
      <c r="B55" s="1148"/>
      <c r="C55" s="734" t="s">
        <v>240</v>
      </c>
      <c r="D55" s="493">
        <v>3.4799999999999998E-2</v>
      </c>
      <c r="E55" s="493">
        <v>3.4799999999999998E-2</v>
      </c>
      <c r="F55" s="476">
        <v>3.4700000000000002E-2</v>
      </c>
      <c r="G55" s="493">
        <v>3.4700000000000002E-2</v>
      </c>
      <c r="H55" s="493">
        <v>3.4599999999999999E-2</v>
      </c>
      <c r="I55" s="476">
        <v>3.4700000000000002E-2</v>
      </c>
      <c r="J55" s="476">
        <v>3.4700000000000002E-2</v>
      </c>
      <c r="K55" s="493">
        <v>3.4700000000000002E-2</v>
      </c>
      <c r="L55" s="493">
        <v>3.4799999999999998E-2</v>
      </c>
      <c r="M55" s="493">
        <v>3.4700000000000002E-2</v>
      </c>
      <c r="N55" s="493">
        <v>3.5000000000000003E-2</v>
      </c>
      <c r="O55" s="476">
        <v>3.5299999999999998E-2</v>
      </c>
      <c r="P55" s="493">
        <v>3.5299999999999998E-2</v>
      </c>
      <c r="Q55" s="493">
        <v>3.56E-2</v>
      </c>
      <c r="R55" s="493">
        <v>3.6299999999999999E-2</v>
      </c>
      <c r="S55" s="493">
        <v>3.7199999999999997E-2</v>
      </c>
      <c r="T55" s="493">
        <v>3.7600000000000001E-2</v>
      </c>
      <c r="U55" s="493">
        <v>3.7499999999999999E-2</v>
      </c>
      <c r="V55" s="493">
        <v>3.8099999999999995E-2</v>
      </c>
      <c r="W55" s="502">
        <v>3.7699999999999997E-2</v>
      </c>
      <c r="X55" s="502">
        <v>3.7999999999999999E-2</v>
      </c>
      <c r="Y55" s="502">
        <v>3.8300000000000001E-2</v>
      </c>
      <c r="Z55" s="502">
        <v>3.8800000000000001E-2</v>
      </c>
      <c r="AA55" s="502">
        <v>3.9300000000000002E-2</v>
      </c>
      <c r="AB55" s="502">
        <v>3.9600000000000003E-2</v>
      </c>
      <c r="AC55" s="502">
        <v>3.44E-2</v>
      </c>
      <c r="AD55" s="502">
        <v>3.4799999999999998E-2</v>
      </c>
      <c r="AE55" s="502">
        <v>3.5499999999999997E-2</v>
      </c>
      <c r="AF55" s="502">
        <v>3.6200000000000003E-2</v>
      </c>
      <c r="AG55" s="502">
        <v>3.6400000000000002E-2</v>
      </c>
      <c r="AH55" s="500">
        <v>3.6700000000000003E-2</v>
      </c>
      <c r="AI55" s="502">
        <v>3.6499999999999998E-2</v>
      </c>
      <c r="AJ55" s="502">
        <v>3.6600000000000001E-2</v>
      </c>
      <c r="AK55" s="502">
        <v>3.6499999999999998E-2</v>
      </c>
      <c r="AL55" s="501">
        <v>3.6400000000000002E-2</v>
      </c>
      <c r="AM55" s="502">
        <v>3.6400000000000002E-2</v>
      </c>
      <c r="AN55" s="502">
        <v>3.6299999999999999E-2</v>
      </c>
      <c r="AO55" s="502">
        <v>3.6200000000000003E-2</v>
      </c>
      <c r="AP55" s="502">
        <v>4.1200000000000001E-2</v>
      </c>
      <c r="AQ55" s="502">
        <v>4.1099999999999998E-2</v>
      </c>
      <c r="AR55" s="502">
        <v>4.1200000000000001E-2</v>
      </c>
      <c r="AS55" s="500">
        <v>4.1300000000000003E-2</v>
      </c>
      <c r="AT55" s="500">
        <v>4.1300000000000003E-2</v>
      </c>
      <c r="AU55" s="500">
        <v>4.1300000000000003E-2</v>
      </c>
      <c r="AV55" s="502">
        <v>4.1399999999999999E-2</v>
      </c>
      <c r="AW55" s="501">
        <f t="shared" ref="AW55:BC55" si="13">0.1%+AW54</f>
        <v>4.1099999999999998E-2</v>
      </c>
      <c r="AX55" s="501">
        <f t="shared" si="13"/>
        <v>4.1099999999999998E-2</v>
      </c>
      <c r="AY55" s="501">
        <f t="shared" si="13"/>
        <v>4.1099999999999998E-2</v>
      </c>
      <c r="AZ55" s="501">
        <f t="shared" si="13"/>
        <v>4.1099999999999998E-2</v>
      </c>
      <c r="BA55" s="501">
        <f t="shared" si="13"/>
        <v>4.1099999999999998E-2</v>
      </c>
      <c r="BB55" s="501">
        <f t="shared" si="13"/>
        <v>4.1099999999999998E-2</v>
      </c>
      <c r="BC55" s="501">
        <f t="shared" si="13"/>
        <v>4.1099999999999998E-2</v>
      </c>
      <c r="BD55" s="501">
        <v>4.1000000000000002E-2</v>
      </c>
      <c r="BE55" s="501">
        <v>4.1000000000000002E-2</v>
      </c>
      <c r="BF55" s="501">
        <v>4.1000000000000002E-2</v>
      </c>
      <c r="BG55" s="501">
        <v>4.0599999999999997E-2</v>
      </c>
      <c r="BH55" s="501">
        <v>4.0599999999999997E-2</v>
      </c>
      <c r="BI55" s="501">
        <v>4.0599999999999997E-2</v>
      </c>
      <c r="BJ55" s="501">
        <v>4.0599999999999997E-2</v>
      </c>
      <c r="BK55" s="501">
        <v>4.0599999999999997E-2</v>
      </c>
      <c r="BL55" s="501">
        <v>4.0899999999999999E-2</v>
      </c>
      <c r="BM55" s="501">
        <v>4.1300000000000003E-2</v>
      </c>
      <c r="BN55" s="501">
        <v>4.1300000000000003E-2</v>
      </c>
      <c r="BO55" s="501">
        <v>4.2000000000000003E-2</v>
      </c>
      <c r="BP55" s="501">
        <v>4.3299999999999998E-2</v>
      </c>
      <c r="BQ55" s="501">
        <v>4.3299999999999998E-2</v>
      </c>
      <c r="BR55" s="501">
        <v>4.3799999999999999E-2</v>
      </c>
      <c r="BS55" s="501">
        <v>4.3799999999999999E-2</v>
      </c>
      <c r="BT55" s="501">
        <v>4.4699999999999997E-2</v>
      </c>
      <c r="BU55" s="501">
        <v>4.4699999999999997E-2</v>
      </c>
      <c r="BV55" s="501">
        <v>4.4699999999999997E-2</v>
      </c>
      <c r="BW55" s="501">
        <v>4.5900000000000003E-2</v>
      </c>
      <c r="BX55" s="501">
        <v>4.5900000000000003E-2</v>
      </c>
      <c r="BY55" s="501">
        <v>4.5900000000000003E-2</v>
      </c>
      <c r="BZ55" s="501">
        <v>4.5900000000000003E-2</v>
      </c>
      <c r="CA55" s="501">
        <v>4.6899999999999997E-2</v>
      </c>
      <c r="CB55" s="501">
        <v>4.8399999999999999E-2</v>
      </c>
      <c r="CC55" s="501">
        <v>4.9000000000000002E-2</v>
      </c>
      <c r="CD55" s="501">
        <v>0.05</v>
      </c>
      <c r="CE55" s="501">
        <v>5.0599999999999999E-2</v>
      </c>
      <c r="CF55" s="501">
        <v>5.0900000000000001E-2</v>
      </c>
      <c r="CG55" s="501">
        <v>5.0799999999999998E-2</v>
      </c>
      <c r="CH55" s="501">
        <v>5.0900000000000001E-2</v>
      </c>
      <c r="CI55" s="501">
        <v>5.0999999999999997E-2</v>
      </c>
      <c r="CJ55" s="501">
        <v>5.11E-2</v>
      </c>
      <c r="CK55" s="501">
        <v>5.11E-2</v>
      </c>
      <c r="CL55" s="501">
        <v>5.11E-2</v>
      </c>
      <c r="CM55" s="501">
        <v>5.1299999999999998E-2</v>
      </c>
      <c r="CN55" s="501">
        <v>5.1200000000000002E-2</v>
      </c>
      <c r="CO55" s="501">
        <v>5.11E-2</v>
      </c>
      <c r="CP55" s="501">
        <v>5.11E-2</v>
      </c>
      <c r="CQ55" s="501">
        <v>5.11E-2</v>
      </c>
      <c r="CR55" s="501">
        <v>5.1900000000000002E-2</v>
      </c>
      <c r="CS55" s="501">
        <v>5.16E-2</v>
      </c>
      <c r="CT55" s="501">
        <v>5.16E-2</v>
      </c>
      <c r="CU55" s="484">
        <v>5.1499999999999997E-2</v>
      </c>
      <c r="CV55" s="482">
        <v>5.16E-2</v>
      </c>
      <c r="CW55" s="482">
        <v>5.16E-2</v>
      </c>
      <c r="CX55" s="482">
        <v>5.16E-2</v>
      </c>
      <c r="CY55" s="482">
        <v>5.16E-2</v>
      </c>
      <c r="CZ55" s="482">
        <v>5.1700000000000003E-2</v>
      </c>
      <c r="DA55" s="482">
        <v>5.1700000000000003E-2</v>
      </c>
      <c r="DB55" s="482">
        <v>5.1700000000000003E-2</v>
      </c>
      <c r="DC55" s="484">
        <v>5.16E-2</v>
      </c>
      <c r="DD55" s="484">
        <v>5.1700000000000003E-2</v>
      </c>
      <c r="DE55" s="482">
        <v>5.16E-2</v>
      </c>
      <c r="DF55" s="482">
        <v>5.16E-2</v>
      </c>
      <c r="DG55" s="482">
        <v>5.16E-2</v>
      </c>
      <c r="DH55" s="482">
        <v>5.0999999999999997E-2</v>
      </c>
      <c r="DI55" s="482">
        <v>5.11E-2</v>
      </c>
      <c r="DJ55" s="482">
        <v>5.0700000000000002E-2</v>
      </c>
      <c r="DK55" s="482">
        <v>5.0799999999999998E-2</v>
      </c>
      <c r="DL55" s="482">
        <v>5.0900000000000001E-2</v>
      </c>
      <c r="DM55" s="482">
        <v>5.0999999999999997E-2</v>
      </c>
      <c r="DN55" s="482">
        <v>5.0999999999999997E-2</v>
      </c>
      <c r="DO55" s="482">
        <v>5.0999999999999997E-2</v>
      </c>
      <c r="DP55" s="482">
        <v>5.0999999999999997E-2</v>
      </c>
      <c r="DQ55" s="482">
        <v>5.1400000000000001E-2</v>
      </c>
      <c r="DR55" s="482">
        <v>5.1299999999999998E-2</v>
      </c>
      <c r="DS55" s="482">
        <v>5.1200000000000002E-2</v>
      </c>
      <c r="DT55" s="482">
        <v>5.1299999999999998E-2</v>
      </c>
      <c r="DU55" s="482">
        <v>5.1299999999999998E-2</v>
      </c>
      <c r="DV55" s="482">
        <v>5.1299999999999998E-2</v>
      </c>
      <c r="DW55" s="482">
        <v>5.1400000000000001E-2</v>
      </c>
      <c r="DX55" s="482">
        <v>5.16E-2</v>
      </c>
      <c r="DY55" s="482">
        <v>5.1299999999999998E-2</v>
      </c>
      <c r="DZ55" s="482">
        <v>5.1499999999999997E-2</v>
      </c>
      <c r="EA55" s="482">
        <v>5.16E-2</v>
      </c>
      <c r="EB55" s="482">
        <v>5.16E-2</v>
      </c>
      <c r="EC55" s="482">
        <v>5.16E-2</v>
      </c>
      <c r="ED55" s="482">
        <v>5.1499999999999997E-2</v>
      </c>
      <c r="EE55" s="482">
        <v>5.1400000000000001E-2</v>
      </c>
      <c r="EF55" s="482">
        <v>5.1499999999999997E-2</v>
      </c>
      <c r="EG55" s="482">
        <v>5.1499999999999997E-2</v>
      </c>
      <c r="EH55" s="482">
        <v>5.1400000000000001E-2</v>
      </c>
      <c r="EI55" s="482">
        <v>3.1300000000000001E-2</v>
      </c>
      <c r="EJ55" s="482">
        <v>2.9899999999999999E-2</v>
      </c>
      <c r="EK55" s="482">
        <v>2.93E-2</v>
      </c>
      <c r="EL55" s="482">
        <v>2.64E-2</v>
      </c>
      <c r="EM55" s="482">
        <v>2.5000000000000001E-2</v>
      </c>
      <c r="EN55" s="482">
        <v>4.8500000000000001E-2</v>
      </c>
      <c r="EO55" s="482">
        <v>4.87E-2</v>
      </c>
      <c r="EP55" s="482">
        <v>4.8500000000000001E-2</v>
      </c>
      <c r="EQ55" s="482">
        <v>4.82E-2</v>
      </c>
      <c r="ER55" s="482">
        <v>4.7699999999999999E-2</v>
      </c>
      <c r="ES55" s="482">
        <v>4.7100000000000003E-2</v>
      </c>
      <c r="ET55" s="482">
        <v>4.6100000000000002E-2</v>
      </c>
      <c r="EU55" s="482">
        <v>4.5600000000000002E-2</v>
      </c>
      <c r="EV55" s="482">
        <v>4.58E-2</v>
      </c>
      <c r="EW55" s="482">
        <v>4.6199999999999998E-2</v>
      </c>
      <c r="EX55" s="482">
        <v>4.5400000000000003E-2</v>
      </c>
      <c r="EY55" s="482">
        <v>4.58E-2</v>
      </c>
      <c r="EZ55" s="482">
        <v>4.4699999999999997E-2</v>
      </c>
      <c r="FA55" s="484">
        <v>4.4200000000000003E-2</v>
      </c>
      <c r="FB55" s="484">
        <v>4.3099999999999999E-2</v>
      </c>
      <c r="FC55" s="477">
        <v>4.2599999999999999E-2</v>
      </c>
      <c r="FD55" s="477">
        <v>4.24E-2</v>
      </c>
      <c r="FE55" s="477">
        <v>4.2700000000000002E-2</v>
      </c>
      <c r="FF55" s="477">
        <v>4.2799999999999998E-2</v>
      </c>
      <c r="FG55" s="477">
        <v>4.2299999999999997E-2</v>
      </c>
      <c r="FH55" s="477">
        <v>4.1799999999999997E-2</v>
      </c>
      <c r="FI55" s="477">
        <v>4.1099999999999998E-2</v>
      </c>
      <c r="FJ55" s="477">
        <v>4.1099999999999998E-2</v>
      </c>
      <c r="FK55" s="477">
        <v>4.0800000000000003E-2</v>
      </c>
      <c r="FL55" s="477">
        <v>4.1200000000000001E-2</v>
      </c>
      <c r="FM55" s="477">
        <v>3.9300000000000002E-2</v>
      </c>
      <c r="FN55" s="477">
        <v>3.8300000000000001E-2</v>
      </c>
      <c r="FO55" s="477">
        <v>3.6900000000000002E-2</v>
      </c>
      <c r="FP55" s="477">
        <v>3.6499999999999998E-2</v>
      </c>
      <c r="FQ55" s="477">
        <v>3.6499999999999998E-2</v>
      </c>
      <c r="FR55" s="477">
        <v>3.6299999999999999E-2</v>
      </c>
      <c r="FS55" s="477">
        <v>3.4000000000000002E-2</v>
      </c>
      <c r="FT55" s="477">
        <v>3.3599999999999998E-2</v>
      </c>
      <c r="FU55" s="477">
        <v>3.3099999999999997E-2</v>
      </c>
      <c r="FV55" s="482">
        <v>4.9599999999999998E-2</v>
      </c>
      <c r="FW55" s="482">
        <v>4.9000000000000002E-2</v>
      </c>
      <c r="FX55" s="482">
        <v>5.0799999999999998E-2</v>
      </c>
      <c r="FY55" s="482">
        <v>5.0200000000000002E-2</v>
      </c>
      <c r="FZ55" s="482">
        <v>4.9599999999999998E-2</v>
      </c>
      <c r="GA55" s="482">
        <v>4.9099999999999998E-2</v>
      </c>
      <c r="GB55" s="482">
        <v>4.9000000000000002E-2</v>
      </c>
      <c r="GC55" s="482">
        <v>4.9700000000000001E-2</v>
      </c>
      <c r="GD55" s="482">
        <v>2.93E-2</v>
      </c>
      <c r="GE55" s="482">
        <v>2.93E-2</v>
      </c>
      <c r="GF55" s="482">
        <v>2.93E-2</v>
      </c>
      <c r="GG55" s="482">
        <v>2.93E-2</v>
      </c>
      <c r="GH55" s="482">
        <v>2.93E-2</v>
      </c>
      <c r="GI55" s="482">
        <v>2.93E-2</v>
      </c>
      <c r="GJ55" s="482">
        <v>2.93E-2</v>
      </c>
      <c r="GK55" s="482">
        <v>2.93E-2</v>
      </c>
      <c r="GL55" s="482">
        <v>2.93E-2</v>
      </c>
      <c r="GM55" s="482">
        <v>2.93E-2</v>
      </c>
      <c r="GN55" s="482">
        <v>2.93E-2</v>
      </c>
      <c r="GO55" s="482">
        <v>2.93E-2</v>
      </c>
      <c r="GP55" s="482">
        <v>2.93E-2</v>
      </c>
      <c r="GQ55" s="482">
        <v>2.93E-2</v>
      </c>
      <c r="GR55" s="482">
        <v>2.93E-2</v>
      </c>
      <c r="GS55" s="482">
        <v>2.93E-2</v>
      </c>
      <c r="GT55" s="482">
        <v>2.93E-2</v>
      </c>
      <c r="GU55" s="482">
        <v>2.93E-2</v>
      </c>
      <c r="GV55" s="482">
        <v>2.93E-2</v>
      </c>
      <c r="GW55" s="482">
        <v>2.93E-2</v>
      </c>
      <c r="GX55" s="482">
        <v>2.93E-2</v>
      </c>
      <c r="GY55" s="482">
        <v>2.93E-2</v>
      </c>
      <c r="GZ55" s="482">
        <v>2.93E-2</v>
      </c>
      <c r="HA55" s="482">
        <v>2.93E-2</v>
      </c>
      <c r="HB55" s="482">
        <v>2.93E-2</v>
      </c>
      <c r="HC55" s="482">
        <v>2.93E-2</v>
      </c>
      <c r="HD55" s="482">
        <v>2.93E-2</v>
      </c>
      <c r="HE55" s="482">
        <v>2.93E-2</v>
      </c>
      <c r="HF55" s="482">
        <v>2.93E-2</v>
      </c>
      <c r="HG55" s="482">
        <v>2.93E-2</v>
      </c>
      <c r="HH55" s="482">
        <v>2.93E-2</v>
      </c>
      <c r="HI55" s="482">
        <v>2.93E-2</v>
      </c>
      <c r="HJ55" s="482">
        <v>2.93E-2</v>
      </c>
      <c r="HK55" s="482">
        <v>2.93E-2</v>
      </c>
      <c r="HL55" s="482">
        <v>2.93E-2</v>
      </c>
      <c r="HM55" s="482">
        <v>2.93E-2</v>
      </c>
      <c r="HN55" s="482">
        <v>2.93E-2</v>
      </c>
      <c r="HO55" s="482">
        <v>2.93E-2</v>
      </c>
      <c r="HP55" s="473">
        <f t="shared" si="12"/>
        <v>0</v>
      </c>
      <c r="HQ55" s="1136"/>
    </row>
    <row r="56" spans="2:226">
      <c r="B56" s="1148"/>
      <c r="C56" s="734" t="s">
        <v>239</v>
      </c>
      <c r="D56" s="493">
        <v>3.4799999999999998E-2</v>
      </c>
      <c r="E56" s="493">
        <v>3.4799999999999998E-2</v>
      </c>
      <c r="F56" s="476">
        <v>3.4700000000000002E-2</v>
      </c>
      <c r="G56" s="493">
        <v>3.4700000000000002E-2</v>
      </c>
      <c r="H56" s="493">
        <v>3.4599999999999999E-2</v>
      </c>
      <c r="I56" s="476">
        <v>3.4700000000000002E-2</v>
      </c>
      <c r="J56" s="476">
        <v>3.4700000000000002E-2</v>
      </c>
      <c r="K56" s="493">
        <v>3.4700000000000002E-2</v>
      </c>
      <c r="L56" s="493">
        <v>3.4799999999999998E-2</v>
      </c>
      <c r="M56" s="493">
        <v>3.4700000000000002E-2</v>
      </c>
      <c r="N56" s="493">
        <v>3.5000000000000003E-2</v>
      </c>
      <c r="O56" s="476">
        <v>3.5299999999999998E-2</v>
      </c>
      <c r="P56" s="493">
        <v>3.5299999999999998E-2</v>
      </c>
      <c r="Q56" s="493">
        <v>3.56E-2</v>
      </c>
      <c r="R56" s="493">
        <v>3.6299999999999999E-2</v>
      </c>
      <c r="S56" s="493">
        <v>3.7199999999999997E-2</v>
      </c>
      <c r="T56" s="493">
        <v>3.7600000000000001E-2</v>
      </c>
      <c r="U56" s="493">
        <v>3.7499999999999999E-2</v>
      </c>
      <c r="V56" s="493">
        <v>3.8099999999999995E-2</v>
      </c>
      <c r="W56" s="502">
        <v>3.7699999999999997E-2</v>
      </c>
      <c r="X56" s="502">
        <v>3.7999999999999999E-2</v>
      </c>
      <c r="Y56" s="502">
        <v>3.8300000000000001E-2</v>
      </c>
      <c r="Z56" s="502">
        <v>3.8800000000000001E-2</v>
      </c>
      <c r="AA56" s="502">
        <v>3.9300000000000002E-2</v>
      </c>
      <c r="AB56" s="502">
        <v>3.9600000000000003E-2</v>
      </c>
      <c r="AC56" s="502">
        <v>3.44E-2</v>
      </c>
      <c r="AD56" s="502">
        <v>3.4799999999999998E-2</v>
      </c>
      <c r="AE56" s="502">
        <v>3.5499999999999997E-2</v>
      </c>
      <c r="AF56" s="502">
        <v>3.6200000000000003E-2</v>
      </c>
      <c r="AG56" s="502">
        <v>3.6400000000000002E-2</v>
      </c>
      <c r="AH56" s="500">
        <v>3.6700000000000003E-2</v>
      </c>
      <c r="AI56" s="502">
        <v>3.6499999999999998E-2</v>
      </c>
      <c r="AJ56" s="502">
        <v>3.6600000000000001E-2</v>
      </c>
      <c r="AK56" s="502">
        <v>3.6499999999999998E-2</v>
      </c>
      <c r="AL56" s="501">
        <v>3.6400000000000002E-2</v>
      </c>
      <c r="AM56" s="502">
        <v>3.6400000000000002E-2</v>
      </c>
      <c r="AN56" s="502">
        <v>3.6299999999999999E-2</v>
      </c>
      <c r="AO56" s="502">
        <v>3.6200000000000003E-2</v>
      </c>
      <c r="AP56" s="502">
        <v>4.1200000000000001E-2</v>
      </c>
      <c r="AQ56" s="502">
        <v>4.1099999999999998E-2</v>
      </c>
      <c r="AR56" s="502">
        <v>4.1200000000000001E-2</v>
      </c>
      <c r="AS56" s="500">
        <v>4.1300000000000003E-2</v>
      </c>
      <c r="AT56" s="500">
        <v>4.1300000000000003E-2</v>
      </c>
      <c r="AU56" s="500">
        <v>4.1300000000000003E-2</v>
      </c>
      <c r="AV56" s="502">
        <v>4.1399999999999999E-2</v>
      </c>
      <c r="AW56" s="501">
        <f t="shared" ref="AW56:BC56" si="14">AW55</f>
        <v>4.1099999999999998E-2</v>
      </c>
      <c r="AX56" s="501">
        <f t="shared" si="14"/>
        <v>4.1099999999999998E-2</v>
      </c>
      <c r="AY56" s="501">
        <f t="shared" si="14"/>
        <v>4.1099999999999998E-2</v>
      </c>
      <c r="AZ56" s="501">
        <f t="shared" si="14"/>
        <v>4.1099999999999998E-2</v>
      </c>
      <c r="BA56" s="501">
        <f t="shared" si="14"/>
        <v>4.1099999999999998E-2</v>
      </c>
      <c r="BB56" s="501">
        <f t="shared" si="14"/>
        <v>4.1099999999999998E-2</v>
      </c>
      <c r="BC56" s="501">
        <f t="shared" si="14"/>
        <v>4.1099999999999998E-2</v>
      </c>
      <c r="BD56" s="501">
        <v>4.1000000000000002E-2</v>
      </c>
      <c r="BE56" s="501">
        <v>4.1000000000000002E-2</v>
      </c>
      <c r="BF56" s="501">
        <v>4.1000000000000002E-2</v>
      </c>
      <c r="BG56" s="501">
        <v>4.0599999999999997E-2</v>
      </c>
      <c r="BH56" s="501">
        <v>4.0599999999999997E-2</v>
      </c>
      <c r="BI56" s="501">
        <v>4.0599999999999997E-2</v>
      </c>
      <c r="BJ56" s="501">
        <v>4.0599999999999997E-2</v>
      </c>
      <c r="BK56" s="501">
        <v>4.0599999999999997E-2</v>
      </c>
      <c r="BL56" s="501">
        <v>4.0899999999999999E-2</v>
      </c>
      <c r="BM56" s="501">
        <v>4.1300000000000003E-2</v>
      </c>
      <c r="BN56" s="501">
        <v>4.1300000000000003E-2</v>
      </c>
      <c r="BO56" s="501">
        <v>4.2000000000000003E-2</v>
      </c>
      <c r="BP56" s="501">
        <v>4.3299999999999998E-2</v>
      </c>
      <c r="BQ56" s="501">
        <v>4.3299999999999998E-2</v>
      </c>
      <c r="BR56" s="501">
        <v>4.3799999999999999E-2</v>
      </c>
      <c r="BS56" s="501">
        <v>4.3799999999999999E-2</v>
      </c>
      <c r="BT56" s="501">
        <v>4.4699999999999997E-2</v>
      </c>
      <c r="BU56" s="501">
        <v>4.4699999999999997E-2</v>
      </c>
      <c r="BV56" s="501">
        <v>4.4699999999999997E-2</v>
      </c>
      <c r="BW56" s="501">
        <v>4.5900000000000003E-2</v>
      </c>
      <c r="BX56" s="501">
        <v>4.5900000000000003E-2</v>
      </c>
      <c r="BY56" s="501">
        <v>4.5900000000000003E-2</v>
      </c>
      <c r="BZ56" s="501">
        <v>4.5900000000000003E-2</v>
      </c>
      <c r="CA56" s="501">
        <v>4.6899999999999997E-2</v>
      </c>
      <c r="CB56" s="501">
        <v>4.8399999999999999E-2</v>
      </c>
      <c r="CC56" s="501">
        <v>4.9000000000000002E-2</v>
      </c>
      <c r="CD56" s="501">
        <v>0.05</v>
      </c>
      <c r="CE56" s="501">
        <v>5.0599999999999999E-2</v>
      </c>
      <c r="CF56" s="501">
        <v>5.0900000000000001E-2</v>
      </c>
      <c r="CG56" s="501">
        <v>5.0799999999999998E-2</v>
      </c>
      <c r="CH56" s="501">
        <v>5.0900000000000001E-2</v>
      </c>
      <c r="CI56" s="501">
        <v>5.0999999999999997E-2</v>
      </c>
      <c r="CJ56" s="501">
        <v>5.11E-2</v>
      </c>
      <c r="CK56" s="501">
        <v>5.11E-2</v>
      </c>
      <c r="CL56" s="501">
        <v>5.11E-2</v>
      </c>
      <c r="CM56" s="501">
        <v>5.1299999999999998E-2</v>
      </c>
      <c r="CN56" s="501">
        <v>5.1200000000000002E-2</v>
      </c>
      <c r="CO56" s="501">
        <v>5.11E-2</v>
      </c>
      <c r="CP56" s="501">
        <v>5.11E-2</v>
      </c>
      <c r="CQ56" s="501">
        <v>5.11E-2</v>
      </c>
      <c r="CR56" s="501">
        <v>5.1900000000000002E-2</v>
      </c>
      <c r="CS56" s="501">
        <v>5.16E-2</v>
      </c>
      <c r="CT56" s="501">
        <v>5.16E-2</v>
      </c>
      <c r="CU56" s="484">
        <v>5.1499999999999997E-2</v>
      </c>
      <c r="CV56" s="482">
        <v>5.16E-2</v>
      </c>
      <c r="CW56" s="482">
        <v>5.16E-2</v>
      </c>
      <c r="CX56" s="482">
        <v>5.16E-2</v>
      </c>
      <c r="CY56" s="482">
        <v>5.16E-2</v>
      </c>
      <c r="CZ56" s="482">
        <v>5.1700000000000003E-2</v>
      </c>
      <c r="DA56" s="482">
        <v>5.1700000000000003E-2</v>
      </c>
      <c r="DB56" s="482">
        <v>5.1700000000000003E-2</v>
      </c>
      <c r="DC56" s="484">
        <v>5.16E-2</v>
      </c>
      <c r="DD56" s="484">
        <v>5.1700000000000003E-2</v>
      </c>
      <c r="DE56" s="482">
        <v>5.16E-2</v>
      </c>
      <c r="DF56" s="482">
        <v>5.16E-2</v>
      </c>
      <c r="DG56" s="482">
        <v>5.16E-2</v>
      </c>
      <c r="DH56" s="482">
        <v>5.0999999999999997E-2</v>
      </c>
      <c r="DI56" s="482">
        <v>5.11E-2</v>
      </c>
      <c r="DJ56" s="482">
        <v>5.0700000000000002E-2</v>
      </c>
      <c r="DK56" s="482">
        <v>5.0799999999999998E-2</v>
      </c>
      <c r="DL56" s="482">
        <v>5.0900000000000001E-2</v>
      </c>
      <c r="DM56" s="482">
        <v>5.0999999999999997E-2</v>
      </c>
      <c r="DN56" s="482">
        <v>5.0999999999999997E-2</v>
      </c>
      <c r="DO56" s="482">
        <v>5.0999999999999997E-2</v>
      </c>
      <c r="DP56" s="482">
        <v>5.0999999999999997E-2</v>
      </c>
      <c r="DQ56" s="482">
        <v>5.1400000000000001E-2</v>
      </c>
      <c r="DR56" s="482">
        <v>5.1299999999999998E-2</v>
      </c>
      <c r="DS56" s="482">
        <v>5.1200000000000002E-2</v>
      </c>
      <c r="DT56" s="482">
        <v>5.1299999999999998E-2</v>
      </c>
      <c r="DU56" s="482">
        <v>5.1299999999999998E-2</v>
      </c>
      <c r="DV56" s="482">
        <v>5.1299999999999998E-2</v>
      </c>
      <c r="DW56" s="482">
        <v>5.1400000000000001E-2</v>
      </c>
      <c r="DX56" s="482">
        <v>5.16E-2</v>
      </c>
      <c r="DY56" s="482">
        <v>5.1299999999999998E-2</v>
      </c>
      <c r="DZ56" s="482">
        <v>5.1499999999999997E-2</v>
      </c>
      <c r="EA56" s="482">
        <v>5.16E-2</v>
      </c>
      <c r="EB56" s="482">
        <v>5.16E-2</v>
      </c>
      <c r="EC56" s="482">
        <v>5.16E-2</v>
      </c>
      <c r="ED56" s="482">
        <v>5.1499999999999997E-2</v>
      </c>
      <c r="EE56" s="482">
        <v>5.1400000000000001E-2</v>
      </c>
      <c r="EF56" s="482">
        <v>5.1499999999999997E-2</v>
      </c>
      <c r="EG56" s="482">
        <v>5.1499999999999997E-2</v>
      </c>
      <c r="EH56" s="482">
        <v>5.1400000000000001E-2</v>
      </c>
      <c r="EI56" s="482">
        <v>3.1300000000000001E-2</v>
      </c>
      <c r="EJ56" s="482">
        <v>2.9899999999999999E-2</v>
      </c>
      <c r="EK56" s="482">
        <v>2.93E-2</v>
      </c>
      <c r="EL56" s="482">
        <v>2.64E-2</v>
      </c>
      <c r="EM56" s="482">
        <v>2.5000000000000001E-2</v>
      </c>
      <c r="EN56" s="482">
        <v>4.8500000000000001E-2</v>
      </c>
      <c r="EO56" s="482">
        <v>4.87E-2</v>
      </c>
      <c r="EP56" s="482">
        <v>4.8500000000000001E-2</v>
      </c>
      <c r="EQ56" s="482">
        <v>4.82E-2</v>
      </c>
      <c r="ER56" s="482">
        <v>4.7730000000000002E-2</v>
      </c>
      <c r="ES56" s="482">
        <v>4.7100000000000003E-2</v>
      </c>
      <c r="ET56" s="482">
        <v>4.6100000000000002E-2</v>
      </c>
      <c r="EU56" s="482">
        <v>4.5600000000000002E-2</v>
      </c>
      <c r="EV56" s="482">
        <v>4.58E-2</v>
      </c>
      <c r="EW56" s="482">
        <v>4.6199999999999998E-2</v>
      </c>
      <c r="EX56" s="482">
        <v>4.5400000000000003E-2</v>
      </c>
      <c r="EY56" s="482">
        <v>4.58E-2</v>
      </c>
      <c r="EZ56" s="482">
        <v>4.4699999999999997E-2</v>
      </c>
      <c r="FA56" s="484">
        <v>4.4200000000000003E-2</v>
      </c>
      <c r="FB56" s="484">
        <v>4.3099999999999999E-2</v>
      </c>
      <c r="FC56" s="477">
        <v>4.2599999999999999E-2</v>
      </c>
      <c r="FD56" s="477">
        <v>4.24E-2</v>
      </c>
      <c r="FE56" s="477">
        <v>4.2700000000000002E-2</v>
      </c>
      <c r="FF56" s="477">
        <v>4.2799999999999998E-2</v>
      </c>
      <c r="FG56" s="477">
        <v>4.2299999999999997E-2</v>
      </c>
      <c r="FH56" s="477">
        <v>4.1799999999999997E-2</v>
      </c>
      <c r="FI56" s="477">
        <v>4.1099999999999998E-2</v>
      </c>
      <c r="FJ56" s="477">
        <v>4.1099999999999998E-2</v>
      </c>
      <c r="FK56" s="477">
        <v>4.0800000000000003E-2</v>
      </c>
      <c r="FL56" s="477">
        <v>4.1200000000000001E-2</v>
      </c>
      <c r="FM56" s="477">
        <v>3.9300000000000002E-2</v>
      </c>
      <c r="FN56" s="477">
        <v>3.8300000000000001E-2</v>
      </c>
      <c r="FO56" s="477">
        <v>3.6900000000000002E-2</v>
      </c>
      <c r="FP56" s="477">
        <v>3.6499999999999998E-2</v>
      </c>
      <c r="FQ56" s="477">
        <v>3.6499999999999998E-2</v>
      </c>
      <c r="FR56" s="477">
        <v>3.6299999999999999E-2</v>
      </c>
      <c r="FS56" s="477">
        <v>3.4000000000000002E-2</v>
      </c>
      <c r="FT56" s="477">
        <v>3.3599999999999998E-2</v>
      </c>
      <c r="FU56" s="477">
        <v>3.3099999999999997E-2</v>
      </c>
      <c r="FV56" s="482">
        <v>4.9599999999999998E-2</v>
      </c>
      <c r="FW56" s="482">
        <v>4.9000000000000002E-2</v>
      </c>
      <c r="FX56" s="482">
        <v>5.0799999999999998E-2</v>
      </c>
      <c r="FY56" s="482">
        <v>5.0200000000000002E-2</v>
      </c>
      <c r="FZ56" s="482">
        <v>4.9599999999999998E-2</v>
      </c>
      <c r="GA56" s="482">
        <v>4.9099999999999998E-2</v>
      </c>
      <c r="GB56" s="482">
        <v>4.9000000000000002E-2</v>
      </c>
      <c r="GC56" s="482">
        <v>4.9700000000000001E-2</v>
      </c>
      <c r="GD56" s="482">
        <v>2.93E-2</v>
      </c>
      <c r="GE56" s="482">
        <v>2.93E-2</v>
      </c>
      <c r="GF56" s="482">
        <v>2.93E-2</v>
      </c>
      <c r="GG56" s="482">
        <v>2.93E-2</v>
      </c>
      <c r="GH56" s="482">
        <v>2.93E-2</v>
      </c>
      <c r="GI56" s="482">
        <v>2.93E-2</v>
      </c>
      <c r="GJ56" s="482">
        <v>2.93E-2</v>
      </c>
      <c r="GK56" s="482">
        <v>2.93E-2</v>
      </c>
      <c r="GL56" s="482">
        <v>2.93E-2</v>
      </c>
      <c r="GM56" s="482">
        <v>2.93E-2</v>
      </c>
      <c r="GN56" s="482">
        <v>2.93E-2</v>
      </c>
      <c r="GO56" s="482">
        <v>2.93E-2</v>
      </c>
      <c r="GP56" s="482">
        <v>2.93E-2</v>
      </c>
      <c r="GQ56" s="482">
        <v>2.93E-2</v>
      </c>
      <c r="GR56" s="482">
        <v>2.93E-2</v>
      </c>
      <c r="GS56" s="482">
        <v>2.93E-2</v>
      </c>
      <c r="GT56" s="482">
        <v>2.93E-2</v>
      </c>
      <c r="GU56" s="482">
        <v>2.93E-2</v>
      </c>
      <c r="GV56" s="482">
        <v>2.93E-2</v>
      </c>
      <c r="GW56" s="482">
        <v>2.93E-2</v>
      </c>
      <c r="GX56" s="482">
        <v>2.93E-2</v>
      </c>
      <c r="GY56" s="482">
        <v>2.93E-2</v>
      </c>
      <c r="GZ56" s="482">
        <v>2.93E-2</v>
      </c>
      <c r="HA56" s="482">
        <v>2.93E-2</v>
      </c>
      <c r="HB56" s="482">
        <v>2.93E-2</v>
      </c>
      <c r="HC56" s="482">
        <v>2.93E-2</v>
      </c>
      <c r="HD56" s="482">
        <v>2.93E-2</v>
      </c>
      <c r="HE56" s="482">
        <v>2.93E-2</v>
      </c>
      <c r="HF56" s="482">
        <v>2.93E-2</v>
      </c>
      <c r="HG56" s="482">
        <v>2.93E-2</v>
      </c>
      <c r="HH56" s="482">
        <v>2.93E-2</v>
      </c>
      <c r="HI56" s="482">
        <v>2.93E-2</v>
      </c>
      <c r="HJ56" s="482">
        <v>2.93E-2</v>
      </c>
      <c r="HK56" s="482">
        <v>2.93E-2</v>
      </c>
      <c r="HL56" s="482">
        <v>2.93E-2</v>
      </c>
      <c r="HM56" s="482">
        <v>2.93E-2</v>
      </c>
      <c r="HN56" s="482">
        <v>2.93E-2</v>
      </c>
      <c r="HO56" s="482">
        <v>2.93E-2</v>
      </c>
      <c r="HP56" s="473">
        <f t="shared" si="12"/>
        <v>0</v>
      </c>
      <c r="HQ56" s="1137"/>
    </row>
    <row r="57" spans="2:226">
      <c r="B57" s="1126" t="s">
        <v>39</v>
      </c>
      <c r="C57" s="731" t="s">
        <v>237</v>
      </c>
      <c r="D57" s="657">
        <v>2.9499999999999998E-2</v>
      </c>
      <c r="E57" s="657">
        <v>2.9499999999999998E-2</v>
      </c>
      <c r="F57" s="657">
        <v>2.93E-2</v>
      </c>
      <c r="G57" s="657">
        <v>2.86E-2</v>
      </c>
      <c r="H57" s="667">
        <v>2.8799999999999999E-2</v>
      </c>
      <c r="I57" s="657">
        <v>2.8799999999999999E-2</v>
      </c>
      <c r="J57" s="657">
        <v>2.87E-2</v>
      </c>
      <c r="K57" s="657">
        <v>2.8899999999999999E-2</v>
      </c>
      <c r="L57" s="657">
        <v>2.9000000000000001E-2</v>
      </c>
      <c r="M57" s="657">
        <v>2.9100000000000001E-2</v>
      </c>
      <c r="N57" s="657">
        <v>2.93E-2</v>
      </c>
      <c r="O57" s="657">
        <v>2.9899999999999999E-2</v>
      </c>
      <c r="P57" s="657">
        <v>3.04E-2</v>
      </c>
      <c r="Q57" s="657">
        <v>3.0800000000000001E-2</v>
      </c>
      <c r="R57" s="657">
        <v>3.1300000000000001E-2</v>
      </c>
      <c r="S57" s="657">
        <v>3.1200000000000002E-2</v>
      </c>
      <c r="T57" s="488">
        <v>3.1300000000000001E-2</v>
      </c>
      <c r="U57" s="494">
        <v>3.1300000000000001E-2</v>
      </c>
      <c r="V57" s="489">
        <v>3.1600000000000003E-2</v>
      </c>
      <c r="W57" s="494">
        <v>3.1600000000000003E-2</v>
      </c>
      <c r="X57" s="494">
        <v>3.2100000000000004E-2</v>
      </c>
      <c r="Y57" s="494">
        <v>3.2400000000000005E-2</v>
      </c>
      <c r="Z57" s="494">
        <v>3.2800000000000003E-2</v>
      </c>
      <c r="AA57" s="494">
        <v>3.32E-2</v>
      </c>
      <c r="AB57" s="494">
        <v>3.3599999999999998E-2</v>
      </c>
      <c r="AC57" s="494">
        <v>3.3499999999999995E-2</v>
      </c>
      <c r="AD57" s="494">
        <v>3.3999999999999996E-2</v>
      </c>
      <c r="AE57" s="494">
        <v>3.4599999999999999E-2</v>
      </c>
      <c r="AF57" s="494">
        <v>3.5099999999999999E-2</v>
      </c>
      <c r="AG57" s="494">
        <v>3.5299999999999998E-2</v>
      </c>
      <c r="AH57" s="478">
        <v>3.5400000000000001E-2</v>
      </c>
      <c r="AI57" s="503">
        <v>3.5299999999999998E-2</v>
      </c>
      <c r="AJ57" s="478">
        <v>3.5499999999999997E-2</v>
      </c>
      <c r="AK57" s="478">
        <v>3.56E-2</v>
      </c>
      <c r="AL57" s="479">
        <v>3.56E-2</v>
      </c>
      <c r="AM57" s="503">
        <v>3.56E-2</v>
      </c>
      <c r="AN57" s="503">
        <v>3.5499999999999997E-2</v>
      </c>
      <c r="AO57" s="478">
        <v>3.6499999999999998E-2</v>
      </c>
      <c r="AP57" s="503">
        <v>3.6499999999999998E-2</v>
      </c>
      <c r="AQ57" s="478">
        <v>3.6600000000000001E-2</v>
      </c>
      <c r="AR57" s="503">
        <v>3.6600000000000001E-2</v>
      </c>
      <c r="AS57" s="503">
        <v>3.6499999999999998E-2</v>
      </c>
      <c r="AT57" s="478">
        <v>3.6600000000000001E-2</v>
      </c>
      <c r="AU57" s="478">
        <v>3.6600000000000001E-2</v>
      </c>
      <c r="AV57" s="503">
        <v>3.6600000000000001E-2</v>
      </c>
      <c r="AW57" s="479">
        <v>3.6400000000000002E-2</v>
      </c>
      <c r="AX57" s="479">
        <v>3.6400000000000002E-2</v>
      </c>
      <c r="AY57" s="479">
        <v>3.6400000000000002E-2</v>
      </c>
      <c r="AZ57" s="479">
        <v>3.6400000000000002E-2</v>
      </c>
      <c r="BA57" s="479">
        <v>3.6400000000000002E-2</v>
      </c>
      <c r="BB57" s="479">
        <v>3.6400000000000002E-2</v>
      </c>
      <c r="BC57" s="479">
        <v>3.6400000000000002E-2</v>
      </c>
      <c r="BD57" s="479">
        <v>3.6200000000000003E-2</v>
      </c>
      <c r="BE57" s="479">
        <v>3.6200000000000003E-2</v>
      </c>
      <c r="BF57" s="479">
        <v>3.6200000000000003E-2</v>
      </c>
      <c r="BG57" s="479">
        <v>3.6200000000000003E-2</v>
      </c>
      <c r="BH57" s="479">
        <v>3.6200000000000003E-2</v>
      </c>
      <c r="BI57" s="479">
        <v>3.6200000000000003E-2</v>
      </c>
      <c r="BJ57" s="479">
        <v>3.6200000000000003E-2</v>
      </c>
      <c r="BK57" s="479">
        <v>3.6200000000000003E-2</v>
      </c>
      <c r="BL57" s="479">
        <v>3.6799999999999999E-2</v>
      </c>
      <c r="BM57" s="479">
        <v>3.7199999999999997E-2</v>
      </c>
      <c r="BN57" s="479">
        <v>3.7199999999999997E-2</v>
      </c>
      <c r="BO57" s="479">
        <v>3.7699999999999997E-2</v>
      </c>
      <c r="BP57" s="479">
        <v>3.85E-2</v>
      </c>
      <c r="BQ57" s="479">
        <v>3.85E-2</v>
      </c>
      <c r="BR57" s="479">
        <v>3.8899999999999997E-2</v>
      </c>
      <c r="BS57" s="479">
        <v>3.8899999999999997E-2</v>
      </c>
      <c r="BT57" s="479">
        <v>4.02E-2</v>
      </c>
      <c r="BU57" s="479">
        <v>4.02E-2</v>
      </c>
      <c r="BV57" s="479">
        <v>4.02E-2</v>
      </c>
      <c r="BW57" s="479">
        <v>4.1300000000000003E-2</v>
      </c>
      <c r="BX57" s="479">
        <v>4.1300000000000003E-2</v>
      </c>
      <c r="BY57" s="479">
        <v>4.1300000000000003E-2</v>
      </c>
      <c r="BZ57" s="479">
        <v>4.1300000000000003E-2</v>
      </c>
      <c r="CA57" s="479">
        <v>4.2900000000000001E-2</v>
      </c>
      <c r="CB57" s="479">
        <v>4.41E-2</v>
      </c>
      <c r="CC57" s="479">
        <v>4.48E-2</v>
      </c>
      <c r="CD57" s="479">
        <v>4.5600000000000002E-2</v>
      </c>
      <c r="CE57" s="479">
        <v>4.6300000000000001E-2</v>
      </c>
      <c r="CF57" s="479">
        <v>4.65E-2</v>
      </c>
      <c r="CG57" s="479">
        <v>4.65E-2</v>
      </c>
      <c r="CH57" s="479">
        <v>4.65E-2</v>
      </c>
      <c r="CI57" s="479">
        <v>4.6600000000000003E-2</v>
      </c>
      <c r="CJ57" s="479">
        <v>4.6600000000000003E-2</v>
      </c>
      <c r="CK57" s="479">
        <v>4.6600000000000003E-2</v>
      </c>
      <c r="CL57" s="479">
        <v>4.6600000000000003E-2</v>
      </c>
      <c r="CM57" s="479">
        <v>4.6699999999999998E-2</v>
      </c>
      <c r="CN57" s="479">
        <v>4.6699999999999998E-2</v>
      </c>
      <c r="CO57" s="479">
        <v>4.6699999999999998E-2</v>
      </c>
      <c r="CP57" s="479">
        <v>4.6699999999999998E-2</v>
      </c>
      <c r="CQ57" s="479">
        <v>4.6800000000000001E-2</v>
      </c>
      <c r="CR57" s="479">
        <v>4.6699999999999998E-2</v>
      </c>
      <c r="CS57" s="479">
        <v>4.6699999999999998E-2</v>
      </c>
      <c r="CT57" s="479">
        <v>4.6600000000000003E-2</v>
      </c>
      <c r="CU57" s="484">
        <v>4.6600000000000003E-2</v>
      </c>
      <c r="CV57" s="489">
        <v>4.6699999999999998E-2</v>
      </c>
      <c r="CW57" s="472">
        <v>4.6600000000000003E-2</v>
      </c>
      <c r="CX57" s="472">
        <v>4.6600000000000003E-2</v>
      </c>
      <c r="CY57" s="472">
        <v>4.6800000000000001E-2</v>
      </c>
      <c r="CZ57" s="472">
        <v>4.6699999999999998E-2</v>
      </c>
      <c r="DA57" s="472">
        <v>4.6800000000000001E-2</v>
      </c>
      <c r="DB57" s="472">
        <v>4.6600000000000003E-2</v>
      </c>
      <c r="DC57" s="484">
        <v>4.6600000000000003E-2</v>
      </c>
      <c r="DD57" s="484">
        <v>4.6300000000000001E-2</v>
      </c>
      <c r="DE57" s="479">
        <v>4.7899999999999998E-2</v>
      </c>
      <c r="DF57" s="479">
        <v>4.7899999999999998E-2</v>
      </c>
      <c r="DG57" s="479">
        <v>4.7899999999999998E-2</v>
      </c>
      <c r="DH57" s="479">
        <v>4.7899999999999998E-2</v>
      </c>
      <c r="DI57" s="479">
        <v>4.7899999999999998E-2</v>
      </c>
      <c r="DJ57" s="479">
        <v>4.8000000000000001E-2</v>
      </c>
      <c r="DK57" s="479">
        <v>4.8099999999999997E-2</v>
      </c>
      <c r="DL57" s="479">
        <v>4.82E-2</v>
      </c>
      <c r="DM57" s="479">
        <v>4.87E-2</v>
      </c>
      <c r="DN57" s="479">
        <v>4.8899999999999999E-2</v>
      </c>
      <c r="DO57" s="479">
        <v>4.9500000000000002E-2</v>
      </c>
      <c r="DP57" s="479">
        <v>4.99E-2</v>
      </c>
      <c r="DQ57" s="479">
        <v>4.9299999999999997E-2</v>
      </c>
      <c r="DR57" s="479">
        <v>4.5400000000000003E-2</v>
      </c>
      <c r="DS57" s="479">
        <v>4.53E-2</v>
      </c>
      <c r="DT57" s="479">
        <v>4.4699999999999997E-2</v>
      </c>
      <c r="DU57" s="479">
        <v>4.4699999999999997E-2</v>
      </c>
      <c r="DV57" s="479">
        <v>4.4699999999999997E-2</v>
      </c>
      <c r="DW57" s="479">
        <v>4.48E-2</v>
      </c>
      <c r="DX57" s="479">
        <v>4.48E-2</v>
      </c>
      <c r="DY57" s="479">
        <v>4.4499999999999998E-2</v>
      </c>
      <c r="DZ57" s="479">
        <v>4.4499999999999998E-2</v>
      </c>
      <c r="EA57" s="479">
        <v>4.4499999999999998E-2</v>
      </c>
      <c r="EB57" s="479">
        <v>4.4400000000000002E-2</v>
      </c>
      <c r="EC57" s="479">
        <v>4.4499999999999998E-2</v>
      </c>
      <c r="ED57" s="479">
        <v>4.4299999999999999E-2</v>
      </c>
      <c r="EE57" s="479">
        <v>4.4299999999999999E-2</v>
      </c>
      <c r="EF57" s="479">
        <v>4.4299999999999999E-2</v>
      </c>
      <c r="EG57" s="479">
        <v>4.4299999999999999E-2</v>
      </c>
      <c r="EH57" s="479">
        <v>4.4299999999999999E-2</v>
      </c>
      <c r="EI57" s="479">
        <v>2.52E-2</v>
      </c>
      <c r="EJ57" s="479">
        <v>2.5600000000000001E-2</v>
      </c>
      <c r="EK57" s="479">
        <v>2.5100000000000001E-2</v>
      </c>
      <c r="EL57" s="479">
        <v>2.3699999999999999E-2</v>
      </c>
      <c r="EM57" s="479">
        <v>2.07E-2</v>
      </c>
      <c r="EN57" s="479">
        <v>4.2000000000000003E-2</v>
      </c>
      <c r="EO57" s="479">
        <v>4.3900000000000002E-2</v>
      </c>
      <c r="EP57" s="479">
        <v>4.3799999999999999E-2</v>
      </c>
      <c r="EQ57" s="479">
        <v>4.3700000000000003E-2</v>
      </c>
      <c r="ER57" s="479">
        <v>4.2900000000000001E-2</v>
      </c>
      <c r="ES57" s="479">
        <v>4.2500000000000003E-2</v>
      </c>
      <c r="ET57" s="479">
        <v>4.2299999999999997E-2</v>
      </c>
      <c r="EU57" s="479">
        <v>4.2299999999999997E-2</v>
      </c>
      <c r="EV57" s="479">
        <v>4.2500000000000003E-2</v>
      </c>
      <c r="EW57" s="479">
        <v>4.2200000000000001E-2</v>
      </c>
      <c r="EX57" s="479">
        <v>4.2500000000000003E-2</v>
      </c>
      <c r="EY57" s="479">
        <v>4.1000000000000002E-2</v>
      </c>
      <c r="EZ57" s="479">
        <v>3.95E-2</v>
      </c>
      <c r="FA57" s="479">
        <v>3.95E-2</v>
      </c>
      <c r="FB57" s="479">
        <v>3.8899999999999997E-2</v>
      </c>
      <c r="FC57" s="479">
        <v>3.8899999999999997E-2</v>
      </c>
      <c r="FD57" s="479">
        <v>3.8800000000000001E-2</v>
      </c>
      <c r="FE57" s="479">
        <v>3.8800000000000001E-2</v>
      </c>
      <c r="FF57" s="479">
        <v>3.8300000000000001E-2</v>
      </c>
      <c r="FG57" s="479">
        <v>3.78E-2</v>
      </c>
      <c r="FH57" s="479">
        <v>3.7199999999999997E-2</v>
      </c>
      <c r="FI57" s="479">
        <v>3.6799999999999999E-2</v>
      </c>
      <c r="FJ57" s="479">
        <v>3.6600000000000001E-2</v>
      </c>
      <c r="FK57" s="479">
        <v>3.6400000000000002E-2</v>
      </c>
      <c r="FL57" s="479">
        <v>3.6299999999999999E-2</v>
      </c>
      <c r="FM57" s="479">
        <v>3.4299999999999997E-2</v>
      </c>
      <c r="FN57" s="479">
        <v>3.27E-2</v>
      </c>
      <c r="FO57" s="479">
        <v>3.1600000000000003E-2</v>
      </c>
      <c r="FP57" s="479">
        <v>3.0800000000000001E-2</v>
      </c>
      <c r="FQ57" s="479">
        <v>3.0599999999999999E-2</v>
      </c>
      <c r="FR57" s="479">
        <v>3.0300000000000001E-2</v>
      </c>
      <c r="FS57" s="479">
        <v>2.9899999999999999E-2</v>
      </c>
      <c r="FT57" s="479">
        <v>2.86E-2</v>
      </c>
      <c r="FU57" s="479">
        <v>2.7099999999999999E-2</v>
      </c>
      <c r="FV57" s="479">
        <v>4.2700000000000002E-2</v>
      </c>
      <c r="FW57" s="479">
        <v>4.2700000000000002E-2</v>
      </c>
      <c r="FX57" s="479">
        <v>4.3999999999999997E-2</v>
      </c>
      <c r="FY57" s="479">
        <v>4.3700000000000003E-2</v>
      </c>
      <c r="FZ57" s="479">
        <v>4.3400000000000001E-2</v>
      </c>
      <c r="GA57" s="479">
        <v>4.2999999999999997E-2</v>
      </c>
      <c r="GB57" s="479">
        <v>4.2599999999999999E-2</v>
      </c>
      <c r="GC57" s="479">
        <v>4.2799999999999998E-2</v>
      </c>
      <c r="GD57" s="479">
        <v>2.5100000000000001E-2</v>
      </c>
      <c r="GE57" s="479">
        <v>2.5100000000000001E-2</v>
      </c>
      <c r="GF57" s="479">
        <v>2.5100000000000001E-2</v>
      </c>
      <c r="GG57" s="479">
        <v>2.5100000000000001E-2</v>
      </c>
      <c r="GH57" s="479">
        <v>2.5100000000000001E-2</v>
      </c>
      <c r="GI57" s="479">
        <v>2.5100000000000001E-2</v>
      </c>
      <c r="GJ57" s="479">
        <v>2.5100000000000001E-2</v>
      </c>
      <c r="GK57" s="479">
        <v>2.5100000000000001E-2</v>
      </c>
      <c r="GL57" s="479">
        <v>2.5100000000000001E-2</v>
      </c>
      <c r="GM57" s="479">
        <v>2.5100000000000001E-2</v>
      </c>
      <c r="GN57" s="479">
        <v>2.5100000000000001E-2</v>
      </c>
      <c r="GO57" s="479">
        <v>2.5100000000000001E-2</v>
      </c>
      <c r="GP57" s="479">
        <v>2.5100000000000001E-2</v>
      </c>
      <c r="GQ57" s="479">
        <v>2.5100000000000001E-2</v>
      </c>
      <c r="GR57" s="479">
        <v>2.5100000000000001E-2</v>
      </c>
      <c r="GS57" s="479">
        <v>2.5100000000000001E-2</v>
      </c>
      <c r="GT57" s="479">
        <v>2.5100000000000001E-2</v>
      </c>
      <c r="GU57" s="479">
        <v>2.5100000000000001E-2</v>
      </c>
      <c r="GV57" s="479">
        <v>2.5100000000000001E-2</v>
      </c>
      <c r="GW57" s="479">
        <v>2.5100000000000001E-2</v>
      </c>
      <c r="GX57" s="479">
        <v>2.5100000000000001E-2</v>
      </c>
      <c r="GY57" s="479">
        <v>2.5100000000000001E-2</v>
      </c>
      <c r="GZ57" s="479">
        <v>2.5100000000000001E-2</v>
      </c>
      <c r="HA57" s="479">
        <v>2.5100000000000001E-2</v>
      </c>
      <c r="HB57" s="479">
        <v>2.5100000000000001E-2</v>
      </c>
      <c r="HC57" s="479">
        <v>2.5100000000000001E-2</v>
      </c>
      <c r="HD57" s="479">
        <v>2.5100000000000001E-2</v>
      </c>
      <c r="HE57" s="479">
        <v>2.5100000000000001E-2</v>
      </c>
      <c r="HF57" s="479">
        <v>2.5100000000000001E-2</v>
      </c>
      <c r="HG57" s="479">
        <v>2.5100000000000001E-2</v>
      </c>
      <c r="HH57" s="479">
        <v>2.5100000000000001E-2</v>
      </c>
      <c r="HI57" s="479">
        <v>2.5100000000000001E-2</v>
      </c>
      <c r="HJ57" s="479">
        <v>2.5100000000000001E-2</v>
      </c>
      <c r="HK57" s="479">
        <v>2.5100000000000001E-2</v>
      </c>
      <c r="HL57" s="479">
        <v>2.5100000000000001E-2</v>
      </c>
      <c r="HM57" s="479">
        <v>2.5100000000000001E-2</v>
      </c>
      <c r="HN57" s="479">
        <v>2.5100000000000001E-2</v>
      </c>
      <c r="HO57" s="479">
        <v>2.5100000000000001E-2</v>
      </c>
      <c r="HP57" s="473">
        <f t="shared" si="12"/>
        <v>0</v>
      </c>
      <c r="HQ57" s="499"/>
    </row>
    <row r="58" spans="2:226">
      <c r="B58" s="1127"/>
      <c r="C58" s="731" t="s">
        <v>236</v>
      </c>
      <c r="D58" s="657">
        <v>3.1E-2</v>
      </c>
      <c r="E58" s="657">
        <v>3.1E-2</v>
      </c>
      <c r="F58" s="657">
        <v>3.0800000000000001E-2</v>
      </c>
      <c r="G58" s="657">
        <v>3.0099999999999998E-2</v>
      </c>
      <c r="H58" s="667">
        <v>3.0300000000000001E-2</v>
      </c>
      <c r="I58" s="657">
        <v>3.0300000000000001E-2</v>
      </c>
      <c r="J58" s="657">
        <v>3.0200000000000001E-2</v>
      </c>
      <c r="K58" s="657">
        <v>3.04E-2</v>
      </c>
      <c r="L58" s="657">
        <v>3.0499999999999999E-2</v>
      </c>
      <c r="M58" s="657">
        <v>3.0599999999999999E-2</v>
      </c>
      <c r="N58" s="657">
        <v>3.0800000000000001E-2</v>
      </c>
      <c r="O58" s="657">
        <v>3.1399999999999997E-2</v>
      </c>
      <c r="P58" s="657">
        <v>3.1899999999999998E-2</v>
      </c>
      <c r="Q58" s="657">
        <v>3.2300000000000002E-2</v>
      </c>
      <c r="R58" s="657">
        <v>3.2800000000000003E-2</v>
      </c>
      <c r="S58" s="657">
        <v>3.27E-2</v>
      </c>
      <c r="T58" s="488">
        <v>3.2800000000000003E-2</v>
      </c>
      <c r="U58" s="494">
        <v>3.2800000000000003E-2</v>
      </c>
      <c r="V58" s="489">
        <v>3.3100000000000004E-2</v>
      </c>
      <c r="W58" s="494">
        <v>3.3100000000000004E-2</v>
      </c>
      <c r="X58" s="494">
        <v>3.3600000000000005E-2</v>
      </c>
      <c r="Y58" s="494">
        <v>3.3900000000000007E-2</v>
      </c>
      <c r="Z58" s="494">
        <v>3.4300000000000004E-2</v>
      </c>
      <c r="AA58" s="494">
        <v>3.4700000000000002E-2</v>
      </c>
      <c r="AB58" s="494">
        <v>3.5099999999999999E-2</v>
      </c>
      <c r="AC58" s="494">
        <v>3.4999999999999996E-2</v>
      </c>
      <c r="AD58" s="494">
        <v>3.5499999999999997E-2</v>
      </c>
      <c r="AE58" s="494">
        <v>3.61E-2</v>
      </c>
      <c r="AF58" s="494">
        <v>3.6600000000000001E-2</v>
      </c>
      <c r="AG58" s="494">
        <v>3.6799999999999999E-2</v>
      </c>
      <c r="AH58" s="478">
        <v>3.6900000000000002E-2</v>
      </c>
      <c r="AI58" s="503">
        <v>3.6799999999999999E-2</v>
      </c>
      <c r="AJ58" s="478">
        <v>3.6999999999999998E-2</v>
      </c>
      <c r="AK58" s="478">
        <v>3.7100000000000001E-2</v>
      </c>
      <c r="AL58" s="479">
        <v>3.7100000000000001E-2</v>
      </c>
      <c r="AM58" s="503">
        <v>3.7100000000000001E-2</v>
      </c>
      <c r="AN58" s="503">
        <v>3.6999999999999998E-2</v>
      </c>
      <c r="AO58" s="478">
        <f>AO57+0.1%</f>
        <v>3.7499999999999999E-2</v>
      </c>
      <c r="AP58" s="503">
        <v>3.7499999999999999E-2</v>
      </c>
      <c r="AQ58" s="478">
        <f t="shared" ref="AQ58:BC58" si="15">AQ57+0.1%</f>
        <v>3.7600000000000001E-2</v>
      </c>
      <c r="AR58" s="503">
        <f t="shared" si="15"/>
        <v>3.7600000000000001E-2</v>
      </c>
      <c r="AS58" s="503">
        <f t="shared" si="15"/>
        <v>3.7499999999999999E-2</v>
      </c>
      <c r="AT58" s="478">
        <f t="shared" si="15"/>
        <v>3.7600000000000001E-2</v>
      </c>
      <c r="AU58" s="478">
        <f t="shared" si="15"/>
        <v>3.7600000000000001E-2</v>
      </c>
      <c r="AV58" s="503">
        <f t="shared" si="15"/>
        <v>3.7600000000000001E-2</v>
      </c>
      <c r="AW58" s="479">
        <f t="shared" si="15"/>
        <v>3.7400000000000003E-2</v>
      </c>
      <c r="AX58" s="479">
        <f t="shared" si="15"/>
        <v>3.7400000000000003E-2</v>
      </c>
      <c r="AY58" s="479">
        <f t="shared" si="15"/>
        <v>3.7400000000000003E-2</v>
      </c>
      <c r="AZ58" s="479">
        <f t="shared" si="15"/>
        <v>3.7400000000000003E-2</v>
      </c>
      <c r="BA58" s="479">
        <f t="shared" si="15"/>
        <v>3.7400000000000003E-2</v>
      </c>
      <c r="BB58" s="479">
        <f t="shared" si="15"/>
        <v>3.7400000000000003E-2</v>
      </c>
      <c r="BC58" s="479">
        <f t="shared" si="15"/>
        <v>3.7400000000000003E-2</v>
      </c>
      <c r="BD58" s="479">
        <v>3.7199999999999997E-2</v>
      </c>
      <c r="BE58" s="479">
        <v>3.7199999999999997E-2</v>
      </c>
      <c r="BF58" s="479">
        <v>3.7199999999999997E-2</v>
      </c>
      <c r="BG58" s="479">
        <v>3.7199999999999997E-2</v>
      </c>
      <c r="BH58" s="479">
        <v>3.7199999999999997E-2</v>
      </c>
      <c r="BI58" s="479">
        <v>3.7199999999999997E-2</v>
      </c>
      <c r="BJ58" s="479">
        <v>3.7199999999999997E-2</v>
      </c>
      <c r="BK58" s="479">
        <v>3.7199999999999997E-2</v>
      </c>
      <c r="BL58" s="479">
        <v>3.78E-2</v>
      </c>
      <c r="BM58" s="479">
        <v>3.8199999999999998E-2</v>
      </c>
      <c r="BN58" s="479">
        <v>3.8199999999999998E-2</v>
      </c>
      <c r="BO58" s="479">
        <v>3.8699999999999998E-2</v>
      </c>
      <c r="BP58" s="479">
        <v>3.95E-2</v>
      </c>
      <c r="BQ58" s="479">
        <v>3.95E-2</v>
      </c>
      <c r="BR58" s="479">
        <v>3.9899999999999998E-2</v>
      </c>
      <c r="BS58" s="479">
        <v>3.9899999999999998E-2</v>
      </c>
      <c r="BT58" s="479">
        <v>4.1200000000000001E-2</v>
      </c>
      <c r="BU58" s="479">
        <v>4.1200000000000001E-2</v>
      </c>
      <c r="BV58" s="479">
        <v>4.1200000000000001E-2</v>
      </c>
      <c r="BW58" s="479">
        <v>4.2299999999999997E-2</v>
      </c>
      <c r="BX58" s="479">
        <v>4.2299999999999997E-2</v>
      </c>
      <c r="BY58" s="479">
        <v>4.2299999999999997E-2</v>
      </c>
      <c r="BZ58" s="479">
        <v>4.2299999999999997E-2</v>
      </c>
      <c r="CA58" s="479">
        <v>4.3900000000000002E-2</v>
      </c>
      <c r="CB58" s="479">
        <v>4.5100000000000001E-2</v>
      </c>
      <c r="CC58" s="479">
        <v>4.58E-2</v>
      </c>
      <c r="CD58" s="479">
        <v>4.6600000000000003E-2</v>
      </c>
      <c r="CE58" s="479">
        <v>4.7300000000000002E-2</v>
      </c>
      <c r="CF58" s="479">
        <v>4.7500000000000001E-2</v>
      </c>
      <c r="CG58" s="479">
        <v>4.7500000000000001E-2</v>
      </c>
      <c r="CH58" s="479">
        <v>4.7500000000000001E-2</v>
      </c>
      <c r="CI58" s="479">
        <v>4.7600000000000003E-2</v>
      </c>
      <c r="CJ58" s="479">
        <v>4.7600000000000003E-2</v>
      </c>
      <c r="CK58" s="479">
        <v>4.7600000000000003E-2</v>
      </c>
      <c r="CL58" s="479">
        <v>4.7600000000000003E-2</v>
      </c>
      <c r="CM58" s="479">
        <v>4.7699999999999999E-2</v>
      </c>
      <c r="CN58" s="479">
        <v>4.7699999999999999E-2</v>
      </c>
      <c r="CO58" s="479">
        <v>4.7699999999999999E-2</v>
      </c>
      <c r="CP58" s="479">
        <v>4.7699999999999999E-2</v>
      </c>
      <c r="CQ58" s="479">
        <v>4.7800000000000002E-2</v>
      </c>
      <c r="CR58" s="479">
        <v>4.7699999999999999E-2</v>
      </c>
      <c r="CS58" s="479">
        <v>4.7699999999999999E-2</v>
      </c>
      <c r="CT58" s="479">
        <v>4.7600000000000003E-2</v>
      </c>
      <c r="CU58" s="484">
        <v>4.7600000000000003E-2</v>
      </c>
      <c r="CV58" s="489">
        <v>4.7699999999999999E-2</v>
      </c>
      <c r="CW58" s="472">
        <v>4.7600000000000003E-2</v>
      </c>
      <c r="CX58" s="472">
        <v>4.7600000000000003E-2</v>
      </c>
      <c r="CY58" s="472">
        <v>4.7800000000000002E-2</v>
      </c>
      <c r="CZ58" s="472">
        <v>4.7699999999999999E-2</v>
      </c>
      <c r="DA58" s="472">
        <v>4.7800000000000002E-2</v>
      </c>
      <c r="DB58" s="472">
        <v>4.7600000000000003E-2</v>
      </c>
      <c r="DC58" s="484">
        <v>4.7600000000000003E-2</v>
      </c>
      <c r="DD58" s="484">
        <v>4.7300000000000002E-2</v>
      </c>
      <c r="DE58" s="479">
        <v>4.8899999999999999E-2</v>
      </c>
      <c r="DF58" s="479">
        <v>4.8899999999999999E-2</v>
      </c>
      <c r="DG58" s="479">
        <v>4.8899999999999999E-2</v>
      </c>
      <c r="DH58" s="479">
        <v>4.8899999999999999E-2</v>
      </c>
      <c r="DI58" s="479">
        <v>4.8899999999999999E-2</v>
      </c>
      <c r="DJ58" s="479">
        <v>4.9000000000000002E-2</v>
      </c>
      <c r="DK58" s="479">
        <v>4.9099999999999998E-2</v>
      </c>
      <c r="DL58" s="479">
        <v>4.9200000000000001E-2</v>
      </c>
      <c r="DM58" s="479">
        <v>4.9700000000000001E-2</v>
      </c>
      <c r="DN58" s="479">
        <v>4.99E-2</v>
      </c>
      <c r="DO58" s="479">
        <v>5.0500000000000003E-2</v>
      </c>
      <c r="DP58" s="479">
        <v>5.0900000000000001E-2</v>
      </c>
      <c r="DQ58" s="479">
        <v>5.0299999999999997E-2</v>
      </c>
      <c r="DR58" s="479">
        <v>4.5699999999999998E-2</v>
      </c>
      <c r="DS58" s="479">
        <v>4.5600000000000002E-2</v>
      </c>
      <c r="DT58" s="479">
        <v>4.4699999999999997E-2</v>
      </c>
      <c r="DU58" s="479">
        <v>4.4699999999999997E-2</v>
      </c>
      <c r="DV58" s="479">
        <v>4.4699999999999997E-2</v>
      </c>
      <c r="DW58" s="479">
        <v>4.48E-2</v>
      </c>
      <c r="DX58" s="479">
        <v>4.48E-2</v>
      </c>
      <c r="DY58" s="479">
        <v>4.4499999999999998E-2</v>
      </c>
      <c r="DZ58" s="479">
        <v>4.4499999999999998E-2</v>
      </c>
      <c r="EA58" s="479">
        <v>4.4499999999999998E-2</v>
      </c>
      <c r="EB58" s="479">
        <v>4.4400000000000002E-2</v>
      </c>
      <c r="EC58" s="479">
        <v>4.4499999999999998E-2</v>
      </c>
      <c r="ED58" s="479">
        <v>4.4299999999999999E-2</v>
      </c>
      <c r="EE58" s="479">
        <v>4.4299999999999999E-2</v>
      </c>
      <c r="EF58" s="479">
        <v>4.4299999999999999E-2</v>
      </c>
      <c r="EG58" s="479">
        <v>4.4299999999999999E-2</v>
      </c>
      <c r="EH58" s="479">
        <v>4.4299999999999999E-2</v>
      </c>
      <c r="EI58" s="479">
        <v>2.6200000000000001E-2</v>
      </c>
      <c r="EJ58" s="479">
        <v>2.6599999999999999E-2</v>
      </c>
      <c r="EK58" s="479">
        <v>2.6100000000000002E-2</v>
      </c>
      <c r="EL58" s="479">
        <v>2.47E-2</v>
      </c>
      <c r="EM58" s="479">
        <v>2.1700000000000001E-2</v>
      </c>
      <c r="EN58" s="479">
        <v>4.2000000000000003E-2</v>
      </c>
      <c r="EO58" s="479">
        <v>4.3900000000000002E-2</v>
      </c>
      <c r="EP58" s="479">
        <v>4.3799999999999999E-2</v>
      </c>
      <c r="EQ58" s="479">
        <v>4.3700000000000003E-2</v>
      </c>
      <c r="ER58" s="479">
        <v>4.2900000000000001E-2</v>
      </c>
      <c r="ES58" s="479">
        <v>4.2500000000000003E-2</v>
      </c>
      <c r="ET58" s="479">
        <v>4.2299999999999997E-2</v>
      </c>
      <c r="EU58" s="479">
        <v>4.2299999999999997E-2</v>
      </c>
      <c r="EV58" s="479">
        <v>4.2500000000000003E-2</v>
      </c>
      <c r="EW58" s="479">
        <v>4.2200000000000001E-2</v>
      </c>
      <c r="EX58" s="479">
        <v>4.2500000000000003E-2</v>
      </c>
      <c r="EY58" s="479">
        <v>4.1000000000000002E-2</v>
      </c>
      <c r="EZ58" s="479">
        <v>3.95E-2</v>
      </c>
      <c r="FA58" s="479">
        <v>3.95E-2</v>
      </c>
      <c r="FB58" s="479">
        <v>3.8899999999999997E-2</v>
      </c>
      <c r="FC58" s="479">
        <v>3.8899999999999997E-2</v>
      </c>
      <c r="FD58" s="479">
        <v>3.8800000000000001E-2</v>
      </c>
      <c r="FE58" s="479">
        <v>3.8800000000000001E-2</v>
      </c>
      <c r="FF58" s="479">
        <v>3.8300000000000001E-2</v>
      </c>
      <c r="FG58" s="479">
        <v>3.78E-2</v>
      </c>
      <c r="FH58" s="479">
        <v>3.7199999999999997E-2</v>
      </c>
      <c r="FI58" s="479">
        <v>3.6799999999999999E-2</v>
      </c>
      <c r="FJ58" s="479">
        <v>3.6600000000000001E-2</v>
      </c>
      <c r="FK58" s="479">
        <v>3.6400000000000002E-2</v>
      </c>
      <c r="FL58" s="479">
        <v>3.6299999999999999E-2</v>
      </c>
      <c r="FM58" s="479">
        <v>3.5299999999999998E-2</v>
      </c>
      <c r="FN58" s="479">
        <v>3.3700000000000001E-2</v>
      </c>
      <c r="FO58" s="479">
        <v>3.2599999999999997E-2</v>
      </c>
      <c r="FP58" s="479">
        <v>3.1800000000000002E-2</v>
      </c>
      <c r="FQ58" s="479">
        <v>3.1600000000000003E-2</v>
      </c>
      <c r="FR58" s="479">
        <v>3.1300000000000001E-2</v>
      </c>
      <c r="FS58" s="479">
        <v>3.09E-2</v>
      </c>
      <c r="FT58" s="479">
        <v>2.9600000000000001E-2</v>
      </c>
      <c r="FU58" s="479">
        <v>2.81E-2</v>
      </c>
      <c r="FV58" s="479">
        <v>4.2700000000000002E-2</v>
      </c>
      <c r="FW58" s="479">
        <v>4.2700000000000002E-2</v>
      </c>
      <c r="FX58" s="479">
        <v>4.3999999999999997E-2</v>
      </c>
      <c r="FY58" s="479">
        <v>4.3700000000000003E-2</v>
      </c>
      <c r="FZ58" s="479">
        <v>4.3400000000000001E-2</v>
      </c>
      <c r="GA58" s="479">
        <v>4.2999999999999997E-2</v>
      </c>
      <c r="GB58" s="479">
        <v>4.2599999999999999E-2</v>
      </c>
      <c r="GC58" s="479">
        <v>4.2799999999999998E-2</v>
      </c>
      <c r="GD58" s="479">
        <v>2.6100000000000002E-2</v>
      </c>
      <c r="GE58" s="479">
        <v>2.6100000000000002E-2</v>
      </c>
      <c r="GF58" s="479">
        <v>2.6100000000000002E-2</v>
      </c>
      <c r="GG58" s="479">
        <v>2.6100000000000002E-2</v>
      </c>
      <c r="GH58" s="479">
        <v>2.6100000000000002E-2</v>
      </c>
      <c r="GI58" s="479">
        <v>2.6100000000000002E-2</v>
      </c>
      <c r="GJ58" s="479">
        <v>2.6100000000000002E-2</v>
      </c>
      <c r="GK58" s="479">
        <v>2.6100000000000002E-2</v>
      </c>
      <c r="GL58" s="479">
        <v>2.6100000000000002E-2</v>
      </c>
      <c r="GM58" s="479">
        <v>2.6100000000000002E-2</v>
      </c>
      <c r="GN58" s="479">
        <v>2.6100000000000002E-2</v>
      </c>
      <c r="GO58" s="479">
        <v>2.6100000000000002E-2</v>
      </c>
      <c r="GP58" s="479">
        <v>2.6100000000000002E-2</v>
      </c>
      <c r="GQ58" s="479">
        <v>2.6100000000000002E-2</v>
      </c>
      <c r="GR58" s="479">
        <v>2.6100000000000002E-2</v>
      </c>
      <c r="GS58" s="479">
        <v>2.6100000000000002E-2</v>
      </c>
      <c r="GT58" s="479">
        <v>2.6100000000000002E-2</v>
      </c>
      <c r="GU58" s="479">
        <v>2.6100000000000002E-2</v>
      </c>
      <c r="GV58" s="479">
        <v>2.6100000000000002E-2</v>
      </c>
      <c r="GW58" s="479">
        <v>2.6100000000000002E-2</v>
      </c>
      <c r="GX58" s="479">
        <v>2.6100000000000002E-2</v>
      </c>
      <c r="GY58" s="479">
        <v>2.6100000000000002E-2</v>
      </c>
      <c r="GZ58" s="479">
        <v>2.6100000000000002E-2</v>
      </c>
      <c r="HA58" s="479">
        <v>2.6100000000000002E-2</v>
      </c>
      <c r="HB58" s="479">
        <v>2.6100000000000002E-2</v>
      </c>
      <c r="HC58" s="479">
        <v>2.6100000000000002E-2</v>
      </c>
      <c r="HD58" s="479">
        <v>2.6100000000000002E-2</v>
      </c>
      <c r="HE58" s="479">
        <v>2.6100000000000002E-2</v>
      </c>
      <c r="HF58" s="479">
        <v>2.6100000000000002E-2</v>
      </c>
      <c r="HG58" s="479">
        <v>2.6100000000000002E-2</v>
      </c>
      <c r="HH58" s="479">
        <v>2.6100000000000002E-2</v>
      </c>
      <c r="HI58" s="479">
        <v>2.6100000000000002E-2</v>
      </c>
      <c r="HJ58" s="479">
        <v>2.6100000000000002E-2</v>
      </c>
      <c r="HK58" s="479">
        <v>2.6100000000000002E-2</v>
      </c>
      <c r="HL58" s="479">
        <v>2.6100000000000002E-2</v>
      </c>
      <c r="HM58" s="479">
        <v>2.6100000000000002E-2</v>
      </c>
      <c r="HN58" s="479">
        <v>2.6100000000000002E-2</v>
      </c>
      <c r="HO58" s="479">
        <v>2.6100000000000002E-2</v>
      </c>
      <c r="HP58" s="473">
        <f t="shared" si="12"/>
        <v>0</v>
      </c>
      <c r="HQ58" s="499"/>
      <c r="HR58" s="462" t="s">
        <v>238</v>
      </c>
    </row>
    <row r="59" spans="2:226">
      <c r="B59" s="1127"/>
      <c r="C59" s="731" t="s">
        <v>235</v>
      </c>
      <c r="D59" s="657">
        <v>3.15E-2</v>
      </c>
      <c r="E59" s="657">
        <v>3.15E-2</v>
      </c>
      <c r="F59" s="657">
        <v>3.1300000000000001E-2</v>
      </c>
      <c r="G59" s="657">
        <v>3.0599999999999999E-2</v>
      </c>
      <c r="H59" s="667">
        <v>3.0800000000000001E-2</v>
      </c>
      <c r="I59" s="657">
        <v>3.0800000000000001E-2</v>
      </c>
      <c r="J59" s="657">
        <v>3.0700000000000002E-2</v>
      </c>
      <c r="K59" s="657">
        <v>3.09E-2</v>
      </c>
      <c r="L59" s="657">
        <v>3.1E-2</v>
      </c>
      <c r="M59" s="657">
        <v>3.1099999999999999E-2</v>
      </c>
      <c r="N59" s="657">
        <v>3.1300000000000001E-2</v>
      </c>
      <c r="O59" s="657">
        <v>3.1899999999999998E-2</v>
      </c>
      <c r="P59" s="657">
        <v>3.2399999999999998E-2</v>
      </c>
      <c r="Q59" s="657">
        <v>3.2800000000000003E-2</v>
      </c>
      <c r="R59" s="657">
        <v>3.3300000000000003E-2</v>
      </c>
      <c r="S59" s="657">
        <v>3.32E-2</v>
      </c>
      <c r="T59" s="488">
        <v>3.3300000000000003E-2</v>
      </c>
      <c r="U59" s="494">
        <v>3.3300000000000003E-2</v>
      </c>
      <c r="V59" s="489">
        <v>3.3600000000000005E-2</v>
      </c>
      <c r="W59" s="494">
        <v>3.3600000000000005E-2</v>
      </c>
      <c r="X59" s="494">
        <v>3.4100000000000005E-2</v>
      </c>
      <c r="Y59" s="494">
        <v>3.4400000000000007E-2</v>
      </c>
      <c r="Z59" s="494">
        <v>3.4800000000000005E-2</v>
      </c>
      <c r="AA59" s="494">
        <v>3.5200000000000002E-2</v>
      </c>
      <c r="AB59" s="494">
        <v>3.56E-2</v>
      </c>
      <c r="AC59" s="494">
        <v>3.5499999999999997E-2</v>
      </c>
      <c r="AD59" s="494">
        <v>3.5999999999999997E-2</v>
      </c>
      <c r="AE59" s="494">
        <v>3.6600000000000001E-2</v>
      </c>
      <c r="AF59" s="494">
        <v>3.7100000000000001E-2</v>
      </c>
      <c r="AG59" s="494">
        <v>3.73E-2</v>
      </c>
      <c r="AH59" s="478">
        <v>3.7400000000000003E-2</v>
      </c>
      <c r="AI59" s="503">
        <v>3.73E-2</v>
      </c>
      <c r="AJ59" s="478">
        <v>3.7499999999999999E-2</v>
      </c>
      <c r="AK59" s="478">
        <v>3.7600000000000001E-2</v>
      </c>
      <c r="AL59" s="479">
        <v>3.7600000000000001E-2</v>
      </c>
      <c r="AM59" s="503">
        <v>3.7600000000000001E-2</v>
      </c>
      <c r="AN59" s="503">
        <v>3.7499999999999999E-2</v>
      </c>
      <c r="AO59" s="478">
        <f>AO58</f>
        <v>3.7499999999999999E-2</v>
      </c>
      <c r="AP59" s="503">
        <v>3.7499999999999999E-2</v>
      </c>
      <c r="AQ59" s="478">
        <f t="shared" ref="AQ59:BC59" si="16">AQ58</f>
        <v>3.7600000000000001E-2</v>
      </c>
      <c r="AR59" s="503">
        <f t="shared" si="16"/>
        <v>3.7600000000000001E-2</v>
      </c>
      <c r="AS59" s="503">
        <f t="shared" si="16"/>
        <v>3.7499999999999999E-2</v>
      </c>
      <c r="AT59" s="478">
        <f t="shared" si="16"/>
        <v>3.7600000000000001E-2</v>
      </c>
      <c r="AU59" s="478">
        <f t="shared" si="16"/>
        <v>3.7600000000000001E-2</v>
      </c>
      <c r="AV59" s="503">
        <f t="shared" si="16"/>
        <v>3.7600000000000001E-2</v>
      </c>
      <c r="AW59" s="479">
        <f t="shared" si="16"/>
        <v>3.7400000000000003E-2</v>
      </c>
      <c r="AX59" s="479">
        <f t="shared" si="16"/>
        <v>3.7400000000000003E-2</v>
      </c>
      <c r="AY59" s="479">
        <f t="shared" si="16"/>
        <v>3.7400000000000003E-2</v>
      </c>
      <c r="AZ59" s="479">
        <f t="shared" si="16"/>
        <v>3.7400000000000003E-2</v>
      </c>
      <c r="BA59" s="479">
        <f t="shared" si="16"/>
        <v>3.7400000000000003E-2</v>
      </c>
      <c r="BB59" s="479">
        <f t="shared" si="16"/>
        <v>3.7400000000000003E-2</v>
      </c>
      <c r="BC59" s="479">
        <f t="shared" si="16"/>
        <v>3.7400000000000003E-2</v>
      </c>
      <c r="BD59" s="479">
        <v>3.7199999999999997E-2</v>
      </c>
      <c r="BE59" s="479">
        <v>3.7199999999999997E-2</v>
      </c>
      <c r="BF59" s="479">
        <v>3.7199999999999997E-2</v>
      </c>
      <c r="BG59" s="479">
        <v>3.7199999999999997E-2</v>
      </c>
      <c r="BH59" s="479">
        <v>3.7199999999999997E-2</v>
      </c>
      <c r="BI59" s="479">
        <v>3.7199999999999997E-2</v>
      </c>
      <c r="BJ59" s="479">
        <v>3.7199999999999997E-2</v>
      </c>
      <c r="BK59" s="479">
        <v>3.7199999999999997E-2</v>
      </c>
      <c r="BL59" s="479">
        <v>3.8800000000000001E-2</v>
      </c>
      <c r="BM59" s="479">
        <v>3.8199999999999998E-2</v>
      </c>
      <c r="BN59" s="479">
        <v>3.8199999999999998E-2</v>
      </c>
      <c r="BO59" s="479">
        <v>3.8699999999999998E-2</v>
      </c>
      <c r="BP59" s="479">
        <v>3.95E-2</v>
      </c>
      <c r="BQ59" s="479">
        <v>3.95E-2</v>
      </c>
      <c r="BR59" s="479">
        <v>3.9899999999999998E-2</v>
      </c>
      <c r="BS59" s="479">
        <v>3.9899999999999998E-2</v>
      </c>
      <c r="BT59" s="479">
        <v>4.1200000000000001E-2</v>
      </c>
      <c r="BU59" s="479">
        <v>4.1200000000000001E-2</v>
      </c>
      <c r="BV59" s="479">
        <v>4.1200000000000001E-2</v>
      </c>
      <c r="BW59" s="479">
        <v>4.2299999999999997E-2</v>
      </c>
      <c r="BX59" s="479">
        <v>4.2299999999999997E-2</v>
      </c>
      <c r="BY59" s="479">
        <v>4.2299999999999997E-2</v>
      </c>
      <c r="BZ59" s="479">
        <v>4.2299999999999997E-2</v>
      </c>
      <c r="CA59" s="479">
        <v>4.3900000000000002E-2</v>
      </c>
      <c r="CB59" s="479">
        <v>4.5100000000000001E-2</v>
      </c>
      <c r="CC59" s="479">
        <v>4.58E-2</v>
      </c>
      <c r="CD59" s="479">
        <v>4.6600000000000003E-2</v>
      </c>
      <c r="CE59" s="479">
        <v>4.7300000000000002E-2</v>
      </c>
      <c r="CF59" s="479">
        <v>4.7500000000000001E-2</v>
      </c>
      <c r="CG59" s="479">
        <v>4.7500000000000001E-2</v>
      </c>
      <c r="CH59" s="479">
        <v>4.7500000000000001E-2</v>
      </c>
      <c r="CI59" s="479">
        <v>4.7600000000000003E-2</v>
      </c>
      <c r="CJ59" s="479">
        <v>4.7600000000000003E-2</v>
      </c>
      <c r="CK59" s="479">
        <v>4.7600000000000003E-2</v>
      </c>
      <c r="CL59" s="479">
        <v>4.7600000000000003E-2</v>
      </c>
      <c r="CM59" s="479">
        <v>4.7699999999999999E-2</v>
      </c>
      <c r="CN59" s="479">
        <v>4.7699999999999999E-2</v>
      </c>
      <c r="CO59" s="479">
        <v>4.7699999999999999E-2</v>
      </c>
      <c r="CP59" s="479">
        <v>4.7699999999999999E-2</v>
      </c>
      <c r="CQ59" s="479">
        <v>4.7800000000000002E-2</v>
      </c>
      <c r="CR59" s="479">
        <v>4.7699999999999999E-2</v>
      </c>
      <c r="CS59" s="479">
        <v>4.7699999999999999E-2</v>
      </c>
      <c r="CT59" s="479">
        <v>4.7600000000000003E-2</v>
      </c>
      <c r="CU59" s="484">
        <v>4.7600000000000003E-2</v>
      </c>
      <c r="CV59" s="489">
        <v>4.87E-2</v>
      </c>
      <c r="CW59" s="472">
        <v>4.7600000000000003E-2</v>
      </c>
      <c r="CX59" s="472">
        <v>4.7600000000000003E-2</v>
      </c>
      <c r="CY59" s="472">
        <v>4.7800000000000002E-2</v>
      </c>
      <c r="CZ59" s="472">
        <v>4.7699999999999999E-2</v>
      </c>
      <c r="DA59" s="472">
        <v>4.7800000000000002E-2</v>
      </c>
      <c r="DB59" s="472">
        <v>4.7600000000000003E-2</v>
      </c>
      <c r="DC59" s="484">
        <v>4.7600000000000003E-2</v>
      </c>
      <c r="DD59" s="484">
        <v>4.7300000000000002E-2</v>
      </c>
      <c r="DE59" s="479">
        <v>4.8899999999999999E-2</v>
      </c>
      <c r="DF59" s="479">
        <v>4.8899999999999999E-2</v>
      </c>
      <c r="DG59" s="479">
        <v>4.8899999999999999E-2</v>
      </c>
      <c r="DH59" s="479">
        <v>4.8899999999999999E-2</v>
      </c>
      <c r="DI59" s="479">
        <v>4.8899999999999999E-2</v>
      </c>
      <c r="DJ59" s="479">
        <v>4.9000000000000002E-2</v>
      </c>
      <c r="DK59" s="479">
        <v>4.9099999999999998E-2</v>
      </c>
      <c r="DL59" s="479">
        <v>4.9200000000000001E-2</v>
      </c>
      <c r="DM59" s="479">
        <v>4.9700000000000001E-2</v>
      </c>
      <c r="DN59" s="479">
        <v>4.99E-2</v>
      </c>
      <c r="DO59" s="479">
        <v>5.0500000000000003E-2</v>
      </c>
      <c r="DP59" s="479">
        <v>5.0900000000000001E-2</v>
      </c>
      <c r="DQ59" s="479">
        <v>5.0299999999999997E-2</v>
      </c>
      <c r="DR59" s="479">
        <v>4.5999999999999999E-2</v>
      </c>
      <c r="DS59" s="479">
        <v>4.5900000000000003E-2</v>
      </c>
      <c r="DT59" s="479">
        <v>4.5100000000000001E-2</v>
      </c>
      <c r="DU59" s="479">
        <v>4.5100000000000001E-2</v>
      </c>
      <c r="DV59" s="479">
        <v>4.5100000000000001E-2</v>
      </c>
      <c r="DW59" s="479">
        <v>4.5199999999999997E-2</v>
      </c>
      <c r="DX59" s="479">
        <v>4.5199999999999997E-2</v>
      </c>
      <c r="DY59" s="479">
        <v>4.4900000000000002E-2</v>
      </c>
      <c r="DZ59" s="479">
        <v>4.4900000000000002E-2</v>
      </c>
      <c r="EA59" s="479">
        <v>4.4900000000000002E-2</v>
      </c>
      <c r="EB59" s="479">
        <v>4.48E-2</v>
      </c>
      <c r="EC59" s="479">
        <v>4.4900000000000002E-2</v>
      </c>
      <c r="ED59" s="479">
        <v>4.4699999999999997E-2</v>
      </c>
      <c r="EE59" s="479">
        <v>4.4699999999999997E-2</v>
      </c>
      <c r="EF59" s="479">
        <v>4.4699999999999997E-2</v>
      </c>
      <c r="EG59" s="479">
        <v>4.4699999999999997E-2</v>
      </c>
      <c r="EH59" s="479">
        <v>4.4699999999999997E-2</v>
      </c>
      <c r="EI59" s="479">
        <v>2.6200000000000001E-2</v>
      </c>
      <c r="EJ59" s="479">
        <v>2.76E-2</v>
      </c>
      <c r="EK59" s="479">
        <v>2.7099999999999999E-2</v>
      </c>
      <c r="EL59" s="479">
        <v>2.5700000000000001E-2</v>
      </c>
      <c r="EM59" s="479">
        <v>2.2700000000000001E-2</v>
      </c>
      <c r="EN59" s="479">
        <v>4.24E-2</v>
      </c>
      <c r="EO59" s="479">
        <v>4.41E-2</v>
      </c>
      <c r="EP59" s="479">
        <v>4.3999999999999997E-2</v>
      </c>
      <c r="EQ59" s="479">
        <v>4.3900000000000002E-2</v>
      </c>
      <c r="ER59" s="479">
        <v>4.3099999999999999E-2</v>
      </c>
      <c r="ES59" s="479">
        <v>4.2700000000000002E-2</v>
      </c>
      <c r="ET59" s="479">
        <v>4.2500000000000003E-2</v>
      </c>
      <c r="EU59" s="479">
        <v>4.2500000000000003E-2</v>
      </c>
      <c r="EV59" s="479">
        <v>4.2999999999999997E-2</v>
      </c>
      <c r="EW59" s="479">
        <v>4.2700000000000002E-2</v>
      </c>
      <c r="EX59" s="479">
        <v>4.2999999999999997E-2</v>
      </c>
      <c r="EY59" s="479">
        <v>4.1500000000000002E-2</v>
      </c>
      <c r="EZ59" s="479">
        <v>0.04</v>
      </c>
      <c r="FA59" s="479">
        <v>0.04</v>
      </c>
      <c r="FB59" s="479">
        <v>3.9399999999999998E-2</v>
      </c>
      <c r="FC59" s="479">
        <v>3.9399999999999998E-2</v>
      </c>
      <c r="FD59" s="479">
        <v>3.9300000000000002E-2</v>
      </c>
      <c r="FE59" s="479">
        <v>3.9300000000000002E-2</v>
      </c>
      <c r="FF59" s="479">
        <v>3.8800000000000001E-2</v>
      </c>
      <c r="FG59" s="479">
        <v>3.8300000000000001E-2</v>
      </c>
      <c r="FH59" s="479">
        <v>3.7699999999999997E-2</v>
      </c>
      <c r="FI59" s="479">
        <v>3.73E-2</v>
      </c>
      <c r="FJ59" s="479">
        <v>3.7100000000000001E-2</v>
      </c>
      <c r="FK59" s="479">
        <v>3.6900000000000002E-2</v>
      </c>
      <c r="FL59" s="479">
        <v>3.6799999999999999E-2</v>
      </c>
      <c r="FM59" s="479">
        <v>3.5299999999999998E-2</v>
      </c>
      <c r="FN59" s="479">
        <v>3.3700000000000001E-2</v>
      </c>
      <c r="FO59" s="479">
        <v>3.2599999999999997E-2</v>
      </c>
      <c r="FP59" s="479">
        <v>3.1800000000000002E-2</v>
      </c>
      <c r="FQ59" s="479">
        <v>3.1600000000000003E-2</v>
      </c>
      <c r="FR59" s="479">
        <v>3.1300000000000001E-2</v>
      </c>
      <c r="FS59" s="479">
        <v>3.09E-2</v>
      </c>
      <c r="FT59" s="479">
        <v>2.9600000000000001E-2</v>
      </c>
      <c r="FU59" s="479">
        <v>2.81E-2</v>
      </c>
      <c r="FV59" s="479">
        <v>4.3099999999999999E-2</v>
      </c>
      <c r="FW59" s="479">
        <v>4.3099999999999999E-2</v>
      </c>
      <c r="FX59" s="479">
        <v>4.4400000000000002E-2</v>
      </c>
      <c r="FY59" s="479">
        <v>4.41E-2</v>
      </c>
      <c r="FZ59" s="479">
        <v>4.3799999999999999E-2</v>
      </c>
      <c r="GA59" s="479">
        <v>4.3400000000000001E-2</v>
      </c>
      <c r="GB59" s="479">
        <v>4.2999999999999997E-2</v>
      </c>
      <c r="GC59" s="479">
        <v>4.3200000000000002E-2</v>
      </c>
      <c r="GD59" s="479">
        <v>2.7099999999999999E-2</v>
      </c>
      <c r="GE59" s="479">
        <v>2.7099999999999999E-2</v>
      </c>
      <c r="GF59" s="479">
        <v>2.7099999999999999E-2</v>
      </c>
      <c r="GG59" s="479">
        <v>2.7099999999999999E-2</v>
      </c>
      <c r="GH59" s="479">
        <v>2.7099999999999999E-2</v>
      </c>
      <c r="GI59" s="479">
        <v>2.7099999999999999E-2</v>
      </c>
      <c r="GJ59" s="479">
        <v>2.7099999999999999E-2</v>
      </c>
      <c r="GK59" s="479">
        <v>2.7099999999999999E-2</v>
      </c>
      <c r="GL59" s="479">
        <v>2.7099999999999999E-2</v>
      </c>
      <c r="GM59" s="479">
        <v>2.7099999999999999E-2</v>
      </c>
      <c r="GN59" s="479">
        <v>2.7099999999999999E-2</v>
      </c>
      <c r="GO59" s="479">
        <v>2.7099999999999999E-2</v>
      </c>
      <c r="GP59" s="479">
        <v>2.7099999999999999E-2</v>
      </c>
      <c r="GQ59" s="479">
        <v>2.7099999999999999E-2</v>
      </c>
      <c r="GR59" s="479">
        <v>2.7099999999999999E-2</v>
      </c>
      <c r="GS59" s="479">
        <v>2.7099999999999999E-2</v>
      </c>
      <c r="GT59" s="479">
        <v>2.7099999999999999E-2</v>
      </c>
      <c r="GU59" s="479">
        <v>2.7099999999999999E-2</v>
      </c>
      <c r="GV59" s="479">
        <v>2.7099999999999999E-2</v>
      </c>
      <c r="GW59" s="479">
        <v>2.7099999999999999E-2</v>
      </c>
      <c r="GX59" s="479">
        <v>2.7099999999999999E-2</v>
      </c>
      <c r="GY59" s="479">
        <v>2.7099999999999999E-2</v>
      </c>
      <c r="GZ59" s="479">
        <v>2.7099999999999999E-2</v>
      </c>
      <c r="HA59" s="479">
        <v>2.7099999999999999E-2</v>
      </c>
      <c r="HB59" s="479">
        <v>2.7099999999999999E-2</v>
      </c>
      <c r="HC59" s="479">
        <v>2.7099999999999999E-2</v>
      </c>
      <c r="HD59" s="479">
        <v>2.7099999999999999E-2</v>
      </c>
      <c r="HE59" s="479">
        <v>2.7099999999999999E-2</v>
      </c>
      <c r="HF59" s="479">
        <v>2.7099999999999999E-2</v>
      </c>
      <c r="HG59" s="479">
        <v>2.7099999999999999E-2</v>
      </c>
      <c r="HH59" s="479">
        <v>2.7099999999999999E-2</v>
      </c>
      <c r="HI59" s="479">
        <v>2.7099999999999999E-2</v>
      </c>
      <c r="HJ59" s="479">
        <v>2.7099999999999999E-2</v>
      </c>
      <c r="HK59" s="479">
        <v>2.7099999999999999E-2</v>
      </c>
      <c r="HL59" s="479">
        <v>2.7099999999999999E-2</v>
      </c>
      <c r="HM59" s="479">
        <v>2.7099999999999999E-2</v>
      </c>
      <c r="HN59" s="479">
        <v>2.7099999999999999E-2</v>
      </c>
      <c r="HO59" s="479">
        <v>2.7099999999999999E-2</v>
      </c>
      <c r="HP59" s="473">
        <f t="shared" si="12"/>
        <v>0</v>
      </c>
      <c r="HQ59" s="499"/>
    </row>
    <row r="60" spans="2:226">
      <c r="B60" s="1127"/>
      <c r="C60" s="731" t="s">
        <v>234</v>
      </c>
      <c r="D60" s="657">
        <v>3.2500000000000001E-2</v>
      </c>
      <c r="E60" s="657">
        <v>3.2500000000000001E-2</v>
      </c>
      <c r="F60" s="657">
        <v>3.2300000000000002E-2</v>
      </c>
      <c r="G60" s="657">
        <v>3.1600000000000003E-2</v>
      </c>
      <c r="H60" s="667">
        <v>3.1800000000000002E-2</v>
      </c>
      <c r="I60" s="657">
        <v>3.1800000000000002E-2</v>
      </c>
      <c r="J60" s="657">
        <v>3.1699999999999999E-2</v>
      </c>
      <c r="K60" s="657">
        <v>3.1899999999999998E-2</v>
      </c>
      <c r="L60" s="657">
        <v>3.2000000000000001E-2</v>
      </c>
      <c r="M60" s="657">
        <v>3.2099999999999997E-2</v>
      </c>
      <c r="N60" s="657">
        <v>3.2300000000000002E-2</v>
      </c>
      <c r="O60" s="657">
        <v>3.2899999999999999E-2</v>
      </c>
      <c r="P60" s="657">
        <v>3.3399999999999999E-2</v>
      </c>
      <c r="Q60" s="657">
        <v>3.3799999999999997E-2</v>
      </c>
      <c r="R60" s="657">
        <v>3.4299999999999997E-2</v>
      </c>
      <c r="S60" s="657">
        <v>3.4200000000000001E-2</v>
      </c>
      <c r="T60" s="488">
        <v>3.4300000000000004E-2</v>
      </c>
      <c r="U60" s="494">
        <v>3.4300000000000004E-2</v>
      </c>
      <c r="V60" s="489">
        <v>3.4600000000000006E-2</v>
      </c>
      <c r="W60" s="494">
        <v>3.4600000000000006E-2</v>
      </c>
      <c r="X60" s="494">
        <v>3.5100000000000006E-2</v>
      </c>
      <c r="Y60" s="494">
        <v>3.5400000000000008E-2</v>
      </c>
      <c r="Z60" s="494">
        <v>3.5800000000000005E-2</v>
      </c>
      <c r="AA60" s="494">
        <v>3.6200000000000003E-2</v>
      </c>
      <c r="AB60" s="494">
        <v>3.6600000000000001E-2</v>
      </c>
      <c r="AC60" s="494">
        <v>3.6499999999999998E-2</v>
      </c>
      <c r="AD60" s="494">
        <v>3.6999999999999998E-2</v>
      </c>
      <c r="AE60" s="494">
        <v>3.7600000000000001E-2</v>
      </c>
      <c r="AF60" s="494">
        <v>3.8100000000000002E-2</v>
      </c>
      <c r="AG60" s="494">
        <v>3.8300000000000001E-2</v>
      </c>
      <c r="AH60" s="478">
        <v>3.8399999999999997E-2</v>
      </c>
      <c r="AI60" s="503">
        <v>3.8300000000000001E-2</v>
      </c>
      <c r="AJ60" s="503">
        <v>3.85E-2</v>
      </c>
      <c r="AK60" s="478">
        <v>3.8600000000000002E-2</v>
      </c>
      <c r="AL60" s="479">
        <v>3.8600000000000002E-2</v>
      </c>
      <c r="AM60" s="503">
        <v>3.8600000000000002E-2</v>
      </c>
      <c r="AN60" s="478">
        <v>3.85E-2</v>
      </c>
      <c r="AO60" s="478">
        <f>AO57+0.2%</f>
        <v>3.85E-2</v>
      </c>
      <c r="AP60" s="503">
        <v>3.85E-2</v>
      </c>
      <c r="AQ60" s="478">
        <f t="shared" ref="AQ60:BC60" si="17">AQ57+0.2%</f>
        <v>3.8600000000000002E-2</v>
      </c>
      <c r="AR60" s="503">
        <f t="shared" si="17"/>
        <v>3.8600000000000002E-2</v>
      </c>
      <c r="AS60" s="503">
        <f t="shared" si="17"/>
        <v>3.85E-2</v>
      </c>
      <c r="AT60" s="478">
        <f t="shared" si="17"/>
        <v>3.8600000000000002E-2</v>
      </c>
      <c r="AU60" s="478">
        <f t="shared" si="17"/>
        <v>3.8600000000000002E-2</v>
      </c>
      <c r="AV60" s="503">
        <f t="shared" si="17"/>
        <v>3.8600000000000002E-2</v>
      </c>
      <c r="AW60" s="479">
        <f t="shared" si="17"/>
        <v>3.8400000000000004E-2</v>
      </c>
      <c r="AX60" s="479">
        <f t="shared" si="17"/>
        <v>3.8400000000000004E-2</v>
      </c>
      <c r="AY60" s="479">
        <f t="shared" si="17"/>
        <v>3.8400000000000004E-2</v>
      </c>
      <c r="AZ60" s="479">
        <f t="shared" si="17"/>
        <v>3.8400000000000004E-2</v>
      </c>
      <c r="BA60" s="479">
        <f t="shared" si="17"/>
        <v>3.8400000000000004E-2</v>
      </c>
      <c r="BB60" s="479">
        <f t="shared" si="17"/>
        <v>3.8400000000000004E-2</v>
      </c>
      <c r="BC60" s="479">
        <f t="shared" si="17"/>
        <v>3.8400000000000004E-2</v>
      </c>
      <c r="BD60" s="479">
        <v>3.8199999999999998E-2</v>
      </c>
      <c r="BE60" s="479">
        <v>3.8199999999999998E-2</v>
      </c>
      <c r="BF60" s="479">
        <v>3.8199999999999998E-2</v>
      </c>
      <c r="BG60" s="479">
        <v>3.8199999999999998E-2</v>
      </c>
      <c r="BH60" s="479">
        <v>3.8199999999999998E-2</v>
      </c>
      <c r="BI60" s="479">
        <v>3.8199999999999998E-2</v>
      </c>
      <c r="BJ60" s="479">
        <v>3.8199999999999998E-2</v>
      </c>
      <c r="BK60" s="479">
        <v>3.8199999999999998E-2</v>
      </c>
      <c r="BL60" s="479">
        <v>3.8800000000000001E-2</v>
      </c>
      <c r="BM60" s="479">
        <v>3.9199999999999999E-2</v>
      </c>
      <c r="BN60" s="479">
        <v>3.9199999999999999E-2</v>
      </c>
      <c r="BO60" s="479">
        <v>3.9699999999999999E-2</v>
      </c>
      <c r="BP60" s="479">
        <v>4.0500000000000001E-2</v>
      </c>
      <c r="BQ60" s="479">
        <v>4.0500000000000001E-2</v>
      </c>
      <c r="BR60" s="479">
        <v>4.0899999999999999E-2</v>
      </c>
      <c r="BS60" s="479">
        <v>4.0899999999999999E-2</v>
      </c>
      <c r="BT60" s="479">
        <v>4.2200000000000001E-2</v>
      </c>
      <c r="BU60" s="479">
        <v>4.2200000000000001E-2</v>
      </c>
      <c r="BV60" s="479">
        <v>4.2200000000000001E-2</v>
      </c>
      <c r="BW60" s="479">
        <v>4.3299999999999998E-2</v>
      </c>
      <c r="BX60" s="479">
        <v>4.3299999999999998E-2</v>
      </c>
      <c r="BY60" s="479">
        <v>4.3299999999999998E-2</v>
      </c>
      <c r="BZ60" s="479">
        <v>4.3299999999999998E-2</v>
      </c>
      <c r="CA60" s="479">
        <v>4.4900000000000002E-2</v>
      </c>
      <c r="CB60" s="479">
        <v>4.6100000000000002E-2</v>
      </c>
      <c r="CC60" s="479">
        <v>4.6800000000000001E-2</v>
      </c>
      <c r="CD60" s="479">
        <v>4.7600000000000003E-2</v>
      </c>
      <c r="CE60" s="479">
        <v>4.8300000000000003E-2</v>
      </c>
      <c r="CF60" s="479">
        <v>4.8500000000000001E-2</v>
      </c>
      <c r="CG60" s="479">
        <v>4.8500000000000001E-2</v>
      </c>
      <c r="CH60" s="479">
        <v>4.8500000000000001E-2</v>
      </c>
      <c r="CI60" s="479">
        <v>4.8599999999999997E-2</v>
      </c>
      <c r="CJ60" s="479">
        <v>4.8599999999999997E-2</v>
      </c>
      <c r="CK60" s="479">
        <v>4.8599999999999997E-2</v>
      </c>
      <c r="CL60" s="479">
        <v>4.8599999999999997E-2</v>
      </c>
      <c r="CM60" s="479">
        <v>4.87E-2</v>
      </c>
      <c r="CN60" s="479">
        <v>4.87E-2</v>
      </c>
      <c r="CO60" s="479">
        <v>4.87E-2</v>
      </c>
      <c r="CP60" s="479">
        <v>4.87E-2</v>
      </c>
      <c r="CQ60" s="479">
        <v>4.8800000000000003E-2</v>
      </c>
      <c r="CR60" s="479">
        <v>4.87E-2</v>
      </c>
      <c r="CS60" s="479">
        <v>4.87E-2</v>
      </c>
      <c r="CT60" s="479">
        <v>4.8599999999999997E-2</v>
      </c>
      <c r="CU60" s="484">
        <v>4.8599999999999997E-2</v>
      </c>
      <c r="CV60" s="489">
        <v>4.87E-2</v>
      </c>
      <c r="CW60" s="472">
        <v>4.8599999999999997E-2</v>
      </c>
      <c r="CX60" s="472">
        <v>4.8599999999999997E-2</v>
      </c>
      <c r="CY60" s="472">
        <v>4.8800000000000003E-2</v>
      </c>
      <c r="CZ60" s="472">
        <v>4.87E-2</v>
      </c>
      <c r="DA60" s="472">
        <v>4.8800000000000003E-2</v>
      </c>
      <c r="DB60" s="472">
        <v>4.8599999999999997E-2</v>
      </c>
      <c r="DC60" s="484">
        <v>4.8599999999999997E-2</v>
      </c>
      <c r="DD60" s="484">
        <v>4.8300000000000003E-2</v>
      </c>
      <c r="DE60" s="479">
        <v>4.99E-2</v>
      </c>
      <c r="DF60" s="479">
        <v>4.99E-2</v>
      </c>
      <c r="DG60" s="479">
        <v>4.99E-2</v>
      </c>
      <c r="DH60" s="479">
        <v>4.99E-2</v>
      </c>
      <c r="DI60" s="479">
        <v>4.99E-2</v>
      </c>
      <c r="DJ60" s="479">
        <v>0.05</v>
      </c>
      <c r="DK60" s="479">
        <v>5.0099999999999999E-2</v>
      </c>
      <c r="DL60" s="479">
        <v>5.0200000000000002E-2</v>
      </c>
      <c r="DM60" s="479">
        <v>5.0700000000000002E-2</v>
      </c>
      <c r="DN60" s="479">
        <v>5.0900000000000001E-2</v>
      </c>
      <c r="DO60" s="479">
        <v>5.1499999999999997E-2</v>
      </c>
      <c r="DP60" s="479">
        <v>5.1900000000000002E-2</v>
      </c>
      <c r="DQ60" s="479">
        <v>5.1299999999999998E-2</v>
      </c>
      <c r="DR60" s="479">
        <v>4.6300000000000001E-2</v>
      </c>
      <c r="DS60" s="479">
        <v>4.6199999999999998E-2</v>
      </c>
      <c r="DT60" s="479">
        <v>4.5400000000000003E-2</v>
      </c>
      <c r="DU60" s="479">
        <v>4.5400000000000003E-2</v>
      </c>
      <c r="DV60" s="479">
        <v>4.5400000000000003E-2</v>
      </c>
      <c r="DW60" s="479">
        <v>4.5499999999999999E-2</v>
      </c>
      <c r="DX60" s="479">
        <v>4.5499999999999999E-2</v>
      </c>
      <c r="DY60" s="479">
        <v>4.5199999999999997E-2</v>
      </c>
      <c r="DZ60" s="479">
        <v>4.5199999999999997E-2</v>
      </c>
      <c r="EA60" s="479">
        <v>4.5199999999999997E-2</v>
      </c>
      <c r="EB60" s="479">
        <v>4.5100000000000001E-2</v>
      </c>
      <c r="EC60" s="479">
        <v>4.5199999999999997E-2</v>
      </c>
      <c r="ED60" s="479">
        <v>4.4999999999999998E-2</v>
      </c>
      <c r="EE60" s="479">
        <v>4.4999999999999998E-2</v>
      </c>
      <c r="EF60" s="479">
        <v>4.4999999999999998E-2</v>
      </c>
      <c r="EG60" s="479">
        <v>4.4999999999999998E-2</v>
      </c>
      <c r="EH60" s="479">
        <v>4.4999999999999998E-2</v>
      </c>
      <c r="EI60" s="479">
        <v>2.7199999999999998E-2</v>
      </c>
      <c r="EJ60" s="479">
        <v>2.86E-2</v>
      </c>
      <c r="EK60" s="479">
        <v>2.81E-2</v>
      </c>
      <c r="EL60" s="479">
        <v>2.6700000000000002E-2</v>
      </c>
      <c r="EM60" s="479">
        <v>2.3699999999999999E-2</v>
      </c>
      <c r="EN60" s="479">
        <v>4.2700000000000002E-2</v>
      </c>
      <c r="EO60" s="479">
        <v>4.4299999999999999E-2</v>
      </c>
      <c r="EP60" s="479">
        <v>4.4200000000000003E-2</v>
      </c>
      <c r="EQ60" s="479">
        <v>4.41E-2</v>
      </c>
      <c r="ER60" s="479">
        <v>4.3299999999999998E-2</v>
      </c>
      <c r="ES60" s="479">
        <v>4.2900000000000001E-2</v>
      </c>
      <c r="ET60" s="479">
        <v>4.2700000000000002E-2</v>
      </c>
      <c r="EU60" s="479">
        <v>4.2700000000000002E-2</v>
      </c>
      <c r="EV60" s="479">
        <v>4.3999999999999997E-2</v>
      </c>
      <c r="EW60" s="479">
        <v>4.3700000000000003E-2</v>
      </c>
      <c r="EX60" s="479">
        <v>4.3999999999999997E-2</v>
      </c>
      <c r="EY60" s="479">
        <v>4.2500000000000003E-2</v>
      </c>
      <c r="EZ60" s="479">
        <v>4.1000000000000002E-2</v>
      </c>
      <c r="FA60" s="479">
        <v>4.1000000000000002E-2</v>
      </c>
      <c r="FB60" s="479">
        <v>4.0399999999999998E-2</v>
      </c>
      <c r="FC60" s="479">
        <v>4.0399999999999998E-2</v>
      </c>
      <c r="FD60" s="479">
        <v>4.0300000000000002E-2</v>
      </c>
      <c r="FE60" s="479">
        <v>4.0300000000000002E-2</v>
      </c>
      <c r="FF60" s="479">
        <v>3.9800000000000002E-2</v>
      </c>
      <c r="FG60" s="479">
        <v>3.9300000000000002E-2</v>
      </c>
      <c r="FH60" s="479">
        <v>3.8699999999999998E-2</v>
      </c>
      <c r="FI60" s="479">
        <v>3.8300000000000001E-2</v>
      </c>
      <c r="FJ60" s="479">
        <v>3.8100000000000002E-2</v>
      </c>
      <c r="FK60" s="479">
        <v>3.7900000000000003E-2</v>
      </c>
      <c r="FL60" s="479">
        <v>3.78E-2</v>
      </c>
      <c r="FM60" s="479">
        <v>3.6299999999999999E-2</v>
      </c>
      <c r="FN60" s="479">
        <v>3.4700000000000002E-2</v>
      </c>
      <c r="FO60" s="479">
        <v>3.3599999999999998E-2</v>
      </c>
      <c r="FP60" s="479">
        <v>3.2800000000000003E-2</v>
      </c>
      <c r="FQ60" s="479">
        <v>3.2599999999999997E-2</v>
      </c>
      <c r="FR60" s="479">
        <v>3.2300000000000002E-2</v>
      </c>
      <c r="FS60" s="479">
        <v>3.1899999999999998E-2</v>
      </c>
      <c r="FT60" s="479">
        <v>3.0599999999999999E-2</v>
      </c>
      <c r="FU60" s="479">
        <v>2.9100000000000001E-2</v>
      </c>
      <c r="FV60" s="479">
        <v>4.3400000000000001E-2</v>
      </c>
      <c r="FW60" s="479">
        <v>4.3400000000000001E-2</v>
      </c>
      <c r="FX60" s="479">
        <v>4.4699999999999997E-2</v>
      </c>
      <c r="FY60" s="479">
        <v>4.4400000000000002E-2</v>
      </c>
      <c r="FZ60" s="479">
        <v>4.41E-2</v>
      </c>
      <c r="GA60" s="479">
        <v>4.3700000000000003E-2</v>
      </c>
      <c r="GB60" s="479">
        <v>4.3299999999999998E-2</v>
      </c>
      <c r="GC60" s="479">
        <v>4.3499999999999997E-2</v>
      </c>
      <c r="GD60" s="479">
        <v>2.81E-2</v>
      </c>
      <c r="GE60" s="479">
        <v>2.81E-2</v>
      </c>
      <c r="GF60" s="479">
        <v>2.81E-2</v>
      </c>
      <c r="GG60" s="479">
        <v>2.81E-2</v>
      </c>
      <c r="GH60" s="479">
        <v>2.81E-2</v>
      </c>
      <c r="GI60" s="479">
        <v>2.81E-2</v>
      </c>
      <c r="GJ60" s="479">
        <v>2.81E-2</v>
      </c>
      <c r="GK60" s="479">
        <v>2.81E-2</v>
      </c>
      <c r="GL60" s="479">
        <v>2.81E-2</v>
      </c>
      <c r="GM60" s="479">
        <v>2.81E-2</v>
      </c>
      <c r="GN60" s="479">
        <v>2.81E-2</v>
      </c>
      <c r="GO60" s="479">
        <v>2.81E-2</v>
      </c>
      <c r="GP60" s="479">
        <v>2.81E-2</v>
      </c>
      <c r="GQ60" s="479">
        <v>2.81E-2</v>
      </c>
      <c r="GR60" s="479">
        <v>2.81E-2</v>
      </c>
      <c r="GS60" s="479">
        <v>2.81E-2</v>
      </c>
      <c r="GT60" s="479">
        <v>2.81E-2</v>
      </c>
      <c r="GU60" s="479">
        <v>2.81E-2</v>
      </c>
      <c r="GV60" s="479">
        <v>2.81E-2</v>
      </c>
      <c r="GW60" s="479">
        <v>2.81E-2</v>
      </c>
      <c r="GX60" s="479">
        <v>2.81E-2</v>
      </c>
      <c r="GY60" s="479">
        <v>2.81E-2</v>
      </c>
      <c r="GZ60" s="479">
        <v>2.81E-2</v>
      </c>
      <c r="HA60" s="479">
        <v>2.81E-2</v>
      </c>
      <c r="HB60" s="479">
        <v>2.81E-2</v>
      </c>
      <c r="HC60" s="479">
        <v>2.81E-2</v>
      </c>
      <c r="HD60" s="479">
        <v>2.81E-2</v>
      </c>
      <c r="HE60" s="479">
        <v>2.81E-2</v>
      </c>
      <c r="HF60" s="479">
        <v>2.81E-2</v>
      </c>
      <c r="HG60" s="479">
        <v>2.81E-2</v>
      </c>
      <c r="HH60" s="479">
        <v>2.81E-2</v>
      </c>
      <c r="HI60" s="479">
        <v>2.81E-2</v>
      </c>
      <c r="HJ60" s="479">
        <v>2.81E-2</v>
      </c>
      <c r="HK60" s="479">
        <v>2.81E-2</v>
      </c>
      <c r="HL60" s="479">
        <v>2.81E-2</v>
      </c>
      <c r="HM60" s="479">
        <v>2.81E-2</v>
      </c>
      <c r="HN60" s="479">
        <v>2.81E-2</v>
      </c>
      <c r="HO60" s="479">
        <v>2.81E-2</v>
      </c>
      <c r="HP60" s="473">
        <f t="shared" si="12"/>
        <v>0</v>
      </c>
      <c r="HQ60" s="499"/>
    </row>
    <row r="61" spans="2:226">
      <c r="B61" s="1128"/>
      <c r="C61" s="731" t="s">
        <v>233</v>
      </c>
      <c r="D61" s="657">
        <v>3.2500000000000001E-2</v>
      </c>
      <c r="E61" s="657">
        <v>3.2500000000000001E-2</v>
      </c>
      <c r="F61" s="657">
        <v>3.2300000000000002E-2</v>
      </c>
      <c r="G61" s="657">
        <v>3.1600000000000003E-2</v>
      </c>
      <c r="H61" s="667">
        <v>3.1800000000000002E-2</v>
      </c>
      <c r="I61" s="657">
        <v>3.1800000000000002E-2</v>
      </c>
      <c r="J61" s="657">
        <v>3.1699999999999999E-2</v>
      </c>
      <c r="K61" s="657">
        <v>3.1899999999999998E-2</v>
      </c>
      <c r="L61" s="657">
        <v>3.2000000000000001E-2</v>
      </c>
      <c r="M61" s="657">
        <v>3.2099999999999997E-2</v>
      </c>
      <c r="N61" s="657">
        <v>3.2300000000000002E-2</v>
      </c>
      <c r="O61" s="657">
        <v>3.2899999999999999E-2</v>
      </c>
      <c r="P61" s="657">
        <v>3.3399999999999999E-2</v>
      </c>
      <c r="Q61" s="657">
        <v>3.3799999999999997E-2</v>
      </c>
      <c r="R61" s="657">
        <v>3.4299999999999997E-2</v>
      </c>
      <c r="S61" s="657">
        <v>3.4200000000000001E-2</v>
      </c>
      <c r="T61" s="488">
        <v>3.4300000000000004E-2</v>
      </c>
      <c r="U61" s="494">
        <v>3.4300000000000004E-2</v>
      </c>
      <c r="V61" s="489">
        <v>3.4600000000000006E-2</v>
      </c>
      <c r="W61" s="494">
        <v>3.4600000000000006E-2</v>
      </c>
      <c r="X61" s="494">
        <v>3.5100000000000006E-2</v>
      </c>
      <c r="Y61" s="494">
        <v>3.5400000000000008E-2</v>
      </c>
      <c r="Z61" s="494">
        <v>3.5800000000000005E-2</v>
      </c>
      <c r="AA61" s="494">
        <v>3.6200000000000003E-2</v>
      </c>
      <c r="AB61" s="494">
        <v>3.6600000000000001E-2</v>
      </c>
      <c r="AC61" s="494">
        <v>3.6499999999999998E-2</v>
      </c>
      <c r="AD61" s="494">
        <v>3.6999999999999998E-2</v>
      </c>
      <c r="AE61" s="494">
        <v>3.7600000000000001E-2</v>
      </c>
      <c r="AF61" s="494">
        <v>3.8100000000000002E-2</v>
      </c>
      <c r="AG61" s="494">
        <v>3.8300000000000001E-2</v>
      </c>
      <c r="AH61" s="478">
        <v>3.8399999999999997E-2</v>
      </c>
      <c r="AI61" s="503">
        <v>3.8300000000000001E-2</v>
      </c>
      <c r="AJ61" s="503">
        <v>3.85E-2</v>
      </c>
      <c r="AK61" s="478">
        <v>3.8600000000000002E-2</v>
      </c>
      <c r="AL61" s="479">
        <v>3.8600000000000002E-2</v>
      </c>
      <c r="AM61" s="503">
        <v>3.8600000000000002E-2</v>
      </c>
      <c r="AN61" s="478">
        <v>3.85E-2</v>
      </c>
      <c r="AO61" s="478">
        <f>AO60</f>
        <v>3.85E-2</v>
      </c>
      <c r="AP61" s="503">
        <v>3.85E-2</v>
      </c>
      <c r="AQ61" s="478">
        <f t="shared" ref="AQ61:BC61" si="18">AQ60</f>
        <v>3.8600000000000002E-2</v>
      </c>
      <c r="AR61" s="503">
        <f t="shared" si="18"/>
        <v>3.8600000000000002E-2</v>
      </c>
      <c r="AS61" s="503">
        <f t="shared" si="18"/>
        <v>3.85E-2</v>
      </c>
      <c r="AT61" s="478">
        <f t="shared" si="18"/>
        <v>3.8600000000000002E-2</v>
      </c>
      <c r="AU61" s="478">
        <f t="shared" si="18"/>
        <v>3.8600000000000002E-2</v>
      </c>
      <c r="AV61" s="503">
        <f t="shared" si="18"/>
        <v>3.8600000000000002E-2</v>
      </c>
      <c r="AW61" s="479">
        <f t="shared" si="18"/>
        <v>3.8400000000000004E-2</v>
      </c>
      <c r="AX61" s="479">
        <f t="shared" si="18"/>
        <v>3.8400000000000004E-2</v>
      </c>
      <c r="AY61" s="479">
        <f t="shared" si="18"/>
        <v>3.8400000000000004E-2</v>
      </c>
      <c r="AZ61" s="479">
        <f t="shared" si="18"/>
        <v>3.8400000000000004E-2</v>
      </c>
      <c r="BA61" s="479">
        <f t="shared" si="18"/>
        <v>3.8400000000000004E-2</v>
      </c>
      <c r="BB61" s="479">
        <f t="shared" si="18"/>
        <v>3.8400000000000004E-2</v>
      </c>
      <c r="BC61" s="479">
        <f t="shared" si="18"/>
        <v>3.8400000000000004E-2</v>
      </c>
      <c r="BD61" s="479">
        <v>3.8199999999999998E-2</v>
      </c>
      <c r="BE61" s="479">
        <v>3.8199999999999998E-2</v>
      </c>
      <c r="BF61" s="479">
        <v>3.8199999999999998E-2</v>
      </c>
      <c r="BG61" s="479">
        <v>3.8199999999999998E-2</v>
      </c>
      <c r="BH61" s="479">
        <v>3.8199999999999998E-2</v>
      </c>
      <c r="BI61" s="479">
        <v>3.8199999999999998E-2</v>
      </c>
      <c r="BJ61" s="479">
        <v>3.8199999999999998E-2</v>
      </c>
      <c r="BK61" s="479">
        <v>3.8199999999999998E-2</v>
      </c>
      <c r="BL61" s="479">
        <v>3.9699999999999999E-2</v>
      </c>
      <c r="BM61" s="479">
        <v>3.9699999999999999E-2</v>
      </c>
      <c r="BN61" s="479">
        <v>3.9699999999999999E-2</v>
      </c>
      <c r="BO61" s="479">
        <v>3.9699999999999999E-2</v>
      </c>
      <c r="BP61" s="479">
        <v>4.0500000000000001E-2</v>
      </c>
      <c r="BQ61" s="479">
        <v>4.0500000000000001E-2</v>
      </c>
      <c r="BR61" s="479">
        <v>4.0899999999999999E-2</v>
      </c>
      <c r="BS61" s="479">
        <v>4.0899999999999999E-2</v>
      </c>
      <c r="BT61" s="479">
        <v>4.2200000000000001E-2</v>
      </c>
      <c r="BU61" s="479">
        <v>4.2200000000000001E-2</v>
      </c>
      <c r="BV61" s="479">
        <v>4.2200000000000001E-2</v>
      </c>
      <c r="BW61" s="479">
        <v>4.3299999999999998E-2</v>
      </c>
      <c r="BX61" s="479">
        <v>4.3299999999999998E-2</v>
      </c>
      <c r="BY61" s="479">
        <v>4.3299999999999998E-2</v>
      </c>
      <c r="BZ61" s="479">
        <v>4.3299999999999998E-2</v>
      </c>
      <c r="CA61" s="479">
        <v>4.4900000000000002E-2</v>
      </c>
      <c r="CB61" s="479">
        <v>4.6100000000000002E-2</v>
      </c>
      <c r="CC61" s="479">
        <v>4.6800000000000001E-2</v>
      </c>
      <c r="CD61" s="479">
        <v>4.7600000000000003E-2</v>
      </c>
      <c r="CE61" s="479">
        <v>4.8300000000000003E-2</v>
      </c>
      <c r="CF61" s="479">
        <v>4.8500000000000001E-2</v>
      </c>
      <c r="CG61" s="479">
        <v>4.8500000000000001E-2</v>
      </c>
      <c r="CH61" s="479">
        <v>4.8500000000000001E-2</v>
      </c>
      <c r="CI61" s="479">
        <v>4.8599999999999997E-2</v>
      </c>
      <c r="CJ61" s="479">
        <v>4.8599999999999997E-2</v>
      </c>
      <c r="CK61" s="479">
        <v>4.8599999999999997E-2</v>
      </c>
      <c r="CL61" s="479">
        <v>4.8599999999999997E-2</v>
      </c>
      <c r="CM61" s="479">
        <v>4.87E-2</v>
      </c>
      <c r="CN61" s="479">
        <v>4.87E-2</v>
      </c>
      <c r="CO61" s="479">
        <v>4.87E-2</v>
      </c>
      <c r="CP61" s="479">
        <v>4.87E-2</v>
      </c>
      <c r="CQ61" s="479">
        <v>4.8800000000000003E-2</v>
      </c>
      <c r="CR61" s="479">
        <v>4.87E-2</v>
      </c>
      <c r="CS61" s="479">
        <v>4.87E-2</v>
      </c>
      <c r="CT61" s="479">
        <v>4.8599999999999997E-2</v>
      </c>
      <c r="CU61" s="484">
        <v>4.8599999999999997E-2</v>
      </c>
      <c r="CV61" s="489">
        <v>4.87E-2</v>
      </c>
      <c r="CW61" s="472">
        <v>4.8599999999999997E-2</v>
      </c>
      <c r="CX61" s="472">
        <v>4.8599999999999997E-2</v>
      </c>
      <c r="CY61" s="472">
        <v>4.8800000000000003E-2</v>
      </c>
      <c r="CZ61" s="472">
        <v>4.87E-2</v>
      </c>
      <c r="DA61" s="472">
        <v>4.8800000000000003E-2</v>
      </c>
      <c r="DB61" s="472">
        <v>4.8599999999999997E-2</v>
      </c>
      <c r="DC61" s="484">
        <v>4.8599999999999997E-2</v>
      </c>
      <c r="DD61" s="484">
        <v>4.8300000000000003E-2</v>
      </c>
      <c r="DE61" s="479">
        <v>4.99E-2</v>
      </c>
      <c r="DF61" s="479">
        <v>4.99E-2</v>
      </c>
      <c r="DG61" s="479">
        <v>4.99E-2</v>
      </c>
      <c r="DH61" s="479">
        <v>4.99E-2</v>
      </c>
      <c r="DI61" s="479">
        <v>4.99E-2</v>
      </c>
      <c r="DJ61" s="479">
        <v>0.05</v>
      </c>
      <c r="DK61" s="479">
        <v>5.0099999999999999E-2</v>
      </c>
      <c r="DL61" s="479">
        <v>5.0200000000000002E-2</v>
      </c>
      <c r="DM61" s="479">
        <v>5.0700000000000002E-2</v>
      </c>
      <c r="DN61" s="479">
        <v>5.0900000000000001E-2</v>
      </c>
      <c r="DO61" s="479">
        <v>5.1499999999999997E-2</v>
      </c>
      <c r="DP61" s="479">
        <v>5.1900000000000002E-2</v>
      </c>
      <c r="DQ61" s="479">
        <v>5.1299999999999998E-2</v>
      </c>
      <c r="DR61" s="479">
        <v>4.6600000000000003E-2</v>
      </c>
      <c r="DS61" s="479">
        <v>4.65E-2</v>
      </c>
      <c r="DT61" s="479">
        <v>4.5400000000000003E-2</v>
      </c>
      <c r="DU61" s="479">
        <v>4.5400000000000003E-2</v>
      </c>
      <c r="DV61" s="479">
        <v>4.5400000000000003E-2</v>
      </c>
      <c r="DW61" s="479">
        <v>4.5499999999999999E-2</v>
      </c>
      <c r="DX61" s="479">
        <v>4.5499999999999999E-2</v>
      </c>
      <c r="DY61" s="479">
        <v>4.5199999999999997E-2</v>
      </c>
      <c r="DZ61" s="479">
        <v>4.5199999999999997E-2</v>
      </c>
      <c r="EA61" s="479">
        <v>4.5199999999999997E-2</v>
      </c>
      <c r="EB61" s="479">
        <v>4.5100000000000001E-2</v>
      </c>
      <c r="EC61" s="479">
        <v>4.5199999999999997E-2</v>
      </c>
      <c r="ED61" s="479">
        <v>4.4999999999999998E-2</v>
      </c>
      <c r="EE61" s="479">
        <v>4.4999999999999998E-2</v>
      </c>
      <c r="EF61" s="479">
        <v>4.4999999999999998E-2</v>
      </c>
      <c r="EG61" s="479">
        <v>4.4999999999999998E-2</v>
      </c>
      <c r="EH61" s="479">
        <v>4.4999999999999998E-2</v>
      </c>
      <c r="EI61" s="479">
        <v>2.7199999999999998E-2</v>
      </c>
      <c r="EJ61" s="479">
        <v>2.9600000000000001E-2</v>
      </c>
      <c r="EK61" s="479">
        <v>2.9100000000000001E-2</v>
      </c>
      <c r="EL61" s="479">
        <v>2.7699999999999999E-2</v>
      </c>
      <c r="EM61" s="479">
        <v>2.47E-2</v>
      </c>
      <c r="EN61" s="479">
        <v>4.2700000000000002E-2</v>
      </c>
      <c r="EO61" s="479">
        <v>4.4299999999999999E-2</v>
      </c>
      <c r="EP61" s="479">
        <v>4.4200000000000003E-2</v>
      </c>
      <c r="EQ61" s="479">
        <v>4.41E-2</v>
      </c>
      <c r="ER61" s="479">
        <v>4.3299999999999998E-2</v>
      </c>
      <c r="ES61" s="479">
        <v>4.2900000000000001E-2</v>
      </c>
      <c r="ET61" s="479">
        <v>4.2700000000000002E-2</v>
      </c>
      <c r="EU61" s="479">
        <v>4.2700000000000002E-2</v>
      </c>
      <c r="EV61" s="479">
        <v>4.3999999999999997E-2</v>
      </c>
      <c r="EW61" s="479">
        <v>4.3700000000000003E-2</v>
      </c>
      <c r="EX61" s="479">
        <v>4.3999999999999997E-2</v>
      </c>
      <c r="EY61" s="479">
        <v>4.2500000000000003E-2</v>
      </c>
      <c r="EZ61" s="479">
        <v>4.1000000000000002E-2</v>
      </c>
      <c r="FA61" s="479">
        <v>4.1000000000000002E-2</v>
      </c>
      <c r="FB61" s="479">
        <v>4.0399999999999998E-2</v>
      </c>
      <c r="FC61" s="479">
        <v>4.0399999999999998E-2</v>
      </c>
      <c r="FD61" s="479">
        <v>4.0300000000000002E-2</v>
      </c>
      <c r="FE61" s="479">
        <v>4.0300000000000002E-2</v>
      </c>
      <c r="FF61" s="479">
        <v>3.9800000000000002E-2</v>
      </c>
      <c r="FG61" s="479">
        <v>3.9300000000000002E-2</v>
      </c>
      <c r="FH61" s="479">
        <v>3.8699999999999998E-2</v>
      </c>
      <c r="FI61" s="479">
        <v>3.8300000000000001E-2</v>
      </c>
      <c r="FJ61" s="479">
        <v>3.8100000000000002E-2</v>
      </c>
      <c r="FK61" s="479">
        <v>3.7900000000000003E-2</v>
      </c>
      <c r="FL61" s="479">
        <v>3.78E-2</v>
      </c>
      <c r="FM61" s="479">
        <v>3.6299999999999999E-2</v>
      </c>
      <c r="FN61" s="479">
        <v>3.4729999999999997E-2</v>
      </c>
      <c r="FO61" s="479">
        <v>3.3599999999999998E-2</v>
      </c>
      <c r="FP61" s="479">
        <v>3.2800000000000003E-2</v>
      </c>
      <c r="FQ61" s="479">
        <v>3.2599999999999997E-2</v>
      </c>
      <c r="FR61" s="479">
        <v>3.2300000000000002E-2</v>
      </c>
      <c r="FS61" s="479">
        <v>3.1899999999999998E-2</v>
      </c>
      <c r="FT61" s="479">
        <v>3.0599999999999999E-2</v>
      </c>
      <c r="FU61" s="479">
        <v>2.9100000000000001E-2</v>
      </c>
      <c r="FV61" s="479">
        <v>4.3400000000000001E-2</v>
      </c>
      <c r="FW61" s="479">
        <v>4.3400000000000001E-2</v>
      </c>
      <c r="FX61" s="479">
        <v>4.4699999999999997E-2</v>
      </c>
      <c r="FY61" s="479">
        <v>4.4400000000000002E-2</v>
      </c>
      <c r="FZ61" s="479">
        <v>4.41E-2</v>
      </c>
      <c r="GA61" s="479">
        <v>4.3700000000000003E-2</v>
      </c>
      <c r="GB61" s="479">
        <v>4.3299999999999998E-2</v>
      </c>
      <c r="GC61" s="479">
        <v>4.3499999999999997E-2</v>
      </c>
      <c r="GD61" s="479">
        <v>2.9100000000000001E-2</v>
      </c>
      <c r="GE61" s="479">
        <v>2.9100000000000001E-2</v>
      </c>
      <c r="GF61" s="479">
        <v>2.9100000000000001E-2</v>
      </c>
      <c r="GG61" s="479">
        <v>2.9100000000000001E-2</v>
      </c>
      <c r="GH61" s="479">
        <v>2.9100000000000001E-2</v>
      </c>
      <c r="GI61" s="479">
        <v>2.9100000000000001E-2</v>
      </c>
      <c r="GJ61" s="479">
        <v>2.9100000000000001E-2</v>
      </c>
      <c r="GK61" s="479">
        <v>2.9100000000000001E-2</v>
      </c>
      <c r="GL61" s="479">
        <v>2.9100000000000001E-2</v>
      </c>
      <c r="GM61" s="479">
        <v>2.9100000000000001E-2</v>
      </c>
      <c r="GN61" s="479">
        <v>2.9100000000000001E-2</v>
      </c>
      <c r="GO61" s="479">
        <v>2.9100000000000001E-2</v>
      </c>
      <c r="GP61" s="479">
        <v>2.9100000000000001E-2</v>
      </c>
      <c r="GQ61" s="479">
        <v>2.9100000000000001E-2</v>
      </c>
      <c r="GR61" s="479">
        <v>2.9100000000000001E-2</v>
      </c>
      <c r="GS61" s="479">
        <v>2.9100000000000001E-2</v>
      </c>
      <c r="GT61" s="479">
        <v>2.9100000000000001E-2</v>
      </c>
      <c r="GU61" s="479">
        <v>2.9100000000000001E-2</v>
      </c>
      <c r="GV61" s="479">
        <v>2.9100000000000001E-2</v>
      </c>
      <c r="GW61" s="479">
        <v>2.9100000000000001E-2</v>
      </c>
      <c r="GX61" s="479">
        <v>2.9100000000000001E-2</v>
      </c>
      <c r="GY61" s="479">
        <v>2.9100000000000001E-2</v>
      </c>
      <c r="GZ61" s="479">
        <v>2.9100000000000001E-2</v>
      </c>
      <c r="HA61" s="479">
        <v>2.9100000000000001E-2</v>
      </c>
      <c r="HB61" s="479">
        <v>2.9100000000000001E-2</v>
      </c>
      <c r="HC61" s="479">
        <v>2.9100000000000001E-2</v>
      </c>
      <c r="HD61" s="479">
        <v>2.9100000000000001E-2</v>
      </c>
      <c r="HE61" s="479">
        <v>2.9100000000000001E-2</v>
      </c>
      <c r="HF61" s="479">
        <v>2.9100000000000001E-2</v>
      </c>
      <c r="HG61" s="479">
        <v>2.9100000000000001E-2</v>
      </c>
      <c r="HH61" s="479">
        <v>2.9100000000000001E-2</v>
      </c>
      <c r="HI61" s="479">
        <v>2.9100000000000001E-2</v>
      </c>
      <c r="HJ61" s="479">
        <v>2.9100000000000001E-2</v>
      </c>
      <c r="HK61" s="479">
        <v>2.9100000000000001E-2</v>
      </c>
      <c r="HL61" s="479">
        <v>2.9100000000000001E-2</v>
      </c>
      <c r="HM61" s="479">
        <v>2.9100000000000001E-2</v>
      </c>
      <c r="HN61" s="479">
        <v>2.9100000000000001E-2</v>
      </c>
      <c r="HO61" s="479">
        <v>2.9100000000000001E-2</v>
      </c>
      <c r="HP61" s="473">
        <f t="shared" si="12"/>
        <v>0</v>
      </c>
      <c r="HQ61" s="499"/>
    </row>
    <row r="62" spans="2:226">
      <c r="B62" s="1129" t="s">
        <v>46</v>
      </c>
      <c r="C62" s="730" t="s">
        <v>232</v>
      </c>
      <c r="D62" s="661">
        <v>2.2265E-2</v>
      </c>
      <c r="E62" s="661">
        <v>2.2265E-2</v>
      </c>
      <c r="F62" s="661">
        <v>2.2211999999999999E-2</v>
      </c>
      <c r="G62" s="661">
        <v>2.2263999999999999E-2</v>
      </c>
      <c r="H62" s="661">
        <v>2.2100000000000002E-2</v>
      </c>
      <c r="I62" s="748">
        <v>2.2211999999999999E-2</v>
      </c>
      <c r="J62" s="748">
        <v>2.2211999999999999E-2</v>
      </c>
      <c r="K62" s="661">
        <v>2.2211999999999999E-2</v>
      </c>
      <c r="L62" s="661">
        <v>2.2279E-2</v>
      </c>
      <c r="M62" s="661">
        <v>2.2245999999999998E-2</v>
      </c>
      <c r="N62" s="661">
        <v>2.2495000000000001E-2</v>
      </c>
      <c r="O62" s="661">
        <v>2.2817E-2</v>
      </c>
      <c r="P62" s="661">
        <v>2.2845000000000001E-2</v>
      </c>
      <c r="Q62" s="661">
        <v>2.3106999999999999E-2</v>
      </c>
      <c r="R62" s="661">
        <v>2.3847E-2</v>
      </c>
      <c r="S62" s="661">
        <v>2.4656999999999998E-2</v>
      </c>
      <c r="T62" s="502">
        <v>2.5087999999999999E-2</v>
      </c>
      <c r="U62" s="502">
        <v>2.4979000000000001E-2</v>
      </c>
      <c r="V62" s="502">
        <v>2.5559999999999999E-2</v>
      </c>
      <c r="W62" s="480">
        <v>2.5184000000000002E-2</v>
      </c>
      <c r="X62" s="480">
        <v>2.5516E-2</v>
      </c>
      <c r="Y62" s="480">
        <v>2.5818000000000001E-2</v>
      </c>
      <c r="Z62" s="480">
        <v>2.6336999999999999E-2</v>
      </c>
      <c r="AA62" s="480">
        <v>2.6842999999999999E-2</v>
      </c>
      <c r="AB62" s="480">
        <v>2.7078999999999999E-2</v>
      </c>
      <c r="AC62" s="481">
        <v>2.6858E-2</v>
      </c>
      <c r="AD62" s="480">
        <v>2.7254E-2</v>
      </c>
      <c r="AE62" s="502">
        <v>2.8226000000000001E-2</v>
      </c>
      <c r="AF62" s="502">
        <v>2.8649999999999998E-2</v>
      </c>
      <c r="AG62" s="502">
        <v>2.8906999999999999E-2</v>
      </c>
      <c r="AH62" s="481">
        <v>2.9158E-2</v>
      </c>
      <c r="AI62" s="480">
        <v>2.8993999999999999E-2</v>
      </c>
      <c r="AJ62" s="480">
        <v>2.9062000000000001E-2</v>
      </c>
      <c r="AK62" s="480">
        <v>2.9009E-2</v>
      </c>
      <c r="AL62" s="482">
        <v>2.8881E-2</v>
      </c>
      <c r="AM62" s="480">
        <v>2.8881E-2</v>
      </c>
      <c r="AN62" s="481">
        <v>2.8676E-2</v>
      </c>
      <c r="AO62" s="481">
        <v>2.8676E-2</v>
      </c>
      <c r="AP62" s="480">
        <v>2.8676E-2</v>
      </c>
      <c r="AQ62" s="480">
        <v>2.86E-2</v>
      </c>
      <c r="AR62" s="480">
        <v>2.87E-2</v>
      </c>
      <c r="AS62" s="480">
        <v>2.8785000000000002E-2</v>
      </c>
      <c r="AT62" s="481">
        <v>2.8787E-2</v>
      </c>
      <c r="AU62" s="481">
        <v>2.8787E-2</v>
      </c>
      <c r="AV62" s="480">
        <v>2.8874E-2</v>
      </c>
      <c r="AW62" s="483">
        <v>2.8781000000000001E-2</v>
      </c>
      <c r="AX62" s="483">
        <v>2.8641E-2</v>
      </c>
      <c r="AY62" s="483">
        <v>2.8641E-2</v>
      </c>
      <c r="AZ62" s="483">
        <v>2.8641E-2</v>
      </c>
      <c r="BA62" s="483">
        <v>2.8641E-2</v>
      </c>
      <c r="BB62" s="483">
        <v>2.8641E-2</v>
      </c>
      <c r="BC62" s="483">
        <v>2.8641E-2</v>
      </c>
      <c r="BD62" s="482">
        <v>2.8500000000000001E-2</v>
      </c>
      <c r="BE62" s="482">
        <v>2.8500000000000001E-2</v>
      </c>
      <c r="BF62" s="482">
        <v>2.8500000000000001E-2</v>
      </c>
      <c r="BG62" s="482">
        <v>2.8500000000000001E-2</v>
      </c>
      <c r="BH62" s="482">
        <v>2.8500000000000001E-2</v>
      </c>
      <c r="BI62" s="482">
        <v>2.8500000000000001E-2</v>
      </c>
      <c r="BJ62" s="482">
        <v>2.8500000000000001E-2</v>
      </c>
      <c r="BK62" s="482">
        <v>2.8500000000000001E-2</v>
      </c>
      <c r="BL62" s="482">
        <v>2.8899999999999999E-2</v>
      </c>
      <c r="BM62" s="482">
        <v>2.8899999999999999E-2</v>
      </c>
      <c r="BN62" s="482">
        <v>2.92E-2</v>
      </c>
      <c r="BO62" s="482">
        <v>2.9964999999999999E-2</v>
      </c>
      <c r="BP62" s="482">
        <v>3.1226E-2</v>
      </c>
      <c r="BQ62" s="482">
        <v>3.1226E-2</v>
      </c>
      <c r="BR62" s="482">
        <v>3.1664999999999999E-2</v>
      </c>
      <c r="BS62" s="482">
        <v>3.1664999999999999E-2</v>
      </c>
      <c r="BT62" s="482">
        <v>3.2899999999999999E-2</v>
      </c>
      <c r="BU62" s="482">
        <v>3.2899999999999999E-2</v>
      </c>
      <c r="BV62" s="482">
        <v>3.2899999999999999E-2</v>
      </c>
      <c r="BW62" s="482">
        <v>3.4044999999999999E-2</v>
      </c>
      <c r="BX62" s="482">
        <v>3.4044999999999999E-2</v>
      </c>
      <c r="BY62" s="482">
        <v>3.4044999999999999E-2</v>
      </c>
      <c r="BZ62" s="482">
        <v>3.4044999999999999E-2</v>
      </c>
      <c r="CA62" s="482">
        <v>3.5147999999999999E-2</v>
      </c>
      <c r="CB62" s="482">
        <v>3.6608000000000002E-2</v>
      </c>
      <c r="CC62" s="482">
        <v>3.7454000000000001E-2</v>
      </c>
      <c r="CD62" s="482">
        <v>3.8016000000000001E-2</v>
      </c>
      <c r="CE62" s="482">
        <v>3.8614999999999997E-2</v>
      </c>
      <c r="CF62" s="482">
        <v>3.8869000000000001E-2</v>
      </c>
      <c r="CG62" s="482">
        <v>3.8774000000000003E-2</v>
      </c>
      <c r="CH62" s="482">
        <v>3.8967000000000002E-2</v>
      </c>
      <c r="CI62" s="482">
        <v>3.8995000000000002E-2</v>
      </c>
      <c r="CJ62" s="482">
        <v>3.8845999999999999E-2</v>
      </c>
      <c r="CK62" s="482">
        <v>3.8764E-2</v>
      </c>
      <c r="CL62" s="483">
        <v>3.8818999999999999E-2</v>
      </c>
      <c r="CM62" s="483">
        <v>3.8959000000000001E-2</v>
      </c>
      <c r="CN62" s="483">
        <v>3.8886999999999998E-2</v>
      </c>
      <c r="CO62" s="483">
        <v>3.8790999999999999E-2</v>
      </c>
      <c r="CP62" s="483">
        <v>3.8779000000000001E-2</v>
      </c>
      <c r="CQ62" s="483">
        <v>3.8778E-2</v>
      </c>
      <c r="CR62" s="483">
        <v>3.8705999999999997E-2</v>
      </c>
      <c r="CS62" s="483">
        <v>3.8668000000000001E-2</v>
      </c>
      <c r="CT62" s="483">
        <v>3.8712999999999997E-2</v>
      </c>
      <c r="CU62" s="483">
        <v>3.8632E-2</v>
      </c>
      <c r="CV62" s="508">
        <v>3.866E-2</v>
      </c>
      <c r="CW62" s="509">
        <v>3.866E-2</v>
      </c>
      <c r="CX62" s="483">
        <v>3.8674E-2</v>
      </c>
      <c r="CY62" s="483">
        <v>3.8739999999999997E-2</v>
      </c>
      <c r="CZ62" s="483">
        <v>3.8822000000000002E-2</v>
      </c>
      <c r="DA62" s="483">
        <v>3.8753999999999997E-2</v>
      </c>
      <c r="DB62" s="483">
        <v>3.8753999999999997E-2</v>
      </c>
      <c r="DC62" s="485">
        <v>3.8709E-2</v>
      </c>
      <c r="DD62" s="485">
        <v>3.8762999999999999E-2</v>
      </c>
      <c r="DE62" s="483">
        <v>3.8676000000000002E-2</v>
      </c>
      <c r="DF62" s="483">
        <v>3.8676000000000002E-2</v>
      </c>
      <c r="DG62" s="483">
        <v>3.8725000000000002E-2</v>
      </c>
      <c r="DH62" s="483">
        <v>3.8782999999999998E-2</v>
      </c>
      <c r="DI62" s="483">
        <v>3.8858999999999998E-2</v>
      </c>
      <c r="DJ62" s="483">
        <v>3.8818900000000003E-2</v>
      </c>
      <c r="DK62" s="483">
        <v>3.8855000000000001E-2</v>
      </c>
      <c r="DL62" s="483">
        <v>3.8983999999999998E-2</v>
      </c>
      <c r="DM62" s="483">
        <v>3.9069E-2</v>
      </c>
      <c r="DN62" s="483">
        <v>3.9076E-2</v>
      </c>
      <c r="DO62" s="483">
        <v>3.9148000000000002E-2</v>
      </c>
      <c r="DP62" s="483">
        <v>3.9095999999999999E-2</v>
      </c>
      <c r="DQ62" s="483">
        <v>3.8983999999999998E-2</v>
      </c>
      <c r="DR62" s="483">
        <v>3.8907999999999998E-2</v>
      </c>
      <c r="DS62" s="483">
        <v>3.8795000000000003E-2</v>
      </c>
      <c r="DT62" s="483">
        <v>3.8719999999999997E-2</v>
      </c>
      <c r="DU62" s="483">
        <v>3.8696000000000001E-2</v>
      </c>
      <c r="DV62" s="483">
        <v>3.8748999999999999E-2</v>
      </c>
      <c r="DW62" s="483">
        <v>3.8835000000000001E-2</v>
      </c>
      <c r="DX62" s="483">
        <v>3.8988000000000002E-2</v>
      </c>
      <c r="DY62" s="483">
        <v>3.8675000000000001E-2</v>
      </c>
      <c r="DZ62" s="483">
        <v>3.8740999999999998E-2</v>
      </c>
      <c r="EA62" s="483">
        <v>3.8836000000000002E-2</v>
      </c>
      <c r="EB62" s="483">
        <v>3.8775999999999998E-2</v>
      </c>
      <c r="EC62" s="483">
        <v>3.8837000000000003E-2</v>
      </c>
      <c r="ED62" s="483">
        <v>3.8677999999999997E-2</v>
      </c>
      <c r="EE62" s="483">
        <v>3.8626000000000001E-2</v>
      </c>
      <c r="EF62" s="483">
        <v>3.8663999999999997E-2</v>
      </c>
      <c r="EG62" s="483">
        <v>3.8679999999999999E-2</v>
      </c>
      <c r="EH62" s="483">
        <v>3.8655000000000002E-2</v>
      </c>
      <c r="EI62" s="483">
        <v>1.6522999999999999E-2</v>
      </c>
      <c r="EJ62" s="483">
        <v>1.7818000000000001E-2</v>
      </c>
      <c r="EK62" s="483">
        <v>1.7964999999999998E-2</v>
      </c>
      <c r="EL62" s="483">
        <v>1.5561999999999999E-2</v>
      </c>
      <c r="EM62" s="483">
        <v>1.6736999999999998E-2</v>
      </c>
      <c r="EN62" s="483">
        <v>3.6478999999999998E-2</v>
      </c>
      <c r="EO62" s="483">
        <v>3.6164000000000002E-2</v>
      </c>
      <c r="EP62" s="483">
        <v>3.6049999999999999E-2</v>
      </c>
      <c r="EQ62" s="483">
        <v>3.5958999999999998E-2</v>
      </c>
      <c r="ER62" s="483">
        <v>3.5274E-2</v>
      </c>
      <c r="ES62" s="483">
        <v>3.4674999999999997E-2</v>
      </c>
      <c r="ET62" s="483">
        <v>3.4053E-2</v>
      </c>
      <c r="EU62" s="483">
        <v>3.3524999999999999E-2</v>
      </c>
      <c r="EV62" s="483">
        <v>3.3610000000000001E-2</v>
      </c>
      <c r="EW62" s="483">
        <v>3.3314999999999997E-2</v>
      </c>
      <c r="EX62" s="483">
        <v>3.2210000000000003E-2</v>
      </c>
      <c r="EY62" s="483">
        <v>3.2419999999999997E-2</v>
      </c>
      <c r="EZ62" s="483">
        <v>3.2743000000000001E-2</v>
      </c>
      <c r="FA62" s="485">
        <v>3.2152E-2</v>
      </c>
      <c r="FB62" s="485">
        <v>3.1134999999999999E-2</v>
      </c>
      <c r="FC62" s="486">
        <v>3.1125E-2</v>
      </c>
      <c r="FD62" s="486">
        <v>3.116E-2</v>
      </c>
      <c r="FE62" s="486">
        <v>3.1178000000000001E-2</v>
      </c>
      <c r="FF62" s="486">
        <v>3.0616000000000001E-2</v>
      </c>
      <c r="FG62" s="486">
        <v>3.0328000000000001E-2</v>
      </c>
      <c r="FH62" s="486">
        <v>2.9831E-2</v>
      </c>
      <c r="FI62" s="486">
        <v>2.9080999999999999E-2</v>
      </c>
      <c r="FJ62" s="486">
        <v>2.8725000000000001E-2</v>
      </c>
      <c r="FK62" s="486">
        <v>2.8711E-2</v>
      </c>
      <c r="FL62" s="486">
        <v>2.8856E-2</v>
      </c>
      <c r="FM62" s="486">
        <v>2.7671000000000001E-2</v>
      </c>
      <c r="FN62" s="486">
        <v>2.6365E-2</v>
      </c>
      <c r="FO62" s="486">
        <v>2.5007999999999999E-2</v>
      </c>
      <c r="FP62" s="486">
        <v>2.3609000000000002E-2</v>
      </c>
      <c r="FQ62" s="486">
        <v>2.3512999999999999E-2</v>
      </c>
      <c r="FR62" s="486">
        <v>2.3362999999999998E-2</v>
      </c>
      <c r="FS62" s="486">
        <v>2.1774000000000002E-2</v>
      </c>
      <c r="FT62" s="486">
        <v>2.0171000000000001E-2</v>
      </c>
      <c r="FU62" s="486">
        <v>1.8241E-2</v>
      </c>
      <c r="FV62" s="483">
        <v>3.6999999999999998E-2</v>
      </c>
      <c r="FW62" s="483">
        <v>3.7033999999999997E-2</v>
      </c>
      <c r="FX62" s="483">
        <v>3.7439E-2</v>
      </c>
      <c r="FY62" s="483">
        <v>3.7439E-2</v>
      </c>
      <c r="FZ62" s="483">
        <v>3.6923999999999998E-2</v>
      </c>
      <c r="GA62" s="483">
        <v>3.6337000000000001E-2</v>
      </c>
      <c r="GB62" s="483">
        <v>3.6270999999999998E-2</v>
      </c>
      <c r="GC62" s="483">
        <v>3.6970000000000003E-2</v>
      </c>
      <c r="GD62" s="486">
        <v>1.7964999999999998E-2</v>
      </c>
      <c r="GE62" s="486">
        <v>1.7964999999999998E-2</v>
      </c>
      <c r="GF62" s="486">
        <v>1.7964999999999998E-2</v>
      </c>
      <c r="GG62" s="486">
        <v>1.7964999999999998E-2</v>
      </c>
      <c r="GH62" s="486">
        <v>1.7964999999999998E-2</v>
      </c>
      <c r="GI62" s="486">
        <v>1.7964999999999998E-2</v>
      </c>
      <c r="GJ62" s="486">
        <v>1.7964999999999998E-2</v>
      </c>
      <c r="GK62" s="486">
        <v>1.7964999999999998E-2</v>
      </c>
      <c r="GL62" s="486">
        <v>1.7964999999999998E-2</v>
      </c>
      <c r="GM62" s="486">
        <v>1.7964999999999998E-2</v>
      </c>
      <c r="GN62" s="486">
        <v>1.7964999999999998E-2</v>
      </c>
      <c r="GO62" s="486">
        <v>1.7964999999999998E-2</v>
      </c>
      <c r="GP62" s="486">
        <v>1.7964999999999998E-2</v>
      </c>
      <c r="GQ62" s="486">
        <v>1.7964999999999998E-2</v>
      </c>
      <c r="GR62" s="486">
        <v>1.7964999999999998E-2</v>
      </c>
      <c r="GS62" s="486">
        <v>1.7964999999999998E-2</v>
      </c>
      <c r="GT62" s="486">
        <v>1.7964999999999998E-2</v>
      </c>
      <c r="GU62" s="486">
        <v>1.7964999999999998E-2</v>
      </c>
      <c r="GV62" s="486">
        <v>1.7964999999999998E-2</v>
      </c>
      <c r="GW62" s="486">
        <v>1.7964999999999998E-2</v>
      </c>
      <c r="GX62" s="486">
        <v>1.7964999999999998E-2</v>
      </c>
      <c r="GY62" s="486">
        <v>1.7964999999999998E-2</v>
      </c>
      <c r="GZ62" s="486">
        <v>1.7964999999999998E-2</v>
      </c>
      <c r="HA62" s="486">
        <v>1.7964999999999998E-2</v>
      </c>
      <c r="HB62" s="486">
        <v>1.7964999999999998E-2</v>
      </c>
      <c r="HC62" s="486">
        <v>1.7964999999999998E-2</v>
      </c>
      <c r="HD62" s="486">
        <v>1.7964999999999998E-2</v>
      </c>
      <c r="HE62" s="486">
        <v>1.7964999999999998E-2</v>
      </c>
      <c r="HF62" s="486">
        <v>1.7964999999999998E-2</v>
      </c>
      <c r="HG62" s="486">
        <v>1.7964999999999998E-2</v>
      </c>
      <c r="HH62" s="486">
        <v>1.7964999999999998E-2</v>
      </c>
      <c r="HI62" s="486">
        <v>1.7964999999999998E-2</v>
      </c>
      <c r="HJ62" s="486">
        <v>1.7964999999999998E-2</v>
      </c>
      <c r="HK62" s="486">
        <v>1.7964999999999998E-2</v>
      </c>
      <c r="HL62" s="486">
        <v>1.7964999999999998E-2</v>
      </c>
      <c r="HM62" s="486">
        <v>1.7964999999999998E-2</v>
      </c>
      <c r="HN62" s="486">
        <v>1.7964999999999998E-2</v>
      </c>
      <c r="HO62" s="486">
        <v>1.7964999999999998E-2</v>
      </c>
      <c r="HP62" s="473">
        <f t="shared" si="12"/>
        <v>0</v>
      </c>
      <c r="HQ62" s="510"/>
    </row>
    <row r="63" spans="2:226">
      <c r="B63" s="1129"/>
      <c r="C63" s="730" t="s">
        <v>231</v>
      </c>
      <c r="D63" s="662">
        <v>2.3265000000000001E-2</v>
      </c>
      <c r="E63" s="662">
        <v>2.3265000000000001E-2</v>
      </c>
      <c r="F63" s="662">
        <v>2.3212E-2</v>
      </c>
      <c r="G63" s="662">
        <v>2.3264E-2</v>
      </c>
      <c r="H63" s="662">
        <v>2.3099999999999999E-2</v>
      </c>
      <c r="I63" s="749">
        <v>2.3212E-2</v>
      </c>
      <c r="J63" s="749">
        <v>2.3212E-2</v>
      </c>
      <c r="K63" s="662">
        <v>2.3212E-2</v>
      </c>
      <c r="L63" s="662">
        <v>2.3279000000000001E-2</v>
      </c>
      <c r="M63" s="662">
        <v>2.3245999999999999E-2</v>
      </c>
      <c r="N63" s="662">
        <v>2.3494999999999999E-2</v>
      </c>
      <c r="O63" s="662">
        <v>2.3817000000000001E-2</v>
      </c>
      <c r="P63" s="662">
        <v>2.3845000000000002E-2</v>
      </c>
      <c r="Q63" s="662">
        <v>2.4107E-2</v>
      </c>
      <c r="R63" s="662">
        <v>2.4847000000000001E-2</v>
      </c>
      <c r="S63" s="662">
        <v>2.5656999999999999E-2</v>
      </c>
      <c r="T63" s="502">
        <v>2.6088E-2</v>
      </c>
      <c r="U63" s="502">
        <v>2.5978999999999999E-2</v>
      </c>
      <c r="V63" s="502">
        <v>2.656E-2</v>
      </c>
      <c r="W63" s="480">
        <v>2.6183999999999999E-2</v>
      </c>
      <c r="X63" s="480">
        <v>2.6516000000000001E-2</v>
      </c>
      <c r="Y63" s="480">
        <v>2.6818000000000002E-2</v>
      </c>
      <c r="Z63" s="480">
        <v>2.7337E-2</v>
      </c>
      <c r="AA63" s="480">
        <v>2.7843E-2</v>
      </c>
      <c r="AB63" s="480">
        <v>2.8079E-2</v>
      </c>
      <c r="AC63" s="481">
        <v>2.7858000000000001E-2</v>
      </c>
      <c r="AD63" s="480">
        <v>2.8254000000000001E-2</v>
      </c>
      <c r="AE63" s="502">
        <v>2.9225999999999999E-2</v>
      </c>
      <c r="AF63" s="502">
        <v>2.9649999999999999E-2</v>
      </c>
      <c r="AG63" s="502">
        <v>2.9907E-2</v>
      </c>
      <c r="AH63" s="481">
        <v>3.0158000000000001E-2</v>
      </c>
      <c r="AI63" s="480">
        <v>2.9994E-2</v>
      </c>
      <c r="AJ63" s="480">
        <v>3.0061999999999998E-2</v>
      </c>
      <c r="AK63" s="480">
        <v>3.0009000000000001E-2</v>
      </c>
      <c r="AL63" s="482">
        <v>2.9881000000000001E-2</v>
      </c>
      <c r="AM63" s="480">
        <v>2.9881000000000001E-2</v>
      </c>
      <c r="AN63" s="481">
        <v>2.9676000000000001E-2</v>
      </c>
      <c r="AO63" s="481">
        <v>2.9676000000000001E-2</v>
      </c>
      <c r="AP63" s="480">
        <v>2.9676000000000001E-2</v>
      </c>
      <c r="AQ63" s="480">
        <v>2.9600000000000001E-2</v>
      </c>
      <c r="AR63" s="480">
        <v>2.9700000000000001E-2</v>
      </c>
      <c r="AS63" s="480">
        <f t="shared" ref="AS63:BC64" si="19">AS62+0.1%</f>
        <v>2.9785000000000002E-2</v>
      </c>
      <c r="AT63" s="481">
        <f t="shared" si="19"/>
        <v>2.9787000000000001E-2</v>
      </c>
      <c r="AU63" s="481">
        <f t="shared" si="19"/>
        <v>2.9787000000000001E-2</v>
      </c>
      <c r="AV63" s="480">
        <f t="shared" si="19"/>
        <v>2.9874000000000001E-2</v>
      </c>
      <c r="AW63" s="483">
        <f t="shared" si="19"/>
        <v>2.9781000000000002E-2</v>
      </c>
      <c r="AX63" s="483">
        <f t="shared" si="19"/>
        <v>2.9641000000000001E-2</v>
      </c>
      <c r="AY63" s="483">
        <f t="shared" si="19"/>
        <v>2.9641000000000001E-2</v>
      </c>
      <c r="AZ63" s="483">
        <f t="shared" si="19"/>
        <v>2.9641000000000001E-2</v>
      </c>
      <c r="BA63" s="483">
        <f t="shared" si="19"/>
        <v>2.9641000000000001E-2</v>
      </c>
      <c r="BB63" s="483">
        <f t="shared" si="19"/>
        <v>2.9641000000000001E-2</v>
      </c>
      <c r="BC63" s="483">
        <f t="shared" si="19"/>
        <v>2.9641000000000001E-2</v>
      </c>
      <c r="BD63" s="482">
        <v>2.9499999999999998E-2</v>
      </c>
      <c r="BE63" s="482">
        <v>2.9499999999999998E-2</v>
      </c>
      <c r="BF63" s="482">
        <v>2.9499999999999998E-2</v>
      </c>
      <c r="BG63" s="482">
        <v>2.9499999999999998E-2</v>
      </c>
      <c r="BH63" s="482">
        <v>2.9499999999999998E-2</v>
      </c>
      <c r="BI63" s="482">
        <v>2.9499999999999998E-2</v>
      </c>
      <c r="BJ63" s="482">
        <v>2.9499999999999998E-2</v>
      </c>
      <c r="BK63" s="482">
        <v>2.9499999999999998E-2</v>
      </c>
      <c r="BL63" s="482">
        <v>2.9899999999999999E-2</v>
      </c>
      <c r="BM63" s="482">
        <v>2.9899999999999999E-2</v>
      </c>
      <c r="BN63" s="482">
        <v>3.0200000000000001E-2</v>
      </c>
      <c r="BO63" s="482">
        <v>3.0964999999999999E-2</v>
      </c>
      <c r="BP63" s="482">
        <v>3.2225999999999998E-2</v>
      </c>
      <c r="BQ63" s="482">
        <v>3.2225999999999998E-2</v>
      </c>
      <c r="BR63" s="482">
        <v>3.2665E-2</v>
      </c>
      <c r="BS63" s="482">
        <v>3.2665E-2</v>
      </c>
      <c r="BT63" s="482">
        <v>3.39E-2</v>
      </c>
      <c r="BU63" s="482">
        <v>3.39E-2</v>
      </c>
      <c r="BV63" s="482">
        <v>3.39E-2</v>
      </c>
      <c r="BW63" s="482">
        <v>3.5045E-2</v>
      </c>
      <c r="BX63" s="482">
        <v>3.5045E-2</v>
      </c>
      <c r="BY63" s="482">
        <v>3.5045E-2</v>
      </c>
      <c r="BZ63" s="482">
        <v>3.5045E-2</v>
      </c>
      <c r="CA63" s="482">
        <v>3.6148E-2</v>
      </c>
      <c r="CB63" s="482">
        <v>3.7608000000000003E-2</v>
      </c>
      <c r="CC63" s="482">
        <v>3.8454000000000002E-2</v>
      </c>
      <c r="CD63" s="482">
        <v>3.9016000000000002E-2</v>
      </c>
      <c r="CE63" s="482">
        <v>3.9614999999999997E-2</v>
      </c>
      <c r="CF63" s="482">
        <v>3.9869000000000002E-2</v>
      </c>
      <c r="CG63" s="482">
        <v>3.9773999999999997E-2</v>
      </c>
      <c r="CH63" s="482">
        <v>3.9967000000000003E-2</v>
      </c>
      <c r="CI63" s="482">
        <v>3.9995000000000003E-2</v>
      </c>
      <c r="CJ63" s="482">
        <v>3.9845999999999999E-2</v>
      </c>
      <c r="CK63" s="482">
        <v>3.9764000000000001E-2</v>
      </c>
      <c r="CL63" s="483">
        <v>3.9819E-2</v>
      </c>
      <c r="CM63" s="483">
        <v>3.9959000000000001E-2</v>
      </c>
      <c r="CN63" s="483">
        <v>3.9886999999999999E-2</v>
      </c>
      <c r="CO63" s="483">
        <v>3.9791E-2</v>
      </c>
      <c r="CP63" s="483">
        <v>3.9779000000000002E-2</v>
      </c>
      <c r="CQ63" s="483">
        <v>3.9778000000000001E-2</v>
      </c>
      <c r="CR63" s="483">
        <v>3.9705999999999998E-2</v>
      </c>
      <c r="CS63" s="483">
        <v>3.9668000000000002E-2</v>
      </c>
      <c r="CT63" s="483">
        <v>3.9712999999999998E-2</v>
      </c>
      <c r="CU63" s="483">
        <v>3.9632000000000001E-2</v>
      </c>
      <c r="CV63" s="508">
        <v>3.9662000000000003E-2</v>
      </c>
      <c r="CW63" s="509">
        <v>3.9662000000000003E-2</v>
      </c>
      <c r="CX63" s="483">
        <v>3.9674000000000001E-2</v>
      </c>
      <c r="CY63" s="483">
        <v>3.9739999999999998E-2</v>
      </c>
      <c r="CZ63" s="483">
        <v>3.9822000000000003E-2</v>
      </c>
      <c r="DA63" s="483">
        <v>3.9753999999999998E-2</v>
      </c>
      <c r="DB63" s="483">
        <v>3.9753999999999998E-2</v>
      </c>
      <c r="DC63" s="485">
        <v>3.9709000000000001E-2</v>
      </c>
      <c r="DD63" s="485">
        <v>3.9763E-2</v>
      </c>
      <c r="DE63" s="483">
        <v>3.9676000000000003E-2</v>
      </c>
      <c r="DF63" s="483">
        <v>3.9676000000000003E-2</v>
      </c>
      <c r="DG63" s="483">
        <v>3.9725000000000003E-2</v>
      </c>
      <c r="DH63" s="483">
        <v>3.9782999999999999E-2</v>
      </c>
      <c r="DI63" s="483">
        <v>3.9858999999999999E-2</v>
      </c>
      <c r="DJ63" s="483">
        <v>3.9817999999999999E-2</v>
      </c>
      <c r="DK63" s="483">
        <v>3.9855000000000002E-2</v>
      </c>
      <c r="DL63" s="483">
        <v>3.9983999999999999E-2</v>
      </c>
      <c r="DM63" s="483">
        <v>4.0069E-2</v>
      </c>
      <c r="DN63" s="483">
        <v>4.0076000000000001E-2</v>
      </c>
      <c r="DO63" s="483">
        <v>4.0148000000000003E-2</v>
      </c>
      <c r="DP63" s="483">
        <v>4.0096E-2</v>
      </c>
      <c r="DQ63" s="483">
        <v>3.9983999999999999E-2</v>
      </c>
      <c r="DR63" s="483">
        <v>3.9907999999999999E-2</v>
      </c>
      <c r="DS63" s="483">
        <v>3.9794999999999997E-2</v>
      </c>
      <c r="DT63" s="483">
        <v>3.9719999999999998E-2</v>
      </c>
      <c r="DU63" s="483">
        <v>3.9696000000000002E-2</v>
      </c>
      <c r="DV63" s="483">
        <v>3.9749E-2</v>
      </c>
      <c r="DW63" s="483">
        <v>3.9835000000000002E-2</v>
      </c>
      <c r="DX63" s="483">
        <v>3.9988000000000003E-2</v>
      </c>
      <c r="DY63" s="483">
        <v>3.9675000000000002E-2</v>
      </c>
      <c r="DZ63" s="483">
        <v>3.9740999999999999E-2</v>
      </c>
      <c r="EA63" s="483">
        <v>3.9836000000000003E-2</v>
      </c>
      <c r="EB63" s="483">
        <v>3.9775999999999999E-2</v>
      </c>
      <c r="EC63" s="483">
        <v>3.9836999999999997E-2</v>
      </c>
      <c r="ED63" s="483">
        <v>3.9677999999999998E-2</v>
      </c>
      <c r="EE63" s="483">
        <v>3.9626000000000001E-2</v>
      </c>
      <c r="EF63" s="483">
        <v>3.9663999999999998E-2</v>
      </c>
      <c r="EG63" s="483">
        <v>3.968E-2</v>
      </c>
      <c r="EH63" s="483">
        <v>3.9655000000000003E-2</v>
      </c>
      <c r="EI63" s="483">
        <v>1.7523E-2</v>
      </c>
      <c r="EJ63" s="483">
        <v>1.8818000000000001E-2</v>
      </c>
      <c r="EK63" s="483">
        <v>1.8964999999999999E-2</v>
      </c>
      <c r="EL63" s="483">
        <v>1.6562E-2</v>
      </c>
      <c r="EM63" s="483">
        <v>1.8737E-2</v>
      </c>
      <c r="EN63" s="483">
        <v>3.7478999999999998E-2</v>
      </c>
      <c r="EO63" s="483">
        <v>3.7164000000000003E-2</v>
      </c>
      <c r="EP63" s="483">
        <v>3.705E-2</v>
      </c>
      <c r="EQ63" s="483">
        <v>3.6958999999999999E-2</v>
      </c>
      <c r="ER63" s="483">
        <v>3.6274000000000001E-2</v>
      </c>
      <c r="ES63" s="483">
        <v>3.5674999999999998E-2</v>
      </c>
      <c r="ET63" s="483">
        <v>3.5053000000000001E-2</v>
      </c>
      <c r="EU63" s="483">
        <v>3.4525E-2</v>
      </c>
      <c r="EV63" s="483">
        <v>3.4610000000000002E-2</v>
      </c>
      <c r="EW63" s="483">
        <v>3.4314999999999998E-2</v>
      </c>
      <c r="EX63" s="483">
        <v>3.3210000000000003E-2</v>
      </c>
      <c r="EY63" s="483">
        <v>3.3419999999999998E-2</v>
      </c>
      <c r="EZ63" s="483">
        <v>3.3743000000000002E-2</v>
      </c>
      <c r="FA63" s="485">
        <v>3.3152000000000001E-2</v>
      </c>
      <c r="FB63" s="485">
        <v>3.2134999999999997E-2</v>
      </c>
      <c r="FC63" s="486">
        <v>3.2125000000000001E-2</v>
      </c>
      <c r="FD63" s="486">
        <v>3.2160000000000001E-2</v>
      </c>
      <c r="FE63" s="486">
        <v>3.2177999999999998E-2</v>
      </c>
      <c r="FF63" s="486">
        <v>3.1615999999999998E-2</v>
      </c>
      <c r="FG63" s="486">
        <v>3.1328000000000002E-2</v>
      </c>
      <c r="FH63" s="486">
        <v>3.0831000000000001E-2</v>
      </c>
      <c r="FI63" s="486">
        <v>3.0081E-2</v>
      </c>
      <c r="FJ63" s="486">
        <v>2.9725000000000001E-2</v>
      </c>
      <c r="FK63" s="486">
        <v>2.9711000000000001E-2</v>
      </c>
      <c r="FL63" s="486">
        <v>2.9856000000000001E-2</v>
      </c>
      <c r="FM63" s="486">
        <v>2.8670999999999999E-2</v>
      </c>
      <c r="FN63" s="486">
        <v>2.7365E-2</v>
      </c>
      <c r="FO63" s="486">
        <v>2.6008E-2</v>
      </c>
      <c r="FP63" s="486">
        <v>2.4608999999999999E-2</v>
      </c>
      <c r="FQ63" s="486">
        <v>2.4513E-2</v>
      </c>
      <c r="FR63" s="486">
        <v>2.4362999999999999E-2</v>
      </c>
      <c r="FS63" s="486">
        <v>2.2773999999999999E-2</v>
      </c>
      <c r="FT63" s="486">
        <v>2.1170999999999999E-2</v>
      </c>
      <c r="FU63" s="486">
        <v>1.9241000000000001E-2</v>
      </c>
      <c r="FV63" s="483">
        <v>3.7999999999999999E-2</v>
      </c>
      <c r="FW63" s="483">
        <v>3.8033999999999998E-2</v>
      </c>
      <c r="FX63" s="483">
        <v>3.8439000000000001E-2</v>
      </c>
      <c r="FY63" s="483">
        <v>3.8439000000000001E-2</v>
      </c>
      <c r="FZ63" s="483">
        <v>3.7923999999999999E-2</v>
      </c>
      <c r="GA63" s="483">
        <v>3.7337000000000002E-2</v>
      </c>
      <c r="GB63" s="483">
        <v>3.7270999999999999E-2</v>
      </c>
      <c r="GC63" s="483">
        <v>3.7969999999999997E-2</v>
      </c>
      <c r="GD63" s="486">
        <v>1.8964999999999999E-2</v>
      </c>
      <c r="GE63" s="486">
        <v>1.8964999999999999E-2</v>
      </c>
      <c r="GF63" s="486">
        <v>1.8964999999999999E-2</v>
      </c>
      <c r="GG63" s="486">
        <v>1.8964999999999999E-2</v>
      </c>
      <c r="GH63" s="486">
        <v>1.8964999999999999E-2</v>
      </c>
      <c r="GI63" s="486">
        <v>1.8964999999999999E-2</v>
      </c>
      <c r="GJ63" s="486">
        <v>1.8964999999999999E-2</v>
      </c>
      <c r="GK63" s="486">
        <v>1.8964999999999999E-2</v>
      </c>
      <c r="GL63" s="486">
        <v>1.8964999999999999E-2</v>
      </c>
      <c r="GM63" s="486">
        <v>1.8964999999999999E-2</v>
      </c>
      <c r="GN63" s="486">
        <v>1.8964999999999999E-2</v>
      </c>
      <c r="GO63" s="486">
        <v>1.8964999999999999E-2</v>
      </c>
      <c r="GP63" s="486">
        <v>1.8964999999999999E-2</v>
      </c>
      <c r="GQ63" s="486">
        <v>1.8964999999999999E-2</v>
      </c>
      <c r="GR63" s="486">
        <v>1.8964999999999999E-2</v>
      </c>
      <c r="GS63" s="486">
        <v>1.8964999999999999E-2</v>
      </c>
      <c r="GT63" s="486">
        <v>1.8964999999999999E-2</v>
      </c>
      <c r="GU63" s="486">
        <v>1.8964999999999999E-2</v>
      </c>
      <c r="GV63" s="486">
        <v>1.8964999999999999E-2</v>
      </c>
      <c r="GW63" s="486">
        <v>1.8964999999999999E-2</v>
      </c>
      <c r="GX63" s="486">
        <v>1.8964999999999999E-2</v>
      </c>
      <c r="GY63" s="486">
        <v>1.8964999999999999E-2</v>
      </c>
      <c r="GZ63" s="486">
        <v>1.8964999999999999E-2</v>
      </c>
      <c r="HA63" s="486">
        <v>1.8964999999999999E-2</v>
      </c>
      <c r="HB63" s="486">
        <v>1.8964999999999999E-2</v>
      </c>
      <c r="HC63" s="486">
        <v>1.8964999999999999E-2</v>
      </c>
      <c r="HD63" s="486">
        <v>1.8964999999999999E-2</v>
      </c>
      <c r="HE63" s="486">
        <v>1.8964999999999999E-2</v>
      </c>
      <c r="HF63" s="486">
        <v>1.8964999999999999E-2</v>
      </c>
      <c r="HG63" s="486">
        <v>1.8964999999999999E-2</v>
      </c>
      <c r="HH63" s="486">
        <v>1.8964999999999999E-2</v>
      </c>
      <c r="HI63" s="486">
        <v>1.8964999999999999E-2</v>
      </c>
      <c r="HJ63" s="486">
        <v>1.8964999999999999E-2</v>
      </c>
      <c r="HK63" s="486">
        <v>1.8964999999999999E-2</v>
      </c>
      <c r="HL63" s="486">
        <v>1.8964999999999999E-2</v>
      </c>
      <c r="HM63" s="486">
        <v>1.8964999999999999E-2</v>
      </c>
      <c r="HN63" s="486">
        <v>1.8964999999999999E-2</v>
      </c>
      <c r="HO63" s="486">
        <v>1.8964999999999999E-2</v>
      </c>
      <c r="HP63" s="473">
        <f t="shared" si="12"/>
        <v>0</v>
      </c>
      <c r="HQ63" s="510"/>
    </row>
    <row r="64" spans="2:226">
      <c r="B64" s="1129"/>
      <c r="C64" s="730" t="s">
        <v>62</v>
      </c>
      <c r="D64" s="662">
        <v>2.4264999999999998E-2</v>
      </c>
      <c r="E64" s="662">
        <v>2.4264999999999998E-2</v>
      </c>
      <c r="F64" s="662">
        <v>2.4212000000000001E-2</v>
      </c>
      <c r="G64" s="662">
        <v>2.4264000000000001E-2</v>
      </c>
      <c r="H64" s="662">
        <v>2.41E-2</v>
      </c>
      <c r="I64" s="749">
        <v>2.4212000000000001E-2</v>
      </c>
      <c r="J64" s="749">
        <v>2.4212000000000001E-2</v>
      </c>
      <c r="K64" s="662">
        <v>2.4212000000000001E-2</v>
      </c>
      <c r="L64" s="662">
        <v>2.4278999999999998E-2</v>
      </c>
      <c r="M64" s="662">
        <v>2.4246E-2</v>
      </c>
      <c r="N64" s="662">
        <v>2.4494999999999999E-2</v>
      </c>
      <c r="O64" s="662">
        <v>2.4816999999999999E-2</v>
      </c>
      <c r="P64" s="662">
        <v>2.4844999999999999E-2</v>
      </c>
      <c r="Q64" s="662">
        <v>2.5107000000000001E-2</v>
      </c>
      <c r="R64" s="662">
        <v>2.5846999999999998E-2</v>
      </c>
      <c r="S64" s="662">
        <v>2.6657E-2</v>
      </c>
      <c r="T64" s="502">
        <v>2.7088000000000001E-2</v>
      </c>
      <c r="U64" s="502">
        <v>2.6979E-2</v>
      </c>
      <c r="V64" s="502">
        <v>2.7560000000000001E-2</v>
      </c>
      <c r="W64" s="480">
        <v>2.7184E-2</v>
      </c>
      <c r="X64" s="480">
        <v>2.7515999999999999E-2</v>
      </c>
      <c r="Y64" s="480">
        <v>2.7817999999999999E-2</v>
      </c>
      <c r="Z64" s="480">
        <v>2.8337000000000001E-2</v>
      </c>
      <c r="AA64" s="480">
        <v>2.8843000000000001E-2</v>
      </c>
      <c r="AB64" s="480">
        <v>2.9079000000000001E-2</v>
      </c>
      <c r="AC64" s="481">
        <v>2.8858000000000002E-2</v>
      </c>
      <c r="AD64" s="480">
        <v>2.9253999999999999E-2</v>
      </c>
      <c r="AE64" s="502">
        <v>3.0225999999999999E-2</v>
      </c>
      <c r="AF64" s="502">
        <v>3.065E-2</v>
      </c>
      <c r="AG64" s="502">
        <v>3.0907E-2</v>
      </c>
      <c r="AH64" s="481">
        <v>3.1158000000000002E-2</v>
      </c>
      <c r="AI64" s="480">
        <v>3.0994000000000001E-2</v>
      </c>
      <c r="AJ64" s="480">
        <v>3.1061999999999999E-2</v>
      </c>
      <c r="AK64" s="480">
        <v>3.1008999999999998E-2</v>
      </c>
      <c r="AL64" s="482">
        <v>3.0880999999999999E-2</v>
      </c>
      <c r="AM64" s="480">
        <v>3.0880999999999999E-2</v>
      </c>
      <c r="AN64" s="481">
        <v>3.0675999999999998E-2</v>
      </c>
      <c r="AO64" s="481">
        <v>3.0675999999999998E-2</v>
      </c>
      <c r="AP64" s="480">
        <v>3.0675999999999998E-2</v>
      </c>
      <c r="AQ64" s="480">
        <v>3.0599999999999999E-2</v>
      </c>
      <c r="AR64" s="480">
        <v>3.0699999999999998E-2</v>
      </c>
      <c r="AS64" s="480">
        <f t="shared" si="19"/>
        <v>3.0785000000000003E-2</v>
      </c>
      <c r="AT64" s="481">
        <f t="shared" si="19"/>
        <v>3.0787000000000002E-2</v>
      </c>
      <c r="AU64" s="481">
        <f t="shared" si="19"/>
        <v>3.0787000000000002E-2</v>
      </c>
      <c r="AV64" s="480">
        <f t="shared" si="19"/>
        <v>3.0874000000000002E-2</v>
      </c>
      <c r="AW64" s="483">
        <f t="shared" si="19"/>
        <v>3.0781000000000003E-2</v>
      </c>
      <c r="AX64" s="483">
        <f t="shared" si="19"/>
        <v>3.0641000000000002E-2</v>
      </c>
      <c r="AY64" s="483">
        <f t="shared" si="19"/>
        <v>3.0641000000000002E-2</v>
      </c>
      <c r="AZ64" s="483">
        <f t="shared" si="19"/>
        <v>3.0641000000000002E-2</v>
      </c>
      <c r="BA64" s="483">
        <f t="shared" si="19"/>
        <v>3.0641000000000002E-2</v>
      </c>
      <c r="BB64" s="483">
        <f t="shared" si="19"/>
        <v>3.0641000000000002E-2</v>
      </c>
      <c r="BC64" s="483">
        <f t="shared" si="19"/>
        <v>3.0641000000000002E-2</v>
      </c>
      <c r="BD64" s="482">
        <v>3.0499999999999999E-2</v>
      </c>
      <c r="BE64" s="482">
        <v>3.0499999999999999E-2</v>
      </c>
      <c r="BF64" s="482">
        <v>3.0499999999999999E-2</v>
      </c>
      <c r="BG64" s="482">
        <v>3.0499999999999999E-2</v>
      </c>
      <c r="BH64" s="482">
        <v>3.0499999999999999E-2</v>
      </c>
      <c r="BI64" s="482">
        <v>3.0499999999999999E-2</v>
      </c>
      <c r="BJ64" s="482">
        <v>3.0499999999999999E-2</v>
      </c>
      <c r="BK64" s="482">
        <v>3.0499999999999999E-2</v>
      </c>
      <c r="BL64" s="482">
        <v>3.09E-2</v>
      </c>
      <c r="BM64" s="482">
        <v>3.09E-2</v>
      </c>
      <c r="BN64" s="482">
        <v>3.1199999999999999E-2</v>
      </c>
      <c r="BO64" s="482">
        <v>3.1965E-2</v>
      </c>
      <c r="BP64" s="482">
        <v>3.3225999999999999E-2</v>
      </c>
      <c r="BQ64" s="482">
        <v>3.3225999999999999E-2</v>
      </c>
      <c r="BR64" s="482">
        <v>3.3665E-2</v>
      </c>
      <c r="BS64" s="482">
        <v>3.3665E-2</v>
      </c>
      <c r="BT64" s="482">
        <v>3.49E-2</v>
      </c>
      <c r="BU64" s="482">
        <v>3.49E-2</v>
      </c>
      <c r="BV64" s="482">
        <v>3.49E-2</v>
      </c>
      <c r="BW64" s="482">
        <v>3.6045000000000001E-2</v>
      </c>
      <c r="BX64" s="482">
        <v>3.6045000000000001E-2</v>
      </c>
      <c r="BY64" s="482">
        <v>3.6045000000000001E-2</v>
      </c>
      <c r="BZ64" s="482">
        <v>3.6045000000000001E-2</v>
      </c>
      <c r="CA64" s="482">
        <v>3.7148E-2</v>
      </c>
      <c r="CB64" s="482">
        <v>3.8608000000000003E-2</v>
      </c>
      <c r="CC64" s="482">
        <v>3.9454000000000003E-2</v>
      </c>
      <c r="CD64" s="482">
        <v>4.0016000000000003E-2</v>
      </c>
      <c r="CE64" s="482">
        <v>4.0614999999999998E-2</v>
      </c>
      <c r="CF64" s="482">
        <v>4.0869000000000003E-2</v>
      </c>
      <c r="CG64" s="482">
        <v>4.0773999999999998E-2</v>
      </c>
      <c r="CH64" s="482">
        <v>4.0967000000000003E-2</v>
      </c>
      <c r="CI64" s="482">
        <v>4.0994999999999997E-2</v>
      </c>
      <c r="CJ64" s="482">
        <v>4.0846E-2</v>
      </c>
      <c r="CK64" s="482">
        <v>4.0764000000000002E-2</v>
      </c>
      <c r="CL64" s="483">
        <v>4.0819000000000001E-2</v>
      </c>
      <c r="CM64" s="483">
        <v>4.0959000000000002E-2</v>
      </c>
      <c r="CN64" s="483">
        <v>4.0887E-2</v>
      </c>
      <c r="CO64" s="483">
        <v>4.0791000000000001E-2</v>
      </c>
      <c r="CP64" s="483">
        <v>4.0779000000000003E-2</v>
      </c>
      <c r="CQ64" s="483">
        <v>4.0778000000000002E-2</v>
      </c>
      <c r="CR64" s="483">
        <v>4.0705999999999999E-2</v>
      </c>
      <c r="CS64" s="483">
        <v>4.0668000000000003E-2</v>
      </c>
      <c r="CT64" s="483">
        <v>4.0712999999999999E-2</v>
      </c>
      <c r="CU64" s="483">
        <v>4.0632000000000001E-2</v>
      </c>
      <c r="CV64" s="508">
        <v>4.0661999999999997E-2</v>
      </c>
      <c r="CW64" s="509">
        <v>4.0661999999999997E-2</v>
      </c>
      <c r="CX64" s="483">
        <v>4.0674000000000002E-2</v>
      </c>
      <c r="CY64" s="483">
        <v>4.0739999999999998E-2</v>
      </c>
      <c r="CZ64" s="483">
        <v>4.0821999999999997E-2</v>
      </c>
      <c r="DA64" s="483">
        <v>4.0753999999999999E-2</v>
      </c>
      <c r="DB64" s="483">
        <v>4.0753999999999999E-2</v>
      </c>
      <c r="DC64" s="485">
        <v>4.0709000000000002E-2</v>
      </c>
      <c r="DD64" s="485">
        <v>4.0763000000000001E-2</v>
      </c>
      <c r="DE64" s="483">
        <v>4.0675999999999997E-2</v>
      </c>
      <c r="DF64" s="483">
        <v>4.0675999999999997E-2</v>
      </c>
      <c r="DG64" s="483">
        <v>4.0724999999999997E-2</v>
      </c>
      <c r="DH64" s="483">
        <v>4.0783E-2</v>
      </c>
      <c r="DI64" s="483">
        <v>4.0858999999999999E-2</v>
      </c>
      <c r="DJ64" s="483">
        <v>4.0818E-2</v>
      </c>
      <c r="DK64" s="483">
        <v>4.0855000000000002E-2</v>
      </c>
      <c r="DL64" s="483">
        <v>4.0984E-2</v>
      </c>
      <c r="DM64" s="483">
        <v>4.1069000000000001E-2</v>
      </c>
      <c r="DN64" s="483">
        <v>4.1076000000000001E-2</v>
      </c>
      <c r="DO64" s="483">
        <v>4.1147999999999997E-2</v>
      </c>
      <c r="DP64" s="483">
        <v>4.1096000000000001E-2</v>
      </c>
      <c r="DQ64" s="483">
        <v>4.0984E-2</v>
      </c>
      <c r="DR64" s="483">
        <v>4.0908E-2</v>
      </c>
      <c r="DS64" s="483">
        <v>4.0794999999999998E-2</v>
      </c>
      <c r="DT64" s="483">
        <v>4.0719999999999999E-2</v>
      </c>
      <c r="DU64" s="483">
        <v>4.0696000000000003E-2</v>
      </c>
      <c r="DV64" s="483">
        <v>4.0749E-2</v>
      </c>
      <c r="DW64" s="483">
        <v>4.0835000000000003E-2</v>
      </c>
      <c r="DX64" s="483">
        <v>4.0987999999999997E-2</v>
      </c>
      <c r="DY64" s="483">
        <v>4.0675000000000003E-2</v>
      </c>
      <c r="DZ64" s="483">
        <v>4.0740999999999999E-2</v>
      </c>
      <c r="EA64" s="483">
        <v>4.0835999999999997E-2</v>
      </c>
      <c r="EB64" s="483">
        <v>4.0776E-2</v>
      </c>
      <c r="EC64" s="483">
        <v>4.0836999999999998E-2</v>
      </c>
      <c r="ED64" s="483">
        <v>4.0677999999999999E-2</v>
      </c>
      <c r="EE64" s="483">
        <v>4.0626000000000002E-2</v>
      </c>
      <c r="EF64" s="483">
        <v>4.0663999999999999E-2</v>
      </c>
      <c r="EG64" s="483">
        <v>4.0680000000000001E-2</v>
      </c>
      <c r="EH64" s="483">
        <v>4.0654999999999997E-2</v>
      </c>
      <c r="EI64" s="483">
        <v>1.8523000000000001E-2</v>
      </c>
      <c r="EJ64" s="483">
        <v>1.9817999999999999E-2</v>
      </c>
      <c r="EK64" s="483">
        <v>1.9965E-2</v>
      </c>
      <c r="EL64" s="483">
        <v>1.7562000000000001E-2</v>
      </c>
      <c r="EM64" s="483">
        <v>1.9737000000000001E-2</v>
      </c>
      <c r="EN64" s="483">
        <v>3.8478999999999999E-2</v>
      </c>
      <c r="EO64" s="483">
        <v>3.8163999999999997E-2</v>
      </c>
      <c r="EP64" s="483">
        <v>3.805E-2</v>
      </c>
      <c r="EQ64" s="483">
        <v>3.7959E-2</v>
      </c>
      <c r="ER64" s="483">
        <v>3.7274000000000002E-2</v>
      </c>
      <c r="ES64" s="483">
        <v>3.6674999999999999E-2</v>
      </c>
      <c r="ET64" s="483">
        <v>3.6053000000000002E-2</v>
      </c>
      <c r="EU64" s="483">
        <v>3.5525000000000001E-2</v>
      </c>
      <c r="EV64" s="483">
        <v>3.5610000000000003E-2</v>
      </c>
      <c r="EW64" s="483">
        <v>3.5314999999999999E-2</v>
      </c>
      <c r="EX64" s="483">
        <v>3.4209999999999997E-2</v>
      </c>
      <c r="EY64" s="483">
        <v>3.4419999999999999E-2</v>
      </c>
      <c r="EZ64" s="483">
        <v>3.4743000000000003E-2</v>
      </c>
      <c r="FA64" s="485">
        <v>3.4152000000000002E-2</v>
      </c>
      <c r="FB64" s="485">
        <v>3.3134999999999998E-2</v>
      </c>
      <c r="FC64" s="486">
        <v>3.3125000000000002E-2</v>
      </c>
      <c r="FD64" s="486">
        <v>3.3160000000000002E-2</v>
      </c>
      <c r="FE64" s="486">
        <v>3.3177999999999999E-2</v>
      </c>
      <c r="FF64" s="486">
        <v>3.2615999999999999E-2</v>
      </c>
      <c r="FG64" s="486">
        <v>3.2328000000000003E-2</v>
      </c>
      <c r="FH64" s="486">
        <v>3.1830999999999998E-2</v>
      </c>
      <c r="FI64" s="486">
        <v>3.1081000000000001E-2</v>
      </c>
      <c r="FJ64" s="486">
        <v>3.0724999999999999E-2</v>
      </c>
      <c r="FK64" s="486">
        <v>3.0710999999999999E-2</v>
      </c>
      <c r="FL64" s="486">
        <v>3.0856000000000001E-2</v>
      </c>
      <c r="FM64" s="486">
        <v>2.9670999999999999E-2</v>
      </c>
      <c r="FN64" s="486">
        <v>2.8365000000000001E-2</v>
      </c>
      <c r="FO64" s="486">
        <v>2.7008000000000001E-2</v>
      </c>
      <c r="FP64" s="486">
        <v>2.5609E-2</v>
      </c>
      <c r="FQ64" s="486">
        <v>2.5513000000000001E-2</v>
      </c>
      <c r="FR64" s="486">
        <v>2.5363E-2</v>
      </c>
      <c r="FS64" s="486">
        <v>2.3774E-2</v>
      </c>
      <c r="FT64" s="486">
        <v>2.2171E-2</v>
      </c>
      <c r="FU64" s="486">
        <v>2.0240999999999999E-2</v>
      </c>
      <c r="FV64" s="483">
        <v>3.9E-2</v>
      </c>
      <c r="FW64" s="483">
        <v>3.9033999999999999E-2</v>
      </c>
      <c r="FX64" s="483">
        <v>3.9439000000000002E-2</v>
      </c>
      <c r="FY64" s="483">
        <v>3.9439000000000002E-2</v>
      </c>
      <c r="FZ64" s="483">
        <v>3.8924E-2</v>
      </c>
      <c r="GA64" s="483">
        <v>3.8337000000000003E-2</v>
      </c>
      <c r="GB64" s="483">
        <v>3.8270999999999999E-2</v>
      </c>
      <c r="GC64" s="483">
        <v>3.8969999999999998E-2</v>
      </c>
      <c r="GD64" s="486">
        <v>1.9965E-2</v>
      </c>
      <c r="GE64" s="486">
        <v>1.9965E-2</v>
      </c>
      <c r="GF64" s="486">
        <v>1.9965E-2</v>
      </c>
      <c r="GG64" s="486">
        <v>1.9965E-2</v>
      </c>
      <c r="GH64" s="486">
        <v>1.9965E-2</v>
      </c>
      <c r="GI64" s="486">
        <v>1.9965E-2</v>
      </c>
      <c r="GJ64" s="486">
        <v>1.9965E-2</v>
      </c>
      <c r="GK64" s="486">
        <v>1.9965E-2</v>
      </c>
      <c r="GL64" s="486">
        <v>1.9965E-2</v>
      </c>
      <c r="GM64" s="486">
        <v>1.9965E-2</v>
      </c>
      <c r="GN64" s="486">
        <v>1.9965E-2</v>
      </c>
      <c r="GO64" s="486">
        <v>1.9965E-2</v>
      </c>
      <c r="GP64" s="486">
        <v>1.9965E-2</v>
      </c>
      <c r="GQ64" s="486">
        <v>1.9965E-2</v>
      </c>
      <c r="GR64" s="486">
        <v>1.9965E-2</v>
      </c>
      <c r="GS64" s="486">
        <v>1.9965E-2</v>
      </c>
      <c r="GT64" s="486">
        <v>1.9965E-2</v>
      </c>
      <c r="GU64" s="486">
        <v>1.9965E-2</v>
      </c>
      <c r="GV64" s="486">
        <v>1.9965E-2</v>
      </c>
      <c r="GW64" s="486">
        <v>1.9965E-2</v>
      </c>
      <c r="GX64" s="486">
        <v>1.9965E-2</v>
      </c>
      <c r="GY64" s="486">
        <v>1.9965E-2</v>
      </c>
      <c r="GZ64" s="486">
        <v>1.9965E-2</v>
      </c>
      <c r="HA64" s="486">
        <v>1.9965E-2</v>
      </c>
      <c r="HB64" s="486">
        <v>1.9965E-2</v>
      </c>
      <c r="HC64" s="486">
        <v>1.9965E-2</v>
      </c>
      <c r="HD64" s="486">
        <v>1.9965E-2</v>
      </c>
      <c r="HE64" s="486">
        <v>1.9965E-2</v>
      </c>
      <c r="HF64" s="486">
        <v>1.9965E-2</v>
      </c>
      <c r="HG64" s="486">
        <v>1.9965E-2</v>
      </c>
      <c r="HH64" s="486">
        <v>1.9965E-2</v>
      </c>
      <c r="HI64" s="486">
        <v>1.9965E-2</v>
      </c>
      <c r="HJ64" s="486">
        <v>1.9965E-2</v>
      </c>
      <c r="HK64" s="486">
        <v>1.9965E-2</v>
      </c>
      <c r="HL64" s="486">
        <v>1.9965E-2</v>
      </c>
      <c r="HM64" s="486">
        <v>1.9965E-2</v>
      </c>
      <c r="HN64" s="486">
        <v>1.9965E-2</v>
      </c>
      <c r="HO64" s="486">
        <v>1.9965E-2</v>
      </c>
      <c r="HP64" s="473">
        <f t="shared" si="12"/>
        <v>0</v>
      </c>
      <c r="HQ64" s="510"/>
    </row>
    <row r="65" spans="2:225">
      <c r="B65" s="1129"/>
      <c r="C65" s="730" t="s">
        <v>230</v>
      </c>
      <c r="D65" s="662">
        <v>2.4764999999999999E-2</v>
      </c>
      <c r="E65" s="662">
        <v>2.4764999999999999E-2</v>
      </c>
      <c r="F65" s="662">
        <v>2.4712000000000001E-2</v>
      </c>
      <c r="G65" s="662">
        <v>2.4764000000000001E-2</v>
      </c>
      <c r="H65" s="662">
        <v>2.46E-2</v>
      </c>
      <c r="I65" s="749">
        <v>2.4712000000000001E-2</v>
      </c>
      <c r="J65" s="749">
        <v>2.4712000000000001E-2</v>
      </c>
      <c r="K65" s="662">
        <v>2.4712000000000001E-2</v>
      </c>
      <c r="L65" s="662">
        <v>2.4778999999999999E-2</v>
      </c>
      <c r="M65" s="662">
        <v>2.4746000000000001E-2</v>
      </c>
      <c r="N65" s="662">
        <v>2.4995E-2</v>
      </c>
      <c r="O65" s="662">
        <v>2.5316999999999999E-2</v>
      </c>
      <c r="P65" s="662">
        <v>2.5344999999999999E-2</v>
      </c>
      <c r="Q65" s="662">
        <v>2.5607000000000001E-2</v>
      </c>
      <c r="R65" s="662">
        <v>2.6346999999999999E-2</v>
      </c>
      <c r="S65" s="662">
        <v>2.7157000000000001E-2</v>
      </c>
      <c r="T65" s="502">
        <v>2.7588000000000001E-2</v>
      </c>
      <c r="U65" s="502">
        <v>2.7479E-2</v>
      </c>
      <c r="V65" s="502">
        <v>2.8060000000000002E-2</v>
      </c>
      <c r="W65" s="480">
        <v>2.7684E-2</v>
      </c>
      <c r="X65" s="480">
        <v>2.8015999999999999E-2</v>
      </c>
      <c r="Y65" s="480">
        <v>2.8317999999999999E-2</v>
      </c>
      <c r="Z65" s="480">
        <v>2.8837000000000002E-2</v>
      </c>
      <c r="AA65" s="480">
        <v>2.9343000000000001E-2</v>
      </c>
      <c r="AB65" s="480">
        <v>2.9579000000000001E-2</v>
      </c>
      <c r="AC65" s="481">
        <v>2.9357999999999999E-2</v>
      </c>
      <c r="AD65" s="480">
        <v>2.9753999999999999E-2</v>
      </c>
      <c r="AE65" s="502">
        <v>3.0726E-2</v>
      </c>
      <c r="AF65" s="502">
        <v>3.1150000000000001E-2</v>
      </c>
      <c r="AG65" s="502">
        <v>3.1406999999999997E-2</v>
      </c>
      <c r="AH65" s="481">
        <v>3.1657999999999999E-2</v>
      </c>
      <c r="AI65" s="480">
        <v>3.1494000000000001E-2</v>
      </c>
      <c r="AJ65" s="480">
        <v>3.1562E-2</v>
      </c>
      <c r="AK65" s="480">
        <v>3.1509000000000002E-2</v>
      </c>
      <c r="AL65" s="482">
        <v>3.1380999999999999E-2</v>
      </c>
      <c r="AM65" s="480">
        <v>3.1380999999999999E-2</v>
      </c>
      <c r="AN65" s="481">
        <v>3.1175999999999999E-2</v>
      </c>
      <c r="AO65" s="481">
        <v>3.1175999999999999E-2</v>
      </c>
      <c r="AP65" s="480">
        <v>3.1175999999999999E-2</v>
      </c>
      <c r="AQ65" s="480">
        <v>3.1099999999999999E-2</v>
      </c>
      <c r="AR65" s="480">
        <v>3.1199999999999999E-2</v>
      </c>
      <c r="AS65" s="480">
        <f t="shared" ref="AS65:BC65" si="20">AS64+0.05%</f>
        <v>3.1285E-2</v>
      </c>
      <c r="AT65" s="481">
        <f t="shared" si="20"/>
        <v>3.1287000000000002E-2</v>
      </c>
      <c r="AU65" s="481">
        <f t="shared" si="20"/>
        <v>3.1287000000000002E-2</v>
      </c>
      <c r="AV65" s="480">
        <f t="shared" si="20"/>
        <v>3.1373999999999999E-2</v>
      </c>
      <c r="AW65" s="483">
        <f t="shared" si="20"/>
        <v>3.1281000000000003E-2</v>
      </c>
      <c r="AX65" s="483">
        <f t="shared" si="20"/>
        <v>3.1141000000000002E-2</v>
      </c>
      <c r="AY65" s="483">
        <f t="shared" si="20"/>
        <v>3.1141000000000002E-2</v>
      </c>
      <c r="AZ65" s="483">
        <f t="shared" si="20"/>
        <v>3.1141000000000002E-2</v>
      </c>
      <c r="BA65" s="483">
        <f t="shared" si="20"/>
        <v>3.1141000000000002E-2</v>
      </c>
      <c r="BB65" s="483">
        <f t="shared" si="20"/>
        <v>3.1141000000000002E-2</v>
      </c>
      <c r="BC65" s="483">
        <f t="shared" si="20"/>
        <v>3.1141000000000002E-2</v>
      </c>
      <c r="BD65" s="482">
        <v>3.1E-2</v>
      </c>
      <c r="BE65" s="482">
        <v>3.1E-2</v>
      </c>
      <c r="BF65" s="482">
        <v>3.1E-2</v>
      </c>
      <c r="BG65" s="482">
        <v>3.1E-2</v>
      </c>
      <c r="BH65" s="482">
        <v>3.1E-2</v>
      </c>
      <c r="BI65" s="482">
        <v>3.1E-2</v>
      </c>
      <c r="BJ65" s="482">
        <v>3.1E-2</v>
      </c>
      <c r="BK65" s="482">
        <v>3.1E-2</v>
      </c>
      <c r="BL65" s="482">
        <v>3.1399999999999997E-2</v>
      </c>
      <c r="BM65" s="482">
        <v>3.1399999999999997E-2</v>
      </c>
      <c r="BN65" s="482">
        <v>3.1699999999999999E-2</v>
      </c>
      <c r="BO65" s="482">
        <v>3.2465000000000001E-2</v>
      </c>
      <c r="BP65" s="482">
        <v>3.3725999999999999E-2</v>
      </c>
      <c r="BQ65" s="482">
        <v>3.3725999999999999E-2</v>
      </c>
      <c r="BR65" s="482">
        <v>3.4165000000000001E-2</v>
      </c>
      <c r="BS65" s="482">
        <v>3.4165000000000001E-2</v>
      </c>
      <c r="BT65" s="482">
        <v>3.5400000000000001E-2</v>
      </c>
      <c r="BU65" s="482">
        <v>3.5400000000000001E-2</v>
      </c>
      <c r="BV65" s="482">
        <v>3.5400000000000001E-2</v>
      </c>
      <c r="BW65" s="482">
        <v>3.6545000000000001E-2</v>
      </c>
      <c r="BX65" s="482">
        <v>3.6545000000000001E-2</v>
      </c>
      <c r="BY65" s="482">
        <v>3.6545000000000001E-2</v>
      </c>
      <c r="BZ65" s="482">
        <v>3.6545000000000001E-2</v>
      </c>
      <c r="CA65" s="482">
        <v>3.7648000000000001E-2</v>
      </c>
      <c r="CB65" s="482">
        <v>3.9107999999999997E-2</v>
      </c>
      <c r="CC65" s="482">
        <v>3.9954000000000003E-2</v>
      </c>
      <c r="CD65" s="482">
        <v>4.0516000000000003E-2</v>
      </c>
      <c r="CE65" s="482">
        <v>4.1114999999999999E-2</v>
      </c>
      <c r="CF65" s="482">
        <v>4.1369000000000003E-2</v>
      </c>
      <c r="CG65" s="482">
        <v>4.1273999999999998E-2</v>
      </c>
      <c r="CH65" s="482">
        <v>4.1466999999999997E-2</v>
      </c>
      <c r="CI65" s="482">
        <v>4.1494999999999997E-2</v>
      </c>
      <c r="CJ65" s="482">
        <v>4.1346000000000001E-2</v>
      </c>
      <c r="CK65" s="482">
        <v>4.1264000000000002E-2</v>
      </c>
      <c r="CL65" s="483">
        <v>4.1319000000000002E-2</v>
      </c>
      <c r="CM65" s="483">
        <v>4.1459000000000003E-2</v>
      </c>
      <c r="CN65" s="483">
        <v>4.1387E-2</v>
      </c>
      <c r="CO65" s="483">
        <v>4.1291000000000001E-2</v>
      </c>
      <c r="CP65" s="483">
        <v>4.1279000000000003E-2</v>
      </c>
      <c r="CQ65" s="483">
        <v>4.1278000000000002E-2</v>
      </c>
      <c r="CR65" s="483">
        <v>4.1206E-2</v>
      </c>
      <c r="CS65" s="483">
        <v>4.1168000000000003E-2</v>
      </c>
      <c r="CT65" s="483">
        <v>4.1213E-2</v>
      </c>
      <c r="CU65" s="483">
        <v>4.1132000000000002E-2</v>
      </c>
      <c r="CV65" s="508">
        <v>4.1161999999999997E-2</v>
      </c>
      <c r="CW65" s="509">
        <v>4.1161999999999997E-2</v>
      </c>
      <c r="CX65" s="483">
        <v>4.1174000000000002E-2</v>
      </c>
      <c r="CY65" s="483">
        <v>4.1239999999999999E-2</v>
      </c>
      <c r="CZ65" s="483">
        <v>4.1321999999999998E-2</v>
      </c>
      <c r="DA65" s="483">
        <v>4.1253999999999999E-2</v>
      </c>
      <c r="DB65" s="483">
        <v>4.1253999999999999E-2</v>
      </c>
      <c r="DC65" s="485">
        <v>4.1209000000000003E-2</v>
      </c>
      <c r="DD65" s="485">
        <v>4.1263000000000001E-2</v>
      </c>
      <c r="DE65" s="483">
        <v>4.1175999999999997E-2</v>
      </c>
      <c r="DF65" s="483">
        <v>4.1175999999999997E-2</v>
      </c>
      <c r="DG65" s="483">
        <v>4.1224999999999998E-2</v>
      </c>
      <c r="DH65" s="483">
        <v>4.1283E-2</v>
      </c>
      <c r="DI65" s="483">
        <v>4.1359E-2</v>
      </c>
      <c r="DJ65" s="483">
        <v>4.1318000000000001E-2</v>
      </c>
      <c r="DK65" s="483">
        <v>4.1355000000000003E-2</v>
      </c>
      <c r="DL65" s="483">
        <v>4.1484E-2</v>
      </c>
      <c r="DM65" s="483">
        <v>4.1569000000000002E-2</v>
      </c>
      <c r="DN65" s="483">
        <v>4.1576000000000002E-2</v>
      </c>
      <c r="DO65" s="483">
        <v>4.1647999999999998E-2</v>
      </c>
      <c r="DP65" s="483">
        <v>4.1596000000000001E-2</v>
      </c>
      <c r="DQ65" s="483">
        <v>4.1484E-2</v>
      </c>
      <c r="DR65" s="483">
        <v>4.1408E-2</v>
      </c>
      <c r="DS65" s="483">
        <v>4.1294999999999998E-2</v>
      </c>
      <c r="DT65" s="483">
        <v>4.122E-2</v>
      </c>
      <c r="DU65" s="483">
        <v>4.1196000000000003E-2</v>
      </c>
      <c r="DV65" s="483">
        <v>4.1249000000000001E-2</v>
      </c>
      <c r="DW65" s="483">
        <v>4.1334999999999997E-2</v>
      </c>
      <c r="DX65" s="483">
        <v>4.1487999999999997E-2</v>
      </c>
      <c r="DY65" s="483">
        <v>4.1175000000000003E-2</v>
      </c>
      <c r="DZ65" s="483">
        <v>4.1241E-2</v>
      </c>
      <c r="EA65" s="483">
        <v>4.1335999999999998E-2</v>
      </c>
      <c r="EB65" s="483">
        <v>4.1276E-2</v>
      </c>
      <c r="EC65" s="483">
        <v>4.1336999999999999E-2</v>
      </c>
      <c r="ED65" s="483">
        <v>4.1177999999999999E-2</v>
      </c>
      <c r="EE65" s="483">
        <v>4.1126000000000003E-2</v>
      </c>
      <c r="EF65" s="483">
        <v>4.1163999999999999E-2</v>
      </c>
      <c r="EG65" s="483">
        <v>4.1180000000000001E-2</v>
      </c>
      <c r="EH65" s="483">
        <v>4.1154999999999997E-2</v>
      </c>
      <c r="EI65" s="483">
        <v>1.9023000000000002E-2</v>
      </c>
      <c r="EJ65" s="483">
        <v>2.0317999999999999E-2</v>
      </c>
      <c r="EK65" s="483">
        <v>2.0465000000000001E-2</v>
      </c>
      <c r="EL65" s="483">
        <v>1.8062000000000002E-2</v>
      </c>
      <c r="EM65" s="483">
        <v>2.0237000000000002E-2</v>
      </c>
      <c r="EN65" s="483">
        <v>3.8979E-2</v>
      </c>
      <c r="EO65" s="483">
        <v>3.8663999999999997E-2</v>
      </c>
      <c r="EP65" s="483">
        <v>3.8550000000000001E-2</v>
      </c>
      <c r="EQ65" s="483">
        <v>3.8459E-2</v>
      </c>
      <c r="ER65" s="483">
        <v>3.7774000000000002E-2</v>
      </c>
      <c r="ES65" s="483">
        <v>3.7175E-2</v>
      </c>
      <c r="ET65" s="483">
        <v>3.6553000000000002E-2</v>
      </c>
      <c r="EU65" s="483">
        <v>3.6025000000000001E-2</v>
      </c>
      <c r="EV65" s="483">
        <v>3.6110000000000003E-2</v>
      </c>
      <c r="EW65" s="483">
        <v>3.5815E-2</v>
      </c>
      <c r="EX65" s="483">
        <v>3.4709999999999998E-2</v>
      </c>
      <c r="EY65" s="483">
        <v>3.492E-2</v>
      </c>
      <c r="EZ65" s="483">
        <v>3.5242999999999997E-2</v>
      </c>
      <c r="FA65" s="485">
        <v>3.4652000000000002E-2</v>
      </c>
      <c r="FB65" s="485">
        <v>3.3634999999999998E-2</v>
      </c>
      <c r="FC65" s="486">
        <v>3.3625000000000002E-2</v>
      </c>
      <c r="FD65" s="486">
        <v>3.3660000000000002E-2</v>
      </c>
      <c r="FE65" s="486">
        <v>3.3678E-2</v>
      </c>
      <c r="FF65" s="486">
        <v>3.3116E-2</v>
      </c>
      <c r="FG65" s="486">
        <v>3.2828000000000003E-2</v>
      </c>
      <c r="FH65" s="486">
        <v>3.2330999999999999E-2</v>
      </c>
      <c r="FI65" s="486">
        <v>3.1580999999999998E-2</v>
      </c>
      <c r="FJ65" s="486">
        <v>3.1224999999999999E-2</v>
      </c>
      <c r="FK65" s="486">
        <v>3.1210999999999999E-2</v>
      </c>
      <c r="FL65" s="486">
        <v>3.1356000000000002E-2</v>
      </c>
      <c r="FM65" s="486">
        <v>3.0171E-2</v>
      </c>
      <c r="FN65" s="486">
        <v>2.8864999999999998E-2</v>
      </c>
      <c r="FO65" s="486">
        <v>2.7508000000000001E-2</v>
      </c>
      <c r="FP65" s="486">
        <v>2.6109E-2</v>
      </c>
      <c r="FQ65" s="486">
        <v>2.6013000000000001E-2</v>
      </c>
      <c r="FR65" s="486">
        <v>2.5863000000000001E-2</v>
      </c>
      <c r="FS65" s="486">
        <v>2.4274E-2</v>
      </c>
      <c r="FT65" s="486">
        <v>2.2671E-2</v>
      </c>
      <c r="FU65" s="486">
        <v>2.0740999999999999E-2</v>
      </c>
      <c r="FV65" s="483">
        <v>3.95E-2</v>
      </c>
      <c r="FW65" s="483">
        <v>3.9534E-2</v>
      </c>
      <c r="FX65" s="483">
        <v>3.9939000000000002E-2</v>
      </c>
      <c r="FY65" s="483">
        <v>3.9939000000000002E-2</v>
      </c>
      <c r="FZ65" s="483">
        <v>3.9424000000000001E-2</v>
      </c>
      <c r="GA65" s="483">
        <v>3.8837000000000003E-2</v>
      </c>
      <c r="GB65" s="483">
        <v>3.8771E-2</v>
      </c>
      <c r="GC65" s="483">
        <v>3.9469999999999998E-2</v>
      </c>
      <c r="GD65" s="486">
        <v>2.0465000000000001E-2</v>
      </c>
      <c r="GE65" s="486">
        <v>2.0465000000000001E-2</v>
      </c>
      <c r="GF65" s="486">
        <v>2.0465000000000001E-2</v>
      </c>
      <c r="GG65" s="486">
        <v>2.0465000000000001E-2</v>
      </c>
      <c r="GH65" s="486">
        <v>2.0465000000000001E-2</v>
      </c>
      <c r="GI65" s="486">
        <v>2.0465000000000001E-2</v>
      </c>
      <c r="GJ65" s="486">
        <v>2.0465000000000001E-2</v>
      </c>
      <c r="GK65" s="486">
        <v>2.0465000000000001E-2</v>
      </c>
      <c r="GL65" s="486">
        <v>2.0465000000000001E-2</v>
      </c>
      <c r="GM65" s="486">
        <v>2.0465000000000001E-2</v>
      </c>
      <c r="GN65" s="486">
        <v>2.0465000000000001E-2</v>
      </c>
      <c r="GO65" s="486">
        <v>2.0465000000000001E-2</v>
      </c>
      <c r="GP65" s="486">
        <v>2.0465000000000001E-2</v>
      </c>
      <c r="GQ65" s="486">
        <v>2.0465000000000001E-2</v>
      </c>
      <c r="GR65" s="486">
        <v>2.0465000000000001E-2</v>
      </c>
      <c r="GS65" s="486">
        <v>2.0465000000000001E-2</v>
      </c>
      <c r="GT65" s="486">
        <v>2.0465000000000001E-2</v>
      </c>
      <c r="GU65" s="486">
        <v>2.0465000000000001E-2</v>
      </c>
      <c r="GV65" s="486">
        <v>2.0465000000000001E-2</v>
      </c>
      <c r="GW65" s="486">
        <v>2.0465000000000001E-2</v>
      </c>
      <c r="GX65" s="486">
        <v>2.0465000000000001E-2</v>
      </c>
      <c r="GY65" s="486">
        <v>2.0465000000000001E-2</v>
      </c>
      <c r="GZ65" s="486">
        <v>2.0465000000000001E-2</v>
      </c>
      <c r="HA65" s="486">
        <v>2.0465000000000001E-2</v>
      </c>
      <c r="HB65" s="486">
        <v>2.0465000000000001E-2</v>
      </c>
      <c r="HC65" s="486">
        <v>2.0465000000000001E-2</v>
      </c>
      <c r="HD65" s="486">
        <v>2.0465000000000001E-2</v>
      </c>
      <c r="HE65" s="486">
        <v>2.0465000000000001E-2</v>
      </c>
      <c r="HF65" s="486">
        <v>2.0465000000000001E-2</v>
      </c>
      <c r="HG65" s="486">
        <v>2.0465000000000001E-2</v>
      </c>
      <c r="HH65" s="486">
        <v>2.0465000000000001E-2</v>
      </c>
      <c r="HI65" s="486">
        <v>2.0465000000000001E-2</v>
      </c>
      <c r="HJ65" s="486">
        <v>2.0465000000000001E-2</v>
      </c>
      <c r="HK65" s="486">
        <v>2.0465000000000001E-2</v>
      </c>
      <c r="HL65" s="486">
        <v>2.0465000000000001E-2</v>
      </c>
      <c r="HM65" s="486">
        <v>2.0465000000000001E-2</v>
      </c>
      <c r="HN65" s="486">
        <v>2.0465000000000001E-2</v>
      </c>
      <c r="HO65" s="486">
        <v>2.0465000000000001E-2</v>
      </c>
      <c r="HP65" s="473">
        <f t="shared" si="12"/>
        <v>0</v>
      </c>
      <c r="HQ65" s="511"/>
    </row>
    <row r="66" spans="2:225">
      <c r="B66" s="1141" t="s">
        <v>42</v>
      </c>
      <c r="C66" s="731" t="s">
        <v>219</v>
      </c>
      <c r="D66" s="488">
        <v>3.1600000000000003E-2</v>
      </c>
      <c r="E66" s="488">
        <v>3.1600000000000003E-2</v>
      </c>
      <c r="F66" s="488">
        <v>3.1600000000000003E-2</v>
      </c>
      <c r="G66" s="488">
        <v>3.1600000000000003E-2</v>
      </c>
      <c r="H66" s="488">
        <v>3.1600000000000003E-2</v>
      </c>
      <c r="I66" s="488">
        <v>3.1600000000000003E-2</v>
      </c>
      <c r="J66" s="488">
        <v>3.1600000000000003E-2</v>
      </c>
      <c r="K66" s="488">
        <v>3.1600000000000003E-2</v>
      </c>
      <c r="L66" s="494">
        <v>3.1600000000000003E-2</v>
      </c>
      <c r="M66" s="488">
        <v>3.5099999999999999E-2</v>
      </c>
      <c r="N66" s="488">
        <v>3.5099999999999999E-2</v>
      </c>
      <c r="O66" s="488">
        <v>3.5099999999999999E-2</v>
      </c>
      <c r="P66" s="488">
        <v>3.5099999999999999E-2</v>
      </c>
      <c r="Q66" s="488">
        <v>3.5099999999999999E-2</v>
      </c>
      <c r="R66" s="488">
        <v>3.5099999999999999E-2</v>
      </c>
      <c r="S66" s="488">
        <v>3.5099999999999999E-2</v>
      </c>
      <c r="T66" s="488">
        <v>3.5099999999999999E-2</v>
      </c>
      <c r="U66" s="488">
        <v>3.5099999999999999E-2</v>
      </c>
      <c r="V66" s="488">
        <v>3.5099999999999999E-2</v>
      </c>
      <c r="W66" s="488">
        <v>3.5099999999999999E-2</v>
      </c>
      <c r="X66" s="488">
        <v>3.5099999999999999E-2</v>
      </c>
      <c r="Y66" s="488">
        <v>3.5099999999999999E-2</v>
      </c>
      <c r="Z66" s="488">
        <v>3.5099999999999999E-2</v>
      </c>
      <c r="AA66" s="494">
        <v>3.5099999999999999E-2</v>
      </c>
      <c r="AB66" s="488">
        <v>3.7600000000000001E-2</v>
      </c>
      <c r="AC66" s="488">
        <v>3.7600000000000001E-2</v>
      </c>
      <c r="AD66" s="488">
        <v>3.7600000000000001E-2</v>
      </c>
      <c r="AE66" s="488">
        <v>3.7600000000000001E-2</v>
      </c>
      <c r="AF66" s="488">
        <v>3.7600000000000001E-2</v>
      </c>
      <c r="AG66" s="488">
        <v>3.7600000000000001E-2</v>
      </c>
      <c r="AH66" s="488">
        <v>3.7600000000000001E-2</v>
      </c>
      <c r="AI66" s="488">
        <v>3.7600000000000001E-2</v>
      </c>
      <c r="AJ66" s="488">
        <v>3.7600000000000001E-2</v>
      </c>
      <c r="AK66" s="488">
        <v>3.7600000000000001E-2</v>
      </c>
      <c r="AL66" s="489">
        <v>3.7600000000000001E-2</v>
      </c>
      <c r="AM66" s="488">
        <v>3.7600000000000001E-2</v>
      </c>
      <c r="AN66" s="488">
        <v>3.7600000000000001E-2</v>
      </c>
      <c r="AO66" s="488">
        <v>3.7600000000000001E-2</v>
      </c>
      <c r="AP66" s="488">
        <v>3.7600000000000001E-2</v>
      </c>
      <c r="AQ66" s="494">
        <v>3.7600000000000001E-2</v>
      </c>
      <c r="AR66" s="494">
        <v>3.7999999999999999E-2</v>
      </c>
      <c r="AS66" s="488">
        <v>4.2099999999999999E-2</v>
      </c>
      <c r="AT66" s="488">
        <v>4.2099999999999999E-2</v>
      </c>
      <c r="AU66" s="488">
        <v>4.2099999999999999E-2</v>
      </c>
      <c r="AV66" s="489">
        <v>4.2099999999999999E-2</v>
      </c>
      <c r="AW66" s="489">
        <v>4.2099999999999999E-2</v>
      </c>
      <c r="AX66" s="489">
        <v>4.2099999999999999E-2</v>
      </c>
      <c r="AY66" s="489">
        <v>4.2099999999999999E-2</v>
      </c>
      <c r="AZ66" s="489">
        <v>4.2099999999999999E-2</v>
      </c>
      <c r="BA66" s="489">
        <v>4.2099999999999999E-2</v>
      </c>
      <c r="BB66" s="489">
        <v>4.2099999999999999E-2</v>
      </c>
      <c r="BC66" s="489">
        <v>4.2099999999999999E-2</v>
      </c>
      <c r="BD66" s="489">
        <v>4.2099999999999999E-2</v>
      </c>
      <c r="BE66" s="489">
        <v>4.2099999999999999E-2</v>
      </c>
      <c r="BF66" s="489">
        <v>4.2099999999999999E-2</v>
      </c>
      <c r="BG66" s="489">
        <v>4.2099999999999999E-2</v>
      </c>
      <c r="BH66" s="489">
        <v>4.2099999999999999E-2</v>
      </c>
      <c r="BI66" s="489">
        <v>4.2099999999999999E-2</v>
      </c>
      <c r="BJ66" s="489">
        <v>4.2099999999999999E-2</v>
      </c>
      <c r="BK66" s="489">
        <v>4.2099999999999999E-2</v>
      </c>
      <c r="BL66" s="489">
        <v>4.2099999999999999E-2</v>
      </c>
      <c r="BM66" s="489">
        <v>4.2099999999999999E-2</v>
      </c>
      <c r="BN66" s="489">
        <v>4.2099999999999999E-2</v>
      </c>
      <c r="BO66" s="489">
        <v>4.2099999999999999E-2</v>
      </c>
      <c r="BP66" s="489">
        <v>4.2099999999999999E-2</v>
      </c>
      <c r="BQ66" s="489">
        <v>4.2099999999999999E-2</v>
      </c>
      <c r="BR66" s="489">
        <v>4.2099999999999999E-2</v>
      </c>
      <c r="BS66" s="489">
        <v>4.2099999999999999E-2</v>
      </c>
      <c r="BT66" s="489">
        <v>4.2099999999999999E-2</v>
      </c>
      <c r="BU66" s="489">
        <v>4.2099999999999999E-2</v>
      </c>
      <c r="BV66" s="489">
        <v>4.2099999999999999E-2</v>
      </c>
      <c r="BW66" s="489">
        <v>4.2099999999999999E-2</v>
      </c>
      <c r="BX66" s="489">
        <v>4.2099999999999999E-2</v>
      </c>
      <c r="BY66" s="489">
        <v>4.2099999999999999E-2</v>
      </c>
      <c r="BZ66" s="489">
        <v>4.2099999999999999E-2</v>
      </c>
      <c r="CA66" s="489">
        <v>4.4600000000000001E-2</v>
      </c>
      <c r="CB66" s="489">
        <v>4.4600000000000001E-2</v>
      </c>
      <c r="CC66" s="489">
        <v>4.4600000000000001E-2</v>
      </c>
      <c r="CD66" s="489">
        <v>4.36E-2</v>
      </c>
      <c r="CE66" s="489">
        <v>4.36E-2</v>
      </c>
      <c r="CF66" s="489">
        <v>4.36E-2</v>
      </c>
      <c r="CG66" s="489">
        <v>4.36E-2</v>
      </c>
      <c r="CH66" s="489">
        <v>4.36E-2</v>
      </c>
      <c r="CI66" s="489">
        <v>4.36E-2</v>
      </c>
      <c r="CJ66" s="489">
        <v>4.36E-2</v>
      </c>
      <c r="CK66" s="489">
        <v>4.36E-2</v>
      </c>
      <c r="CL66" s="489">
        <v>4.36E-2</v>
      </c>
      <c r="CM66" s="489">
        <v>4.36E-2</v>
      </c>
      <c r="CN66" s="489">
        <v>4.36E-2</v>
      </c>
      <c r="CO66" s="489">
        <v>4.36E-2</v>
      </c>
      <c r="CP66" s="489">
        <v>4.36E-2</v>
      </c>
      <c r="CQ66" s="489">
        <v>4.36E-2</v>
      </c>
      <c r="CR66" s="489">
        <v>4.36E-2</v>
      </c>
      <c r="CS66" s="489">
        <v>4.36E-2</v>
      </c>
      <c r="CT66" s="489">
        <v>4.36E-2</v>
      </c>
      <c r="CU66" s="489">
        <v>4.36E-2</v>
      </c>
      <c r="CV66" s="489">
        <v>4.36E-2</v>
      </c>
      <c r="CW66" s="489">
        <v>4.36E-2</v>
      </c>
      <c r="CX66" s="489">
        <v>4.36E-2</v>
      </c>
      <c r="CY66" s="489">
        <v>4.36E-2</v>
      </c>
      <c r="CZ66" s="489">
        <v>4.36E-2</v>
      </c>
      <c r="DA66" s="489">
        <v>4.36E-2</v>
      </c>
      <c r="DB66" s="489">
        <v>4.36E-2</v>
      </c>
      <c r="DC66" s="489">
        <v>4.36E-2</v>
      </c>
      <c r="DD66" s="489">
        <v>4.36E-2</v>
      </c>
      <c r="DE66" s="489">
        <v>4.36E-2</v>
      </c>
      <c r="DF66" s="489">
        <v>4.36E-2</v>
      </c>
      <c r="DG66" s="489">
        <v>4.36E-2</v>
      </c>
      <c r="DH66" s="489">
        <v>4.36E-2</v>
      </c>
      <c r="DI66" s="489">
        <v>4.36E-2</v>
      </c>
      <c r="DJ66" s="489">
        <v>4.36E-2</v>
      </c>
      <c r="DK66" s="489">
        <v>4.36E-2</v>
      </c>
      <c r="DL66" s="489">
        <v>4.36E-2</v>
      </c>
      <c r="DM66" s="489">
        <v>4.36E-2</v>
      </c>
      <c r="DN66" s="489">
        <v>4.36E-2</v>
      </c>
      <c r="DO66" s="489">
        <v>4.36E-2</v>
      </c>
      <c r="DP66" s="489">
        <v>4.36E-2</v>
      </c>
      <c r="DQ66" s="489">
        <v>4.36E-2</v>
      </c>
      <c r="DR66" s="489">
        <v>4.36E-2</v>
      </c>
      <c r="DS66" s="489">
        <v>4.36E-2</v>
      </c>
      <c r="DT66" s="489">
        <v>4.36E-2</v>
      </c>
      <c r="DU66" s="489">
        <v>4.36E-2</v>
      </c>
      <c r="DV66" s="489">
        <v>4.36E-2</v>
      </c>
      <c r="DW66" s="489">
        <v>4.36E-2</v>
      </c>
      <c r="DX66" s="489">
        <v>4.36E-2</v>
      </c>
      <c r="DY66" s="489">
        <v>4.36E-2</v>
      </c>
      <c r="DZ66" s="489">
        <v>4.36E-2</v>
      </c>
      <c r="EA66" s="489">
        <v>4.36E-2</v>
      </c>
      <c r="EB66" s="489">
        <v>4.36E-2</v>
      </c>
      <c r="EC66" s="489">
        <v>4.36E-2</v>
      </c>
      <c r="ED66" s="489">
        <v>4.36E-2</v>
      </c>
      <c r="EE66" s="489">
        <v>4.36E-2</v>
      </c>
      <c r="EF66" s="489">
        <v>4.36E-2</v>
      </c>
      <c r="EG66" s="489">
        <v>4.36E-2</v>
      </c>
      <c r="EH66" s="489">
        <v>4.36E-2</v>
      </c>
      <c r="EI66" s="489">
        <v>4.36E-2</v>
      </c>
      <c r="EJ66" s="489">
        <v>4.36E-2</v>
      </c>
      <c r="EK66" s="489">
        <v>4.36E-2</v>
      </c>
      <c r="EL66" s="489">
        <v>4.36E-2</v>
      </c>
      <c r="EM66" s="489">
        <v>4.36E-2</v>
      </c>
      <c r="EN66" s="489">
        <v>4.36E-2</v>
      </c>
      <c r="EO66" s="489">
        <v>4.36E-2</v>
      </c>
      <c r="EP66" s="489">
        <v>4.36E-2</v>
      </c>
      <c r="EQ66" s="489">
        <v>4.36E-2</v>
      </c>
      <c r="ER66" s="489">
        <v>4.36E-2</v>
      </c>
      <c r="ES66" s="489">
        <v>4.36E-2</v>
      </c>
      <c r="ET66" s="489">
        <v>4.36E-2</v>
      </c>
      <c r="EU66" s="489">
        <v>4.36E-2</v>
      </c>
      <c r="EV66" s="489">
        <v>4.36E-2</v>
      </c>
      <c r="EW66" s="489">
        <v>4.36E-2</v>
      </c>
      <c r="EX66" s="489">
        <v>4.36E-2</v>
      </c>
      <c r="EY66" s="489">
        <v>4.36E-2</v>
      </c>
      <c r="EZ66" s="489">
        <v>4.36E-2</v>
      </c>
      <c r="FA66" s="489">
        <v>4.36E-2</v>
      </c>
      <c r="FB66" s="489">
        <v>4.36E-2</v>
      </c>
      <c r="FC66" s="489">
        <v>4.36E-2</v>
      </c>
      <c r="FD66" s="489">
        <v>4.36E-2</v>
      </c>
      <c r="FE66" s="489">
        <v>4.36E-2</v>
      </c>
      <c r="FF66" s="489">
        <v>4.36E-2</v>
      </c>
      <c r="FG66" s="489">
        <v>4.36E-2</v>
      </c>
      <c r="FH66" s="489">
        <v>4.36E-2</v>
      </c>
      <c r="FI66" s="489">
        <v>4.36E-2</v>
      </c>
      <c r="FJ66" s="489">
        <v>4.36E-2</v>
      </c>
      <c r="FK66" s="489">
        <v>4.36E-2</v>
      </c>
      <c r="FL66" s="489">
        <v>4.36E-2</v>
      </c>
      <c r="FM66" s="489">
        <v>4.36E-2</v>
      </c>
      <c r="FN66" s="489">
        <v>4.36E-2</v>
      </c>
      <c r="FO66" s="489">
        <v>4.36E-2</v>
      </c>
      <c r="FP66" s="489">
        <v>4.36E-2</v>
      </c>
      <c r="FQ66" s="489">
        <v>4.36E-2</v>
      </c>
      <c r="FR66" s="489">
        <v>4.36E-2</v>
      </c>
      <c r="FS66" s="489">
        <v>4.36E-2</v>
      </c>
      <c r="FT66" s="489">
        <v>4.36E-2</v>
      </c>
      <c r="FU66" s="489">
        <v>4.36E-2</v>
      </c>
      <c r="FV66" s="489">
        <v>4.36E-2</v>
      </c>
      <c r="FW66" s="489">
        <v>4.36E-2</v>
      </c>
      <c r="FX66" s="489">
        <v>4.36E-2</v>
      </c>
      <c r="FY66" s="489">
        <v>4.36E-2</v>
      </c>
      <c r="FZ66" s="489">
        <v>4.36E-2</v>
      </c>
      <c r="GA66" s="489">
        <v>4.36E-2</v>
      </c>
      <c r="GB66" s="489">
        <v>4.36E-2</v>
      </c>
      <c r="GC66" s="489">
        <v>4.36E-2</v>
      </c>
      <c r="GD66" s="489">
        <v>2.86E-2</v>
      </c>
      <c r="GE66" s="489">
        <v>2.86E-2</v>
      </c>
      <c r="GF66" s="489">
        <v>2.86E-2</v>
      </c>
      <c r="GG66" s="489">
        <v>2.86E-2</v>
      </c>
      <c r="GH66" s="489">
        <v>2.86E-2</v>
      </c>
      <c r="GI66" s="489">
        <v>2.86E-2</v>
      </c>
      <c r="GJ66" s="489">
        <v>2.86E-2</v>
      </c>
      <c r="GK66" s="489">
        <v>2.86E-2</v>
      </c>
      <c r="GL66" s="489">
        <v>2.86E-2</v>
      </c>
      <c r="GM66" s="489">
        <v>2.86E-2</v>
      </c>
      <c r="GN66" s="489">
        <v>2.86E-2</v>
      </c>
      <c r="GO66" s="489">
        <v>2.86E-2</v>
      </c>
      <c r="GP66" s="489">
        <v>2.86E-2</v>
      </c>
      <c r="GQ66" s="489">
        <v>2.86E-2</v>
      </c>
      <c r="GR66" s="489">
        <v>2.86E-2</v>
      </c>
      <c r="GS66" s="489">
        <v>2.86E-2</v>
      </c>
      <c r="GT66" s="489">
        <v>2.86E-2</v>
      </c>
      <c r="GU66" s="489">
        <v>2.86E-2</v>
      </c>
      <c r="GV66" s="489">
        <v>2.86E-2</v>
      </c>
      <c r="GW66" s="489">
        <v>2.86E-2</v>
      </c>
      <c r="GX66" s="489">
        <v>2.86E-2</v>
      </c>
      <c r="GY66" s="489">
        <v>2.86E-2</v>
      </c>
      <c r="GZ66" s="489">
        <v>2.86E-2</v>
      </c>
      <c r="HA66" s="489">
        <v>2.86E-2</v>
      </c>
      <c r="HB66" s="489">
        <v>2.86E-2</v>
      </c>
      <c r="HC66" s="489">
        <v>2.86E-2</v>
      </c>
      <c r="HD66" s="489">
        <v>2.86E-2</v>
      </c>
      <c r="HE66" s="489">
        <v>2.86E-2</v>
      </c>
      <c r="HF66" s="489">
        <v>2.86E-2</v>
      </c>
      <c r="HG66" s="489">
        <v>2.86E-2</v>
      </c>
      <c r="HH66" s="489">
        <v>2.86E-2</v>
      </c>
      <c r="HI66" s="489">
        <v>2.86E-2</v>
      </c>
      <c r="HJ66" s="489">
        <v>2.86E-2</v>
      </c>
      <c r="HK66" s="489">
        <v>2.86E-2</v>
      </c>
      <c r="HL66" s="489">
        <v>2.86E-2</v>
      </c>
      <c r="HM66" s="489">
        <v>2.86E-2</v>
      </c>
      <c r="HN66" s="489">
        <v>2.86E-2</v>
      </c>
      <c r="HO66" s="489">
        <v>2.86E-2</v>
      </c>
      <c r="HP66" s="473">
        <f t="shared" si="12"/>
        <v>0</v>
      </c>
      <c r="HQ66" s="1142"/>
    </row>
    <row r="67" spans="2:225">
      <c r="B67" s="1141"/>
      <c r="C67" s="731" t="s">
        <v>218</v>
      </c>
      <c r="D67" s="488">
        <v>3.1699999999999999E-2</v>
      </c>
      <c r="E67" s="488">
        <v>3.1699999999999999E-2</v>
      </c>
      <c r="F67" s="488">
        <v>3.1699999999999999E-2</v>
      </c>
      <c r="G67" s="488">
        <v>3.1699999999999999E-2</v>
      </c>
      <c r="H67" s="488">
        <v>3.1699999999999999E-2</v>
      </c>
      <c r="I67" s="488">
        <v>3.1699999999999999E-2</v>
      </c>
      <c r="J67" s="488">
        <v>3.1699999999999999E-2</v>
      </c>
      <c r="K67" s="488">
        <v>3.1699999999999999E-2</v>
      </c>
      <c r="L67" s="494">
        <v>3.1699999999999999E-2</v>
      </c>
      <c r="M67" s="488">
        <v>3.5199999999999995E-2</v>
      </c>
      <c r="N67" s="488">
        <v>3.5199999999999995E-2</v>
      </c>
      <c r="O67" s="488">
        <v>3.5199999999999995E-2</v>
      </c>
      <c r="P67" s="488">
        <v>3.5199999999999995E-2</v>
      </c>
      <c r="Q67" s="488">
        <v>3.5199999999999995E-2</v>
      </c>
      <c r="R67" s="488">
        <v>3.5199999999999995E-2</v>
      </c>
      <c r="S67" s="488">
        <v>3.5199999999999995E-2</v>
      </c>
      <c r="T67" s="488">
        <v>3.5199999999999995E-2</v>
      </c>
      <c r="U67" s="488">
        <v>3.5199999999999995E-2</v>
      </c>
      <c r="V67" s="488">
        <v>3.5199999999999995E-2</v>
      </c>
      <c r="W67" s="488">
        <v>3.5199999999999995E-2</v>
      </c>
      <c r="X67" s="488">
        <v>3.5199999999999995E-2</v>
      </c>
      <c r="Y67" s="488">
        <v>3.5199999999999995E-2</v>
      </c>
      <c r="Z67" s="488">
        <v>3.5199999999999995E-2</v>
      </c>
      <c r="AA67" s="494">
        <v>3.5199999999999995E-2</v>
      </c>
      <c r="AB67" s="488">
        <v>3.7699999999999997E-2</v>
      </c>
      <c r="AC67" s="488">
        <v>3.7699999999999997E-2</v>
      </c>
      <c r="AD67" s="488">
        <v>3.7699999999999997E-2</v>
      </c>
      <c r="AE67" s="488">
        <v>3.7699999999999997E-2</v>
      </c>
      <c r="AF67" s="488">
        <v>3.7699999999999997E-2</v>
      </c>
      <c r="AG67" s="488">
        <v>3.7699999999999997E-2</v>
      </c>
      <c r="AH67" s="488">
        <v>3.7699999999999997E-2</v>
      </c>
      <c r="AI67" s="488">
        <v>3.7699999999999997E-2</v>
      </c>
      <c r="AJ67" s="488">
        <v>3.7699999999999997E-2</v>
      </c>
      <c r="AK67" s="488">
        <v>3.7699999999999997E-2</v>
      </c>
      <c r="AL67" s="489">
        <v>3.7699999999999997E-2</v>
      </c>
      <c r="AM67" s="488">
        <v>3.7699999999999997E-2</v>
      </c>
      <c r="AN67" s="488">
        <v>3.7699999999999997E-2</v>
      </c>
      <c r="AO67" s="488">
        <v>3.7699999999999997E-2</v>
      </c>
      <c r="AP67" s="488">
        <v>3.7699999999999997E-2</v>
      </c>
      <c r="AQ67" s="488">
        <v>3.7699999999999997E-2</v>
      </c>
      <c r="AR67" s="494">
        <v>3.7699999999999997E-2</v>
      </c>
      <c r="AS67" s="488">
        <v>4.2200000000000001E-2</v>
      </c>
      <c r="AT67" s="488">
        <v>4.2200000000000001E-2</v>
      </c>
      <c r="AU67" s="488">
        <v>4.2200000000000001E-2</v>
      </c>
      <c r="AV67" s="489">
        <v>4.2200000000000001E-2</v>
      </c>
      <c r="AW67" s="489">
        <v>4.2200000000000001E-2</v>
      </c>
      <c r="AX67" s="489">
        <v>4.2200000000000001E-2</v>
      </c>
      <c r="AY67" s="489">
        <v>4.2200000000000001E-2</v>
      </c>
      <c r="AZ67" s="489">
        <v>4.2200000000000001E-2</v>
      </c>
      <c r="BA67" s="489">
        <v>4.2200000000000001E-2</v>
      </c>
      <c r="BB67" s="489">
        <v>4.2200000000000001E-2</v>
      </c>
      <c r="BC67" s="489">
        <v>4.2200000000000001E-2</v>
      </c>
      <c r="BD67" s="489">
        <v>4.2200000000000001E-2</v>
      </c>
      <c r="BE67" s="489">
        <v>4.2200000000000001E-2</v>
      </c>
      <c r="BF67" s="489">
        <v>4.2200000000000001E-2</v>
      </c>
      <c r="BG67" s="489">
        <v>4.2200000000000001E-2</v>
      </c>
      <c r="BH67" s="489">
        <v>4.2200000000000001E-2</v>
      </c>
      <c r="BI67" s="489">
        <v>4.2200000000000001E-2</v>
      </c>
      <c r="BJ67" s="489">
        <v>4.2200000000000001E-2</v>
      </c>
      <c r="BK67" s="489">
        <v>4.2200000000000001E-2</v>
      </c>
      <c r="BL67" s="489">
        <v>4.2200000000000001E-2</v>
      </c>
      <c r="BM67" s="489">
        <v>4.2200000000000001E-2</v>
      </c>
      <c r="BN67" s="489">
        <v>4.2200000000000001E-2</v>
      </c>
      <c r="BO67" s="489">
        <v>4.2200000000000001E-2</v>
      </c>
      <c r="BP67" s="489">
        <v>4.2200000000000001E-2</v>
      </c>
      <c r="BQ67" s="489">
        <v>4.2200000000000001E-2</v>
      </c>
      <c r="BR67" s="489">
        <v>4.2200000000000001E-2</v>
      </c>
      <c r="BS67" s="489">
        <v>4.2200000000000001E-2</v>
      </c>
      <c r="BT67" s="489">
        <v>4.2200000000000001E-2</v>
      </c>
      <c r="BU67" s="489">
        <v>4.2200000000000001E-2</v>
      </c>
      <c r="BV67" s="489">
        <v>4.2200000000000001E-2</v>
      </c>
      <c r="BW67" s="489">
        <v>4.2200000000000001E-2</v>
      </c>
      <c r="BX67" s="489">
        <v>4.2200000000000001E-2</v>
      </c>
      <c r="BY67" s="489">
        <v>4.2200000000000001E-2</v>
      </c>
      <c r="BZ67" s="489">
        <v>4.2200000000000001E-2</v>
      </c>
      <c r="CA67" s="489">
        <v>4.4699999999999997E-2</v>
      </c>
      <c r="CB67" s="489">
        <v>4.4699999999999997E-2</v>
      </c>
      <c r="CC67" s="489">
        <v>4.4699999999999997E-2</v>
      </c>
      <c r="CD67" s="489">
        <v>4.3700000000000003E-2</v>
      </c>
      <c r="CE67" s="489">
        <v>4.3700000000000003E-2</v>
      </c>
      <c r="CF67" s="489">
        <v>4.3700000000000003E-2</v>
      </c>
      <c r="CG67" s="489">
        <v>4.3700000000000003E-2</v>
      </c>
      <c r="CH67" s="489">
        <v>4.3700000000000003E-2</v>
      </c>
      <c r="CI67" s="489">
        <v>4.3700000000000003E-2</v>
      </c>
      <c r="CJ67" s="489">
        <v>4.3700000000000003E-2</v>
      </c>
      <c r="CK67" s="489">
        <v>4.3700000000000003E-2</v>
      </c>
      <c r="CL67" s="489">
        <v>4.3700000000000003E-2</v>
      </c>
      <c r="CM67" s="489">
        <v>4.3700000000000003E-2</v>
      </c>
      <c r="CN67" s="489">
        <v>4.3700000000000003E-2</v>
      </c>
      <c r="CO67" s="489">
        <v>4.3700000000000003E-2</v>
      </c>
      <c r="CP67" s="489">
        <v>4.3700000000000003E-2</v>
      </c>
      <c r="CQ67" s="489">
        <v>4.3700000000000003E-2</v>
      </c>
      <c r="CR67" s="489">
        <v>4.3700000000000003E-2</v>
      </c>
      <c r="CS67" s="489">
        <v>4.3700000000000003E-2</v>
      </c>
      <c r="CT67" s="489">
        <v>4.3700000000000003E-2</v>
      </c>
      <c r="CU67" s="489">
        <v>4.3700000000000003E-2</v>
      </c>
      <c r="CV67" s="489">
        <v>4.3700000000000003E-2</v>
      </c>
      <c r="CW67" s="489">
        <v>4.3700000000000003E-2</v>
      </c>
      <c r="CX67" s="489">
        <v>4.3700000000000003E-2</v>
      </c>
      <c r="CY67" s="489">
        <v>4.3700000000000003E-2</v>
      </c>
      <c r="CZ67" s="489">
        <v>4.3700000000000003E-2</v>
      </c>
      <c r="DA67" s="489">
        <v>4.3700000000000003E-2</v>
      </c>
      <c r="DB67" s="489">
        <v>4.3700000000000003E-2</v>
      </c>
      <c r="DC67" s="489">
        <v>4.3700000000000003E-2</v>
      </c>
      <c r="DD67" s="489">
        <v>4.3700000000000003E-2</v>
      </c>
      <c r="DE67" s="489">
        <v>4.3700000000000003E-2</v>
      </c>
      <c r="DF67" s="489">
        <v>4.3700000000000003E-2</v>
      </c>
      <c r="DG67" s="489">
        <v>4.3700000000000003E-2</v>
      </c>
      <c r="DH67" s="489">
        <v>4.3700000000000003E-2</v>
      </c>
      <c r="DI67" s="489">
        <v>4.3700000000000003E-2</v>
      </c>
      <c r="DJ67" s="489">
        <v>4.3700000000000003E-2</v>
      </c>
      <c r="DK67" s="489">
        <v>4.3700000000000003E-2</v>
      </c>
      <c r="DL67" s="489">
        <v>4.3700000000000003E-2</v>
      </c>
      <c r="DM67" s="489">
        <v>4.3700000000000003E-2</v>
      </c>
      <c r="DN67" s="489">
        <v>4.3700000000000003E-2</v>
      </c>
      <c r="DO67" s="489">
        <v>4.3700000000000003E-2</v>
      </c>
      <c r="DP67" s="489">
        <v>4.3700000000000003E-2</v>
      </c>
      <c r="DQ67" s="489">
        <v>4.3700000000000003E-2</v>
      </c>
      <c r="DR67" s="489">
        <v>4.3700000000000003E-2</v>
      </c>
      <c r="DS67" s="489">
        <v>4.3700000000000003E-2</v>
      </c>
      <c r="DT67" s="489">
        <v>4.3700000000000003E-2</v>
      </c>
      <c r="DU67" s="489">
        <v>4.3700000000000003E-2</v>
      </c>
      <c r="DV67" s="489">
        <v>4.3700000000000003E-2</v>
      </c>
      <c r="DW67" s="489">
        <v>4.3700000000000003E-2</v>
      </c>
      <c r="DX67" s="489">
        <v>4.3700000000000003E-2</v>
      </c>
      <c r="DY67" s="489">
        <v>4.3700000000000003E-2</v>
      </c>
      <c r="DZ67" s="489">
        <v>4.3700000000000003E-2</v>
      </c>
      <c r="EA67" s="489">
        <v>4.3700000000000003E-2</v>
      </c>
      <c r="EB67" s="489">
        <v>4.3700000000000003E-2</v>
      </c>
      <c r="EC67" s="489">
        <v>4.3700000000000003E-2</v>
      </c>
      <c r="ED67" s="489">
        <v>4.3700000000000003E-2</v>
      </c>
      <c r="EE67" s="489">
        <v>4.3700000000000003E-2</v>
      </c>
      <c r="EF67" s="489">
        <v>4.3700000000000003E-2</v>
      </c>
      <c r="EG67" s="489">
        <v>4.3700000000000003E-2</v>
      </c>
      <c r="EH67" s="489">
        <v>4.3700000000000003E-2</v>
      </c>
      <c r="EI67" s="489">
        <v>4.3700000000000003E-2</v>
      </c>
      <c r="EJ67" s="489">
        <v>4.3700000000000003E-2</v>
      </c>
      <c r="EK67" s="489">
        <v>4.3700000000000003E-2</v>
      </c>
      <c r="EL67" s="489">
        <v>4.3700000000000003E-2</v>
      </c>
      <c r="EM67" s="489">
        <v>4.3700000000000003E-2</v>
      </c>
      <c r="EN67" s="489">
        <v>4.3700000000000003E-2</v>
      </c>
      <c r="EO67" s="489">
        <v>4.3700000000000003E-2</v>
      </c>
      <c r="EP67" s="489">
        <v>4.3700000000000003E-2</v>
      </c>
      <c r="EQ67" s="489">
        <v>4.3700000000000003E-2</v>
      </c>
      <c r="ER67" s="489">
        <v>4.3700000000000003E-2</v>
      </c>
      <c r="ES67" s="489">
        <v>4.3700000000000003E-2</v>
      </c>
      <c r="ET67" s="489">
        <v>4.3700000000000003E-2</v>
      </c>
      <c r="EU67" s="489">
        <v>4.3700000000000003E-2</v>
      </c>
      <c r="EV67" s="489">
        <v>4.3700000000000003E-2</v>
      </c>
      <c r="EW67" s="489">
        <v>4.3700000000000003E-2</v>
      </c>
      <c r="EX67" s="489">
        <v>4.3700000000000003E-2</v>
      </c>
      <c r="EY67" s="489">
        <v>4.3700000000000003E-2</v>
      </c>
      <c r="EZ67" s="489">
        <v>4.3700000000000003E-2</v>
      </c>
      <c r="FA67" s="489">
        <v>4.3700000000000003E-2</v>
      </c>
      <c r="FB67" s="489">
        <v>4.3700000000000003E-2</v>
      </c>
      <c r="FC67" s="489">
        <v>4.3700000000000003E-2</v>
      </c>
      <c r="FD67" s="489">
        <v>4.3700000000000003E-2</v>
      </c>
      <c r="FE67" s="489">
        <v>4.3700000000000003E-2</v>
      </c>
      <c r="FF67" s="489">
        <v>4.3700000000000003E-2</v>
      </c>
      <c r="FG67" s="489">
        <v>4.3700000000000003E-2</v>
      </c>
      <c r="FH67" s="489">
        <v>4.3700000000000003E-2</v>
      </c>
      <c r="FI67" s="489">
        <v>4.3700000000000003E-2</v>
      </c>
      <c r="FJ67" s="489">
        <v>4.3700000000000003E-2</v>
      </c>
      <c r="FK67" s="489">
        <v>4.3700000000000003E-2</v>
      </c>
      <c r="FL67" s="489">
        <v>4.3700000000000003E-2</v>
      </c>
      <c r="FM67" s="489">
        <v>4.3700000000000003E-2</v>
      </c>
      <c r="FN67" s="489">
        <v>4.3700000000000003E-2</v>
      </c>
      <c r="FO67" s="489">
        <v>4.3700000000000003E-2</v>
      </c>
      <c r="FP67" s="489">
        <v>4.3700000000000003E-2</v>
      </c>
      <c r="FQ67" s="489">
        <v>4.3700000000000003E-2</v>
      </c>
      <c r="FR67" s="489">
        <v>4.3700000000000003E-2</v>
      </c>
      <c r="FS67" s="489">
        <v>4.3700000000000003E-2</v>
      </c>
      <c r="FT67" s="489">
        <v>4.3700000000000003E-2</v>
      </c>
      <c r="FU67" s="489">
        <v>4.3700000000000003E-2</v>
      </c>
      <c r="FV67" s="489">
        <v>4.3700000000000003E-2</v>
      </c>
      <c r="FW67" s="489">
        <v>4.3700000000000003E-2</v>
      </c>
      <c r="FX67" s="489">
        <v>4.3700000000000003E-2</v>
      </c>
      <c r="FY67" s="489">
        <v>4.3700000000000003E-2</v>
      </c>
      <c r="FZ67" s="489">
        <v>4.3700000000000003E-2</v>
      </c>
      <c r="GA67" s="489">
        <v>4.3700000000000003E-2</v>
      </c>
      <c r="GB67" s="489">
        <v>4.3700000000000003E-2</v>
      </c>
      <c r="GC67" s="489">
        <v>4.3700000000000003E-2</v>
      </c>
      <c r="GD67" s="489">
        <v>2.87E-2</v>
      </c>
      <c r="GE67" s="489">
        <v>2.87E-2</v>
      </c>
      <c r="GF67" s="489">
        <v>2.87E-2</v>
      </c>
      <c r="GG67" s="489">
        <v>2.87E-2</v>
      </c>
      <c r="GH67" s="489">
        <v>2.87E-2</v>
      </c>
      <c r="GI67" s="489">
        <v>2.87E-2</v>
      </c>
      <c r="GJ67" s="489">
        <v>2.87E-2</v>
      </c>
      <c r="GK67" s="489">
        <v>2.87E-2</v>
      </c>
      <c r="GL67" s="489">
        <v>2.87E-2</v>
      </c>
      <c r="GM67" s="489">
        <v>2.87E-2</v>
      </c>
      <c r="GN67" s="489">
        <v>2.87E-2</v>
      </c>
      <c r="GO67" s="489">
        <v>2.87E-2</v>
      </c>
      <c r="GP67" s="489">
        <v>2.87E-2</v>
      </c>
      <c r="GQ67" s="489">
        <v>2.87E-2</v>
      </c>
      <c r="GR67" s="489">
        <v>2.87E-2</v>
      </c>
      <c r="GS67" s="489">
        <v>2.87E-2</v>
      </c>
      <c r="GT67" s="489">
        <v>2.87E-2</v>
      </c>
      <c r="GU67" s="489">
        <v>2.87E-2</v>
      </c>
      <c r="GV67" s="489">
        <v>2.87E-2</v>
      </c>
      <c r="GW67" s="489">
        <v>2.87E-2</v>
      </c>
      <c r="GX67" s="489">
        <v>2.87E-2</v>
      </c>
      <c r="GY67" s="489">
        <v>2.87E-2</v>
      </c>
      <c r="GZ67" s="489">
        <v>2.87E-2</v>
      </c>
      <c r="HA67" s="489">
        <v>2.87E-2</v>
      </c>
      <c r="HB67" s="489">
        <v>2.87E-2</v>
      </c>
      <c r="HC67" s="489">
        <v>2.87E-2</v>
      </c>
      <c r="HD67" s="489">
        <v>2.87E-2</v>
      </c>
      <c r="HE67" s="489">
        <v>2.87E-2</v>
      </c>
      <c r="HF67" s="489">
        <v>2.87E-2</v>
      </c>
      <c r="HG67" s="489">
        <v>2.87E-2</v>
      </c>
      <c r="HH67" s="489">
        <v>2.87E-2</v>
      </c>
      <c r="HI67" s="489">
        <v>2.87E-2</v>
      </c>
      <c r="HJ67" s="489">
        <v>2.87E-2</v>
      </c>
      <c r="HK67" s="489">
        <v>2.87E-2</v>
      </c>
      <c r="HL67" s="489">
        <v>2.87E-2</v>
      </c>
      <c r="HM67" s="489">
        <v>2.87E-2</v>
      </c>
      <c r="HN67" s="489">
        <v>2.87E-2</v>
      </c>
      <c r="HO67" s="489">
        <v>2.87E-2</v>
      </c>
      <c r="HP67" s="473">
        <f t="shared" si="12"/>
        <v>0</v>
      </c>
      <c r="HQ67" s="1143"/>
    </row>
    <row r="68" spans="2:225">
      <c r="B68" s="1141"/>
      <c r="C68" s="731" t="s">
        <v>217</v>
      </c>
      <c r="D68" s="488">
        <v>3.1800000000000002E-2</v>
      </c>
      <c r="E68" s="488">
        <v>3.1800000000000002E-2</v>
      </c>
      <c r="F68" s="488">
        <v>3.1800000000000002E-2</v>
      </c>
      <c r="G68" s="488">
        <v>3.1800000000000002E-2</v>
      </c>
      <c r="H68" s="488">
        <v>3.1800000000000002E-2</v>
      </c>
      <c r="I68" s="488">
        <v>3.1800000000000002E-2</v>
      </c>
      <c r="J68" s="488">
        <v>3.1800000000000002E-2</v>
      </c>
      <c r="K68" s="488">
        <v>3.1800000000000002E-2</v>
      </c>
      <c r="L68" s="494">
        <v>3.1800000000000002E-2</v>
      </c>
      <c r="M68" s="488">
        <v>3.5299999999999998E-2</v>
      </c>
      <c r="N68" s="488">
        <v>3.5299999999999998E-2</v>
      </c>
      <c r="O68" s="488">
        <v>3.5299999999999998E-2</v>
      </c>
      <c r="P68" s="488">
        <v>3.5299999999999998E-2</v>
      </c>
      <c r="Q68" s="488">
        <v>3.5299999999999998E-2</v>
      </c>
      <c r="R68" s="488">
        <v>3.5299999999999998E-2</v>
      </c>
      <c r="S68" s="488">
        <v>3.5299999999999998E-2</v>
      </c>
      <c r="T68" s="488">
        <v>3.5299999999999998E-2</v>
      </c>
      <c r="U68" s="488">
        <v>3.5299999999999998E-2</v>
      </c>
      <c r="V68" s="488">
        <v>3.5299999999999998E-2</v>
      </c>
      <c r="W68" s="488">
        <v>3.5299999999999998E-2</v>
      </c>
      <c r="X68" s="488">
        <v>3.5299999999999998E-2</v>
      </c>
      <c r="Y68" s="488">
        <v>3.5299999999999998E-2</v>
      </c>
      <c r="Z68" s="488">
        <v>3.5299999999999998E-2</v>
      </c>
      <c r="AA68" s="494">
        <v>3.5299999999999998E-2</v>
      </c>
      <c r="AB68" s="488">
        <v>3.78E-2</v>
      </c>
      <c r="AC68" s="488">
        <v>3.78E-2</v>
      </c>
      <c r="AD68" s="488">
        <v>3.78E-2</v>
      </c>
      <c r="AE68" s="488">
        <v>3.78E-2</v>
      </c>
      <c r="AF68" s="488">
        <v>3.78E-2</v>
      </c>
      <c r="AG68" s="488">
        <v>3.78E-2</v>
      </c>
      <c r="AH68" s="488">
        <v>3.78E-2</v>
      </c>
      <c r="AI68" s="488">
        <v>3.78E-2</v>
      </c>
      <c r="AJ68" s="488">
        <v>3.78E-2</v>
      </c>
      <c r="AK68" s="488">
        <v>3.78E-2</v>
      </c>
      <c r="AL68" s="489">
        <v>3.78E-2</v>
      </c>
      <c r="AM68" s="488">
        <v>3.78E-2</v>
      </c>
      <c r="AN68" s="488">
        <v>3.78E-2</v>
      </c>
      <c r="AO68" s="488">
        <v>3.78E-2</v>
      </c>
      <c r="AP68" s="488">
        <v>3.78E-2</v>
      </c>
      <c r="AQ68" s="488">
        <v>3.78E-2</v>
      </c>
      <c r="AR68" s="494">
        <v>3.78E-2</v>
      </c>
      <c r="AS68" s="488">
        <v>4.2299999999999997E-2</v>
      </c>
      <c r="AT68" s="488">
        <v>4.2299999999999997E-2</v>
      </c>
      <c r="AU68" s="488">
        <v>4.2299999999999997E-2</v>
      </c>
      <c r="AV68" s="489">
        <v>4.2299999999999997E-2</v>
      </c>
      <c r="AW68" s="489">
        <v>4.2299999999999997E-2</v>
      </c>
      <c r="AX68" s="489">
        <v>4.2299999999999997E-2</v>
      </c>
      <c r="AY68" s="489">
        <v>4.2299999999999997E-2</v>
      </c>
      <c r="AZ68" s="489">
        <v>4.2299999999999997E-2</v>
      </c>
      <c r="BA68" s="489">
        <v>4.2299999999999997E-2</v>
      </c>
      <c r="BB68" s="489">
        <v>4.2299999999999997E-2</v>
      </c>
      <c r="BC68" s="489">
        <v>4.2299999999999997E-2</v>
      </c>
      <c r="BD68" s="489">
        <v>4.2299999999999997E-2</v>
      </c>
      <c r="BE68" s="489">
        <v>4.2299999999999997E-2</v>
      </c>
      <c r="BF68" s="489">
        <v>4.2299999999999997E-2</v>
      </c>
      <c r="BG68" s="489">
        <v>4.2299999999999997E-2</v>
      </c>
      <c r="BH68" s="489">
        <v>4.2299999999999997E-2</v>
      </c>
      <c r="BI68" s="489">
        <v>4.2299999999999997E-2</v>
      </c>
      <c r="BJ68" s="489">
        <v>4.2299999999999997E-2</v>
      </c>
      <c r="BK68" s="489">
        <v>4.2299999999999997E-2</v>
      </c>
      <c r="BL68" s="489">
        <v>4.2299999999999997E-2</v>
      </c>
      <c r="BM68" s="489">
        <v>4.2299999999999997E-2</v>
      </c>
      <c r="BN68" s="489">
        <v>4.2299999999999997E-2</v>
      </c>
      <c r="BO68" s="489">
        <v>4.2299999999999997E-2</v>
      </c>
      <c r="BP68" s="489">
        <v>4.2299999999999997E-2</v>
      </c>
      <c r="BQ68" s="489">
        <v>4.2299999999999997E-2</v>
      </c>
      <c r="BR68" s="489">
        <v>4.2299999999999997E-2</v>
      </c>
      <c r="BS68" s="489">
        <v>4.2299999999999997E-2</v>
      </c>
      <c r="BT68" s="489">
        <v>4.2299999999999997E-2</v>
      </c>
      <c r="BU68" s="489">
        <v>4.2299999999999997E-2</v>
      </c>
      <c r="BV68" s="489">
        <v>4.2299999999999997E-2</v>
      </c>
      <c r="BW68" s="489">
        <v>4.2299999999999997E-2</v>
      </c>
      <c r="BX68" s="489">
        <v>4.2299999999999997E-2</v>
      </c>
      <c r="BY68" s="489">
        <v>4.2299999999999997E-2</v>
      </c>
      <c r="BZ68" s="489">
        <v>4.2299999999999997E-2</v>
      </c>
      <c r="CA68" s="489">
        <v>4.4699999999999997E-2</v>
      </c>
      <c r="CB68" s="489">
        <v>4.4699999999999997E-2</v>
      </c>
      <c r="CC68" s="489">
        <v>4.4699999999999997E-2</v>
      </c>
      <c r="CD68" s="489">
        <v>4.3799999999999999E-2</v>
      </c>
      <c r="CE68" s="489">
        <v>4.3799999999999999E-2</v>
      </c>
      <c r="CF68" s="489">
        <v>4.3799999999999999E-2</v>
      </c>
      <c r="CG68" s="489">
        <v>4.3799999999999999E-2</v>
      </c>
      <c r="CH68" s="489">
        <v>4.3799999999999999E-2</v>
      </c>
      <c r="CI68" s="489">
        <v>4.3799999999999999E-2</v>
      </c>
      <c r="CJ68" s="489">
        <v>4.3799999999999999E-2</v>
      </c>
      <c r="CK68" s="489">
        <v>4.3799999999999999E-2</v>
      </c>
      <c r="CL68" s="489">
        <v>4.3799999999999999E-2</v>
      </c>
      <c r="CM68" s="489">
        <v>4.3799999999999999E-2</v>
      </c>
      <c r="CN68" s="489">
        <v>4.3799999999999999E-2</v>
      </c>
      <c r="CO68" s="489">
        <v>4.3799999999999999E-2</v>
      </c>
      <c r="CP68" s="489">
        <v>4.3799999999999999E-2</v>
      </c>
      <c r="CQ68" s="489">
        <v>4.3799999999999999E-2</v>
      </c>
      <c r="CR68" s="489">
        <v>4.3799999999999999E-2</v>
      </c>
      <c r="CS68" s="489">
        <v>4.3799999999999999E-2</v>
      </c>
      <c r="CT68" s="489">
        <v>4.3799999999999999E-2</v>
      </c>
      <c r="CU68" s="489">
        <v>4.3799999999999999E-2</v>
      </c>
      <c r="CV68" s="489">
        <v>4.3799999999999999E-2</v>
      </c>
      <c r="CW68" s="489">
        <v>4.3799999999999999E-2</v>
      </c>
      <c r="CX68" s="489">
        <v>4.3799999999999999E-2</v>
      </c>
      <c r="CY68" s="489">
        <v>4.3799999999999999E-2</v>
      </c>
      <c r="CZ68" s="489">
        <v>4.3799999999999999E-2</v>
      </c>
      <c r="DA68" s="489">
        <v>4.3799999999999999E-2</v>
      </c>
      <c r="DB68" s="489">
        <v>4.3799999999999999E-2</v>
      </c>
      <c r="DC68" s="489">
        <v>4.3799999999999999E-2</v>
      </c>
      <c r="DD68" s="489">
        <v>4.3799999999999999E-2</v>
      </c>
      <c r="DE68" s="489">
        <v>4.3799999999999999E-2</v>
      </c>
      <c r="DF68" s="489">
        <v>4.3799999999999999E-2</v>
      </c>
      <c r="DG68" s="489">
        <v>4.3799999999999999E-2</v>
      </c>
      <c r="DH68" s="489">
        <v>4.3799999999999999E-2</v>
      </c>
      <c r="DI68" s="489">
        <v>4.3799999999999999E-2</v>
      </c>
      <c r="DJ68" s="489">
        <v>4.3799999999999999E-2</v>
      </c>
      <c r="DK68" s="489">
        <v>4.3799999999999999E-2</v>
      </c>
      <c r="DL68" s="489">
        <v>4.3799999999999999E-2</v>
      </c>
      <c r="DM68" s="489">
        <v>4.3799999999999999E-2</v>
      </c>
      <c r="DN68" s="489">
        <v>4.3799999999999999E-2</v>
      </c>
      <c r="DO68" s="489">
        <v>4.3799999999999999E-2</v>
      </c>
      <c r="DP68" s="489">
        <v>4.3799999999999999E-2</v>
      </c>
      <c r="DQ68" s="489">
        <v>4.3799999999999999E-2</v>
      </c>
      <c r="DR68" s="489">
        <v>4.3799999999999999E-2</v>
      </c>
      <c r="DS68" s="489">
        <v>4.3799999999999999E-2</v>
      </c>
      <c r="DT68" s="489">
        <v>4.3799999999999999E-2</v>
      </c>
      <c r="DU68" s="489">
        <v>4.3799999999999999E-2</v>
      </c>
      <c r="DV68" s="489">
        <v>4.3799999999999999E-2</v>
      </c>
      <c r="DW68" s="489">
        <v>4.3799999999999999E-2</v>
      </c>
      <c r="DX68" s="489">
        <v>4.3799999999999999E-2</v>
      </c>
      <c r="DY68" s="489">
        <v>4.3799999999999999E-2</v>
      </c>
      <c r="DZ68" s="489">
        <v>4.3799999999999999E-2</v>
      </c>
      <c r="EA68" s="489">
        <v>4.3799999999999999E-2</v>
      </c>
      <c r="EB68" s="489">
        <v>4.3799999999999999E-2</v>
      </c>
      <c r="EC68" s="489">
        <v>4.3799999999999999E-2</v>
      </c>
      <c r="ED68" s="489">
        <v>4.3799999999999999E-2</v>
      </c>
      <c r="EE68" s="489">
        <v>4.3799999999999999E-2</v>
      </c>
      <c r="EF68" s="489">
        <v>4.3799999999999999E-2</v>
      </c>
      <c r="EG68" s="489">
        <v>4.3799999999999999E-2</v>
      </c>
      <c r="EH68" s="489">
        <v>4.3799999999999999E-2</v>
      </c>
      <c r="EI68" s="489">
        <v>4.3799999999999999E-2</v>
      </c>
      <c r="EJ68" s="489">
        <v>4.3799999999999999E-2</v>
      </c>
      <c r="EK68" s="489">
        <v>4.3799999999999999E-2</v>
      </c>
      <c r="EL68" s="489">
        <v>4.3799999999999999E-2</v>
      </c>
      <c r="EM68" s="489">
        <v>4.3799999999999999E-2</v>
      </c>
      <c r="EN68" s="489">
        <v>4.3799999999999999E-2</v>
      </c>
      <c r="EO68" s="489">
        <v>4.3799999999999999E-2</v>
      </c>
      <c r="EP68" s="489">
        <v>4.3799999999999999E-2</v>
      </c>
      <c r="EQ68" s="489">
        <v>4.3799999999999999E-2</v>
      </c>
      <c r="ER68" s="489">
        <v>4.3799999999999999E-2</v>
      </c>
      <c r="ES68" s="489">
        <v>4.3799999999999999E-2</v>
      </c>
      <c r="ET68" s="489">
        <v>4.3799999999999999E-2</v>
      </c>
      <c r="EU68" s="489">
        <v>4.3799999999999999E-2</v>
      </c>
      <c r="EV68" s="489">
        <v>4.3799999999999999E-2</v>
      </c>
      <c r="EW68" s="489">
        <v>4.3799999999999999E-2</v>
      </c>
      <c r="EX68" s="489">
        <v>4.3799999999999999E-2</v>
      </c>
      <c r="EY68" s="489">
        <v>4.3799999999999999E-2</v>
      </c>
      <c r="EZ68" s="489">
        <v>4.3799999999999999E-2</v>
      </c>
      <c r="FA68" s="489">
        <v>4.3799999999999999E-2</v>
      </c>
      <c r="FB68" s="489">
        <v>4.3799999999999999E-2</v>
      </c>
      <c r="FC68" s="489">
        <v>4.3799999999999999E-2</v>
      </c>
      <c r="FD68" s="489">
        <v>4.3799999999999999E-2</v>
      </c>
      <c r="FE68" s="489">
        <v>4.3799999999999999E-2</v>
      </c>
      <c r="FF68" s="489">
        <v>4.3799999999999999E-2</v>
      </c>
      <c r="FG68" s="489">
        <v>4.3799999999999999E-2</v>
      </c>
      <c r="FH68" s="489">
        <v>4.3799999999999999E-2</v>
      </c>
      <c r="FI68" s="489">
        <v>4.3799999999999999E-2</v>
      </c>
      <c r="FJ68" s="489">
        <v>4.3799999999999999E-2</v>
      </c>
      <c r="FK68" s="489">
        <v>4.3799999999999999E-2</v>
      </c>
      <c r="FL68" s="489">
        <v>4.3799999999999999E-2</v>
      </c>
      <c r="FM68" s="489">
        <v>4.3799999999999999E-2</v>
      </c>
      <c r="FN68" s="489">
        <v>4.3799999999999999E-2</v>
      </c>
      <c r="FO68" s="489">
        <v>4.3799999999999999E-2</v>
      </c>
      <c r="FP68" s="489">
        <v>4.3799999999999999E-2</v>
      </c>
      <c r="FQ68" s="489">
        <v>4.3799999999999999E-2</v>
      </c>
      <c r="FR68" s="489">
        <v>4.3799999999999999E-2</v>
      </c>
      <c r="FS68" s="489">
        <v>4.3799999999999999E-2</v>
      </c>
      <c r="FT68" s="489">
        <v>4.3799999999999999E-2</v>
      </c>
      <c r="FU68" s="489">
        <v>4.3799999999999999E-2</v>
      </c>
      <c r="FV68" s="489">
        <v>4.3799999999999999E-2</v>
      </c>
      <c r="FW68" s="489">
        <v>4.3799999999999999E-2</v>
      </c>
      <c r="FX68" s="489">
        <v>4.3799999999999999E-2</v>
      </c>
      <c r="FY68" s="489">
        <v>4.3799999999999999E-2</v>
      </c>
      <c r="FZ68" s="489">
        <v>4.3799999999999999E-2</v>
      </c>
      <c r="GA68" s="489">
        <v>4.3799999999999999E-2</v>
      </c>
      <c r="GB68" s="489">
        <v>4.3799999999999999E-2</v>
      </c>
      <c r="GC68" s="489">
        <v>4.3799999999999999E-2</v>
      </c>
      <c r="GD68" s="489">
        <v>2.8799999999999999E-2</v>
      </c>
      <c r="GE68" s="489">
        <v>2.8799999999999999E-2</v>
      </c>
      <c r="GF68" s="489">
        <v>2.8799999999999999E-2</v>
      </c>
      <c r="GG68" s="489">
        <v>2.8799999999999999E-2</v>
      </c>
      <c r="GH68" s="489">
        <v>2.8799999999999999E-2</v>
      </c>
      <c r="GI68" s="489">
        <v>2.8799999999999999E-2</v>
      </c>
      <c r="GJ68" s="489">
        <v>2.8799999999999999E-2</v>
      </c>
      <c r="GK68" s="489">
        <v>2.8799999999999999E-2</v>
      </c>
      <c r="GL68" s="489">
        <v>2.8799999999999999E-2</v>
      </c>
      <c r="GM68" s="489">
        <v>2.8799999999999999E-2</v>
      </c>
      <c r="GN68" s="489">
        <v>2.8799999999999999E-2</v>
      </c>
      <c r="GO68" s="489">
        <v>2.8799999999999999E-2</v>
      </c>
      <c r="GP68" s="489">
        <v>2.8799999999999999E-2</v>
      </c>
      <c r="GQ68" s="489">
        <v>2.8799999999999999E-2</v>
      </c>
      <c r="GR68" s="489">
        <v>2.8799999999999999E-2</v>
      </c>
      <c r="GS68" s="489">
        <v>2.8799999999999999E-2</v>
      </c>
      <c r="GT68" s="489">
        <v>2.8799999999999999E-2</v>
      </c>
      <c r="GU68" s="489">
        <v>2.8799999999999999E-2</v>
      </c>
      <c r="GV68" s="489">
        <v>2.8799999999999999E-2</v>
      </c>
      <c r="GW68" s="489">
        <v>2.8799999999999999E-2</v>
      </c>
      <c r="GX68" s="489">
        <v>2.8799999999999999E-2</v>
      </c>
      <c r="GY68" s="489">
        <v>2.8799999999999999E-2</v>
      </c>
      <c r="GZ68" s="489">
        <v>2.8799999999999999E-2</v>
      </c>
      <c r="HA68" s="489">
        <v>2.8799999999999999E-2</v>
      </c>
      <c r="HB68" s="489">
        <v>2.8799999999999999E-2</v>
      </c>
      <c r="HC68" s="489">
        <v>2.8799999999999999E-2</v>
      </c>
      <c r="HD68" s="489">
        <v>2.8799999999999999E-2</v>
      </c>
      <c r="HE68" s="489">
        <v>2.8799999999999999E-2</v>
      </c>
      <c r="HF68" s="489">
        <v>2.8799999999999999E-2</v>
      </c>
      <c r="HG68" s="489">
        <v>2.8799999999999999E-2</v>
      </c>
      <c r="HH68" s="489">
        <v>2.8799999999999999E-2</v>
      </c>
      <c r="HI68" s="489">
        <v>2.8799999999999999E-2</v>
      </c>
      <c r="HJ68" s="489">
        <v>2.8799999999999999E-2</v>
      </c>
      <c r="HK68" s="489">
        <v>2.8799999999999999E-2</v>
      </c>
      <c r="HL68" s="489">
        <v>2.8799999999999999E-2</v>
      </c>
      <c r="HM68" s="489">
        <v>2.8799999999999999E-2</v>
      </c>
      <c r="HN68" s="489">
        <v>2.8799999999999999E-2</v>
      </c>
      <c r="HO68" s="489">
        <v>2.8799999999999999E-2</v>
      </c>
      <c r="HP68" s="473">
        <f t="shared" si="12"/>
        <v>0</v>
      </c>
      <c r="HQ68" s="1143"/>
    </row>
    <row r="69" spans="2:225">
      <c r="B69" s="1141"/>
      <c r="C69" s="731" t="s">
        <v>216</v>
      </c>
      <c r="D69" s="488">
        <v>3.2000000000000001E-2</v>
      </c>
      <c r="E69" s="488">
        <v>3.2000000000000001E-2</v>
      </c>
      <c r="F69" s="488">
        <v>3.2000000000000001E-2</v>
      </c>
      <c r="G69" s="488">
        <v>3.2000000000000001E-2</v>
      </c>
      <c r="H69" s="488">
        <v>3.2000000000000001E-2</v>
      </c>
      <c r="I69" s="488">
        <v>3.2000000000000001E-2</v>
      </c>
      <c r="J69" s="488">
        <v>3.2000000000000001E-2</v>
      </c>
      <c r="K69" s="488">
        <v>3.2000000000000001E-2</v>
      </c>
      <c r="L69" s="494">
        <v>3.2000000000000001E-2</v>
      </c>
      <c r="M69" s="488">
        <v>3.5499999999999997E-2</v>
      </c>
      <c r="N69" s="488">
        <v>3.5499999999999997E-2</v>
      </c>
      <c r="O69" s="488">
        <v>3.5499999999999997E-2</v>
      </c>
      <c r="P69" s="488">
        <v>3.5499999999999997E-2</v>
      </c>
      <c r="Q69" s="488">
        <v>3.5499999999999997E-2</v>
      </c>
      <c r="R69" s="488">
        <v>3.5499999999999997E-2</v>
      </c>
      <c r="S69" s="488">
        <v>3.5499999999999997E-2</v>
      </c>
      <c r="T69" s="488">
        <v>3.5499999999999997E-2</v>
      </c>
      <c r="U69" s="488">
        <v>3.5499999999999997E-2</v>
      </c>
      <c r="V69" s="488">
        <v>3.5499999999999997E-2</v>
      </c>
      <c r="W69" s="488">
        <v>3.5499999999999997E-2</v>
      </c>
      <c r="X69" s="488">
        <v>3.5499999999999997E-2</v>
      </c>
      <c r="Y69" s="488">
        <v>3.5499999999999997E-2</v>
      </c>
      <c r="Z69" s="488">
        <v>3.5499999999999997E-2</v>
      </c>
      <c r="AA69" s="494">
        <v>3.5499999999999997E-2</v>
      </c>
      <c r="AB69" s="488">
        <v>3.7999999999999999E-2</v>
      </c>
      <c r="AC69" s="488">
        <v>3.7999999999999999E-2</v>
      </c>
      <c r="AD69" s="488">
        <v>3.7999999999999999E-2</v>
      </c>
      <c r="AE69" s="488">
        <v>3.7999999999999999E-2</v>
      </c>
      <c r="AF69" s="488">
        <v>3.7999999999999999E-2</v>
      </c>
      <c r="AG69" s="488">
        <v>3.7999999999999999E-2</v>
      </c>
      <c r="AH69" s="488">
        <v>3.7999999999999999E-2</v>
      </c>
      <c r="AI69" s="488">
        <v>3.7999999999999999E-2</v>
      </c>
      <c r="AJ69" s="488">
        <v>3.7999999999999999E-2</v>
      </c>
      <c r="AK69" s="488">
        <v>3.7999999999999999E-2</v>
      </c>
      <c r="AL69" s="489">
        <v>3.7999999999999999E-2</v>
      </c>
      <c r="AM69" s="488">
        <v>3.7999999999999999E-2</v>
      </c>
      <c r="AN69" s="488">
        <v>3.7999999999999999E-2</v>
      </c>
      <c r="AO69" s="488">
        <v>3.7999999999999999E-2</v>
      </c>
      <c r="AP69" s="488">
        <v>3.7999999999999999E-2</v>
      </c>
      <c r="AQ69" s="488">
        <v>3.7999999999999999E-2</v>
      </c>
      <c r="AR69" s="494">
        <v>3.7999999999999999E-2</v>
      </c>
      <c r="AS69" s="488">
        <v>4.2500000000000003E-2</v>
      </c>
      <c r="AT69" s="488">
        <v>4.2500000000000003E-2</v>
      </c>
      <c r="AU69" s="488">
        <v>4.2500000000000003E-2</v>
      </c>
      <c r="AV69" s="489">
        <v>4.2500000000000003E-2</v>
      </c>
      <c r="AW69" s="489">
        <v>4.2500000000000003E-2</v>
      </c>
      <c r="AX69" s="489">
        <v>4.2500000000000003E-2</v>
      </c>
      <c r="AY69" s="489">
        <v>4.2500000000000003E-2</v>
      </c>
      <c r="AZ69" s="489">
        <v>4.2500000000000003E-2</v>
      </c>
      <c r="BA69" s="489">
        <v>4.2500000000000003E-2</v>
      </c>
      <c r="BB69" s="489">
        <v>4.2500000000000003E-2</v>
      </c>
      <c r="BC69" s="489">
        <v>4.2500000000000003E-2</v>
      </c>
      <c r="BD69" s="489">
        <v>4.2500000000000003E-2</v>
      </c>
      <c r="BE69" s="489">
        <v>4.2500000000000003E-2</v>
      </c>
      <c r="BF69" s="489">
        <v>4.2500000000000003E-2</v>
      </c>
      <c r="BG69" s="489">
        <v>4.2500000000000003E-2</v>
      </c>
      <c r="BH69" s="489">
        <v>4.2500000000000003E-2</v>
      </c>
      <c r="BI69" s="489">
        <v>4.2500000000000003E-2</v>
      </c>
      <c r="BJ69" s="489">
        <v>4.2500000000000003E-2</v>
      </c>
      <c r="BK69" s="489">
        <v>4.2500000000000003E-2</v>
      </c>
      <c r="BL69" s="489">
        <v>4.2500000000000003E-2</v>
      </c>
      <c r="BM69" s="489">
        <v>4.2500000000000003E-2</v>
      </c>
      <c r="BN69" s="489">
        <v>4.2500000000000003E-2</v>
      </c>
      <c r="BO69" s="489">
        <v>4.2500000000000003E-2</v>
      </c>
      <c r="BP69" s="489">
        <v>4.2500000000000003E-2</v>
      </c>
      <c r="BQ69" s="489">
        <v>4.2500000000000003E-2</v>
      </c>
      <c r="BR69" s="489">
        <v>4.2500000000000003E-2</v>
      </c>
      <c r="BS69" s="489">
        <v>4.2500000000000003E-2</v>
      </c>
      <c r="BT69" s="489">
        <v>4.2500000000000003E-2</v>
      </c>
      <c r="BU69" s="489">
        <v>4.2500000000000003E-2</v>
      </c>
      <c r="BV69" s="489">
        <v>4.2500000000000003E-2</v>
      </c>
      <c r="BW69" s="489">
        <v>4.2500000000000003E-2</v>
      </c>
      <c r="BX69" s="489">
        <v>4.2500000000000003E-2</v>
      </c>
      <c r="BY69" s="489">
        <v>4.2500000000000003E-2</v>
      </c>
      <c r="BZ69" s="489">
        <v>4.2500000000000003E-2</v>
      </c>
      <c r="CA69" s="489">
        <v>4.4999999999999998E-2</v>
      </c>
      <c r="CB69" s="489">
        <v>4.4999999999999998E-2</v>
      </c>
      <c r="CC69" s="489">
        <v>4.4999999999999998E-2</v>
      </c>
      <c r="CD69" s="489">
        <v>4.3999999999999997E-2</v>
      </c>
      <c r="CE69" s="489">
        <v>4.3999999999999997E-2</v>
      </c>
      <c r="CF69" s="489">
        <v>4.3999999999999997E-2</v>
      </c>
      <c r="CG69" s="489">
        <v>4.3999999999999997E-2</v>
      </c>
      <c r="CH69" s="489">
        <v>4.3999999999999997E-2</v>
      </c>
      <c r="CI69" s="489">
        <v>4.3999999999999997E-2</v>
      </c>
      <c r="CJ69" s="489">
        <v>4.3999999999999997E-2</v>
      </c>
      <c r="CK69" s="489">
        <v>4.3999999999999997E-2</v>
      </c>
      <c r="CL69" s="489">
        <v>4.3999999999999997E-2</v>
      </c>
      <c r="CM69" s="489">
        <v>4.3999999999999997E-2</v>
      </c>
      <c r="CN69" s="489">
        <v>4.3999999999999997E-2</v>
      </c>
      <c r="CO69" s="489">
        <v>4.3999999999999997E-2</v>
      </c>
      <c r="CP69" s="489">
        <v>4.3999999999999997E-2</v>
      </c>
      <c r="CQ69" s="489">
        <v>4.3999999999999997E-2</v>
      </c>
      <c r="CR69" s="489">
        <v>4.3999999999999997E-2</v>
      </c>
      <c r="CS69" s="489">
        <v>4.3999999999999997E-2</v>
      </c>
      <c r="CT69" s="489">
        <v>4.3999999999999997E-2</v>
      </c>
      <c r="CU69" s="489">
        <v>4.3999999999999997E-2</v>
      </c>
      <c r="CV69" s="489">
        <v>4.3999999999999997E-2</v>
      </c>
      <c r="CW69" s="489">
        <v>4.3999999999999997E-2</v>
      </c>
      <c r="CX69" s="489">
        <v>4.3999999999999997E-2</v>
      </c>
      <c r="CY69" s="489">
        <v>4.3999999999999997E-2</v>
      </c>
      <c r="CZ69" s="489">
        <v>4.3999999999999997E-2</v>
      </c>
      <c r="DA69" s="489">
        <v>4.3999999999999997E-2</v>
      </c>
      <c r="DB69" s="489">
        <v>4.3999999999999997E-2</v>
      </c>
      <c r="DC69" s="489">
        <v>4.3999999999999997E-2</v>
      </c>
      <c r="DD69" s="489">
        <v>4.3999999999999997E-2</v>
      </c>
      <c r="DE69" s="489">
        <v>4.3999999999999997E-2</v>
      </c>
      <c r="DF69" s="489">
        <v>4.3999999999999997E-2</v>
      </c>
      <c r="DG69" s="489">
        <v>4.3999999999999997E-2</v>
      </c>
      <c r="DH69" s="489">
        <v>4.3999999999999997E-2</v>
      </c>
      <c r="DI69" s="489">
        <v>4.3999999999999997E-2</v>
      </c>
      <c r="DJ69" s="489">
        <v>4.3999999999999997E-2</v>
      </c>
      <c r="DK69" s="489">
        <v>4.3999999999999997E-2</v>
      </c>
      <c r="DL69" s="489">
        <v>4.3999999999999997E-2</v>
      </c>
      <c r="DM69" s="489">
        <v>4.3999999999999997E-2</v>
      </c>
      <c r="DN69" s="489">
        <v>4.3999999999999997E-2</v>
      </c>
      <c r="DO69" s="489">
        <v>4.3999999999999997E-2</v>
      </c>
      <c r="DP69" s="489">
        <v>4.3999999999999997E-2</v>
      </c>
      <c r="DQ69" s="489">
        <v>4.3999999999999997E-2</v>
      </c>
      <c r="DR69" s="489">
        <v>4.3999999999999997E-2</v>
      </c>
      <c r="DS69" s="489">
        <v>4.3999999999999997E-2</v>
      </c>
      <c r="DT69" s="489">
        <v>4.3999999999999997E-2</v>
      </c>
      <c r="DU69" s="489">
        <v>4.3999999999999997E-2</v>
      </c>
      <c r="DV69" s="489">
        <v>4.3999999999999997E-2</v>
      </c>
      <c r="DW69" s="489">
        <v>4.3999999999999997E-2</v>
      </c>
      <c r="DX69" s="489">
        <v>4.3999999999999997E-2</v>
      </c>
      <c r="DY69" s="489">
        <v>4.3999999999999997E-2</v>
      </c>
      <c r="DZ69" s="489">
        <v>4.3999999999999997E-2</v>
      </c>
      <c r="EA69" s="489">
        <v>4.3999999999999997E-2</v>
      </c>
      <c r="EB69" s="489">
        <v>4.3999999999999997E-2</v>
      </c>
      <c r="EC69" s="489">
        <v>4.3999999999999997E-2</v>
      </c>
      <c r="ED69" s="489">
        <v>4.3999999999999997E-2</v>
      </c>
      <c r="EE69" s="489">
        <v>4.3999999999999997E-2</v>
      </c>
      <c r="EF69" s="489">
        <v>4.3999999999999997E-2</v>
      </c>
      <c r="EG69" s="489">
        <v>4.3999999999999997E-2</v>
      </c>
      <c r="EH69" s="489">
        <v>4.3999999999999997E-2</v>
      </c>
      <c r="EI69" s="489">
        <v>4.3999999999999997E-2</v>
      </c>
      <c r="EJ69" s="489">
        <v>4.3999999999999997E-2</v>
      </c>
      <c r="EK69" s="489">
        <v>4.3999999999999997E-2</v>
      </c>
      <c r="EL69" s="489">
        <v>4.3999999999999997E-2</v>
      </c>
      <c r="EM69" s="489">
        <v>4.3999999999999997E-2</v>
      </c>
      <c r="EN69" s="489">
        <v>4.3999999999999997E-2</v>
      </c>
      <c r="EO69" s="489">
        <v>4.3999999999999997E-2</v>
      </c>
      <c r="EP69" s="489">
        <v>4.3999999999999997E-2</v>
      </c>
      <c r="EQ69" s="489">
        <v>4.3999999999999997E-2</v>
      </c>
      <c r="ER69" s="489">
        <v>4.3999999999999997E-2</v>
      </c>
      <c r="ES69" s="489">
        <v>4.3999999999999997E-2</v>
      </c>
      <c r="ET69" s="489">
        <v>4.3999999999999997E-2</v>
      </c>
      <c r="EU69" s="489">
        <v>4.3999999999999997E-2</v>
      </c>
      <c r="EV69" s="489">
        <v>4.3999999999999997E-2</v>
      </c>
      <c r="EW69" s="489">
        <v>4.3999999999999997E-2</v>
      </c>
      <c r="EX69" s="489">
        <v>4.3999999999999997E-2</v>
      </c>
      <c r="EY69" s="489">
        <v>4.3999999999999997E-2</v>
      </c>
      <c r="EZ69" s="489">
        <v>4.3999999999999997E-2</v>
      </c>
      <c r="FA69" s="489">
        <v>4.3999999999999997E-2</v>
      </c>
      <c r="FB69" s="489">
        <v>4.3999999999999997E-2</v>
      </c>
      <c r="FC69" s="489">
        <v>4.3999999999999997E-2</v>
      </c>
      <c r="FD69" s="489">
        <v>4.3999999999999997E-2</v>
      </c>
      <c r="FE69" s="489">
        <v>4.3999999999999997E-2</v>
      </c>
      <c r="FF69" s="489">
        <v>4.3999999999999997E-2</v>
      </c>
      <c r="FG69" s="489">
        <v>4.3999999999999997E-2</v>
      </c>
      <c r="FH69" s="489">
        <v>4.3999999999999997E-2</v>
      </c>
      <c r="FI69" s="489">
        <v>4.3999999999999997E-2</v>
      </c>
      <c r="FJ69" s="489">
        <v>4.3999999999999997E-2</v>
      </c>
      <c r="FK69" s="489">
        <v>4.3999999999999997E-2</v>
      </c>
      <c r="FL69" s="489">
        <v>4.3999999999999997E-2</v>
      </c>
      <c r="FM69" s="489">
        <v>4.3999999999999997E-2</v>
      </c>
      <c r="FN69" s="489">
        <v>4.3999999999999997E-2</v>
      </c>
      <c r="FO69" s="489">
        <v>4.3999999999999997E-2</v>
      </c>
      <c r="FP69" s="489">
        <v>4.3999999999999997E-2</v>
      </c>
      <c r="FQ69" s="489">
        <v>4.3999999999999997E-2</v>
      </c>
      <c r="FR69" s="489">
        <v>4.3999999999999997E-2</v>
      </c>
      <c r="FS69" s="489">
        <v>4.3999999999999997E-2</v>
      </c>
      <c r="FT69" s="489">
        <v>4.3999999999999997E-2</v>
      </c>
      <c r="FU69" s="489">
        <v>4.3999999999999997E-2</v>
      </c>
      <c r="FV69" s="489">
        <v>4.3999999999999997E-2</v>
      </c>
      <c r="FW69" s="489">
        <v>4.3999999999999997E-2</v>
      </c>
      <c r="FX69" s="489">
        <v>4.3999999999999997E-2</v>
      </c>
      <c r="FY69" s="489">
        <v>4.3999999999999997E-2</v>
      </c>
      <c r="FZ69" s="489">
        <v>4.3999999999999997E-2</v>
      </c>
      <c r="GA69" s="489">
        <v>4.3999999999999997E-2</v>
      </c>
      <c r="GB69" s="489">
        <v>4.3999999999999997E-2</v>
      </c>
      <c r="GC69" s="489">
        <v>4.3999999999999997E-2</v>
      </c>
      <c r="GD69" s="489">
        <v>2.9000000000000001E-2</v>
      </c>
      <c r="GE69" s="489">
        <v>2.9000000000000001E-2</v>
      </c>
      <c r="GF69" s="489">
        <v>2.9000000000000001E-2</v>
      </c>
      <c r="GG69" s="489">
        <v>2.9000000000000001E-2</v>
      </c>
      <c r="GH69" s="489">
        <v>2.9000000000000001E-2</v>
      </c>
      <c r="GI69" s="489">
        <v>2.9000000000000001E-2</v>
      </c>
      <c r="GJ69" s="489">
        <v>2.9000000000000001E-2</v>
      </c>
      <c r="GK69" s="489">
        <v>2.9000000000000001E-2</v>
      </c>
      <c r="GL69" s="489">
        <v>2.9000000000000001E-2</v>
      </c>
      <c r="GM69" s="489">
        <v>2.9000000000000001E-2</v>
      </c>
      <c r="GN69" s="489">
        <v>2.9000000000000001E-2</v>
      </c>
      <c r="GO69" s="489">
        <v>2.9000000000000001E-2</v>
      </c>
      <c r="GP69" s="489">
        <v>2.9000000000000001E-2</v>
      </c>
      <c r="GQ69" s="489">
        <v>2.9000000000000001E-2</v>
      </c>
      <c r="GR69" s="489">
        <v>2.9000000000000001E-2</v>
      </c>
      <c r="GS69" s="489">
        <v>2.9000000000000001E-2</v>
      </c>
      <c r="GT69" s="489">
        <v>2.9000000000000001E-2</v>
      </c>
      <c r="GU69" s="489">
        <v>2.9000000000000001E-2</v>
      </c>
      <c r="GV69" s="489">
        <v>2.9000000000000001E-2</v>
      </c>
      <c r="GW69" s="489">
        <v>2.9000000000000001E-2</v>
      </c>
      <c r="GX69" s="489">
        <v>2.9000000000000001E-2</v>
      </c>
      <c r="GY69" s="489">
        <v>2.9000000000000001E-2</v>
      </c>
      <c r="GZ69" s="489">
        <v>2.9000000000000001E-2</v>
      </c>
      <c r="HA69" s="489">
        <v>2.9000000000000001E-2</v>
      </c>
      <c r="HB69" s="489">
        <v>2.9000000000000001E-2</v>
      </c>
      <c r="HC69" s="489">
        <v>2.9000000000000001E-2</v>
      </c>
      <c r="HD69" s="489">
        <v>2.9000000000000001E-2</v>
      </c>
      <c r="HE69" s="489">
        <v>2.9000000000000001E-2</v>
      </c>
      <c r="HF69" s="489">
        <v>2.9000000000000001E-2</v>
      </c>
      <c r="HG69" s="489">
        <v>2.9000000000000001E-2</v>
      </c>
      <c r="HH69" s="489">
        <v>2.9000000000000001E-2</v>
      </c>
      <c r="HI69" s="489">
        <v>2.9000000000000001E-2</v>
      </c>
      <c r="HJ69" s="489">
        <v>2.9000000000000001E-2</v>
      </c>
      <c r="HK69" s="489">
        <v>2.9000000000000001E-2</v>
      </c>
      <c r="HL69" s="489">
        <v>2.9000000000000001E-2</v>
      </c>
      <c r="HM69" s="489">
        <v>2.9000000000000001E-2</v>
      </c>
      <c r="HN69" s="489">
        <v>2.9000000000000001E-2</v>
      </c>
      <c r="HO69" s="489">
        <v>2.9000000000000001E-2</v>
      </c>
      <c r="HP69" s="473">
        <f t="shared" si="12"/>
        <v>0</v>
      </c>
      <c r="HQ69" s="1144"/>
    </row>
    <row r="70" spans="2:225">
      <c r="B70" s="764" t="s">
        <v>12</v>
      </c>
      <c r="C70" s="730" t="s">
        <v>229</v>
      </c>
      <c r="D70" s="493">
        <v>3.1199999999999999E-2</v>
      </c>
      <c r="E70" s="493">
        <v>3.1199999999999999E-2</v>
      </c>
      <c r="F70" s="493">
        <v>3.0700000000000002E-2</v>
      </c>
      <c r="G70" s="481">
        <v>3.0700000000000002E-2</v>
      </c>
      <c r="H70" s="480">
        <v>3.1199999999999999E-2</v>
      </c>
      <c r="I70" s="480">
        <v>3.0700000000000002E-2</v>
      </c>
      <c r="J70" s="481">
        <v>3.0200000000000001E-2</v>
      </c>
      <c r="K70" s="481">
        <v>3.0200000000000001E-2</v>
      </c>
      <c r="L70" s="480">
        <v>3.0200000000000001E-2</v>
      </c>
      <c r="M70" s="480">
        <v>3.0700000000000002E-2</v>
      </c>
      <c r="N70" s="480">
        <v>3.27E-2</v>
      </c>
      <c r="O70" s="480">
        <v>3.2199999999999999E-2</v>
      </c>
      <c r="P70" s="480">
        <v>3.1699999999999999E-2</v>
      </c>
      <c r="Q70" s="480">
        <v>3.1199999999999999E-2</v>
      </c>
      <c r="R70" s="480">
        <v>3.2199999999999999E-2</v>
      </c>
      <c r="S70" s="480">
        <v>3.32E-2</v>
      </c>
      <c r="T70" s="481">
        <v>3.27E-2</v>
      </c>
      <c r="U70" s="480">
        <v>3.27E-2</v>
      </c>
      <c r="V70" s="480">
        <v>3.1699999999999999E-2</v>
      </c>
      <c r="W70" s="480">
        <v>3.2199999999999999E-2</v>
      </c>
      <c r="X70" s="481">
        <v>3.27E-2</v>
      </c>
      <c r="Y70" s="481">
        <v>3.27E-2</v>
      </c>
      <c r="Z70" s="480">
        <v>3.27E-2</v>
      </c>
      <c r="AA70" s="481">
        <v>3.32E-2</v>
      </c>
      <c r="AB70" s="481">
        <v>3.32E-2</v>
      </c>
      <c r="AC70" s="481">
        <v>3.32E-2</v>
      </c>
      <c r="AD70" s="480">
        <v>3.3700000000000001E-2</v>
      </c>
      <c r="AE70" s="481">
        <v>3.4700000000000002E-2</v>
      </c>
      <c r="AF70" s="481">
        <v>3.4700000000000002E-2</v>
      </c>
      <c r="AG70" s="481">
        <v>3.4700000000000002E-2</v>
      </c>
      <c r="AH70" s="480">
        <v>3.4700000000000002E-2</v>
      </c>
      <c r="AI70" s="481">
        <v>3.5200000000000002E-2</v>
      </c>
      <c r="AJ70" s="481">
        <v>3.5200000000000002E-2</v>
      </c>
      <c r="AK70" s="481">
        <v>3.5200000000000002E-2</v>
      </c>
      <c r="AL70" s="482">
        <v>3.5200000000000002E-2</v>
      </c>
      <c r="AM70" s="481">
        <v>3.5200000000000002E-2</v>
      </c>
      <c r="AN70" s="481">
        <v>3.5200000000000002E-2</v>
      </c>
      <c r="AO70" s="481">
        <v>3.5200000000000002E-2</v>
      </c>
      <c r="AP70" s="481">
        <v>3.5200000000000002E-2</v>
      </c>
      <c r="AQ70" s="481">
        <v>3.5200000000000002E-2</v>
      </c>
      <c r="AR70" s="481">
        <v>3.5200000000000002E-2</v>
      </c>
      <c r="AS70" s="481">
        <v>3.5200000000000002E-2</v>
      </c>
      <c r="AT70" s="481">
        <v>3.5200000000000002E-2</v>
      </c>
      <c r="AU70" s="481">
        <v>3.5200000000000002E-2</v>
      </c>
      <c r="AV70" s="480">
        <v>3.5200000000000002E-2</v>
      </c>
      <c r="AW70" s="482">
        <v>3.5700000000000003E-2</v>
      </c>
      <c r="AX70" s="482">
        <v>3.5700000000000003E-2</v>
      </c>
      <c r="AY70" s="482">
        <v>3.5700000000000003E-2</v>
      </c>
      <c r="AZ70" s="482">
        <v>3.5700000000000003E-2</v>
      </c>
      <c r="BA70" s="482">
        <v>3.5700000000000003E-2</v>
      </c>
      <c r="BB70" s="482">
        <v>3.5700000000000003E-2</v>
      </c>
      <c r="BC70" s="482">
        <v>3.5700000000000003E-2</v>
      </c>
      <c r="BD70" s="482">
        <v>3.5700000000000003E-2</v>
      </c>
      <c r="BE70" s="482">
        <v>3.5700000000000003E-2</v>
      </c>
      <c r="BF70" s="482">
        <v>3.5700000000000003E-2</v>
      </c>
      <c r="BG70" s="482">
        <v>3.5700000000000003E-2</v>
      </c>
      <c r="BH70" s="482">
        <v>3.5700000000000003E-2</v>
      </c>
      <c r="BI70" s="482">
        <v>3.5700000000000003E-2</v>
      </c>
      <c r="BJ70" s="482">
        <v>3.5700000000000003E-2</v>
      </c>
      <c r="BK70" s="482">
        <v>3.5700000000000003E-2</v>
      </c>
      <c r="BL70" s="482">
        <v>3.7199999999999997E-2</v>
      </c>
      <c r="BM70" s="482">
        <v>3.7699999999999997E-2</v>
      </c>
      <c r="BN70" s="482">
        <v>3.8199999999999998E-2</v>
      </c>
      <c r="BO70" s="482">
        <v>3.8199999999999998E-2</v>
      </c>
      <c r="BP70" s="482">
        <v>3.95E-2</v>
      </c>
      <c r="BQ70" s="482">
        <v>3.95E-2</v>
      </c>
      <c r="BR70" s="482">
        <v>0.04</v>
      </c>
      <c r="BS70" s="482">
        <v>0.04</v>
      </c>
      <c r="BT70" s="482">
        <v>4.07E-2</v>
      </c>
      <c r="BU70" s="482">
        <v>4.07E-2</v>
      </c>
      <c r="BV70" s="482">
        <v>4.07E-2</v>
      </c>
      <c r="BW70" s="482">
        <v>4.07E-2</v>
      </c>
      <c r="BX70" s="482">
        <v>0.04</v>
      </c>
      <c r="BY70" s="482">
        <v>3.9199999999999999E-2</v>
      </c>
      <c r="BZ70" s="482">
        <v>3.9199999999999999E-2</v>
      </c>
      <c r="CA70" s="482">
        <v>4.0300000000000002E-2</v>
      </c>
      <c r="CB70" s="482">
        <v>4.3099999999999999E-2</v>
      </c>
      <c r="CC70" s="482">
        <v>4.3900000000000002E-2</v>
      </c>
      <c r="CD70" s="482">
        <v>4.3200000000000002E-2</v>
      </c>
      <c r="CE70" s="482">
        <v>4.3799999999999999E-2</v>
      </c>
      <c r="CF70" s="482">
        <v>4.3999999999999997E-2</v>
      </c>
      <c r="CG70" s="482">
        <v>4.3900000000000002E-2</v>
      </c>
      <c r="CH70" s="482">
        <v>4.5400000000000003E-2</v>
      </c>
      <c r="CI70" s="482">
        <v>4.5400000000000003E-2</v>
      </c>
      <c r="CJ70" s="482">
        <v>4.53E-2</v>
      </c>
      <c r="CK70" s="482">
        <v>4.5199999999999997E-2</v>
      </c>
      <c r="CL70" s="482">
        <v>4.53E-2</v>
      </c>
      <c r="CM70" s="482">
        <v>4.5600000000000002E-2</v>
      </c>
      <c r="CN70" s="482">
        <v>4.5499999999999999E-2</v>
      </c>
      <c r="CO70" s="482">
        <v>4.5499999999999999E-2</v>
      </c>
      <c r="CP70" s="482">
        <v>4.5900000000000003E-2</v>
      </c>
      <c r="CQ70" s="482">
        <v>4.5900000000000003E-2</v>
      </c>
      <c r="CR70" s="482">
        <v>4.5900000000000003E-2</v>
      </c>
      <c r="CS70" s="482">
        <v>4.58E-2</v>
      </c>
      <c r="CT70" s="482">
        <v>4.4600000000000001E-2</v>
      </c>
      <c r="CU70" s="482">
        <v>4.4600000000000001E-2</v>
      </c>
      <c r="CV70" s="482">
        <v>4.4600000000000001E-2</v>
      </c>
      <c r="CW70" s="482">
        <v>4.4600000000000001E-2</v>
      </c>
      <c r="CX70" s="482">
        <v>4.4600000000000001E-2</v>
      </c>
      <c r="CY70" s="482">
        <v>4.4600000000000001E-2</v>
      </c>
      <c r="CZ70" s="482">
        <v>4.5999999999999999E-2</v>
      </c>
      <c r="DA70" s="482">
        <v>4.5999999999999999E-2</v>
      </c>
      <c r="DB70" s="482">
        <v>4.4600000000000001E-2</v>
      </c>
      <c r="DC70" s="482">
        <v>4.4600000000000001E-2</v>
      </c>
      <c r="DD70" s="482">
        <v>4.4600000000000001E-2</v>
      </c>
      <c r="DE70" s="484">
        <v>4.4600000000000001E-2</v>
      </c>
      <c r="DF70" s="482">
        <v>4.4699999999999997E-2</v>
      </c>
      <c r="DG70" s="482">
        <v>4.4699999999999997E-2</v>
      </c>
      <c r="DH70" s="482">
        <v>4.4699999999999997E-2</v>
      </c>
      <c r="DI70" s="482">
        <v>4.4699999999999997E-2</v>
      </c>
      <c r="DJ70" s="482">
        <v>4.4699999999999997E-2</v>
      </c>
      <c r="DK70" s="482">
        <v>4.48E-2</v>
      </c>
      <c r="DL70" s="482">
        <v>4.4900000000000002E-2</v>
      </c>
      <c r="DM70" s="512" t="s">
        <v>124</v>
      </c>
      <c r="DN70" s="512"/>
      <c r="DO70" s="512"/>
      <c r="DP70" s="512"/>
      <c r="DQ70" s="512"/>
      <c r="DR70" s="512"/>
      <c r="DS70" s="512"/>
      <c r="DT70" s="512"/>
      <c r="DU70" s="512"/>
      <c r="DV70" s="512"/>
      <c r="DW70" s="512"/>
      <c r="DX70" s="512"/>
      <c r="DY70" s="512"/>
      <c r="DZ70" s="512"/>
      <c r="EA70" s="512"/>
      <c r="EB70" s="512"/>
      <c r="EC70" s="512"/>
      <c r="ED70" s="512"/>
      <c r="EE70" s="512"/>
      <c r="EF70" s="512"/>
      <c r="EG70" s="512"/>
      <c r="EH70" s="512"/>
      <c r="EI70" s="512"/>
      <c r="EJ70" s="512"/>
      <c r="EK70" s="512"/>
      <c r="EL70" s="513"/>
      <c r="EM70" s="513"/>
      <c r="EN70" s="512"/>
      <c r="EO70" s="512"/>
      <c r="EP70" s="512"/>
      <c r="EQ70" s="512"/>
      <c r="ER70" s="512"/>
      <c r="ES70" s="512"/>
      <c r="ET70" s="512"/>
      <c r="EU70" s="512"/>
      <c r="EV70" s="512"/>
      <c r="EW70" s="512"/>
      <c r="EX70" s="512"/>
      <c r="EY70" s="512"/>
      <c r="EZ70" s="513"/>
      <c r="FA70" s="514"/>
      <c r="FB70" s="515"/>
      <c r="FC70" s="516"/>
      <c r="FD70" s="516"/>
      <c r="FE70" s="516"/>
      <c r="FF70" s="516"/>
      <c r="FG70" s="516"/>
      <c r="FH70" s="516"/>
      <c r="FI70" s="516"/>
      <c r="FJ70" s="516"/>
      <c r="FK70" s="516"/>
      <c r="FL70" s="516"/>
      <c r="FM70" s="516"/>
      <c r="FN70" s="516"/>
      <c r="FO70" s="516"/>
      <c r="FP70" s="516"/>
      <c r="FQ70" s="516"/>
      <c r="FR70" s="516"/>
      <c r="FS70" s="516"/>
      <c r="FT70" s="516"/>
      <c r="FU70" s="516"/>
      <c r="FV70" s="512"/>
      <c r="FW70" s="512"/>
      <c r="FX70" s="512"/>
      <c r="FY70" s="512"/>
      <c r="FZ70" s="512"/>
      <c r="GA70" s="512"/>
      <c r="GB70" s="512"/>
      <c r="GC70" s="512"/>
      <c r="GD70" s="489"/>
      <c r="GE70" s="489"/>
      <c r="GF70" s="489"/>
      <c r="GG70" s="489"/>
      <c r="GH70" s="489"/>
      <c r="GI70" s="489"/>
      <c r="GJ70" s="489"/>
      <c r="GK70" s="489"/>
      <c r="GL70" s="489"/>
      <c r="GM70" s="489"/>
      <c r="GN70" s="489"/>
      <c r="GO70" s="489"/>
      <c r="GP70" s="489"/>
      <c r="GQ70" s="489"/>
      <c r="GR70" s="489"/>
      <c r="GS70" s="489"/>
      <c r="GT70" s="489"/>
      <c r="GU70" s="489"/>
      <c r="GV70" s="489"/>
      <c r="GW70" s="489"/>
      <c r="GX70" s="489"/>
      <c r="GY70" s="489"/>
      <c r="GZ70" s="489"/>
      <c r="HA70" s="489"/>
      <c r="HB70" s="489"/>
      <c r="HC70" s="489"/>
      <c r="HD70" s="489"/>
      <c r="HE70" s="489"/>
      <c r="HF70" s="489"/>
      <c r="HG70" s="489"/>
      <c r="HH70" s="489"/>
      <c r="HI70" s="489"/>
      <c r="HJ70" s="489"/>
      <c r="HK70" s="489"/>
      <c r="HL70" s="489"/>
      <c r="HM70" s="489"/>
      <c r="HN70" s="489"/>
      <c r="HO70" s="489"/>
      <c r="HP70" s="473">
        <f t="shared" si="12"/>
        <v>0</v>
      </c>
      <c r="HQ70" s="490"/>
    </row>
    <row r="71" spans="2:225">
      <c r="B71" s="763" t="s">
        <v>29</v>
      </c>
      <c r="C71" s="731" t="s">
        <v>74</v>
      </c>
      <c r="D71" s="494">
        <v>2.9406999999999999E-2</v>
      </c>
      <c r="E71" s="494">
        <v>2.9406999999999999E-2</v>
      </c>
      <c r="F71" s="494">
        <v>2.9704999999999999E-2</v>
      </c>
      <c r="G71" s="494">
        <v>2.9297E-2</v>
      </c>
      <c r="H71" s="494">
        <v>2.9016E-2</v>
      </c>
      <c r="I71" s="494">
        <v>2.93E-2</v>
      </c>
      <c r="J71" s="494">
        <v>2.8816000000000001E-2</v>
      </c>
      <c r="K71" s="494">
        <v>2.9302000000000002E-2</v>
      </c>
      <c r="L71" s="494">
        <v>2.8812000000000001E-2</v>
      </c>
      <c r="M71" s="494">
        <v>2.9208000000000001E-2</v>
      </c>
      <c r="N71" s="494">
        <v>3.0016999999999999E-2</v>
      </c>
      <c r="O71" s="494">
        <v>3.0283000000000001E-2</v>
      </c>
      <c r="P71" s="494">
        <v>3.0762000000000001E-2</v>
      </c>
      <c r="Q71" s="494">
        <v>3.0948E-2</v>
      </c>
      <c r="R71" s="494">
        <v>3.2312E-2</v>
      </c>
      <c r="S71" s="494">
        <v>3.1972E-2</v>
      </c>
      <c r="T71" s="494">
        <v>3.2169999999999997E-2</v>
      </c>
      <c r="U71" s="494">
        <v>3.1314000000000002E-2</v>
      </c>
      <c r="V71" s="494">
        <v>3.1217999999999999E-2</v>
      </c>
      <c r="W71" s="494">
        <v>3.1514E-2</v>
      </c>
      <c r="X71" s="494">
        <v>3.2494000000000002E-2</v>
      </c>
      <c r="Y71" s="494">
        <v>3.2821000000000003E-2</v>
      </c>
      <c r="Z71" s="494">
        <v>3.2939999999999997E-2</v>
      </c>
      <c r="AA71" s="494">
        <v>3.2908E-2</v>
      </c>
      <c r="AB71" s="494">
        <v>3.2992E-2</v>
      </c>
      <c r="AC71" s="494">
        <v>3.4051999999999999E-2</v>
      </c>
      <c r="AD71" s="494">
        <v>3.3973000000000003E-2</v>
      </c>
      <c r="AE71" s="494">
        <v>3.4396999999999997E-2</v>
      </c>
      <c r="AF71" s="494">
        <v>3.4787999999999999E-2</v>
      </c>
      <c r="AG71" s="494">
        <v>3.4648999999999999E-2</v>
      </c>
      <c r="AH71" s="488">
        <v>3.5151000000000002E-2</v>
      </c>
      <c r="AI71" s="488">
        <v>3.5109000000000001E-2</v>
      </c>
      <c r="AJ71" s="488">
        <v>3.5283000000000002E-2</v>
      </c>
      <c r="AK71" s="494">
        <v>3.5283000000000002E-2</v>
      </c>
      <c r="AL71" s="494">
        <v>3.5255000000000002E-2</v>
      </c>
      <c r="AM71" s="494">
        <v>3.5432999999999999E-2</v>
      </c>
      <c r="AN71" s="494">
        <v>3.5236999999999997E-2</v>
      </c>
      <c r="AO71" s="494">
        <v>3.5392E-2</v>
      </c>
      <c r="AP71" s="494">
        <v>3.5462E-2</v>
      </c>
      <c r="AQ71" s="494">
        <v>3.5672000000000002E-2</v>
      </c>
      <c r="AR71" s="494">
        <v>3.5249999999999997E-2</v>
      </c>
      <c r="AS71" s="494">
        <v>3.5468E-2</v>
      </c>
      <c r="AT71" s="488">
        <v>3.5251999999999999E-2</v>
      </c>
      <c r="AU71" s="488">
        <v>3.5251999999999999E-2</v>
      </c>
      <c r="AV71" s="494">
        <v>3.5000000000000003E-2</v>
      </c>
      <c r="AW71" s="489">
        <v>4.0586999999999998E-2</v>
      </c>
      <c r="AX71" s="489">
        <v>4.0586999999999998E-2</v>
      </c>
      <c r="AY71" s="489">
        <v>4.0586999999999998E-2</v>
      </c>
      <c r="AZ71" s="489">
        <v>4.0586999999999998E-2</v>
      </c>
      <c r="BA71" s="489">
        <v>4.0586999999999998E-2</v>
      </c>
      <c r="BB71" s="489">
        <v>4.0586999999999998E-2</v>
      </c>
      <c r="BC71" s="489">
        <v>4.0586999999999998E-2</v>
      </c>
      <c r="BD71" s="489">
        <v>4.0586999999999998E-2</v>
      </c>
      <c r="BE71" s="489">
        <v>4.0586999999999998E-2</v>
      </c>
      <c r="BF71" s="489">
        <v>4.0586999999999998E-2</v>
      </c>
      <c r="BG71" s="489">
        <v>4.0586999999999998E-2</v>
      </c>
      <c r="BH71" s="489">
        <v>4.0586999999999998E-2</v>
      </c>
      <c r="BI71" s="489">
        <v>4.0586999999999998E-2</v>
      </c>
      <c r="BJ71" s="489">
        <v>4.0586999999999998E-2</v>
      </c>
      <c r="BK71" s="489">
        <v>4.0586999999999998E-2</v>
      </c>
      <c r="BL71" s="489">
        <v>4.0586999999999998E-2</v>
      </c>
      <c r="BM71" s="489">
        <v>4.0586999999999998E-2</v>
      </c>
      <c r="BN71" s="489">
        <v>4.0586999999999998E-2</v>
      </c>
      <c r="BO71" s="489">
        <v>4.0586999999999998E-2</v>
      </c>
      <c r="BP71" s="489">
        <v>4.0586999999999998E-2</v>
      </c>
      <c r="BQ71" s="489">
        <v>4.0586999999999998E-2</v>
      </c>
      <c r="BR71" s="489">
        <v>4.0586999999999998E-2</v>
      </c>
      <c r="BS71" s="489">
        <v>4.0586999999999998E-2</v>
      </c>
      <c r="BT71" s="489">
        <v>4.0586999999999998E-2</v>
      </c>
      <c r="BU71" s="489">
        <v>4.0586999999999998E-2</v>
      </c>
      <c r="BV71" s="489">
        <v>4.0586999999999998E-2</v>
      </c>
      <c r="BW71" s="489">
        <v>4.0586999999999998E-2</v>
      </c>
      <c r="BX71" s="489">
        <v>4.0586999999999998E-2</v>
      </c>
      <c r="BY71" s="489">
        <v>4.0586999999999998E-2</v>
      </c>
      <c r="BZ71" s="489">
        <v>4.0586999999999998E-2</v>
      </c>
      <c r="CA71" s="489">
        <v>4.2587E-2</v>
      </c>
      <c r="CB71" s="489">
        <v>4.5236999999999999E-2</v>
      </c>
      <c r="CC71" s="489">
        <v>4.5236999999999999E-2</v>
      </c>
      <c r="CD71" s="489">
        <v>4.5236999999999999E-2</v>
      </c>
      <c r="CE71" s="489">
        <v>4.5386999999999997E-2</v>
      </c>
      <c r="CF71" s="489">
        <v>4.5186999999999998E-2</v>
      </c>
      <c r="CG71" s="489">
        <v>4.5436999999999998E-2</v>
      </c>
      <c r="CH71" s="489">
        <v>4.5436999999999998E-2</v>
      </c>
      <c r="CI71" s="489">
        <v>4.5587000000000003E-2</v>
      </c>
      <c r="CJ71" s="489">
        <v>4.5587000000000003E-2</v>
      </c>
      <c r="CK71" s="489">
        <v>4.6200999999999999E-2</v>
      </c>
      <c r="CL71" s="489">
        <v>4.6200999999999999E-2</v>
      </c>
      <c r="CM71" s="489">
        <v>4.6200999999999999E-2</v>
      </c>
      <c r="CN71" s="489">
        <v>4.6200999999999999E-2</v>
      </c>
      <c r="CO71" s="489">
        <v>4.6027999999999999E-2</v>
      </c>
      <c r="CP71" s="489">
        <v>4.5714999999999999E-2</v>
      </c>
      <c r="CQ71" s="489">
        <v>4.5804999999999998E-2</v>
      </c>
      <c r="CR71" s="489">
        <v>4.5737E-2</v>
      </c>
      <c r="CS71" s="489">
        <v>4.5893999999999997E-2</v>
      </c>
      <c r="CT71" s="489">
        <v>4.5463999999999997E-2</v>
      </c>
      <c r="CU71" s="489">
        <v>4.5463999999999997E-2</v>
      </c>
      <c r="CV71" s="489">
        <v>4.5463999999999997E-2</v>
      </c>
      <c r="CW71" s="489">
        <v>4.5463999999999997E-2</v>
      </c>
      <c r="CX71" s="489">
        <v>4.5463999999999997E-2</v>
      </c>
      <c r="CY71" s="489">
        <v>4.5463999999999997E-2</v>
      </c>
      <c r="CZ71" s="489">
        <v>4.5439E-2</v>
      </c>
      <c r="DA71" s="489">
        <v>4.5422999999999998E-2</v>
      </c>
      <c r="DB71" s="489">
        <v>4.5422999999999998E-2</v>
      </c>
      <c r="DC71" s="489" t="s">
        <v>124</v>
      </c>
      <c r="DD71" s="489" t="s">
        <v>124</v>
      </c>
      <c r="DE71" s="489">
        <v>4.5192000000000003E-2</v>
      </c>
      <c r="DF71" s="489">
        <v>4.5192000000000003E-2</v>
      </c>
      <c r="DG71" s="489">
        <v>4.5192000000000003E-2</v>
      </c>
      <c r="DH71" s="489">
        <v>4.5192000000000003E-2</v>
      </c>
      <c r="DI71" s="489">
        <v>4.5123000000000003E-2</v>
      </c>
      <c r="DJ71" s="489">
        <v>4.5157000000000003E-2</v>
      </c>
      <c r="DK71" s="489">
        <v>4.5164000000000003E-2</v>
      </c>
      <c r="DL71" s="489">
        <v>4.5627000000000001E-2</v>
      </c>
      <c r="DM71" s="489">
        <v>4.6641000000000002E-2</v>
      </c>
      <c r="DN71" s="489">
        <v>4.6819E-2</v>
      </c>
      <c r="DO71" s="489">
        <v>4.7070000000000001E-2</v>
      </c>
      <c r="DP71" s="489">
        <v>4.6642000000000003E-2</v>
      </c>
      <c r="DQ71" s="489">
        <v>4.5768999999999997E-2</v>
      </c>
      <c r="DR71" s="489">
        <v>4.5768999999999997E-2</v>
      </c>
      <c r="DS71" s="489">
        <v>4.6094999999999997E-2</v>
      </c>
      <c r="DT71" s="489">
        <v>4.6114000000000002E-2</v>
      </c>
      <c r="DU71" s="489">
        <v>4.6366999999999998E-2</v>
      </c>
      <c r="DV71" s="489">
        <v>4.6366999999999998E-2</v>
      </c>
      <c r="DW71" s="489">
        <v>4.6495000000000002E-2</v>
      </c>
      <c r="DX71" s="489">
        <v>4.6495000000000002E-2</v>
      </c>
      <c r="DY71" s="489">
        <v>4.7301999999999997E-2</v>
      </c>
      <c r="DZ71" s="489">
        <v>4.6383000000000001E-2</v>
      </c>
      <c r="EA71" s="489">
        <v>4.6282999999999998E-2</v>
      </c>
      <c r="EB71" s="489">
        <v>4.5983000000000003E-2</v>
      </c>
      <c r="EC71" s="489">
        <v>4.6138999999999999E-2</v>
      </c>
      <c r="ED71" s="489">
        <v>4.5721999999999999E-2</v>
      </c>
      <c r="EE71" s="489">
        <v>4.5576999999999999E-2</v>
      </c>
      <c r="EF71" s="489">
        <v>4.5567999999999997E-2</v>
      </c>
      <c r="EG71" s="489">
        <v>4.4359999999999997E-2</v>
      </c>
      <c r="EH71" s="489">
        <v>4.4359999999999997E-2</v>
      </c>
      <c r="EI71" s="489"/>
      <c r="EJ71" s="489"/>
      <c r="EK71" s="489"/>
      <c r="EL71" s="489"/>
      <c r="EM71" s="489"/>
      <c r="EN71" s="489"/>
      <c r="EO71" s="489"/>
      <c r="EP71" s="489"/>
      <c r="EQ71" s="489"/>
      <c r="ER71" s="489"/>
      <c r="ES71" s="489"/>
      <c r="ET71" s="489"/>
      <c r="EU71" s="489"/>
      <c r="EV71" s="489"/>
      <c r="EW71" s="489"/>
      <c r="EX71" s="489"/>
      <c r="EY71" s="489"/>
      <c r="EZ71" s="489"/>
      <c r="FA71" s="489"/>
      <c r="FB71" s="489"/>
      <c r="FC71" s="489"/>
      <c r="FD71" s="489"/>
      <c r="FE71" s="489"/>
      <c r="FF71" s="489"/>
      <c r="FG71" s="489"/>
      <c r="FH71" s="489"/>
      <c r="FI71" s="489"/>
      <c r="FJ71" s="489"/>
      <c r="FK71" s="489"/>
      <c r="FL71" s="489"/>
      <c r="FM71" s="489"/>
      <c r="FN71" s="489"/>
      <c r="FO71" s="489"/>
      <c r="FP71" s="489"/>
      <c r="FQ71" s="489"/>
      <c r="FR71" s="489"/>
      <c r="FS71" s="489"/>
      <c r="FT71" s="489"/>
      <c r="FU71" s="489"/>
      <c r="FV71" s="489"/>
      <c r="FW71" s="489"/>
      <c r="FX71" s="489">
        <v>4.4359999999999997E-2</v>
      </c>
      <c r="FY71" s="489">
        <v>4.4359999999999997E-2</v>
      </c>
      <c r="FZ71" s="489"/>
      <c r="GA71" s="489"/>
      <c r="GB71" s="489"/>
      <c r="GC71" s="489"/>
      <c r="GD71" s="489"/>
      <c r="GE71" s="489"/>
      <c r="GF71" s="489"/>
      <c r="GG71" s="489"/>
      <c r="GH71" s="489"/>
      <c r="GI71" s="489"/>
      <c r="GJ71" s="489"/>
      <c r="GK71" s="489"/>
      <c r="GL71" s="489"/>
      <c r="GM71" s="489"/>
      <c r="GN71" s="489"/>
      <c r="GO71" s="489"/>
      <c r="GP71" s="489"/>
      <c r="GQ71" s="489"/>
      <c r="GR71" s="489"/>
      <c r="GS71" s="489"/>
      <c r="GT71" s="489"/>
      <c r="GU71" s="489"/>
      <c r="GV71" s="489"/>
      <c r="GW71" s="489"/>
      <c r="GX71" s="489"/>
      <c r="GY71" s="489"/>
      <c r="GZ71" s="489"/>
      <c r="HA71" s="489"/>
      <c r="HB71" s="489"/>
      <c r="HC71" s="489"/>
      <c r="HD71" s="489"/>
      <c r="HE71" s="489"/>
      <c r="HF71" s="489"/>
      <c r="HG71" s="489"/>
      <c r="HH71" s="489"/>
      <c r="HI71" s="489"/>
      <c r="HJ71" s="489"/>
      <c r="HK71" s="489"/>
      <c r="HL71" s="489"/>
      <c r="HM71" s="489"/>
      <c r="HN71" s="489"/>
      <c r="HO71" s="489"/>
      <c r="HP71" s="473">
        <f t="shared" si="12"/>
        <v>0</v>
      </c>
      <c r="HQ71" s="511"/>
    </row>
    <row r="72" spans="2:225">
      <c r="B72" s="673" t="s">
        <v>44</v>
      </c>
      <c r="C72" s="730" t="s">
        <v>215</v>
      </c>
      <c r="D72" s="476">
        <v>2.75E-2</v>
      </c>
      <c r="E72" s="476">
        <v>2.75E-2</v>
      </c>
      <c r="F72" s="476">
        <v>2.75E-2</v>
      </c>
      <c r="G72" s="476">
        <v>2.75E-2</v>
      </c>
      <c r="H72" s="476">
        <v>2.75E-2</v>
      </c>
      <c r="I72" s="476">
        <v>2.75E-2</v>
      </c>
      <c r="J72" s="476">
        <v>2.75E-2</v>
      </c>
      <c r="K72" s="476">
        <v>2.75E-2</v>
      </c>
      <c r="L72" s="476">
        <v>2.75E-2</v>
      </c>
      <c r="M72" s="476">
        <v>2.75E-2</v>
      </c>
      <c r="N72" s="476">
        <v>2.75E-2</v>
      </c>
      <c r="O72" s="493">
        <v>2.75E-2</v>
      </c>
      <c r="P72" s="476">
        <v>0.03</v>
      </c>
      <c r="Q72" s="476">
        <v>0.03</v>
      </c>
      <c r="R72" s="476">
        <v>0.03</v>
      </c>
      <c r="S72" s="476">
        <v>0.03</v>
      </c>
      <c r="T72" s="476">
        <v>0.03</v>
      </c>
      <c r="U72" s="476">
        <v>0.03</v>
      </c>
      <c r="V72" s="476">
        <v>0.03</v>
      </c>
      <c r="W72" s="476">
        <v>0.03</v>
      </c>
      <c r="X72" s="476">
        <v>0.03</v>
      </c>
      <c r="Y72" s="476">
        <v>0.03</v>
      </c>
      <c r="Z72" s="476">
        <v>0.03</v>
      </c>
      <c r="AA72" s="476">
        <v>0.03</v>
      </c>
      <c r="AB72" s="476">
        <v>0.03</v>
      </c>
      <c r="AC72" s="476">
        <v>0.03</v>
      </c>
      <c r="AD72" s="476">
        <v>0.03</v>
      </c>
      <c r="AE72" s="476">
        <v>0.03</v>
      </c>
      <c r="AF72" s="476">
        <v>0.03</v>
      </c>
      <c r="AG72" s="476">
        <v>0.03</v>
      </c>
      <c r="AH72" s="476">
        <v>0.03</v>
      </c>
      <c r="AI72" s="476">
        <v>0.03</v>
      </c>
      <c r="AJ72" s="493">
        <v>0.03</v>
      </c>
      <c r="AK72" s="476">
        <v>3.5000000000000003E-2</v>
      </c>
      <c r="AL72" s="477">
        <v>3.5000000000000003E-2</v>
      </c>
      <c r="AM72" s="476">
        <v>3.5000000000000003E-2</v>
      </c>
      <c r="AN72" s="476">
        <v>3.5000000000000003E-2</v>
      </c>
      <c r="AO72" s="476">
        <v>3.5000000000000003E-2</v>
      </c>
      <c r="AP72" s="476">
        <v>3.5000000000000003E-2</v>
      </c>
      <c r="AQ72" s="476">
        <v>3.5000000000000003E-2</v>
      </c>
      <c r="AR72" s="476">
        <v>3.5000000000000003E-2</v>
      </c>
      <c r="AS72" s="476">
        <v>3.5000000000000003E-2</v>
      </c>
      <c r="AT72" s="476">
        <v>3.5000000000000003E-2</v>
      </c>
      <c r="AU72" s="476">
        <v>3.5000000000000003E-2</v>
      </c>
      <c r="AV72" s="477">
        <v>3.5000000000000003E-2</v>
      </c>
      <c r="AW72" s="477">
        <v>3.5000000000000003E-2</v>
      </c>
      <c r="AX72" s="477">
        <v>3.5000000000000003E-2</v>
      </c>
      <c r="AY72" s="477">
        <v>3.5000000000000003E-2</v>
      </c>
      <c r="AZ72" s="477">
        <v>3.5000000000000003E-2</v>
      </c>
      <c r="BA72" s="477">
        <v>3.5000000000000003E-2</v>
      </c>
      <c r="BB72" s="477">
        <v>3.5000000000000003E-2</v>
      </c>
      <c r="BC72" s="477">
        <v>3.5000000000000003E-2</v>
      </c>
      <c r="BD72" s="477">
        <v>3.5000000000000003E-2</v>
      </c>
      <c r="BE72" s="477">
        <v>3.5000000000000003E-2</v>
      </c>
      <c r="BF72" s="477">
        <v>3.5000000000000003E-2</v>
      </c>
      <c r="BG72" s="477">
        <v>3.5000000000000003E-2</v>
      </c>
      <c r="BH72" s="477">
        <v>3.5000000000000003E-2</v>
      </c>
      <c r="BI72" s="477">
        <v>3.5000000000000003E-2</v>
      </c>
      <c r="BJ72" s="477">
        <v>3.5000000000000003E-2</v>
      </c>
      <c r="BK72" s="477">
        <v>3.5000000000000003E-2</v>
      </c>
      <c r="BL72" s="477">
        <v>3.5000000000000003E-2</v>
      </c>
      <c r="BM72" s="477">
        <v>3.5000000000000003E-2</v>
      </c>
      <c r="BN72" s="477">
        <v>3.5000000000000003E-2</v>
      </c>
      <c r="BO72" s="477">
        <v>3.5000000000000003E-2</v>
      </c>
      <c r="BP72" s="477">
        <v>3.5000000000000003E-2</v>
      </c>
      <c r="BQ72" s="477">
        <v>3.5000000000000003E-2</v>
      </c>
      <c r="BR72" s="477">
        <v>3.5000000000000003E-2</v>
      </c>
      <c r="BS72" s="477">
        <v>3.5000000000000003E-2</v>
      </c>
      <c r="BT72" s="477">
        <v>3.5000000000000003E-2</v>
      </c>
      <c r="BU72" s="477">
        <v>3.5000000000000003E-2</v>
      </c>
      <c r="BV72" s="477">
        <v>3.5000000000000003E-2</v>
      </c>
      <c r="BW72" s="477">
        <v>3.5000000000000003E-2</v>
      </c>
      <c r="BX72" s="477">
        <v>3.5000000000000003E-2</v>
      </c>
      <c r="BY72" s="477">
        <v>3.5000000000000003E-2</v>
      </c>
      <c r="BZ72" s="477">
        <v>3.5000000000000003E-2</v>
      </c>
      <c r="CA72" s="477">
        <v>3.5000000000000003E-2</v>
      </c>
      <c r="CB72" s="477">
        <v>3.5000000000000003E-2</v>
      </c>
      <c r="CC72" s="477">
        <v>3.5000000000000003E-2</v>
      </c>
      <c r="CD72" s="477">
        <v>3.5000000000000003E-2</v>
      </c>
      <c r="CE72" s="477">
        <v>3.5000000000000003E-2</v>
      </c>
      <c r="CF72" s="477">
        <v>3.5000000000000003E-2</v>
      </c>
      <c r="CG72" s="477">
        <v>3.5000000000000003E-2</v>
      </c>
      <c r="CH72" s="477">
        <v>3.5000000000000003E-2</v>
      </c>
      <c r="CI72" s="477">
        <v>3.5000000000000003E-2</v>
      </c>
      <c r="CJ72" s="477">
        <v>3.5000000000000003E-2</v>
      </c>
      <c r="CK72" s="477">
        <v>3.5000000000000001E-3</v>
      </c>
      <c r="CL72" s="477">
        <v>3.5000000000000001E-3</v>
      </c>
      <c r="CM72" s="477">
        <v>3.5000000000000001E-3</v>
      </c>
      <c r="CN72" s="477">
        <v>3.5000000000000003E-2</v>
      </c>
      <c r="CO72" s="477">
        <v>3.5000000000000003E-2</v>
      </c>
      <c r="CP72" s="477">
        <v>3.5000000000000003E-2</v>
      </c>
      <c r="CQ72" s="477">
        <v>3.5000000000000003E-2</v>
      </c>
      <c r="CR72" s="477">
        <v>3.5000000000000003E-2</v>
      </c>
      <c r="CS72" s="477">
        <v>3.5000000000000003E-2</v>
      </c>
      <c r="CT72" s="477">
        <v>3.5000000000000003E-2</v>
      </c>
      <c r="CU72" s="477">
        <v>3.5000000000000003E-2</v>
      </c>
      <c r="CV72" s="477">
        <v>3.5000000000000003E-2</v>
      </c>
      <c r="CW72" s="477">
        <v>3.5000000000000003E-2</v>
      </c>
      <c r="CX72" s="477">
        <v>3.5000000000000003E-2</v>
      </c>
      <c r="CY72" s="477">
        <v>3.5000000000000003E-2</v>
      </c>
      <c r="CZ72" s="477">
        <v>3.5000000000000003E-2</v>
      </c>
      <c r="DA72" s="477">
        <v>3.5000000000000003E-2</v>
      </c>
      <c r="DB72" s="477">
        <v>3.5000000000000003E-2</v>
      </c>
      <c r="DC72" s="477">
        <v>3.5000000000000003E-2</v>
      </c>
      <c r="DD72" s="477">
        <v>3.5000000000000003E-2</v>
      </c>
      <c r="DE72" s="477">
        <v>3.5000000000000003E-2</v>
      </c>
      <c r="DF72" s="477">
        <v>3.5000000000000003E-2</v>
      </c>
      <c r="DG72" s="477">
        <v>3.5000000000000003E-2</v>
      </c>
      <c r="DH72" s="477">
        <v>3.5000000000000003E-2</v>
      </c>
      <c r="DI72" s="477">
        <v>3.5000000000000003E-2</v>
      </c>
      <c r="DJ72" s="477">
        <v>3.5000000000000003E-2</v>
      </c>
      <c r="DK72" s="477">
        <v>3.5000000000000003E-2</v>
      </c>
      <c r="DL72" s="477">
        <v>3.5000000000000003E-2</v>
      </c>
      <c r="DM72" s="477">
        <v>3.5000000000000003E-2</v>
      </c>
      <c r="DN72" s="477">
        <v>3.5000000000000003E-2</v>
      </c>
      <c r="DO72" s="477">
        <v>3.5000000000000003E-2</v>
      </c>
      <c r="DP72" s="477">
        <v>3.5000000000000003E-2</v>
      </c>
      <c r="DQ72" s="477">
        <v>3.5000000000000003E-2</v>
      </c>
      <c r="DR72" s="477">
        <v>3.5000000000000003E-2</v>
      </c>
      <c r="DS72" s="477">
        <v>3.5000000000000003E-2</v>
      </c>
      <c r="DT72" s="477">
        <v>3.5000000000000003E-2</v>
      </c>
      <c r="DU72" s="477">
        <v>3.5000000000000003E-2</v>
      </c>
      <c r="DV72" s="477">
        <v>3.5000000000000003E-2</v>
      </c>
      <c r="DW72" s="477">
        <v>3.5000000000000003E-2</v>
      </c>
      <c r="DX72" s="477">
        <v>3.5000000000000003E-2</v>
      </c>
      <c r="DY72" s="477">
        <v>3.5000000000000003E-2</v>
      </c>
      <c r="DZ72" s="477">
        <v>3.5000000000000003E-2</v>
      </c>
      <c r="EA72" s="477">
        <v>3.5000000000000003E-2</v>
      </c>
      <c r="EB72" s="477">
        <v>3.5000000000000003E-2</v>
      </c>
      <c r="EC72" s="477">
        <v>3.5000000000000003E-2</v>
      </c>
      <c r="ED72" s="477">
        <v>3.5000000000000003E-2</v>
      </c>
      <c r="EE72" s="477">
        <v>3.5000000000000003E-2</v>
      </c>
      <c r="EF72" s="477">
        <v>3.5000000000000003E-2</v>
      </c>
      <c r="EG72" s="477">
        <v>3.5000000000000003E-2</v>
      </c>
      <c r="EH72" s="477">
        <v>3.5000000000000003E-2</v>
      </c>
      <c r="EI72" s="477">
        <v>2.75E-2</v>
      </c>
      <c r="EJ72" s="477">
        <v>1.4999999999999999E-2</v>
      </c>
      <c r="EK72" s="477">
        <v>1.4999999999999999E-2</v>
      </c>
      <c r="EL72" s="477">
        <v>1.4999999999999999E-2</v>
      </c>
      <c r="EM72" s="477">
        <v>1.4999999999999999E-2</v>
      </c>
      <c r="EN72" s="477">
        <v>3.5000000000000003E-2</v>
      </c>
      <c r="EO72" s="477">
        <v>3.5000000000000003E-2</v>
      </c>
      <c r="EP72" s="477">
        <v>3.5000000000000003E-2</v>
      </c>
      <c r="EQ72" s="477">
        <v>3.5000000000000003E-2</v>
      </c>
      <c r="ER72" s="477">
        <v>3.5000000000000003E-2</v>
      </c>
      <c r="ES72" s="477">
        <v>3.5000000000000003E-2</v>
      </c>
      <c r="ET72" s="477">
        <v>3.5000000000000003E-2</v>
      </c>
      <c r="EU72" s="477">
        <v>3.5000000000000003E-2</v>
      </c>
      <c r="EV72" s="477">
        <v>3.5000000000000003E-2</v>
      </c>
      <c r="EW72" s="477">
        <v>3.5000000000000003E-2</v>
      </c>
      <c r="EX72" s="477">
        <v>3.5000000000000003E-2</v>
      </c>
      <c r="EY72" s="477">
        <v>3.5000000000000003E-2</v>
      </c>
      <c r="EZ72" s="477">
        <v>3.5000000000000003E-2</v>
      </c>
      <c r="FA72" s="477">
        <v>3.5000000000000003E-2</v>
      </c>
      <c r="FB72" s="477">
        <v>3.5000000000000003E-2</v>
      </c>
      <c r="FC72" s="477">
        <v>3.5000000000000003E-2</v>
      </c>
      <c r="FD72" s="477">
        <v>3.5000000000000003E-2</v>
      </c>
      <c r="FE72" s="477">
        <v>3.5000000000000003E-2</v>
      </c>
      <c r="FF72" s="477">
        <v>3.5000000000000003E-2</v>
      </c>
      <c r="FG72" s="477">
        <v>3.5000000000000003E-2</v>
      </c>
      <c r="FH72" s="477">
        <v>3.5000000000000003E-2</v>
      </c>
      <c r="FI72" s="477">
        <v>3.5000000000000003E-2</v>
      </c>
      <c r="FJ72" s="477">
        <v>3.5000000000000003E-2</v>
      </c>
      <c r="FK72" s="477">
        <v>3.5000000000000003E-2</v>
      </c>
      <c r="FL72" s="477">
        <v>3.5000000000000003E-2</v>
      </c>
      <c r="FM72" s="477">
        <v>3.5000000000000003E-2</v>
      </c>
      <c r="FN72" s="477">
        <v>3.5000000000000003E-2</v>
      </c>
      <c r="FO72" s="477">
        <v>3.5000000000000003E-2</v>
      </c>
      <c r="FP72" s="477">
        <v>3.5000000000000003E-2</v>
      </c>
      <c r="FQ72" s="477">
        <v>2.75E-2</v>
      </c>
      <c r="FR72" s="477">
        <v>2.75E-2</v>
      </c>
      <c r="FS72" s="477">
        <v>2.75E-2</v>
      </c>
      <c r="FT72" s="477">
        <v>2.75E-2</v>
      </c>
      <c r="FU72" s="477">
        <v>2.75E-2</v>
      </c>
      <c r="FV72" s="477">
        <v>3.5000000000000003E-2</v>
      </c>
      <c r="FW72" s="477">
        <v>3.5000000000000003E-2</v>
      </c>
      <c r="FX72" s="477">
        <v>3.5000000000000003E-2</v>
      </c>
      <c r="FY72" s="477">
        <v>3.5000000000000003E-2</v>
      </c>
      <c r="FZ72" s="477">
        <v>3.5000000000000003E-2</v>
      </c>
      <c r="GA72" s="477">
        <v>3.5000000000000003E-2</v>
      </c>
      <c r="GB72" s="477">
        <v>3.5000000000000003E-2</v>
      </c>
      <c r="GC72" s="477">
        <v>3.5000000000000003E-2</v>
      </c>
      <c r="GD72" s="477">
        <v>1.4999999999999999E-2</v>
      </c>
      <c r="GE72" s="477">
        <v>1.4999999999999999E-2</v>
      </c>
      <c r="GF72" s="477">
        <v>1.4999999999999999E-2</v>
      </c>
      <c r="GG72" s="477">
        <v>1.4999999999999999E-2</v>
      </c>
      <c r="GH72" s="477">
        <v>1.4999999999999999E-2</v>
      </c>
      <c r="GI72" s="477">
        <v>1.4999999999999999E-2</v>
      </c>
      <c r="GJ72" s="477">
        <v>1.4999999999999999E-2</v>
      </c>
      <c r="GK72" s="477">
        <v>1.4999999999999999E-2</v>
      </c>
      <c r="GL72" s="477">
        <v>1.4999999999999999E-2</v>
      </c>
      <c r="GM72" s="477">
        <v>1.4999999999999999E-2</v>
      </c>
      <c r="GN72" s="477">
        <v>1.4999999999999999E-2</v>
      </c>
      <c r="GO72" s="477">
        <v>1.4999999999999999E-2</v>
      </c>
      <c r="GP72" s="477">
        <v>1.4999999999999999E-2</v>
      </c>
      <c r="GQ72" s="477">
        <v>1.4999999999999999E-2</v>
      </c>
      <c r="GR72" s="477">
        <v>1.4999999999999999E-2</v>
      </c>
      <c r="GS72" s="477">
        <v>1.4999999999999999E-2</v>
      </c>
      <c r="GT72" s="477">
        <v>1.4999999999999999E-2</v>
      </c>
      <c r="GU72" s="477">
        <v>1.4999999999999999E-2</v>
      </c>
      <c r="GV72" s="477">
        <v>1.4999999999999999E-2</v>
      </c>
      <c r="GW72" s="477">
        <v>1.4999999999999999E-2</v>
      </c>
      <c r="GX72" s="477">
        <v>1.4999999999999999E-2</v>
      </c>
      <c r="GY72" s="477">
        <v>1.4999999999999999E-2</v>
      </c>
      <c r="GZ72" s="477">
        <v>1.4999999999999999E-2</v>
      </c>
      <c r="HA72" s="477">
        <v>1.4999999999999999E-2</v>
      </c>
      <c r="HB72" s="477">
        <v>1.4999999999999999E-2</v>
      </c>
      <c r="HC72" s="477">
        <v>1.4999999999999999E-2</v>
      </c>
      <c r="HD72" s="477">
        <v>1.4999999999999999E-2</v>
      </c>
      <c r="HE72" s="477">
        <v>1.4999999999999999E-2</v>
      </c>
      <c r="HF72" s="477">
        <v>1.4999999999999999E-2</v>
      </c>
      <c r="HG72" s="477">
        <v>1.4999999999999999E-2</v>
      </c>
      <c r="HH72" s="477">
        <v>1.4999999999999999E-2</v>
      </c>
      <c r="HI72" s="477">
        <v>1.4999999999999999E-2</v>
      </c>
      <c r="HJ72" s="477">
        <v>1.4999999999999999E-2</v>
      </c>
      <c r="HK72" s="477">
        <v>1.4999999999999999E-2</v>
      </c>
      <c r="HL72" s="477">
        <v>1.4999999999999999E-2</v>
      </c>
      <c r="HM72" s="477">
        <v>1.4999999999999999E-2</v>
      </c>
      <c r="HN72" s="477">
        <v>1.4999999999999999E-2</v>
      </c>
      <c r="HO72" s="477">
        <v>1.4999999999999999E-2</v>
      </c>
      <c r="HP72" s="473">
        <f t="shared" si="12"/>
        <v>0</v>
      </c>
      <c r="HQ72" s="463"/>
    </row>
    <row r="73" spans="2:225">
      <c r="B73" s="491"/>
      <c r="C73" s="622"/>
      <c r="D73" s="622"/>
      <c r="E73" s="622"/>
      <c r="F73" s="622"/>
      <c r="G73" s="622"/>
      <c r="H73" s="622"/>
      <c r="I73" s="622"/>
      <c r="J73" s="622"/>
      <c r="K73" s="622"/>
      <c r="L73" s="622"/>
      <c r="M73" s="622"/>
      <c r="N73" s="622"/>
      <c r="O73" s="622"/>
      <c r="P73" s="622"/>
      <c r="Q73" s="622"/>
      <c r="R73" s="622"/>
      <c r="S73" s="622"/>
      <c r="T73" s="517"/>
      <c r="U73" s="517"/>
      <c r="V73" s="517"/>
      <c r="W73" s="518"/>
      <c r="X73" s="518"/>
      <c r="Y73" s="518"/>
      <c r="Z73" s="518"/>
      <c r="AA73" s="518"/>
      <c r="AB73" s="518"/>
      <c r="AC73" s="518"/>
      <c r="AD73" s="518"/>
      <c r="AE73" s="518"/>
      <c r="AF73" s="518"/>
      <c r="AG73" s="518"/>
      <c r="AH73" s="518"/>
      <c r="AI73" s="518"/>
      <c r="AJ73" s="518"/>
      <c r="AK73" s="518"/>
      <c r="AL73" s="519"/>
      <c r="AM73" s="518"/>
      <c r="AN73" s="518"/>
      <c r="AO73" s="518"/>
      <c r="AP73" s="518"/>
      <c r="AQ73" s="518"/>
      <c r="AR73" s="518"/>
      <c r="AS73" s="518"/>
      <c r="AT73" s="518"/>
      <c r="AU73" s="518"/>
      <c r="AV73" s="519"/>
      <c r="AW73" s="519"/>
      <c r="AX73" s="519"/>
      <c r="AY73" s="519"/>
      <c r="AZ73" s="519"/>
      <c r="BA73" s="519"/>
      <c r="BB73" s="519"/>
      <c r="BC73" s="519"/>
      <c r="BD73" s="519"/>
      <c r="BE73" s="519"/>
      <c r="BF73" s="519"/>
      <c r="BG73" s="519"/>
      <c r="BH73" s="519"/>
      <c r="BI73" s="519"/>
      <c r="BJ73" s="519"/>
      <c r="BK73" s="519"/>
      <c r="BL73" s="519"/>
      <c r="BM73" s="519"/>
      <c r="BN73" s="519"/>
      <c r="BO73" s="519"/>
      <c r="BP73" s="519"/>
      <c r="BQ73" s="519"/>
      <c r="BR73" s="519"/>
      <c r="BS73" s="519"/>
      <c r="BT73" s="519"/>
      <c r="BU73" s="519"/>
      <c r="BV73" s="519"/>
      <c r="BW73" s="519"/>
      <c r="BX73" s="519"/>
      <c r="BY73" s="519"/>
      <c r="BZ73" s="519"/>
      <c r="CA73" s="519"/>
      <c r="CB73" s="519"/>
      <c r="CC73" s="519"/>
      <c r="CD73" s="519"/>
      <c r="CE73" s="519"/>
      <c r="CF73" s="519"/>
      <c r="CG73" s="519"/>
      <c r="CH73" s="519"/>
      <c r="CI73" s="519"/>
      <c r="CJ73" s="519"/>
      <c r="CK73" s="519"/>
      <c r="CL73" s="519"/>
      <c r="CM73" s="519"/>
      <c r="CN73" s="519"/>
      <c r="CO73" s="519"/>
      <c r="CP73" s="519"/>
      <c r="CQ73" s="519"/>
      <c r="CR73" s="519"/>
      <c r="CS73" s="519"/>
      <c r="CT73" s="519"/>
      <c r="CU73" s="519"/>
      <c r="CV73" s="519"/>
      <c r="CW73" s="519"/>
      <c r="CX73" s="519"/>
      <c r="CY73" s="519"/>
      <c r="CZ73" s="519"/>
      <c r="DA73" s="519"/>
      <c r="DB73" s="519"/>
      <c r="DC73" s="519"/>
      <c r="DD73" s="519"/>
      <c r="DE73" s="519"/>
      <c r="DF73" s="519"/>
      <c r="DG73" s="519"/>
      <c r="DH73" s="519"/>
      <c r="DI73" s="519"/>
      <c r="DJ73" s="519"/>
      <c r="DK73" s="519"/>
      <c r="DL73" s="519"/>
      <c r="DM73" s="519"/>
      <c r="DN73" s="519"/>
      <c r="DO73" s="519"/>
      <c r="DP73" s="519"/>
      <c r="DQ73" s="519"/>
      <c r="DR73" s="519"/>
      <c r="DS73" s="519"/>
      <c r="DT73" s="519"/>
      <c r="DU73" s="519"/>
      <c r="DV73" s="519"/>
      <c r="DW73" s="519"/>
      <c r="DX73" s="519"/>
      <c r="DY73" s="519"/>
      <c r="DZ73" s="519"/>
      <c r="EA73" s="519"/>
      <c r="EB73" s="519"/>
      <c r="EC73" s="519"/>
      <c r="ED73" s="519"/>
      <c r="EE73" s="519"/>
      <c r="EF73" s="519"/>
      <c r="EG73" s="519"/>
      <c r="EH73" s="519"/>
      <c r="EI73" s="519"/>
      <c r="EJ73" s="519"/>
      <c r="EK73" s="519"/>
      <c r="EL73" s="519"/>
      <c r="EM73" s="519"/>
      <c r="EN73" s="519"/>
      <c r="EO73" s="519"/>
      <c r="EP73" s="519"/>
      <c r="EQ73" s="519"/>
      <c r="ER73" s="519"/>
      <c r="ES73" s="519"/>
      <c r="ET73" s="519"/>
      <c r="EU73" s="519"/>
      <c r="EV73" s="519"/>
      <c r="EW73" s="519"/>
      <c r="EX73" s="519"/>
      <c r="EY73" s="519"/>
      <c r="EZ73" s="519"/>
      <c r="FA73" s="519"/>
      <c r="FB73" s="519"/>
      <c r="FC73" s="519"/>
      <c r="FD73" s="519"/>
      <c r="FE73" s="519"/>
      <c r="FF73" s="519"/>
      <c r="FG73" s="519"/>
      <c r="FH73" s="519"/>
      <c r="FI73" s="519"/>
      <c r="FJ73" s="519"/>
      <c r="FK73" s="519"/>
      <c r="FL73" s="519"/>
      <c r="FM73" s="519"/>
      <c r="FN73" s="519"/>
      <c r="FO73" s="519"/>
      <c r="FP73" s="519"/>
      <c r="FQ73" s="519"/>
      <c r="FR73" s="519"/>
      <c r="FS73" s="519"/>
      <c r="FT73" s="519"/>
      <c r="FU73" s="519"/>
      <c r="FV73" s="519"/>
      <c r="FW73" s="519"/>
      <c r="FX73" s="519"/>
      <c r="FY73" s="519"/>
      <c r="FZ73" s="519"/>
      <c r="GA73" s="519"/>
      <c r="GB73" s="519"/>
      <c r="GC73" s="519"/>
      <c r="GD73" s="519"/>
      <c r="GE73" s="519"/>
      <c r="GF73" s="519"/>
      <c r="GG73" s="519"/>
      <c r="GH73" s="519"/>
      <c r="GI73" s="519"/>
      <c r="GJ73" s="519"/>
      <c r="GK73" s="519"/>
      <c r="GL73" s="519"/>
      <c r="GM73" s="519"/>
      <c r="GN73" s="519"/>
      <c r="GO73" s="519"/>
      <c r="GP73" s="519"/>
      <c r="GQ73" s="519"/>
      <c r="GR73" s="519"/>
      <c r="GS73" s="519"/>
      <c r="GT73" s="519"/>
      <c r="GU73" s="519"/>
      <c r="GV73" s="519"/>
      <c r="GW73" s="519"/>
      <c r="GX73" s="519"/>
      <c r="GY73" s="519"/>
      <c r="GZ73" s="519"/>
      <c r="HA73" s="519"/>
      <c r="HB73" s="519"/>
      <c r="HC73" s="519"/>
      <c r="HD73" s="519"/>
      <c r="HE73" s="519"/>
      <c r="HF73" s="519"/>
      <c r="HG73" s="519"/>
      <c r="HH73" s="519"/>
      <c r="HI73" s="519"/>
      <c r="HJ73" s="519"/>
      <c r="HK73" s="519"/>
      <c r="HL73" s="519"/>
      <c r="HM73" s="519"/>
      <c r="HN73" s="519"/>
      <c r="HO73" s="519"/>
      <c r="HP73" s="520"/>
      <c r="HQ73" s="521"/>
    </row>
    <row r="74" spans="2:225">
      <c r="B74" s="1131" t="s">
        <v>211</v>
      </c>
      <c r="C74" s="1131"/>
      <c r="D74" s="1131"/>
      <c r="E74" s="1131"/>
      <c r="F74" s="1131"/>
      <c r="G74" s="1131"/>
      <c r="H74" s="1131"/>
      <c r="I74" s="1131"/>
      <c r="J74" s="1131"/>
      <c r="K74" s="1131"/>
      <c r="L74" s="1131"/>
      <c r="M74" s="1131"/>
      <c r="N74" s="1131"/>
      <c r="O74" s="1131"/>
      <c r="P74" s="1131"/>
      <c r="Q74" s="1131"/>
      <c r="R74" s="1131"/>
      <c r="S74" s="1131"/>
      <c r="T74" s="1131"/>
      <c r="U74" s="1131"/>
      <c r="V74" s="1131"/>
      <c r="W74" s="1131"/>
      <c r="X74" s="1131"/>
      <c r="Y74" s="1131"/>
      <c r="Z74" s="1131"/>
      <c r="AA74" s="1131"/>
      <c r="AB74" s="1131"/>
      <c r="AC74" s="1131"/>
      <c r="AD74" s="1131"/>
      <c r="AE74" s="1131"/>
      <c r="AF74" s="1131"/>
      <c r="AG74" s="1131"/>
      <c r="AH74" s="1131"/>
      <c r="AI74" s="1131"/>
      <c r="AJ74" s="1131"/>
      <c r="AK74" s="1131"/>
      <c r="AL74" s="1131"/>
      <c r="AM74" s="1131"/>
      <c r="AN74" s="1131"/>
      <c r="AO74" s="1131"/>
      <c r="AP74" s="1131"/>
      <c r="AQ74" s="1131"/>
      <c r="AR74" s="1131"/>
      <c r="AS74" s="1131"/>
      <c r="AT74" s="1131"/>
      <c r="AU74" s="1131"/>
      <c r="AV74" s="1131"/>
      <c r="AW74" s="1131"/>
      <c r="AX74" s="1131"/>
      <c r="AY74" s="1131"/>
      <c r="AZ74" s="1131"/>
      <c r="BA74" s="1131"/>
      <c r="BB74" s="1131"/>
      <c r="BC74" s="1131"/>
      <c r="BD74" s="1131"/>
      <c r="BE74" s="1131"/>
      <c r="BF74" s="1131"/>
      <c r="BG74" s="1131"/>
      <c r="BH74" s="1131"/>
      <c r="BI74" s="1131"/>
      <c r="BJ74" s="1131"/>
      <c r="BK74" s="1131"/>
      <c r="BL74" s="1131"/>
      <c r="BM74" s="1131"/>
      <c r="BN74" s="1131"/>
      <c r="BO74" s="1131"/>
      <c r="BP74" s="1131"/>
      <c r="BQ74" s="1131"/>
      <c r="BR74" s="1131"/>
      <c r="BS74" s="1131"/>
      <c r="BT74" s="1131"/>
      <c r="BU74" s="1131"/>
      <c r="BV74" s="1131"/>
      <c r="BW74" s="1131"/>
      <c r="BX74" s="1131"/>
      <c r="BY74" s="1131"/>
      <c r="BZ74" s="1131"/>
      <c r="CA74" s="1131"/>
      <c r="CB74" s="1131"/>
      <c r="CC74" s="1131"/>
      <c r="CD74" s="1131"/>
      <c r="CE74" s="1131"/>
      <c r="CF74" s="1131"/>
      <c r="CG74" s="1131"/>
      <c r="CH74" s="1131"/>
      <c r="CI74" s="1131"/>
      <c r="CJ74" s="1131"/>
      <c r="CK74" s="1131"/>
      <c r="CL74" s="1131"/>
      <c r="CM74" s="1131"/>
      <c r="CN74" s="1131"/>
      <c r="CO74" s="1131"/>
      <c r="CP74" s="1131"/>
      <c r="CQ74" s="1131"/>
      <c r="CR74" s="1131"/>
      <c r="CS74" s="1131"/>
      <c r="CT74" s="1131"/>
      <c r="CU74" s="1131"/>
      <c r="CV74" s="1131"/>
      <c r="CW74" s="1131"/>
      <c r="CX74" s="1131"/>
      <c r="CY74" s="1131"/>
      <c r="CZ74" s="1131"/>
      <c r="DA74" s="1131"/>
      <c r="DB74" s="1131"/>
      <c r="DC74" s="1131"/>
      <c r="DD74" s="1131"/>
      <c r="DE74" s="1131"/>
      <c r="DF74" s="1131"/>
      <c r="DG74" s="1131"/>
      <c r="DH74" s="1131"/>
      <c r="DI74" s="1131"/>
      <c r="DJ74" s="1131"/>
      <c r="DK74" s="1131"/>
      <c r="DL74" s="1131"/>
      <c r="DM74" s="1131"/>
      <c r="DN74" s="1131"/>
      <c r="DO74" s="1131"/>
      <c r="DP74" s="1131"/>
      <c r="DQ74" s="1131"/>
      <c r="DR74" s="1131"/>
      <c r="DS74" s="1131"/>
      <c r="DT74" s="1131"/>
      <c r="DU74" s="1131"/>
      <c r="DV74" s="1131"/>
      <c r="DW74" s="1131"/>
      <c r="DX74" s="1131"/>
      <c r="DY74" s="1131"/>
      <c r="DZ74" s="1131"/>
      <c r="EA74" s="1131"/>
      <c r="EB74" s="1131"/>
      <c r="EC74" s="1131"/>
      <c r="ED74" s="1131"/>
      <c r="EE74" s="1131"/>
      <c r="EF74" s="1131"/>
      <c r="EG74" s="1131"/>
      <c r="EH74" s="1131"/>
      <c r="EI74" s="1131"/>
      <c r="EJ74" s="1131"/>
      <c r="EK74" s="1131"/>
      <c r="EL74" s="1131"/>
      <c r="EM74" s="1131"/>
      <c r="EN74" s="1131"/>
      <c r="EO74" s="1131"/>
      <c r="EP74" s="1131"/>
      <c r="EQ74" s="1131"/>
      <c r="ER74" s="1131"/>
      <c r="ES74" s="1131"/>
      <c r="ET74" s="1131"/>
      <c r="EU74" s="1131"/>
      <c r="EV74" s="1131"/>
      <c r="EW74" s="1131"/>
      <c r="EX74" s="1131"/>
      <c r="EY74" s="1131"/>
      <c r="EZ74" s="1131"/>
      <c r="FA74" s="1131"/>
      <c r="FB74" s="1131"/>
      <c r="FC74" s="1131"/>
      <c r="FD74" s="1131"/>
      <c r="FE74" s="1131"/>
      <c r="FF74" s="1131"/>
      <c r="FG74" s="1131"/>
      <c r="FH74" s="1131"/>
      <c r="FI74" s="1131"/>
      <c r="FJ74" s="1131"/>
      <c r="FK74" s="1131"/>
      <c r="FL74" s="1131"/>
      <c r="FM74" s="1131"/>
      <c r="FN74" s="1131"/>
      <c r="FO74" s="1131"/>
      <c r="FP74" s="1131"/>
      <c r="FQ74" s="1131"/>
      <c r="FR74" s="1131"/>
      <c r="FS74" s="1131"/>
      <c r="FT74" s="1131"/>
      <c r="FU74" s="1131"/>
      <c r="FV74" s="1131"/>
      <c r="FW74" s="1131"/>
      <c r="FX74" s="1131"/>
      <c r="FY74" s="1131"/>
      <c r="FZ74" s="1131"/>
      <c r="GA74" s="1131"/>
      <c r="GB74" s="1131"/>
      <c r="GC74" s="1131"/>
      <c r="GD74" s="1131"/>
      <c r="GE74" s="1131"/>
      <c r="GF74" s="1131"/>
      <c r="GG74" s="1131"/>
      <c r="GH74" s="1131"/>
      <c r="GI74" s="1131"/>
      <c r="GJ74" s="1131"/>
      <c r="GK74" s="1131"/>
      <c r="GL74" s="1131"/>
      <c r="GM74" s="1131"/>
      <c r="GN74" s="1131"/>
      <c r="GO74" s="1131"/>
      <c r="GP74" s="1131"/>
      <c r="GQ74" s="1131"/>
      <c r="GR74" s="1131"/>
      <c r="GS74" s="1131"/>
      <c r="GT74" s="1131"/>
      <c r="GU74" s="1131"/>
      <c r="GV74" s="1131" t="s">
        <v>225</v>
      </c>
      <c r="GW74" s="1131"/>
      <c r="GX74" s="1131"/>
      <c r="GY74" s="1131"/>
      <c r="GZ74" s="1131"/>
      <c r="HA74" s="1131"/>
      <c r="HB74" s="1131"/>
      <c r="HC74" s="1131"/>
      <c r="HD74" s="1131"/>
      <c r="HE74" s="1131"/>
      <c r="HF74" s="1131"/>
      <c r="HG74" s="1131"/>
      <c r="HH74" s="1131"/>
      <c r="HI74" s="1131"/>
      <c r="HJ74" s="1131"/>
      <c r="HK74" s="1131"/>
      <c r="HL74" s="1131"/>
      <c r="HM74" s="1131"/>
      <c r="HN74" s="1131"/>
      <c r="HO74" s="1131"/>
      <c r="HP74" s="1131"/>
      <c r="HQ74" s="1131"/>
    </row>
    <row r="75" spans="2:225">
      <c r="B75" s="522" t="s">
        <v>121</v>
      </c>
      <c r="C75" s="522" t="s">
        <v>120</v>
      </c>
      <c r="D75" s="465">
        <f t="shared" ref="D75:F75" si="21">D3</f>
        <v>46099</v>
      </c>
      <c r="E75" s="465">
        <f t="shared" ref="E75" si="22">E3</f>
        <v>46092</v>
      </c>
      <c r="F75" s="465">
        <f t="shared" si="21"/>
        <v>46085</v>
      </c>
      <c r="G75" s="465">
        <f t="shared" ref="G75:O75" si="23">G3</f>
        <v>46078</v>
      </c>
      <c r="H75" s="465">
        <f t="shared" ref="H75" si="24">H3</f>
        <v>46071</v>
      </c>
      <c r="I75" s="465">
        <f>I3</f>
        <v>46057</v>
      </c>
      <c r="J75" s="465">
        <f t="shared" si="23"/>
        <v>46050</v>
      </c>
      <c r="K75" s="465">
        <f t="shared" si="23"/>
        <v>46043</v>
      </c>
      <c r="L75" s="465">
        <f t="shared" si="23"/>
        <v>46036</v>
      </c>
      <c r="M75" s="465">
        <f t="shared" si="23"/>
        <v>46029</v>
      </c>
      <c r="N75" s="465">
        <f t="shared" si="23"/>
        <v>46022</v>
      </c>
      <c r="O75" s="465">
        <f t="shared" si="23"/>
        <v>46015</v>
      </c>
      <c r="P75" s="465">
        <f t="shared" ref="P75:V75" si="25">P3</f>
        <v>46008</v>
      </c>
      <c r="Q75" s="465">
        <f>Q3</f>
        <v>46001</v>
      </c>
      <c r="R75" s="465">
        <f t="shared" si="25"/>
        <v>45994</v>
      </c>
      <c r="S75" s="465">
        <f t="shared" si="25"/>
        <v>45987</v>
      </c>
      <c r="T75" s="465">
        <f t="shared" si="25"/>
        <v>45980</v>
      </c>
      <c r="U75" s="465">
        <f t="shared" si="25"/>
        <v>45973</v>
      </c>
      <c r="V75" s="465">
        <f t="shared" si="25"/>
        <v>45966</v>
      </c>
      <c r="W75" s="465">
        <f t="shared" ref="W75:AF75" si="26">W3</f>
        <v>45959</v>
      </c>
      <c r="X75" s="465">
        <f>X3</f>
        <v>45952</v>
      </c>
      <c r="Y75" s="465">
        <f>Y3</f>
        <v>45945</v>
      </c>
      <c r="Z75" s="465">
        <f>Z3</f>
        <v>45938</v>
      </c>
      <c r="AA75" s="465">
        <f>AA3</f>
        <v>45931</v>
      </c>
      <c r="AB75" s="465">
        <f t="shared" si="26"/>
        <v>45924</v>
      </c>
      <c r="AC75" s="465">
        <f t="shared" si="26"/>
        <v>45917</v>
      </c>
      <c r="AD75" s="465">
        <f t="shared" si="26"/>
        <v>45910</v>
      </c>
      <c r="AE75" s="465">
        <f t="shared" si="26"/>
        <v>45903</v>
      </c>
      <c r="AF75" s="465">
        <f t="shared" si="26"/>
        <v>45896</v>
      </c>
      <c r="AG75" s="465">
        <f t="shared" ref="AG75:CR75" si="27">AG3</f>
        <v>45889</v>
      </c>
      <c r="AH75" s="465">
        <f t="shared" si="27"/>
        <v>45882</v>
      </c>
      <c r="AI75" s="465">
        <f t="shared" si="27"/>
        <v>45875</v>
      </c>
      <c r="AJ75" s="465">
        <f t="shared" si="27"/>
        <v>45868</v>
      </c>
      <c r="AK75" s="465">
        <f t="shared" si="27"/>
        <v>45861</v>
      </c>
      <c r="AL75" s="465">
        <f t="shared" si="27"/>
        <v>45854</v>
      </c>
      <c r="AM75" s="465">
        <f t="shared" si="27"/>
        <v>45847</v>
      </c>
      <c r="AN75" s="465">
        <f t="shared" si="27"/>
        <v>45840</v>
      </c>
      <c r="AO75" s="465">
        <f t="shared" si="27"/>
        <v>45833</v>
      </c>
      <c r="AP75" s="465">
        <f t="shared" si="27"/>
        <v>45826</v>
      </c>
      <c r="AQ75" s="465">
        <f t="shared" si="27"/>
        <v>45819</v>
      </c>
      <c r="AR75" s="465">
        <f t="shared" si="27"/>
        <v>45812</v>
      </c>
      <c r="AS75" s="465">
        <f t="shared" si="27"/>
        <v>45805</v>
      </c>
      <c r="AT75" s="465">
        <f t="shared" si="27"/>
        <v>45798</v>
      </c>
      <c r="AU75" s="465">
        <f t="shared" si="27"/>
        <v>45792</v>
      </c>
      <c r="AV75" s="465">
        <f t="shared" si="27"/>
        <v>38480</v>
      </c>
      <c r="AW75" s="465">
        <f t="shared" si="27"/>
        <v>45777</v>
      </c>
      <c r="AX75" s="465">
        <f t="shared" si="27"/>
        <v>45757</v>
      </c>
      <c r="AY75" s="465">
        <f t="shared" si="27"/>
        <v>45750</v>
      </c>
      <c r="AZ75" s="465">
        <f t="shared" si="27"/>
        <v>45742</v>
      </c>
      <c r="BA75" s="465">
        <f t="shared" si="27"/>
        <v>45736</v>
      </c>
      <c r="BB75" s="465">
        <f t="shared" si="27"/>
        <v>45729</v>
      </c>
      <c r="BC75" s="465">
        <f t="shared" si="27"/>
        <v>45722</v>
      </c>
      <c r="BD75" s="465">
        <f t="shared" si="27"/>
        <v>45715</v>
      </c>
      <c r="BE75" s="465">
        <f t="shared" si="27"/>
        <v>45708</v>
      </c>
      <c r="BF75" s="465">
        <f t="shared" si="27"/>
        <v>45701</v>
      </c>
      <c r="BG75" s="465">
        <f t="shared" si="27"/>
        <v>46092</v>
      </c>
      <c r="BH75" s="465">
        <f t="shared" si="27"/>
        <v>45688</v>
      </c>
      <c r="BI75" s="465">
        <f t="shared" si="27"/>
        <v>45681</v>
      </c>
      <c r="BJ75" s="465">
        <f t="shared" si="27"/>
        <v>45673</v>
      </c>
      <c r="BK75" s="465">
        <f t="shared" si="27"/>
        <v>45666</v>
      </c>
      <c r="BL75" s="465">
        <f t="shared" si="27"/>
        <v>45659</v>
      </c>
      <c r="BM75" s="465">
        <f t="shared" si="27"/>
        <v>45652</v>
      </c>
      <c r="BN75" s="465">
        <f t="shared" si="27"/>
        <v>45645</v>
      </c>
      <c r="BO75" s="465">
        <f t="shared" si="27"/>
        <v>45638</v>
      </c>
      <c r="BP75" s="465">
        <f t="shared" si="27"/>
        <v>45631</v>
      </c>
      <c r="BQ75" s="465">
        <f t="shared" si="27"/>
        <v>45625</v>
      </c>
      <c r="BR75" s="465">
        <f t="shared" si="27"/>
        <v>45617</v>
      </c>
      <c r="BS75" s="465">
        <f t="shared" si="27"/>
        <v>45610</v>
      </c>
      <c r="BT75" s="465">
        <f t="shared" si="27"/>
        <v>45603</v>
      </c>
      <c r="BU75" s="465">
        <f t="shared" si="27"/>
        <v>45595</v>
      </c>
      <c r="BV75" s="465">
        <f t="shared" si="27"/>
        <v>45591</v>
      </c>
      <c r="BW75" s="465">
        <f t="shared" si="27"/>
        <v>45582</v>
      </c>
      <c r="BX75" s="465">
        <f t="shared" si="27"/>
        <v>45575</v>
      </c>
      <c r="BY75" s="465">
        <f t="shared" si="27"/>
        <v>45568</v>
      </c>
      <c r="BZ75" s="465">
        <f t="shared" si="27"/>
        <v>45561</v>
      </c>
      <c r="CA75" s="465">
        <f t="shared" si="27"/>
        <v>45554</v>
      </c>
      <c r="CB75" s="465">
        <f t="shared" si="27"/>
        <v>45547</v>
      </c>
      <c r="CC75" s="465">
        <f t="shared" si="27"/>
        <v>45540</v>
      </c>
      <c r="CD75" s="465">
        <f t="shared" si="27"/>
        <v>45533</v>
      </c>
      <c r="CE75" s="465">
        <f t="shared" si="27"/>
        <v>45526</v>
      </c>
      <c r="CF75" s="465">
        <f t="shared" si="27"/>
        <v>45517</v>
      </c>
      <c r="CG75" s="465">
        <f t="shared" si="27"/>
        <v>45511</v>
      </c>
      <c r="CH75" s="465">
        <f t="shared" si="27"/>
        <v>45505</v>
      </c>
      <c r="CI75" s="465">
        <f t="shared" si="27"/>
        <v>45498</v>
      </c>
      <c r="CJ75" s="465">
        <f t="shared" si="27"/>
        <v>45492</v>
      </c>
      <c r="CK75" s="465">
        <f t="shared" si="27"/>
        <v>45484</v>
      </c>
      <c r="CL75" s="465">
        <f t="shared" si="27"/>
        <v>45477</v>
      </c>
      <c r="CM75" s="465">
        <f t="shared" si="27"/>
        <v>45470</v>
      </c>
      <c r="CN75" s="465">
        <f t="shared" si="27"/>
        <v>45463</v>
      </c>
      <c r="CO75" s="465">
        <f t="shared" si="27"/>
        <v>45456</v>
      </c>
      <c r="CP75" s="465">
        <f t="shared" si="27"/>
        <v>45449</v>
      </c>
      <c r="CQ75" s="465">
        <f t="shared" si="27"/>
        <v>45442</v>
      </c>
      <c r="CR75" s="465">
        <f t="shared" si="27"/>
        <v>45435</v>
      </c>
      <c r="CS75" s="465">
        <f t="shared" ref="CS75:FD75" si="28">CS3</f>
        <v>45428</v>
      </c>
      <c r="CT75" s="465">
        <f t="shared" si="28"/>
        <v>45421</v>
      </c>
      <c r="CU75" s="465">
        <f t="shared" si="28"/>
        <v>45414</v>
      </c>
      <c r="CV75" s="465">
        <f t="shared" si="28"/>
        <v>45407</v>
      </c>
      <c r="CW75" s="465">
        <f t="shared" si="28"/>
        <v>45400</v>
      </c>
      <c r="CX75" s="465">
        <f t="shared" si="28"/>
        <v>45393</v>
      </c>
      <c r="CY75" s="465">
        <f t="shared" si="28"/>
        <v>45386</v>
      </c>
      <c r="CZ75" s="465">
        <f t="shared" si="28"/>
        <v>45378</v>
      </c>
      <c r="DA75" s="465">
        <f t="shared" si="28"/>
        <v>45372</v>
      </c>
      <c r="DB75" s="465">
        <f t="shared" si="28"/>
        <v>45365</v>
      </c>
      <c r="DC75" s="465">
        <f t="shared" si="28"/>
        <v>45358</v>
      </c>
      <c r="DD75" s="465">
        <f t="shared" si="28"/>
        <v>45351</v>
      </c>
      <c r="DE75" s="465">
        <f t="shared" si="28"/>
        <v>45343</v>
      </c>
      <c r="DF75" s="465">
        <f t="shared" si="28"/>
        <v>45336</v>
      </c>
      <c r="DG75" s="465">
        <f t="shared" si="28"/>
        <v>45329</v>
      </c>
      <c r="DH75" s="465">
        <f t="shared" si="28"/>
        <v>45323</v>
      </c>
      <c r="DI75" s="465">
        <f t="shared" si="28"/>
        <v>45316</v>
      </c>
      <c r="DJ75" s="465">
        <f t="shared" si="28"/>
        <v>45309</v>
      </c>
      <c r="DK75" s="465">
        <f t="shared" si="28"/>
        <v>45302</v>
      </c>
      <c r="DL75" s="465">
        <f t="shared" si="28"/>
        <v>45295</v>
      </c>
      <c r="DM75" s="465">
        <f t="shared" si="28"/>
        <v>45288</v>
      </c>
      <c r="DN75" s="465">
        <f t="shared" si="28"/>
        <v>45281</v>
      </c>
      <c r="DO75" s="465">
        <f t="shared" si="28"/>
        <v>45274</v>
      </c>
      <c r="DP75" s="465">
        <f t="shared" si="28"/>
        <v>45267</v>
      </c>
      <c r="DQ75" s="465">
        <f t="shared" si="28"/>
        <v>45260</v>
      </c>
      <c r="DR75" s="465">
        <f t="shared" si="28"/>
        <v>45253</v>
      </c>
      <c r="DS75" s="465">
        <f t="shared" si="28"/>
        <v>45246</v>
      </c>
      <c r="DT75" s="465">
        <f t="shared" si="28"/>
        <v>45239</v>
      </c>
      <c r="DU75" s="465">
        <f t="shared" si="28"/>
        <v>45232</v>
      </c>
      <c r="DV75" s="465">
        <f t="shared" si="28"/>
        <v>45225</v>
      </c>
      <c r="DW75" s="465">
        <f t="shared" si="28"/>
        <v>45218</v>
      </c>
      <c r="DX75" s="465">
        <f t="shared" si="28"/>
        <v>45211</v>
      </c>
      <c r="DY75" s="465">
        <f t="shared" si="28"/>
        <v>45197</v>
      </c>
      <c r="DZ75" s="465">
        <f t="shared" si="28"/>
        <v>45190</v>
      </c>
      <c r="EA75" s="465">
        <f t="shared" si="28"/>
        <v>45183</v>
      </c>
      <c r="EB75" s="465">
        <f t="shared" si="28"/>
        <v>45176</v>
      </c>
      <c r="EC75" s="465">
        <f t="shared" si="28"/>
        <v>45168</v>
      </c>
      <c r="ED75" s="465">
        <f t="shared" si="28"/>
        <v>45162</v>
      </c>
      <c r="EE75" s="465">
        <f t="shared" si="28"/>
        <v>45155</v>
      </c>
      <c r="EF75" s="465">
        <f t="shared" si="28"/>
        <v>45148</v>
      </c>
      <c r="EG75" s="465">
        <f t="shared" si="28"/>
        <v>45141</v>
      </c>
      <c r="EH75" s="465">
        <f t="shared" si="28"/>
        <v>45134</v>
      </c>
      <c r="EI75" s="465">
        <f t="shared" si="28"/>
        <v>44839</v>
      </c>
      <c r="EJ75" s="465">
        <f t="shared" si="28"/>
        <v>44831</v>
      </c>
      <c r="EK75" s="465">
        <f t="shared" si="28"/>
        <v>44826</v>
      </c>
      <c r="EL75" s="465">
        <f t="shared" si="28"/>
        <v>44818</v>
      </c>
      <c r="EM75" s="465">
        <f t="shared" si="28"/>
        <v>44811</v>
      </c>
      <c r="EN75" s="465">
        <f t="shared" si="28"/>
        <v>45070</v>
      </c>
      <c r="EO75" s="465">
        <f t="shared" si="28"/>
        <v>45063</v>
      </c>
      <c r="EP75" s="465">
        <f t="shared" si="28"/>
        <v>45056</v>
      </c>
      <c r="EQ75" s="465">
        <f t="shared" si="28"/>
        <v>45050</v>
      </c>
      <c r="ER75" s="465">
        <f t="shared" si="28"/>
        <v>45042</v>
      </c>
      <c r="ES75" s="465">
        <f t="shared" si="28"/>
        <v>45035</v>
      </c>
      <c r="ET75" s="465">
        <f t="shared" si="28"/>
        <v>45028</v>
      </c>
      <c r="EU75" s="465">
        <f t="shared" si="28"/>
        <v>45020</v>
      </c>
      <c r="EV75" s="465">
        <f t="shared" si="28"/>
        <v>45014</v>
      </c>
      <c r="EW75" s="465">
        <f t="shared" si="28"/>
        <v>45008</v>
      </c>
      <c r="EX75" s="465">
        <f t="shared" si="28"/>
        <v>45002</v>
      </c>
      <c r="EY75" s="465">
        <f t="shared" si="28"/>
        <v>45000</v>
      </c>
      <c r="EZ75" s="465">
        <f t="shared" si="28"/>
        <v>44993</v>
      </c>
      <c r="FA75" s="465">
        <f t="shared" si="28"/>
        <v>44986</v>
      </c>
      <c r="FB75" s="465">
        <f t="shared" si="28"/>
        <v>44979</v>
      </c>
      <c r="FC75" s="465">
        <f t="shared" si="28"/>
        <v>44972</v>
      </c>
      <c r="FD75" s="465">
        <f t="shared" si="28"/>
        <v>44965</v>
      </c>
      <c r="FE75" s="465">
        <f t="shared" ref="FE75:HO75" si="29">FE3</f>
        <v>44958</v>
      </c>
      <c r="FF75" s="465">
        <f t="shared" si="29"/>
        <v>44951</v>
      </c>
      <c r="FG75" s="465">
        <f t="shared" si="29"/>
        <v>44944</v>
      </c>
      <c r="FH75" s="465">
        <f t="shared" si="29"/>
        <v>44937</v>
      </c>
      <c r="FI75" s="465">
        <f t="shared" si="29"/>
        <v>44930</v>
      </c>
      <c r="FJ75" s="465">
        <f t="shared" si="29"/>
        <v>44923</v>
      </c>
      <c r="FK75" s="465">
        <f t="shared" si="29"/>
        <v>44916</v>
      </c>
      <c r="FL75" s="465">
        <f t="shared" si="29"/>
        <v>44910</v>
      </c>
      <c r="FM75" s="465">
        <f t="shared" si="29"/>
        <v>44902</v>
      </c>
      <c r="FN75" s="465">
        <f t="shared" si="29"/>
        <v>44896</v>
      </c>
      <c r="FO75" s="465">
        <f t="shared" si="29"/>
        <v>44888</v>
      </c>
      <c r="FP75" s="465">
        <f t="shared" si="29"/>
        <v>44881</v>
      </c>
      <c r="FQ75" s="465">
        <f t="shared" si="29"/>
        <v>44874</v>
      </c>
      <c r="FR75" s="465">
        <f t="shared" si="29"/>
        <v>44868</v>
      </c>
      <c r="FS75" s="465">
        <f t="shared" si="29"/>
        <v>44860</v>
      </c>
      <c r="FT75" s="465">
        <f t="shared" si="29"/>
        <v>44853</v>
      </c>
      <c r="FU75" s="465">
        <f t="shared" si="29"/>
        <v>44846</v>
      </c>
      <c r="FV75" s="465">
        <f t="shared" si="29"/>
        <v>45085</v>
      </c>
      <c r="FW75" s="465">
        <f t="shared" si="29"/>
        <v>45076</v>
      </c>
      <c r="FX75" s="465">
        <f t="shared" si="29"/>
        <v>45127</v>
      </c>
      <c r="FY75" s="465">
        <f t="shared" si="29"/>
        <v>45120</v>
      </c>
      <c r="FZ75" s="465">
        <f t="shared" si="29"/>
        <v>45113</v>
      </c>
      <c r="GA75" s="465">
        <f t="shared" si="29"/>
        <v>45105</v>
      </c>
      <c r="GB75" s="465">
        <f t="shared" si="29"/>
        <v>45099</v>
      </c>
      <c r="GC75" s="465">
        <f t="shared" si="29"/>
        <v>45092</v>
      </c>
      <c r="GD75" s="465">
        <f t="shared" si="29"/>
        <v>44803</v>
      </c>
      <c r="GE75" s="465">
        <f t="shared" si="29"/>
        <v>44797</v>
      </c>
      <c r="GF75" s="465">
        <f t="shared" si="29"/>
        <v>44790</v>
      </c>
      <c r="GG75" s="465">
        <f t="shared" si="29"/>
        <v>44783</v>
      </c>
      <c r="GH75" s="465">
        <f t="shared" si="29"/>
        <v>44776</v>
      </c>
      <c r="GI75" s="465">
        <f t="shared" si="29"/>
        <v>44769</v>
      </c>
      <c r="GJ75" s="465">
        <f t="shared" si="29"/>
        <v>44762</v>
      </c>
      <c r="GK75" s="465">
        <f t="shared" si="29"/>
        <v>44755</v>
      </c>
      <c r="GL75" s="465">
        <f t="shared" si="29"/>
        <v>44748</v>
      </c>
      <c r="GM75" s="465">
        <f t="shared" si="29"/>
        <v>44741</v>
      </c>
      <c r="GN75" s="465">
        <f t="shared" si="29"/>
        <v>44733</v>
      </c>
      <c r="GO75" s="465">
        <f t="shared" si="29"/>
        <v>44727</v>
      </c>
      <c r="GP75" s="465">
        <f t="shared" si="29"/>
        <v>44720</v>
      </c>
      <c r="GQ75" s="465">
        <f t="shared" si="29"/>
        <v>44713</v>
      </c>
      <c r="GR75" s="465">
        <f t="shared" si="29"/>
        <v>44706</v>
      </c>
      <c r="GS75" s="465">
        <f t="shared" si="29"/>
        <v>44699</v>
      </c>
      <c r="GT75" s="465">
        <f t="shared" si="29"/>
        <v>44690</v>
      </c>
      <c r="GU75" s="465">
        <f t="shared" si="29"/>
        <v>44687</v>
      </c>
      <c r="GV75" s="465">
        <f t="shared" si="29"/>
        <v>44685</v>
      </c>
      <c r="GW75" s="465">
        <f t="shared" si="29"/>
        <v>44678</v>
      </c>
      <c r="GX75" s="465">
        <f t="shared" si="29"/>
        <v>44670</v>
      </c>
      <c r="GY75" s="465">
        <f t="shared" si="29"/>
        <v>44663</v>
      </c>
      <c r="GZ75" s="465">
        <f t="shared" si="29"/>
        <v>44662</v>
      </c>
      <c r="HA75" s="465">
        <f t="shared" si="29"/>
        <v>44659</v>
      </c>
      <c r="HB75" s="465">
        <f t="shared" si="29"/>
        <v>44657</v>
      </c>
      <c r="HC75" s="465">
        <f t="shared" si="29"/>
        <v>44656</v>
      </c>
      <c r="HD75" s="465">
        <f t="shared" si="29"/>
        <v>44655</v>
      </c>
      <c r="HE75" s="465">
        <f t="shared" si="29"/>
        <v>44652</v>
      </c>
      <c r="HF75" s="465">
        <f t="shared" si="29"/>
        <v>44650</v>
      </c>
      <c r="HG75" s="465">
        <f t="shared" si="29"/>
        <v>44649</v>
      </c>
      <c r="HH75" s="465">
        <f t="shared" si="29"/>
        <v>44648</v>
      </c>
      <c r="HI75" s="465">
        <f t="shared" si="29"/>
        <v>44645</v>
      </c>
      <c r="HJ75" s="465">
        <f t="shared" si="29"/>
        <v>44644</v>
      </c>
      <c r="HK75" s="465">
        <f t="shared" si="29"/>
        <v>44642</v>
      </c>
      <c r="HL75" s="465">
        <f t="shared" si="29"/>
        <v>44641</v>
      </c>
      <c r="HM75" s="465">
        <f t="shared" si="29"/>
        <v>44638</v>
      </c>
      <c r="HN75" s="465">
        <f t="shared" si="29"/>
        <v>44637</v>
      </c>
      <c r="HO75" s="465">
        <f t="shared" si="29"/>
        <v>44636</v>
      </c>
      <c r="HP75" s="523" t="s">
        <v>113</v>
      </c>
      <c r="HQ75" s="469" t="s">
        <v>223</v>
      </c>
    </row>
    <row r="76" spans="2:225">
      <c r="B76" s="1129" t="s">
        <v>37</v>
      </c>
      <c r="C76" s="730" t="s">
        <v>256</v>
      </c>
      <c r="D76" s="500">
        <v>2.9499999999999998E-2</v>
      </c>
      <c r="E76" s="500">
        <v>2.9499999999999998E-2</v>
      </c>
      <c r="F76" s="500">
        <v>2.9499999999999998E-2</v>
      </c>
      <c r="G76" s="500">
        <v>2.9499999999999998E-2</v>
      </c>
      <c r="H76" s="502">
        <v>2.9499999999999998E-2</v>
      </c>
      <c r="I76" s="502">
        <v>0.03</v>
      </c>
      <c r="J76" s="500">
        <v>2.9499999999999998E-2</v>
      </c>
      <c r="K76" s="500">
        <v>2.9499999999999998E-2</v>
      </c>
      <c r="L76" s="500">
        <v>2.9499999999999998E-2</v>
      </c>
      <c r="M76" s="502">
        <v>2.9499999999999998E-2</v>
      </c>
      <c r="N76" s="500">
        <v>0.03</v>
      </c>
      <c r="O76" s="500">
        <v>0.03</v>
      </c>
      <c r="P76" s="502">
        <v>0.03</v>
      </c>
      <c r="Q76" s="500">
        <v>3.0499999999999999E-2</v>
      </c>
      <c r="R76" s="502">
        <v>3.0499999999999999E-2</v>
      </c>
      <c r="S76" s="502">
        <v>3.1E-2</v>
      </c>
      <c r="T76" s="501">
        <v>3.15E-2</v>
      </c>
      <c r="U76" s="501">
        <v>3.15E-2</v>
      </c>
      <c r="V76" s="502">
        <v>3.15E-2</v>
      </c>
      <c r="W76" s="493">
        <v>3.1E-2</v>
      </c>
      <c r="X76" s="493">
        <v>3.2000000000000001E-2</v>
      </c>
      <c r="Y76" s="476">
        <v>3.2500000000000001E-2</v>
      </c>
      <c r="Z76" s="493">
        <v>3.2500000000000001E-2</v>
      </c>
      <c r="AA76" s="476">
        <v>3.3000000000000002E-2</v>
      </c>
      <c r="AB76" s="493">
        <v>3.3000000000000002E-2</v>
      </c>
      <c r="AC76" s="502">
        <v>3.3500000000000002E-2</v>
      </c>
      <c r="AD76" s="502">
        <v>3.4500000000000003E-2</v>
      </c>
      <c r="AE76" s="500">
        <v>3.5000000000000003E-2</v>
      </c>
      <c r="AF76" s="502">
        <v>3.5000000000000003E-2</v>
      </c>
      <c r="AG76" s="502">
        <v>3.5999999999999997E-2</v>
      </c>
      <c r="AH76" s="476">
        <v>3.6499999999999998E-2</v>
      </c>
      <c r="AI76" s="493">
        <v>3.6499999999999998E-2</v>
      </c>
      <c r="AJ76" s="493">
        <v>3.6999999999999998E-2</v>
      </c>
      <c r="AK76" s="476">
        <v>3.7499999999999999E-2</v>
      </c>
      <c r="AL76" s="477">
        <v>3.7499999999999999E-2</v>
      </c>
      <c r="AM76" s="476">
        <v>3.7499999999999999E-2</v>
      </c>
      <c r="AN76" s="476">
        <v>3.7499999999999999E-2</v>
      </c>
      <c r="AO76" s="476">
        <v>3.7499999999999999E-2</v>
      </c>
      <c r="AP76" s="493">
        <v>3.7499999999999999E-2</v>
      </c>
      <c r="AQ76" s="476">
        <v>3.6999999999999998E-2</v>
      </c>
      <c r="AR76" s="476">
        <v>3.6999999999999998E-2</v>
      </c>
      <c r="AS76" s="476">
        <v>3.6999999999999998E-2</v>
      </c>
      <c r="AT76" s="476">
        <v>3.6999999999999998E-2</v>
      </c>
      <c r="AU76" s="476">
        <v>3.6999999999999998E-2</v>
      </c>
      <c r="AV76" s="493">
        <v>3.6999999999999998E-2</v>
      </c>
      <c r="AW76" s="477">
        <v>3.7499999999999999E-2</v>
      </c>
      <c r="AX76" s="477">
        <v>3.7499999999999999E-2</v>
      </c>
      <c r="AY76" s="477">
        <v>3.7499999999999999E-2</v>
      </c>
      <c r="AZ76" s="477">
        <v>3.7499999999999999E-2</v>
      </c>
      <c r="BA76" s="477">
        <v>3.7499999999999999E-2</v>
      </c>
      <c r="BB76" s="477">
        <v>3.7499999999999999E-2</v>
      </c>
      <c r="BC76" s="477">
        <v>3.7499999999999999E-2</v>
      </c>
      <c r="BD76" s="477">
        <v>3.7499999999999999E-2</v>
      </c>
      <c r="BE76" s="477">
        <v>3.7499999999999999E-2</v>
      </c>
      <c r="BF76" s="477">
        <v>3.7499999999999999E-2</v>
      </c>
      <c r="BG76" s="477">
        <v>3.7499999999999999E-2</v>
      </c>
      <c r="BH76" s="477">
        <v>3.7999999999999999E-2</v>
      </c>
      <c r="BI76" s="477">
        <v>3.7999999999999999E-2</v>
      </c>
      <c r="BJ76" s="477">
        <v>3.7999999999999999E-2</v>
      </c>
      <c r="BK76" s="477">
        <v>3.7999999999999999E-2</v>
      </c>
      <c r="BL76" s="477">
        <v>3.7999999999999999E-2</v>
      </c>
      <c r="BM76" s="477">
        <v>3.7999999999999999E-2</v>
      </c>
      <c r="BN76" s="477">
        <v>3.7999999999999999E-2</v>
      </c>
      <c r="BO76" s="477">
        <v>3.95E-2</v>
      </c>
      <c r="BP76" s="477">
        <v>3.95E-2</v>
      </c>
      <c r="BQ76" s="477">
        <v>3.95E-2</v>
      </c>
      <c r="BR76" s="477">
        <v>3.95E-2</v>
      </c>
      <c r="BS76" s="477">
        <v>0.04</v>
      </c>
      <c r="BT76" s="477">
        <v>0.04</v>
      </c>
      <c r="BU76" s="477">
        <v>4.0500000000000001E-2</v>
      </c>
      <c r="BV76" s="477">
        <v>4.1000000000000002E-2</v>
      </c>
      <c r="BW76" s="477">
        <v>4.1000000000000002E-2</v>
      </c>
      <c r="BX76" s="477">
        <v>4.1000000000000002E-2</v>
      </c>
      <c r="BY76" s="477">
        <v>4.1000000000000002E-2</v>
      </c>
      <c r="BZ76" s="477">
        <v>4.1000000000000002E-2</v>
      </c>
      <c r="CA76" s="477">
        <v>0.04</v>
      </c>
      <c r="CB76" s="477">
        <v>4.4499999999999998E-2</v>
      </c>
      <c r="CC76" s="477">
        <v>4.5499999999999999E-2</v>
      </c>
      <c r="CD76" s="477">
        <v>4.5499999999999999E-2</v>
      </c>
      <c r="CE76" s="477">
        <v>4.5999999999999999E-2</v>
      </c>
      <c r="CF76" s="477">
        <v>4.5999999999999999E-2</v>
      </c>
      <c r="CG76" s="477">
        <v>4.7E-2</v>
      </c>
      <c r="CH76" s="477">
        <v>4.7500000000000001E-2</v>
      </c>
      <c r="CI76" s="477">
        <v>4.7500000000000001E-2</v>
      </c>
      <c r="CJ76" s="477">
        <v>4.8000000000000001E-2</v>
      </c>
      <c r="CK76" s="477">
        <v>4.8000000000000001E-2</v>
      </c>
      <c r="CL76" s="477">
        <v>4.8000000000000001E-2</v>
      </c>
      <c r="CM76" s="477">
        <v>4.8000000000000001E-2</v>
      </c>
      <c r="CN76" s="477">
        <v>4.8000000000000001E-2</v>
      </c>
      <c r="CO76" s="477">
        <v>4.8000000000000001E-2</v>
      </c>
      <c r="CP76" s="477">
        <v>4.7500000000000001E-2</v>
      </c>
      <c r="CQ76" s="477">
        <v>4.7500000000000001E-2</v>
      </c>
      <c r="CR76" s="477">
        <v>4.7500000000000001E-2</v>
      </c>
      <c r="CS76" s="477">
        <v>4.7500000000000001E-2</v>
      </c>
      <c r="CT76" s="477">
        <v>4.7500000000000001E-2</v>
      </c>
      <c r="CU76" s="477">
        <v>4.7500000000000001E-2</v>
      </c>
      <c r="CV76" s="477">
        <v>4.7500000000000001E-2</v>
      </c>
      <c r="CW76" s="477">
        <v>4.7500000000000001E-2</v>
      </c>
      <c r="CX76" s="477">
        <v>4.7500000000000001E-2</v>
      </c>
      <c r="CY76" s="477">
        <v>4.7E-2</v>
      </c>
      <c r="CZ76" s="477">
        <v>4.7E-2</v>
      </c>
      <c r="DA76" s="477">
        <v>4.7E-2</v>
      </c>
      <c r="DB76" s="477">
        <v>4.7E-2</v>
      </c>
      <c r="DC76" s="477">
        <v>4.7E-2</v>
      </c>
      <c r="DD76" s="477">
        <v>4.7E-2</v>
      </c>
      <c r="DE76" s="477">
        <v>4.7E-2</v>
      </c>
      <c r="DF76" s="477">
        <v>4.7E-2</v>
      </c>
      <c r="DG76" s="477">
        <v>4.7E-2</v>
      </c>
      <c r="DH76" s="477">
        <v>4.7E-2</v>
      </c>
      <c r="DI76" s="477">
        <v>4.7E-2</v>
      </c>
      <c r="DJ76" s="477">
        <v>4.7E-2</v>
      </c>
      <c r="DK76" s="477">
        <v>4.7E-2</v>
      </c>
      <c r="DL76" s="477">
        <v>4.7500000000000001E-2</v>
      </c>
      <c r="DM76" s="477">
        <v>4.8500000000000001E-2</v>
      </c>
      <c r="DN76" s="477">
        <v>4.8500000000000001E-2</v>
      </c>
      <c r="DO76" s="477">
        <v>4.8500000000000001E-2</v>
      </c>
      <c r="DP76" s="477">
        <v>4.8500000000000001E-2</v>
      </c>
      <c r="DQ76" s="477">
        <v>4.8500000000000001E-2</v>
      </c>
      <c r="DR76" s="477">
        <v>4.8500000000000001E-2</v>
      </c>
      <c r="DS76" s="477">
        <v>4.8500000000000001E-2</v>
      </c>
      <c r="DT76" s="477">
        <v>4.9000000000000002E-2</v>
      </c>
      <c r="DU76" s="477">
        <v>4.9500000000000002E-2</v>
      </c>
      <c r="DV76" s="477">
        <v>4.9500000000000002E-2</v>
      </c>
      <c r="DW76" s="477">
        <v>4.9500000000000002E-2</v>
      </c>
      <c r="DX76" s="477">
        <v>4.9500000000000002E-2</v>
      </c>
      <c r="DY76" s="477">
        <v>4.8000000000000001E-2</v>
      </c>
      <c r="DZ76" s="477">
        <v>4.8000000000000001E-2</v>
      </c>
      <c r="EA76" s="477">
        <v>4.7500000000000001E-2</v>
      </c>
      <c r="EB76" s="477">
        <v>4.7500000000000001E-2</v>
      </c>
      <c r="EC76" s="477">
        <v>4.7500000000000001E-2</v>
      </c>
      <c r="ED76" s="477">
        <v>4.7500000000000001E-2</v>
      </c>
      <c r="EE76" s="477">
        <v>4.7500000000000001E-2</v>
      </c>
      <c r="EF76" s="477">
        <v>4.7500000000000001E-2</v>
      </c>
      <c r="EG76" s="477">
        <v>4.7500000000000001E-2</v>
      </c>
      <c r="EH76" s="477">
        <v>4.7500000000000001E-2</v>
      </c>
      <c r="EI76" s="477">
        <v>3.2500000000000001E-2</v>
      </c>
      <c r="EJ76" s="477">
        <v>3.0499999999999999E-2</v>
      </c>
      <c r="EK76" s="477">
        <v>3.0499999999999999E-2</v>
      </c>
      <c r="EL76" s="477">
        <v>2.6499999999999999E-2</v>
      </c>
      <c r="EM76" s="477">
        <v>2.5499999999999998E-2</v>
      </c>
      <c r="EN76" s="477">
        <v>4.5499999999999999E-2</v>
      </c>
      <c r="EO76" s="477">
        <v>4.4999999999999998E-2</v>
      </c>
      <c r="EP76" s="477">
        <v>4.4999999999999998E-2</v>
      </c>
      <c r="EQ76" s="477">
        <v>4.4999999999999998E-2</v>
      </c>
      <c r="ER76" s="477">
        <v>4.4499999999999998E-2</v>
      </c>
      <c r="ES76" s="477">
        <v>4.4499999999999998E-2</v>
      </c>
      <c r="ET76" s="477">
        <v>4.3999999999999997E-2</v>
      </c>
      <c r="EU76" s="477">
        <v>4.3999999999999997E-2</v>
      </c>
      <c r="EV76" s="477">
        <v>4.3499999999999997E-2</v>
      </c>
      <c r="EW76" s="477">
        <v>4.2000000000000003E-2</v>
      </c>
      <c r="EX76" s="477">
        <v>4.1500000000000002E-2</v>
      </c>
      <c r="EY76" s="477">
        <v>4.1500000000000002E-2</v>
      </c>
      <c r="EZ76" s="477">
        <v>4.2500000000000003E-2</v>
      </c>
      <c r="FA76" s="477">
        <v>4.1000000000000002E-2</v>
      </c>
      <c r="FB76" s="477">
        <v>4.1000000000000002E-2</v>
      </c>
      <c r="FC76" s="477">
        <v>4.1000000000000002E-2</v>
      </c>
      <c r="FD76" s="477">
        <v>4.1000000000000002E-2</v>
      </c>
      <c r="FE76" s="477">
        <v>4.0500000000000001E-2</v>
      </c>
      <c r="FF76" s="477">
        <v>4.0500000000000001E-2</v>
      </c>
      <c r="FG76" s="477">
        <v>4.0500000000000001E-2</v>
      </c>
      <c r="FH76" s="477">
        <v>3.85E-2</v>
      </c>
      <c r="FI76" s="477">
        <v>3.85E-2</v>
      </c>
      <c r="FJ76" s="477">
        <v>0.04</v>
      </c>
      <c r="FK76" s="477">
        <v>4.1000000000000002E-2</v>
      </c>
      <c r="FL76" s="477">
        <v>4.1000000000000002E-2</v>
      </c>
      <c r="FM76" s="477">
        <v>4.1000000000000002E-2</v>
      </c>
      <c r="FN76" s="477">
        <v>4.1500000000000002E-2</v>
      </c>
      <c r="FO76" s="477">
        <v>0.04</v>
      </c>
      <c r="FP76" s="477">
        <v>3.95E-2</v>
      </c>
      <c r="FQ76" s="477">
        <v>3.9E-2</v>
      </c>
      <c r="FR76" s="477">
        <v>3.7499999999999999E-2</v>
      </c>
      <c r="FS76" s="477">
        <v>3.6499999999999998E-2</v>
      </c>
      <c r="FT76" s="477">
        <v>3.5499999999999997E-2</v>
      </c>
      <c r="FU76" s="477">
        <v>3.2500000000000001E-2</v>
      </c>
      <c r="FV76" s="477">
        <v>4.65E-2</v>
      </c>
      <c r="FW76" s="477">
        <v>4.65E-2</v>
      </c>
      <c r="FX76" s="477">
        <v>4.7E-2</v>
      </c>
      <c r="FY76" s="477">
        <v>4.7E-2</v>
      </c>
      <c r="FZ76" s="477">
        <v>4.7E-2</v>
      </c>
      <c r="GA76" s="477">
        <v>4.7E-2</v>
      </c>
      <c r="GB76" s="477">
        <v>4.7E-2</v>
      </c>
      <c r="GC76" s="477">
        <v>4.7E-2</v>
      </c>
      <c r="GD76" s="477">
        <v>3.0499999999999999E-2</v>
      </c>
      <c r="GE76" s="477">
        <v>3.0499999999999999E-2</v>
      </c>
      <c r="GF76" s="477">
        <v>3.0499999999999999E-2</v>
      </c>
      <c r="GG76" s="477">
        <v>3.0499999999999999E-2</v>
      </c>
      <c r="GH76" s="477">
        <v>3.0499999999999999E-2</v>
      </c>
      <c r="GI76" s="477">
        <v>3.0499999999999999E-2</v>
      </c>
      <c r="GJ76" s="477">
        <v>3.0499999999999999E-2</v>
      </c>
      <c r="GK76" s="477">
        <v>3.0499999999999999E-2</v>
      </c>
      <c r="GL76" s="477">
        <v>3.0499999999999999E-2</v>
      </c>
      <c r="GM76" s="477">
        <v>3.0499999999999999E-2</v>
      </c>
      <c r="GN76" s="477">
        <v>3.0499999999999999E-2</v>
      </c>
      <c r="GO76" s="477">
        <v>3.0499999999999999E-2</v>
      </c>
      <c r="GP76" s="477">
        <v>3.0499999999999999E-2</v>
      </c>
      <c r="GQ76" s="477">
        <v>3.0499999999999999E-2</v>
      </c>
      <c r="GR76" s="477">
        <v>3.0499999999999999E-2</v>
      </c>
      <c r="GS76" s="477">
        <v>3.0499999999999999E-2</v>
      </c>
      <c r="GT76" s="477">
        <v>3.0499999999999999E-2</v>
      </c>
      <c r="GU76" s="477">
        <v>3.0499999999999999E-2</v>
      </c>
      <c r="GV76" s="477">
        <v>3.0499999999999999E-2</v>
      </c>
      <c r="GW76" s="477">
        <v>3.0499999999999999E-2</v>
      </c>
      <c r="GX76" s="477">
        <v>3.0499999999999999E-2</v>
      </c>
      <c r="GY76" s="477">
        <v>3.0499999999999999E-2</v>
      </c>
      <c r="GZ76" s="477">
        <v>3.0499999999999999E-2</v>
      </c>
      <c r="HA76" s="477">
        <v>3.0499999999999999E-2</v>
      </c>
      <c r="HB76" s="477">
        <v>3.0499999999999999E-2</v>
      </c>
      <c r="HC76" s="477">
        <v>3.0499999999999999E-2</v>
      </c>
      <c r="HD76" s="477">
        <v>3.0499999999999999E-2</v>
      </c>
      <c r="HE76" s="477">
        <v>3.0499999999999999E-2</v>
      </c>
      <c r="HF76" s="477">
        <v>3.0499999999999999E-2</v>
      </c>
      <c r="HG76" s="477">
        <v>3.0499999999999999E-2</v>
      </c>
      <c r="HH76" s="477">
        <v>3.0499999999999999E-2</v>
      </c>
      <c r="HI76" s="477">
        <v>3.0499999999999999E-2</v>
      </c>
      <c r="HJ76" s="477">
        <v>3.0499999999999999E-2</v>
      </c>
      <c r="HK76" s="477">
        <v>3.0499999999999999E-2</v>
      </c>
      <c r="HL76" s="477">
        <v>3.0499999999999999E-2</v>
      </c>
      <c r="HM76" s="477">
        <v>3.0499999999999999E-2</v>
      </c>
      <c r="HN76" s="477">
        <v>3.0499999999999999E-2</v>
      </c>
      <c r="HO76" s="477">
        <v>3.0499999999999999E-2</v>
      </c>
      <c r="HP76" s="473">
        <f t="shared" ref="HP76:HP119" si="30">D76-E76</f>
        <v>0</v>
      </c>
      <c r="HQ76" s="1135"/>
    </row>
    <row r="77" spans="2:225">
      <c r="B77" s="1129"/>
      <c r="C77" s="730" t="s">
        <v>255</v>
      </c>
      <c r="D77" s="500">
        <v>0.03</v>
      </c>
      <c r="E77" s="500">
        <v>0.03</v>
      </c>
      <c r="F77" s="500">
        <v>0.03</v>
      </c>
      <c r="G77" s="500">
        <v>0.03</v>
      </c>
      <c r="H77" s="502">
        <v>0.03</v>
      </c>
      <c r="I77" s="502">
        <v>3.0499999999999999E-2</v>
      </c>
      <c r="J77" s="500">
        <v>0.03</v>
      </c>
      <c r="K77" s="500">
        <v>0.03</v>
      </c>
      <c r="L77" s="500">
        <v>0.03</v>
      </c>
      <c r="M77" s="502">
        <v>0.03</v>
      </c>
      <c r="N77" s="500">
        <v>3.0499999999999999E-2</v>
      </c>
      <c r="O77" s="500">
        <v>3.0499999999999999E-2</v>
      </c>
      <c r="P77" s="502">
        <v>3.0499999999999999E-2</v>
      </c>
      <c r="Q77" s="500">
        <v>3.1E-2</v>
      </c>
      <c r="R77" s="502">
        <v>3.1E-2</v>
      </c>
      <c r="S77" s="502">
        <v>3.15E-2</v>
      </c>
      <c r="T77" s="501">
        <v>3.2000000000000001E-2</v>
      </c>
      <c r="U77" s="501">
        <v>3.2000000000000001E-2</v>
      </c>
      <c r="V77" s="502">
        <v>3.2000000000000001E-2</v>
      </c>
      <c r="W77" s="493">
        <v>3.15E-2</v>
      </c>
      <c r="X77" s="493">
        <v>3.2500000000000001E-2</v>
      </c>
      <c r="Y77" s="476">
        <v>3.3000000000000002E-2</v>
      </c>
      <c r="Z77" s="493">
        <v>3.3000000000000002E-2</v>
      </c>
      <c r="AA77" s="476">
        <v>3.3500000000000002E-2</v>
      </c>
      <c r="AB77" s="493">
        <v>3.3500000000000002E-2</v>
      </c>
      <c r="AC77" s="502">
        <v>3.4000000000000002E-2</v>
      </c>
      <c r="AD77" s="502">
        <v>3.4999999999999996E-2</v>
      </c>
      <c r="AE77" s="500">
        <v>3.5499999999999997E-2</v>
      </c>
      <c r="AF77" s="502">
        <v>3.5499999999999997E-2</v>
      </c>
      <c r="AG77" s="502">
        <v>3.6499999999999998E-2</v>
      </c>
      <c r="AH77" s="476">
        <v>3.6999999999999998E-2</v>
      </c>
      <c r="AI77" s="493">
        <v>3.6999999999999998E-2</v>
      </c>
      <c r="AJ77" s="493">
        <v>3.7499999999999999E-2</v>
      </c>
      <c r="AK77" s="476">
        <v>3.7999999999999999E-2</v>
      </c>
      <c r="AL77" s="477">
        <v>3.7999999999999999E-2</v>
      </c>
      <c r="AM77" s="476">
        <v>3.7999999999999999E-2</v>
      </c>
      <c r="AN77" s="476">
        <v>3.7999999999999999E-2</v>
      </c>
      <c r="AO77" s="476">
        <v>3.7999999999999999E-2</v>
      </c>
      <c r="AP77" s="493">
        <v>3.7999999999999999E-2</v>
      </c>
      <c r="AQ77" s="476">
        <v>3.7499999999999999E-2</v>
      </c>
      <c r="AR77" s="476">
        <v>3.7499999999999999E-2</v>
      </c>
      <c r="AS77" s="476">
        <v>3.7499999999999999E-2</v>
      </c>
      <c r="AT77" s="476">
        <v>3.7499999999999999E-2</v>
      </c>
      <c r="AU77" s="476">
        <v>3.7499999999999999E-2</v>
      </c>
      <c r="AV77" s="493">
        <v>3.7499999999999999E-2</v>
      </c>
      <c r="AW77" s="477">
        <v>3.7999999999999999E-2</v>
      </c>
      <c r="AX77" s="477">
        <v>3.7999999999999999E-2</v>
      </c>
      <c r="AY77" s="477">
        <v>3.7999999999999999E-2</v>
      </c>
      <c r="AZ77" s="477">
        <v>3.7999999999999999E-2</v>
      </c>
      <c r="BA77" s="477">
        <v>3.7999999999999999E-2</v>
      </c>
      <c r="BB77" s="477">
        <v>3.7999999999999999E-2</v>
      </c>
      <c r="BC77" s="477">
        <v>3.7999999999999999E-2</v>
      </c>
      <c r="BD77" s="477">
        <v>3.7999999999999999E-2</v>
      </c>
      <c r="BE77" s="477">
        <v>3.7999999999999999E-2</v>
      </c>
      <c r="BF77" s="477">
        <v>3.7999999999999999E-2</v>
      </c>
      <c r="BG77" s="477">
        <v>3.7999999999999999E-2</v>
      </c>
      <c r="BH77" s="477">
        <v>3.85E-2</v>
      </c>
      <c r="BI77" s="477">
        <v>3.85E-2</v>
      </c>
      <c r="BJ77" s="477">
        <v>3.85E-2</v>
      </c>
      <c r="BK77" s="477">
        <v>3.85E-2</v>
      </c>
      <c r="BL77" s="477">
        <v>3.85E-2</v>
      </c>
      <c r="BM77" s="477">
        <v>3.85E-2</v>
      </c>
      <c r="BN77" s="477">
        <v>3.85E-2</v>
      </c>
      <c r="BO77" s="477">
        <v>0.04</v>
      </c>
      <c r="BP77" s="477">
        <v>0.04</v>
      </c>
      <c r="BQ77" s="477">
        <v>0.04</v>
      </c>
      <c r="BR77" s="477">
        <v>0.04</v>
      </c>
      <c r="BS77" s="477">
        <v>4.0500000000000001E-2</v>
      </c>
      <c r="BT77" s="477">
        <v>4.0500000000000001E-2</v>
      </c>
      <c r="BU77" s="477">
        <v>4.1000000000000002E-2</v>
      </c>
      <c r="BV77" s="477">
        <v>4.1500000000000002E-2</v>
      </c>
      <c r="BW77" s="477">
        <v>4.1500000000000002E-2</v>
      </c>
      <c r="BX77" s="477">
        <v>4.1500000000000002E-2</v>
      </c>
      <c r="BY77" s="477">
        <v>4.1500000000000002E-2</v>
      </c>
      <c r="BZ77" s="477">
        <v>4.1500000000000002E-2</v>
      </c>
      <c r="CA77" s="477">
        <v>4.0500000000000001E-2</v>
      </c>
      <c r="CB77" s="477">
        <v>4.4999999999999998E-2</v>
      </c>
      <c r="CC77" s="477">
        <v>4.5999999999999999E-2</v>
      </c>
      <c r="CD77" s="477">
        <v>4.5999999999999999E-2</v>
      </c>
      <c r="CE77" s="477">
        <v>4.65E-2</v>
      </c>
      <c r="CF77" s="477">
        <v>4.65E-2</v>
      </c>
      <c r="CG77" s="477">
        <v>4.7500000000000001E-2</v>
      </c>
      <c r="CH77" s="477">
        <v>4.8000000000000001E-2</v>
      </c>
      <c r="CI77" s="477">
        <v>4.8000000000000001E-2</v>
      </c>
      <c r="CJ77" s="477">
        <v>4.8500000000000001E-2</v>
      </c>
      <c r="CK77" s="477">
        <v>4.8500000000000001E-2</v>
      </c>
      <c r="CL77" s="477">
        <v>4.8500000000000001E-2</v>
      </c>
      <c r="CM77" s="477">
        <v>4.8500000000000001E-2</v>
      </c>
      <c r="CN77" s="477">
        <v>4.8500000000000001E-2</v>
      </c>
      <c r="CO77" s="477">
        <v>4.8500000000000001E-2</v>
      </c>
      <c r="CP77" s="477">
        <v>4.8000000000000001E-2</v>
      </c>
      <c r="CQ77" s="477">
        <v>4.8000000000000001E-2</v>
      </c>
      <c r="CR77" s="477">
        <v>4.8000000000000001E-2</v>
      </c>
      <c r="CS77" s="477">
        <v>4.8000000000000001E-2</v>
      </c>
      <c r="CT77" s="477">
        <v>4.8000000000000001E-2</v>
      </c>
      <c r="CU77" s="477">
        <v>4.8000000000000001E-2</v>
      </c>
      <c r="CV77" s="477">
        <v>4.8000000000000001E-2</v>
      </c>
      <c r="CW77" s="477">
        <v>4.8000000000000001E-2</v>
      </c>
      <c r="CX77" s="477">
        <v>4.8000000000000001E-2</v>
      </c>
      <c r="CY77" s="477">
        <v>4.7500000000000001E-2</v>
      </c>
      <c r="CZ77" s="477">
        <v>4.7500000000000001E-2</v>
      </c>
      <c r="DA77" s="477">
        <v>4.7500000000000001E-2</v>
      </c>
      <c r="DB77" s="477">
        <v>4.7500000000000001E-2</v>
      </c>
      <c r="DC77" s="477">
        <v>4.7500000000000001E-2</v>
      </c>
      <c r="DD77" s="477">
        <v>4.7500000000000001E-2</v>
      </c>
      <c r="DE77" s="477">
        <v>4.7500000000000001E-2</v>
      </c>
      <c r="DF77" s="477">
        <v>4.7500000000000001E-2</v>
      </c>
      <c r="DG77" s="477">
        <v>4.7500000000000001E-2</v>
      </c>
      <c r="DH77" s="477">
        <v>4.7500000000000001E-2</v>
      </c>
      <c r="DI77" s="477">
        <v>4.7500000000000001E-2</v>
      </c>
      <c r="DJ77" s="477">
        <v>4.7500000000000001E-2</v>
      </c>
      <c r="DK77" s="477">
        <v>4.7500000000000001E-2</v>
      </c>
      <c r="DL77" s="477">
        <v>4.8000000000000001E-2</v>
      </c>
      <c r="DM77" s="477">
        <v>4.9000000000000002E-2</v>
      </c>
      <c r="DN77" s="477">
        <v>4.9000000000000002E-2</v>
      </c>
      <c r="DO77" s="477">
        <v>4.9000000000000002E-2</v>
      </c>
      <c r="DP77" s="477">
        <v>4.9000000000000002E-2</v>
      </c>
      <c r="DQ77" s="477">
        <v>4.9000000000000002E-2</v>
      </c>
      <c r="DR77" s="477">
        <v>4.9000000000000002E-2</v>
      </c>
      <c r="DS77" s="477">
        <v>4.9000000000000002E-2</v>
      </c>
      <c r="DT77" s="477">
        <v>4.9500000000000002E-2</v>
      </c>
      <c r="DU77" s="477">
        <v>0.05</v>
      </c>
      <c r="DV77" s="477">
        <v>0.05</v>
      </c>
      <c r="DW77" s="477">
        <v>0.05</v>
      </c>
      <c r="DX77" s="477">
        <v>0.05</v>
      </c>
      <c r="DY77" s="477">
        <v>4.8500000000000001E-2</v>
      </c>
      <c r="DZ77" s="477">
        <v>4.8500000000000001E-2</v>
      </c>
      <c r="EA77" s="477">
        <v>4.8000000000000001E-2</v>
      </c>
      <c r="EB77" s="477">
        <v>4.8000000000000001E-2</v>
      </c>
      <c r="EC77" s="477">
        <v>4.8000000000000001E-2</v>
      </c>
      <c r="ED77" s="477">
        <v>4.8000000000000001E-2</v>
      </c>
      <c r="EE77" s="477">
        <v>4.8000000000000001E-2</v>
      </c>
      <c r="EF77" s="477">
        <v>4.8000000000000001E-2</v>
      </c>
      <c r="EG77" s="477">
        <v>4.8000000000000001E-2</v>
      </c>
      <c r="EH77" s="477">
        <v>4.8000000000000001E-2</v>
      </c>
      <c r="EI77" s="477">
        <v>3.3500000000000002E-2</v>
      </c>
      <c r="EJ77" s="477">
        <v>3.15E-2</v>
      </c>
      <c r="EK77" s="477">
        <v>3.15E-2</v>
      </c>
      <c r="EL77" s="477">
        <v>2.75E-2</v>
      </c>
      <c r="EM77" s="477">
        <v>2.6499999999999999E-2</v>
      </c>
      <c r="EN77" s="477">
        <v>4.5999999999999999E-2</v>
      </c>
      <c r="EO77" s="477">
        <v>4.5499999999999999E-2</v>
      </c>
      <c r="EP77" s="477">
        <v>4.5499999999999999E-2</v>
      </c>
      <c r="EQ77" s="477">
        <v>4.5499999999999999E-2</v>
      </c>
      <c r="ER77" s="477">
        <v>4.4999999999999998E-2</v>
      </c>
      <c r="ES77" s="477">
        <v>4.4999999999999998E-2</v>
      </c>
      <c r="ET77" s="477">
        <v>4.4499999999999998E-2</v>
      </c>
      <c r="EU77" s="477">
        <v>4.4499999999999998E-2</v>
      </c>
      <c r="EV77" s="477">
        <v>4.3999999999999997E-2</v>
      </c>
      <c r="EW77" s="477">
        <v>4.2500000000000003E-2</v>
      </c>
      <c r="EX77" s="477">
        <v>4.2000000000000003E-2</v>
      </c>
      <c r="EY77" s="477">
        <v>4.2000000000000003E-2</v>
      </c>
      <c r="EZ77" s="477">
        <v>4.2999999999999997E-2</v>
      </c>
      <c r="FA77" s="477">
        <v>4.1500000000000002E-2</v>
      </c>
      <c r="FB77" s="477">
        <v>4.1500000000000002E-2</v>
      </c>
      <c r="FC77" s="477">
        <v>4.1500000000000002E-2</v>
      </c>
      <c r="FD77" s="477">
        <v>4.1500000000000002E-2</v>
      </c>
      <c r="FE77" s="477">
        <v>4.1000000000000002E-2</v>
      </c>
      <c r="FF77" s="477">
        <v>4.1000000000000002E-2</v>
      </c>
      <c r="FG77" s="477">
        <v>4.1000000000000002E-2</v>
      </c>
      <c r="FH77" s="477">
        <v>3.9E-2</v>
      </c>
      <c r="FI77" s="477">
        <v>3.9E-2</v>
      </c>
      <c r="FJ77" s="477">
        <v>4.0500000000000001E-2</v>
      </c>
      <c r="FK77" s="477">
        <v>4.1500000000000002E-2</v>
      </c>
      <c r="FL77" s="477">
        <v>4.1500000000000002E-2</v>
      </c>
      <c r="FM77" s="477">
        <v>4.1500000000000002E-2</v>
      </c>
      <c r="FN77" s="477">
        <v>4.2000000000000003E-2</v>
      </c>
      <c r="FO77" s="477">
        <v>4.0500000000000001E-2</v>
      </c>
      <c r="FP77" s="477">
        <v>0.04</v>
      </c>
      <c r="FQ77" s="477">
        <v>3.95E-2</v>
      </c>
      <c r="FR77" s="477">
        <v>3.7999999999999999E-2</v>
      </c>
      <c r="FS77" s="477">
        <v>3.7499999999999999E-2</v>
      </c>
      <c r="FT77" s="477">
        <v>3.6499999999999998E-2</v>
      </c>
      <c r="FU77" s="477">
        <v>3.3500000000000002E-2</v>
      </c>
      <c r="FV77" s="477">
        <v>4.7E-2</v>
      </c>
      <c r="FW77" s="477">
        <v>4.7E-2</v>
      </c>
      <c r="FX77" s="477">
        <v>4.7500000000000001E-2</v>
      </c>
      <c r="FY77" s="477">
        <v>4.7500000000000001E-2</v>
      </c>
      <c r="FZ77" s="477">
        <v>4.7500000000000001E-2</v>
      </c>
      <c r="GA77" s="477">
        <v>4.7500000000000001E-2</v>
      </c>
      <c r="GB77" s="477">
        <v>4.7500000000000001E-2</v>
      </c>
      <c r="GC77" s="477">
        <v>4.7500000000000001E-2</v>
      </c>
      <c r="GD77" s="477">
        <v>3.15E-2</v>
      </c>
      <c r="GE77" s="477">
        <v>3.15E-2</v>
      </c>
      <c r="GF77" s="477">
        <v>3.15E-2</v>
      </c>
      <c r="GG77" s="477">
        <v>3.15E-2</v>
      </c>
      <c r="GH77" s="477">
        <v>3.15E-2</v>
      </c>
      <c r="GI77" s="477">
        <v>3.15E-2</v>
      </c>
      <c r="GJ77" s="477">
        <v>3.15E-2</v>
      </c>
      <c r="GK77" s="477">
        <v>3.15E-2</v>
      </c>
      <c r="GL77" s="477">
        <v>3.15E-2</v>
      </c>
      <c r="GM77" s="477">
        <v>3.15E-2</v>
      </c>
      <c r="GN77" s="477">
        <v>3.15E-2</v>
      </c>
      <c r="GO77" s="477">
        <v>3.15E-2</v>
      </c>
      <c r="GP77" s="477">
        <v>3.15E-2</v>
      </c>
      <c r="GQ77" s="477">
        <v>3.15E-2</v>
      </c>
      <c r="GR77" s="477">
        <v>3.15E-2</v>
      </c>
      <c r="GS77" s="477">
        <v>3.15E-2</v>
      </c>
      <c r="GT77" s="477">
        <v>3.15E-2</v>
      </c>
      <c r="GU77" s="477">
        <v>3.15E-2</v>
      </c>
      <c r="GV77" s="477">
        <v>3.15E-2</v>
      </c>
      <c r="GW77" s="477">
        <v>3.15E-2</v>
      </c>
      <c r="GX77" s="477">
        <v>3.15E-2</v>
      </c>
      <c r="GY77" s="477">
        <v>3.15E-2</v>
      </c>
      <c r="GZ77" s="477">
        <v>3.15E-2</v>
      </c>
      <c r="HA77" s="477">
        <v>3.15E-2</v>
      </c>
      <c r="HB77" s="477">
        <v>3.15E-2</v>
      </c>
      <c r="HC77" s="477">
        <v>3.15E-2</v>
      </c>
      <c r="HD77" s="477">
        <v>3.15E-2</v>
      </c>
      <c r="HE77" s="477">
        <v>3.15E-2</v>
      </c>
      <c r="HF77" s="477">
        <v>3.15E-2</v>
      </c>
      <c r="HG77" s="477">
        <v>3.15E-2</v>
      </c>
      <c r="HH77" s="477">
        <v>3.15E-2</v>
      </c>
      <c r="HI77" s="477">
        <v>3.15E-2</v>
      </c>
      <c r="HJ77" s="477">
        <v>3.15E-2</v>
      </c>
      <c r="HK77" s="477">
        <v>3.15E-2</v>
      </c>
      <c r="HL77" s="477">
        <v>3.15E-2</v>
      </c>
      <c r="HM77" s="477">
        <v>3.15E-2</v>
      </c>
      <c r="HN77" s="477">
        <v>3.15E-2</v>
      </c>
      <c r="HO77" s="477">
        <v>3.15E-2</v>
      </c>
      <c r="HP77" s="473">
        <f t="shared" si="30"/>
        <v>0</v>
      </c>
      <c r="HQ77" s="1136"/>
    </row>
    <row r="78" spans="2:225">
      <c r="B78" s="1129"/>
      <c r="C78" s="730" t="s">
        <v>260</v>
      </c>
      <c r="D78" s="500">
        <v>3.15E-2</v>
      </c>
      <c r="E78" s="500">
        <v>3.15E-2</v>
      </c>
      <c r="F78" s="500">
        <v>3.15E-2</v>
      </c>
      <c r="G78" s="500">
        <v>3.15E-2</v>
      </c>
      <c r="H78" s="502">
        <v>3.15E-2</v>
      </c>
      <c r="I78" s="502">
        <v>3.2000000000000001E-2</v>
      </c>
      <c r="J78" s="500">
        <v>3.15E-2</v>
      </c>
      <c r="K78" s="500">
        <v>3.15E-2</v>
      </c>
      <c r="L78" s="500">
        <v>3.15E-2</v>
      </c>
      <c r="M78" s="502">
        <v>3.15E-2</v>
      </c>
      <c r="N78" s="500">
        <v>3.2000000000000001E-2</v>
      </c>
      <c r="O78" s="500">
        <v>3.2000000000000001E-2</v>
      </c>
      <c r="P78" s="502">
        <v>3.2000000000000001E-2</v>
      </c>
      <c r="Q78" s="500">
        <v>3.2500000000000001E-2</v>
      </c>
      <c r="R78" s="502">
        <v>3.2500000000000001E-2</v>
      </c>
      <c r="S78" s="502">
        <v>3.3000000000000002E-2</v>
      </c>
      <c r="T78" s="501">
        <v>3.3500000000000002E-2</v>
      </c>
      <c r="U78" s="501">
        <v>3.3500000000000002E-2</v>
      </c>
      <c r="V78" s="502">
        <v>3.3500000000000002E-2</v>
      </c>
      <c r="W78" s="493">
        <v>3.3000000000000002E-2</v>
      </c>
      <c r="X78" s="493">
        <v>3.4000000000000002E-2</v>
      </c>
      <c r="Y78" s="476">
        <v>3.4500000000000003E-2</v>
      </c>
      <c r="Z78" s="493">
        <v>3.4500000000000003E-2</v>
      </c>
      <c r="AA78" s="476">
        <v>3.5000000000000003E-2</v>
      </c>
      <c r="AB78" s="493">
        <v>3.5000000000000003E-2</v>
      </c>
      <c r="AC78" s="502">
        <v>3.5499999999999997E-2</v>
      </c>
      <c r="AD78" s="502">
        <v>3.6499999999999998E-2</v>
      </c>
      <c r="AE78" s="500">
        <v>3.6999999999999998E-2</v>
      </c>
      <c r="AF78" s="502">
        <v>3.6999999999999998E-2</v>
      </c>
      <c r="AG78" s="502">
        <v>3.7999999999999999E-2</v>
      </c>
      <c r="AH78" s="476">
        <v>3.85E-2</v>
      </c>
      <c r="AI78" s="493">
        <v>3.85E-2</v>
      </c>
      <c r="AJ78" s="493">
        <v>3.9E-2</v>
      </c>
      <c r="AK78" s="476">
        <v>3.95E-2</v>
      </c>
      <c r="AL78" s="477">
        <v>3.95E-2</v>
      </c>
      <c r="AM78" s="476">
        <v>3.95E-2</v>
      </c>
      <c r="AN78" s="476">
        <v>3.95E-2</v>
      </c>
      <c r="AO78" s="476">
        <v>3.95E-2</v>
      </c>
      <c r="AP78" s="493">
        <v>3.95E-2</v>
      </c>
      <c r="AQ78" s="476">
        <v>3.9E-2</v>
      </c>
      <c r="AR78" s="476">
        <v>3.9E-2</v>
      </c>
      <c r="AS78" s="476">
        <v>3.9E-2</v>
      </c>
      <c r="AT78" s="476">
        <v>3.9E-2</v>
      </c>
      <c r="AU78" s="476">
        <v>3.9E-2</v>
      </c>
      <c r="AV78" s="493">
        <v>3.9E-2</v>
      </c>
      <c r="AW78" s="477">
        <v>3.95E-2</v>
      </c>
      <c r="AX78" s="477">
        <v>3.95E-2</v>
      </c>
      <c r="AY78" s="477">
        <v>3.95E-2</v>
      </c>
      <c r="AZ78" s="477">
        <v>3.95E-2</v>
      </c>
      <c r="BA78" s="477">
        <v>3.95E-2</v>
      </c>
      <c r="BB78" s="477">
        <v>3.95E-2</v>
      </c>
      <c r="BC78" s="477">
        <v>3.95E-2</v>
      </c>
      <c r="BD78" s="477">
        <v>3.95E-2</v>
      </c>
      <c r="BE78" s="477">
        <v>3.95E-2</v>
      </c>
      <c r="BF78" s="477">
        <v>3.95E-2</v>
      </c>
      <c r="BG78" s="477">
        <v>3.95E-2</v>
      </c>
      <c r="BH78" s="477">
        <v>0.04</v>
      </c>
      <c r="BI78" s="477">
        <v>0.04</v>
      </c>
      <c r="BJ78" s="477">
        <v>0.04</v>
      </c>
      <c r="BK78" s="477">
        <v>0.04</v>
      </c>
      <c r="BL78" s="477">
        <v>0.04</v>
      </c>
      <c r="BM78" s="477">
        <v>0.04</v>
      </c>
      <c r="BN78" s="477">
        <v>0.04</v>
      </c>
      <c r="BO78" s="477">
        <v>4.1500000000000002E-2</v>
      </c>
      <c r="BP78" s="477">
        <v>4.1500000000000002E-2</v>
      </c>
      <c r="BQ78" s="477">
        <v>4.1500000000000002E-2</v>
      </c>
      <c r="BR78" s="477">
        <v>4.1500000000000002E-2</v>
      </c>
      <c r="BS78" s="477">
        <v>4.2000000000000003E-2</v>
      </c>
      <c r="BT78" s="477">
        <v>4.2000000000000003E-2</v>
      </c>
      <c r="BU78" s="477">
        <v>4.2500000000000003E-2</v>
      </c>
      <c r="BV78" s="477">
        <v>4.2999999999999997E-2</v>
      </c>
      <c r="BW78" s="477">
        <v>4.2999999999999997E-2</v>
      </c>
      <c r="BX78" s="477">
        <v>4.2999999999999997E-2</v>
      </c>
      <c r="BY78" s="477">
        <v>4.2999999999999997E-2</v>
      </c>
      <c r="BZ78" s="477">
        <v>4.2999999999999997E-2</v>
      </c>
      <c r="CA78" s="477">
        <v>4.2000000000000003E-2</v>
      </c>
      <c r="CB78" s="477">
        <v>4.65E-2</v>
      </c>
      <c r="CC78" s="477">
        <v>4.7500000000000001E-2</v>
      </c>
      <c r="CD78" s="477">
        <v>4.7500000000000001E-2</v>
      </c>
      <c r="CE78" s="477">
        <v>4.8000000000000001E-2</v>
      </c>
      <c r="CF78" s="477">
        <v>4.8000000000000001E-2</v>
      </c>
      <c r="CG78" s="477">
        <v>4.9000000000000002E-2</v>
      </c>
      <c r="CH78" s="477">
        <v>4.9500000000000002E-2</v>
      </c>
      <c r="CI78" s="477">
        <v>4.9500000000000002E-2</v>
      </c>
      <c r="CJ78" s="477">
        <v>0.05</v>
      </c>
      <c r="CK78" s="477">
        <v>0.05</v>
      </c>
      <c r="CL78" s="477">
        <v>0.05</v>
      </c>
      <c r="CM78" s="477">
        <v>0.05</v>
      </c>
      <c r="CN78" s="477">
        <v>0.05</v>
      </c>
      <c r="CO78" s="477">
        <v>0.05</v>
      </c>
      <c r="CP78" s="477">
        <v>4.9500000000000002E-2</v>
      </c>
      <c r="CQ78" s="477">
        <v>4.9500000000000002E-2</v>
      </c>
      <c r="CR78" s="477">
        <v>4.9500000000000002E-2</v>
      </c>
      <c r="CS78" s="477">
        <v>4.9500000000000002E-2</v>
      </c>
      <c r="CT78" s="477">
        <v>4.9500000000000002E-2</v>
      </c>
      <c r="CU78" s="477">
        <v>4.9500000000000002E-2</v>
      </c>
      <c r="CV78" s="477">
        <v>4.9500000000000002E-2</v>
      </c>
      <c r="CW78" s="477">
        <v>4.9500000000000002E-2</v>
      </c>
      <c r="CX78" s="477">
        <v>4.9500000000000002E-2</v>
      </c>
      <c r="CY78" s="477">
        <v>4.9000000000000002E-2</v>
      </c>
      <c r="CZ78" s="477">
        <v>4.9000000000000002E-2</v>
      </c>
      <c r="DA78" s="477">
        <v>4.9000000000000002E-2</v>
      </c>
      <c r="DB78" s="477">
        <v>4.9000000000000002E-2</v>
      </c>
      <c r="DC78" s="477">
        <v>4.9000000000000002E-2</v>
      </c>
      <c r="DD78" s="477">
        <v>4.9000000000000002E-2</v>
      </c>
      <c r="DE78" s="477">
        <v>4.9000000000000002E-2</v>
      </c>
      <c r="DF78" s="477">
        <v>4.9000000000000002E-2</v>
      </c>
      <c r="DG78" s="477">
        <v>4.9000000000000002E-2</v>
      </c>
      <c r="DH78" s="477">
        <v>4.9000000000000002E-2</v>
      </c>
      <c r="DI78" s="477">
        <v>4.9000000000000002E-2</v>
      </c>
      <c r="DJ78" s="477">
        <v>4.9000000000000002E-2</v>
      </c>
      <c r="DK78" s="477">
        <v>4.9000000000000002E-2</v>
      </c>
      <c r="DL78" s="477">
        <v>4.9500000000000002E-2</v>
      </c>
      <c r="DM78" s="477">
        <v>5.0500000000000003E-2</v>
      </c>
      <c r="DN78" s="477">
        <v>5.0500000000000003E-2</v>
      </c>
      <c r="DO78" s="477">
        <v>5.0500000000000003E-2</v>
      </c>
      <c r="DP78" s="477">
        <v>5.0500000000000003E-2</v>
      </c>
      <c r="DQ78" s="477">
        <v>5.0500000000000003E-2</v>
      </c>
      <c r="DR78" s="477">
        <v>5.0500000000000003E-2</v>
      </c>
      <c r="DS78" s="477">
        <v>5.0500000000000003E-2</v>
      </c>
      <c r="DT78" s="477">
        <v>5.0999999999999997E-2</v>
      </c>
      <c r="DU78" s="477">
        <v>5.1499999999999997E-2</v>
      </c>
      <c r="DV78" s="477">
        <v>5.1499999999999997E-2</v>
      </c>
      <c r="DW78" s="477">
        <v>5.1499999999999997E-2</v>
      </c>
      <c r="DX78" s="477">
        <v>5.1499999999999997E-2</v>
      </c>
      <c r="DY78" s="477">
        <v>0.05</v>
      </c>
      <c r="DZ78" s="477">
        <v>0.05</v>
      </c>
      <c r="EA78" s="477">
        <v>4.9500000000000002E-2</v>
      </c>
      <c r="EB78" s="477">
        <v>4.9500000000000002E-2</v>
      </c>
      <c r="EC78" s="477">
        <v>4.9500000000000002E-2</v>
      </c>
      <c r="ED78" s="477">
        <v>4.9500000000000002E-2</v>
      </c>
      <c r="EE78" s="477">
        <v>4.9500000000000002E-2</v>
      </c>
      <c r="EF78" s="477">
        <v>4.9500000000000002E-2</v>
      </c>
      <c r="EG78" s="477">
        <v>4.9500000000000002E-2</v>
      </c>
      <c r="EH78" s="477">
        <v>4.9500000000000002E-2</v>
      </c>
      <c r="EI78" s="477">
        <v>3.4500000000000003E-2</v>
      </c>
      <c r="EJ78" s="477">
        <v>3.2500000000000001E-2</v>
      </c>
      <c r="EK78" s="477">
        <v>3.2500000000000001E-2</v>
      </c>
      <c r="EL78" s="477">
        <v>2.8500000000000001E-2</v>
      </c>
      <c r="EM78" s="477">
        <v>2.75E-2</v>
      </c>
      <c r="EN78" s="477">
        <v>4.7500000000000001E-2</v>
      </c>
      <c r="EO78" s="477">
        <v>4.7E-2</v>
      </c>
      <c r="EP78" s="477">
        <v>4.7E-2</v>
      </c>
      <c r="EQ78" s="477">
        <v>4.7E-2</v>
      </c>
      <c r="ER78" s="477">
        <v>4.65E-2</v>
      </c>
      <c r="ES78" s="477">
        <v>4.65E-2</v>
      </c>
      <c r="ET78" s="477">
        <v>4.5999999999999999E-2</v>
      </c>
      <c r="EU78" s="477">
        <v>4.5999999999999999E-2</v>
      </c>
      <c r="EV78" s="477">
        <v>4.5499999999999999E-2</v>
      </c>
      <c r="EW78" s="477">
        <v>4.3999999999999997E-2</v>
      </c>
      <c r="EX78" s="477">
        <v>4.3499999999999997E-2</v>
      </c>
      <c r="EY78" s="477">
        <v>4.3499999999999997E-2</v>
      </c>
      <c r="EZ78" s="477">
        <v>4.4499999999999998E-2</v>
      </c>
      <c r="FA78" s="477">
        <v>4.2999999999999997E-2</v>
      </c>
      <c r="FB78" s="477">
        <v>4.2999999999999997E-2</v>
      </c>
      <c r="FC78" s="477">
        <v>4.2999999999999997E-2</v>
      </c>
      <c r="FD78" s="477">
        <v>4.2999999999999997E-2</v>
      </c>
      <c r="FE78" s="477">
        <v>4.2500000000000003E-2</v>
      </c>
      <c r="FF78" s="477">
        <v>4.2500000000000003E-2</v>
      </c>
      <c r="FG78" s="477">
        <v>4.2500000000000003E-2</v>
      </c>
      <c r="FH78" s="477">
        <v>4.0500000000000001E-2</v>
      </c>
      <c r="FI78" s="477">
        <v>4.0500000000000001E-2</v>
      </c>
      <c r="FJ78" s="477">
        <v>4.2000000000000003E-2</v>
      </c>
      <c r="FK78" s="477">
        <v>4.2999999999999997E-2</v>
      </c>
      <c r="FL78" s="477">
        <v>4.2999999999999997E-2</v>
      </c>
      <c r="FM78" s="477">
        <v>4.2999999999999997E-2</v>
      </c>
      <c r="FN78" s="477">
        <v>4.3499999999999997E-2</v>
      </c>
      <c r="FO78" s="477">
        <v>4.2000000000000003E-2</v>
      </c>
      <c r="FP78" s="477">
        <v>4.1500000000000002E-2</v>
      </c>
      <c r="FQ78" s="477">
        <v>4.1000000000000002E-2</v>
      </c>
      <c r="FR78" s="477">
        <v>3.95E-2</v>
      </c>
      <c r="FS78" s="477">
        <v>3.85E-2</v>
      </c>
      <c r="FT78" s="477">
        <v>3.7499999999999999E-2</v>
      </c>
      <c r="FU78" s="477">
        <v>3.4500000000000003E-2</v>
      </c>
      <c r="FV78" s="477">
        <v>4.8500000000000001E-2</v>
      </c>
      <c r="FW78" s="477">
        <v>4.8500000000000001E-2</v>
      </c>
      <c r="FX78" s="477">
        <v>4.9000000000000002E-2</v>
      </c>
      <c r="FY78" s="477">
        <v>4.9000000000000002E-2</v>
      </c>
      <c r="FZ78" s="477">
        <v>4.9000000000000002E-2</v>
      </c>
      <c r="GA78" s="477">
        <v>4.9000000000000002E-2</v>
      </c>
      <c r="GB78" s="477">
        <v>4.9000000000000002E-2</v>
      </c>
      <c r="GC78" s="477">
        <v>4.9000000000000002E-2</v>
      </c>
      <c r="GD78" s="477">
        <v>3.2500000000000001E-2</v>
      </c>
      <c r="GE78" s="477">
        <v>3.2500000000000001E-2</v>
      </c>
      <c r="GF78" s="477">
        <v>3.2500000000000001E-2</v>
      </c>
      <c r="GG78" s="477">
        <v>3.2500000000000001E-2</v>
      </c>
      <c r="GH78" s="477">
        <v>3.2500000000000001E-2</v>
      </c>
      <c r="GI78" s="477">
        <v>3.2500000000000001E-2</v>
      </c>
      <c r="GJ78" s="477">
        <v>3.2500000000000001E-2</v>
      </c>
      <c r="GK78" s="477">
        <v>3.2500000000000001E-2</v>
      </c>
      <c r="GL78" s="477">
        <v>3.2500000000000001E-2</v>
      </c>
      <c r="GM78" s="477">
        <v>3.2500000000000001E-2</v>
      </c>
      <c r="GN78" s="477">
        <v>3.2500000000000001E-2</v>
      </c>
      <c r="GO78" s="477">
        <v>3.2500000000000001E-2</v>
      </c>
      <c r="GP78" s="477">
        <v>3.2500000000000001E-2</v>
      </c>
      <c r="GQ78" s="477">
        <v>3.2500000000000001E-2</v>
      </c>
      <c r="GR78" s="477">
        <v>3.2500000000000001E-2</v>
      </c>
      <c r="GS78" s="477">
        <v>3.2500000000000001E-2</v>
      </c>
      <c r="GT78" s="477">
        <v>3.2500000000000001E-2</v>
      </c>
      <c r="GU78" s="477">
        <v>3.2500000000000001E-2</v>
      </c>
      <c r="GV78" s="477">
        <v>3.2500000000000001E-2</v>
      </c>
      <c r="GW78" s="477">
        <v>3.2500000000000001E-2</v>
      </c>
      <c r="GX78" s="477">
        <v>3.2500000000000001E-2</v>
      </c>
      <c r="GY78" s="477">
        <v>3.2500000000000001E-2</v>
      </c>
      <c r="GZ78" s="477">
        <v>3.2500000000000001E-2</v>
      </c>
      <c r="HA78" s="477">
        <v>3.2500000000000001E-2</v>
      </c>
      <c r="HB78" s="477">
        <v>3.2500000000000001E-2</v>
      </c>
      <c r="HC78" s="477">
        <v>3.2500000000000001E-2</v>
      </c>
      <c r="HD78" s="477">
        <v>3.2500000000000001E-2</v>
      </c>
      <c r="HE78" s="477">
        <v>3.2500000000000001E-2</v>
      </c>
      <c r="HF78" s="477">
        <v>3.2500000000000001E-2</v>
      </c>
      <c r="HG78" s="477">
        <v>3.2500000000000001E-2</v>
      </c>
      <c r="HH78" s="477">
        <v>3.2500000000000001E-2</v>
      </c>
      <c r="HI78" s="477">
        <v>3.2500000000000001E-2</v>
      </c>
      <c r="HJ78" s="477">
        <v>3.2500000000000001E-2</v>
      </c>
      <c r="HK78" s="477">
        <v>3.2500000000000001E-2</v>
      </c>
      <c r="HL78" s="477">
        <v>3.2500000000000001E-2</v>
      </c>
      <c r="HM78" s="477">
        <v>3.2500000000000001E-2</v>
      </c>
      <c r="HN78" s="477">
        <v>3.2500000000000001E-2</v>
      </c>
      <c r="HO78" s="477">
        <v>3.2500000000000001E-2</v>
      </c>
      <c r="HP78" s="473">
        <f t="shared" si="30"/>
        <v>0</v>
      </c>
      <c r="HQ78" s="1137"/>
    </row>
    <row r="79" spans="2:225">
      <c r="B79" s="1138" t="s">
        <v>50</v>
      </c>
      <c r="C79" s="729" t="s">
        <v>258</v>
      </c>
      <c r="D79" s="664">
        <v>3.0599999999999999E-2</v>
      </c>
      <c r="E79" s="664">
        <v>3.0599999999999999E-2</v>
      </c>
      <c r="F79" s="664">
        <v>0.03</v>
      </c>
      <c r="G79" s="664">
        <v>2.9899999999999999E-2</v>
      </c>
      <c r="H79" s="664">
        <v>2.9600000000000001E-2</v>
      </c>
      <c r="I79" s="666">
        <v>0.03</v>
      </c>
      <c r="J79" s="666">
        <v>0.03</v>
      </c>
      <c r="K79" s="664">
        <v>0.03</v>
      </c>
      <c r="L79" s="664">
        <v>3.0200000000000001E-2</v>
      </c>
      <c r="M79" s="664">
        <v>3.0599999999999999E-2</v>
      </c>
      <c r="N79" s="664">
        <v>3.0800000000000001E-2</v>
      </c>
      <c r="O79" s="664">
        <v>3.1199999999999999E-2</v>
      </c>
      <c r="P79" s="664">
        <v>3.1399999999999997E-2</v>
      </c>
      <c r="Q79" s="664">
        <v>3.1699999999999999E-2</v>
      </c>
      <c r="R79" s="664">
        <v>3.1600000000000003E-2</v>
      </c>
      <c r="S79" s="664">
        <v>3.1800000000000002E-2</v>
      </c>
      <c r="T79" s="494">
        <v>3.2500000000000001E-2</v>
      </c>
      <c r="U79" s="489">
        <v>3.2399999999999998E-2</v>
      </c>
      <c r="V79" s="494">
        <v>3.2399999999999998E-2</v>
      </c>
      <c r="W79" s="470">
        <v>3.2100000000000004E-2</v>
      </c>
      <c r="X79" s="470">
        <v>3.2500000000000001E-2</v>
      </c>
      <c r="Y79" s="470">
        <v>3.27E-2</v>
      </c>
      <c r="Z79" s="470">
        <v>3.3099999999999997E-2</v>
      </c>
      <c r="AA79" s="470">
        <v>3.32E-2</v>
      </c>
      <c r="AB79" s="470">
        <v>3.3800000000000004E-2</v>
      </c>
      <c r="AC79" s="470">
        <v>3.4000000000000002E-2</v>
      </c>
      <c r="AD79" s="470">
        <v>3.4500000000000003E-2</v>
      </c>
      <c r="AE79" s="470">
        <v>3.5300000000000005E-2</v>
      </c>
      <c r="AF79" s="470">
        <v>3.5700000000000003E-2</v>
      </c>
      <c r="AG79" s="470">
        <v>3.5799999999999998E-2</v>
      </c>
      <c r="AH79" s="495">
        <v>3.5900000000000001E-2</v>
      </c>
      <c r="AI79" s="497">
        <v>3.6200000000000003E-2</v>
      </c>
      <c r="AJ79" s="497">
        <v>3.6700000000000003E-2</v>
      </c>
      <c r="AK79" s="497">
        <v>3.6999999999999998E-2</v>
      </c>
      <c r="AL79" s="497">
        <v>3.7199999999999997E-2</v>
      </c>
      <c r="AM79" s="497">
        <v>3.7100000000000001E-2</v>
      </c>
      <c r="AN79" s="497">
        <v>3.6700000000000003E-2</v>
      </c>
      <c r="AO79" s="497">
        <v>3.6900000000000002E-2</v>
      </c>
      <c r="AP79" s="497">
        <v>3.6999999999999998E-2</v>
      </c>
      <c r="AQ79" s="497">
        <v>3.7499999999999999E-2</v>
      </c>
      <c r="AR79" s="497">
        <v>3.6999999999999998E-2</v>
      </c>
      <c r="AS79" s="497">
        <v>3.7100000000000001E-2</v>
      </c>
      <c r="AT79" s="495">
        <v>3.7600000000000001E-2</v>
      </c>
      <c r="AU79" s="495">
        <v>3.7600000000000001E-2</v>
      </c>
      <c r="AV79" s="497">
        <v>3.7400000000000003E-2</v>
      </c>
      <c r="AW79" s="496">
        <v>3.7499999999999999E-2</v>
      </c>
      <c r="AX79" s="496">
        <v>3.6799999999999999E-2</v>
      </c>
      <c r="AY79" s="496">
        <v>3.6799999999999999E-2</v>
      </c>
      <c r="AZ79" s="496">
        <v>3.6799999999999999E-2</v>
      </c>
      <c r="BA79" s="496">
        <v>3.6799999999999999E-2</v>
      </c>
      <c r="BB79" s="496">
        <v>3.6799999999999999E-2</v>
      </c>
      <c r="BC79" s="496">
        <v>3.6799999999999999E-2</v>
      </c>
      <c r="BD79" s="496">
        <v>3.6700000000000003E-2</v>
      </c>
      <c r="BE79" s="496">
        <v>3.6700000000000003E-2</v>
      </c>
      <c r="BF79" s="496">
        <v>3.6700000000000003E-2</v>
      </c>
      <c r="BG79" s="496">
        <v>3.6700000000000003E-2</v>
      </c>
      <c r="BH79" s="496">
        <v>3.6700000000000003E-2</v>
      </c>
      <c r="BI79" s="496">
        <v>3.6700000000000003E-2</v>
      </c>
      <c r="BJ79" s="496">
        <v>3.6700000000000003E-2</v>
      </c>
      <c r="BK79" s="496">
        <v>3.6700000000000003E-2</v>
      </c>
      <c r="BL79" s="496">
        <v>3.6799999999999999E-2</v>
      </c>
      <c r="BM79" s="496">
        <v>3.7400000000000003E-2</v>
      </c>
      <c r="BN79" s="496">
        <v>3.7400000000000003E-2</v>
      </c>
      <c r="BO79" s="496">
        <v>3.7400000000000003E-2</v>
      </c>
      <c r="BP79" s="496">
        <v>3.8600000000000002E-2</v>
      </c>
      <c r="BQ79" s="496">
        <v>3.8600000000000002E-2</v>
      </c>
      <c r="BR79" s="496">
        <v>3.9100000000000003E-2</v>
      </c>
      <c r="BS79" s="496">
        <v>3.9100000000000003E-2</v>
      </c>
      <c r="BT79" s="496">
        <v>0.04</v>
      </c>
      <c r="BU79" s="496">
        <v>0.04</v>
      </c>
      <c r="BV79" s="496">
        <v>0.04</v>
      </c>
      <c r="BW79" s="496">
        <v>4.0399999999999998E-2</v>
      </c>
      <c r="BX79" s="496">
        <v>4.0399999999999998E-2</v>
      </c>
      <c r="BY79" s="496">
        <v>3.9899999999999998E-2</v>
      </c>
      <c r="BZ79" s="496">
        <v>3.9899999999999998E-2</v>
      </c>
      <c r="CA79" s="496">
        <v>4.19E-2</v>
      </c>
      <c r="CB79" s="496">
        <v>4.3099999999999999E-2</v>
      </c>
      <c r="CC79" s="496">
        <v>4.36E-2</v>
      </c>
      <c r="CD79" s="496">
        <v>4.4299999999999999E-2</v>
      </c>
      <c r="CE79" s="496">
        <v>4.4699999999999997E-2</v>
      </c>
      <c r="CF79" s="496">
        <v>4.48E-2</v>
      </c>
      <c r="CG79" s="496">
        <v>4.4900000000000002E-2</v>
      </c>
      <c r="CH79" s="496">
        <v>4.6300000000000001E-2</v>
      </c>
      <c r="CI79" s="496">
        <v>4.6699999999999998E-2</v>
      </c>
      <c r="CJ79" s="496">
        <v>4.6600000000000003E-2</v>
      </c>
      <c r="CK79" s="496">
        <v>4.6899999999999997E-2</v>
      </c>
      <c r="CL79" s="496">
        <v>4.6899999999999997E-2</v>
      </c>
      <c r="CM79" s="496">
        <v>4.7100000000000003E-2</v>
      </c>
      <c r="CN79" s="496">
        <v>4.7300000000000002E-2</v>
      </c>
      <c r="CO79" s="496">
        <v>4.7199999999999999E-2</v>
      </c>
      <c r="CP79" s="496">
        <v>4.7199999999999999E-2</v>
      </c>
      <c r="CQ79" s="496">
        <v>4.734E-2</v>
      </c>
      <c r="CR79" s="496">
        <v>4.7100000000000003E-2</v>
      </c>
      <c r="CS79" s="496">
        <v>4.7100000000000003E-2</v>
      </c>
      <c r="CT79" s="496">
        <v>4.7100000000000003E-2</v>
      </c>
      <c r="CU79" s="496">
        <v>4.7100000000000003E-2</v>
      </c>
      <c r="CV79" s="496">
        <v>4.7100000000000003E-2</v>
      </c>
      <c r="CW79" s="524">
        <v>4.7500000000000001E-2</v>
      </c>
      <c r="CX79" s="472">
        <v>4.7399999999999998E-2</v>
      </c>
      <c r="CY79" s="472">
        <v>4.7300000000000002E-2</v>
      </c>
      <c r="CZ79" s="472">
        <v>4.7399999999999998E-2</v>
      </c>
      <c r="DA79" s="472">
        <v>4.7600000000000003E-2</v>
      </c>
      <c r="DB79" s="472">
        <v>4.7600000000000003E-2</v>
      </c>
      <c r="DC79" s="484">
        <v>4.7600000000000003E-2</v>
      </c>
      <c r="DD79" s="484">
        <v>4.7699999999999999E-2</v>
      </c>
      <c r="DE79" s="472">
        <v>4.7600000000000003E-2</v>
      </c>
      <c r="DF79" s="472">
        <v>4.7600000000000003E-2</v>
      </c>
      <c r="DG79" s="472">
        <v>4.7600000000000003E-2</v>
      </c>
      <c r="DH79" s="472">
        <v>4.7399999999999998E-2</v>
      </c>
      <c r="DI79" s="472">
        <v>4.7500000000000001E-2</v>
      </c>
      <c r="DJ79" s="472">
        <v>4.7399999999999998E-2</v>
      </c>
      <c r="DK79" s="472">
        <v>4.8500000000000001E-2</v>
      </c>
      <c r="DL79" s="472">
        <v>4.8599999999999997E-2</v>
      </c>
      <c r="DM79" s="472">
        <v>4.8599999999999997E-2</v>
      </c>
      <c r="DN79" s="472">
        <v>4.9000000000000002E-2</v>
      </c>
      <c r="DO79" s="472">
        <v>4.9099999999999998E-2</v>
      </c>
      <c r="DP79" s="472">
        <v>4.9000000000000002E-2</v>
      </c>
      <c r="DQ79" s="472">
        <v>4.9099999999999998E-2</v>
      </c>
      <c r="DR79" s="472">
        <v>4.9099999999999998E-2</v>
      </c>
      <c r="DS79" s="472">
        <v>4.8399999999999999E-2</v>
      </c>
      <c r="DT79" s="472">
        <v>4.8500000000000001E-2</v>
      </c>
      <c r="DU79" s="472">
        <v>4.87E-2</v>
      </c>
      <c r="DV79" s="472">
        <v>4.87E-2</v>
      </c>
      <c r="DW79" s="472">
        <v>4.9000000000000002E-2</v>
      </c>
      <c r="DX79" s="472">
        <v>4.87E-2</v>
      </c>
      <c r="DY79" s="472">
        <v>4.8599999999999997E-2</v>
      </c>
      <c r="DZ79" s="472">
        <v>4.87E-2</v>
      </c>
      <c r="EA79" s="472">
        <v>4.8899999999999999E-2</v>
      </c>
      <c r="EB79" s="472">
        <v>4.87E-2</v>
      </c>
      <c r="EC79" s="472">
        <v>4.8800000000000003E-2</v>
      </c>
      <c r="ED79" s="472">
        <v>4.87E-2</v>
      </c>
      <c r="EE79" s="472">
        <v>4.8500000000000001E-2</v>
      </c>
      <c r="EF79" s="472">
        <v>4.8399999999999999E-2</v>
      </c>
      <c r="EG79" s="472">
        <v>4.9000000000000002E-2</v>
      </c>
      <c r="EH79" s="472">
        <v>4.9000000000000002E-2</v>
      </c>
      <c r="EI79" s="472">
        <v>3.2500000000000001E-2</v>
      </c>
      <c r="EJ79" s="472">
        <v>3.0800000000000001E-2</v>
      </c>
      <c r="EK79" s="472">
        <v>3.0200000000000001E-2</v>
      </c>
      <c r="EL79" s="472">
        <v>2.92E-2</v>
      </c>
      <c r="EM79" s="472">
        <v>2.5499999999999998E-2</v>
      </c>
      <c r="EN79" s="472">
        <v>4.7100000000000003E-2</v>
      </c>
      <c r="EO79" s="472">
        <v>4.6300000000000001E-2</v>
      </c>
      <c r="EP79" s="472">
        <v>4.6199999999999998E-2</v>
      </c>
      <c r="EQ79" s="472">
        <v>4.5900000000000003E-2</v>
      </c>
      <c r="ER79" s="472">
        <v>4.6300000000000001E-2</v>
      </c>
      <c r="ES79" s="472">
        <v>4.6300000000000001E-2</v>
      </c>
      <c r="ET79" s="472">
        <v>4.5600000000000002E-2</v>
      </c>
      <c r="EU79" s="472">
        <v>4.5199999999999997E-2</v>
      </c>
      <c r="EV79" s="472">
        <v>4.4699999999999997E-2</v>
      </c>
      <c r="EW79" s="472">
        <v>4.41E-2</v>
      </c>
      <c r="EX79" s="472">
        <v>4.19E-2</v>
      </c>
      <c r="EY79" s="472">
        <v>4.2700000000000002E-2</v>
      </c>
      <c r="EZ79" s="472">
        <v>4.3400000000000001E-2</v>
      </c>
      <c r="FA79" s="484">
        <v>4.2799999999999998E-2</v>
      </c>
      <c r="FB79" s="484">
        <v>4.2099999999999999E-2</v>
      </c>
      <c r="FC79" s="472">
        <v>4.1599999999999998E-2</v>
      </c>
      <c r="FD79" s="472">
        <v>4.1099999999999998E-2</v>
      </c>
      <c r="FE79" s="484">
        <v>4.0599999999999997E-2</v>
      </c>
      <c r="FF79" s="484">
        <v>4.1500000000000002E-2</v>
      </c>
      <c r="FG79" s="484">
        <v>4.1200000000000001E-2</v>
      </c>
      <c r="FH79" s="484">
        <v>4.1099999999999998E-2</v>
      </c>
      <c r="FI79" s="484">
        <v>4.19E-2</v>
      </c>
      <c r="FJ79" s="484">
        <v>4.2599999999999999E-2</v>
      </c>
      <c r="FK79" s="484">
        <v>4.2099999999999999E-2</v>
      </c>
      <c r="FL79" s="484">
        <v>4.1799999999999997E-2</v>
      </c>
      <c r="FM79" s="484">
        <v>4.1500000000000002E-2</v>
      </c>
      <c r="FN79" s="484">
        <v>4.19E-2</v>
      </c>
      <c r="FO79" s="484">
        <v>4.1500000000000002E-2</v>
      </c>
      <c r="FP79" s="484">
        <v>4.02E-2</v>
      </c>
      <c r="FQ79" s="484">
        <v>0.04</v>
      </c>
      <c r="FR79" s="484">
        <v>3.9600000000000003E-2</v>
      </c>
      <c r="FS79" s="484">
        <v>3.6400000000000002E-2</v>
      </c>
      <c r="FT79" s="484">
        <v>3.56E-2</v>
      </c>
      <c r="FU79" s="484">
        <v>3.4099999999999998E-2</v>
      </c>
      <c r="FV79" s="472">
        <v>4.8000000000000001E-2</v>
      </c>
      <c r="FW79" s="472">
        <v>4.7899999999999998E-2</v>
      </c>
      <c r="FX79" s="472">
        <v>4.87E-2</v>
      </c>
      <c r="FY79" s="472">
        <v>4.8399999999999999E-2</v>
      </c>
      <c r="FZ79" s="472">
        <v>4.8099999999999997E-2</v>
      </c>
      <c r="GA79" s="472">
        <v>4.7699999999999999E-2</v>
      </c>
      <c r="GB79" s="472">
        <v>4.82E-2</v>
      </c>
      <c r="GC79" s="472">
        <v>4.8000000000000001E-2</v>
      </c>
      <c r="GD79" s="472">
        <v>3.0200000000000001E-2</v>
      </c>
      <c r="GE79" s="472">
        <v>3.0200000000000001E-2</v>
      </c>
      <c r="GF79" s="472">
        <v>3.0200000000000001E-2</v>
      </c>
      <c r="GG79" s="472">
        <v>3.0200000000000001E-2</v>
      </c>
      <c r="GH79" s="472">
        <v>3.0200000000000001E-2</v>
      </c>
      <c r="GI79" s="472">
        <v>3.0200000000000001E-2</v>
      </c>
      <c r="GJ79" s="472">
        <v>3.0200000000000001E-2</v>
      </c>
      <c r="GK79" s="472">
        <v>3.0200000000000001E-2</v>
      </c>
      <c r="GL79" s="472">
        <v>3.0200000000000001E-2</v>
      </c>
      <c r="GM79" s="472">
        <v>3.0200000000000001E-2</v>
      </c>
      <c r="GN79" s="472">
        <v>3.0200000000000001E-2</v>
      </c>
      <c r="GO79" s="472">
        <v>3.0200000000000001E-2</v>
      </c>
      <c r="GP79" s="472">
        <v>3.0200000000000001E-2</v>
      </c>
      <c r="GQ79" s="472">
        <v>3.0200000000000001E-2</v>
      </c>
      <c r="GR79" s="472">
        <v>3.0200000000000001E-2</v>
      </c>
      <c r="GS79" s="472">
        <v>3.0200000000000001E-2</v>
      </c>
      <c r="GT79" s="472">
        <v>3.0200000000000001E-2</v>
      </c>
      <c r="GU79" s="472">
        <v>3.0200000000000001E-2</v>
      </c>
      <c r="GV79" s="472">
        <v>3.0200000000000001E-2</v>
      </c>
      <c r="GW79" s="472">
        <v>3.0200000000000001E-2</v>
      </c>
      <c r="GX79" s="472">
        <v>3.0200000000000001E-2</v>
      </c>
      <c r="GY79" s="472">
        <v>3.0200000000000001E-2</v>
      </c>
      <c r="GZ79" s="472">
        <v>3.0200000000000001E-2</v>
      </c>
      <c r="HA79" s="472">
        <v>3.0200000000000001E-2</v>
      </c>
      <c r="HB79" s="472">
        <v>3.0200000000000001E-2</v>
      </c>
      <c r="HC79" s="472">
        <v>3.0200000000000001E-2</v>
      </c>
      <c r="HD79" s="472">
        <v>3.0200000000000001E-2</v>
      </c>
      <c r="HE79" s="472">
        <v>3.0200000000000001E-2</v>
      </c>
      <c r="HF79" s="472">
        <v>3.0200000000000001E-2</v>
      </c>
      <c r="HG79" s="472">
        <v>3.0200000000000001E-2</v>
      </c>
      <c r="HH79" s="472">
        <v>3.0200000000000001E-2</v>
      </c>
      <c r="HI79" s="472">
        <v>3.0200000000000001E-2</v>
      </c>
      <c r="HJ79" s="472">
        <v>3.0200000000000001E-2</v>
      </c>
      <c r="HK79" s="472">
        <v>3.0200000000000001E-2</v>
      </c>
      <c r="HL79" s="472">
        <v>3.0200000000000001E-2</v>
      </c>
      <c r="HM79" s="472">
        <v>3.0200000000000001E-2</v>
      </c>
      <c r="HN79" s="472">
        <v>3.0200000000000001E-2</v>
      </c>
      <c r="HO79" s="472">
        <v>3.0200000000000001E-2</v>
      </c>
      <c r="HP79" s="473">
        <f t="shared" si="30"/>
        <v>0</v>
      </c>
      <c r="HQ79" s="1145"/>
    </row>
    <row r="80" spans="2:225">
      <c r="B80" s="1139"/>
      <c r="C80" s="729" t="s">
        <v>255</v>
      </c>
      <c r="D80" s="664">
        <v>3.1600000000000003E-2</v>
      </c>
      <c r="E80" s="664">
        <v>3.1600000000000003E-2</v>
      </c>
      <c r="F80" s="664">
        <v>3.1E-2</v>
      </c>
      <c r="G80" s="664">
        <v>3.09E-2</v>
      </c>
      <c r="H80" s="664">
        <v>3.0599999999999999E-2</v>
      </c>
      <c r="I80" s="666">
        <v>3.1E-2</v>
      </c>
      <c r="J80" s="666">
        <v>3.1E-2</v>
      </c>
      <c r="K80" s="664">
        <v>3.1E-2</v>
      </c>
      <c r="L80" s="664">
        <v>3.1199999999999999E-2</v>
      </c>
      <c r="M80" s="664">
        <v>3.1600000000000003E-2</v>
      </c>
      <c r="N80" s="664">
        <v>3.1800000000000002E-2</v>
      </c>
      <c r="O80" s="664">
        <v>3.2199999999999999E-2</v>
      </c>
      <c r="P80" s="664">
        <v>3.2399999999999998E-2</v>
      </c>
      <c r="Q80" s="664">
        <v>3.27E-2</v>
      </c>
      <c r="R80" s="664">
        <v>3.2599999999999997E-2</v>
      </c>
      <c r="S80" s="664">
        <v>3.2800000000000003E-2</v>
      </c>
      <c r="T80" s="494">
        <v>3.3500000000000002E-2</v>
      </c>
      <c r="U80" s="489">
        <v>3.3399999999999999E-2</v>
      </c>
      <c r="V80" s="494">
        <v>3.3399999999999999E-2</v>
      </c>
      <c r="W80" s="470">
        <v>3.3100000000000004E-2</v>
      </c>
      <c r="X80" s="470">
        <v>3.3500000000000002E-2</v>
      </c>
      <c r="Y80" s="470">
        <v>3.3700000000000001E-2</v>
      </c>
      <c r="Z80" s="470">
        <v>3.4099999999999998E-2</v>
      </c>
      <c r="AA80" s="470">
        <v>3.4200000000000001E-2</v>
      </c>
      <c r="AB80" s="470">
        <v>3.4800000000000005E-2</v>
      </c>
      <c r="AC80" s="470">
        <v>3.5000000000000003E-2</v>
      </c>
      <c r="AD80" s="470">
        <v>3.5500000000000004E-2</v>
      </c>
      <c r="AE80" s="470">
        <v>3.6300000000000006E-2</v>
      </c>
      <c r="AF80" s="470">
        <v>3.6700000000000003E-2</v>
      </c>
      <c r="AG80" s="470">
        <v>3.6799999999999999E-2</v>
      </c>
      <c r="AH80" s="495">
        <v>3.6900000000000002E-2</v>
      </c>
      <c r="AI80" s="497">
        <v>3.7199999999999997E-2</v>
      </c>
      <c r="AJ80" s="497">
        <v>3.7699999999999997E-2</v>
      </c>
      <c r="AK80" s="497">
        <v>3.7999999999999999E-2</v>
      </c>
      <c r="AL80" s="497">
        <v>3.8199999999999998E-2</v>
      </c>
      <c r="AM80" s="497">
        <v>3.8100000000000002E-2</v>
      </c>
      <c r="AN80" s="497">
        <v>3.7699999999999997E-2</v>
      </c>
      <c r="AO80" s="497">
        <v>3.7900000000000003E-2</v>
      </c>
      <c r="AP80" s="497">
        <v>3.7999999999999999E-2</v>
      </c>
      <c r="AQ80" s="497">
        <v>3.85E-2</v>
      </c>
      <c r="AR80" s="497">
        <v>3.7999999999999999E-2</v>
      </c>
      <c r="AS80" s="497">
        <v>3.8100000000000002E-2</v>
      </c>
      <c r="AT80" s="495">
        <v>3.8600000000000002E-2</v>
      </c>
      <c r="AU80" s="495">
        <v>3.8600000000000002E-2</v>
      </c>
      <c r="AV80" s="497">
        <v>3.8399999999999997E-2</v>
      </c>
      <c r="AW80" s="496">
        <v>3.85E-2</v>
      </c>
      <c r="AX80" s="496">
        <v>3.78E-2</v>
      </c>
      <c r="AY80" s="496">
        <v>3.78E-2</v>
      </c>
      <c r="AZ80" s="496">
        <v>3.78E-2</v>
      </c>
      <c r="BA80" s="496">
        <v>3.78E-2</v>
      </c>
      <c r="BB80" s="496">
        <v>3.78E-2</v>
      </c>
      <c r="BC80" s="496">
        <v>3.78E-2</v>
      </c>
      <c r="BD80" s="496">
        <v>3.7699999999999997E-2</v>
      </c>
      <c r="BE80" s="496">
        <v>3.7699999999999997E-2</v>
      </c>
      <c r="BF80" s="496">
        <v>3.7699999999999997E-2</v>
      </c>
      <c r="BG80" s="496">
        <v>3.7699999999999997E-2</v>
      </c>
      <c r="BH80" s="496">
        <v>3.7699999999999997E-2</v>
      </c>
      <c r="BI80" s="496">
        <v>3.7699999999999997E-2</v>
      </c>
      <c r="BJ80" s="496">
        <v>3.7699999999999997E-2</v>
      </c>
      <c r="BK80" s="496">
        <v>3.7699999999999997E-2</v>
      </c>
      <c r="BL80" s="496">
        <v>3.78E-2</v>
      </c>
      <c r="BM80" s="496">
        <v>3.8399999999999997E-2</v>
      </c>
      <c r="BN80" s="496">
        <v>3.8399999999999997E-2</v>
      </c>
      <c r="BO80" s="496">
        <v>3.8399999999999997E-2</v>
      </c>
      <c r="BP80" s="496">
        <v>3.9600000000000003E-2</v>
      </c>
      <c r="BQ80" s="496">
        <v>3.9600000000000003E-2</v>
      </c>
      <c r="BR80" s="496">
        <v>4.0099999999999997E-2</v>
      </c>
      <c r="BS80" s="496">
        <v>4.0099999999999997E-2</v>
      </c>
      <c r="BT80" s="496">
        <v>4.1000000000000002E-2</v>
      </c>
      <c r="BU80" s="496">
        <v>4.1000000000000002E-2</v>
      </c>
      <c r="BV80" s="496">
        <v>4.1000000000000002E-2</v>
      </c>
      <c r="BW80" s="496">
        <v>4.1399999999999999E-2</v>
      </c>
      <c r="BX80" s="496">
        <v>4.1399999999999999E-2</v>
      </c>
      <c r="BY80" s="496">
        <v>4.0899999999999999E-2</v>
      </c>
      <c r="BZ80" s="496">
        <v>4.0899999999999999E-2</v>
      </c>
      <c r="CA80" s="496">
        <v>4.2900000000000001E-2</v>
      </c>
      <c r="CB80" s="496">
        <v>4.41E-2</v>
      </c>
      <c r="CC80" s="496">
        <v>4.4600000000000001E-2</v>
      </c>
      <c r="CD80" s="496">
        <v>4.53E-2</v>
      </c>
      <c r="CE80" s="496">
        <v>4.5699999999999998E-2</v>
      </c>
      <c r="CF80" s="496">
        <v>4.58E-2</v>
      </c>
      <c r="CG80" s="496">
        <v>4.5900000000000003E-2</v>
      </c>
      <c r="CH80" s="496">
        <v>4.7300000000000002E-2</v>
      </c>
      <c r="CI80" s="496">
        <v>4.7699999999999999E-2</v>
      </c>
      <c r="CJ80" s="496">
        <v>4.7600000000000003E-2</v>
      </c>
      <c r="CK80" s="496">
        <v>4.7899999999999998E-2</v>
      </c>
      <c r="CL80" s="496">
        <v>4.7899999999999998E-2</v>
      </c>
      <c r="CM80" s="496">
        <v>4.8099999999999997E-2</v>
      </c>
      <c r="CN80" s="496">
        <v>4.8300000000000003E-2</v>
      </c>
      <c r="CO80" s="496">
        <v>4.82E-2</v>
      </c>
      <c r="CP80" s="496">
        <v>4.82E-2</v>
      </c>
      <c r="CQ80" s="496">
        <v>4.8300000000000003E-2</v>
      </c>
      <c r="CR80" s="496">
        <v>4.8099999999999997E-2</v>
      </c>
      <c r="CS80" s="496">
        <v>4.8099999999999997E-2</v>
      </c>
      <c r="CT80" s="496">
        <v>4.8099999999999997E-2</v>
      </c>
      <c r="CU80" s="496">
        <v>4.8099999999999997E-2</v>
      </c>
      <c r="CV80" s="496">
        <v>4.8099999999999997E-2</v>
      </c>
      <c r="CW80" s="524">
        <v>4.8500000000000001E-2</v>
      </c>
      <c r="CX80" s="472">
        <v>4.8399999999999999E-2</v>
      </c>
      <c r="CY80" s="472">
        <v>4.8300000000000003E-2</v>
      </c>
      <c r="CZ80" s="472">
        <v>4.8399999999999999E-2</v>
      </c>
      <c r="DA80" s="472">
        <v>4.8599999999999997E-2</v>
      </c>
      <c r="DB80" s="472">
        <v>4.8599999999999997E-2</v>
      </c>
      <c r="DC80" s="484">
        <v>4.8599999999999997E-2</v>
      </c>
      <c r="DD80" s="484">
        <v>4.87E-2</v>
      </c>
      <c r="DE80" s="472">
        <v>4.8599999999999997E-2</v>
      </c>
      <c r="DF80" s="472">
        <v>4.8599999999999997E-2</v>
      </c>
      <c r="DG80" s="472">
        <v>4.8599999999999997E-2</v>
      </c>
      <c r="DH80" s="472">
        <v>4.8399999999999999E-2</v>
      </c>
      <c r="DI80" s="472">
        <v>4.8500000000000001E-2</v>
      </c>
      <c r="DJ80" s="472">
        <v>4.8399999999999999E-2</v>
      </c>
      <c r="DK80" s="472">
        <v>4.9500000000000002E-2</v>
      </c>
      <c r="DL80" s="472">
        <v>4.9599999999999998E-2</v>
      </c>
      <c r="DM80" s="472">
        <v>4.9599999999999998E-2</v>
      </c>
      <c r="DN80" s="472">
        <v>0.05</v>
      </c>
      <c r="DO80" s="472">
        <v>5.0099999999999999E-2</v>
      </c>
      <c r="DP80" s="472">
        <v>0.05</v>
      </c>
      <c r="DQ80" s="472">
        <v>5.0099999999999999E-2</v>
      </c>
      <c r="DR80" s="472">
        <v>5.0099999999999999E-2</v>
      </c>
      <c r="DS80" s="472">
        <v>4.9399999999999999E-2</v>
      </c>
      <c r="DT80" s="472">
        <v>4.9500000000000002E-2</v>
      </c>
      <c r="DU80" s="472">
        <v>4.9700000000000001E-2</v>
      </c>
      <c r="DV80" s="472">
        <v>4.9700000000000001E-2</v>
      </c>
      <c r="DW80" s="472">
        <v>0.05</v>
      </c>
      <c r="DX80" s="472">
        <v>4.9700000000000001E-2</v>
      </c>
      <c r="DY80" s="472">
        <v>4.9599999999999998E-2</v>
      </c>
      <c r="DZ80" s="472">
        <v>4.9700000000000001E-2</v>
      </c>
      <c r="EA80" s="472">
        <v>4.99E-2</v>
      </c>
      <c r="EB80" s="472">
        <v>4.9700000000000001E-2</v>
      </c>
      <c r="EC80" s="472">
        <v>4.9799999999999997E-2</v>
      </c>
      <c r="ED80" s="472">
        <v>4.9700000000000001E-2</v>
      </c>
      <c r="EE80" s="472">
        <v>4.9500000000000002E-2</v>
      </c>
      <c r="EF80" s="472">
        <v>4.9399999999999999E-2</v>
      </c>
      <c r="EG80" s="472">
        <v>0.05</v>
      </c>
      <c r="EH80" s="472">
        <v>0.05</v>
      </c>
      <c r="EI80" s="472">
        <v>3.3500000000000002E-2</v>
      </c>
      <c r="EJ80" s="472">
        <v>3.1800000000000002E-2</v>
      </c>
      <c r="EK80" s="472">
        <v>3.1199999999999999E-2</v>
      </c>
      <c r="EL80" s="472">
        <v>3.0200000000000001E-2</v>
      </c>
      <c r="EM80" s="472">
        <v>2.6499999999999999E-2</v>
      </c>
      <c r="EN80" s="472">
        <v>4.8099999999999997E-2</v>
      </c>
      <c r="EO80" s="472">
        <v>4.7300000000000002E-2</v>
      </c>
      <c r="EP80" s="472">
        <v>4.7199999999999999E-2</v>
      </c>
      <c r="EQ80" s="472">
        <v>4.6899999999999997E-2</v>
      </c>
      <c r="ER80" s="472">
        <v>4.7300000000000002E-2</v>
      </c>
      <c r="ES80" s="472">
        <v>4.7300000000000002E-2</v>
      </c>
      <c r="ET80" s="472">
        <v>4.6600000000000003E-2</v>
      </c>
      <c r="EU80" s="472">
        <v>4.6199999999999998E-2</v>
      </c>
      <c r="EV80" s="472">
        <v>4.5699999999999998E-2</v>
      </c>
      <c r="EW80" s="472">
        <v>4.5100000000000001E-2</v>
      </c>
      <c r="EX80" s="472">
        <v>4.2900000000000001E-2</v>
      </c>
      <c r="EY80" s="472">
        <v>4.3700000000000003E-2</v>
      </c>
      <c r="EZ80" s="472">
        <v>4.4400000000000002E-2</v>
      </c>
      <c r="FA80" s="484">
        <v>4.3799999999999999E-2</v>
      </c>
      <c r="FB80" s="484">
        <v>4.3099999999999999E-2</v>
      </c>
      <c r="FC80" s="472">
        <v>4.2599999999999999E-2</v>
      </c>
      <c r="FD80" s="472">
        <v>4.2099999999999999E-2</v>
      </c>
      <c r="FE80" s="484">
        <v>4.1599999999999998E-2</v>
      </c>
      <c r="FF80" s="484">
        <v>4.2500000000000003E-2</v>
      </c>
      <c r="FG80" s="484">
        <v>4.2200000000000001E-2</v>
      </c>
      <c r="FH80" s="484">
        <v>4.2099999999999999E-2</v>
      </c>
      <c r="FI80" s="484">
        <v>4.2900000000000001E-2</v>
      </c>
      <c r="FJ80" s="484">
        <v>4.36E-2</v>
      </c>
      <c r="FK80" s="484">
        <v>4.3099999999999999E-2</v>
      </c>
      <c r="FL80" s="484">
        <v>4.2799999999999998E-2</v>
      </c>
      <c r="FM80" s="484">
        <v>4.2500000000000003E-2</v>
      </c>
      <c r="FN80" s="484">
        <v>4.2900000000000001E-2</v>
      </c>
      <c r="FO80" s="484">
        <v>4.2500000000000003E-2</v>
      </c>
      <c r="FP80" s="484">
        <v>4.1200000000000001E-2</v>
      </c>
      <c r="FQ80" s="484">
        <v>4.1000000000000002E-2</v>
      </c>
      <c r="FR80" s="484">
        <v>4.0599999999999997E-2</v>
      </c>
      <c r="FS80" s="484">
        <v>3.7400000000000003E-2</v>
      </c>
      <c r="FT80" s="484">
        <v>3.6600000000000001E-2</v>
      </c>
      <c r="FU80" s="484">
        <v>3.5099999999999999E-2</v>
      </c>
      <c r="FV80" s="472">
        <v>4.9000000000000002E-2</v>
      </c>
      <c r="FW80" s="472">
        <v>4.8899999999999999E-2</v>
      </c>
      <c r="FX80" s="472">
        <v>4.9700000000000001E-2</v>
      </c>
      <c r="FY80" s="472">
        <v>4.9399999999999999E-2</v>
      </c>
      <c r="FZ80" s="472">
        <v>4.9099999999999998E-2</v>
      </c>
      <c r="GA80" s="472">
        <v>4.87E-2</v>
      </c>
      <c r="GB80" s="472">
        <v>4.9200000000000001E-2</v>
      </c>
      <c r="GC80" s="472">
        <v>4.9000000000000002E-2</v>
      </c>
      <c r="GD80" s="472">
        <v>3.1199999999999999E-2</v>
      </c>
      <c r="GE80" s="472">
        <v>3.1199999999999999E-2</v>
      </c>
      <c r="GF80" s="472">
        <v>3.1199999999999999E-2</v>
      </c>
      <c r="GG80" s="472">
        <v>3.1199999999999999E-2</v>
      </c>
      <c r="GH80" s="472">
        <v>3.1199999999999999E-2</v>
      </c>
      <c r="GI80" s="472">
        <v>3.1199999999999999E-2</v>
      </c>
      <c r="GJ80" s="472">
        <v>3.1199999999999999E-2</v>
      </c>
      <c r="GK80" s="472">
        <v>3.1199999999999999E-2</v>
      </c>
      <c r="GL80" s="472">
        <v>3.1199999999999999E-2</v>
      </c>
      <c r="GM80" s="472">
        <v>3.1199999999999999E-2</v>
      </c>
      <c r="GN80" s="472">
        <v>3.1199999999999999E-2</v>
      </c>
      <c r="GO80" s="472">
        <v>3.1199999999999999E-2</v>
      </c>
      <c r="GP80" s="472">
        <v>3.1199999999999999E-2</v>
      </c>
      <c r="GQ80" s="472">
        <v>3.1199999999999999E-2</v>
      </c>
      <c r="GR80" s="472">
        <v>3.1199999999999999E-2</v>
      </c>
      <c r="GS80" s="472">
        <v>3.1199999999999999E-2</v>
      </c>
      <c r="GT80" s="472">
        <v>3.1199999999999999E-2</v>
      </c>
      <c r="GU80" s="472">
        <v>3.1199999999999999E-2</v>
      </c>
      <c r="GV80" s="472">
        <v>3.1199999999999999E-2</v>
      </c>
      <c r="GW80" s="472">
        <v>3.1199999999999999E-2</v>
      </c>
      <c r="GX80" s="472">
        <v>3.1199999999999999E-2</v>
      </c>
      <c r="GY80" s="472">
        <v>3.1199999999999999E-2</v>
      </c>
      <c r="GZ80" s="472">
        <v>3.1199999999999999E-2</v>
      </c>
      <c r="HA80" s="472">
        <v>3.1199999999999999E-2</v>
      </c>
      <c r="HB80" s="472">
        <v>3.1199999999999999E-2</v>
      </c>
      <c r="HC80" s="472">
        <v>3.1199999999999999E-2</v>
      </c>
      <c r="HD80" s="472">
        <v>3.1199999999999999E-2</v>
      </c>
      <c r="HE80" s="472">
        <v>3.1199999999999999E-2</v>
      </c>
      <c r="HF80" s="472">
        <v>3.1199999999999999E-2</v>
      </c>
      <c r="HG80" s="472">
        <v>3.1199999999999999E-2</v>
      </c>
      <c r="HH80" s="472">
        <v>3.1199999999999999E-2</v>
      </c>
      <c r="HI80" s="472">
        <v>3.1199999999999999E-2</v>
      </c>
      <c r="HJ80" s="472">
        <v>3.1199999999999999E-2</v>
      </c>
      <c r="HK80" s="472">
        <v>3.1199999999999999E-2</v>
      </c>
      <c r="HL80" s="472">
        <v>3.1199999999999999E-2</v>
      </c>
      <c r="HM80" s="472">
        <v>3.1199999999999999E-2</v>
      </c>
      <c r="HN80" s="472">
        <v>3.1199999999999999E-2</v>
      </c>
      <c r="HO80" s="472">
        <v>3.1199999999999999E-2</v>
      </c>
      <c r="HP80" s="473">
        <f t="shared" si="30"/>
        <v>0</v>
      </c>
      <c r="HQ80" s="1146"/>
    </row>
    <row r="81" spans="2:225">
      <c r="B81" s="1139"/>
      <c r="C81" s="729" t="s">
        <v>254</v>
      </c>
      <c r="D81" s="664">
        <v>3.1600000000000003E-2</v>
      </c>
      <c r="E81" s="664">
        <v>3.1600000000000003E-2</v>
      </c>
      <c r="F81" s="664">
        <v>3.1E-2</v>
      </c>
      <c r="G81" s="664">
        <v>3.09E-2</v>
      </c>
      <c r="H81" s="664">
        <v>3.0599999999999999E-2</v>
      </c>
      <c r="I81" s="666">
        <v>3.1E-2</v>
      </c>
      <c r="J81" s="666">
        <v>3.1E-2</v>
      </c>
      <c r="K81" s="664">
        <v>3.1E-2</v>
      </c>
      <c r="L81" s="664">
        <v>3.1199999999999999E-2</v>
      </c>
      <c r="M81" s="664">
        <v>3.1600000000000003E-2</v>
      </c>
      <c r="N81" s="664">
        <v>3.1800000000000002E-2</v>
      </c>
      <c r="O81" s="664">
        <v>3.2199999999999999E-2</v>
      </c>
      <c r="P81" s="664">
        <v>3.2399999999999998E-2</v>
      </c>
      <c r="Q81" s="664">
        <v>3.27E-2</v>
      </c>
      <c r="R81" s="664">
        <v>3.2599999999999997E-2</v>
      </c>
      <c r="S81" s="664">
        <v>3.2800000000000003E-2</v>
      </c>
      <c r="T81" s="494">
        <v>3.3500000000000002E-2</v>
      </c>
      <c r="U81" s="489">
        <v>3.3399999999999999E-2</v>
      </c>
      <c r="V81" s="494">
        <v>3.3399999999999999E-2</v>
      </c>
      <c r="W81" s="470">
        <v>3.3100000000000004E-2</v>
      </c>
      <c r="X81" s="470">
        <v>3.3500000000000002E-2</v>
      </c>
      <c r="Y81" s="470">
        <v>3.3700000000000001E-2</v>
      </c>
      <c r="Z81" s="470">
        <v>3.4099999999999998E-2</v>
      </c>
      <c r="AA81" s="470">
        <v>3.4200000000000001E-2</v>
      </c>
      <c r="AB81" s="470">
        <v>3.4800000000000005E-2</v>
      </c>
      <c r="AC81" s="470">
        <v>3.5000000000000003E-2</v>
      </c>
      <c r="AD81" s="470">
        <v>3.5500000000000004E-2</v>
      </c>
      <c r="AE81" s="470">
        <v>3.6300000000000006E-2</v>
      </c>
      <c r="AF81" s="470">
        <v>3.6700000000000003E-2</v>
      </c>
      <c r="AG81" s="470">
        <v>3.6799999999999999E-2</v>
      </c>
      <c r="AH81" s="495">
        <v>3.6900000000000002E-2</v>
      </c>
      <c r="AI81" s="497">
        <v>3.7199999999999997E-2</v>
      </c>
      <c r="AJ81" s="497">
        <v>3.7699999999999997E-2</v>
      </c>
      <c r="AK81" s="497">
        <v>3.7999999999999999E-2</v>
      </c>
      <c r="AL81" s="497">
        <v>3.8199999999999998E-2</v>
      </c>
      <c r="AM81" s="497">
        <v>3.8100000000000002E-2</v>
      </c>
      <c r="AN81" s="497">
        <v>3.7699999999999997E-2</v>
      </c>
      <c r="AO81" s="497">
        <v>3.7900000000000003E-2</v>
      </c>
      <c r="AP81" s="497">
        <v>3.7999999999999999E-2</v>
      </c>
      <c r="AQ81" s="497">
        <v>3.85E-2</v>
      </c>
      <c r="AR81" s="497">
        <v>3.7999999999999999E-2</v>
      </c>
      <c r="AS81" s="497">
        <v>3.8100000000000002E-2</v>
      </c>
      <c r="AT81" s="495">
        <v>3.8600000000000002E-2</v>
      </c>
      <c r="AU81" s="495">
        <v>3.8600000000000002E-2</v>
      </c>
      <c r="AV81" s="497">
        <v>3.8399999999999997E-2</v>
      </c>
      <c r="AW81" s="496">
        <v>3.85E-2</v>
      </c>
      <c r="AX81" s="496">
        <v>3.78E-2</v>
      </c>
      <c r="AY81" s="496">
        <v>3.78E-2</v>
      </c>
      <c r="AZ81" s="496">
        <v>3.78E-2</v>
      </c>
      <c r="BA81" s="496">
        <v>3.78E-2</v>
      </c>
      <c r="BB81" s="496">
        <v>3.78E-2</v>
      </c>
      <c r="BC81" s="496">
        <v>3.78E-2</v>
      </c>
      <c r="BD81" s="496">
        <v>3.7699999999999997E-2</v>
      </c>
      <c r="BE81" s="496">
        <v>3.7699999999999997E-2</v>
      </c>
      <c r="BF81" s="496">
        <v>3.7699999999999997E-2</v>
      </c>
      <c r="BG81" s="496">
        <v>3.7699999999999997E-2</v>
      </c>
      <c r="BH81" s="496">
        <v>3.7699999999999997E-2</v>
      </c>
      <c r="BI81" s="496">
        <v>3.7699999999999997E-2</v>
      </c>
      <c r="BJ81" s="496">
        <v>3.7699999999999997E-2</v>
      </c>
      <c r="BK81" s="496">
        <v>3.7699999999999997E-2</v>
      </c>
      <c r="BL81" s="496">
        <v>3.78E-2</v>
      </c>
      <c r="BM81" s="496">
        <v>3.8399999999999997E-2</v>
      </c>
      <c r="BN81" s="496">
        <v>3.8399999999999997E-2</v>
      </c>
      <c r="BO81" s="496">
        <v>3.8399999999999997E-2</v>
      </c>
      <c r="BP81" s="496">
        <v>3.9600000000000003E-2</v>
      </c>
      <c r="BQ81" s="496">
        <v>3.9600000000000003E-2</v>
      </c>
      <c r="BR81" s="496">
        <v>4.0099999999999997E-2</v>
      </c>
      <c r="BS81" s="496">
        <v>4.0099999999999997E-2</v>
      </c>
      <c r="BT81" s="496">
        <v>4.1000000000000002E-2</v>
      </c>
      <c r="BU81" s="496">
        <v>4.1000000000000002E-2</v>
      </c>
      <c r="BV81" s="496">
        <v>4.1000000000000002E-2</v>
      </c>
      <c r="BW81" s="496">
        <v>4.1399999999999999E-2</v>
      </c>
      <c r="BX81" s="496">
        <v>4.1399999999999999E-2</v>
      </c>
      <c r="BY81" s="496">
        <v>4.0899999999999999E-2</v>
      </c>
      <c r="BZ81" s="496">
        <v>4.0899999999999999E-2</v>
      </c>
      <c r="CA81" s="496">
        <v>4.2900000000000001E-2</v>
      </c>
      <c r="CB81" s="496">
        <v>4.41E-2</v>
      </c>
      <c r="CC81" s="496">
        <v>4.4600000000000001E-2</v>
      </c>
      <c r="CD81" s="496">
        <v>4.53E-2</v>
      </c>
      <c r="CE81" s="496">
        <v>4.5699999999999998E-2</v>
      </c>
      <c r="CF81" s="496">
        <v>4.58E-2</v>
      </c>
      <c r="CG81" s="496">
        <v>4.5900000000000003E-2</v>
      </c>
      <c r="CH81" s="496">
        <v>4.7300000000000002E-2</v>
      </c>
      <c r="CI81" s="496">
        <v>4.7699999999999999E-2</v>
      </c>
      <c r="CJ81" s="496">
        <v>4.7600000000000003E-2</v>
      </c>
      <c r="CK81" s="496">
        <v>4.7899999999999998E-2</v>
      </c>
      <c r="CL81" s="496">
        <v>4.7899999999999998E-2</v>
      </c>
      <c r="CM81" s="496">
        <v>4.8099999999999997E-2</v>
      </c>
      <c r="CN81" s="496">
        <v>4.8300000000000003E-2</v>
      </c>
      <c r="CO81" s="496">
        <v>4.82E-2</v>
      </c>
      <c r="CP81" s="496">
        <v>4.82E-2</v>
      </c>
      <c r="CQ81" s="496">
        <v>4.8300000000000003E-2</v>
      </c>
      <c r="CR81" s="496">
        <v>4.8099999999999997E-2</v>
      </c>
      <c r="CS81" s="496">
        <v>4.8099999999999997E-2</v>
      </c>
      <c r="CT81" s="496">
        <v>4.8099999999999997E-2</v>
      </c>
      <c r="CU81" s="496">
        <v>4.8099999999999997E-2</v>
      </c>
      <c r="CV81" s="496">
        <v>4.8099999999999997E-2</v>
      </c>
      <c r="CW81" s="524">
        <v>4.8500000000000001E-2</v>
      </c>
      <c r="CX81" s="472">
        <v>4.8399999999999999E-2</v>
      </c>
      <c r="CY81" s="472">
        <v>4.8300000000000003E-2</v>
      </c>
      <c r="CZ81" s="472">
        <v>4.8399999999999999E-2</v>
      </c>
      <c r="DA81" s="472">
        <v>4.8599999999999997E-2</v>
      </c>
      <c r="DB81" s="472">
        <v>4.8599999999999997E-2</v>
      </c>
      <c r="DC81" s="484">
        <v>4.8599999999999997E-2</v>
      </c>
      <c r="DD81" s="484">
        <v>4.87E-2</v>
      </c>
      <c r="DE81" s="472">
        <v>4.8599999999999997E-2</v>
      </c>
      <c r="DF81" s="472">
        <v>4.8599999999999997E-2</v>
      </c>
      <c r="DG81" s="472">
        <v>4.8599999999999997E-2</v>
      </c>
      <c r="DH81" s="472">
        <v>4.8399999999999999E-2</v>
      </c>
      <c r="DI81" s="472">
        <v>4.8500000000000001E-2</v>
      </c>
      <c r="DJ81" s="472">
        <v>4.8399999999999999E-2</v>
      </c>
      <c r="DK81" s="472">
        <v>4.9500000000000002E-2</v>
      </c>
      <c r="DL81" s="472">
        <v>4.9599999999999998E-2</v>
      </c>
      <c r="DM81" s="472">
        <v>4.9599999999999998E-2</v>
      </c>
      <c r="DN81" s="472">
        <v>0.05</v>
      </c>
      <c r="DO81" s="472">
        <v>5.0099999999999999E-2</v>
      </c>
      <c r="DP81" s="472">
        <v>0.05</v>
      </c>
      <c r="DQ81" s="472">
        <v>5.0099999999999999E-2</v>
      </c>
      <c r="DR81" s="472">
        <v>5.0099999999999999E-2</v>
      </c>
      <c r="DS81" s="472">
        <v>4.9399999999999999E-2</v>
      </c>
      <c r="DT81" s="472">
        <v>4.9500000000000002E-2</v>
      </c>
      <c r="DU81" s="472">
        <v>4.9700000000000001E-2</v>
      </c>
      <c r="DV81" s="472">
        <v>4.9700000000000001E-2</v>
      </c>
      <c r="DW81" s="472">
        <v>0.05</v>
      </c>
      <c r="DX81" s="472">
        <v>4.9700000000000001E-2</v>
      </c>
      <c r="DY81" s="472">
        <v>4.9599999999999998E-2</v>
      </c>
      <c r="DZ81" s="472">
        <v>4.9700000000000001E-2</v>
      </c>
      <c r="EA81" s="472">
        <v>4.99E-2</v>
      </c>
      <c r="EB81" s="472">
        <v>4.9700000000000001E-2</v>
      </c>
      <c r="EC81" s="472">
        <v>4.9799999999999997E-2</v>
      </c>
      <c r="ED81" s="472">
        <v>4.9700000000000001E-2</v>
      </c>
      <c r="EE81" s="472">
        <v>4.9500000000000002E-2</v>
      </c>
      <c r="EF81" s="472">
        <v>4.9399999999999999E-2</v>
      </c>
      <c r="EG81" s="472">
        <v>0.05</v>
      </c>
      <c r="EH81" s="472">
        <v>0.05</v>
      </c>
      <c r="EI81" s="472">
        <v>3.3500000000000002E-2</v>
      </c>
      <c r="EJ81" s="472">
        <v>3.1800000000000002E-2</v>
      </c>
      <c r="EK81" s="472">
        <v>3.1199999999999999E-2</v>
      </c>
      <c r="EL81" s="472">
        <v>3.0200000000000001E-2</v>
      </c>
      <c r="EM81" s="472">
        <v>2.6499999999999999E-2</v>
      </c>
      <c r="EN81" s="472">
        <v>4.8099999999999997E-2</v>
      </c>
      <c r="EO81" s="472">
        <v>4.7300000000000002E-2</v>
      </c>
      <c r="EP81" s="472">
        <v>4.7199999999999999E-2</v>
      </c>
      <c r="EQ81" s="472">
        <v>4.6899999999999997E-2</v>
      </c>
      <c r="ER81" s="472">
        <v>4.7300000000000002E-2</v>
      </c>
      <c r="ES81" s="472">
        <v>4.7300000000000002E-2</v>
      </c>
      <c r="ET81" s="472">
        <v>4.6600000000000003E-2</v>
      </c>
      <c r="EU81" s="472">
        <v>4.6199999999999998E-2</v>
      </c>
      <c r="EV81" s="472">
        <v>4.5699999999999998E-2</v>
      </c>
      <c r="EW81" s="472">
        <v>4.5100000000000001E-2</v>
      </c>
      <c r="EX81" s="472">
        <v>4.2900000000000001E-2</v>
      </c>
      <c r="EY81" s="472">
        <v>4.3700000000000003E-2</v>
      </c>
      <c r="EZ81" s="472">
        <v>4.4400000000000002E-2</v>
      </c>
      <c r="FA81" s="484">
        <v>4.3799999999999999E-2</v>
      </c>
      <c r="FB81" s="484">
        <v>4.3099999999999999E-2</v>
      </c>
      <c r="FC81" s="472">
        <v>4.2599999999999999E-2</v>
      </c>
      <c r="FD81" s="472">
        <v>4.2099999999999999E-2</v>
      </c>
      <c r="FE81" s="484">
        <v>4.1599999999999998E-2</v>
      </c>
      <c r="FF81" s="484">
        <v>4.2500000000000003E-2</v>
      </c>
      <c r="FG81" s="484">
        <v>4.2200000000000001E-2</v>
      </c>
      <c r="FH81" s="484">
        <v>4.2099999999999999E-2</v>
      </c>
      <c r="FI81" s="484">
        <v>4.2900000000000001E-2</v>
      </c>
      <c r="FJ81" s="484">
        <v>4.36E-2</v>
      </c>
      <c r="FK81" s="484">
        <v>4.3099999999999999E-2</v>
      </c>
      <c r="FL81" s="484">
        <v>4.2799999999999998E-2</v>
      </c>
      <c r="FM81" s="484">
        <v>4.2500000000000003E-2</v>
      </c>
      <c r="FN81" s="484">
        <v>4.2900000000000001E-2</v>
      </c>
      <c r="FO81" s="484">
        <v>4.2500000000000003E-2</v>
      </c>
      <c r="FP81" s="484">
        <v>4.1200000000000001E-2</v>
      </c>
      <c r="FQ81" s="484">
        <v>4.1000000000000002E-2</v>
      </c>
      <c r="FR81" s="484">
        <v>4.0599999999999997E-2</v>
      </c>
      <c r="FS81" s="484">
        <v>3.7400000000000003E-2</v>
      </c>
      <c r="FT81" s="484">
        <v>3.6600000000000001E-2</v>
      </c>
      <c r="FU81" s="484">
        <v>3.5099999999999999E-2</v>
      </c>
      <c r="FV81" s="472">
        <v>4.9000000000000002E-2</v>
      </c>
      <c r="FW81" s="472">
        <v>4.8899999999999999E-2</v>
      </c>
      <c r="FX81" s="472">
        <v>4.9700000000000001E-2</v>
      </c>
      <c r="FY81" s="472">
        <v>4.9399999999999999E-2</v>
      </c>
      <c r="FZ81" s="472">
        <v>4.9099999999999998E-2</v>
      </c>
      <c r="GA81" s="472">
        <v>4.87E-2</v>
      </c>
      <c r="GB81" s="472">
        <v>4.9200000000000001E-2</v>
      </c>
      <c r="GC81" s="472">
        <v>4.9000000000000002E-2</v>
      </c>
      <c r="GD81" s="472">
        <v>3.1199999999999999E-2</v>
      </c>
      <c r="GE81" s="472">
        <v>3.1199999999999999E-2</v>
      </c>
      <c r="GF81" s="472">
        <v>3.1199999999999999E-2</v>
      </c>
      <c r="GG81" s="472">
        <v>3.1199999999999999E-2</v>
      </c>
      <c r="GH81" s="472">
        <v>3.1199999999999999E-2</v>
      </c>
      <c r="GI81" s="472">
        <v>3.1199999999999999E-2</v>
      </c>
      <c r="GJ81" s="472">
        <v>3.1199999999999999E-2</v>
      </c>
      <c r="GK81" s="472">
        <v>3.1199999999999999E-2</v>
      </c>
      <c r="GL81" s="472">
        <v>3.1199999999999999E-2</v>
      </c>
      <c r="GM81" s="472">
        <v>3.1199999999999999E-2</v>
      </c>
      <c r="GN81" s="472">
        <v>3.1199999999999999E-2</v>
      </c>
      <c r="GO81" s="472">
        <v>3.1199999999999999E-2</v>
      </c>
      <c r="GP81" s="472">
        <v>3.1199999999999999E-2</v>
      </c>
      <c r="GQ81" s="472">
        <v>3.1199999999999999E-2</v>
      </c>
      <c r="GR81" s="472">
        <v>3.1199999999999999E-2</v>
      </c>
      <c r="GS81" s="472">
        <v>3.1199999999999999E-2</v>
      </c>
      <c r="GT81" s="472">
        <v>3.1199999999999999E-2</v>
      </c>
      <c r="GU81" s="472">
        <v>3.1199999999999999E-2</v>
      </c>
      <c r="GV81" s="472">
        <v>3.1199999999999999E-2</v>
      </c>
      <c r="GW81" s="472">
        <v>3.1199999999999999E-2</v>
      </c>
      <c r="GX81" s="472">
        <v>3.1199999999999999E-2</v>
      </c>
      <c r="GY81" s="472">
        <v>3.1199999999999999E-2</v>
      </c>
      <c r="GZ81" s="472">
        <v>3.1199999999999999E-2</v>
      </c>
      <c r="HA81" s="472">
        <v>3.1199999999999999E-2</v>
      </c>
      <c r="HB81" s="472">
        <v>3.1199999999999999E-2</v>
      </c>
      <c r="HC81" s="472">
        <v>3.1199999999999999E-2</v>
      </c>
      <c r="HD81" s="472">
        <v>3.1199999999999999E-2</v>
      </c>
      <c r="HE81" s="472">
        <v>3.1199999999999999E-2</v>
      </c>
      <c r="HF81" s="472">
        <v>3.1199999999999999E-2</v>
      </c>
      <c r="HG81" s="472">
        <v>3.1199999999999999E-2</v>
      </c>
      <c r="HH81" s="472">
        <v>3.1199999999999999E-2</v>
      </c>
      <c r="HI81" s="472">
        <v>3.1199999999999999E-2</v>
      </c>
      <c r="HJ81" s="472">
        <v>3.1199999999999999E-2</v>
      </c>
      <c r="HK81" s="472">
        <v>3.1199999999999999E-2</v>
      </c>
      <c r="HL81" s="472">
        <v>3.1199999999999999E-2</v>
      </c>
      <c r="HM81" s="472">
        <v>3.1199999999999999E-2</v>
      </c>
      <c r="HN81" s="472">
        <v>3.1199999999999999E-2</v>
      </c>
      <c r="HO81" s="472">
        <v>3.1199999999999999E-2</v>
      </c>
      <c r="HP81" s="473">
        <f t="shared" si="30"/>
        <v>0</v>
      </c>
      <c r="HQ81" s="1146"/>
    </row>
    <row r="82" spans="2:225">
      <c r="B82" s="1139"/>
      <c r="C82" s="729" t="s">
        <v>253</v>
      </c>
      <c r="D82" s="664">
        <v>3.2599999999999997E-2</v>
      </c>
      <c r="E82" s="664">
        <v>3.2599999999999997E-2</v>
      </c>
      <c r="F82" s="664">
        <v>3.2000000000000001E-2</v>
      </c>
      <c r="G82" s="664">
        <v>3.1899999999999998E-2</v>
      </c>
      <c r="H82" s="664">
        <v>3.1600000000000003E-2</v>
      </c>
      <c r="I82" s="666">
        <v>3.2000000000000001E-2</v>
      </c>
      <c r="J82" s="666">
        <v>3.2000000000000001E-2</v>
      </c>
      <c r="K82" s="664">
        <v>3.2000000000000001E-2</v>
      </c>
      <c r="L82" s="664">
        <v>3.2199999999999999E-2</v>
      </c>
      <c r="M82" s="664">
        <v>3.2599999999999997E-2</v>
      </c>
      <c r="N82" s="664">
        <v>3.2800000000000003E-2</v>
      </c>
      <c r="O82" s="664">
        <v>3.32E-2</v>
      </c>
      <c r="P82" s="664">
        <v>3.3399999999999999E-2</v>
      </c>
      <c r="Q82" s="664">
        <v>3.3700000000000001E-2</v>
      </c>
      <c r="R82" s="664">
        <v>3.3599999999999998E-2</v>
      </c>
      <c r="S82" s="664">
        <v>3.3800000000000004E-2</v>
      </c>
      <c r="T82" s="494">
        <v>3.4500000000000003E-2</v>
      </c>
      <c r="U82" s="489">
        <v>3.44E-2</v>
      </c>
      <c r="V82" s="494">
        <v>3.44E-2</v>
      </c>
      <c r="W82" s="470">
        <v>3.4100000000000005E-2</v>
      </c>
      <c r="X82" s="470">
        <v>3.4500000000000003E-2</v>
      </c>
      <c r="Y82" s="470">
        <v>3.4700000000000002E-2</v>
      </c>
      <c r="Z82" s="470">
        <v>3.5099999999999999E-2</v>
      </c>
      <c r="AA82" s="470">
        <v>3.5200000000000002E-2</v>
      </c>
      <c r="AB82" s="470">
        <v>3.5799999999999998E-2</v>
      </c>
      <c r="AC82" s="470">
        <v>3.5999999999999997E-2</v>
      </c>
      <c r="AD82" s="470">
        <v>3.6499999999999998E-2</v>
      </c>
      <c r="AE82" s="470">
        <v>3.73E-2</v>
      </c>
      <c r="AF82" s="470">
        <v>3.7699999999999997E-2</v>
      </c>
      <c r="AG82" s="470">
        <v>3.78E-2</v>
      </c>
      <c r="AH82" s="495">
        <v>3.7900000000000003E-2</v>
      </c>
      <c r="AI82" s="497">
        <v>3.8199999999999998E-2</v>
      </c>
      <c r="AJ82" s="497">
        <v>3.8699999999999998E-2</v>
      </c>
      <c r="AK82" s="497">
        <v>3.9E-2</v>
      </c>
      <c r="AL82" s="497">
        <v>3.9199999999999999E-2</v>
      </c>
      <c r="AM82" s="497">
        <v>3.9100000000000003E-2</v>
      </c>
      <c r="AN82" s="497">
        <v>3.8699999999999998E-2</v>
      </c>
      <c r="AO82" s="497">
        <v>3.8899999999999997E-2</v>
      </c>
      <c r="AP82" s="497">
        <v>3.9E-2</v>
      </c>
      <c r="AQ82" s="497">
        <v>3.95E-2</v>
      </c>
      <c r="AR82" s="497">
        <v>3.9E-2</v>
      </c>
      <c r="AS82" s="497">
        <v>3.9100000000000003E-2</v>
      </c>
      <c r="AT82" s="495">
        <v>3.9600000000000003E-2</v>
      </c>
      <c r="AU82" s="495">
        <v>3.9600000000000003E-2</v>
      </c>
      <c r="AV82" s="497">
        <v>3.9399999999999998E-2</v>
      </c>
      <c r="AW82" s="496">
        <v>3.95E-2</v>
      </c>
      <c r="AX82" s="496">
        <v>3.8800000000000001E-2</v>
      </c>
      <c r="AY82" s="496">
        <v>3.8800000000000001E-2</v>
      </c>
      <c r="AZ82" s="496">
        <v>3.8800000000000001E-2</v>
      </c>
      <c r="BA82" s="496">
        <v>3.8800000000000001E-2</v>
      </c>
      <c r="BB82" s="496">
        <v>3.8800000000000001E-2</v>
      </c>
      <c r="BC82" s="496">
        <v>3.8800000000000001E-2</v>
      </c>
      <c r="BD82" s="496">
        <v>3.8699999999999998E-2</v>
      </c>
      <c r="BE82" s="496">
        <v>3.8699999999999998E-2</v>
      </c>
      <c r="BF82" s="496">
        <v>3.8699999999999998E-2</v>
      </c>
      <c r="BG82" s="496">
        <v>3.8699999999999998E-2</v>
      </c>
      <c r="BH82" s="496">
        <v>3.8699999999999998E-2</v>
      </c>
      <c r="BI82" s="496">
        <v>3.8699999999999998E-2</v>
      </c>
      <c r="BJ82" s="496">
        <v>3.8699999999999998E-2</v>
      </c>
      <c r="BK82" s="496">
        <v>3.8699999999999998E-2</v>
      </c>
      <c r="BL82" s="496">
        <v>3.8800000000000001E-2</v>
      </c>
      <c r="BM82" s="496">
        <v>3.9399999999999998E-2</v>
      </c>
      <c r="BN82" s="496">
        <v>3.9399999999999998E-2</v>
      </c>
      <c r="BO82" s="496">
        <v>3.9399999999999998E-2</v>
      </c>
      <c r="BP82" s="496">
        <v>4.0599999999999997E-2</v>
      </c>
      <c r="BQ82" s="496">
        <v>4.0599999999999997E-2</v>
      </c>
      <c r="BR82" s="496">
        <v>4.1099999999999998E-2</v>
      </c>
      <c r="BS82" s="496">
        <v>4.1099999999999998E-2</v>
      </c>
      <c r="BT82" s="496">
        <v>4.2000000000000003E-2</v>
      </c>
      <c r="BU82" s="496">
        <v>4.2000000000000003E-2</v>
      </c>
      <c r="BV82" s="496">
        <v>4.2000000000000003E-2</v>
      </c>
      <c r="BW82" s="496">
        <v>4.24E-2</v>
      </c>
      <c r="BX82" s="496">
        <v>4.24E-2</v>
      </c>
      <c r="BY82" s="496">
        <v>4.19E-2</v>
      </c>
      <c r="BZ82" s="496">
        <v>4.19E-2</v>
      </c>
      <c r="CA82" s="496">
        <v>4.3900000000000002E-2</v>
      </c>
      <c r="CB82" s="496">
        <v>4.5100000000000001E-2</v>
      </c>
      <c r="CC82" s="496">
        <v>4.5600000000000002E-2</v>
      </c>
      <c r="CD82" s="496">
        <v>4.6300000000000001E-2</v>
      </c>
      <c r="CE82" s="496">
        <v>4.6699999999999998E-2</v>
      </c>
      <c r="CF82" s="496">
        <v>4.6800000000000001E-2</v>
      </c>
      <c r="CG82" s="496">
        <v>4.6899999999999997E-2</v>
      </c>
      <c r="CH82" s="496">
        <v>4.8300000000000003E-2</v>
      </c>
      <c r="CI82" s="496">
        <v>4.87E-2</v>
      </c>
      <c r="CJ82" s="496">
        <v>4.8599999999999997E-2</v>
      </c>
      <c r="CK82" s="496">
        <v>4.8899999999999999E-2</v>
      </c>
      <c r="CL82" s="496">
        <v>4.8899999999999999E-2</v>
      </c>
      <c r="CM82" s="496">
        <v>4.9099999999999998E-2</v>
      </c>
      <c r="CN82" s="496">
        <v>4.9299999999999997E-2</v>
      </c>
      <c r="CO82" s="496">
        <v>4.9200000000000001E-2</v>
      </c>
      <c r="CP82" s="496">
        <v>4.9200000000000001E-2</v>
      </c>
      <c r="CQ82" s="496">
        <v>4.9299999999999997E-2</v>
      </c>
      <c r="CR82" s="496">
        <v>4.9099999999999998E-2</v>
      </c>
      <c r="CS82" s="496">
        <v>4.9099999999999998E-2</v>
      </c>
      <c r="CT82" s="496">
        <v>4.9099999999999998E-2</v>
      </c>
      <c r="CU82" s="496">
        <v>4.9099999999999998E-2</v>
      </c>
      <c r="CV82" s="496">
        <v>4.9099999999999998E-2</v>
      </c>
      <c r="CW82" s="524">
        <v>4.9500000000000002E-2</v>
      </c>
      <c r="CX82" s="472">
        <v>4.9399999999999999E-2</v>
      </c>
      <c r="CY82" s="472">
        <v>4.9299999999999997E-2</v>
      </c>
      <c r="CZ82" s="472">
        <v>4.9399999999999999E-2</v>
      </c>
      <c r="DA82" s="472">
        <v>4.9599999999999998E-2</v>
      </c>
      <c r="DB82" s="472">
        <v>4.9599999999999998E-2</v>
      </c>
      <c r="DC82" s="484">
        <v>4.9599999999999998E-2</v>
      </c>
      <c r="DD82" s="484">
        <v>4.9700000000000001E-2</v>
      </c>
      <c r="DE82" s="472">
        <v>4.9599999999999998E-2</v>
      </c>
      <c r="DF82" s="472">
        <v>4.9599999999999998E-2</v>
      </c>
      <c r="DG82" s="472">
        <v>4.9599999999999998E-2</v>
      </c>
      <c r="DH82" s="472">
        <v>4.9399999999999999E-2</v>
      </c>
      <c r="DI82" s="472">
        <v>4.9500000000000002E-2</v>
      </c>
      <c r="DJ82" s="472">
        <v>4.9399999999999999E-2</v>
      </c>
      <c r="DK82" s="472">
        <v>5.0500000000000003E-2</v>
      </c>
      <c r="DL82" s="472">
        <v>5.0599999999999999E-2</v>
      </c>
      <c r="DM82" s="472">
        <v>5.0599999999999999E-2</v>
      </c>
      <c r="DN82" s="472">
        <v>5.0999999999999997E-2</v>
      </c>
      <c r="DO82" s="472">
        <v>5.11E-2</v>
      </c>
      <c r="DP82" s="472">
        <v>5.0999999999999997E-2</v>
      </c>
      <c r="DQ82" s="472">
        <v>5.11E-2</v>
      </c>
      <c r="DR82" s="472">
        <v>5.11E-2</v>
      </c>
      <c r="DS82" s="472">
        <v>5.04E-2</v>
      </c>
      <c r="DT82" s="472">
        <v>5.0500000000000003E-2</v>
      </c>
      <c r="DU82" s="472">
        <v>5.0700000000000002E-2</v>
      </c>
      <c r="DV82" s="472">
        <v>5.0700000000000002E-2</v>
      </c>
      <c r="DW82" s="472">
        <v>5.0999999999999997E-2</v>
      </c>
      <c r="DX82" s="472">
        <v>5.0700000000000002E-2</v>
      </c>
      <c r="DY82" s="472">
        <v>5.0599999999999999E-2</v>
      </c>
      <c r="DZ82" s="472">
        <v>5.0700000000000002E-2</v>
      </c>
      <c r="EA82" s="472">
        <v>5.0900000000000001E-2</v>
      </c>
      <c r="EB82" s="472">
        <v>5.0700000000000002E-2</v>
      </c>
      <c r="EC82" s="472">
        <v>5.0799999999999998E-2</v>
      </c>
      <c r="ED82" s="472">
        <v>5.0700000000000002E-2</v>
      </c>
      <c r="EE82" s="472">
        <v>5.0500000000000003E-2</v>
      </c>
      <c r="EF82" s="472">
        <v>5.04E-2</v>
      </c>
      <c r="EG82" s="472">
        <v>5.0999999999999997E-2</v>
      </c>
      <c r="EH82" s="472">
        <v>5.0999999999999997E-2</v>
      </c>
      <c r="EI82" s="472">
        <v>3.4500000000000003E-2</v>
      </c>
      <c r="EJ82" s="472">
        <v>3.2800000000000003E-2</v>
      </c>
      <c r="EK82" s="472">
        <v>3.2199999999999999E-2</v>
      </c>
      <c r="EL82" s="472">
        <v>3.1199999999999999E-2</v>
      </c>
      <c r="EM82" s="472">
        <v>2.75E-2</v>
      </c>
      <c r="EN82" s="472">
        <v>4.9099999999999998E-2</v>
      </c>
      <c r="EO82" s="472">
        <v>4.8300000000000003E-2</v>
      </c>
      <c r="EP82" s="472">
        <v>4.82E-2</v>
      </c>
      <c r="EQ82" s="472">
        <v>4.7899999999999998E-2</v>
      </c>
      <c r="ER82" s="472">
        <v>4.8300000000000003E-2</v>
      </c>
      <c r="ES82" s="472">
        <v>4.8300000000000003E-2</v>
      </c>
      <c r="ET82" s="472">
        <v>4.7600000000000003E-2</v>
      </c>
      <c r="EU82" s="472">
        <v>4.7199999999999999E-2</v>
      </c>
      <c r="EV82" s="472">
        <v>4.6699999999999998E-2</v>
      </c>
      <c r="EW82" s="472">
        <v>4.6100000000000002E-2</v>
      </c>
      <c r="EX82" s="472">
        <v>4.3900000000000002E-2</v>
      </c>
      <c r="EY82" s="472">
        <v>4.4699999999999997E-2</v>
      </c>
      <c r="EZ82" s="472">
        <v>4.5400000000000003E-2</v>
      </c>
      <c r="FA82" s="484">
        <v>4.48E-2</v>
      </c>
      <c r="FB82" s="484">
        <v>4.41E-2</v>
      </c>
      <c r="FC82" s="472">
        <v>4.36E-2</v>
      </c>
      <c r="FD82" s="472">
        <v>4.3099999999999999E-2</v>
      </c>
      <c r="FE82" s="484">
        <v>4.2599999999999999E-2</v>
      </c>
      <c r="FF82" s="484">
        <v>4.3499999999999997E-2</v>
      </c>
      <c r="FG82" s="484">
        <v>4.3200000000000002E-2</v>
      </c>
      <c r="FH82" s="484">
        <v>4.3099999999999999E-2</v>
      </c>
      <c r="FI82" s="484">
        <v>4.3900000000000002E-2</v>
      </c>
      <c r="FJ82" s="484">
        <v>4.4600000000000001E-2</v>
      </c>
      <c r="FK82" s="484">
        <v>4.41E-2</v>
      </c>
      <c r="FL82" s="484">
        <v>4.3799999999999999E-2</v>
      </c>
      <c r="FM82" s="484">
        <v>4.3499999999999997E-2</v>
      </c>
      <c r="FN82" s="484">
        <v>4.3900000000000002E-2</v>
      </c>
      <c r="FO82" s="484">
        <v>4.3499999999999997E-2</v>
      </c>
      <c r="FP82" s="484">
        <v>4.2200000000000001E-2</v>
      </c>
      <c r="FQ82" s="484">
        <v>4.2000000000000003E-2</v>
      </c>
      <c r="FR82" s="484">
        <v>4.1599999999999998E-2</v>
      </c>
      <c r="FS82" s="484">
        <v>3.8399999999999997E-2</v>
      </c>
      <c r="FT82" s="484">
        <v>3.7600000000000001E-2</v>
      </c>
      <c r="FU82" s="484">
        <v>3.61E-2</v>
      </c>
      <c r="FV82" s="472">
        <v>0.05</v>
      </c>
      <c r="FW82" s="472">
        <v>4.99E-2</v>
      </c>
      <c r="FX82" s="472">
        <v>5.0700000000000002E-2</v>
      </c>
      <c r="FY82" s="472">
        <v>5.04E-2</v>
      </c>
      <c r="FZ82" s="472">
        <v>5.0099999999999999E-2</v>
      </c>
      <c r="GA82" s="472">
        <v>4.9700000000000001E-2</v>
      </c>
      <c r="GB82" s="472">
        <v>5.0200000000000002E-2</v>
      </c>
      <c r="GC82" s="472">
        <v>0.05</v>
      </c>
      <c r="GD82" s="472">
        <v>3.2199999999999999E-2</v>
      </c>
      <c r="GE82" s="472">
        <v>3.2199999999999999E-2</v>
      </c>
      <c r="GF82" s="472">
        <v>3.2199999999999999E-2</v>
      </c>
      <c r="GG82" s="472">
        <v>3.2199999999999999E-2</v>
      </c>
      <c r="GH82" s="472">
        <v>3.2199999999999999E-2</v>
      </c>
      <c r="GI82" s="472">
        <v>3.2199999999999999E-2</v>
      </c>
      <c r="GJ82" s="472">
        <v>3.2199999999999999E-2</v>
      </c>
      <c r="GK82" s="472">
        <v>3.2199999999999999E-2</v>
      </c>
      <c r="GL82" s="472">
        <v>3.2199999999999999E-2</v>
      </c>
      <c r="GM82" s="472">
        <v>3.2199999999999999E-2</v>
      </c>
      <c r="GN82" s="472">
        <v>3.2199999999999999E-2</v>
      </c>
      <c r="GO82" s="472">
        <v>3.2199999999999999E-2</v>
      </c>
      <c r="GP82" s="472">
        <v>3.2199999999999999E-2</v>
      </c>
      <c r="GQ82" s="472">
        <v>3.2199999999999999E-2</v>
      </c>
      <c r="GR82" s="472">
        <v>3.2199999999999999E-2</v>
      </c>
      <c r="GS82" s="472">
        <v>3.2199999999999999E-2</v>
      </c>
      <c r="GT82" s="472">
        <v>3.2199999999999999E-2</v>
      </c>
      <c r="GU82" s="472">
        <v>3.2199999999999999E-2</v>
      </c>
      <c r="GV82" s="472">
        <v>3.2199999999999999E-2</v>
      </c>
      <c r="GW82" s="472">
        <v>3.2199999999999999E-2</v>
      </c>
      <c r="GX82" s="472">
        <v>3.2199999999999999E-2</v>
      </c>
      <c r="GY82" s="472">
        <v>3.2199999999999999E-2</v>
      </c>
      <c r="GZ82" s="472">
        <v>3.2199999999999999E-2</v>
      </c>
      <c r="HA82" s="472">
        <v>3.2199999999999999E-2</v>
      </c>
      <c r="HB82" s="472">
        <v>3.2199999999999999E-2</v>
      </c>
      <c r="HC82" s="472">
        <v>3.2199999999999999E-2</v>
      </c>
      <c r="HD82" s="472">
        <v>3.2199999999999999E-2</v>
      </c>
      <c r="HE82" s="472">
        <v>3.2199999999999999E-2</v>
      </c>
      <c r="HF82" s="472">
        <v>3.2199999999999999E-2</v>
      </c>
      <c r="HG82" s="472">
        <v>3.2199999999999999E-2</v>
      </c>
      <c r="HH82" s="472">
        <v>3.2199999999999999E-2</v>
      </c>
      <c r="HI82" s="472">
        <v>3.2199999999999999E-2</v>
      </c>
      <c r="HJ82" s="472">
        <v>3.2199999999999999E-2</v>
      </c>
      <c r="HK82" s="472">
        <v>3.2199999999999999E-2</v>
      </c>
      <c r="HL82" s="472">
        <v>3.2199999999999999E-2</v>
      </c>
      <c r="HM82" s="472">
        <v>3.2199999999999999E-2</v>
      </c>
      <c r="HN82" s="472">
        <v>3.2199999999999999E-2</v>
      </c>
      <c r="HO82" s="472">
        <v>3.2199999999999999E-2</v>
      </c>
      <c r="HP82" s="473">
        <f t="shared" si="30"/>
        <v>0</v>
      </c>
      <c r="HQ82" s="1147"/>
    </row>
    <row r="83" spans="2:225">
      <c r="B83" s="1129" t="s">
        <v>16</v>
      </c>
      <c r="C83" s="730" t="s">
        <v>258</v>
      </c>
      <c r="D83" s="476">
        <v>3.2000000000000001E-2</v>
      </c>
      <c r="E83" s="476">
        <v>3.2000000000000001E-2</v>
      </c>
      <c r="F83" s="476">
        <v>3.2000000000000001E-2</v>
      </c>
      <c r="G83" s="476">
        <v>3.2000000000000001E-2</v>
      </c>
      <c r="H83" s="476">
        <v>3.2000000000000001E-2</v>
      </c>
      <c r="I83" s="476">
        <v>3.2000000000000001E-2</v>
      </c>
      <c r="J83" s="476">
        <v>3.2000000000000001E-2</v>
      </c>
      <c r="K83" s="476">
        <v>3.2000000000000001E-2</v>
      </c>
      <c r="L83" s="476">
        <v>3.2000000000000001E-2</v>
      </c>
      <c r="M83" s="493">
        <v>3.2000000000000001E-2</v>
      </c>
      <c r="N83" s="476">
        <v>3.5000000000000003E-2</v>
      </c>
      <c r="O83" s="476">
        <v>3.5000000000000003E-2</v>
      </c>
      <c r="P83" s="476">
        <v>3.5000000000000003E-2</v>
      </c>
      <c r="Q83" s="476">
        <v>3.5000000000000003E-2</v>
      </c>
      <c r="R83" s="476">
        <v>3.5000000000000003E-2</v>
      </c>
      <c r="S83" s="476">
        <v>3.5000000000000003E-2</v>
      </c>
      <c r="T83" s="476">
        <v>3.5000000000000003E-2</v>
      </c>
      <c r="U83" s="476">
        <v>3.5000000000000003E-2</v>
      </c>
      <c r="V83" s="476">
        <v>3.4999999999999996E-2</v>
      </c>
      <c r="W83" s="476">
        <v>3.4999999999999996E-2</v>
      </c>
      <c r="X83" s="476">
        <v>3.4999999999999996E-2</v>
      </c>
      <c r="Y83" s="476">
        <v>3.4999999999999996E-2</v>
      </c>
      <c r="Z83" s="493">
        <v>3.4999999999999996E-2</v>
      </c>
      <c r="AA83" s="476">
        <v>3.5999999999999997E-2</v>
      </c>
      <c r="AB83" s="476">
        <v>3.5999999999999997E-2</v>
      </c>
      <c r="AC83" s="493">
        <v>3.5999999999999997E-2</v>
      </c>
      <c r="AD83" s="476">
        <v>3.7499999999999999E-2</v>
      </c>
      <c r="AE83" s="476">
        <v>3.7499999999999999E-2</v>
      </c>
      <c r="AF83" s="493">
        <v>3.7499999999999999E-2</v>
      </c>
      <c r="AG83" s="476">
        <v>4.0500000000000001E-2</v>
      </c>
      <c r="AH83" s="476">
        <v>4.0500000000000001E-2</v>
      </c>
      <c r="AI83" s="476">
        <v>4.0500000000000001E-2</v>
      </c>
      <c r="AJ83" s="476">
        <v>4.0500000000000001E-2</v>
      </c>
      <c r="AK83" s="493">
        <v>4.0500000000000001E-2</v>
      </c>
      <c r="AL83" s="477">
        <v>4.1500000000000002E-2</v>
      </c>
      <c r="AM83" s="476">
        <v>4.1500000000000002E-2</v>
      </c>
      <c r="AN83" s="476">
        <v>4.1500000000000002E-2</v>
      </c>
      <c r="AO83" s="476">
        <v>4.1500000000000002E-2</v>
      </c>
      <c r="AP83" s="476">
        <v>4.1500000000000002E-2</v>
      </c>
      <c r="AQ83" s="476">
        <v>4.1500000000000002E-2</v>
      </c>
      <c r="AR83" s="476">
        <v>4.1500000000000002E-2</v>
      </c>
      <c r="AS83" s="476">
        <v>4.1500000000000002E-2</v>
      </c>
      <c r="AT83" s="476">
        <v>4.1500000000000002E-2</v>
      </c>
      <c r="AU83" s="476">
        <v>4.1500000000000002E-2</v>
      </c>
      <c r="AV83" s="477">
        <v>4.1500000000000002E-2</v>
      </c>
      <c r="AW83" s="477">
        <v>4.1500000000000002E-2</v>
      </c>
      <c r="AX83" s="477">
        <v>4.1500000000000002E-2</v>
      </c>
      <c r="AY83" s="477">
        <v>4.1500000000000002E-2</v>
      </c>
      <c r="AZ83" s="477">
        <v>4.1500000000000002E-2</v>
      </c>
      <c r="BA83" s="477">
        <v>4.1500000000000002E-2</v>
      </c>
      <c r="BB83" s="477">
        <v>4.1500000000000002E-2</v>
      </c>
      <c r="BC83" s="477">
        <v>4.1500000000000002E-2</v>
      </c>
      <c r="BD83" s="477">
        <v>4.1500000000000002E-2</v>
      </c>
      <c r="BE83" s="477">
        <v>4.1500000000000002E-2</v>
      </c>
      <c r="BF83" s="477">
        <v>4.1500000000000002E-2</v>
      </c>
      <c r="BG83" s="477">
        <v>4.1500000000000002E-2</v>
      </c>
      <c r="BH83" s="477">
        <v>4.1500000000000002E-2</v>
      </c>
      <c r="BI83" s="477">
        <v>4.1500000000000002E-2</v>
      </c>
      <c r="BJ83" s="477">
        <v>4.1500000000000002E-2</v>
      </c>
      <c r="BK83" s="477">
        <v>4.2999999999999997E-2</v>
      </c>
      <c r="BL83" s="477">
        <v>4.3999999999999997E-2</v>
      </c>
      <c r="BM83" s="477">
        <v>4.3999999999999997E-2</v>
      </c>
      <c r="BN83" s="477">
        <v>4.3999999999999997E-2</v>
      </c>
      <c r="BO83" s="477">
        <v>4.3999999999999997E-2</v>
      </c>
      <c r="BP83" s="477">
        <v>4.3999999999999997E-2</v>
      </c>
      <c r="BQ83" s="477">
        <v>4.3999999999999997E-2</v>
      </c>
      <c r="BR83" s="477">
        <v>4.3999999999999997E-2</v>
      </c>
      <c r="BS83" s="477">
        <v>4.3999999999999997E-2</v>
      </c>
      <c r="BT83" s="477">
        <v>4.5999999999999999E-2</v>
      </c>
      <c r="BU83" s="477">
        <v>4.5999999999999999E-2</v>
      </c>
      <c r="BV83" s="477">
        <v>4.5999999999999999E-2</v>
      </c>
      <c r="BW83" s="477">
        <v>4.5999999999999999E-2</v>
      </c>
      <c r="BX83" s="477">
        <v>4.5999999999999999E-2</v>
      </c>
      <c r="BY83" s="477">
        <v>4.7E-2</v>
      </c>
      <c r="BZ83" s="477">
        <v>4.7E-2</v>
      </c>
      <c r="CA83" s="477">
        <v>4.8000000000000001E-2</v>
      </c>
      <c r="CB83" s="477">
        <v>4.8000000000000001E-2</v>
      </c>
      <c r="CC83" s="477">
        <v>4.8000000000000001E-2</v>
      </c>
      <c r="CD83" s="477">
        <v>4.8000000000000001E-2</v>
      </c>
      <c r="CE83" s="477">
        <v>4.8000000000000001E-2</v>
      </c>
      <c r="CF83" s="477">
        <v>4.8000000000000001E-2</v>
      </c>
      <c r="CG83" s="477">
        <v>4.8000000000000001E-2</v>
      </c>
      <c r="CH83" s="477">
        <v>4.8000000000000001E-2</v>
      </c>
      <c r="CI83" s="477">
        <v>4.8000000000000001E-2</v>
      </c>
      <c r="CJ83" s="477">
        <v>4.8000000000000001E-2</v>
      </c>
      <c r="CK83" s="477">
        <v>4.8000000000000001E-2</v>
      </c>
      <c r="CL83" s="477">
        <v>4.8000000000000001E-2</v>
      </c>
      <c r="CM83" s="477">
        <v>4.8000000000000001E-2</v>
      </c>
      <c r="CN83" s="477">
        <v>4.8000000000000001E-2</v>
      </c>
      <c r="CO83" s="477">
        <v>4.8000000000000001E-2</v>
      </c>
      <c r="CP83" s="477">
        <v>4.8000000000000001E-2</v>
      </c>
      <c r="CQ83" s="477">
        <v>4.8000000000000001E-2</v>
      </c>
      <c r="CR83" s="477">
        <v>4.8000000000000001E-2</v>
      </c>
      <c r="CS83" s="477">
        <v>4.8000000000000001E-2</v>
      </c>
      <c r="CT83" s="477">
        <v>4.8000000000000001E-2</v>
      </c>
      <c r="CU83" s="477">
        <v>4.8000000000000001E-2</v>
      </c>
      <c r="CV83" s="477">
        <v>4.8000000000000001E-2</v>
      </c>
      <c r="CW83" s="477">
        <v>4.8000000000000001E-2</v>
      </c>
      <c r="CX83" s="477">
        <v>4.8000000000000001E-2</v>
      </c>
      <c r="CY83" s="477">
        <v>4.8000000000000001E-2</v>
      </c>
      <c r="CZ83" s="477">
        <v>4.8000000000000001E-2</v>
      </c>
      <c r="DA83" s="477">
        <v>4.8000000000000001E-2</v>
      </c>
      <c r="DB83" s="477">
        <v>4.8000000000000001E-2</v>
      </c>
      <c r="DC83" s="477">
        <v>4.8000000000000001E-2</v>
      </c>
      <c r="DD83" s="477">
        <v>4.8000000000000001E-2</v>
      </c>
      <c r="DE83" s="477">
        <v>4.8000000000000001E-2</v>
      </c>
      <c r="DF83" s="477">
        <v>4.8000000000000001E-2</v>
      </c>
      <c r="DG83" s="477">
        <v>4.8000000000000001E-2</v>
      </c>
      <c r="DH83" s="477">
        <v>4.8000000000000001E-2</v>
      </c>
      <c r="DI83" s="477">
        <v>4.8000000000000001E-2</v>
      </c>
      <c r="DJ83" s="477">
        <v>4.8000000000000001E-2</v>
      </c>
      <c r="DK83" s="477">
        <v>4.8000000000000001E-2</v>
      </c>
      <c r="DL83" s="477">
        <v>4.8000000000000001E-2</v>
      </c>
      <c r="DM83" s="477">
        <v>4.8000000000000001E-2</v>
      </c>
      <c r="DN83" s="477">
        <v>4.8000000000000001E-2</v>
      </c>
      <c r="DO83" s="477">
        <v>4.8000000000000001E-2</v>
      </c>
      <c r="DP83" s="477">
        <v>4.8000000000000001E-2</v>
      </c>
      <c r="DQ83" s="477">
        <v>4.8000000000000001E-2</v>
      </c>
      <c r="DR83" s="477">
        <v>4.8000000000000001E-2</v>
      </c>
      <c r="DS83" s="477">
        <v>4.8000000000000001E-2</v>
      </c>
      <c r="DT83" s="477">
        <v>4.8000000000000001E-2</v>
      </c>
      <c r="DU83" s="477">
        <v>4.8000000000000001E-2</v>
      </c>
      <c r="DV83" s="477">
        <v>4.8000000000000001E-2</v>
      </c>
      <c r="DW83" s="477">
        <v>4.8000000000000001E-2</v>
      </c>
      <c r="DX83" s="477">
        <v>4.8000000000000001E-2</v>
      </c>
      <c r="DY83" s="477">
        <v>4.8000000000000001E-2</v>
      </c>
      <c r="DZ83" s="477">
        <v>4.8000000000000001E-2</v>
      </c>
      <c r="EA83" s="477">
        <v>4.8000000000000001E-2</v>
      </c>
      <c r="EB83" s="477">
        <v>4.8000000000000001E-2</v>
      </c>
      <c r="EC83" s="477">
        <v>4.8000000000000001E-2</v>
      </c>
      <c r="ED83" s="477">
        <v>4.8000000000000001E-2</v>
      </c>
      <c r="EE83" s="477">
        <v>4.8000000000000001E-2</v>
      </c>
      <c r="EF83" s="477">
        <v>4.8000000000000001E-2</v>
      </c>
      <c r="EG83" s="477">
        <v>4.8000000000000001E-2</v>
      </c>
      <c r="EH83" s="477">
        <v>4.8000000000000001E-2</v>
      </c>
      <c r="EI83" s="477">
        <v>4.8000000000000001E-2</v>
      </c>
      <c r="EJ83" s="477">
        <v>4.8000000000000001E-2</v>
      </c>
      <c r="EK83" s="477">
        <v>4.8000000000000001E-2</v>
      </c>
      <c r="EL83" s="477">
        <v>4.8000000000000001E-2</v>
      </c>
      <c r="EM83" s="477">
        <v>4.8000000000000001E-2</v>
      </c>
      <c r="EN83" s="477">
        <v>4.8000000000000001E-2</v>
      </c>
      <c r="EO83" s="477">
        <v>4.8000000000000001E-2</v>
      </c>
      <c r="EP83" s="477">
        <v>4.8000000000000001E-2</v>
      </c>
      <c r="EQ83" s="477">
        <v>4.8000000000000001E-2</v>
      </c>
      <c r="ER83" s="477">
        <v>4.8000000000000001E-2</v>
      </c>
      <c r="ES83" s="477">
        <v>4.8000000000000001E-2</v>
      </c>
      <c r="ET83" s="477">
        <v>4.8000000000000001E-2</v>
      </c>
      <c r="EU83" s="477">
        <v>4.8000000000000001E-2</v>
      </c>
      <c r="EV83" s="477">
        <v>4.8000000000000001E-2</v>
      </c>
      <c r="EW83" s="477">
        <v>4.8000000000000001E-2</v>
      </c>
      <c r="EX83" s="477">
        <v>4.8000000000000001E-2</v>
      </c>
      <c r="EY83" s="477">
        <v>4.8000000000000001E-2</v>
      </c>
      <c r="EZ83" s="477">
        <v>4.8000000000000001E-2</v>
      </c>
      <c r="FA83" s="477">
        <v>4.8000000000000001E-2</v>
      </c>
      <c r="FB83" s="477">
        <v>4.8000000000000001E-2</v>
      </c>
      <c r="FC83" s="477">
        <v>4.8000000000000001E-2</v>
      </c>
      <c r="FD83" s="477">
        <v>4.8000000000000001E-2</v>
      </c>
      <c r="FE83" s="477">
        <v>4.8000000000000001E-2</v>
      </c>
      <c r="FF83" s="477">
        <v>4.8000000000000001E-2</v>
      </c>
      <c r="FG83" s="477">
        <v>4.8000000000000001E-2</v>
      </c>
      <c r="FH83" s="477">
        <v>4.8000000000000001E-2</v>
      </c>
      <c r="FI83" s="477">
        <v>4.8000000000000001E-2</v>
      </c>
      <c r="FJ83" s="477">
        <v>4.8000000000000001E-2</v>
      </c>
      <c r="FK83" s="477">
        <v>4.8000000000000001E-2</v>
      </c>
      <c r="FL83" s="477">
        <v>4.8000000000000001E-2</v>
      </c>
      <c r="FM83" s="477">
        <v>4.8000000000000001E-2</v>
      </c>
      <c r="FN83" s="477">
        <v>4.8000000000000001E-2</v>
      </c>
      <c r="FO83" s="477">
        <v>4.8000000000000001E-2</v>
      </c>
      <c r="FP83" s="477">
        <v>4.8000000000000001E-2</v>
      </c>
      <c r="FQ83" s="477">
        <v>4.8000000000000001E-2</v>
      </c>
      <c r="FR83" s="477">
        <v>4.8000000000000001E-2</v>
      </c>
      <c r="FS83" s="477">
        <v>4.8000000000000001E-2</v>
      </c>
      <c r="FT83" s="477">
        <v>4.8000000000000001E-2</v>
      </c>
      <c r="FU83" s="477">
        <v>4.8000000000000001E-2</v>
      </c>
      <c r="FV83" s="477">
        <v>4.8000000000000001E-2</v>
      </c>
      <c r="FW83" s="477">
        <v>4.8000000000000001E-2</v>
      </c>
      <c r="FX83" s="477">
        <v>4.8000000000000001E-2</v>
      </c>
      <c r="FY83" s="477">
        <v>4.8000000000000001E-2</v>
      </c>
      <c r="FZ83" s="477">
        <v>4.8000000000000001E-2</v>
      </c>
      <c r="GA83" s="477">
        <v>4.8000000000000001E-2</v>
      </c>
      <c r="GB83" s="477">
        <v>4.8000000000000001E-2</v>
      </c>
      <c r="GC83" s="477">
        <v>4.8000000000000001E-2</v>
      </c>
      <c r="GD83" s="477">
        <v>0.03</v>
      </c>
      <c r="GE83" s="477">
        <v>0.03</v>
      </c>
      <c r="GF83" s="477">
        <v>0.03</v>
      </c>
      <c r="GG83" s="477">
        <v>0.03</v>
      </c>
      <c r="GH83" s="477">
        <v>0.03</v>
      </c>
      <c r="GI83" s="477">
        <v>0.03</v>
      </c>
      <c r="GJ83" s="477">
        <v>0.03</v>
      </c>
      <c r="GK83" s="477">
        <v>0.03</v>
      </c>
      <c r="GL83" s="477">
        <v>0.03</v>
      </c>
      <c r="GM83" s="477">
        <v>0.03</v>
      </c>
      <c r="GN83" s="477">
        <v>0.03</v>
      </c>
      <c r="GO83" s="477">
        <v>0.03</v>
      </c>
      <c r="GP83" s="477">
        <v>0.03</v>
      </c>
      <c r="GQ83" s="477">
        <v>0.03</v>
      </c>
      <c r="GR83" s="477">
        <v>0.03</v>
      </c>
      <c r="GS83" s="477">
        <v>0.03</v>
      </c>
      <c r="GT83" s="477">
        <v>0.03</v>
      </c>
      <c r="GU83" s="477">
        <v>0.03</v>
      </c>
      <c r="GV83" s="477">
        <v>0.03</v>
      </c>
      <c r="GW83" s="477">
        <v>0.03</v>
      </c>
      <c r="GX83" s="477">
        <v>0.03</v>
      </c>
      <c r="GY83" s="477">
        <v>0.03</v>
      </c>
      <c r="GZ83" s="477">
        <v>0.03</v>
      </c>
      <c r="HA83" s="477">
        <v>0.03</v>
      </c>
      <c r="HB83" s="477">
        <v>0.03</v>
      </c>
      <c r="HC83" s="477">
        <v>0.03</v>
      </c>
      <c r="HD83" s="477">
        <v>0.03</v>
      </c>
      <c r="HE83" s="477">
        <v>0.03</v>
      </c>
      <c r="HF83" s="477">
        <v>0.03</v>
      </c>
      <c r="HG83" s="477">
        <v>0.03</v>
      </c>
      <c r="HH83" s="477">
        <v>0.03</v>
      </c>
      <c r="HI83" s="477">
        <v>0.03</v>
      </c>
      <c r="HJ83" s="477">
        <v>0.03</v>
      </c>
      <c r="HK83" s="477">
        <v>0.03</v>
      </c>
      <c r="HL83" s="477">
        <v>0.03</v>
      </c>
      <c r="HM83" s="477">
        <v>0.03</v>
      </c>
      <c r="HN83" s="477">
        <v>0.03</v>
      </c>
      <c r="HO83" s="477">
        <v>0.03</v>
      </c>
      <c r="HP83" s="473">
        <f t="shared" si="30"/>
        <v>0</v>
      </c>
      <c r="HQ83" s="1135"/>
    </row>
    <row r="84" spans="2:225">
      <c r="B84" s="1129"/>
      <c r="C84" s="730" t="s">
        <v>221</v>
      </c>
      <c r="D84" s="476">
        <v>3.2000000000000001E-2</v>
      </c>
      <c r="E84" s="476">
        <v>3.2000000000000001E-2</v>
      </c>
      <c r="F84" s="476">
        <v>3.2000000000000001E-2</v>
      </c>
      <c r="G84" s="476">
        <v>3.2000000000000001E-2</v>
      </c>
      <c r="H84" s="476">
        <v>3.2000000000000001E-2</v>
      </c>
      <c r="I84" s="476">
        <v>3.2000000000000001E-2</v>
      </c>
      <c r="J84" s="476">
        <v>3.2000000000000001E-2</v>
      </c>
      <c r="K84" s="476">
        <v>3.2000000000000001E-2</v>
      </c>
      <c r="L84" s="476">
        <v>3.2000000000000001E-2</v>
      </c>
      <c r="M84" s="493">
        <v>3.2000000000000001E-2</v>
      </c>
      <c r="N84" s="476">
        <v>3.5499999999999997E-2</v>
      </c>
      <c r="O84" s="476">
        <v>3.5499999999999997E-2</v>
      </c>
      <c r="P84" s="476">
        <v>3.5499999999999997E-2</v>
      </c>
      <c r="Q84" s="476">
        <v>3.5499999999999997E-2</v>
      </c>
      <c r="R84" s="476">
        <v>3.5499999999999997E-2</v>
      </c>
      <c r="S84" s="476">
        <v>3.5499999999999997E-2</v>
      </c>
      <c r="T84" s="476">
        <v>3.5499999999999997E-2</v>
      </c>
      <c r="U84" s="476">
        <v>3.5499999999999997E-2</v>
      </c>
      <c r="V84" s="476">
        <v>3.5499999999999997E-2</v>
      </c>
      <c r="W84" s="476">
        <v>3.5499999999999997E-2</v>
      </c>
      <c r="X84" s="476">
        <v>3.5499999999999997E-2</v>
      </c>
      <c r="Y84" s="476">
        <v>3.5499999999999997E-2</v>
      </c>
      <c r="Z84" s="493">
        <v>3.5499999999999997E-2</v>
      </c>
      <c r="AA84" s="476">
        <v>3.6499999999999998E-2</v>
      </c>
      <c r="AB84" s="476">
        <v>3.6499999999999998E-2</v>
      </c>
      <c r="AC84" s="493">
        <v>3.6499999999999998E-2</v>
      </c>
      <c r="AD84" s="476">
        <v>3.7999999999999999E-2</v>
      </c>
      <c r="AE84" s="476">
        <v>3.7999999999999999E-2</v>
      </c>
      <c r="AF84" s="493">
        <v>3.7999999999999999E-2</v>
      </c>
      <c r="AG84" s="476">
        <v>4.1000000000000002E-2</v>
      </c>
      <c r="AH84" s="476">
        <v>4.1000000000000002E-2</v>
      </c>
      <c r="AI84" s="476">
        <v>4.1000000000000002E-2</v>
      </c>
      <c r="AJ84" s="476">
        <v>4.1000000000000002E-2</v>
      </c>
      <c r="AK84" s="493">
        <v>4.1000000000000002E-2</v>
      </c>
      <c r="AL84" s="477">
        <v>4.2000000000000003E-2</v>
      </c>
      <c r="AM84" s="476">
        <v>4.2000000000000003E-2</v>
      </c>
      <c r="AN84" s="476">
        <v>4.2000000000000003E-2</v>
      </c>
      <c r="AO84" s="476">
        <v>4.2000000000000003E-2</v>
      </c>
      <c r="AP84" s="476">
        <v>4.2000000000000003E-2</v>
      </c>
      <c r="AQ84" s="476">
        <v>4.2000000000000003E-2</v>
      </c>
      <c r="AR84" s="476">
        <v>4.2000000000000003E-2</v>
      </c>
      <c r="AS84" s="476">
        <v>4.2000000000000003E-2</v>
      </c>
      <c r="AT84" s="476">
        <v>4.2000000000000003E-2</v>
      </c>
      <c r="AU84" s="476">
        <v>4.2000000000000003E-2</v>
      </c>
      <c r="AV84" s="477">
        <v>4.2000000000000003E-2</v>
      </c>
      <c r="AW84" s="477">
        <v>4.2000000000000003E-2</v>
      </c>
      <c r="AX84" s="477">
        <v>4.2000000000000003E-2</v>
      </c>
      <c r="AY84" s="477">
        <v>4.2000000000000003E-2</v>
      </c>
      <c r="AZ84" s="477">
        <v>4.2000000000000003E-2</v>
      </c>
      <c r="BA84" s="477">
        <v>4.2000000000000003E-2</v>
      </c>
      <c r="BB84" s="477">
        <v>4.2000000000000003E-2</v>
      </c>
      <c r="BC84" s="477">
        <v>4.2000000000000003E-2</v>
      </c>
      <c r="BD84" s="477">
        <v>4.2000000000000003E-2</v>
      </c>
      <c r="BE84" s="477">
        <v>4.2000000000000003E-2</v>
      </c>
      <c r="BF84" s="477">
        <v>4.2000000000000003E-2</v>
      </c>
      <c r="BG84" s="477">
        <v>4.2000000000000003E-2</v>
      </c>
      <c r="BH84" s="477">
        <v>4.2000000000000003E-2</v>
      </c>
      <c r="BI84" s="477">
        <v>4.2000000000000003E-2</v>
      </c>
      <c r="BJ84" s="477">
        <v>4.2000000000000003E-2</v>
      </c>
      <c r="BK84" s="477">
        <v>4.3499999999999997E-2</v>
      </c>
      <c r="BL84" s="477">
        <v>4.4499999999999998E-2</v>
      </c>
      <c r="BM84" s="477">
        <v>4.4499999999999998E-2</v>
      </c>
      <c r="BN84" s="477">
        <v>4.4499999999999998E-2</v>
      </c>
      <c r="BO84" s="477">
        <v>4.4499999999999998E-2</v>
      </c>
      <c r="BP84" s="477">
        <v>4.4499999999999998E-2</v>
      </c>
      <c r="BQ84" s="477">
        <v>4.4499999999999998E-2</v>
      </c>
      <c r="BR84" s="477">
        <v>4.4499999999999998E-2</v>
      </c>
      <c r="BS84" s="477">
        <v>4.4499999999999998E-2</v>
      </c>
      <c r="BT84" s="477">
        <v>4.65E-2</v>
      </c>
      <c r="BU84" s="477">
        <v>4.65E-2</v>
      </c>
      <c r="BV84" s="477">
        <v>4.65E-2</v>
      </c>
      <c r="BW84" s="477">
        <v>4.65E-2</v>
      </c>
      <c r="BX84" s="477">
        <v>4.65E-2</v>
      </c>
      <c r="BY84" s="477">
        <v>4.7500000000000001E-2</v>
      </c>
      <c r="BZ84" s="477">
        <v>4.7500000000000001E-2</v>
      </c>
      <c r="CA84" s="477">
        <v>4.8500000000000001E-2</v>
      </c>
      <c r="CB84" s="477">
        <v>4.8500000000000001E-2</v>
      </c>
      <c r="CC84" s="477">
        <v>4.8500000000000001E-2</v>
      </c>
      <c r="CD84" s="477">
        <v>4.8500000000000001E-2</v>
      </c>
      <c r="CE84" s="477">
        <v>4.8500000000000001E-2</v>
      </c>
      <c r="CF84" s="477">
        <v>4.8500000000000001E-2</v>
      </c>
      <c r="CG84" s="477">
        <v>4.8500000000000001E-2</v>
      </c>
      <c r="CH84" s="477">
        <v>4.8500000000000001E-2</v>
      </c>
      <c r="CI84" s="477">
        <v>4.8500000000000001E-2</v>
      </c>
      <c r="CJ84" s="477">
        <v>4.8500000000000001E-2</v>
      </c>
      <c r="CK84" s="477">
        <v>4.8500000000000001E-2</v>
      </c>
      <c r="CL84" s="477">
        <v>4.8500000000000001E-2</v>
      </c>
      <c r="CM84" s="477">
        <v>4.8500000000000001E-2</v>
      </c>
      <c r="CN84" s="477">
        <v>4.8500000000000001E-2</v>
      </c>
      <c r="CO84" s="477">
        <v>4.8500000000000001E-2</v>
      </c>
      <c r="CP84" s="477">
        <v>4.8500000000000001E-2</v>
      </c>
      <c r="CQ84" s="477">
        <v>4.8500000000000001E-2</v>
      </c>
      <c r="CR84" s="477">
        <v>4.8500000000000001E-2</v>
      </c>
      <c r="CS84" s="477">
        <v>4.8500000000000001E-2</v>
      </c>
      <c r="CT84" s="477">
        <v>4.8500000000000001E-2</v>
      </c>
      <c r="CU84" s="477">
        <v>4.8500000000000001E-2</v>
      </c>
      <c r="CV84" s="477">
        <v>4.8500000000000001E-2</v>
      </c>
      <c r="CW84" s="477">
        <v>4.8500000000000001E-2</v>
      </c>
      <c r="CX84" s="477">
        <v>4.8500000000000001E-2</v>
      </c>
      <c r="CY84" s="477">
        <v>4.8500000000000001E-2</v>
      </c>
      <c r="CZ84" s="477">
        <v>4.8500000000000001E-2</v>
      </c>
      <c r="DA84" s="477">
        <v>4.8500000000000001E-2</v>
      </c>
      <c r="DB84" s="477">
        <v>4.8500000000000001E-2</v>
      </c>
      <c r="DC84" s="477">
        <v>4.8500000000000001E-2</v>
      </c>
      <c r="DD84" s="477">
        <v>4.8500000000000001E-2</v>
      </c>
      <c r="DE84" s="477">
        <v>4.8500000000000001E-2</v>
      </c>
      <c r="DF84" s="477">
        <v>4.8500000000000001E-2</v>
      </c>
      <c r="DG84" s="477">
        <v>4.8500000000000001E-2</v>
      </c>
      <c r="DH84" s="477">
        <v>4.8500000000000001E-2</v>
      </c>
      <c r="DI84" s="477">
        <v>4.8500000000000001E-2</v>
      </c>
      <c r="DJ84" s="477">
        <v>4.8500000000000001E-2</v>
      </c>
      <c r="DK84" s="477">
        <v>4.8500000000000001E-2</v>
      </c>
      <c r="DL84" s="477">
        <v>4.8500000000000001E-2</v>
      </c>
      <c r="DM84" s="477">
        <v>4.8500000000000001E-2</v>
      </c>
      <c r="DN84" s="477">
        <v>4.8500000000000001E-2</v>
      </c>
      <c r="DO84" s="477">
        <v>4.8500000000000001E-2</v>
      </c>
      <c r="DP84" s="477">
        <v>4.8500000000000001E-2</v>
      </c>
      <c r="DQ84" s="477">
        <v>4.8500000000000001E-2</v>
      </c>
      <c r="DR84" s="477">
        <v>4.8500000000000001E-2</v>
      </c>
      <c r="DS84" s="477">
        <v>4.8500000000000001E-2</v>
      </c>
      <c r="DT84" s="477">
        <v>4.8500000000000001E-2</v>
      </c>
      <c r="DU84" s="477">
        <v>4.8500000000000001E-2</v>
      </c>
      <c r="DV84" s="477">
        <v>4.8500000000000001E-2</v>
      </c>
      <c r="DW84" s="477">
        <v>4.8500000000000001E-2</v>
      </c>
      <c r="DX84" s="477">
        <v>4.8500000000000001E-2</v>
      </c>
      <c r="DY84" s="477">
        <v>4.8500000000000001E-2</v>
      </c>
      <c r="DZ84" s="477">
        <v>4.8500000000000001E-2</v>
      </c>
      <c r="EA84" s="477">
        <v>4.8500000000000001E-2</v>
      </c>
      <c r="EB84" s="477">
        <v>4.8500000000000001E-2</v>
      </c>
      <c r="EC84" s="477">
        <v>4.8500000000000001E-2</v>
      </c>
      <c r="ED84" s="477">
        <v>4.8500000000000001E-2</v>
      </c>
      <c r="EE84" s="477">
        <v>4.8500000000000001E-2</v>
      </c>
      <c r="EF84" s="477">
        <v>4.8500000000000001E-2</v>
      </c>
      <c r="EG84" s="477">
        <v>4.8500000000000001E-2</v>
      </c>
      <c r="EH84" s="477">
        <v>4.8500000000000001E-2</v>
      </c>
      <c r="EI84" s="477">
        <v>4.8500000000000001E-2</v>
      </c>
      <c r="EJ84" s="477">
        <v>4.8500000000000001E-2</v>
      </c>
      <c r="EK84" s="477">
        <v>4.8500000000000001E-2</v>
      </c>
      <c r="EL84" s="477">
        <v>4.8500000000000001E-2</v>
      </c>
      <c r="EM84" s="477">
        <v>4.8500000000000001E-2</v>
      </c>
      <c r="EN84" s="477">
        <v>4.8500000000000001E-2</v>
      </c>
      <c r="EO84" s="477">
        <v>4.8500000000000001E-2</v>
      </c>
      <c r="EP84" s="477">
        <v>4.8500000000000001E-2</v>
      </c>
      <c r="EQ84" s="477">
        <v>4.8500000000000001E-2</v>
      </c>
      <c r="ER84" s="477">
        <v>4.8500000000000001E-2</v>
      </c>
      <c r="ES84" s="477">
        <v>4.8500000000000001E-2</v>
      </c>
      <c r="ET84" s="477">
        <v>4.8500000000000001E-2</v>
      </c>
      <c r="EU84" s="477">
        <v>4.8500000000000001E-2</v>
      </c>
      <c r="EV84" s="477">
        <v>4.8500000000000001E-2</v>
      </c>
      <c r="EW84" s="477">
        <v>4.8500000000000001E-2</v>
      </c>
      <c r="EX84" s="477">
        <v>4.8500000000000001E-2</v>
      </c>
      <c r="EY84" s="477">
        <v>4.8500000000000001E-2</v>
      </c>
      <c r="EZ84" s="477">
        <v>4.8500000000000001E-2</v>
      </c>
      <c r="FA84" s="477">
        <v>4.8500000000000001E-2</v>
      </c>
      <c r="FB84" s="477">
        <v>4.8500000000000001E-2</v>
      </c>
      <c r="FC84" s="477">
        <v>4.8500000000000001E-2</v>
      </c>
      <c r="FD84" s="477">
        <v>4.8500000000000001E-2</v>
      </c>
      <c r="FE84" s="477">
        <v>4.8500000000000001E-2</v>
      </c>
      <c r="FF84" s="477">
        <v>4.8500000000000001E-2</v>
      </c>
      <c r="FG84" s="477">
        <v>4.8500000000000001E-2</v>
      </c>
      <c r="FH84" s="477">
        <v>4.8500000000000001E-2</v>
      </c>
      <c r="FI84" s="477">
        <v>4.8500000000000001E-2</v>
      </c>
      <c r="FJ84" s="477">
        <v>4.8500000000000001E-2</v>
      </c>
      <c r="FK84" s="477">
        <v>4.8500000000000001E-2</v>
      </c>
      <c r="FL84" s="477">
        <v>4.8500000000000001E-2</v>
      </c>
      <c r="FM84" s="477">
        <v>4.8500000000000001E-2</v>
      </c>
      <c r="FN84" s="477">
        <v>4.8500000000000001E-2</v>
      </c>
      <c r="FO84" s="477">
        <v>4.8500000000000001E-2</v>
      </c>
      <c r="FP84" s="477">
        <v>4.8500000000000001E-2</v>
      </c>
      <c r="FQ84" s="477">
        <v>4.8500000000000001E-2</v>
      </c>
      <c r="FR84" s="477">
        <v>4.8500000000000001E-2</v>
      </c>
      <c r="FS84" s="477">
        <v>4.8500000000000001E-2</v>
      </c>
      <c r="FT84" s="477">
        <v>4.8500000000000001E-2</v>
      </c>
      <c r="FU84" s="477">
        <v>4.8500000000000001E-2</v>
      </c>
      <c r="FV84" s="477">
        <v>4.8500000000000001E-2</v>
      </c>
      <c r="FW84" s="477">
        <v>4.8500000000000001E-2</v>
      </c>
      <c r="FX84" s="477">
        <v>4.8500000000000001E-2</v>
      </c>
      <c r="FY84" s="477">
        <v>4.8500000000000001E-2</v>
      </c>
      <c r="FZ84" s="477">
        <v>4.8500000000000001E-2</v>
      </c>
      <c r="GA84" s="477">
        <v>4.8500000000000001E-2</v>
      </c>
      <c r="GB84" s="477">
        <v>4.8500000000000001E-2</v>
      </c>
      <c r="GC84" s="477">
        <v>4.8500000000000001E-2</v>
      </c>
      <c r="GD84" s="477">
        <v>3.0499999999999999E-2</v>
      </c>
      <c r="GE84" s="477">
        <v>3.0499999999999999E-2</v>
      </c>
      <c r="GF84" s="477">
        <v>3.0499999999999999E-2</v>
      </c>
      <c r="GG84" s="477">
        <v>3.0499999999999999E-2</v>
      </c>
      <c r="GH84" s="477">
        <v>3.0499999999999999E-2</v>
      </c>
      <c r="GI84" s="477">
        <v>3.0499999999999999E-2</v>
      </c>
      <c r="GJ84" s="477">
        <v>3.0499999999999999E-2</v>
      </c>
      <c r="GK84" s="477">
        <v>3.0499999999999999E-2</v>
      </c>
      <c r="GL84" s="477">
        <v>3.0499999999999999E-2</v>
      </c>
      <c r="GM84" s="477">
        <v>3.0499999999999999E-2</v>
      </c>
      <c r="GN84" s="477">
        <v>3.0499999999999999E-2</v>
      </c>
      <c r="GO84" s="477">
        <v>3.0499999999999999E-2</v>
      </c>
      <c r="GP84" s="477">
        <v>3.0499999999999999E-2</v>
      </c>
      <c r="GQ84" s="477">
        <v>3.0499999999999999E-2</v>
      </c>
      <c r="GR84" s="477">
        <v>3.0499999999999999E-2</v>
      </c>
      <c r="GS84" s="477">
        <v>3.0499999999999999E-2</v>
      </c>
      <c r="GT84" s="477">
        <v>3.0499999999999999E-2</v>
      </c>
      <c r="GU84" s="477">
        <v>3.0499999999999999E-2</v>
      </c>
      <c r="GV84" s="477">
        <v>3.0499999999999999E-2</v>
      </c>
      <c r="GW84" s="477">
        <v>3.0499999999999999E-2</v>
      </c>
      <c r="GX84" s="477">
        <v>3.0499999999999999E-2</v>
      </c>
      <c r="GY84" s="477">
        <v>3.0499999999999999E-2</v>
      </c>
      <c r="GZ84" s="477">
        <v>3.0499999999999999E-2</v>
      </c>
      <c r="HA84" s="477">
        <v>3.0499999999999999E-2</v>
      </c>
      <c r="HB84" s="477">
        <v>3.0499999999999999E-2</v>
      </c>
      <c r="HC84" s="477">
        <v>3.0499999999999999E-2</v>
      </c>
      <c r="HD84" s="477">
        <v>3.0499999999999999E-2</v>
      </c>
      <c r="HE84" s="477">
        <v>3.0499999999999999E-2</v>
      </c>
      <c r="HF84" s="477">
        <v>3.0499999999999999E-2</v>
      </c>
      <c r="HG84" s="477">
        <v>3.0499999999999999E-2</v>
      </c>
      <c r="HH84" s="477">
        <v>3.0499999999999999E-2</v>
      </c>
      <c r="HI84" s="477">
        <v>3.0499999999999999E-2</v>
      </c>
      <c r="HJ84" s="477">
        <v>3.0499999999999999E-2</v>
      </c>
      <c r="HK84" s="477">
        <v>3.0499999999999999E-2</v>
      </c>
      <c r="HL84" s="477">
        <v>3.0499999999999999E-2</v>
      </c>
      <c r="HM84" s="477">
        <v>3.0499999999999999E-2</v>
      </c>
      <c r="HN84" s="477">
        <v>3.0499999999999999E-2</v>
      </c>
      <c r="HO84" s="477">
        <v>3.0499999999999999E-2</v>
      </c>
      <c r="HP84" s="473">
        <f t="shared" si="30"/>
        <v>0</v>
      </c>
      <c r="HQ84" s="1136"/>
    </row>
    <row r="85" spans="2:225">
      <c r="B85" s="1129"/>
      <c r="C85" s="730" t="s">
        <v>220</v>
      </c>
      <c r="D85" s="476">
        <v>3.3000000000000002E-2</v>
      </c>
      <c r="E85" s="476">
        <v>3.3000000000000002E-2</v>
      </c>
      <c r="F85" s="476">
        <v>3.3000000000000002E-2</v>
      </c>
      <c r="G85" s="476">
        <v>3.3000000000000002E-2</v>
      </c>
      <c r="H85" s="476">
        <v>3.3000000000000002E-2</v>
      </c>
      <c r="I85" s="476">
        <v>3.3000000000000002E-2</v>
      </c>
      <c r="J85" s="476">
        <v>3.3000000000000002E-2</v>
      </c>
      <c r="K85" s="476">
        <v>3.3000000000000002E-2</v>
      </c>
      <c r="L85" s="476">
        <v>3.3000000000000002E-2</v>
      </c>
      <c r="M85" s="493">
        <v>3.3000000000000002E-2</v>
      </c>
      <c r="N85" s="476">
        <v>3.5999999999999997E-2</v>
      </c>
      <c r="O85" s="476">
        <v>3.5999999999999997E-2</v>
      </c>
      <c r="P85" s="476">
        <v>3.5999999999999997E-2</v>
      </c>
      <c r="Q85" s="476">
        <v>3.5999999999999997E-2</v>
      </c>
      <c r="R85" s="476">
        <v>3.5999999999999997E-2</v>
      </c>
      <c r="S85" s="476">
        <v>3.5999999999999997E-2</v>
      </c>
      <c r="T85" s="476">
        <v>3.5999999999999997E-2</v>
      </c>
      <c r="U85" s="476">
        <v>3.5999999999999997E-2</v>
      </c>
      <c r="V85" s="476">
        <v>3.5999999999999997E-2</v>
      </c>
      <c r="W85" s="476">
        <v>3.5999999999999997E-2</v>
      </c>
      <c r="X85" s="476">
        <v>3.5999999999999997E-2</v>
      </c>
      <c r="Y85" s="476">
        <v>3.5999999999999997E-2</v>
      </c>
      <c r="Z85" s="493">
        <v>3.5999999999999997E-2</v>
      </c>
      <c r="AA85" s="476">
        <v>3.6999999999999998E-2</v>
      </c>
      <c r="AB85" s="476">
        <v>3.6999999999999998E-2</v>
      </c>
      <c r="AC85" s="493">
        <v>3.6999999999999998E-2</v>
      </c>
      <c r="AD85" s="476">
        <v>3.85E-2</v>
      </c>
      <c r="AE85" s="476">
        <v>3.85E-2</v>
      </c>
      <c r="AF85" s="493">
        <v>3.85E-2</v>
      </c>
      <c r="AG85" s="476">
        <v>4.1500000000000002E-2</v>
      </c>
      <c r="AH85" s="476">
        <v>4.1500000000000002E-2</v>
      </c>
      <c r="AI85" s="476">
        <v>4.1500000000000002E-2</v>
      </c>
      <c r="AJ85" s="476">
        <v>4.1500000000000002E-2</v>
      </c>
      <c r="AK85" s="493">
        <v>4.1500000000000002E-2</v>
      </c>
      <c r="AL85" s="477">
        <v>4.2500000000000003E-2</v>
      </c>
      <c r="AM85" s="476">
        <v>4.2500000000000003E-2</v>
      </c>
      <c r="AN85" s="476">
        <v>4.2500000000000003E-2</v>
      </c>
      <c r="AO85" s="476">
        <v>4.2500000000000003E-2</v>
      </c>
      <c r="AP85" s="476">
        <v>4.2500000000000003E-2</v>
      </c>
      <c r="AQ85" s="476">
        <v>4.2500000000000003E-2</v>
      </c>
      <c r="AR85" s="476">
        <v>4.2500000000000003E-2</v>
      </c>
      <c r="AS85" s="476">
        <v>4.2500000000000003E-2</v>
      </c>
      <c r="AT85" s="476">
        <v>4.2500000000000003E-2</v>
      </c>
      <c r="AU85" s="476">
        <v>4.2500000000000003E-2</v>
      </c>
      <c r="AV85" s="477">
        <v>4.2500000000000003E-2</v>
      </c>
      <c r="AW85" s="477">
        <v>4.2500000000000003E-2</v>
      </c>
      <c r="AX85" s="477">
        <v>4.2500000000000003E-2</v>
      </c>
      <c r="AY85" s="477">
        <v>4.2500000000000003E-2</v>
      </c>
      <c r="AZ85" s="477">
        <v>4.2500000000000003E-2</v>
      </c>
      <c r="BA85" s="477">
        <v>4.2500000000000003E-2</v>
      </c>
      <c r="BB85" s="477">
        <v>4.2500000000000003E-2</v>
      </c>
      <c r="BC85" s="477">
        <v>4.2500000000000003E-2</v>
      </c>
      <c r="BD85" s="477">
        <v>4.2500000000000003E-2</v>
      </c>
      <c r="BE85" s="477">
        <v>4.2500000000000003E-2</v>
      </c>
      <c r="BF85" s="477">
        <v>4.2500000000000003E-2</v>
      </c>
      <c r="BG85" s="477">
        <v>4.2500000000000003E-2</v>
      </c>
      <c r="BH85" s="477">
        <v>4.2500000000000003E-2</v>
      </c>
      <c r="BI85" s="477">
        <v>4.2500000000000003E-2</v>
      </c>
      <c r="BJ85" s="477">
        <v>4.2500000000000003E-2</v>
      </c>
      <c r="BK85" s="477">
        <v>4.3999999999999997E-2</v>
      </c>
      <c r="BL85" s="477">
        <v>4.4999999999999998E-2</v>
      </c>
      <c r="BM85" s="477">
        <v>4.4999999999999998E-2</v>
      </c>
      <c r="BN85" s="477">
        <v>4.4999999999999998E-2</v>
      </c>
      <c r="BO85" s="477">
        <v>4.4999999999999998E-2</v>
      </c>
      <c r="BP85" s="477">
        <v>4.4999999999999998E-2</v>
      </c>
      <c r="BQ85" s="477">
        <v>4.4999999999999998E-2</v>
      </c>
      <c r="BR85" s="477">
        <v>4.4999999999999998E-2</v>
      </c>
      <c r="BS85" s="477">
        <v>4.4999999999999998E-2</v>
      </c>
      <c r="BT85" s="477">
        <v>4.7E-2</v>
      </c>
      <c r="BU85" s="477">
        <v>4.7E-2</v>
      </c>
      <c r="BV85" s="477">
        <v>4.7E-2</v>
      </c>
      <c r="BW85" s="477">
        <v>4.7E-2</v>
      </c>
      <c r="BX85" s="477">
        <v>4.7E-2</v>
      </c>
      <c r="BY85" s="477">
        <v>4.8000000000000001E-2</v>
      </c>
      <c r="BZ85" s="477">
        <v>4.8000000000000001E-2</v>
      </c>
      <c r="CA85" s="477">
        <v>4.9000000000000002E-2</v>
      </c>
      <c r="CB85" s="477">
        <v>4.9000000000000002E-2</v>
      </c>
      <c r="CC85" s="477">
        <v>4.9000000000000002E-2</v>
      </c>
      <c r="CD85" s="477">
        <v>4.9000000000000002E-2</v>
      </c>
      <c r="CE85" s="477">
        <v>4.9000000000000002E-2</v>
      </c>
      <c r="CF85" s="477">
        <v>4.9000000000000002E-2</v>
      </c>
      <c r="CG85" s="477">
        <v>4.9000000000000002E-2</v>
      </c>
      <c r="CH85" s="477">
        <v>4.9000000000000002E-2</v>
      </c>
      <c r="CI85" s="477">
        <v>4.9000000000000002E-2</v>
      </c>
      <c r="CJ85" s="477">
        <v>4.9000000000000002E-2</v>
      </c>
      <c r="CK85" s="477">
        <v>4.9000000000000002E-2</v>
      </c>
      <c r="CL85" s="477">
        <v>4.9000000000000002E-2</v>
      </c>
      <c r="CM85" s="477">
        <v>4.9000000000000002E-2</v>
      </c>
      <c r="CN85" s="477">
        <v>4.9000000000000002E-2</v>
      </c>
      <c r="CO85" s="477">
        <v>4.9000000000000002E-2</v>
      </c>
      <c r="CP85" s="477">
        <v>4.9000000000000002E-2</v>
      </c>
      <c r="CQ85" s="477">
        <v>4.9000000000000002E-2</v>
      </c>
      <c r="CR85" s="477">
        <v>4.9000000000000002E-2</v>
      </c>
      <c r="CS85" s="477">
        <v>4.9000000000000002E-2</v>
      </c>
      <c r="CT85" s="477">
        <v>4.9000000000000002E-2</v>
      </c>
      <c r="CU85" s="477">
        <v>4.9000000000000002E-2</v>
      </c>
      <c r="CV85" s="477">
        <v>4.9000000000000002E-2</v>
      </c>
      <c r="CW85" s="477">
        <v>4.9000000000000002E-2</v>
      </c>
      <c r="CX85" s="477">
        <v>4.9000000000000002E-2</v>
      </c>
      <c r="CY85" s="477">
        <v>4.9000000000000002E-2</v>
      </c>
      <c r="CZ85" s="477">
        <v>4.9000000000000002E-2</v>
      </c>
      <c r="DA85" s="477">
        <v>4.9000000000000002E-2</v>
      </c>
      <c r="DB85" s="477">
        <v>4.9000000000000002E-2</v>
      </c>
      <c r="DC85" s="477">
        <v>4.9000000000000002E-2</v>
      </c>
      <c r="DD85" s="477">
        <v>4.9000000000000002E-2</v>
      </c>
      <c r="DE85" s="477">
        <v>4.9000000000000002E-2</v>
      </c>
      <c r="DF85" s="477">
        <v>4.9000000000000002E-2</v>
      </c>
      <c r="DG85" s="477">
        <v>4.9000000000000002E-2</v>
      </c>
      <c r="DH85" s="477">
        <v>4.9000000000000002E-2</v>
      </c>
      <c r="DI85" s="477">
        <v>4.9000000000000002E-2</v>
      </c>
      <c r="DJ85" s="477">
        <v>4.9000000000000002E-2</v>
      </c>
      <c r="DK85" s="477">
        <v>4.9000000000000002E-2</v>
      </c>
      <c r="DL85" s="477">
        <v>4.9000000000000002E-2</v>
      </c>
      <c r="DM85" s="477">
        <v>4.9000000000000002E-2</v>
      </c>
      <c r="DN85" s="477">
        <v>4.9000000000000002E-2</v>
      </c>
      <c r="DO85" s="477">
        <v>4.9000000000000002E-2</v>
      </c>
      <c r="DP85" s="477">
        <v>4.9000000000000002E-2</v>
      </c>
      <c r="DQ85" s="477">
        <v>4.9000000000000002E-2</v>
      </c>
      <c r="DR85" s="477">
        <v>4.9000000000000002E-2</v>
      </c>
      <c r="DS85" s="477">
        <v>4.9000000000000002E-2</v>
      </c>
      <c r="DT85" s="477">
        <v>4.9000000000000002E-2</v>
      </c>
      <c r="DU85" s="477">
        <v>4.9000000000000002E-2</v>
      </c>
      <c r="DV85" s="477">
        <v>4.9000000000000002E-2</v>
      </c>
      <c r="DW85" s="477">
        <v>4.9000000000000002E-2</v>
      </c>
      <c r="DX85" s="477">
        <v>4.9000000000000002E-2</v>
      </c>
      <c r="DY85" s="477">
        <v>4.9000000000000002E-2</v>
      </c>
      <c r="DZ85" s="477">
        <v>4.9000000000000002E-2</v>
      </c>
      <c r="EA85" s="477">
        <v>4.9000000000000002E-2</v>
      </c>
      <c r="EB85" s="477">
        <v>4.9000000000000002E-2</v>
      </c>
      <c r="EC85" s="477">
        <v>4.9000000000000002E-2</v>
      </c>
      <c r="ED85" s="477">
        <v>4.9000000000000002E-2</v>
      </c>
      <c r="EE85" s="477">
        <v>4.9000000000000002E-2</v>
      </c>
      <c r="EF85" s="477">
        <v>4.9000000000000002E-2</v>
      </c>
      <c r="EG85" s="477">
        <v>4.9000000000000002E-2</v>
      </c>
      <c r="EH85" s="477">
        <v>4.9000000000000002E-2</v>
      </c>
      <c r="EI85" s="477">
        <v>4.9000000000000002E-2</v>
      </c>
      <c r="EJ85" s="477">
        <v>4.9000000000000002E-2</v>
      </c>
      <c r="EK85" s="477">
        <v>4.9000000000000002E-2</v>
      </c>
      <c r="EL85" s="477">
        <v>4.9000000000000002E-2</v>
      </c>
      <c r="EM85" s="477">
        <v>4.9000000000000002E-2</v>
      </c>
      <c r="EN85" s="477">
        <v>4.9000000000000002E-2</v>
      </c>
      <c r="EO85" s="477">
        <v>4.9000000000000002E-2</v>
      </c>
      <c r="EP85" s="477">
        <v>4.9000000000000002E-2</v>
      </c>
      <c r="EQ85" s="477">
        <v>4.9000000000000002E-2</v>
      </c>
      <c r="ER85" s="477">
        <v>4.9000000000000002E-2</v>
      </c>
      <c r="ES85" s="477">
        <v>4.9000000000000002E-2</v>
      </c>
      <c r="ET85" s="477">
        <v>4.9000000000000002E-2</v>
      </c>
      <c r="EU85" s="477">
        <v>4.9000000000000002E-2</v>
      </c>
      <c r="EV85" s="477">
        <v>4.9000000000000002E-2</v>
      </c>
      <c r="EW85" s="477">
        <v>4.9000000000000002E-2</v>
      </c>
      <c r="EX85" s="477">
        <v>4.9000000000000002E-2</v>
      </c>
      <c r="EY85" s="477">
        <v>4.9000000000000002E-2</v>
      </c>
      <c r="EZ85" s="477">
        <v>4.9000000000000002E-2</v>
      </c>
      <c r="FA85" s="477">
        <v>4.9000000000000002E-2</v>
      </c>
      <c r="FB85" s="477">
        <v>4.9000000000000002E-2</v>
      </c>
      <c r="FC85" s="477">
        <v>4.9000000000000002E-2</v>
      </c>
      <c r="FD85" s="477">
        <v>4.9000000000000002E-2</v>
      </c>
      <c r="FE85" s="477">
        <v>4.9000000000000002E-2</v>
      </c>
      <c r="FF85" s="477">
        <v>4.9000000000000002E-2</v>
      </c>
      <c r="FG85" s="477">
        <v>4.9000000000000002E-2</v>
      </c>
      <c r="FH85" s="477">
        <v>4.9000000000000002E-2</v>
      </c>
      <c r="FI85" s="477">
        <v>4.9000000000000002E-2</v>
      </c>
      <c r="FJ85" s="477">
        <v>4.9000000000000002E-2</v>
      </c>
      <c r="FK85" s="477">
        <v>4.9000000000000002E-2</v>
      </c>
      <c r="FL85" s="477">
        <v>4.9000000000000002E-2</v>
      </c>
      <c r="FM85" s="477">
        <v>4.9000000000000002E-2</v>
      </c>
      <c r="FN85" s="477">
        <v>4.9000000000000002E-2</v>
      </c>
      <c r="FO85" s="477">
        <v>4.9000000000000002E-2</v>
      </c>
      <c r="FP85" s="477">
        <v>4.9000000000000002E-2</v>
      </c>
      <c r="FQ85" s="477">
        <v>4.9000000000000002E-2</v>
      </c>
      <c r="FR85" s="477">
        <v>4.9000000000000002E-2</v>
      </c>
      <c r="FS85" s="477">
        <v>4.9000000000000002E-2</v>
      </c>
      <c r="FT85" s="477">
        <v>4.9000000000000002E-2</v>
      </c>
      <c r="FU85" s="477">
        <v>4.9000000000000002E-2</v>
      </c>
      <c r="FV85" s="477">
        <v>4.9000000000000002E-2</v>
      </c>
      <c r="FW85" s="477">
        <v>4.9000000000000002E-2</v>
      </c>
      <c r="FX85" s="477">
        <v>4.9000000000000002E-2</v>
      </c>
      <c r="FY85" s="477">
        <v>4.9000000000000002E-2</v>
      </c>
      <c r="FZ85" s="477">
        <v>4.9000000000000002E-2</v>
      </c>
      <c r="GA85" s="477">
        <v>4.9000000000000002E-2</v>
      </c>
      <c r="GB85" s="477">
        <v>4.9000000000000002E-2</v>
      </c>
      <c r="GC85" s="477">
        <v>4.9000000000000002E-2</v>
      </c>
      <c r="GD85" s="477">
        <v>3.1E-2</v>
      </c>
      <c r="GE85" s="477">
        <v>3.1E-2</v>
      </c>
      <c r="GF85" s="477">
        <v>3.1E-2</v>
      </c>
      <c r="GG85" s="477">
        <v>3.1E-2</v>
      </c>
      <c r="GH85" s="477">
        <v>3.1E-2</v>
      </c>
      <c r="GI85" s="477">
        <v>3.1E-2</v>
      </c>
      <c r="GJ85" s="477">
        <v>3.1E-2</v>
      </c>
      <c r="GK85" s="477">
        <v>3.1E-2</v>
      </c>
      <c r="GL85" s="477">
        <v>3.1E-2</v>
      </c>
      <c r="GM85" s="477">
        <v>3.1E-2</v>
      </c>
      <c r="GN85" s="477">
        <v>3.1E-2</v>
      </c>
      <c r="GO85" s="477">
        <v>3.1E-2</v>
      </c>
      <c r="GP85" s="477">
        <v>3.1E-2</v>
      </c>
      <c r="GQ85" s="477">
        <v>3.1E-2</v>
      </c>
      <c r="GR85" s="477">
        <v>3.1E-2</v>
      </c>
      <c r="GS85" s="477">
        <v>3.1E-2</v>
      </c>
      <c r="GT85" s="477">
        <v>3.1E-2</v>
      </c>
      <c r="GU85" s="477">
        <v>3.1E-2</v>
      </c>
      <c r="GV85" s="477">
        <v>3.1E-2</v>
      </c>
      <c r="GW85" s="477">
        <v>3.1E-2</v>
      </c>
      <c r="GX85" s="477">
        <v>3.1E-2</v>
      </c>
      <c r="GY85" s="477">
        <v>3.1E-2</v>
      </c>
      <c r="GZ85" s="477">
        <v>3.1E-2</v>
      </c>
      <c r="HA85" s="477">
        <v>3.1E-2</v>
      </c>
      <c r="HB85" s="477">
        <v>3.1E-2</v>
      </c>
      <c r="HC85" s="477">
        <v>3.1E-2</v>
      </c>
      <c r="HD85" s="477">
        <v>3.1E-2</v>
      </c>
      <c r="HE85" s="477">
        <v>3.1E-2</v>
      </c>
      <c r="HF85" s="477">
        <v>3.1E-2</v>
      </c>
      <c r="HG85" s="477">
        <v>3.1E-2</v>
      </c>
      <c r="HH85" s="477">
        <v>3.1E-2</v>
      </c>
      <c r="HI85" s="477">
        <v>3.1E-2</v>
      </c>
      <c r="HJ85" s="477">
        <v>3.1E-2</v>
      </c>
      <c r="HK85" s="477">
        <v>3.1E-2</v>
      </c>
      <c r="HL85" s="477">
        <v>3.1E-2</v>
      </c>
      <c r="HM85" s="477">
        <v>3.1E-2</v>
      </c>
      <c r="HN85" s="477">
        <v>3.1E-2</v>
      </c>
      <c r="HO85" s="477">
        <v>3.1E-2</v>
      </c>
      <c r="HP85" s="473">
        <f t="shared" si="30"/>
        <v>0</v>
      </c>
      <c r="HQ85" s="1137"/>
    </row>
    <row r="86" spans="2:225">
      <c r="B86" s="1138" t="s">
        <v>20</v>
      </c>
      <c r="C86" s="732" t="s">
        <v>256</v>
      </c>
      <c r="D86" s="494">
        <v>2.7E-2</v>
      </c>
      <c r="E86" s="494">
        <v>2.7E-2</v>
      </c>
      <c r="F86" s="494">
        <v>2.6700000000000002E-2</v>
      </c>
      <c r="G86" s="494">
        <v>2.6800000000000001E-2</v>
      </c>
      <c r="H86" s="494">
        <v>2.5000000000000001E-2</v>
      </c>
      <c r="I86" s="494">
        <v>2.8500000000000001E-2</v>
      </c>
      <c r="J86" s="488">
        <v>2.6200000000000001E-2</v>
      </c>
      <c r="K86" s="494">
        <v>2.6200000000000001E-2</v>
      </c>
      <c r="L86" s="494">
        <v>2.63E-2</v>
      </c>
      <c r="M86" s="494">
        <v>2.6499999999999999E-2</v>
      </c>
      <c r="N86" s="494">
        <v>2.7699999999999999E-2</v>
      </c>
      <c r="O86" s="488">
        <v>2.75E-2</v>
      </c>
      <c r="P86" s="494">
        <v>2.75E-2</v>
      </c>
      <c r="Q86" s="488">
        <v>2.8500000000000001E-2</v>
      </c>
      <c r="R86" s="494">
        <v>2.8500000000000001E-2</v>
      </c>
      <c r="S86" s="494">
        <v>2.9000000000000001E-2</v>
      </c>
      <c r="T86" s="488">
        <v>2.8000000000000001E-2</v>
      </c>
      <c r="U86" s="488">
        <v>2.8000000000000001E-2</v>
      </c>
      <c r="V86" s="488">
        <v>2.8000000000000001E-2</v>
      </c>
      <c r="W86" s="494">
        <v>2.7999999999999997E-2</v>
      </c>
      <c r="X86" s="494">
        <v>2.9299999999999996E-2</v>
      </c>
      <c r="Y86" s="488">
        <v>2.9699999999999997E-2</v>
      </c>
      <c r="Z86" s="494">
        <v>0.03</v>
      </c>
      <c r="AA86" s="488">
        <v>2.9499999999999998E-2</v>
      </c>
      <c r="AB86" s="488">
        <v>2.9499999999999998E-2</v>
      </c>
      <c r="AC86" s="494">
        <v>2.9499999999999998E-2</v>
      </c>
      <c r="AD86" s="494">
        <v>3.1E-2</v>
      </c>
      <c r="AE86" s="488">
        <v>3.15E-2</v>
      </c>
      <c r="AF86" s="494">
        <v>3.15E-2</v>
      </c>
      <c r="AG86" s="471">
        <v>3.2000000000000001E-2</v>
      </c>
      <c r="AH86" s="471">
        <v>3.2000000000000001E-2</v>
      </c>
      <c r="AI86" s="470">
        <v>3.2199999999999999E-2</v>
      </c>
      <c r="AJ86" s="470">
        <v>3.2399999999999998E-2</v>
      </c>
      <c r="AK86" s="470">
        <v>3.2500000000000001E-2</v>
      </c>
      <c r="AL86" s="472">
        <v>3.2800000000000003E-2</v>
      </c>
      <c r="AM86" s="470">
        <v>3.2800000000000003E-2</v>
      </c>
      <c r="AN86" s="470">
        <v>3.3000000000000002E-2</v>
      </c>
      <c r="AO86" s="470">
        <v>3.3500000000000002E-2</v>
      </c>
      <c r="AP86" s="471">
        <v>3.3300000000000003E-2</v>
      </c>
      <c r="AQ86" s="471">
        <v>3.3300000000000003E-2</v>
      </c>
      <c r="AR86" s="471">
        <v>3.3300000000000003E-2</v>
      </c>
      <c r="AS86" s="471">
        <v>3.3300000000000003E-2</v>
      </c>
      <c r="AT86" s="470">
        <v>3.3300000000000003E-2</v>
      </c>
      <c r="AU86" s="471">
        <v>3.3500000000000002E-2</v>
      </c>
      <c r="AV86" s="470">
        <v>3.3099999999999997E-2</v>
      </c>
      <c r="AW86" s="472">
        <v>3.3000000000000002E-2</v>
      </c>
      <c r="AX86" s="472">
        <v>3.3000000000000002E-2</v>
      </c>
      <c r="AY86" s="472">
        <v>3.3000000000000002E-2</v>
      </c>
      <c r="AZ86" s="472">
        <v>3.3000000000000002E-2</v>
      </c>
      <c r="BA86" s="472">
        <v>3.3000000000000002E-2</v>
      </c>
      <c r="BB86" s="472">
        <v>3.3000000000000002E-2</v>
      </c>
      <c r="BC86" s="472">
        <v>3.3000000000000002E-2</v>
      </c>
      <c r="BD86" s="472">
        <v>3.3000000000000002E-2</v>
      </c>
      <c r="BE86" s="472">
        <v>3.3000000000000002E-2</v>
      </c>
      <c r="BF86" s="472">
        <v>3.3000000000000002E-2</v>
      </c>
      <c r="BG86" s="472">
        <v>3.3000000000000002E-2</v>
      </c>
      <c r="BH86" s="472">
        <v>3.6600000000000001E-2</v>
      </c>
      <c r="BI86" s="472">
        <v>3.6600000000000001E-2</v>
      </c>
      <c r="BJ86" s="472">
        <v>3.6600000000000001E-2</v>
      </c>
      <c r="BK86" s="472">
        <v>3.6600000000000001E-2</v>
      </c>
      <c r="BL86" s="472">
        <v>3.6600000000000001E-2</v>
      </c>
      <c r="BM86" s="472">
        <v>3.6600000000000001E-2</v>
      </c>
      <c r="BN86" s="472">
        <v>3.6600000000000001E-2</v>
      </c>
      <c r="BO86" s="472">
        <v>3.7199999999999997E-2</v>
      </c>
      <c r="BP86" s="472">
        <v>3.7199999999999997E-2</v>
      </c>
      <c r="BQ86" s="472">
        <v>3.7199999999999997E-2</v>
      </c>
      <c r="BR86" s="472">
        <v>3.7999999999999999E-2</v>
      </c>
      <c r="BS86" s="472">
        <v>3.7999999999999999E-2</v>
      </c>
      <c r="BT86" s="472">
        <v>3.7999999999999999E-2</v>
      </c>
      <c r="BU86" s="472">
        <v>3.7999999999999999E-2</v>
      </c>
      <c r="BV86" s="472">
        <v>3.7999999999999999E-2</v>
      </c>
      <c r="BW86" s="472">
        <v>3.7999999999999999E-2</v>
      </c>
      <c r="BX86" s="472">
        <v>3.7999999999999999E-2</v>
      </c>
      <c r="BY86" s="472">
        <v>3.7999999999999999E-2</v>
      </c>
      <c r="BZ86" s="472">
        <v>3.7539999999999997E-2</v>
      </c>
      <c r="CA86" s="472">
        <v>3.9600000000000003E-2</v>
      </c>
      <c r="CB86" s="472">
        <v>4.1500000000000002E-2</v>
      </c>
      <c r="CC86" s="472">
        <v>4.02E-2</v>
      </c>
      <c r="CD86" s="472">
        <v>4.1500000000000002E-2</v>
      </c>
      <c r="CE86" s="472">
        <v>4.1500000000000002E-2</v>
      </c>
      <c r="CF86" s="472">
        <v>4.1500000000000002E-2</v>
      </c>
      <c r="CG86" s="472">
        <v>4.1500000000000002E-2</v>
      </c>
      <c r="CH86" s="477"/>
      <c r="CI86" s="477"/>
      <c r="CJ86" s="477"/>
      <c r="CK86" s="477"/>
      <c r="CL86" s="477"/>
      <c r="CM86" s="477"/>
      <c r="CN86" s="477"/>
      <c r="CO86" s="477"/>
      <c r="CP86" s="477"/>
      <c r="CQ86" s="477"/>
      <c r="CR86" s="477"/>
      <c r="CS86" s="477"/>
      <c r="CT86" s="477"/>
      <c r="CU86" s="477"/>
      <c r="CV86" s="477"/>
      <c r="CW86" s="477"/>
      <c r="CX86" s="477"/>
      <c r="CY86" s="477"/>
      <c r="CZ86" s="477"/>
      <c r="DA86" s="477"/>
      <c r="DB86" s="477"/>
      <c r="DC86" s="477"/>
      <c r="DD86" s="477"/>
      <c r="DE86" s="477"/>
      <c r="DF86" s="477"/>
      <c r="DG86" s="477"/>
      <c r="DH86" s="477"/>
      <c r="DI86" s="477"/>
      <c r="DJ86" s="477"/>
      <c r="DK86" s="477"/>
      <c r="DL86" s="477"/>
      <c r="DM86" s="477"/>
      <c r="DN86" s="477"/>
      <c r="DO86" s="477"/>
      <c r="DP86" s="477"/>
      <c r="DQ86" s="477"/>
      <c r="DR86" s="477"/>
      <c r="DS86" s="477"/>
      <c r="DT86" s="477"/>
      <c r="DU86" s="477"/>
      <c r="DV86" s="477"/>
      <c r="DW86" s="477"/>
      <c r="DX86" s="477"/>
      <c r="DY86" s="477"/>
      <c r="DZ86" s="477"/>
      <c r="EA86" s="477"/>
      <c r="EB86" s="477"/>
      <c r="EC86" s="477"/>
      <c r="ED86" s="477"/>
      <c r="EE86" s="477"/>
      <c r="EF86" s="477"/>
      <c r="EG86" s="477"/>
      <c r="EH86" s="477"/>
      <c r="EI86" s="477"/>
      <c r="EJ86" s="477"/>
      <c r="EK86" s="477"/>
      <c r="EL86" s="477"/>
      <c r="EM86" s="477"/>
      <c r="EN86" s="477"/>
      <c r="EO86" s="477"/>
      <c r="EP86" s="477"/>
      <c r="EQ86" s="477"/>
      <c r="ER86" s="477"/>
      <c r="ES86" s="477"/>
      <c r="ET86" s="477"/>
      <c r="EU86" s="477"/>
      <c r="EV86" s="477"/>
      <c r="EW86" s="477"/>
      <c r="EX86" s="477"/>
      <c r="EY86" s="477"/>
      <c r="EZ86" s="477"/>
      <c r="FA86" s="477"/>
      <c r="FB86" s="477"/>
      <c r="FC86" s="477"/>
      <c r="FD86" s="477"/>
      <c r="FE86" s="477"/>
      <c r="FF86" s="477"/>
      <c r="FG86" s="477"/>
      <c r="FH86" s="477"/>
      <c r="FI86" s="477"/>
      <c r="FJ86" s="477"/>
      <c r="FK86" s="477"/>
      <c r="FL86" s="477"/>
      <c r="FM86" s="477"/>
      <c r="FN86" s="477"/>
      <c r="FO86" s="477"/>
      <c r="FP86" s="477"/>
      <c r="FQ86" s="477"/>
      <c r="FR86" s="477"/>
      <c r="FS86" s="477"/>
      <c r="FT86" s="477"/>
      <c r="FU86" s="477"/>
      <c r="FV86" s="477"/>
      <c r="FW86" s="477"/>
      <c r="FX86" s="477"/>
      <c r="FY86" s="477"/>
      <c r="FZ86" s="477"/>
      <c r="GA86" s="477"/>
      <c r="GB86" s="477"/>
      <c r="GC86" s="477"/>
      <c r="GD86" s="472"/>
      <c r="GE86" s="472"/>
      <c r="GF86" s="472"/>
      <c r="GG86" s="472"/>
      <c r="GH86" s="472"/>
      <c r="GI86" s="472"/>
      <c r="GJ86" s="472"/>
      <c r="GK86" s="472"/>
      <c r="GL86" s="472"/>
      <c r="GM86" s="472"/>
      <c r="GN86" s="472"/>
      <c r="GO86" s="472"/>
      <c r="GP86" s="472"/>
      <c r="GQ86" s="472"/>
      <c r="GR86" s="472"/>
      <c r="GS86" s="472"/>
      <c r="GT86" s="472"/>
      <c r="GU86" s="472"/>
      <c r="GV86" s="472"/>
      <c r="GW86" s="472"/>
      <c r="GX86" s="472"/>
      <c r="GY86" s="472"/>
      <c r="GZ86" s="472"/>
      <c r="HA86" s="472"/>
      <c r="HB86" s="472"/>
      <c r="HC86" s="472"/>
      <c r="HD86" s="472"/>
      <c r="HE86" s="472"/>
      <c r="HF86" s="472"/>
      <c r="HG86" s="472"/>
      <c r="HH86" s="472"/>
      <c r="HI86" s="472"/>
      <c r="HJ86" s="472"/>
      <c r="HK86" s="472"/>
      <c r="HL86" s="472"/>
      <c r="HM86" s="472"/>
      <c r="HN86" s="472"/>
      <c r="HO86" s="472"/>
      <c r="HP86" s="473">
        <f t="shared" si="30"/>
        <v>0</v>
      </c>
      <c r="HQ86" s="1135"/>
    </row>
    <row r="87" spans="2:225">
      <c r="B87" s="1139"/>
      <c r="C87" s="732" t="s">
        <v>255</v>
      </c>
      <c r="D87" s="494">
        <v>2.7E-2</v>
      </c>
      <c r="E87" s="494">
        <v>2.7E-2</v>
      </c>
      <c r="F87" s="494">
        <v>2.6700000000000002E-2</v>
      </c>
      <c r="G87" s="494">
        <v>2.6800000000000001E-2</v>
      </c>
      <c r="H87" s="494">
        <v>2.5000000000000001E-2</v>
      </c>
      <c r="I87" s="494">
        <v>2.8500000000000001E-2</v>
      </c>
      <c r="J87" s="488">
        <v>2.6200000000000001E-2</v>
      </c>
      <c r="K87" s="494">
        <v>2.6200000000000001E-2</v>
      </c>
      <c r="L87" s="494">
        <v>2.63E-2</v>
      </c>
      <c r="M87" s="494">
        <v>2.6499999999999999E-2</v>
      </c>
      <c r="N87" s="494">
        <v>2.7699999999999999E-2</v>
      </c>
      <c r="O87" s="488">
        <v>2.75E-2</v>
      </c>
      <c r="P87" s="494">
        <v>2.75E-2</v>
      </c>
      <c r="Q87" s="488">
        <v>2.8500000000000001E-2</v>
      </c>
      <c r="R87" s="494">
        <v>2.8500000000000001E-2</v>
      </c>
      <c r="S87" s="494">
        <v>2.9000000000000001E-2</v>
      </c>
      <c r="T87" s="488">
        <v>2.8000000000000001E-2</v>
      </c>
      <c r="U87" s="488">
        <v>2.8000000000000001E-2</v>
      </c>
      <c r="V87" s="488">
        <v>2.8000000000000001E-2</v>
      </c>
      <c r="W87" s="494">
        <v>2.7999999999999997E-2</v>
      </c>
      <c r="X87" s="494">
        <v>2.9299999999999996E-2</v>
      </c>
      <c r="Y87" s="488">
        <v>2.9699999999999997E-2</v>
      </c>
      <c r="Z87" s="494">
        <v>0.03</v>
      </c>
      <c r="AA87" s="488">
        <v>2.9499999999999998E-2</v>
      </c>
      <c r="AB87" s="488">
        <v>2.9499999999999998E-2</v>
      </c>
      <c r="AC87" s="494">
        <v>2.9499999999999998E-2</v>
      </c>
      <c r="AD87" s="494">
        <v>3.1E-2</v>
      </c>
      <c r="AE87" s="488">
        <v>3.15E-2</v>
      </c>
      <c r="AF87" s="494">
        <v>3.15E-2</v>
      </c>
      <c r="AG87" s="471">
        <v>3.2000000000000001E-2</v>
      </c>
      <c r="AH87" s="471">
        <v>3.2000000000000001E-2</v>
      </c>
      <c r="AI87" s="470">
        <v>3.2199999999999999E-2</v>
      </c>
      <c r="AJ87" s="470">
        <v>3.2399999999999998E-2</v>
      </c>
      <c r="AK87" s="470">
        <v>3.2500000000000001E-2</v>
      </c>
      <c r="AL87" s="472">
        <v>3.2800000000000003E-2</v>
      </c>
      <c r="AM87" s="470">
        <v>3.2800000000000003E-2</v>
      </c>
      <c r="AN87" s="470">
        <v>3.3000000000000002E-2</v>
      </c>
      <c r="AO87" s="470">
        <v>3.3500000000000002E-2</v>
      </c>
      <c r="AP87" s="471">
        <v>3.3300000000000003E-2</v>
      </c>
      <c r="AQ87" s="471">
        <v>3.3300000000000003E-2</v>
      </c>
      <c r="AR87" s="471">
        <v>3.3300000000000003E-2</v>
      </c>
      <c r="AS87" s="471">
        <v>3.3300000000000003E-2</v>
      </c>
      <c r="AT87" s="470">
        <v>3.3300000000000003E-2</v>
      </c>
      <c r="AU87" s="471">
        <v>3.3500000000000002E-2</v>
      </c>
      <c r="AV87" s="470">
        <v>3.3099999999999997E-2</v>
      </c>
      <c r="AW87" s="472">
        <v>3.3000000000000002E-2</v>
      </c>
      <c r="AX87" s="472">
        <v>3.3000000000000002E-2</v>
      </c>
      <c r="AY87" s="472">
        <v>3.3000000000000002E-2</v>
      </c>
      <c r="AZ87" s="472">
        <v>3.3000000000000002E-2</v>
      </c>
      <c r="BA87" s="472">
        <v>3.3000000000000002E-2</v>
      </c>
      <c r="BB87" s="472">
        <v>3.3000000000000002E-2</v>
      </c>
      <c r="BC87" s="472">
        <v>3.3000000000000002E-2</v>
      </c>
      <c r="BD87" s="472">
        <v>3.3000000000000002E-2</v>
      </c>
      <c r="BE87" s="472">
        <v>3.3000000000000002E-2</v>
      </c>
      <c r="BF87" s="472">
        <v>3.3000000000000002E-2</v>
      </c>
      <c r="BG87" s="472">
        <v>3.3000000000000002E-2</v>
      </c>
      <c r="BH87" s="472">
        <v>3.6600000000000001E-2</v>
      </c>
      <c r="BI87" s="472">
        <v>3.6600000000000001E-2</v>
      </c>
      <c r="BJ87" s="472">
        <v>3.6600000000000001E-2</v>
      </c>
      <c r="BK87" s="472">
        <v>3.6600000000000001E-2</v>
      </c>
      <c r="BL87" s="472">
        <v>3.6600000000000001E-2</v>
      </c>
      <c r="BM87" s="472">
        <v>3.6600000000000001E-2</v>
      </c>
      <c r="BN87" s="472">
        <v>3.6600000000000001E-2</v>
      </c>
      <c r="BO87" s="472">
        <v>3.7199999999999997E-2</v>
      </c>
      <c r="BP87" s="472">
        <v>3.7199999999999997E-2</v>
      </c>
      <c r="BQ87" s="472">
        <v>3.7199999999999997E-2</v>
      </c>
      <c r="BR87" s="472">
        <v>3.7999999999999999E-2</v>
      </c>
      <c r="BS87" s="472">
        <v>3.7999999999999999E-2</v>
      </c>
      <c r="BT87" s="472">
        <v>3.7999999999999999E-2</v>
      </c>
      <c r="BU87" s="472">
        <v>3.7999999999999999E-2</v>
      </c>
      <c r="BV87" s="472">
        <v>3.7999999999999999E-2</v>
      </c>
      <c r="BW87" s="472">
        <v>3.7999999999999999E-2</v>
      </c>
      <c r="BX87" s="472">
        <v>3.7999999999999999E-2</v>
      </c>
      <c r="BY87" s="472">
        <v>3.7999999999999999E-2</v>
      </c>
      <c r="BZ87" s="472">
        <v>3.7499999999999999E-2</v>
      </c>
      <c r="CA87" s="472">
        <v>3.9600000000000003E-2</v>
      </c>
      <c r="CB87" s="472">
        <v>4.1500000000000002E-2</v>
      </c>
      <c r="CC87" s="472">
        <v>4.02E-2</v>
      </c>
      <c r="CD87" s="472">
        <v>4.1500000000000002E-2</v>
      </c>
      <c r="CE87" s="472">
        <v>4.1500000000000002E-2</v>
      </c>
      <c r="CF87" s="472">
        <v>4.1500000000000002E-2</v>
      </c>
      <c r="CG87" s="472">
        <v>4.1500000000000002E-2</v>
      </c>
      <c r="CH87" s="477"/>
      <c r="CI87" s="477"/>
      <c r="CJ87" s="477"/>
      <c r="CK87" s="477"/>
      <c r="CL87" s="477"/>
      <c r="CM87" s="477"/>
      <c r="CN87" s="477"/>
      <c r="CO87" s="477"/>
      <c r="CP87" s="477"/>
      <c r="CQ87" s="477"/>
      <c r="CR87" s="477"/>
      <c r="CS87" s="477"/>
      <c r="CT87" s="477"/>
      <c r="CU87" s="477"/>
      <c r="CV87" s="477"/>
      <c r="CW87" s="477"/>
      <c r="CX87" s="477"/>
      <c r="CY87" s="477"/>
      <c r="CZ87" s="477"/>
      <c r="DA87" s="477"/>
      <c r="DB87" s="477"/>
      <c r="DC87" s="477"/>
      <c r="DD87" s="477"/>
      <c r="DE87" s="477"/>
      <c r="DF87" s="477"/>
      <c r="DG87" s="477"/>
      <c r="DH87" s="477"/>
      <c r="DI87" s="477"/>
      <c r="DJ87" s="477"/>
      <c r="DK87" s="477"/>
      <c r="DL87" s="477"/>
      <c r="DM87" s="477"/>
      <c r="DN87" s="477"/>
      <c r="DO87" s="477"/>
      <c r="DP87" s="477"/>
      <c r="DQ87" s="477"/>
      <c r="DR87" s="477"/>
      <c r="DS87" s="477"/>
      <c r="DT87" s="477"/>
      <c r="DU87" s="477"/>
      <c r="DV87" s="477"/>
      <c r="DW87" s="477"/>
      <c r="DX87" s="477"/>
      <c r="DY87" s="477"/>
      <c r="DZ87" s="477"/>
      <c r="EA87" s="477"/>
      <c r="EB87" s="477"/>
      <c r="EC87" s="477"/>
      <c r="ED87" s="477"/>
      <c r="EE87" s="477"/>
      <c r="EF87" s="477"/>
      <c r="EG87" s="477"/>
      <c r="EH87" s="477"/>
      <c r="EI87" s="477"/>
      <c r="EJ87" s="477"/>
      <c r="EK87" s="477"/>
      <c r="EL87" s="477"/>
      <c r="EM87" s="477"/>
      <c r="EN87" s="477"/>
      <c r="EO87" s="477"/>
      <c r="EP87" s="477"/>
      <c r="EQ87" s="477"/>
      <c r="ER87" s="477"/>
      <c r="ES87" s="477"/>
      <c r="ET87" s="477"/>
      <c r="EU87" s="477"/>
      <c r="EV87" s="477"/>
      <c r="EW87" s="477"/>
      <c r="EX87" s="477"/>
      <c r="EY87" s="477"/>
      <c r="EZ87" s="477"/>
      <c r="FA87" s="477"/>
      <c r="FB87" s="477"/>
      <c r="FC87" s="477"/>
      <c r="FD87" s="477"/>
      <c r="FE87" s="477"/>
      <c r="FF87" s="477"/>
      <c r="FG87" s="477"/>
      <c r="FH87" s="477"/>
      <c r="FI87" s="477"/>
      <c r="FJ87" s="477"/>
      <c r="FK87" s="477"/>
      <c r="FL87" s="477"/>
      <c r="FM87" s="477"/>
      <c r="FN87" s="477"/>
      <c r="FO87" s="477"/>
      <c r="FP87" s="477"/>
      <c r="FQ87" s="477"/>
      <c r="FR87" s="477"/>
      <c r="FS87" s="477"/>
      <c r="FT87" s="477"/>
      <c r="FU87" s="477"/>
      <c r="FV87" s="477"/>
      <c r="FW87" s="477"/>
      <c r="FX87" s="477"/>
      <c r="FY87" s="477"/>
      <c r="FZ87" s="477"/>
      <c r="GA87" s="477"/>
      <c r="GB87" s="477"/>
      <c r="GC87" s="477"/>
      <c r="GD87" s="472"/>
      <c r="GE87" s="472"/>
      <c r="GF87" s="472"/>
      <c r="GG87" s="472"/>
      <c r="GH87" s="472"/>
      <c r="GI87" s="472"/>
      <c r="GJ87" s="472"/>
      <c r="GK87" s="472"/>
      <c r="GL87" s="472"/>
      <c r="GM87" s="472"/>
      <c r="GN87" s="472"/>
      <c r="GO87" s="472"/>
      <c r="GP87" s="472"/>
      <c r="GQ87" s="472"/>
      <c r="GR87" s="472"/>
      <c r="GS87" s="472"/>
      <c r="GT87" s="472"/>
      <c r="GU87" s="472"/>
      <c r="GV87" s="472"/>
      <c r="GW87" s="472"/>
      <c r="GX87" s="472"/>
      <c r="GY87" s="472"/>
      <c r="GZ87" s="472"/>
      <c r="HA87" s="472"/>
      <c r="HB87" s="472"/>
      <c r="HC87" s="472"/>
      <c r="HD87" s="472"/>
      <c r="HE87" s="472"/>
      <c r="HF87" s="472"/>
      <c r="HG87" s="472"/>
      <c r="HH87" s="472"/>
      <c r="HI87" s="472"/>
      <c r="HJ87" s="472"/>
      <c r="HK87" s="472"/>
      <c r="HL87" s="472"/>
      <c r="HM87" s="472"/>
      <c r="HN87" s="472"/>
      <c r="HO87" s="472"/>
      <c r="HP87" s="473">
        <f t="shared" si="30"/>
        <v>0</v>
      </c>
      <c r="HQ87" s="1136"/>
    </row>
    <row r="88" spans="2:225">
      <c r="B88" s="1139"/>
      <c r="C88" s="732" t="s">
        <v>254</v>
      </c>
      <c r="D88" s="494">
        <v>2.75E-2</v>
      </c>
      <c r="E88" s="494">
        <v>2.75E-2</v>
      </c>
      <c r="F88" s="494">
        <v>2.7199999999999998E-2</v>
      </c>
      <c r="G88" s="494">
        <v>2.7300000000000001E-2</v>
      </c>
      <c r="H88" s="494">
        <v>2.5499999999999998E-2</v>
      </c>
      <c r="I88" s="494">
        <v>2.9000000000000001E-2</v>
      </c>
      <c r="J88" s="488">
        <v>2.6700000000000002E-2</v>
      </c>
      <c r="K88" s="494">
        <v>2.6700000000000002E-2</v>
      </c>
      <c r="L88" s="494">
        <v>2.6800000000000001E-2</v>
      </c>
      <c r="M88" s="494">
        <v>2.7E-2</v>
      </c>
      <c r="N88" s="494">
        <v>2.8199999999999999E-2</v>
      </c>
      <c r="O88" s="488">
        <v>2.8000000000000001E-2</v>
      </c>
      <c r="P88" s="494">
        <v>2.8000000000000001E-2</v>
      </c>
      <c r="Q88" s="488">
        <v>2.9000000000000001E-2</v>
      </c>
      <c r="R88" s="494">
        <v>2.9000000000000001E-2</v>
      </c>
      <c r="S88" s="494">
        <v>2.9499999999999998E-2</v>
      </c>
      <c r="T88" s="488">
        <v>2.8500000000000001E-2</v>
      </c>
      <c r="U88" s="488">
        <v>2.8500000000000001E-2</v>
      </c>
      <c r="V88" s="488">
        <v>2.8500000000000001E-2</v>
      </c>
      <c r="W88" s="494">
        <v>2.8499999999999998E-2</v>
      </c>
      <c r="X88" s="494">
        <v>2.9799999999999997E-2</v>
      </c>
      <c r="Y88" s="488">
        <v>3.0199999999999998E-2</v>
      </c>
      <c r="Z88" s="494">
        <v>3.0499999999999999E-2</v>
      </c>
      <c r="AA88" s="488">
        <v>0.03</v>
      </c>
      <c r="AB88" s="488">
        <v>0.03</v>
      </c>
      <c r="AC88" s="494">
        <v>0.03</v>
      </c>
      <c r="AD88" s="494">
        <v>3.15E-2</v>
      </c>
      <c r="AE88" s="488">
        <v>3.2000000000000001E-2</v>
      </c>
      <c r="AF88" s="494">
        <v>3.2000000000000001E-2</v>
      </c>
      <c r="AG88" s="471">
        <v>3.2500000000000001E-2</v>
      </c>
      <c r="AH88" s="471">
        <v>3.2500000000000001E-2</v>
      </c>
      <c r="AI88" s="470">
        <v>3.27E-2</v>
      </c>
      <c r="AJ88" s="470">
        <v>3.2899999999999999E-2</v>
      </c>
      <c r="AK88" s="470">
        <v>3.3000000000000002E-2</v>
      </c>
      <c r="AL88" s="472">
        <v>3.3300000000000003E-2</v>
      </c>
      <c r="AM88" s="470">
        <v>3.3300000000000003E-2</v>
      </c>
      <c r="AN88" s="470">
        <v>3.3500000000000002E-2</v>
      </c>
      <c r="AO88" s="470">
        <v>0.04</v>
      </c>
      <c r="AP88" s="471">
        <v>3.3799999999999997E-2</v>
      </c>
      <c r="AQ88" s="471">
        <v>3.3799999999999997E-2</v>
      </c>
      <c r="AR88" s="471">
        <v>3.3799999999999997E-2</v>
      </c>
      <c r="AS88" s="471">
        <v>3.3799999999999997E-2</v>
      </c>
      <c r="AT88" s="470">
        <v>3.3799999999999997E-2</v>
      </c>
      <c r="AU88" s="471">
        <v>3.4000000000000002E-2</v>
      </c>
      <c r="AV88" s="470">
        <v>3.3599999999999998E-2</v>
      </c>
      <c r="AW88" s="472">
        <v>3.3500000000000002E-2</v>
      </c>
      <c r="AX88" s="472">
        <v>3.3500000000000002E-2</v>
      </c>
      <c r="AY88" s="472">
        <v>3.3500000000000002E-2</v>
      </c>
      <c r="AZ88" s="472">
        <v>3.3500000000000002E-2</v>
      </c>
      <c r="BA88" s="472">
        <v>3.3500000000000002E-2</v>
      </c>
      <c r="BB88" s="472">
        <v>3.3500000000000002E-2</v>
      </c>
      <c r="BC88" s="472">
        <v>3.3500000000000002E-2</v>
      </c>
      <c r="BD88" s="472">
        <v>3.3500000000000002E-2</v>
      </c>
      <c r="BE88" s="472">
        <v>3.3500000000000002E-2</v>
      </c>
      <c r="BF88" s="472">
        <v>3.3500000000000002E-2</v>
      </c>
      <c r="BG88" s="472">
        <v>3.3500000000000002E-2</v>
      </c>
      <c r="BH88" s="472">
        <v>3.7100000000000001E-2</v>
      </c>
      <c r="BI88" s="472">
        <v>3.7100000000000001E-2</v>
      </c>
      <c r="BJ88" s="472">
        <v>3.7100000000000001E-2</v>
      </c>
      <c r="BK88" s="472">
        <v>3.7100000000000001E-2</v>
      </c>
      <c r="BL88" s="472">
        <v>3.7100000000000001E-2</v>
      </c>
      <c r="BM88" s="472">
        <v>3.7100000000000001E-2</v>
      </c>
      <c r="BN88" s="472">
        <v>3.7100000000000001E-2</v>
      </c>
      <c r="BO88" s="472">
        <v>3.7699999999999997E-2</v>
      </c>
      <c r="BP88" s="472">
        <v>3.7699999999999997E-2</v>
      </c>
      <c r="BQ88" s="472">
        <v>3.7699999999999997E-2</v>
      </c>
      <c r="BR88" s="472">
        <v>3.85E-2</v>
      </c>
      <c r="BS88" s="472">
        <v>3.85E-2</v>
      </c>
      <c r="BT88" s="472">
        <v>3.85E-2</v>
      </c>
      <c r="BU88" s="472">
        <v>3.85E-2</v>
      </c>
      <c r="BV88" s="472">
        <v>3.85E-2</v>
      </c>
      <c r="BW88" s="472">
        <v>3.85E-2</v>
      </c>
      <c r="BX88" s="472">
        <v>3.85E-2</v>
      </c>
      <c r="BY88" s="472">
        <v>3.85E-2</v>
      </c>
      <c r="BZ88" s="472">
        <v>3.7999999999999999E-2</v>
      </c>
      <c r="CA88" s="472">
        <v>4.0099999999999997E-2</v>
      </c>
      <c r="CB88" s="472">
        <v>4.2000000000000003E-2</v>
      </c>
      <c r="CC88" s="472">
        <v>4.07E-2</v>
      </c>
      <c r="CD88" s="472">
        <v>4.2000000000000003E-2</v>
      </c>
      <c r="CE88" s="472">
        <v>4.2000000000000003E-2</v>
      </c>
      <c r="CF88" s="472">
        <v>4.2000000000000003E-2</v>
      </c>
      <c r="CG88" s="472">
        <v>4.2000000000000003E-2</v>
      </c>
      <c r="CH88" s="477"/>
      <c r="CI88" s="477"/>
      <c r="CJ88" s="477"/>
      <c r="CK88" s="477"/>
      <c r="CL88" s="477"/>
      <c r="CM88" s="477"/>
      <c r="CN88" s="477"/>
      <c r="CO88" s="477"/>
      <c r="CP88" s="477"/>
      <c r="CQ88" s="477"/>
      <c r="CR88" s="477"/>
      <c r="CS88" s="477"/>
      <c r="CT88" s="477"/>
      <c r="CU88" s="477"/>
      <c r="CV88" s="477"/>
      <c r="CW88" s="477"/>
      <c r="CX88" s="477"/>
      <c r="CY88" s="477"/>
      <c r="CZ88" s="477"/>
      <c r="DA88" s="477"/>
      <c r="DB88" s="477"/>
      <c r="DC88" s="477"/>
      <c r="DD88" s="477"/>
      <c r="DE88" s="477"/>
      <c r="DF88" s="477"/>
      <c r="DG88" s="477"/>
      <c r="DH88" s="477"/>
      <c r="DI88" s="477"/>
      <c r="DJ88" s="477"/>
      <c r="DK88" s="477"/>
      <c r="DL88" s="477"/>
      <c r="DM88" s="477"/>
      <c r="DN88" s="477"/>
      <c r="DO88" s="477"/>
      <c r="DP88" s="477"/>
      <c r="DQ88" s="477"/>
      <c r="DR88" s="477"/>
      <c r="DS88" s="477"/>
      <c r="DT88" s="477"/>
      <c r="DU88" s="477"/>
      <c r="DV88" s="477"/>
      <c r="DW88" s="477"/>
      <c r="DX88" s="477"/>
      <c r="DY88" s="477"/>
      <c r="DZ88" s="477"/>
      <c r="EA88" s="477"/>
      <c r="EB88" s="477"/>
      <c r="EC88" s="477"/>
      <c r="ED88" s="477"/>
      <c r="EE88" s="477"/>
      <c r="EF88" s="477"/>
      <c r="EG88" s="477"/>
      <c r="EH88" s="477"/>
      <c r="EI88" s="477"/>
      <c r="EJ88" s="477"/>
      <c r="EK88" s="477"/>
      <c r="EL88" s="477"/>
      <c r="EM88" s="477"/>
      <c r="EN88" s="477"/>
      <c r="EO88" s="477"/>
      <c r="EP88" s="477"/>
      <c r="EQ88" s="477"/>
      <c r="ER88" s="477"/>
      <c r="ES88" s="477"/>
      <c r="ET88" s="477"/>
      <c r="EU88" s="477"/>
      <c r="EV88" s="477"/>
      <c r="EW88" s="477"/>
      <c r="EX88" s="477"/>
      <c r="EY88" s="477"/>
      <c r="EZ88" s="477"/>
      <c r="FA88" s="477"/>
      <c r="FB88" s="477"/>
      <c r="FC88" s="477"/>
      <c r="FD88" s="477"/>
      <c r="FE88" s="477"/>
      <c r="FF88" s="477"/>
      <c r="FG88" s="477"/>
      <c r="FH88" s="477"/>
      <c r="FI88" s="477"/>
      <c r="FJ88" s="477"/>
      <c r="FK88" s="477"/>
      <c r="FL88" s="477"/>
      <c r="FM88" s="477"/>
      <c r="FN88" s="477"/>
      <c r="FO88" s="477"/>
      <c r="FP88" s="477"/>
      <c r="FQ88" s="477"/>
      <c r="FR88" s="477"/>
      <c r="FS88" s="477"/>
      <c r="FT88" s="477"/>
      <c r="FU88" s="477"/>
      <c r="FV88" s="477"/>
      <c r="FW88" s="477"/>
      <c r="FX88" s="477"/>
      <c r="FY88" s="477"/>
      <c r="FZ88" s="477"/>
      <c r="GA88" s="477"/>
      <c r="GB88" s="477"/>
      <c r="GC88" s="477"/>
      <c r="GD88" s="472"/>
      <c r="GE88" s="472"/>
      <c r="GF88" s="472"/>
      <c r="GG88" s="472"/>
      <c r="GH88" s="472"/>
      <c r="GI88" s="472"/>
      <c r="GJ88" s="472"/>
      <c r="GK88" s="472"/>
      <c r="GL88" s="472"/>
      <c r="GM88" s="472"/>
      <c r="GN88" s="472"/>
      <c r="GO88" s="472"/>
      <c r="GP88" s="472"/>
      <c r="GQ88" s="472"/>
      <c r="GR88" s="472"/>
      <c r="GS88" s="472"/>
      <c r="GT88" s="472"/>
      <c r="GU88" s="472"/>
      <c r="GV88" s="472"/>
      <c r="GW88" s="472"/>
      <c r="GX88" s="472"/>
      <c r="GY88" s="472"/>
      <c r="GZ88" s="472"/>
      <c r="HA88" s="472"/>
      <c r="HB88" s="472"/>
      <c r="HC88" s="472"/>
      <c r="HD88" s="472"/>
      <c r="HE88" s="472"/>
      <c r="HF88" s="472"/>
      <c r="HG88" s="472"/>
      <c r="HH88" s="472"/>
      <c r="HI88" s="472"/>
      <c r="HJ88" s="472"/>
      <c r="HK88" s="472"/>
      <c r="HL88" s="472"/>
      <c r="HM88" s="472"/>
      <c r="HN88" s="472"/>
      <c r="HO88" s="472"/>
      <c r="HP88" s="473">
        <f t="shared" si="30"/>
        <v>0</v>
      </c>
      <c r="HQ88" s="1136"/>
    </row>
    <row r="89" spans="2:225">
      <c r="B89" s="1140"/>
      <c r="C89" s="732" t="s">
        <v>253</v>
      </c>
      <c r="D89" s="494">
        <v>2.75E-2</v>
      </c>
      <c r="E89" s="494">
        <v>2.75E-2</v>
      </c>
      <c r="F89" s="494">
        <v>2.7199999999999998E-2</v>
      </c>
      <c r="G89" s="494">
        <v>2.7300000000000001E-2</v>
      </c>
      <c r="H89" s="494">
        <v>2.5499999999999998E-2</v>
      </c>
      <c r="I89" s="494">
        <v>2.9000000000000001E-2</v>
      </c>
      <c r="J89" s="488">
        <v>2.6700000000000002E-2</v>
      </c>
      <c r="K89" s="494">
        <v>2.6700000000000002E-2</v>
      </c>
      <c r="L89" s="494">
        <v>2.6800000000000001E-2</v>
      </c>
      <c r="M89" s="494">
        <v>2.7E-2</v>
      </c>
      <c r="N89" s="494">
        <v>2.8199999999999999E-2</v>
      </c>
      <c r="O89" s="488">
        <v>2.8000000000000001E-2</v>
      </c>
      <c r="P89" s="494">
        <v>2.8000000000000001E-2</v>
      </c>
      <c r="Q89" s="488">
        <v>2.9000000000000001E-2</v>
      </c>
      <c r="R89" s="494">
        <v>2.9000000000000001E-2</v>
      </c>
      <c r="S89" s="494">
        <v>2.9499999999999998E-2</v>
      </c>
      <c r="T89" s="488">
        <v>2.8500000000000001E-2</v>
      </c>
      <c r="U89" s="488">
        <v>2.8500000000000001E-2</v>
      </c>
      <c r="V89" s="488">
        <v>2.8500000000000001E-2</v>
      </c>
      <c r="W89" s="494">
        <v>2.8499999999999998E-2</v>
      </c>
      <c r="X89" s="494">
        <v>2.9799999999999997E-2</v>
      </c>
      <c r="Y89" s="488">
        <v>3.0199999999999998E-2</v>
      </c>
      <c r="Z89" s="494">
        <v>3.0499999999999999E-2</v>
      </c>
      <c r="AA89" s="488">
        <v>0.03</v>
      </c>
      <c r="AB89" s="488">
        <v>0.03</v>
      </c>
      <c r="AC89" s="494">
        <v>0.03</v>
      </c>
      <c r="AD89" s="494">
        <v>3.15E-2</v>
      </c>
      <c r="AE89" s="488">
        <v>3.2000000000000001E-2</v>
      </c>
      <c r="AF89" s="494">
        <v>3.2000000000000001E-2</v>
      </c>
      <c r="AG89" s="471">
        <v>3.2500000000000001E-2</v>
      </c>
      <c r="AH89" s="471">
        <v>3.2500000000000001E-2</v>
      </c>
      <c r="AI89" s="470">
        <v>3.27E-2</v>
      </c>
      <c r="AJ89" s="470">
        <v>3.2899999999999999E-2</v>
      </c>
      <c r="AK89" s="470">
        <v>3.3000000000000002E-2</v>
      </c>
      <c r="AL89" s="472">
        <v>3.3300000000000003E-2</v>
      </c>
      <c r="AM89" s="470">
        <v>3.3300000000000003E-2</v>
      </c>
      <c r="AN89" s="470">
        <v>3.3500000000000002E-2</v>
      </c>
      <c r="AO89" s="470">
        <v>0.04</v>
      </c>
      <c r="AP89" s="471">
        <v>3.3799999999999997E-2</v>
      </c>
      <c r="AQ89" s="471">
        <v>3.3799999999999997E-2</v>
      </c>
      <c r="AR89" s="471">
        <v>3.3799999999999997E-2</v>
      </c>
      <c r="AS89" s="471">
        <v>3.3799999999999997E-2</v>
      </c>
      <c r="AT89" s="470">
        <v>3.3799999999999997E-2</v>
      </c>
      <c r="AU89" s="471">
        <v>3.4000000000000002E-2</v>
      </c>
      <c r="AV89" s="470">
        <v>3.3599999999999998E-2</v>
      </c>
      <c r="AW89" s="472">
        <v>3.3500000000000002E-2</v>
      </c>
      <c r="AX89" s="472">
        <v>3.3500000000000002E-2</v>
      </c>
      <c r="AY89" s="472">
        <v>3.3500000000000002E-2</v>
      </c>
      <c r="AZ89" s="472">
        <v>3.3500000000000002E-2</v>
      </c>
      <c r="BA89" s="472">
        <v>3.3500000000000002E-2</v>
      </c>
      <c r="BB89" s="472">
        <v>3.3500000000000002E-2</v>
      </c>
      <c r="BC89" s="472">
        <v>3.3500000000000002E-2</v>
      </c>
      <c r="BD89" s="472">
        <v>3.3500000000000002E-2</v>
      </c>
      <c r="BE89" s="472">
        <v>3.3500000000000002E-2</v>
      </c>
      <c r="BF89" s="472">
        <v>3.3500000000000002E-2</v>
      </c>
      <c r="BG89" s="472">
        <v>3.3500000000000002E-2</v>
      </c>
      <c r="BH89" s="472">
        <v>3.7100000000000001E-2</v>
      </c>
      <c r="BI89" s="472">
        <v>3.7100000000000001E-2</v>
      </c>
      <c r="BJ89" s="472">
        <v>3.7100000000000001E-2</v>
      </c>
      <c r="BK89" s="472">
        <v>3.7100000000000001E-2</v>
      </c>
      <c r="BL89" s="472">
        <v>3.7100000000000001E-2</v>
      </c>
      <c r="BM89" s="472">
        <v>3.7100000000000001E-2</v>
      </c>
      <c r="BN89" s="472">
        <v>3.7100000000000001E-2</v>
      </c>
      <c r="BO89" s="472">
        <v>3.7699999999999997E-2</v>
      </c>
      <c r="BP89" s="472">
        <v>3.7699999999999997E-2</v>
      </c>
      <c r="BQ89" s="472">
        <v>3.7699999999999997E-2</v>
      </c>
      <c r="BR89" s="472">
        <v>3.85E-2</v>
      </c>
      <c r="BS89" s="472">
        <v>3.85E-2</v>
      </c>
      <c r="BT89" s="472">
        <v>3.85E-2</v>
      </c>
      <c r="BU89" s="472">
        <v>3.85E-2</v>
      </c>
      <c r="BV89" s="472">
        <v>3.85E-2</v>
      </c>
      <c r="BW89" s="472">
        <v>3.85E-2</v>
      </c>
      <c r="BX89" s="472">
        <v>3.85E-2</v>
      </c>
      <c r="BY89" s="472">
        <v>3.85E-2</v>
      </c>
      <c r="BZ89" s="472">
        <v>3.7999999999999999E-2</v>
      </c>
      <c r="CA89" s="472">
        <v>4.0099999999999997E-2</v>
      </c>
      <c r="CB89" s="472">
        <v>4.2000000000000003E-2</v>
      </c>
      <c r="CC89" s="472">
        <v>4.07E-2</v>
      </c>
      <c r="CD89" s="472">
        <v>4.2000000000000003E-2</v>
      </c>
      <c r="CE89" s="472">
        <v>4.2000000000000003E-2</v>
      </c>
      <c r="CF89" s="472">
        <v>4.2000000000000003E-2</v>
      </c>
      <c r="CG89" s="472">
        <v>4.2000000000000003E-2</v>
      </c>
      <c r="CH89" s="477">
        <v>0.05</v>
      </c>
      <c r="CI89" s="477">
        <v>0.05</v>
      </c>
      <c r="CJ89" s="477">
        <v>0.05</v>
      </c>
      <c r="CK89" s="477">
        <v>0.05</v>
      </c>
      <c r="CL89" s="477">
        <v>0.05</v>
      </c>
      <c r="CM89" s="477">
        <v>0.05</v>
      </c>
      <c r="CN89" s="477">
        <v>0.05</v>
      </c>
      <c r="CO89" s="477">
        <v>0.05</v>
      </c>
      <c r="CP89" s="477">
        <v>0.05</v>
      </c>
      <c r="CQ89" s="477">
        <v>0.05</v>
      </c>
      <c r="CR89" s="477">
        <v>0.05</v>
      </c>
      <c r="CS89" s="477">
        <v>0.05</v>
      </c>
      <c r="CT89" s="477">
        <v>0.05</v>
      </c>
      <c r="CU89" s="477">
        <v>0.05</v>
      </c>
      <c r="CV89" s="477">
        <v>0.05</v>
      </c>
      <c r="CW89" s="477">
        <v>0.05</v>
      </c>
      <c r="CX89" s="477">
        <v>0.05</v>
      </c>
      <c r="CY89" s="477">
        <v>0.05</v>
      </c>
      <c r="CZ89" s="477">
        <v>0.05</v>
      </c>
      <c r="DA89" s="477">
        <v>0.05</v>
      </c>
      <c r="DB89" s="477">
        <v>0.05</v>
      </c>
      <c r="DC89" s="477">
        <v>0.05</v>
      </c>
      <c r="DD89" s="477">
        <v>0.05</v>
      </c>
      <c r="DE89" s="477">
        <v>0.05</v>
      </c>
      <c r="DF89" s="477">
        <v>0.05</v>
      </c>
      <c r="DG89" s="477">
        <v>0.05</v>
      </c>
      <c r="DH89" s="477">
        <v>5.0999999999999997E-2</v>
      </c>
      <c r="DI89" s="477">
        <v>5.0999999999999997E-2</v>
      </c>
      <c r="DJ89" s="477">
        <v>5.0999999999999997E-2</v>
      </c>
      <c r="DK89" s="477">
        <v>5.0999999999999997E-2</v>
      </c>
      <c r="DL89" s="477">
        <v>5.0999999999999997E-2</v>
      </c>
      <c r="DM89" s="477">
        <v>5.0999999999999997E-2</v>
      </c>
      <c r="DN89" s="477">
        <v>5.0999999999999997E-2</v>
      </c>
      <c r="DO89" s="477">
        <v>5.0999999999999997E-2</v>
      </c>
      <c r="DP89" s="477">
        <v>5.0999999999999997E-2</v>
      </c>
      <c r="DQ89" s="477">
        <v>5.0999999999999997E-2</v>
      </c>
      <c r="DR89" s="477">
        <v>5.0999999999999997E-2</v>
      </c>
      <c r="DS89" s="477">
        <v>5.0999999999999997E-2</v>
      </c>
      <c r="DT89" s="477">
        <v>5.0999999999999997E-2</v>
      </c>
      <c r="DU89" s="477">
        <v>5.0999999999999997E-2</v>
      </c>
      <c r="DV89" s="477">
        <v>5.0999999999999997E-2</v>
      </c>
      <c r="DW89" s="477">
        <v>5.0999999999999997E-2</v>
      </c>
      <c r="DX89" s="477">
        <v>5.0999999999999997E-2</v>
      </c>
      <c r="DY89" s="477">
        <v>0.05</v>
      </c>
      <c r="DZ89" s="477">
        <v>0.05</v>
      </c>
      <c r="EA89" s="477">
        <v>0.05</v>
      </c>
      <c r="EB89" s="477">
        <v>0.05</v>
      </c>
      <c r="EC89" s="477">
        <v>4.9000000000000002E-2</v>
      </c>
      <c r="ED89" s="477">
        <v>4.9000000000000002E-2</v>
      </c>
      <c r="EE89" s="477">
        <v>4.9000000000000002E-2</v>
      </c>
      <c r="EF89" s="477">
        <v>4.9000000000000002E-2</v>
      </c>
      <c r="EG89" s="477">
        <v>4.9000000000000002E-2</v>
      </c>
      <c r="EH89" s="477">
        <v>4.8500000000000001E-2</v>
      </c>
      <c r="EI89" s="477">
        <v>3.2000000000000001E-2</v>
      </c>
      <c r="EJ89" s="477">
        <v>2.9000000000000001E-2</v>
      </c>
      <c r="EK89" s="477">
        <v>2.9000000000000001E-2</v>
      </c>
      <c r="EL89" s="477">
        <v>2.9000000000000001E-2</v>
      </c>
      <c r="EM89" s="477">
        <v>2.9000000000000001E-2</v>
      </c>
      <c r="EN89" s="477">
        <v>4.7E-2</v>
      </c>
      <c r="EO89" s="477">
        <v>4.7E-2</v>
      </c>
      <c r="EP89" s="477">
        <v>4.7E-2</v>
      </c>
      <c r="EQ89" s="477">
        <v>4.7E-2</v>
      </c>
      <c r="ER89" s="477">
        <v>4.5999999999999999E-2</v>
      </c>
      <c r="ES89" s="477">
        <v>4.5999999999999999E-2</v>
      </c>
      <c r="ET89" s="477">
        <v>4.5999999999999999E-2</v>
      </c>
      <c r="EU89" s="477">
        <v>4.5999999999999999E-2</v>
      </c>
      <c r="EV89" s="477">
        <v>4.7E-2</v>
      </c>
      <c r="EW89" s="477">
        <v>4.7E-2</v>
      </c>
      <c r="EX89" s="477">
        <v>4.7E-2</v>
      </c>
      <c r="EY89" s="477">
        <v>4.7E-2</v>
      </c>
      <c r="EZ89" s="477">
        <v>4.7E-2</v>
      </c>
      <c r="FA89" s="477">
        <v>4.7E-2</v>
      </c>
      <c r="FB89" s="477">
        <v>4.3999999999999997E-2</v>
      </c>
      <c r="FC89" s="477">
        <v>4.3999999999999997E-2</v>
      </c>
      <c r="FD89" s="477">
        <v>4.3999999999999997E-2</v>
      </c>
      <c r="FE89" s="477">
        <v>4.3999999999999997E-2</v>
      </c>
      <c r="FF89" s="477">
        <v>4.3999999999999997E-2</v>
      </c>
      <c r="FG89" s="477">
        <v>4.3999999999999997E-2</v>
      </c>
      <c r="FH89" s="477">
        <v>4.3999999999999997E-2</v>
      </c>
      <c r="FI89" s="477">
        <v>4.3999999999999997E-2</v>
      </c>
      <c r="FJ89" s="477">
        <v>4.7E-2</v>
      </c>
      <c r="FK89" s="477">
        <v>4.7E-2</v>
      </c>
      <c r="FL89" s="477">
        <v>4.7E-2</v>
      </c>
      <c r="FM89" s="477">
        <v>4.7E-2</v>
      </c>
      <c r="FN89" s="477">
        <v>4.7E-2</v>
      </c>
      <c r="FO89" s="477">
        <v>4.2000000000000003E-2</v>
      </c>
      <c r="FP89" s="477">
        <v>4.2000000000000003E-2</v>
      </c>
      <c r="FQ89" s="477">
        <v>4.2000000000000003E-2</v>
      </c>
      <c r="FR89" s="477">
        <v>4.2000000000000003E-2</v>
      </c>
      <c r="FS89" s="477">
        <v>3.2000000000000001E-2</v>
      </c>
      <c r="FT89" s="477">
        <v>3.2000000000000001E-2</v>
      </c>
      <c r="FU89" s="477">
        <v>3.2000000000000001E-2</v>
      </c>
      <c r="FV89" s="477">
        <v>4.7500000000000001E-2</v>
      </c>
      <c r="FW89" s="477">
        <v>4.7E-2</v>
      </c>
      <c r="FX89" s="477">
        <v>4.8500000000000001E-2</v>
      </c>
      <c r="FY89" s="477">
        <v>4.8500000000000001E-2</v>
      </c>
      <c r="FZ89" s="477">
        <v>4.8500000000000001E-2</v>
      </c>
      <c r="GA89" s="477">
        <v>4.7500000000000001E-2</v>
      </c>
      <c r="GB89" s="477">
        <v>4.7500000000000001E-2</v>
      </c>
      <c r="GC89" s="477">
        <v>4.7500000000000001E-2</v>
      </c>
      <c r="GD89" s="472">
        <v>2.9000000000000001E-2</v>
      </c>
      <c r="GE89" s="472">
        <v>2.9000000000000001E-2</v>
      </c>
      <c r="GF89" s="472">
        <v>2.9000000000000001E-2</v>
      </c>
      <c r="GG89" s="472">
        <v>2.9000000000000001E-2</v>
      </c>
      <c r="GH89" s="472">
        <v>2.9000000000000001E-2</v>
      </c>
      <c r="GI89" s="472">
        <v>2.9000000000000001E-2</v>
      </c>
      <c r="GJ89" s="472">
        <v>2.9000000000000001E-2</v>
      </c>
      <c r="GK89" s="472">
        <v>2.9000000000000001E-2</v>
      </c>
      <c r="GL89" s="472">
        <v>2.9000000000000001E-2</v>
      </c>
      <c r="GM89" s="472">
        <v>2.9000000000000001E-2</v>
      </c>
      <c r="GN89" s="472">
        <v>2.9000000000000001E-2</v>
      </c>
      <c r="GO89" s="472">
        <v>2.9000000000000001E-2</v>
      </c>
      <c r="GP89" s="472">
        <v>2.9000000000000001E-2</v>
      </c>
      <c r="GQ89" s="472">
        <v>2.9000000000000001E-2</v>
      </c>
      <c r="GR89" s="472">
        <v>2.9000000000000001E-2</v>
      </c>
      <c r="GS89" s="472">
        <v>2.9000000000000001E-2</v>
      </c>
      <c r="GT89" s="472">
        <v>2.9000000000000001E-2</v>
      </c>
      <c r="GU89" s="472">
        <v>2.9000000000000001E-2</v>
      </c>
      <c r="GV89" s="472">
        <v>2.9000000000000001E-2</v>
      </c>
      <c r="GW89" s="472">
        <v>2.9000000000000001E-2</v>
      </c>
      <c r="GX89" s="472">
        <v>2.9000000000000001E-2</v>
      </c>
      <c r="GY89" s="472">
        <v>2.9000000000000001E-2</v>
      </c>
      <c r="GZ89" s="472">
        <v>2.9000000000000001E-2</v>
      </c>
      <c r="HA89" s="472">
        <v>2.9000000000000001E-2</v>
      </c>
      <c r="HB89" s="472">
        <v>2.9000000000000001E-2</v>
      </c>
      <c r="HC89" s="472">
        <v>2.9000000000000001E-2</v>
      </c>
      <c r="HD89" s="472">
        <v>2.9000000000000001E-2</v>
      </c>
      <c r="HE89" s="472">
        <v>2.9000000000000001E-2</v>
      </c>
      <c r="HF89" s="472">
        <v>2.9000000000000001E-2</v>
      </c>
      <c r="HG89" s="472">
        <v>2.9000000000000001E-2</v>
      </c>
      <c r="HH89" s="472">
        <v>2.9000000000000001E-2</v>
      </c>
      <c r="HI89" s="472">
        <v>2.9000000000000001E-2</v>
      </c>
      <c r="HJ89" s="472">
        <v>2.9000000000000001E-2</v>
      </c>
      <c r="HK89" s="472">
        <v>2.9000000000000001E-2</v>
      </c>
      <c r="HL89" s="472">
        <v>2.9000000000000001E-2</v>
      </c>
      <c r="HM89" s="472">
        <v>2.9000000000000001E-2</v>
      </c>
      <c r="HN89" s="472">
        <v>2.9000000000000001E-2</v>
      </c>
      <c r="HO89" s="472">
        <v>2.9000000000000001E-2</v>
      </c>
      <c r="HP89" s="473">
        <f t="shared" si="30"/>
        <v>0</v>
      </c>
      <c r="HQ89" s="1137"/>
    </row>
    <row r="90" spans="2:225">
      <c r="B90" s="1123" t="s">
        <v>33</v>
      </c>
      <c r="C90" s="730" t="s">
        <v>252</v>
      </c>
      <c r="D90" s="500">
        <v>2.6000000000000002E-2</v>
      </c>
      <c r="E90" s="500">
        <v>2.6000000000000002E-2</v>
      </c>
      <c r="F90" s="500">
        <v>2.6000000000000002E-2</v>
      </c>
      <c r="G90" s="500">
        <v>2.6000000000000002E-2</v>
      </c>
      <c r="H90" s="500">
        <v>2.6000000000000002E-2</v>
      </c>
      <c r="I90" s="500">
        <v>2.6000000000000002E-2</v>
      </c>
      <c r="J90" s="500">
        <v>2.6000000000000002E-2</v>
      </c>
      <c r="K90" s="500">
        <v>2.6000000000000002E-2</v>
      </c>
      <c r="L90" s="500">
        <v>2.6000000000000002E-2</v>
      </c>
      <c r="M90" s="500">
        <v>2.6000000000000002E-2</v>
      </c>
      <c r="N90" s="500">
        <v>2.6000000000000002E-2</v>
      </c>
      <c r="O90" s="500">
        <v>2.6000000000000002E-2</v>
      </c>
      <c r="P90" s="500">
        <v>2.6000000000000002E-2</v>
      </c>
      <c r="Q90" s="500">
        <v>2.6000000000000002E-2</v>
      </c>
      <c r="R90" s="500">
        <v>2.6000000000000002E-2</v>
      </c>
      <c r="S90" s="500">
        <v>2.6000000000000002E-2</v>
      </c>
      <c r="T90" s="500">
        <v>2.6000000000000002E-2</v>
      </c>
      <c r="U90" s="500">
        <v>2.6000000000000002E-2</v>
      </c>
      <c r="V90" s="500">
        <v>2.6000000000000002E-2</v>
      </c>
      <c r="W90" s="500">
        <v>2.6000000000000002E-2</v>
      </c>
      <c r="X90" s="500">
        <v>2.6000000000000002E-2</v>
      </c>
      <c r="Y90" s="502">
        <v>2.6000000000000002E-2</v>
      </c>
      <c r="Z90" s="500">
        <v>2.8000000000000001E-2</v>
      </c>
      <c r="AA90" s="500">
        <v>2.8000000000000001E-2</v>
      </c>
      <c r="AB90" s="500">
        <v>2.8000000000000001E-2</v>
      </c>
      <c r="AC90" s="500">
        <v>2.8000000000000001E-2</v>
      </c>
      <c r="AD90" s="500">
        <v>2.8000000000000001E-2</v>
      </c>
      <c r="AE90" s="500">
        <v>2.8000000000000001E-2</v>
      </c>
      <c r="AF90" s="501">
        <v>2.8000000000000001E-2</v>
      </c>
      <c r="AG90" s="501">
        <v>2.8000000000000001E-2</v>
      </c>
      <c r="AH90" s="501">
        <v>2.8000000000000001E-2</v>
      </c>
      <c r="AI90" s="501">
        <v>2.8000000000000001E-2</v>
      </c>
      <c r="AJ90" s="501">
        <v>2.8000000000000001E-2</v>
      </c>
      <c r="AK90" s="501">
        <v>2.8000000000000001E-2</v>
      </c>
      <c r="AL90" s="501">
        <v>2.8000000000000001E-2</v>
      </c>
      <c r="AM90" s="500">
        <v>2.8000000000000001E-2</v>
      </c>
      <c r="AN90" s="500">
        <v>2.8000000000000001E-2</v>
      </c>
      <c r="AO90" s="500">
        <v>2.8000000000000001E-2</v>
      </c>
      <c r="AP90" s="500">
        <v>2.8000000000000001E-2</v>
      </c>
      <c r="AQ90" s="500">
        <v>2.8000000000000001E-2</v>
      </c>
      <c r="AR90" s="500">
        <v>2.8000000000000001E-2</v>
      </c>
      <c r="AS90" s="500">
        <v>2.8000000000000001E-2</v>
      </c>
      <c r="AT90" s="500">
        <v>2.8000000000000001E-2</v>
      </c>
      <c r="AU90" s="500">
        <v>2.8000000000000001E-2</v>
      </c>
      <c r="AV90" s="502">
        <v>2.9000000000000001E-2</v>
      </c>
      <c r="AW90" s="501">
        <v>0.03</v>
      </c>
      <c r="AX90" s="501">
        <v>0.03</v>
      </c>
      <c r="AY90" s="501">
        <v>0.03</v>
      </c>
      <c r="AZ90" s="501">
        <v>0.03</v>
      </c>
      <c r="BA90" s="501">
        <v>0.03</v>
      </c>
      <c r="BB90" s="501">
        <v>0.03</v>
      </c>
      <c r="BC90" s="501">
        <v>0.03</v>
      </c>
      <c r="BD90" s="501">
        <v>0.03</v>
      </c>
      <c r="BE90" s="501">
        <v>0.03</v>
      </c>
      <c r="BF90" s="501">
        <v>0.03</v>
      </c>
      <c r="BG90" s="501">
        <v>0.03</v>
      </c>
      <c r="BH90" s="501">
        <v>0.03</v>
      </c>
      <c r="BI90" s="501">
        <v>0.03</v>
      </c>
      <c r="BJ90" s="501">
        <v>0.03</v>
      </c>
      <c r="BK90" s="501">
        <v>0.03</v>
      </c>
      <c r="BL90" s="501">
        <v>0.03</v>
      </c>
      <c r="BM90" s="501">
        <v>0.03</v>
      </c>
      <c r="BN90" s="501">
        <v>0.03</v>
      </c>
      <c r="BO90" s="501">
        <v>0.03</v>
      </c>
      <c r="BP90" s="501">
        <v>0.03</v>
      </c>
      <c r="BQ90" s="501">
        <v>0.03</v>
      </c>
      <c r="BR90" s="501">
        <v>0.03</v>
      </c>
      <c r="BS90" s="501">
        <v>0.03</v>
      </c>
      <c r="BT90" s="501">
        <v>0.03</v>
      </c>
      <c r="BU90" s="501">
        <v>0.03</v>
      </c>
      <c r="BV90" s="501">
        <v>0.03</v>
      </c>
      <c r="BW90" s="501">
        <v>0.03</v>
      </c>
      <c r="BX90" s="501">
        <v>3.15E-2</v>
      </c>
      <c r="BY90" s="501">
        <v>3.15E-2</v>
      </c>
      <c r="BZ90" s="501">
        <v>3.5499999999999997E-2</v>
      </c>
      <c r="CA90" s="501">
        <v>3.5499999999999997E-2</v>
      </c>
      <c r="CB90" s="501">
        <v>3.5499999999999997E-2</v>
      </c>
      <c r="CC90" s="501">
        <v>3.6499999999999998E-2</v>
      </c>
      <c r="CD90" s="501">
        <v>3.6499999999999998E-2</v>
      </c>
      <c r="CE90" s="501">
        <v>3.6499999999999998E-2</v>
      </c>
      <c r="CF90" s="501">
        <v>3.6499999999999998E-2</v>
      </c>
      <c r="CG90" s="501">
        <v>3.6499999999999998E-2</v>
      </c>
      <c r="CH90" s="501">
        <v>3.6499999999999998E-2</v>
      </c>
      <c r="CI90" s="501">
        <v>3.6499999999999998E-2</v>
      </c>
      <c r="CJ90" s="501">
        <v>3.6499999999999998E-2</v>
      </c>
      <c r="CK90" s="501">
        <v>3.6499999999999998E-2</v>
      </c>
      <c r="CL90" s="501">
        <v>3.6499999999999998E-2</v>
      </c>
      <c r="CM90" s="501">
        <v>3.6499999999999998E-2</v>
      </c>
      <c r="CN90" s="501">
        <v>3.6499999999999998E-2</v>
      </c>
      <c r="CO90" s="501">
        <v>3.6499999999999998E-2</v>
      </c>
      <c r="CP90" s="501">
        <v>3.6499999999999998E-2</v>
      </c>
      <c r="CQ90" s="501">
        <v>3.6499999999999998E-2</v>
      </c>
      <c r="CR90" s="501">
        <v>3.6499999999999998E-2</v>
      </c>
      <c r="CS90" s="501">
        <v>3.6499999999999998E-2</v>
      </c>
      <c r="CT90" s="501">
        <v>3.6499999999999998E-2</v>
      </c>
      <c r="CU90" s="501">
        <v>3.6499999999999998E-2</v>
      </c>
      <c r="CV90" s="501">
        <v>3.6499999999999998E-2</v>
      </c>
      <c r="CW90" s="501">
        <v>3.6499999999999998E-2</v>
      </c>
      <c r="CX90" s="501">
        <v>3.6499999999999998E-2</v>
      </c>
      <c r="CY90" s="501">
        <v>3.6499999999999998E-2</v>
      </c>
      <c r="CZ90" s="501">
        <v>3.7499999999999999E-2</v>
      </c>
      <c r="DA90" s="501">
        <v>3.7499999999999999E-2</v>
      </c>
      <c r="DB90" s="501">
        <v>3.7499999999999999E-2</v>
      </c>
      <c r="DC90" s="501">
        <v>3.7499999999999999E-2</v>
      </c>
      <c r="DD90" s="501">
        <v>3.7499999999999999E-2</v>
      </c>
      <c r="DE90" s="501">
        <v>3.7499999999999999E-2</v>
      </c>
      <c r="DF90" s="501">
        <v>3.7499999999999999E-2</v>
      </c>
      <c r="DG90" s="501">
        <v>3.7499999999999999E-2</v>
      </c>
      <c r="DH90" s="501">
        <v>3.7499999999999999E-2</v>
      </c>
      <c r="DI90" s="501">
        <v>3.7499999999999999E-2</v>
      </c>
      <c r="DJ90" s="501">
        <v>3.7499999999999999E-2</v>
      </c>
      <c r="DK90" s="501">
        <v>3.7499999999999999E-2</v>
      </c>
      <c r="DL90" s="501">
        <v>3.7499999999999999E-2</v>
      </c>
      <c r="DM90" s="501">
        <v>3.7499999999999999E-2</v>
      </c>
      <c r="DN90" s="501">
        <v>3.7499999999999999E-2</v>
      </c>
      <c r="DO90" s="501">
        <v>3.7499999999999999E-2</v>
      </c>
      <c r="DP90" s="501">
        <v>3.7499999999999999E-2</v>
      </c>
      <c r="DQ90" s="501">
        <v>3.7499999999999999E-2</v>
      </c>
      <c r="DR90" s="501">
        <v>3.7499999999999999E-2</v>
      </c>
      <c r="DS90" s="501">
        <v>3.7499999999999999E-2</v>
      </c>
      <c r="DT90" s="501">
        <v>3.7499999999999999E-2</v>
      </c>
      <c r="DU90" s="501">
        <v>3.7499999999999999E-2</v>
      </c>
      <c r="DV90" s="501">
        <v>3.7499999999999999E-2</v>
      </c>
      <c r="DW90" s="501">
        <v>3.7499999999999999E-2</v>
      </c>
      <c r="DX90" s="501">
        <v>3.7499999999999999E-2</v>
      </c>
      <c r="DY90" s="501">
        <v>3.7499999999999999E-2</v>
      </c>
      <c r="DZ90" s="501">
        <v>3.7499999999999999E-2</v>
      </c>
      <c r="EA90" s="501">
        <v>3.7499999999999999E-2</v>
      </c>
      <c r="EB90" s="501">
        <v>3.7499999999999999E-2</v>
      </c>
      <c r="EC90" s="501">
        <v>3.7499999999999999E-2</v>
      </c>
      <c r="ED90" s="501">
        <v>3.7499999999999999E-2</v>
      </c>
      <c r="EE90" s="501">
        <v>3.7499999999999999E-2</v>
      </c>
      <c r="EF90" s="501">
        <v>3.7499999999999999E-2</v>
      </c>
      <c r="EG90" s="501">
        <v>3.7499999999999999E-2</v>
      </c>
      <c r="EH90" s="501">
        <v>3.7499999999999999E-2</v>
      </c>
      <c r="EI90" s="501">
        <v>3.7499999999999999E-2</v>
      </c>
      <c r="EJ90" s="501">
        <v>3.7499999999999999E-2</v>
      </c>
      <c r="EK90" s="501">
        <v>3.7499999999999999E-2</v>
      </c>
      <c r="EL90" s="501">
        <v>3.7499999999999999E-2</v>
      </c>
      <c r="EM90" s="501">
        <v>3.7499999999999999E-2</v>
      </c>
      <c r="EN90" s="501">
        <v>3.7499999999999999E-2</v>
      </c>
      <c r="EO90" s="501">
        <v>3.7499999999999999E-2</v>
      </c>
      <c r="EP90" s="501">
        <v>3.7499999999999999E-2</v>
      </c>
      <c r="EQ90" s="501">
        <v>3.7499999999999999E-2</v>
      </c>
      <c r="ER90" s="501">
        <v>3.7499999999999999E-2</v>
      </c>
      <c r="ES90" s="501">
        <v>3.7499999999999999E-2</v>
      </c>
      <c r="ET90" s="501">
        <v>3.7499999999999999E-2</v>
      </c>
      <c r="EU90" s="501">
        <v>3.7499999999999999E-2</v>
      </c>
      <c r="EV90" s="501">
        <v>3.7499999999999999E-2</v>
      </c>
      <c r="EW90" s="501">
        <v>3.7499999999999999E-2</v>
      </c>
      <c r="EX90" s="501">
        <v>3.7499999999999999E-2</v>
      </c>
      <c r="EY90" s="501">
        <v>3.7499999999999999E-2</v>
      </c>
      <c r="EZ90" s="501">
        <v>3.7499999999999999E-2</v>
      </c>
      <c r="FA90" s="501">
        <v>3.7499999999999999E-2</v>
      </c>
      <c r="FB90" s="501">
        <v>3.7499999999999999E-2</v>
      </c>
      <c r="FC90" s="501">
        <v>3.7499999999999999E-2</v>
      </c>
      <c r="FD90" s="501">
        <v>3.7499999999999999E-2</v>
      </c>
      <c r="FE90" s="501">
        <v>3.7499999999999999E-2</v>
      </c>
      <c r="FF90" s="501">
        <v>3.7499999999999999E-2</v>
      </c>
      <c r="FG90" s="501">
        <v>3.7499999999999999E-2</v>
      </c>
      <c r="FH90" s="501">
        <v>3.7499999999999999E-2</v>
      </c>
      <c r="FI90" s="501">
        <v>3.7499999999999999E-2</v>
      </c>
      <c r="FJ90" s="501">
        <v>3.7499999999999999E-2</v>
      </c>
      <c r="FK90" s="501">
        <v>3.7499999999999999E-2</v>
      </c>
      <c r="FL90" s="501">
        <v>3.7499999999999999E-2</v>
      </c>
      <c r="FM90" s="501">
        <v>3.7499999999999999E-2</v>
      </c>
      <c r="FN90" s="501">
        <v>3.7499999999999999E-2</v>
      </c>
      <c r="FO90" s="501">
        <v>3.7499999999999999E-2</v>
      </c>
      <c r="FP90" s="501">
        <v>3.7499999999999999E-2</v>
      </c>
      <c r="FQ90" s="501">
        <v>3.7499999999999999E-2</v>
      </c>
      <c r="FR90" s="501">
        <v>3.7499999999999999E-2</v>
      </c>
      <c r="FS90" s="501">
        <v>3.7499999999999999E-2</v>
      </c>
      <c r="FT90" s="501">
        <v>3.7499999999999999E-2</v>
      </c>
      <c r="FU90" s="501">
        <v>3.7499999999999999E-2</v>
      </c>
      <c r="FV90" s="501">
        <v>3.7499999999999999E-2</v>
      </c>
      <c r="FW90" s="501">
        <v>3.7499999999999999E-2</v>
      </c>
      <c r="FX90" s="501">
        <v>3.7499999999999999E-2</v>
      </c>
      <c r="FY90" s="501">
        <v>3.7499999999999999E-2</v>
      </c>
      <c r="FZ90" s="501">
        <v>3.7499999999999999E-2</v>
      </c>
      <c r="GA90" s="501">
        <v>3.7499999999999999E-2</v>
      </c>
      <c r="GB90" s="501">
        <v>4.0500000000000001E-2</v>
      </c>
      <c r="GC90" s="501">
        <v>4.0500000000000001E-2</v>
      </c>
      <c r="GD90" s="501">
        <v>0</v>
      </c>
      <c r="GE90" s="501">
        <v>0</v>
      </c>
      <c r="GF90" s="501">
        <v>0</v>
      </c>
      <c r="GG90" s="501">
        <v>0</v>
      </c>
      <c r="GH90" s="501">
        <v>0</v>
      </c>
      <c r="GI90" s="501">
        <v>0</v>
      </c>
      <c r="GJ90" s="501">
        <v>0</v>
      </c>
      <c r="GK90" s="501">
        <v>0</v>
      </c>
      <c r="GL90" s="501">
        <v>0</v>
      </c>
      <c r="GM90" s="501">
        <v>0</v>
      </c>
      <c r="GN90" s="501">
        <v>0</v>
      </c>
      <c r="GO90" s="501">
        <v>0</v>
      </c>
      <c r="GP90" s="501">
        <v>0</v>
      </c>
      <c r="GQ90" s="501">
        <v>0</v>
      </c>
      <c r="GR90" s="501">
        <v>0</v>
      </c>
      <c r="GS90" s="501">
        <v>0</v>
      </c>
      <c r="GT90" s="501">
        <v>0</v>
      </c>
      <c r="GU90" s="501">
        <v>0</v>
      </c>
      <c r="GV90" s="501">
        <v>0</v>
      </c>
      <c r="GW90" s="501">
        <v>0</v>
      </c>
      <c r="GX90" s="501">
        <v>0</v>
      </c>
      <c r="GY90" s="501">
        <v>0</v>
      </c>
      <c r="GZ90" s="501">
        <v>0</v>
      </c>
      <c r="HA90" s="501">
        <v>0</v>
      </c>
      <c r="HB90" s="501">
        <v>0</v>
      </c>
      <c r="HC90" s="501">
        <v>0</v>
      </c>
      <c r="HD90" s="501">
        <v>0</v>
      </c>
      <c r="HE90" s="501">
        <v>0</v>
      </c>
      <c r="HF90" s="501">
        <v>0</v>
      </c>
      <c r="HG90" s="501">
        <v>0</v>
      </c>
      <c r="HH90" s="501">
        <v>0</v>
      </c>
      <c r="HI90" s="501">
        <v>0</v>
      </c>
      <c r="HJ90" s="501">
        <v>0</v>
      </c>
      <c r="HK90" s="501">
        <v>0</v>
      </c>
      <c r="HL90" s="501">
        <v>0</v>
      </c>
      <c r="HM90" s="501">
        <v>0</v>
      </c>
      <c r="HN90" s="501">
        <v>0</v>
      </c>
      <c r="HO90" s="501">
        <v>0</v>
      </c>
      <c r="HP90" s="473">
        <f t="shared" si="30"/>
        <v>0</v>
      </c>
      <c r="HQ90" s="1135" t="s">
        <v>251</v>
      </c>
    </row>
    <row r="91" spans="2:225">
      <c r="B91" s="1124"/>
      <c r="C91" s="730" t="s">
        <v>250</v>
      </c>
      <c r="D91" s="500">
        <v>2.6000000000000002E-2</v>
      </c>
      <c r="E91" s="500">
        <v>2.6000000000000002E-2</v>
      </c>
      <c r="F91" s="500">
        <v>2.6000000000000002E-2</v>
      </c>
      <c r="G91" s="500">
        <v>2.6000000000000002E-2</v>
      </c>
      <c r="H91" s="500">
        <v>2.6000000000000002E-2</v>
      </c>
      <c r="I91" s="500">
        <v>2.6000000000000002E-2</v>
      </c>
      <c r="J91" s="500">
        <v>2.6000000000000002E-2</v>
      </c>
      <c r="K91" s="500">
        <v>2.6000000000000002E-2</v>
      </c>
      <c r="L91" s="500">
        <v>2.6000000000000002E-2</v>
      </c>
      <c r="M91" s="500">
        <v>2.6000000000000002E-2</v>
      </c>
      <c r="N91" s="500">
        <v>2.6000000000000002E-2</v>
      </c>
      <c r="O91" s="500">
        <v>2.6000000000000002E-2</v>
      </c>
      <c r="P91" s="500">
        <v>2.6000000000000002E-2</v>
      </c>
      <c r="Q91" s="500">
        <v>2.6000000000000002E-2</v>
      </c>
      <c r="R91" s="500">
        <v>2.6000000000000002E-2</v>
      </c>
      <c r="S91" s="500">
        <v>2.6000000000000002E-2</v>
      </c>
      <c r="T91" s="500">
        <v>2.6000000000000002E-2</v>
      </c>
      <c r="U91" s="500">
        <v>2.6000000000000002E-2</v>
      </c>
      <c r="V91" s="500">
        <v>2.6000000000000002E-2</v>
      </c>
      <c r="W91" s="500">
        <v>2.6000000000000002E-2</v>
      </c>
      <c r="X91" s="500">
        <v>2.6000000000000002E-2</v>
      </c>
      <c r="Y91" s="502">
        <v>2.6000000000000002E-2</v>
      </c>
      <c r="Z91" s="500">
        <v>2.8000000000000001E-2</v>
      </c>
      <c r="AA91" s="500">
        <v>2.8000000000000001E-2</v>
      </c>
      <c r="AB91" s="500">
        <v>2.8000000000000001E-2</v>
      </c>
      <c r="AC91" s="500">
        <v>2.8000000000000001E-2</v>
      </c>
      <c r="AD91" s="500">
        <v>2.8000000000000001E-2</v>
      </c>
      <c r="AE91" s="500">
        <v>2.8000000000000001E-2</v>
      </c>
      <c r="AF91" s="501">
        <v>2.8000000000000001E-2</v>
      </c>
      <c r="AG91" s="501">
        <v>2.8000000000000001E-2</v>
      </c>
      <c r="AH91" s="501">
        <v>2.8000000000000001E-2</v>
      </c>
      <c r="AI91" s="501">
        <v>2.8000000000000001E-2</v>
      </c>
      <c r="AJ91" s="501">
        <v>2.8000000000000001E-2</v>
      </c>
      <c r="AK91" s="501">
        <v>2.8000000000000001E-2</v>
      </c>
      <c r="AL91" s="501">
        <v>2.8000000000000001E-2</v>
      </c>
      <c r="AM91" s="500">
        <v>2.8000000000000001E-2</v>
      </c>
      <c r="AN91" s="500">
        <v>2.8000000000000001E-2</v>
      </c>
      <c r="AO91" s="500">
        <v>2.8000000000000001E-2</v>
      </c>
      <c r="AP91" s="500">
        <v>2.8000000000000001E-2</v>
      </c>
      <c r="AQ91" s="500">
        <v>2.8000000000000001E-2</v>
      </c>
      <c r="AR91" s="500">
        <v>2.8000000000000001E-2</v>
      </c>
      <c r="AS91" s="500">
        <v>2.8000000000000001E-2</v>
      </c>
      <c r="AT91" s="500">
        <v>2.8000000000000001E-2</v>
      </c>
      <c r="AU91" s="500">
        <v>2.8000000000000001E-2</v>
      </c>
      <c r="AV91" s="502">
        <v>2.9000000000000001E-2</v>
      </c>
      <c r="AW91" s="501">
        <v>0.03</v>
      </c>
      <c r="AX91" s="501">
        <v>0.03</v>
      </c>
      <c r="AY91" s="501">
        <v>0.03</v>
      </c>
      <c r="AZ91" s="501">
        <v>0.03</v>
      </c>
      <c r="BA91" s="501">
        <v>0.03</v>
      </c>
      <c r="BB91" s="501">
        <v>0.03</v>
      </c>
      <c r="BC91" s="501">
        <v>0.03</v>
      </c>
      <c r="BD91" s="501">
        <v>0.03</v>
      </c>
      <c r="BE91" s="501">
        <v>0.03</v>
      </c>
      <c r="BF91" s="501">
        <v>0.03</v>
      </c>
      <c r="BG91" s="501">
        <v>0.03</v>
      </c>
      <c r="BH91" s="501">
        <v>0.03</v>
      </c>
      <c r="BI91" s="501">
        <v>0.03</v>
      </c>
      <c r="BJ91" s="501">
        <v>0.03</v>
      </c>
      <c r="BK91" s="501">
        <v>0.03</v>
      </c>
      <c r="BL91" s="501">
        <v>0.03</v>
      </c>
      <c r="BM91" s="501">
        <v>0.03</v>
      </c>
      <c r="BN91" s="501">
        <v>0.03</v>
      </c>
      <c r="BO91" s="501">
        <v>0.03</v>
      </c>
      <c r="BP91" s="501">
        <v>0.03</v>
      </c>
      <c r="BQ91" s="501">
        <v>0.03</v>
      </c>
      <c r="BR91" s="501">
        <v>0.03</v>
      </c>
      <c r="BS91" s="501">
        <v>0.03</v>
      </c>
      <c r="BT91" s="501">
        <v>0.03</v>
      </c>
      <c r="BU91" s="501">
        <v>0.03</v>
      </c>
      <c r="BV91" s="501">
        <v>0.03</v>
      </c>
      <c r="BW91" s="501">
        <v>0.03</v>
      </c>
      <c r="BX91" s="501">
        <v>3.15E-2</v>
      </c>
      <c r="BY91" s="501">
        <v>3.15E-2</v>
      </c>
      <c r="BZ91" s="501">
        <v>3.5499999999999997E-2</v>
      </c>
      <c r="CA91" s="501">
        <v>3.5499999999999997E-2</v>
      </c>
      <c r="CB91" s="501">
        <v>3.5499999999999997E-2</v>
      </c>
      <c r="CC91" s="501">
        <v>3.6499999999999998E-2</v>
      </c>
      <c r="CD91" s="501">
        <v>3.6499999999999998E-2</v>
      </c>
      <c r="CE91" s="501">
        <v>3.6499999999999998E-2</v>
      </c>
      <c r="CF91" s="501">
        <v>3.6499999999999998E-2</v>
      </c>
      <c r="CG91" s="501">
        <v>3.6499999999999998E-2</v>
      </c>
      <c r="CH91" s="501">
        <v>3.6499999999999998E-2</v>
      </c>
      <c r="CI91" s="501">
        <v>3.6499999999999998E-2</v>
      </c>
      <c r="CJ91" s="501">
        <v>3.6499999999999998E-2</v>
      </c>
      <c r="CK91" s="501">
        <v>3.6499999999999998E-2</v>
      </c>
      <c r="CL91" s="501">
        <v>3.6499999999999998E-2</v>
      </c>
      <c r="CM91" s="501">
        <v>3.6499999999999998E-2</v>
      </c>
      <c r="CN91" s="501">
        <v>3.6499999999999998E-2</v>
      </c>
      <c r="CO91" s="501">
        <v>3.6499999999999998E-2</v>
      </c>
      <c r="CP91" s="501">
        <v>3.6499999999999998E-2</v>
      </c>
      <c r="CQ91" s="501">
        <v>3.6499999999999998E-2</v>
      </c>
      <c r="CR91" s="501">
        <v>3.6499999999999998E-2</v>
      </c>
      <c r="CS91" s="501">
        <v>3.6499999999999998E-2</v>
      </c>
      <c r="CT91" s="501">
        <v>3.6499999999999998E-2</v>
      </c>
      <c r="CU91" s="501">
        <v>3.6499999999999998E-2</v>
      </c>
      <c r="CV91" s="501">
        <v>3.6499999999999998E-2</v>
      </c>
      <c r="CW91" s="501">
        <v>3.6499999999999998E-2</v>
      </c>
      <c r="CX91" s="501">
        <v>3.6499999999999998E-2</v>
      </c>
      <c r="CY91" s="501">
        <v>3.6499999999999998E-2</v>
      </c>
      <c r="CZ91" s="501">
        <v>3.7499999999999999E-2</v>
      </c>
      <c r="DA91" s="501">
        <v>3.7499999999999999E-2</v>
      </c>
      <c r="DB91" s="501">
        <v>3.7499999999999999E-2</v>
      </c>
      <c r="DC91" s="501">
        <v>3.7499999999999999E-2</v>
      </c>
      <c r="DD91" s="501">
        <v>3.7499999999999999E-2</v>
      </c>
      <c r="DE91" s="501">
        <v>3.7499999999999999E-2</v>
      </c>
      <c r="DF91" s="501">
        <v>3.7499999999999999E-2</v>
      </c>
      <c r="DG91" s="501">
        <v>3.7499999999999999E-2</v>
      </c>
      <c r="DH91" s="501">
        <v>3.7499999999999999E-2</v>
      </c>
      <c r="DI91" s="501">
        <v>3.7499999999999999E-2</v>
      </c>
      <c r="DJ91" s="501">
        <v>3.7499999999999999E-2</v>
      </c>
      <c r="DK91" s="501">
        <v>3.7499999999999999E-2</v>
      </c>
      <c r="DL91" s="501">
        <v>3.7499999999999999E-2</v>
      </c>
      <c r="DM91" s="501">
        <v>3.7499999999999999E-2</v>
      </c>
      <c r="DN91" s="501">
        <v>3.7499999999999999E-2</v>
      </c>
      <c r="DO91" s="501">
        <v>3.7499999999999999E-2</v>
      </c>
      <c r="DP91" s="501">
        <v>3.7499999999999999E-2</v>
      </c>
      <c r="DQ91" s="501">
        <v>3.7499999999999999E-2</v>
      </c>
      <c r="DR91" s="501">
        <v>3.7499999999999999E-2</v>
      </c>
      <c r="DS91" s="501">
        <v>3.7499999999999999E-2</v>
      </c>
      <c r="DT91" s="501">
        <v>3.7499999999999999E-2</v>
      </c>
      <c r="DU91" s="501">
        <v>3.7499999999999999E-2</v>
      </c>
      <c r="DV91" s="501">
        <v>3.7499999999999999E-2</v>
      </c>
      <c r="DW91" s="501">
        <v>3.7499999999999999E-2</v>
      </c>
      <c r="DX91" s="501">
        <v>3.7499999999999999E-2</v>
      </c>
      <c r="DY91" s="501">
        <v>3.7499999999999999E-2</v>
      </c>
      <c r="DZ91" s="501">
        <v>3.7499999999999999E-2</v>
      </c>
      <c r="EA91" s="501">
        <v>3.7499999999999999E-2</v>
      </c>
      <c r="EB91" s="501">
        <v>3.7499999999999999E-2</v>
      </c>
      <c r="EC91" s="501">
        <v>3.7499999999999999E-2</v>
      </c>
      <c r="ED91" s="501">
        <v>3.7499999999999999E-2</v>
      </c>
      <c r="EE91" s="501">
        <v>3.7499999999999999E-2</v>
      </c>
      <c r="EF91" s="501">
        <v>3.7499999999999999E-2</v>
      </c>
      <c r="EG91" s="501">
        <v>3.7499999999999999E-2</v>
      </c>
      <c r="EH91" s="501">
        <v>3.7499999999999999E-2</v>
      </c>
      <c r="EI91" s="501">
        <v>3.7499999999999999E-2</v>
      </c>
      <c r="EJ91" s="501">
        <v>3.7499999999999999E-2</v>
      </c>
      <c r="EK91" s="501">
        <v>3.7499999999999999E-2</v>
      </c>
      <c r="EL91" s="501">
        <v>3.7499999999999999E-2</v>
      </c>
      <c r="EM91" s="501">
        <v>3.7499999999999999E-2</v>
      </c>
      <c r="EN91" s="501">
        <v>3.7499999999999999E-2</v>
      </c>
      <c r="EO91" s="501">
        <v>3.7499999999999999E-2</v>
      </c>
      <c r="EP91" s="501">
        <v>3.7499999999999999E-2</v>
      </c>
      <c r="EQ91" s="501">
        <v>3.7499999999999999E-2</v>
      </c>
      <c r="ER91" s="501">
        <v>3.7499999999999999E-2</v>
      </c>
      <c r="ES91" s="501">
        <v>3.7499999999999999E-2</v>
      </c>
      <c r="ET91" s="501">
        <v>3.7499999999999999E-2</v>
      </c>
      <c r="EU91" s="501">
        <v>3.7499999999999999E-2</v>
      </c>
      <c r="EV91" s="501">
        <v>3.7499999999999999E-2</v>
      </c>
      <c r="EW91" s="501">
        <v>3.7499999999999999E-2</v>
      </c>
      <c r="EX91" s="501">
        <v>3.7499999999999999E-2</v>
      </c>
      <c r="EY91" s="501">
        <v>3.7499999999999999E-2</v>
      </c>
      <c r="EZ91" s="501">
        <v>3.7499999999999999E-2</v>
      </c>
      <c r="FA91" s="501">
        <v>3.7499999999999999E-2</v>
      </c>
      <c r="FB91" s="501">
        <v>3.7499999999999999E-2</v>
      </c>
      <c r="FC91" s="501">
        <v>3.7499999999999999E-2</v>
      </c>
      <c r="FD91" s="501">
        <v>3.7499999999999999E-2</v>
      </c>
      <c r="FE91" s="501">
        <v>3.7499999999999999E-2</v>
      </c>
      <c r="FF91" s="501">
        <v>3.7499999999999999E-2</v>
      </c>
      <c r="FG91" s="501">
        <v>3.7499999999999999E-2</v>
      </c>
      <c r="FH91" s="501">
        <v>3.7499999999999999E-2</v>
      </c>
      <c r="FI91" s="501">
        <v>3.7499999999999999E-2</v>
      </c>
      <c r="FJ91" s="501">
        <v>3.7499999999999999E-2</v>
      </c>
      <c r="FK91" s="501">
        <v>3.7499999999999999E-2</v>
      </c>
      <c r="FL91" s="501">
        <v>3.7499999999999999E-2</v>
      </c>
      <c r="FM91" s="501">
        <v>3.7499999999999999E-2</v>
      </c>
      <c r="FN91" s="501">
        <v>3.7499999999999999E-2</v>
      </c>
      <c r="FO91" s="501">
        <v>3.7499999999999999E-2</v>
      </c>
      <c r="FP91" s="501">
        <v>3.7499999999999999E-2</v>
      </c>
      <c r="FQ91" s="501">
        <v>3.7499999999999999E-2</v>
      </c>
      <c r="FR91" s="501">
        <v>3.7499999999999999E-2</v>
      </c>
      <c r="FS91" s="501">
        <v>3.7499999999999999E-2</v>
      </c>
      <c r="FT91" s="501">
        <v>3.7499999999999999E-2</v>
      </c>
      <c r="FU91" s="501">
        <v>3.7499999999999999E-2</v>
      </c>
      <c r="FV91" s="501">
        <v>3.7499999999999999E-2</v>
      </c>
      <c r="FW91" s="501">
        <v>3.7499999999999999E-2</v>
      </c>
      <c r="FX91" s="501">
        <v>3.7499999999999999E-2</v>
      </c>
      <c r="FY91" s="501">
        <v>3.7499999999999999E-2</v>
      </c>
      <c r="FZ91" s="501">
        <v>3.7499999999999999E-2</v>
      </c>
      <c r="GA91" s="501">
        <v>3.7499999999999999E-2</v>
      </c>
      <c r="GB91" s="501">
        <v>4.1500000000000002E-2</v>
      </c>
      <c r="GC91" s="501">
        <v>4.1500000000000002E-2</v>
      </c>
      <c r="GD91" s="501">
        <v>0</v>
      </c>
      <c r="GE91" s="501">
        <v>0</v>
      </c>
      <c r="GF91" s="501">
        <v>0</v>
      </c>
      <c r="GG91" s="501">
        <v>0</v>
      </c>
      <c r="GH91" s="501">
        <v>0</v>
      </c>
      <c r="GI91" s="501">
        <v>0</v>
      </c>
      <c r="GJ91" s="501">
        <v>0</v>
      </c>
      <c r="GK91" s="501">
        <v>0</v>
      </c>
      <c r="GL91" s="501">
        <v>0</v>
      </c>
      <c r="GM91" s="501">
        <v>0</v>
      </c>
      <c r="GN91" s="501">
        <v>0</v>
      </c>
      <c r="GO91" s="501">
        <v>0</v>
      </c>
      <c r="GP91" s="501">
        <v>0</v>
      </c>
      <c r="GQ91" s="501">
        <v>0</v>
      </c>
      <c r="GR91" s="501">
        <v>0</v>
      </c>
      <c r="GS91" s="501">
        <v>0</v>
      </c>
      <c r="GT91" s="501">
        <v>0</v>
      </c>
      <c r="GU91" s="501">
        <v>0</v>
      </c>
      <c r="GV91" s="501">
        <v>0</v>
      </c>
      <c r="GW91" s="501">
        <v>0</v>
      </c>
      <c r="GX91" s="501">
        <v>0</v>
      </c>
      <c r="GY91" s="501">
        <v>0</v>
      </c>
      <c r="GZ91" s="501">
        <v>0</v>
      </c>
      <c r="HA91" s="501">
        <v>0</v>
      </c>
      <c r="HB91" s="501">
        <v>0</v>
      </c>
      <c r="HC91" s="501">
        <v>0</v>
      </c>
      <c r="HD91" s="501">
        <v>0</v>
      </c>
      <c r="HE91" s="501">
        <v>0</v>
      </c>
      <c r="HF91" s="501">
        <v>0</v>
      </c>
      <c r="HG91" s="501">
        <v>0</v>
      </c>
      <c r="HH91" s="501">
        <v>0</v>
      </c>
      <c r="HI91" s="501">
        <v>0</v>
      </c>
      <c r="HJ91" s="501">
        <v>0</v>
      </c>
      <c r="HK91" s="501">
        <v>0</v>
      </c>
      <c r="HL91" s="501">
        <v>0</v>
      </c>
      <c r="HM91" s="501">
        <v>0</v>
      </c>
      <c r="HN91" s="501">
        <v>0</v>
      </c>
      <c r="HO91" s="501">
        <v>0</v>
      </c>
      <c r="HP91" s="473">
        <f t="shared" si="30"/>
        <v>0</v>
      </c>
      <c r="HQ91" s="1136"/>
    </row>
    <row r="92" spans="2:225">
      <c r="B92" s="1124"/>
      <c r="C92" s="730" t="s">
        <v>249</v>
      </c>
      <c r="D92" s="500">
        <v>2.6000000000000002E-2</v>
      </c>
      <c r="E92" s="500">
        <v>2.6000000000000002E-2</v>
      </c>
      <c r="F92" s="500">
        <v>2.6000000000000002E-2</v>
      </c>
      <c r="G92" s="500">
        <v>2.6000000000000002E-2</v>
      </c>
      <c r="H92" s="500">
        <v>2.6000000000000002E-2</v>
      </c>
      <c r="I92" s="500">
        <v>2.6000000000000002E-2</v>
      </c>
      <c r="J92" s="500">
        <v>2.6000000000000002E-2</v>
      </c>
      <c r="K92" s="500">
        <v>2.6000000000000002E-2</v>
      </c>
      <c r="L92" s="500">
        <v>2.6000000000000002E-2</v>
      </c>
      <c r="M92" s="500">
        <v>2.6000000000000002E-2</v>
      </c>
      <c r="N92" s="500">
        <v>2.6000000000000002E-2</v>
      </c>
      <c r="O92" s="500">
        <v>2.6000000000000002E-2</v>
      </c>
      <c r="P92" s="500">
        <v>2.6000000000000002E-2</v>
      </c>
      <c r="Q92" s="500">
        <v>2.6000000000000002E-2</v>
      </c>
      <c r="R92" s="500">
        <v>2.6000000000000002E-2</v>
      </c>
      <c r="S92" s="500">
        <v>2.6000000000000002E-2</v>
      </c>
      <c r="T92" s="500">
        <v>2.6000000000000002E-2</v>
      </c>
      <c r="U92" s="500">
        <v>2.6000000000000002E-2</v>
      </c>
      <c r="V92" s="500">
        <v>2.6000000000000002E-2</v>
      </c>
      <c r="W92" s="500">
        <v>2.6000000000000002E-2</v>
      </c>
      <c r="X92" s="500">
        <v>2.6000000000000002E-2</v>
      </c>
      <c r="Y92" s="502">
        <v>2.6000000000000002E-2</v>
      </c>
      <c r="Z92" s="500">
        <v>2.8000000000000001E-2</v>
      </c>
      <c r="AA92" s="500">
        <v>2.8000000000000001E-2</v>
      </c>
      <c r="AB92" s="500">
        <v>2.8000000000000001E-2</v>
      </c>
      <c r="AC92" s="500">
        <v>2.8000000000000001E-2</v>
      </c>
      <c r="AD92" s="500">
        <v>2.8000000000000001E-2</v>
      </c>
      <c r="AE92" s="500">
        <v>2.8000000000000001E-2</v>
      </c>
      <c r="AF92" s="501">
        <v>2.8000000000000001E-2</v>
      </c>
      <c r="AG92" s="501">
        <v>2.8000000000000001E-2</v>
      </c>
      <c r="AH92" s="501">
        <v>2.8000000000000001E-2</v>
      </c>
      <c r="AI92" s="501">
        <v>2.8000000000000001E-2</v>
      </c>
      <c r="AJ92" s="501">
        <v>2.8000000000000001E-2</v>
      </c>
      <c r="AK92" s="501">
        <v>2.8000000000000001E-2</v>
      </c>
      <c r="AL92" s="501">
        <v>2.8000000000000001E-2</v>
      </c>
      <c r="AM92" s="500">
        <v>2.8000000000000001E-2</v>
      </c>
      <c r="AN92" s="500">
        <v>2.8000000000000001E-2</v>
      </c>
      <c r="AO92" s="500">
        <v>2.8000000000000001E-2</v>
      </c>
      <c r="AP92" s="500">
        <v>2.8000000000000001E-2</v>
      </c>
      <c r="AQ92" s="500">
        <v>2.8000000000000001E-2</v>
      </c>
      <c r="AR92" s="500">
        <v>2.8000000000000001E-2</v>
      </c>
      <c r="AS92" s="500">
        <v>2.8000000000000001E-2</v>
      </c>
      <c r="AT92" s="500">
        <v>2.8000000000000001E-2</v>
      </c>
      <c r="AU92" s="500">
        <v>2.8000000000000001E-2</v>
      </c>
      <c r="AV92" s="502">
        <v>2.9000000000000001E-2</v>
      </c>
      <c r="AW92" s="501">
        <v>3.1E-2</v>
      </c>
      <c r="AX92" s="501">
        <v>3.1E-2</v>
      </c>
      <c r="AY92" s="501">
        <v>3.1E-2</v>
      </c>
      <c r="AZ92" s="501">
        <v>3.1E-2</v>
      </c>
      <c r="BA92" s="501">
        <v>3.1E-2</v>
      </c>
      <c r="BB92" s="501">
        <v>3.1E-2</v>
      </c>
      <c r="BC92" s="501">
        <v>3.1E-2</v>
      </c>
      <c r="BD92" s="501">
        <v>3.1E-2</v>
      </c>
      <c r="BE92" s="501">
        <v>3.1E-2</v>
      </c>
      <c r="BF92" s="501">
        <v>3.1E-2</v>
      </c>
      <c r="BG92" s="501">
        <v>3.1E-2</v>
      </c>
      <c r="BH92" s="501">
        <v>3.1E-2</v>
      </c>
      <c r="BI92" s="501">
        <v>3.1E-2</v>
      </c>
      <c r="BJ92" s="501">
        <v>3.1E-2</v>
      </c>
      <c r="BK92" s="501">
        <v>3.1E-2</v>
      </c>
      <c r="BL92" s="501">
        <v>3.1E-2</v>
      </c>
      <c r="BM92" s="501">
        <v>3.1E-2</v>
      </c>
      <c r="BN92" s="501">
        <v>3.1E-2</v>
      </c>
      <c r="BO92" s="501">
        <v>3.1E-2</v>
      </c>
      <c r="BP92" s="501">
        <v>3.1E-2</v>
      </c>
      <c r="BQ92" s="501">
        <v>3.1E-2</v>
      </c>
      <c r="BR92" s="501">
        <v>3.1E-2</v>
      </c>
      <c r="BS92" s="501">
        <v>3.1E-2</v>
      </c>
      <c r="BT92" s="501">
        <v>3.1E-2</v>
      </c>
      <c r="BU92" s="501">
        <v>3.1E-2</v>
      </c>
      <c r="BV92" s="501">
        <v>3.1E-2</v>
      </c>
      <c r="BW92" s="501">
        <v>3.1E-2</v>
      </c>
      <c r="BX92" s="501">
        <v>3.2500000000000001E-2</v>
      </c>
      <c r="BY92" s="501">
        <v>3.2500000000000001E-2</v>
      </c>
      <c r="BZ92" s="501">
        <v>3.6499999999999998E-2</v>
      </c>
      <c r="CA92" s="501">
        <v>3.6499999999999998E-2</v>
      </c>
      <c r="CB92" s="501">
        <v>3.6499999999999998E-2</v>
      </c>
      <c r="CC92" s="501">
        <v>3.7499999999999999E-2</v>
      </c>
      <c r="CD92" s="501">
        <v>3.7499999999999999E-2</v>
      </c>
      <c r="CE92" s="501">
        <v>3.7499999999999999E-2</v>
      </c>
      <c r="CF92" s="501">
        <v>3.7499999999999999E-2</v>
      </c>
      <c r="CG92" s="501">
        <v>3.7499999999999999E-2</v>
      </c>
      <c r="CH92" s="501">
        <v>3.7499999999999999E-2</v>
      </c>
      <c r="CI92" s="501">
        <v>3.7499999999999999E-2</v>
      </c>
      <c r="CJ92" s="501">
        <v>3.7499999999999999E-2</v>
      </c>
      <c r="CK92" s="501">
        <v>3.7499999999999999E-2</v>
      </c>
      <c r="CL92" s="501">
        <v>3.7499999999999999E-2</v>
      </c>
      <c r="CM92" s="501">
        <v>3.7499999999999999E-2</v>
      </c>
      <c r="CN92" s="501">
        <v>3.7499999999999999E-2</v>
      </c>
      <c r="CO92" s="501">
        <v>3.7499999999999999E-2</v>
      </c>
      <c r="CP92" s="501">
        <v>3.7499999999999999E-2</v>
      </c>
      <c r="CQ92" s="501">
        <v>3.7499999999999999E-2</v>
      </c>
      <c r="CR92" s="501">
        <v>3.7499999999999999E-2</v>
      </c>
      <c r="CS92" s="501">
        <v>3.7499999999999999E-2</v>
      </c>
      <c r="CT92" s="501">
        <v>3.7499999999999999E-2</v>
      </c>
      <c r="CU92" s="501">
        <v>3.7499999999999999E-2</v>
      </c>
      <c r="CV92" s="501">
        <v>3.7499999999999999E-2</v>
      </c>
      <c r="CW92" s="501">
        <v>3.7499999999999999E-2</v>
      </c>
      <c r="CX92" s="501">
        <v>3.7499999999999999E-2</v>
      </c>
      <c r="CY92" s="501">
        <v>3.7499999999999999E-2</v>
      </c>
      <c r="CZ92" s="501">
        <v>3.85E-2</v>
      </c>
      <c r="DA92" s="501">
        <v>3.85E-2</v>
      </c>
      <c r="DB92" s="501">
        <v>3.85E-2</v>
      </c>
      <c r="DC92" s="501">
        <v>3.85E-2</v>
      </c>
      <c r="DD92" s="501">
        <v>3.85E-2</v>
      </c>
      <c r="DE92" s="501">
        <v>3.85E-2</v>
      </c>
      <c r="DF92" s="501">
        <v>3.85E-2</v>
      </c>
      <c r="DG92" s="501">
        <v>3.85E-2</v>
      </c>
      <c r="DH92" s="501">
        <v>3.85E-2</v>
      </c>
      <c r="DI92" s="501">
        <v>3.85E-2</v>
      </c>
      <c r="DJ92" s="501">
        <v>3.85E-2</v>
      </c>
      <c r="DK92" s="501">
        <v>3.85E-2</v>
      </c>
      <c r="DL92" s="501">
        <v>3.85E-2</v>
      </c>
      <c r="DM92" s="501">
        <v>3.85E-2</v>
      </c>
      <c r="DN92" s="501">
        <v>3.85E-2</v>
      </c>
      <c r="DO92" s="501">
        <v>3.85E-2</v>
      </c>
      <c r="DP92" s="501">
        <v>3.85E-2</v>
      </c>
      <c r="DQ92" s="501">
        <v>3.85E-2</v>
      </c>
      <c r="DR92" s="501">
        <v>3.85E-2</v>
      </c>
      <c r="DS92" s="501">
        <v>3.85E-2</v>
      </c>
      <c r="DT92" s="501">
        <v>3.85E-2</v>
      </c>
      <c r="DU92" s="501">
        <v>3.85E-2</v>
      </c>
      <c r="DV92" s="501">
        <v>3.85E-2</v>
      </c>
      <c r="DW92" s="501">
        <v>3.85E-2</v>
      </c>
      <c r="DX92" s="501">
        <v>3.85E-2</v>
      </c>
      <c r="DY92" s="501">
        <v>3.85E-2</v>
      </c>
      <c r="DZ92" s="501">
        <v>3.85E-2</v>
      </c>
      <c r="EA92" s="501">
        <v>3.85E-2</v>
      </c>
      <c r="EB92" s="501">
        <v>3.85E-2</v>
      </c>
      <c r="EC92" s="501">
        <v>3.85E-2</v>
      </c>
      <c r="ED92" s="501">
        <v>3.85E-2</v>
      </c>
      <c r="EE92" s="501">
        <v>3.85E-2</v>
      </c>
      <c r="EF92" s="501">
        <v>3.85E-2</v>
      </c>
      <c r="EG92" s="501">
        <v>3.85E-2</v>
      </c>
      <c r="EH92" s="501">
        <v>3.85E-2</v>
      </c>
      <c r="EI92" s="501">
        <v>3.85E-2</v>
      </c>
      <c r="EJ92" s="501">
        <v>3.85E-2</v>
      </c>
      <c r="EK92" s="501">
        <v>3.85E-2</v>
      </c>
      <c r="EL92" s="501">
        <v>3.85E-2</v>
      </c>
      <c r="EM92" s="501">
        <v>3.85E-2</v>
      </c>
      <c r="EN92" s="501">
        <v>3.85E-2</v>
      </c>
      <c r="EO92" s="501">
        <v>3.85E-2</v>
      </c>
      <c r="EP92" s="501">
        <v>3.85E-2</v>
      </c>
      <c r="EQ92" s="501">
        <v>3.85E-2</v>
      </c>
      <c r="ER92" s="501">
        <v>3.85E-2</v>
      </c>
      <c r="ES92" s="501">
        <v>3.85E-2</v>
      </c>
      <c r="ET92" s="501">
        <v>3.85E-2</v>
      </c>
      <c r="EU92" s="501">
        <v>3.85E-2</v>
      </c>
      <c r="EV92" s="501">
        <v>3.85E-2</v>
      </c>
      <c r="EW92" s="501">
        <v>3.85E-2</v>
      </c>
      <c r="EX92" s="501">
        <v>3.85E-2</v>
      </c>
      <c r="EY92" s="501">
        <v>3.85E-2</v>
      </c>
      <c r="EZ92" s="501">
        <v>3.85E-2</v>
      </c>
      <c r="FA92" s="501">
        <v>3.85E-2</v>
      </c>
      <c r="FB92" s="501">
        <v>3.85E-2</v>
      </c>
      <c r="FC92" s="501">
        <v>3.85E-2</v>
      </c>
      <c r="FD92" s="501">
        <v>3.85E-2</v>
      </c>
      <c r="FE92" s="501">
        <v>3.85E-2</v>
      </c>
      <c r="FF92" s="501">
        <v>3.85E-2</v>
      </c>
      <c r="FG92" s="501">
        <v>3.85E-2</v>
      </c>
      <c r="FH92" s="501">
        <v>3.85E-2</v>
      </c>
      <c r="FI92" s="501">
        <v>3.85E-2</v>
      </c>
      <c r="FJ92" s="501">
        <v>3.85E-2</v>
      </c>
      <c r="FK92" s="501">
        <v>3.85E-2</v>
      </c>
      <c r="FL92" s="501">
        <v>3.85E-2</v>
      </c>
      <c r="FM92" s="501">
        <v>3.85E-2</v>
      </c>
      <c r="FN92" s="501">
        <v>3.85E-2</v>
      </c>
      <c r="FO92" s="501">
        <v>3.85E-2</v>
      </c>
      <c r="FP92" s="501">
        <v>3.85E-2</v>
      </c>
      <c r="FQ92" s="501">
        <v>3.85E-2</v>
      </c>
      <c r="FR92" s="501">
        <v>3.85E-2</v>
      </c>
      <c r="FS92" s="501">
        <v>3.85E-2</v>
      </c>
      <c r="FT92" s="501">
        <v>3.85E-2</v>
      </c>
      <c r="FU92" s="501">
        <v>3.85E-2</v>
      </c>
      <c r="FV92" s="501">
        <v>3.85E-2</v>
      </c>
      <c r="FW92" s="501">
        <v>3.85E-2</v>
      </c>
      <c r="FX92" s="501">
        <v>3.85E-2</v>
      </c>
      <c r="FY92" s="501">
        <v>3.85E-2</v>
      </c>
      <c r="FZ92" s="501">
        <v>3.85E-2</v>
      </c>
      <c r="GA92" s="501">
        <v>3.85E-2</v>
      </c>
      <c r="GB92" s="501">
        <v>4.1500000000000002E-2</v>
      </c>
      <c r="GC92" s="501">
        <v>4.1500000000000002E-2</v>
      </c>
      <c r="GD92" s="501">
        <v>1.5E-3</v>
      </c>
      <c r="GE92" s="501">
        <v>1.5E-3</v>
      </c>
      <c r="GF92" s="501">
        <v>1.5E-3</v>
      </c>
      <c r="GG92" s="501">
        <v>1.5E-3</v>
      </c>
      <c r="GH92" s="501">
        <v>1.5E-3</v>
      </c>
      <c r="GI92" s="501">
        <v>1.5E-3</v>
      </c>
      <c r="GJ92" s="501">
        <v>1.5E-3</v>
      </c>
      <c r="GK92" s="501">
        <v>1.5E-3</v>
      </c>
      <c r="GL92" s="501">
        <v>1.5E-3</v>
      </c>
      <c r="GM92" s="501">
        <v>1.5E-3</v>
      </c>
      <c r="GN92" s="501">
        <v>1.5E-3</v>
      </c>
      <c r="GO92" s="501">
        <v>1.5E-3</v>
      </c>
      <c r="GP92" s="501">
        <v>1.5E-3</v>
      </c>
      <c r="GQ92" s="501">
        <v>1.5E-3</v>
      </c>
      <c r="GR92" s="501">
        <v>1.5E-3</v>
      </c>
      <c r="GS92" s="501">
        <v>1.5E-3</v>
      </c>
      <c r="GT92" s="501">
        <v>1.5E-3</v>
      </c>
      <c r="GU92" s="501">
        <v>1.5E-3</v>
      </c>
      <c r="GV92" s="501">
        <v>1.5E-3</v>
      </c>
      <c r="GW92" s="501">
        <v>1.5E-3</v>
      </c>
      <c r="GX92" s="501">
        <v>1.5E-3</v>
      </c>
      <c r="GY92" s="501">
        <v>1.5E-3</v>
      </c>
      <c r="GZ92" s="501">
        <v>1.5E-3</v>
      </c>
      <c r="HA92" s="501">
        <v>1.5E-3</v>
      </c>
      <c r="HB92" s="501">
        <v>1.5E-3</v>
      </c>
      <c r="HC92" s="501">
        <v>1.5E-3</v>
      </c>
      <c r="HD92" s="501">
        <v>1.5E-3</v>
      </c>
      <c r="HE92" s="501">
        <v>1.5E-3</v>
      </c>
      <c r="HF92" s="501">
        <v>1.5E-3</v>
      </c>
      <c r="HG92" s="501">
        <v>1.5E-3</v>
      </c>
      <c r="HH92" s="501">
        <v>1.5E-3</v>
      </c>
      <c r="HI92" s="501">
        <v>1.5E-3</v>
      </c>
      <c r="HJ92" s="501">
        <v>1.5E-3</v>
      </c>
      <c r="HK92" s="501">
        <v>1.5E-3</v>
      </c>
      <c r="HL92" s="501">
        <v>1.5E-3</v>
      </c>
      <c r="HM92" s="501">
        <v>1.5E-3</v>
      </c>
      <c r="HN92" s="501">
        <v>1.5E-3</v>
      </c>
      <c r="HO92" s="501">
        <v>1.5E-3</v>
      </c>
      <c r="HP92" s="473">
        <f t="shared" si="30"/>
        <v>0</v>
      </c>
      <c r="HQ92" s="1136"/>
    </row>
    <row r="93" spans="2:225">
      <c r="B93" s="1124"/>
      <c r="C93" s="730" t="s">
        <v>248</v>
      </c>
      <c r="D93" s="500">
        <v>2.7999999999999997E-2</v>
      </c>
      <c r="E93" s="500">
        <v>2.7999999999999997E-2</v>
      </c>
      <c r="F93" s="500">
        <v>2.7999999999999997E-2</v>
      </c>
      <c r="G93" s="500">
        <v>2.7999999999999997E-2</v>
      </c>
      <c r="H93" s="500">
        <v>2.7999999999999997E-2</v>
      </c>
      <c r="I93" s="500">
        <v>2.7999999999999997E-2</v>
      </c>
      <c r="J93" s="500">
        <v>2.7999999999999997E-2</v>
      </c>
      <c r="K93" s="500">
        <v>2.7999999999999997E-2</v>
      </c>
      <c r="L93" s="500">
        <v>2.7999999999999997E-2</v>
      </c>
      <c r="M93" s="500">
        <v>2.7999999999999997E-2</v>
      </c>
      <c r="N93" s="500">
        <v>2.7999999999999997E-2</v>
      </c>
      <c r="O93" s="500">
        <v>2.7999999999999997E-2</v>
      </c>
      <c r="P93" s="500">
        <v>2.7999999999999997E-2</v>
      </c>
      <c r="Q93" s="500">
        <v>2.7999999999999997E-2</v>
      </c>
      <c r="R93" s="500">
        <v>2.7999999999999997E-2</v>
      </c>
      <c r="S93" s="500">
        <v>2.7999999999999997E-2</v>
      </c>
      <c r="T93" s="500">
        <v>2.7999999999999997E-2</v>
      </c>
      <c r="U93" s="500">
        <v>2.7999999999999997E-2</v>
      </c>
      <c r="V93" s="500">
        <v>2.7999999999999997E-2</v>
      </c>
      <c r="W93" s="500">
        <v>2.7999999999999997E-2</v>
      </c>
      <c r="X93" s="500">
        <v>2.7999999999999997E-2</v>
      </c>
      <c r="Y93" s="502">
        <v>2.7999999999999997E-2</v>
      </c>
      <c r="Z93" s="500">
        <v>0.03</v>
      </c>
      <c r="AA93" s="500">
        <v>0.03</v>
      </c>
      <c r="AB93" s="500">
        <v>0.03</v>
      </c>
      <c r="AC93" s="500">
        <v>0.03</v>
      </c>
      <c r="AD93" s="500">
        <v>0.03</v>
      </c>
      <c r="AE93" s="500">
        <v>0.03</v>
      </c>
      <c r="AF93" s="501">
        <v>0.03</v>
      </c>
      <c r="AG93" s="501">
        <v>0.03</v>
      </c>
      <c r="AH93" s="501">
        <v>0.03</v>
      </c>
      <c r="AI93" s="501">
        <v>0.03</v>
      </c>
      <c r="AJ93" s="501">
        <v>0.03</v>
      </c>
      <c r="AK93" s="501">
        <v>0.03</v>
      </c>
      <c r="AL93" s="501">
        <v>0.03</v>
      </c>
      <c r="AM93" s="500">
        <v>0.03</v>
      </c>
      <c r="AN93" s="500">
        <v>0.03</v>
      </c>
      <c r="AO93" s="500">
        <v>0.03</v>
      </c>
      <c r="AP93" s="500">
        <v>0.03</v>
      </c>
      <c r="AQ93" s="500">
        <v>0.03</v>
      </c>
      <c r="AR93" s="500">
        <v>0.03</v>
      </c>
      <c r="AS93" s="500">
        <v>0.03</v>
      </c>
      <c r="AT93" s="500">
        <v>0.03</v>
      </c>
      <c r="AU93" s="500">
        <v>0.03</v>
      </c>
      <c r="AV93" s="502">
        <v>3.1E-2</v>
      </c>
      <c r="AW93" s="501">
        <v>3.2000000000000001E-2</v>
      </c>
      <c r="AX93" s="501">
        <v>3.2000000000000001E-2</v>
      </c>
      <c r="AY93" s="501">
        <v>3.2000000000000001E-2</v>
      </c>
      <c r="AZ93" s="501">
        <v>3.2000000000000001E-2</v>
      </c>
      <c r="BA93" s="501">
        <v>3.2000000000000001E-2</v>
      </c>
      <c r="BB93" s="501">
        <v>3.2000000000000001E-2</v>
      </c>
      <c r="BC93" s="501">
        <v>3.2000000000000001E-2</v>
      </c>
      <c r="BD93" s="501">
        <v>3.2000000000000001E-2</v>
      </c>
      <c r="BE93" s="501">
        <v>3.2000000000000001E-2</v>
      </c>
      <c r="BF93" s="501">
        <v>3.2000000000000001E-2</v>
      </c>
      <c r="BG93" s="501">
        <v>3.2000000000000001E-2</v>
      </c>
      <c r="BH93" s="501">
        <v>3.2000000000000001E-2</v>
      </c>
      <c r="BI93" s="501">
        <v>3.2000000000000001E-2</v>
      </c>
      <c r="BJ93" s="501">
        <v>3.2000000000000001E-2</v>
      </c>
      <c r="BK93" s="501">
        <v>3.2000000000000001E-2</v>
      </c>
      <c r="BL93" s="501">
        <v>3.2000000000000001E-2</v>
      </c>
      <c r="BM93" s="501">
        <v>3.2000000000000001E-2</v>
      </c>
      <c r="BN93" s="501">
        <v>3.2000000000000001E-2</v>
      </c>
      <c r="BO93" s="501">
        <v>3.2000000000000001E-2</v>
      </c>
      <c r="BP93" s="501">
        <v>3.2000000000000001E-2</v>
      </c>
      <c r="BQ93" s="501">
        <v>3.2000000000000001E-2</v>
      </c>
      <c r="BR93" s="501">
        <v>3.2000000000000001E-2</v>
      </c>
      <c r="BS93" s="501">
        <v>3.2000000000000001E-2</v>
      </c>
      <c r="BT93" s="501">
        <v>3.2000000000000001E-2</v>
      </c>
      <c r="BU93" s="501">
        <v>3.2000000000000001E-2</v>
      </c>
      <c r="BV93" s="501">
        <v>3.2000000000000001E-2</v>
      </c>
      <c r="BW93" s="501">
        <v>3.2000000000000001E-2</v>
      </c>
      <c r="BX93" s="501">
        <v>3.3500000000000002E-2</v>
      </c>
      <c r="BY93" s="501">
        <v>3.3500000000000002E-2</v>
      </c>
      <c r="BZ93" s="501">
        <v>3.7499999999999999E-2</v>
      </c>
      <c r="CA93" s="501">
        <v>3.7499999999999999E-2</v>
      </c>
      <c r="CB93" s="501">
        <v>3.7499999999999999E-2</v>
      </c>
      <c r="CC93" s="501">
        <v>3.85E-2</v>
      </c>
      <c r="CD93" s="501">
        <v>3.85E-2</v>
      </c>
      <c r="CE93" s="501">
        <v>3.85E-2</v>
      </c>
      <c r="CF93" s="501">
        <v>3.85E-2</v>
      </c>
      <c r="CG93" s="501">
        <v>3.85E-2</v>
      </c>
      <c r="CH93" s="501">
        <v>3.85E-2</v>
      </c>
      <c r="CI93" s="501">
        <v>3.85E-2</v>
      </c>
      <c r="CJ93" s="501">
        <v>3.85E-2</v>
      </c>
      <c r="CK93" s="501">
        <v>3.85E-2</v>
      </c>
      <c r="CL93" s="501">
        <v>3.85E-2</v>
      </c>
      <c r="CM93" s="501">
        <v>3.85E-2</v>
      </c>
      <c r="CN93" s="501">
        <v>3.85E-2</v>
      </c>
      <c r="CO93" s="501">
        <v>3.85E-2</v>
      </c>
      <c r="CP93" s="501">
        <v>3.85E-2</v>
      </c>
      <c r="CQ93" s="501">
        <v>3.85E-2</v>
      </c>
      <c r="CR93" s="501">
        <v>3.85E-2</v>
      </c>
      <c r="CS93" s="501">
        <v>3.85E-2</v>
      </c>
      <c r="CT93" s="501">
        <v>3.85E-2</v>
      </c>
      <c r="CU93" s="501">
        <v>3.85E-2</v>
      </c>
      <c r="CV93" s="501">
        <v>3.85E-2</v>
      </c>
      <c r="CW93" s="501">
        <v>3.85E-2</v>
      </c>
      <c r="CX93" s="501">
        <v>3.85E-2</v>
      </c>
      <c r="CY93" s="501">
        <v>3.85E-2</v>
      </c>
      <c r="CZ93" s="501">
        <v>3.95E-2</v>
      </c>
      <c r="DA93" s="501">
        <v>3.95E-2</v>
      </c>
      <c r="DB93" s="501">
        <v>3.95E-2</v>
      </c>
      <c r="DC93" s="501">
        <v>3.95E-2</v>
      </c>
      <c r="DD93" s="501">
        <v>3.95E-2</v>
      </c>
      <c r="DE93" s="501">
        <v>3.95E-2</v>
      </c>
      <c r="DF93" s="501">
        <v>3.95E-2</v>
      </c>
      <c r="DG93" s="501">
        <v>3.95E-2</v>
      </c>
      <c r="DH93" s="501">
        <v>3.95E-2</v>
      </c>
      <c r="DI93" s="501">
        <v>3.95E-2</v>
      </c>
      <c r="DJ93" s="501">
        <v>3.95E-2</v>
      </c>
      <c r="DK93" s="501">
        <v>3.95E-2</v>
      </c>
      <c r="DL93" s="501">
        <v>3.95E-2</v>
      </c>
      <c r="DM93" s="501">
        <v>3.95E-2</v>
      </c>
      <c r="DN93" s="501">
        <v>3.95E-2</v>
      </c>
      <c r="DO93" s="501">
        <v>3.95E-2</v>
      </c>
      <c r="DP93" s="501">
        <v>3.95E-2</v>
      </c>
      <c r="DQ93" s="501">
        <v>3.95E-2</v>
      </c>
      <c r="DR93" s="501">
        <v>3.95E-2</v>
      </c>
      <c r="DS93" s="501">
        <v>3.95E-2</v>
      </c>
      <c r="DT93" s="501">
        <v>3.95E-2</v>
      </c>
      <c r="DU93" s="501">
        <v>3.95E-2</v>
      </c>
      <c r="DV93" s="501">
        <v>3.95E-2</v>
      </c>
      <c r="DW93" s="501">
        <v>3.95E-2</v>
      </c>
      <c r="DX93" s="501">
        <v>3.95E-2</v>
      </c>
      <c r="DY93" s="501">
        <v>3.95E-2</v>
      </c>
      <c r="DZ93" s="501">
        <v>3.95E-2</v>
      </c>
      <c r="EA93" s="501">
        <v>3.95E-2</v>
      </c>
      <c r="EB93" s="501">
        <v>3.95E-2</v>
      </c>
      <c r="EC93" s="501">
        <v>3.95E-2</v>
      </c>
      <c r="ED93" s="501">
        <v>3.95E-2</v>
      </c>
      <c r="EE93" s="501">
        <v>3.95E-2</v>
      </c>
      <c r="EF93" s="501">
        <v>3.95E-2</v>
      </c>
      <c r="EG93" s="501">
        <v>3.95E-2</v>
      </c>
      <c r="EH93" s="501">
        <v>3.95E-2</v>
      </c>
      <c r="EI93" s="501">
        <v>3.95E-2</v>
      </c>
      <c r="EJ93" s="501">
        <v>3.95E-2</v>
      </c>
      <c r="EK93" s="501">
        <v>3.95E-2</v>
      </c>
      <c r="EL93" s="501">
        <v>3.95E-2</v>
      </c>
      <c r="EM93" s="501">
        <v>3.95E-2</v>
      </c>
      <c r="EN93" s="501">
        <v>3.95E-2</v>
      </c>
      <c r="EO93" s="501">
        <v>3.95E-2</v>
      </c>
      <c r="EP93" s="501">
        <v>3.95E-2</v>
      </c>
      <c r="EQ93" s="501">
        <v>3.95E-2</v>
      </c>
      <c r="ER93" s="501">
        <v>3.95E-2</v>
      </c>
      <c r="ES93" s="501">
        <v>3.95E-2</v>
      </c>
      <c r="ET93" s="501">
        <v>3.95E-2</v>
      </c>
      <c r="EU93" s="501">
        <v>3.95E-2</v>
      </c>
      <c r="EV93" s="501">
        <v>3.95E-2</v>
      </c>
      <c r="EW93" s="501">
        <v>3.95E-2</v>
      </c>
      <c r="EX93" s="501">
        <v>3.95E-2</v>
      </c>
      <c r="EY93" s="501">
        <v>3.95E-2</v>
      </c>
      <c r="EZ93" s="501">
        <v>3.95E-2</v>
      </c>
      <c r="FA93" s="501">
        <v>3.95E-2</v>
      </c>
      <c r="FB93" s="501">
        <v>3.95E-2</v>
      </c>
      <c r="FC93" s="501">
        <v>3.95E-2</v>
      </c>
      <c r="FD93" s="501">
        <v>3.95E-2</v>
      </c>
      <c r="FE93" s="501">
        <v>3.95E-2</v>
      </c>
      <c r="FF93" s="501">
        <v>3.95E-2</v>
      </c>
      <c r="FG93" s="501">
        <v>3.95E-2</v>
      </c>
      <c r="FH93" s="501">
        <v>3.95E-2</v>
      </c>
      <c r="FI93" s="501">
        <v>3.95E-2</v>
      </c>
      <c r="FJ93" s="501">
        <v>3.95E-2</v>
      </c>
      <c r="FK93" s="501">
        <v>3.95E-2</v>
      </c>
      <c r="FL93" s="501">
        <v>3.95E-2</v>
      </c>
      <c r="FM93" s="501">
        <v>3.95E-2</v>
      </c>
      <c r="FN93" s="501">
        <v>3.95E-2</v>
      </c>
      <c r="FO93" s="501">
        <v>3.95E-2</v>
      </c>
      <c r="FP93" s="501">
        <v>3.95E-2</v>
      </c>
      <c r="FQ93" s="501">
        <v>3.95E-2</v>
      </c>
      <c r="FR93" s="501">
        <v>3.95E-2</v>
      </c>
      <c r="FS93" s="501">
        <v>3.95E-2</v>
      </c>
      <c r="FT93" s="501">
        <v>3.95E-2</v>
      </c>
      <c r="FU93" s="501">
        <v>3.95E-2</v>
      </c>
      <c r="FV93" s="501">
        <v>3.95E-2</v>
      </c>
      <c r="FW93" s="501">
        <v>3.95E-2</v>
      </c>
      <c r="FX93" s="501">
        <v>3.95E-2</v>
      </c>
      <c r="FY93" s="501">
        <v>3.95E-2</v>
      </c>
      <c r="FZ93" s="501">
        <v>3.95E-2</v>
      </c>
      <c r="GA93" s="501">
        <v>3.95E-2</v>
      </c>
      <c r="GB93" s="501">
        <v>4.2500000000000003E-2</v>
      </c>
      <c r="GC93" s="501">
        <v>4.2500000000000003E-2</v>
      </c>
      <c r="GD93" s="501">
        <v>2E-3</v>
      </c>
      <c r="GE93" s="501">
        <v>2E-3</v>
      </c>
      <c r="GF93" s="501">
        <v>2E-3</v>
      </c>
      <c r="GG93" s="501">
        <v>2E-3</v>
      </c>
      <c r="GH93" s="501">
        <v>2E-3</v>
      </c>
      <c r="GI93" s="501">
        <v>2E-3</v>
      </c>
      <c r="GJ93" s="501">
        <v>2E-3</v>
      </c>
      <c r="GK93" s="501">
        <v>2E-3</v>
      </c>
      <c r="GL93" s="501">
        <v>2E-3</v>
      </c>
      <c r="GM93" s="501">
        <v>2E-3</v>
      </c>
      <c r="GN93" s="501">
        <v>2E-3</v>
      </c>
      <c r="GO93" s="501">
        <v>2E-3</v>
      </c>
      <c r="GP93" s="501">
        <v>2E-3</v>
      </c>
      <c r="GQ93" s="501">
        <v>2E-3</v>
      </c>
      <c r="GR93" s="501">
        <v>2E-3</v>
      </c>
      <c r="GS93" s="501">
        <v>2E-3</v>
      </c>
      <c r="GT93" s="501">
        <v>2E-3</v>
      </c>
      <c r="GU93" s="501">
        <v>2E-3</v>
      </c>
      <c r="GV93" s="501">
        <v>2E-3</v>
      </c>
      <c r="GW93" s="501">
        <v>2E-3</v>
      </c>
      <c r="GX93" s="501">
        <v>2E-3</v>
      </c>
      <c r="GY93" s="501">
        <v>2E-3</v>
      </c>
      <c r="GZ93" s="501">
        <v>2E-3</v>
      </c>
      <c r="HA93" s="501">
        <v>2E-3</v>
      </c>
      <c r="HB93" s="501">
        <v>2E-3</v>
      </c>
      <c r="HC93" s="501">
        <v>2E-3</v>
      </c>
      <c r="HD93" s="501">
        <v>2E-3</v>
      </c>
      <c r="HE93" s="501">
        <v>2E-3</v>
      </c>
      <c r="HF93" s="501">
        <v>2E-3</v>
      </c>
      <c r="HG93" s="501">
        <v>2E-3</v>
      </c>
      <c r="HH93" s="501">
        <v>2E-3</v>
      </c>
      <c r="HI93" s="501">
        <v>2E-3</v>
      </c>
      <c r="HJ93" s="501">
        <v>2E-3</v>
      </c>
      <c r="HK93" s="501">
        <v>2E-3</v>
      </c>
      <c r="HL93" s="501">
        <v>2E-3</v>
      </c>
      <c r="HM93" s="501">
        <v>2E-3</v>
      </c>
      <c r="HN93" s="501">
        <v>2E-3</v>
      </c>
      <c r="HO93" s="501">
        <v>2E-3</v>
      </c>
      <c r="HP93" s="473">
        <f t="shared" si="30"/>
        <v>0</v>
      </c>
      <c r="HQ93" s="1136"/>
    </row>
    <row r="94" spans="2:225">
      <c r="B94" s="1124"/>
      <c r="C94" s="730" t="s">
        <v>247</v>
      </c>
      <c r="D94" s="500">
        <v>2.8999999999999998E-2</v>
      </c>
      <c r="E94" s="500">
        <v>2.8999999999999998E-2</v>
      </c>
      <c r="F94" s="500">
        <v>2.8999999999999998E-2</v>
      </c>
      <c r="G94" s="500">
        <v>2.8999999999999998E-2</v>
      </c>
      <c r="H94" s="500">
        <v>2.8999999999999998E-2</v>
      </c>
      <c r="I94" s="500">
        <v>2.8999999999999998E-2</v>
      </c>
      <c r="J94" s="500">
        <v>2.8999999999999998E-2</v>
      </c>
      <c r="K94" s="500">
        <v>2.8999999999999998E-2</v>
      </c>
      <c r="L94" s="500">
        <v>2.8999999999999998E-2</v>
      </c>
      <c r="M94" s="500">
        <v>2.8999999999999998E-2</v>
      </c>
      <c r="N94" s="500">
        <v>2.8999999999999998E-2</v>
      </c>
      <c r="O94" s="500">
        <v>2.8999999999999998E-2</v>
      </c>
      <c r="P94" s="500">
        <v>2.8999999999999998E-2</v>
      </c>
      <c r="Q94" s="500">
        <v>2.8999999999999998E-2</v>
      </c>
      <c r="R94" s="500">
        <v>2.8999999999999998E-2</v>
      </c>
      <c r="S94" s="500">
        <v>2.8999999999999998E-2</v>
      </c>
      <c r="T94" s="500">
        <v>2.8999999999999998E-2</v>
      </c>
      <c r="U94" s="500">
        <v>2.8999999999999998E-2</v>
      </c>
      <c r="V94" s="500">
        <v>2.8999999999999998E-2</v>
      </c>
      <c r="W94" s="500">
        <v>2.8999999999999998E-2</v>
      </c>
      <c r="X94" s="500">
        <v>2.8999999999999998E-2</v>
      </c>
      <c r="Y94" s="502">
        <v>2.8999999999999998E-2</v>
      </c>
      <c r="Z94" s="500">
        <v>3.1E-2</v>
      </c>
      <c r="AA94" s="500">
        <v>3.1E-2</v>
      </c>
      <c r="AB94" s="500">
        <v>3.1E-2</v>
      </c>
      <c r="AC94" s="500">
        <v>3.1E-2</v>
      </c>
      <c r="AD94" s="500">
        <v>3.1E-2</v>
      </c>
      <c r="AE94" s="500">
        <v>3.1E-2</v>
      </c>
      <c r="AF94" s="501">
        <v>3.1E-2</v>
      </c>
      <c r="AG94" s="501">
        <v>3.1E-2</v>
      </c>
      <c r="AH94" s="501">
        <v>3.1E-2</v>
      </c>
      <c r="AI94" s="501">
        <v>3.1E-2</v>
      </c>
      <c r="AJ94" s="501">
        <v>3.1E-2</v>
      </c>
      <c r="AK94" s="501">
        <v>3.1E-2</v>
      </c>
      <c r="AL94" s="501">
        <v>3.1E-2</v>
      </c>
      <c r="AM94" s="500">
        <v>3.1E-2</v>
      </c>
      <c r="AN94" s="500">
        <v>3.1E-2</v>
      </c>
      <c r="AO94" s="500">
        <v>3.1E-2</v>
      </c>
      <c r="AP94" s="500">
        <v>3.1E-2</v>
      </c>
      <c r="AQ94" s="500">
        <v>3.1E-2</v>
      </c>
      <c r="AR94" s="500">
        <v>3.1E-2</v>
      </c>
      <c r="AS94" s="500">
        <v>3.1E-2</v>
      </c>
      <c r="AT94" s="500">
        <v>3.1E-2</v>
      </c>
      <c r="AU94" s="500">
        <v>3.1E-2</v>
      </c>
      <c r="AV94" s="502">
        <v>3.2000000000000001E-2</v>
      </c>
      <c r="AW94" s="501">
        <v>3.3000000000000002E-2</v>
      </c>
      <c r="AX94" s="501">
        <v>3.3000000000000002E-2</v>
      </c>
      <c r="AY94" s="501">
        <v>3.3000000000000002E-2</v>
      </c>
      <c r="AZ94" s="501">
        <v>3.3000000000000002E-2</v>
      </c>
      <c r="BA94" s="501">
        <v>3.3000000000000002E-2</v>
      </c>
      <c r="BB94" s="501">
        <v>3.3000000000000002E-2</v>
      </c>
      <c r="BC94" s="501">
        <v>3.3000000000000002E-2</v>
      </c>
      <c r="BD94" s="501">
        <v>3.3000000000000002E-2</v>
      </c>
      <c r="BE94" s="501">
        <v>3.3000000000000002E-2</v>
      </c>
      <c r="BF94" s="501">
        <v>3.3000000000000002E-2</v>
      </c>
      <c r="BG94" s="501">
        <v>3.3000000000000002E-2</v>
      </c>
      <c r="BH94" s="501">
        <v>3.3000000000000002E-2</v>
      </c>
      <c r="BI94" s="501">
        <v>3.3000000000000002E-2</v>
      </c>
      <c r="BJ94" s="501">
        <v>3.3000000000000002E-2</v>
      </c>
      <c r="BK94" s="501">
        <v>3.3000000000000002E-2</v>
      </c>
      <c r="BL94" s="501">
        <v>3.3000000000000002E-2</v>
      </c>
      <c r="BM94" s="501">
        <v>3.3000000000000002E-2</v>
      </c>
      <c r="BN94" s="501">
        <v>3.3000000000000002E-2</v>
      </c>
      <c r="BO94" s="501">
        <v>3.3000000000000002E-2</v>
      </c>
      <c r="BP94" s="501">
        <v>3.3000000000000002E-2</v>
      </c>
      <c r="BQ94" s="501">
        <v>3.3000000000000002E-2</v>
      </c>
      <c r="BR94" s="501">
        <v>3.3000000000000002E-2</v>
      </c>
      <c r="BS94" s="501">
        <v>3.3000000000000002E-2</v>
      </c>
      <c r="BT94" s="501">
        <v>3.3000000000000002E-2</v>
      </c>
      <c r="BU94" s="501">
        <v>3.3000000000000002E-2</v>
      </c>
      <c r="BV94" s="501">
        <v>3.3000000000000002E-2</v>
      </c>
      <c r="BW94" s="501">
        <v>3.3000000000000002E-2</v>
      </c>
      <c r="BX94" s="501">
        <v>3.4500000000000003E-2</v>
      </c>
      <c r="BY94" s="501">
        <v>3.4500000000000003E-2</v>
      </c>
      <c r="BZ94" s="501">
        <v>3.85E-2</v>
      </c>
      <c r="CA94" s="501">
        <v>3.85E-2</v>
      </c>
      <c r="CB94" s="501">
        <v>3.85E-2</v>
      </c>
      <c r="CC94" s="501">
        <v>3.85E-2</v>
      </c>
      <c r="CD94" s="501">
        <v>3.85E-2</v>
      </c>
      <c r="CE94" s="501">
        <v>3.85E-2</v>
      </c>
      <c r="CF94" s="501">
        <v>3.85E-2</v>
      </c>
      <c r="CG94" s="501">
        <v>3.85E-2</v>
      </c>
      <c r="CH94" s="501">
        <v>3.85E-2</v>
      </c>
      <c r="CI94" s="501">
        <v>3.85E-2</v>
      </c>
      <c r="CJ94" s="501">
        <v>3.85E-2</v>
      </c>
      <c r="CK94" s="501">
        <v>3.85E-2</v>
      </c>
      <c r="CL94" s="501">
        <v>3.85E-2</v>
      </c>
      <c r="CM94" s="501">
        <v>3.85E-2</v>
      </c>
      <c r="CN94" s="501">
        <v>3.85E-2</v>
      </c>
      <c r="CO94" s="501">
        <v>3.85E-2</v>
      </c>
      <c r="CP94" s="501">
        <v>3.85E-2</v>
      </c>
      <c r="CQ94" s="501">
        <v>3.85E-2</v>
      </c>
      <c r="CR94" s="501">
        <v>3.85E-2</v>
      </c>
      <c r="CS94" s="501">
        <v>3.85E-2</v>
      </c>
      <c r="CT94" s="501">
        <v>3.85E-2</v>
      </c>
      <c r="CU94" s="501">
        <v>3.85E-2</v>
      </c>
      <c r="CV94" s="501">
        <v>3.85E-2</v>
      </c>
      <c r="CW94" s="501">
        <v>3.85E-2</v>
      </c>
      <c r="CX94" s="501">
        <v>3.85E-2</v>
      </c>
      <c r="CY94" s="501">
        <v>3.85E-2</v>
      </c>
      <c r="CZ94" s="501">
        <v>3.95E-2</v>
      </c>
      <c r="DA94" s="501">
        <v>3.95E-2</v>
      </c>
      <c r="DB94" s="501">
        <v>3.95E-2</v>
      </c>
      <c r="DC94" s="501">
        <v>3.95E-2</v>
      </c>
      <c r="DD94" s="501">
        <v>3.95E-2</v>
      </c>
      <c r="DE94" s="501">
        <v>3.95E-2</v>
      </c>
      <c r="DF94" s="501">
        <v>3.95E-2</v>
      </c>
      <c r="DG94" s="501">
        <v>3.95E-2</v>
      </c>
      <c r="DH94" s="501">
        <v>3.95E-2</v>
      </c>
      <c r="DI94" s="501">
        <v>3.95E-2</v>
      </c>
      <c r="DJ94" s="501">
        <v>3.95E-2</v>
      </c>
      <c r="DK94" s="501">
        <v>3.95E-2</v>
      </c>
      <c r="DL94" s="501">
        <v>3.95E-2</v>
      </c>
      <c r="DM94" s="501">
        <v>3.95E-2</v>
      </c>
      <c r="DN94" s="501">
        <v>3.95E-2</v>
      </c>
      <c r="DO94" s="501">
        <v>3.95E-2</v>
      </c>
      <c r="DP94" s="501">
        <v>3.95E-2</v>
      </c>
      <c r="DQ94" s="501">
        <v>3.95E-2</v>
      </c>
      <c r="DR94" s="501">
        <v>3.95E-2</v>
      </c>
      <c r="DS94" s="501">
        <v>3.95E-2</v>
      </c>
      <c r="DT94" s="501">
        <v>3.95E-2</v>
      </c>
      <c r="DU94" s="501">
        <v>3.95E-2</v>
      </c>
      <c r="DV94" s="501">
        <v>3.95E-2</v>
      </c>
      <c r="DW94" s="501">
        <v>3.95E-2</v>
      </c>
      <c r="DX94" s="501">
        <v>3.95E-2</v>
      </c>
      <c r="DY94" s="501">
        <v>3.95E-2</v>
      </c>
      <c r="DZ94" s="501">
        <v>3.95E-2</v>
      </c>
      <c r="EA94" s="501">
        <v>3.95E-2</v>
      </c>
      <c r="EB94" s="501">
        <v>3.95E-2</v>
      </c>
      <c r="EC94" s="501">
        <v>3.95E-2</v>
      </c>
      <c r="ED94" s="501">
        <v>3.95E-2</v>
      </c>
      <c r="EE94" s="501">
        <v>3.95E-2</v>
      </c>
      <c r="EF94" s="501">
        <v>3.95E-2</v>
      </c>
      <c r="EG94" s="501">
        <v>3.95E-2</v>
      </c>
      <c r="EH94" s="501">
        <v>3.95E-2</v>
      </c>
      <c r="EI94" s="501">
        <v>3.95E-2</v>
      </c>
      <c r="EJ94" s="501">
        <v>3.95E-2</v>
      </c>
      <c r="EK94" s="501">
        <v>3.95E-2</v>
      </c>
      <c r="EL94" s="501">
        <v>3.95E-2</v>
      </c>
      <c r="EM94" s="501">
        <v>3.95E-2</v>
      </c>
      <c r="EN94" s="501">
        <v>3.95E-2</v>
      </c>
      <c r="EO94" s="501">
        <v>3.95E-2</v>
      </c>
      <c r="EP94" s="501">
        <v>3.95E-2</v>
      </c>
      <c r="EQ94" s="501">
        <v>3.95E-2</v>
      </c>
      <c r="ER94" s="501">
        <v>3.95E-2</v>
      </c>
      <c r="ES94" s="501">
        <v>3.95E-2</v>
      </c>
      <c r="ET94" s="501">
        <v>3.95E-2</v>
      </c>
      <c r="EU94" s="501">
        <v>3.95E-2</v>
      </c>
      <c r="EV94" s="501">
        <v>3.95E-2</v>
      </c>
      <c r="EW94" s="501">
        <v>3.95E-2</v>
      </c>
      <c r="EX94" s="501">
        <v>3.95E-2</v>
      </c>
      <c r="EY94" s="501">
        <v>3.95E-2</v>
      </c>
      <c r="EZ94" s="501">
        <v>3.95E-2</v>
      </c>
      <c r="FA94" s="501">
        <v>3.95E-2</v>
      </c>
      <c r="FB94" s="501">
        <v>3.95E-2</v>
      </c>
      <c r="FC94" s="501">
        <v>3.95E-2</v>
      </c>
      <c r="FD94" s="501">
        <v>3.95E-2</v>
      </c>
      <c r="FE94" s="501">
        <v>3.95E-2</v>
      </c>
      <c r="FF94" s="501">
        <v>3.95E-2</v>
      </c>
      <c r="FG94" s="501">
        <v>3.95E-2</v>
      </c>
      <c r="FH94" s="501">
        <v>3.95E-2</v>
      </c>
      <c r="FI94" s="501">
        <v>3.95E-2</v>
      </c>
      <c r="FJ94" s="501">
        <v>3.95E-2</v>
      </c>
      <c r="FK94" s="501">
        <v>3.95E-2</v>
      </c>
      <c r="FL94" s="501">
        <v>3.95E-2</v>
      </c>
      <c r="FM94" s="501">
        <v>3.95E-2</v>
      </c>
      <c r="FN94" s="501">
        <v>3.95E-2</v>
      </c>
      <c r="FO94" s="501">
        <v>3.95E-2</v>
      </c>
      <c r="FP94" s="501">
        <v>3.95E-2</v>
      </c>
      <c r="FQ94" s="501">
        <v>3.95E-2</v>
      </c>
      <c r="FR94" s="501">
        <v>3.95E-2</v>
      </c>
      <c r="FS94" s="501">
        <v>3.95E-2</v>
      </c>
      <c r="FT94" s="501">
        <v>3.95E-2</v>
      </c>
      <c r="FU94" s="501">
        <v>3.95E-2</v>
      </c>
      <c r="FV94" s="501">
        <v>3.95E-2</v>
      </c>
      <c r="FW94" s="501">
        <v>3.95E-2</v>
      </c>
      <c r="FX94" s="501">
        <v>3.95E-2</v>
      </c>
      <c r="FY94" s="501">
        <v>3.95E-2</v>
      </c>
      <c r="FZ94" s="501">
        <v>3.95E-2</v>
      </c>
      <c r="GA94" s="501">
        <v>3.95E-2</v>
      </c>
      <c r="GB94" s="501">
        <v>4.2500000000000003E-2</v>
      </c>
      <c r="GC94" s="501">
        <v>4.2500000000000003E-2</v>
      </c>
      <c r="GD94" s="501">
        <v>2.5000000000000001E-3</v>
      </c>
      <c r="GE94" s="501">
        <v>2.5000000000000001E-3</v>
      </c>
      <c r="GF94" s="501">
        <v>2.5000000000000001E-3</v>
      </c>
      <c r="GG94" s="501">
        <v>2.5000000000000001E-3</v>
      </c>
      <c r="GH94" s="501">
        <v>2.5000000000000001E-3</v>
      </c>
      <c r="GI94" s="501">
        <v>2.5000000000000001E-3</v>
      </c>
      <c r="GJ94" s="501">
        <v>2.5000000000000001E-3</v>
      </c>
      <c r="GK94" s="501">
        <v>2.5000000000000001E-3</v>
      </c>
      <c r="GL94" s="501">
        <v>2.5000000000000001E-3</v>
      </c>
      <c r="GM94" s="501">
        <v>2.5000000000000001E-3</v>
      </c>
      <c r="GN94" s="501">
        <v>2.5000000000000001E-3</v>
      </c>
      <c r="GO94" s="501">
        <v>2.5000000000000001E-3</v>
      </c>
      <c r="GP94" s="501">
        <v>2.5000000000000001E-3</v>
      </c>
      <c r="GQ94" s="501">
        <v>2.5000000000000001E-3</v>
      </c>
      <c r="GR94" s="501">
        <v>2.5000000000000001E-3</v>
      </c>
      <c r="GS94" s="501">
        <v>2.5000000000000001E-3</v>
      </c>
      <c r="GT94" s="501">
        <v>2.5000000000000001E-3</v>
      </c>
      <c r="GU94" s="501">
        <v>2.5000000000000001E-3</v>
      </c>
      <c r="GV94" s="501">
        <v>2.5000000000000001E-3</v>
      </c>
      <c r="GW94" s="501">
        <v>2.5000000000000001E-3</v>
      </c>
      <c r="GX94" s="501">
        <v>2.5000000000000001E-3</v>
      </c>
      <c r="GY94" s="501">
        <v>2.5000000000000001E-3</v>
      </c>
      <c r="GZ94" s="501">
        <v>2.5000000000000001E-3</v>
      </c>
      <c r="HA94" s="501">
        <v>2.5000000000000001E-3</v>
      </c>
      <c r="HB94" s="501">
        <v>2.5000000000000001E-3</v>
      </c>
      <c r="HC94" s="501">
        <v>2.5000000000000001E-3</v>
      </c>
      <c r="HD94" s="501">
        <v>2.5000000000000001E-3</v>
      </c>
      <c r="HE94" s="501">
        <v>2.5000000000000001E-3</v>
      </c>
      <c r="HF94" s="501">
        <v>2.5000000000000001E-3</v>
      </c>
      <c r="HG94" s="501">
        <v>2.5000000000000001E-3</v>
      </c>
      <c r="HH94" s="501">
        <v>2.5000000000000001E-3</v>
      </c>
      <c r="HI94" s="501">
        <v>2.5000000000000001E-3</v>
      </c>
      <c r="HJ94" s="501">
        <v>2.5000000000000001E-3</v>
      </c>
      <c r="HK94" s="501">
        <v>2.5000000000000001E-3</v>
      </c>
      <c r="HL94" s="501">
        <v>2.5000000000000001E-3</v>
      </c>
      <c r="HM94" s="501">
        <v>2.5000000000000001E-3</v>
      </c>
      <c r="HN94" s="501">
        <v>2.5000000000000001E-3</v>
      </c>
      <c r="HO94" s="501">
        <v>2.5000000000000001E-3</v>
      </c>
      <c r="HP94" s="473">
        <f t="shared" si="30"/>
        <v>0</v>
      </c>
      <c r="HQ94" s="1136"/>
    </row>
    <row r="95" spans="2:225">
      <c r="B95" s="1124"/>
      <c r="C95" s="730" t="s">
        <v>246</v>
      </c>
      <c r="D95" s="500">
        <v>2.8999999999999998E-2</v>
      </c>
      <c r="E95" s="500">
        <v>2.8999999999999998E-2</v>
      </c>
      <c r="F95" s="500">
        <v>2.8999999999999998E-2</v>
      </c>
      <c r="G95" s="500">
        <v>2.8999999999999998E-2</v>
      </c>
      <c r="H95" s="500">
        <v>2.8999999999999998E-2</v>
      </c>
      <c r="I95" s="500">
        <v>2.8999999999999998E-2</v>
      </c>
      <c r="J95" s="500">
        <v>2.8999999999999998E-2</v>
      </c>
      <c r="K95" s="500">
        <v>2.8999999999999998E-2</v>
      </c>
      <c r="L95" s="500">
        <v>2.8999999999999998E-2</v>
      </c>
      <c r="M95" s="500">
        <v>2.8999999999999998E-2</v>
      </c>
      <c r="N95" s="500">
        <v>2.8999999999999998E-2</v>
      </c>
      <c r="O95" s="500">
        <v>2.8999999999999998E-2</v>
      </c>
      <c r="P95" s="500">
        <v>2.8999999999999998E-2</v>
      </c>
      <c r="Q95" s="500">
        <v>2.8999999999999998E-2</v>
      </c>
      <c r="R95" s="500">
        <v>2.8999999999999998E-2</v>
      </c>
      <c r="S95" s="500">
        <v>2.8999999999999998E-2</v>
      </c>
      <c r="T95" s="500">
        <v>2.8999999999999998E-2</v>
      </c>
      <c r="U95" s="500">
        <v>2.8999999999999998E-2</v>
      </c>
      <c r="V95" s="500">
        <v>2.8999999999999998E-2</v>
      </c>
      <c r="W95" s="500">
        <v>2.8999999999999998E-2</v>
      </c>
      <c r="X95" s="500">
        <v>2.8999999999999998E-2</v>
      </c>
      <c r="Y95" s="502">
        <v>2.8999999999999998E-2</v>
      </c>
      <c r="Z95" s="500">
        <v>3.1E-2</v>
      </c>
      <c r="AA95" s="500">
        <v>3.1E-2</v>
      </c>
      <c r="AB95" s="500">
        <v>3.1E-2</v>
      </c>
      <c r="AC95" s="500">
        <v>3.1E-2</v>
      </c>
      <c r="AD95" s="500">
        <v>3.1E-2</v>
      </c>
      <c r="AE95" s="500">
        <v>3.1E-2</v>
      </c>
      <c r="AF95" s="501">
        <v>3.1E-2</v>
      </c>
      <c r="AG95" s="501">
        <v>3.1E-2</v>
      </c>
      <c r="AH95" s="501">
        <v>3.1E-2</v>
      </c>
      <c r="AI95" s="501">
        <v>3.1E-2</v>
      </c>
      <c r="AJ95" s="501">
        <v>3.1E-2</v>
      </c>
      <c r="AK95" s="501">
        <v>3.1E-2</v>
      </c>
      <c r="AL95" s="501">
        <v>3.1E-2</v>
      </c>
      <c r="AM95" s="500">
        <v>3.1E-2</v>
      </c>
      <c r="AN95" s="500">
        <v>3.1E-2</v>
      </c>
      <c r="AO95" s="500">
        <v>3.1E-2</v>
      </c>
      <c r="AP95" s="500">
        <v>3.1E-2</v>
      </c>
      <c r="AQ95" s="500">
        <v>3.1E-2</v>
      </c>
      <c r="AR95" s="500">
        <v>3.1E-2</v>
      </c>
      <c r="AS95" s="500">
        <v>3.1E-2</v>
      </c>
      <c r="AT95" s="500">
        <v>3.1E-2</v>
      </c>
      <c r="AU95" s="500">
        <v>3.1E-2</v>
      </c>
      <c r="AV95" s="502">
        <v>3.2000000000000001E-2</v>
      </c>
      <c r="AW95" s="501">
        <v>3.3000000000000002E-2</v>
      </c>
      <c r="AX95" s="501">
        <v>3.3000000000000002E-2</v>
      </c>
      <c r="AY95" s="501">
        <v>3.3000000000000002E-2</v>
      </c>
      <c r="AZ95" s="501">
        <v>3.3000000000000002E-2</v>
      </c>
      <c r="BA95" s="501">
        <v>3.3000000000000002E-2</v>
      </c>
      <c r="BB95" s="501">
        <v>3.3000000000000002E-2</v>
      </c>
      <c r="BC95" s="501">
        <v>3.3000000000000002E-2</v>
      </c>
      <c r="BD95" s="501">
        <v>3.3000000000000002E-2</v>
      </c>
      <c r="BE95" s="501">
        <v>3.3000000000000002E-2</v>
      </c>
      <c r="BF95" s="501">
        <v>3.3000000000000002E-2</v>
      </c>
      <c r="BG95" s="501">
        <v>3.3000000000000002E-2</v>
      </c>
      <c r="BH95" s="501">
        <v>3.3000000000000002E-2</v>
      </c>
      <c r="BI95" s="501">
        <v>3.3000000000000002E-2</v>
      </c>
      <c r="BJ95" s="501">
        <v>3.3000000000000002E-2</v>
      </c>
      <c r="BK95" s="501">
        <v>3.3000000000000002E-2</v>
      </c>
      <c r="BL95" s="501">
        <v>3.3000000000000002E-2</v>
      </c>
      <c r="BM95" s="501">
        <v>3.3000000000000002E-2</v>
      </c>
      <c r="BN95" s="501">
        <v>3.3000000000000002E-2</v>
      </c>
      <c r="BO95" s="501">
        <v>3.3000000000000002E-2</v>
      </c>
      <c r="BP95" s="501">
        <v>3.3000000000000002E-2</v>
      </c>
      <c r="BQ95" s="501">
        <v>3.3000000000000002E-2</v>
      </c>
      <c r="BR95" s="501">
        <v>3.3000000000000002E-2</v>
      </c>
      <c r="BS95" s="501">
        <v>3.3000000000000002E-2</v>
      </c>
      <c r="BT95" s="501">
        <v>3.3000000000000002E-2</v>
      </c>
      <c r="BU95" s="501">
        <v>3.3000000000000002E-2</v>
      </c>
      <c r="BV95" s="501">
        <v>3.3000000000000002E-2</v>
      </c>
      <c r="BW95" s="501">
        <v>3.3000000000000002E-2</v>
      </c>
      <c r="BX95" s="501">
        <v>3.4500000000000003E-2</v>
      </c>
      <c r="BY95" s="501">
        <v>3.4500000000000003E-2</v>
      </c>
      <c r="BZ95" s="501">
        <v>3.85E-2</v>
      </c>
      <c r="CA95" s="501">
        <v>3.85E-2</v>
      </c>
      <c r="CB95" s="501">
        <v>3.85E-2</v>
      </c>
      <c r="CC95" s="501">
        <v>3.85E-2</v>
      </c>
      <c r="CD95" s="501">
        <v>3.85E-2</v>
      </c>
      <c r="CE95" s="501">
        <v>3.85E-2</v>
      </c>
      <c r="CF95" s="501">
        <v>3.85E-2</v>
      </c>
      <c r="CG95" s="501">
        <v>3.85E-2</v>
      </c>
      <c r="CH95" s="501">
        <v>3.85E-2</v>
      </c>
      <c r="CI95" s="501">
        <v>3.85E-2</v>
      </c>
      <c r="CJ95" s="501">
        <v>3.85E-2</v>
      </c>
      <c r="CK95" s="501">
        <v>3.85E-2</v>
      </c>
      <c r="CL95" s="501">
        <v>3.85E-2</v>
      </c>
      <c r="CM95" s="501">
        <v>3.85E-2</v>
      </c>
      <c r="CN95" s="501">
        <v>3.85E-2</v>
      </c>
      <c r="CO95" s="501">
        <v>3.85E-2</v>
      </c>
      <c r="CP95" s="501">
        <v>3.85E-2</v>
      </c>
      <c r="CQ95" s="501">
        <v>3.85E-2</v>
      </c>
      <c r="CR95" s="501">
        <v>3.85E-2</v>
      </c>
      <c r="CS95" s="501">
        <v>3.85E-2</v>
      </c>
      <c r="CT95" s="501">
        <v>3.85E-2</v>
      </c>
      <c r="CU95" s="501">
        <v>3.85E-2</v>
      </c>
      <c r="CV95" s="501">
        <v>3.85E-2</v>
      </c>
      <c r="CW95" s="501">
        <v>3.85E-2</v>
      </c>
      <c r="CX95" s="501">
        <v>3.85E-2</v>
      </c>
      <c r="CY95" s="501">
        <v>3.85E-2</v>
      </c>
      <c r="CZ95" s="501">
        <v>3.95E-2</v>
      </c>
      <c r="DA95" s="501">
        <v>3.95E-2</v>
      </c>
      <c r="DB95" s="501">
        <v>3.95E-2</v>
      </c>
      <c r="DC95" s="501">
        <v>3.95E-2</v>
      </c>
      <c r="DD95" s="501">
        <v>3.95E-2</v>
      </c>
      <c r="DE95" s="501">
        <v>3.95E-2</v>
      </c>
      <c r="DF95" s="501">
        <v>3.95E-2</v>
      </c>
      <c r="DG95" s="501">
        <v>3.95E-2</v>
      </c>
      <c r="DH95" s="501">
        <v>3.95E-2</v>
      </c>
      <c r="DI95" s="501">
        <v>3.95E-2</v>
      </c>
      <c r="DJ95" s="501">
        <v>3.95E-2</v>
      </c>
      <c r="DK95" s="501">
        <v>3.95E-2</v>
      </c>
      <c r="DL95" s="501">
        <v>3.95E-2</v>
      </c>
      <c r="DM95" s="501">
        <v>3.95E-2</v>
      </c>
      <c r="DN95" s="501">
        <v>3.95E-2</v>
      </c>
      <c r="DO95" s="501">
        <v>3.95E-2</v>
      </c>
      <c r="DP95" s="501">
        <v>3.95E-2</v>
      </c>
      <c r="DQ95" s="501">
        <v>3.95E-2</v>
      </c>
      <c r="DR95" s="501">
        <v>3.95E-2</v>
      </c>
      <c r="DS95" s="501">
        <v>3.95E-2</v>
      </c>
      <c r="DT95" s="501">
        <v>3.95E-2</v>
      </c>
      <c r="DU95" s="501">
        <v>3.95E-2</v>
      </c>
      <c r="DV95" s="501">
        <v>3.95E-2</v>
      </c>
      <c r="DW95" s="501">
        <v>3.95E-2</v>
      </c>
      <c r="DX95" s="501">
        <v>3.95E-2</v>
      </c>
      <c r="DY95" s="501">
        <v>3.95E-2</v>
      </c>
      <c r="DZ95" s="501">
        <v>3.95E-2</v>
      </c>
      <c r="EA95" s="501">
        <v>3.95E-2</v>
      </c>
      <c r="EB95" s="501">
        <v>3.95E-2</v>
      </c>
      <c r="EC95" s="501">
        <v>3.95E-2</v>
      </c>
      <c r="ED95" s="501">
        <v>3.95E-2</v>
      </c>
      <c r="EE95" s="501">
        <v>3.95E-2</v>
      </c>
      <c r="EF95" s="501">
        <v>3.95E-2</v>
      </c>
      <c r="EG95" s="501">
        <v>3.95E-2</v>
      </c>
      <c r="EH95" s="501">
        <v>3.95E-2</v>
      </c>
      <c r="EI95" s="501">
        <v>3.95E-2</v>
      </c>
      <c r="EJ95" s="501">
        <v>3.95E-2</v>
      </c>
      <c r="EK95" s="501">
        <v>3.95E-2</v>
      </c>
      <c r="EL95" s="501">
        <v>3.95E-2</v>
      </c>
      <c r="EM95" s="501">
        <v>3.95E-2</v>
      </c>
      <c r="EN95" s="501">
        <v>3.95E-2</v>
      </c>
      <c r="EO95" s="501">
        <v>3.95E-2</v>
      </c>
      <c r="EP95" s="501">
        <v>3.95E-2</v>
      </c>
      <c r="EQ95" s="501">
        <v>3.95E-2</v>
      </c>
      <c r="ER95" s="501">
        <v>3.95E-2</v>
      </c>
      <c r="ES95" s="501">
        <v>3.95E-2</v>
      </c>
      <c r="ET95" s="501">
        <v>3.95E-2</v>
      </c>
      <c r="EU95" s="501">
        <v>3.95E-2</v>
      </c>
      <c r="EV95" s="501">
        <v>3.95E-2</v>
      </c>
      <c r="EW95" s="501">
        <v>3.95E-2</v>
      </c>
      <c r="EX95" s="501">
        <v>3.95E-2</v>
      </c>
      <c r="EY95" s="501">
        <v>3.95E-2</v>
      </c>
      <c r="EZ95" s="501">
        <v>3.95E-2</v>
      </c>
      <c r="FA95" s="501">
        <v>3.95E-2</v>
      </c>
      <c r="FB95" s="501">
        <v>3.95E-2</v>
      </c>
      <c r="FC95" s="501">
        <v>3.95E-2</v>
      </c>
      <c r="FD95" s="501">
        <v>3.95E-2</v>
      </c>
      <c r="FE95" s="501">
        <v>3.95E-2</v>
      </c>
      <c r="FF95" s="501">
        <v>3.95E-2</v>
      </c>
      <c r="FG95" s="501">
        <v>3.95E-2</v>
      </c>
      <c r="FH95" s="501">
        <v>3.95E-2</v>
      </c>
      <c r="FI95" s="501">
        <v>3.95E-2</v>
      </c>
      <c r="FJ95" s="501">
        <v>3.95E-2</v>
      </c>
      <c r="FK95" s="501">
        <v>3.95E-2</v>
      </c>
      <c r="FL95" s="501">
        <v>3.95E-2</v>
      </c>
      <c r="FM95" s="501">
        <v>3.95E-2</v>
      </c>
      <c r="FN95" s="501">
        <v>3.95E-2</v>
      </c>
      <c r="FO95" s="501">
        <v>3.95E-2</v>
      </c>
      <c r="FP95" s="501">
        <v>3.95E-2</v>
      </c>
      <c r="FQ95" s="501">
        <v>3.95E-2</v>
      </c>
      <c r="FR95" s="501">
        <v>3.95E-2</v>
      </c>
      <c r="FS95" s="501">
        <v>3.95E-2</v>
      </c>
      <c r="FT95" s="501">
        <v>3.95E-2</v>
      </c>
      <c r="FU95" s="501">
        <v>3.95E-2</v>
      </c>
      <c r="FV95" s="501">
        <v>3.95E-2</v>
      </c>
      <c r="FW95" s="501">
        <v>3.95E-2</v>
      </c>
      <c r="FX95" s="501">
        <v>3.95E-2</v>
      </c>
      <c r="FY95" s="501">
        <v>3.95E-2</v>
      </c>
      <c r="FZ95" s="501">
        <v>3.95E-2</v>
      </c>
      <c r="GA95" s="501">
        <v>3.95E-2</v>
      </c>
      <c r="GB95" s="501">
        <v>4.2500000000000003E-2</v>
      </c>
      <c r="GC95" s="501">
        <v>4.2500000000000003E-2</v>
      </c>
      <c r="GD95" s="501">
        <v>2.5000000000000001E-3</v>
      </c>
      <c r="GE95" s="501">
        <v>2.5000000000000001E-3</v>
      </c>
      <c r="GF95" s="501">
        <v>2.5000000000000001E-3</v>
      </c>
      <c r="GG95" s="501">
        <v>2.5000000000000001E-3</v>
      </c>
      <c r="GH95" s="501">
        <v>2.5000000000000001E-3</v>
      </c>
      <c r="GI95" s="501">
        <v>2.5000000000000001E-3</v>
      </c>
      <c r="GJ95" s="501">
        <v>2.5000000000000001E-3</v>
      </c>
      <c r="GK95" s="501">
        <v>2.5000000000000001E-3</v>
      </c>
      <c r="GL95" s="501">
        <v>2.5000000000000001E-3</v>
      </c>
      <c r="GM95" s="501">
        <v>2.5000000000000001E-3</v>
      </c>
      <c r="GN95" s="501">
        <v>2.5000000000000001E-3</v>
      </c>
      <c r="GO95" s="501">
        <v>2.5000000000000001E-3</v>
      </c>
      <c r="GP95" s="501">
        <v>2.5000000000000001E-3</v>
      </c>
      <c r="GQ95" s="501">
        <v>2.5000000000000001E-3</v>
      </c>
      <c r="GR95" s="501">
        <v>2.5000000000000001E-3</v>
      </c>
      <c r="GS95" s="501">
        <v>2.5000000000000001E-3</v>
      </c>
      <c r="GT95" s="501">
        <v>2.5000000000000001E-3</v>
      </c>
      <c r="GU95" s="501">
        <v>2.5000000000000001E-3</v>
      </c>
      <c r="GV95" s="501">
        <v>2.5000000000000001E-3</v>
      </c>
      <c r="GW95" s="501">
        <v>2.5000000000000001E-3</v>
      </c>
      <c r="GX95" s="501">
        <v>2.5000000000000001E-3</v>
      </c>
      <c r="GY95" s="501">
        <v>2.5000000000000001E-3</v>
      </c>
      <c r="GZ95" s="501">
        <v>2.5000000000000001E-3</v>
      </c>
      <c r="HA95" s="501">
        <v>2.5000000000000001E-3</v>
      </c>
      <c r="HB95" s="501">
        <v>2.5000000000000001E-3</v>
      </c>
      <c r="HC95" s="501">
        <v>2.5000000000000001E-3</v>
      </c>
      <c r="HD95" s="501">
        <v>2.5000000000000001E-3</v>
      </c>
      <c r="HE95" s="501">
        <v>2.5000000000000001E-3</v>
      </c>
      <c r="HF95" s="501">
        <v>2.5000000000000001E-3</v>
      </c>
      <c r="HG95" s="501">
        <v>2.5000000000000001E-3</v>
      </c>
      <c r="HH95" s="501">
        <v>2.5000000000000001E-3</v>
      </c>
      <c r="HI95" s="501">
        <v>2.5000000000000001E-3</v>
      </c>
      <c r="HJ95" s="501">
        <v>2.5000000000000001E-3</v>
      </c>
      <c r="HK95" s="501">
        <v>2.5000000000000001E-3</v>
      </c>
      <c r="HL95" s="501">
        <v>2.5000000000000001E-3</v>
      </c>
      <c r="HM95" s="501">
        <v>2.5000000000000001E-3</v>
      </c>
      <c r="HN95" s="501">
        <v>2.5000000000000001E-3</v>
      </c>
      <c r="HO95" s="501">
        <v>2.5000000000000001E-3</v>
      </c>
      <c r="HP95" s="473">
        <f t="shared" si="30"/>
        <v>0</v>
      </c>
      <c r="HQ95" s="1137"/>
    </row>
    <row r="96" spans="2:225">
      <c r="B96" s="1126" t="s">
        <v>35</v>
      </c>
      <c r="C96" s="733" t="s">
        <v>245</v>
      </c>
      <c r="D96" s="488">
        <v>3.5499999999999997E-2</v>
      </c>
      <c r="E96" s="488">
        <v>3.5499999999999997E-2</v>
      </c>
      <c r="F96" s="488">
        <v>3.5499999999999997E-2</v>
      </c>
      <c r="G96" s="488">
        <v>3.5499999999999997E-2</v>
      </c>
      <c r="H96" s="488">
        <v>3.5499999999999997E-2</v>
      </c>
      <c r="I96" s="488">
        <v>3.5499999999999997E-2</v>
      </c>
      <c r="J96" s="488">
        <v>3.5499999999999997E-2</v>
      </c>
      <c r="K96" s="488">
        <v>3.5499999999999997E-2</v>
      </c>
      <c r="L96" s="488">
        <v>3.5499999999999997E-2</v>
      </c>
      <c r="M96" s="488">
        <v>3.6499999999999998E-2</v>
      </c>
      <c r="N96" s="488">
        <v>3.6499999999999998E-2</v>
      </c>
      <c r="O96" s="494">
        <v>3.6499999999999998E-2</v>
      </c>
      <c r="P96" s="488">
        <v>3.7499999999999999E-2</v>
      </c>
      <c r="Q96" s="488">
        <v>3.7499999999999999E-2</v>
      </c>
      <c r="R96" s="488">
        <v>3.7499999999999999E-2</v>
      </c>
      <c r="S96" s="488">
        <v>3.7499999999999999E-2</v>
      </c>
      <c r="T96" s="494">
        <v>3.7499999999999999E-2</v>
      </c>
      <c r="U96" s="488">
        <v>3.7999999999999999E-2</v>
      </c>
      <c r="V96" s="488">
        <v>3.7999999999999999E-2</v>
      </c>
      <c r="W96" s="503">
        <v>3.7999999999999999E-2</v>
      </c>
      <c r="X96" s="478">
        <v>3.95E-2</v>
      </c>
      <c r="Y96" s="478">
        <v>3.95E-2</v>
      </c>
      <c r="Z96" s="478">
        <v>3.95E-2</v>
      </c>
      <c r="AA96" s="478">
        <v>3.95E-2</v>
      </c>
      <c r="AB96" s="478">
        <v>3.95E-2</v>
      </c>
      <c r="AC96" s="478">
        <v>3.95E-2</v>
      </c>
      <c r="AD96" s="478">
        <v>3.95E-2</v>
      </c>
      <c r="AE96" s="503">
        <v>3.95E-2</v>
      </c>
      <c r="AF96" s="478">
        <v>0.04</v>
      </c>
      <c r="AG96" s="478">
        <v>0.04</v>
      </c>
      <c r="AH96" s="503">
        <v>0.04</v>
      </c>
      <c r="AI96" s="478">
        <v>4.1000000000000002E-2</v>
      </c>
      <c r="AJ96" s="478">
        <v>4.1000000000000002E-2</v>
      </c>
      <c r="AK96" s="478">
        <v>4.1000000000000002E-2</v>
      </c>
      <c r="AL96" s="479">
        <v>4.1000000000000002E-2</v>
      </c>
      <c r="AM96" s="478">
        <v>4.1000000000000002E-2</v>
      </c>
      <c r="AN96" s="478">
        <v>4.1000000000000002E-2</v>
      </c>
      <c r="AO96" s="478">
        <v>4.1000000000000002E-2</v>
      </c>
      <c r="AP96" s="478">
        <v>4.1000000000000002E-2</v>
      </c>
      <c r="AQ96" s="478">
        <v>4.1000000000000002E-2</v>
      </c>
      <c r="AR96" s="478">
        <v>4.1000000000000002E-2</v>
      </c>
      <c r="AS96" s="478">
        <v>4.1000000000000002E-2</v>
      </c>
      <c r="AT96" s="478">
        <v>4.1000000000000002E-2</v>
      </c>
      <c r="AU96" s="478">
        <v>4.1000000000000002E-2</v>
      </c>
      <c r="AV96" s="503">
        <v>4.1000000000000002E-2</v>
      </c>
      <c r="AW96" s="479">
        <v>4.2500000000000003E-2</v>
      </c>
      <c r="AX96" s="479">
        <v>4.2500000000000003E-2</v>
      </c>
      <c r="AY96" s="479">
        <v>4.2500000000000003E-2</v>
      </c>
      <c r="AZ96" s="479">
        <v>4.2500000000000003E-2</v>
      </c>
      <c r="BA96" s="479">
        <v>4.2500000000000003E-2</v>
      </c>
      <c r="BB96" s="479">
        <v>4.2500000000000003E-2</v>
      </c>
      <c r="BC96" s="479">
        <v>4.2500000000000003E-2</v>
      </c>
      <c r="BD96" s="479">
        <v>4.2500000000000003E-2</v>
      </c>
      <c r="BE96" s="479">
        <v>4.2500000000000003E-2</v>
      </c>
      <c r="BF96" s="479">
        <v>4.2500000000000003E-2</v>
      </c>
      <c r="BG96" s="479">
        <v>4.2500000000000003E-2</v>
      </c>
      <c r="BH96" s="479">
        <v>4.2500000000000003E-2</v>
      </c>
      <c r="BI96" s="479">
        <v>4.2500000000000003E-2</v>
      </c>
      <c r="BJ96" s="479">
        <v>4.2500000000000003E-2</v>
      </c>
      <c r="BK96" s="479">
        <v>4.3999999999999997E-2</v>
      </c>
      <c r="BL96" s="479">
        <v>4.3999999999999997E-2</v>
      </c>
      <c r="BM96" s="479">
        <v>4.3999999999999997E-2</v>
      </c>
      <c r="BN96" s="479">
        <v>4.4999999999999998E-2</v>
      </c>
      <c r="BO96" s="479">
        <v>4.4999999999999998E-2</v>
      </c>
      <c r="BP96" s="479">
        <v>4.4999999999999998E-2</v>
      </c>
      <c r="BQ96" s="479">
        <v>4.4999999999999998E-2</v>
      </c>
      <c r="BR96" s="479">
        <v>4.4999999999999998E-2</v>
      </c>
      <c r="BS96" s="479">
        <v>4.4999999999999998E-2</v>
      </c>
      <c r="BT96" s="479">
        <v>4.4999999999999998E-2</v>
      </c>
      <c r="BU96" s="479">
        <v>4.4999999999999998E-2</v>
      </c>
      <c r="BV96" s="479">
        <v>4.4999999999999998E-2</v>
      </c>
      <c r="BW96" s="479">
        <v>4.4999999999999998E-2</v>
      </c>
      <c r="BX96" s="479">
        <v>4.4999999999999998E-2</v>
      </c>
      <c r="BY96" s="479">
        <v>4.4999999999999998E-2</v>
      </c>
      <c r="BZ96" s="479">
        <v>4.4999999999999998E-2</v>
      </c>
      <c r="CA96" s="479">
        <v>4.7500000000000001E-2</v>
      </c>
      <c r="CB96" s="479">
        <v>4.7500000000000001E-2</v>
      </c>
      <c r="CC96" s="479">
        <v>4.7500000000000001E-2</v>
      </c>
      <c r="CD96" s="479">
        <v>4.7500000000000001E-2</v>
      </c>
      <c r="CE96" s="479">
        <v>4.7500000000000001E-2</v>
      </c>
      <c r="CF96" s="479">
        <v>4.7500000000000001E-2</v>
      </c>
      <c r="CG96" s="479">
        <v>4.7500000000000001E-2</v>
      </c>
      <c r="CH96" s="479">
        <v>4.7500000000000001E-2</v>
      </c>
      <c r="CI96" s="479">
        <v>4.7500000000000001E-2</v>
      </c>
      <c r="CJ96" s="479">
        <v>4.7500000000000001E-2</v>
      </c>
      <c r="CK96" s="479">
        <v>4.7500000000000001E-2</v>
      </c>
      <c r="CL96" s="479">
        <v>4.7500000000000001E-2</v>
      </c>
      <c r="CM96" s="479">
        <v>4.7500000000000001E-2</v>
      </c>
      <c r="CN96" s="479">
        <v>4.7500000000000001E-2</v>
      </c>
      <c r="CO96" s="479">
        <v>4.7500000000000001E-2</v>
      </c>
      <c r="CP96" s="479">
        <v>4.7500000000000001E-2</v>
      </c>
      <c r="CQ96" s="479">
        <v>4.7500000000000001E-2</v>
      </c>
      <c r="CR96" s="479">
        <v>4.7500000000000001E-2</v>
      </c>
      <c r="CS96" s="479">
        <v>4.7500000000000001E-2</v>
      </c>
      <c r="CT96" s="479">
        <v>4.8500000000000001E-2</v>
      </c>
      <c r="CU96" s="504">
        <v>4.8500000000000001E-2</v>
      </c>
      <c r="CV96" s="505">
        <v>4.7500000000000001E-2</v>
      </c>
      <c r="CW96" s="505">
        <v>4.7500000000000001E-2</v>
      </c>
      <c r="CX96" s="505">
        <v>4.7500000000000001E-2</v>
      </c>
      <c r="CY96" s="505">
        <v>4.7500000000000001E-2</v>
      </c>
      <c r="CZ96" s="505">
        <v>4.7500000000000001E-2</v>
      </c>
      <c r="DA96" s="505">
        <v>4.7500000000000001E-2</v>
      </c>
      <c r="DB96" s="505">
        <v>4.7500000000000001E-2</v>
      </c>
      <c r="DC96" s="505">
        <v>4.7500000000000001E-2</v>
      </c>
      <c r="DD96" s="505">
        <v>4.7500000000000001E-2</v>
      </c>
      <c r="DE96" s="505">
        <v>4.7500000000000001E-2</v>
      </c>
      <c r="DF96" s="505">
        <v>4.7500000000000001E-2</v>
      </c>
      <c r="DG96" s="505">
        <v>4.7500000000000001E-2</v>
      </c>
      <c r="DH96" s="505">
        <v>4.7500000000000001E-2</v>
      </c>
      <c r="DI96" s="505">
        <v>4.7500000000000001E-2</v>
      </c>
      <c r="DJ96" s="505">
        <v>4.7500000000000001E-2</v>
      </c>
      <c r="DK96" s="505">
        <v>4.7500000000000001E-2</v>
      </c>
      <c r="DL96" s="505">
        <v>4.7500000000000001E-2</v>
      </c>
      <c r="DM96" s="505">
        <v>4.7500000000000001E-2</v>
      </c>
      <c r="DN96" s="505">
        <v>4.7500000000000001E-2</v>
      </c>
      <c r="DO96" s="505">
        <v>4.7500000000000001E-2</v>
      </c>
      <c r="DP96" s="505">
        <v>4.7500000000000001E-2</v>
      </c>
      <c r="DQ96" s="505">
        <v>4.7500000000000001E-2</v>
      </c>
      <c r="DR96" s="505">
        <v>4.7500000000000001E-2</v>
      </c>
      <c r="DS96" s="505">
        <v>4.7500000000000001E-2</v>
      </c>
      <c r="DT96" s="505">
        <v>4.7500000000000001E-2</v>
      </c>
      <c r="DU96" s="505">
        <v>4.7500000000000001E-2</v>
      </c>
      <c r="DV96" s="505">
        <v>4.7500000000000001E-2</v>
      </c>
      <c r="DW96" s="505">
        <v>4.7500000000000001E-2</v>
      </c>
      <c r="DX96" s="505">
        <v>4.7500000000000001E-2</v>
      </c>
      <c r="DY96" s="505">
        <v>4.7500000000000001E-2</v>
      </c>
      <c r="DZ96" s="505">
        <v>4.7500000000000001E-2</v>
      </c>
      <c r="EA96" s="505">
        <v>4.7500000000000001E-2</v>
      </c>
      <c r="EB96" s="505">
        <v>4.7500000000000001E-2</v>
      </c>
      <c r="EC96" s="505">
        <v>4.7500000000000001E-2</v>
      </c>
      <c r="ED96" s="505">
        <v>4.7500000000000001E-2</v>
      </c>
      <c r="EE96" s="505">
        <v>4.7500000000000001E-2</v>
      </c>
      <c r="EF96" s="505">
        <v>4.7500000000000001E-2</v>
      </c>
      <c r="EG96" s="505">
        <v>4.7500000000000001E-2</v>
      </c>
      <c r="EH96" s="505">
        <v>4.7500000000000001E-2</v>
      </c>
      <c r="EI96" s="505">
        <v>4.7500000000000001E-2</v>
      </c>
      <c r="EJ96" s="505">
        <v>4.7500000000000001E-2</v>
      </c>
      <c r="EK96" s="505">
        <v>4.7500000000000001E-2</v>
      </c>
      <c r="EL96" s="505">
        <v>4.7500000000000001E-2</v>
      </c>
      <c r="EM96" s="505">
        <v>4.7500000000000001E-2</v>
      </c>
      <c r="EN96" s="505">
        <v>4.7500000000000001E-2</v>
      </c>
      <c r="EO96" s="505">
        <v>4.7500000000000001E-2</v>
      </c>
      <c r="EP96" s="505">
        <v>4.7500000000000001E-2</v>
      </c>
      <c r="EQ96" s="505">
        <v>4.7500000000000001E-2</v>
      </c>
      <c r="ER96" s="505">
        <v>4.7500000000000001E-2</v>
      </c>
      <c r="ES96" s="505">
        <v>4.7500000000000001E-2</v>
      </c>
      <c r="ET96" s="505">
        <v>4.7500000000000001E-2</v>
      </c>
      <c r="EU96" s="505">
        <v>4.7500000000000001E-2</v>
      </c>
      <c r="EV96" s="505">
        <v>4.7500000000000001E-2</v>
      </c>
      <c r="EW96" s="505">
        <v>4.7500000000000001E-2</v>
      </c>
      <c r="EX96" s="505">
        <v>4.7500000000000001E-2</v>
      </c>
      <c r="EY96" s="505">
        <v>4.7500000000000001E-2</v>
      </c>
      <c r="EZ96" s="505">
        <v>4.7500000000000001E-2</v>
      </c>
      <c r="FA96" s="505">
        <v>4.7500000000000001E-2</v>
      </c>
      <c r="FB96" s="505">
        <v>4.7500000000000001E-2</v>
      </c>
      <c r="FC96" s="505">
        <v>4.7500000000000001E-2</v>
      </c>
      <c r="FD96" s="505">
        <v>4.7500000000000001E-2</v>
      </c>
      <c r="FE96" s="505">
        <v>4.7500000000000001E-2</v>
      </c>
      <c r="FF96" s="505">
        <v>4.7500000000000001E-2</v>
      </c>
      <c r="FG96" s="505">
        <v>4.7500000000000001E-2</v>
      </c>
      <c r="FH96" s="505">
        <v>4.7500000000000001E-2</v>
      </c>
      <c r="FI96" s="505">
        <v>4.7500000000000001E-2</v>
      </c>
      <c r="FJ96" s="505">
        <v>4.7500000000000001E-2</v>
      </c>
      <c r="FK96" s="505">
        <v>4.7500000000000001E-2</v>
      </c>
      <c r="FL96" s="505">
        <v>4.7500000000000001E-2</v>
      </c>
      <c r="FM96" s="505">
        <v>4.7500000000000001E-2</v>
      </c>
      <c r="FN96" s="505">
        <v>4.7500000000000001E-2</v>
      </c>
      <c r="FO96" s="505">
        <v>4.7500000000000001E-2</v>
      </c>
      <c r="FP96" s="505">
        <v>4.7500000000000001E-2</v>
      </c>
      <c r="FQ96" s="505">
        <v>4.7500000000000001E-2</v>
      </c>
      <c r="FR96" s="505">
        <v>4.7500000000000001E-2</v>
      </c>
      <c r="FS96" s="505">
        <v>4.7500000000000001E-2</v>
      </c>
      <c r="FT96" s="505">
        <v>4.7500000000000001E-2</v>
      </c>
      <c r="FU96" s="505">
        <v>4.7500000000000001E-2</v>
      </c>
      <c r="FV96" s="505">
        <v>4.7500000000000001E-2</v>
      </c>
      <c r="FW96" s="505">
        <v>4.7500000000000001E-2</v>
      </c>
      <c r="FX96" s="505">
        <v>4.7500000000000001E-2</v>
      </c>
      <c r="FY96" s="505">
        <v>4.7500000000000001E-2</v>
      </c>
      <c r="FZ96" s="505">
        <v>4.7500000000000001E-2</v>
      </c>
      <c r="GA96" s="505">
        <v>4.7500000000000001E-2</v>
      </c>
      <c r="GB96" s="505">
        <v>4.7500000000000001E-2</v>
      </c>
      <c r="GC96" s="505">
        <v>4.7500000000000001E-2</v>
      </c>
      <c r="GD96" s="505">
        <v>2.5000000000000001E-2</v>
      </c>
      <c r="GE96" s="505">
        <v>2.5000000000000001E-2</v>
      </c>
      <c r="GF96" s="505">
        <v>2.5000000000000001E-2</v>
      </c>
      <c r="GG96" s="505">
        <v>2.5000000000000001E-2</v>
      </c>
      <c r="GH96" s="505">
        <v>2.5000000000000001E-2</v>
      </c>
      <c r="GI96" s="505">
        <v>2.5000000000000001E-2</v>
      </c>
      <c r="GJ96" s="505">
        <v>2.5000000000000001E-2</v>
      </c>
      <c r="GK96" s="505">
        <v>2.5000000000000001E-2</v>
      </c>
      <c r="GL96" s="505">
        <v>2.5000000000000001E-2</v>
      </c>
      <c r="GM96" s="505">
        <v>2.5000000000000001E-2</v>
      </c>
      <c r="GN96" s="505">
        <v>2.5000000000000001E-2</v>
      </c>
      <c r="GO96" s="505">
        <v>2.5000000000000001E-2</v>
      </c>
      <c r="GP96" s="505">
        <v>2.5000000000000001E-2</v>
      </c>
      <c r="GQ96" s="505">
        <v>2.5000000000000001E-2</v>
      </c>
      <c r="GR96" s="505">
        <v>2.5000000000000001E-2</v>
      </c>
      <c r="GS96" s="505">
        <v>2.5000000000000001E-2</v>
      </c>
      <c r="GT96" s="505">
        <v>2.5000000000000001E-2</v>
      </c>
      <c r="GU96" s="505">
        <v>2.5000000000000001E-2</v>
      </c>
      <c r="GV96" s="505">
        <v>2.5000000000000001E-2</v>
      </c>
      <c r="GW96" s="505">
        <v>2.5000000000000001E-2</v>
      </c>
      <c r="GX96" s="505">
        <v>2.5000000000000001E-2</v>
      </c>
      <c r="GY96" s="505">
        <v>2.5000000000000001E-2</v>
      </c>
      <c r="GZ96" s="505">
        <v>2.5000000000000001E-2</v>
      </c>
      <c r="HA96" s="505">
        <v>2.5000000000000001E-2</v>
      </c>
      <c r="HB96" s="505">
        <v>2.5000000000000001E-2</v>
      </c>
      <c r="HC96" s="505">
        <v>2.5000000000000001E-2</v>
      </c>
      <c r="HD96" s="505">
        <v>2.5000000000000001E-2</v>
      </c>
      <c r="HE96" s="505">
        <v>2.5000000000000001E-2</v>
      </c>
      <c r="HF96" s="505">
        <v>2.5000000000000001E-2</v>
      </c>
      <c r="HG96" s="505">
        <v>2.5000000000000001E-2</v>
      </c>
      <c r="HH96" s="505">
        <v>2.5000000000000001E-2</v>
      </c>
      <c r="HI96" s="505">
        <v>2.5000000000000001E-2</v>
      </c>
      <c r="HJ96" s="505">
        <v>2.5000000000000001E-2</v>
      </c>
      <c r="HK96" s="505">
        <v>2.5000000000000001E-2</v>
      </c>
      <c r="HL96" s="505">
        <v>2.5000000000000001E-2</v>
      </c>
      <c r="HM96" s="505">
        <v>2.5000000000000001E-2</v>
      </c>
      <c r="HN96" s="505">
        <v>2.5000000000000001E-2</v>
      </c>
      <c r="HO96" s="505">
        <v>2.5000000000000001E-2</v>
      </c>
      <c r="HP96" s="473">
        <f t="shared" si="30"/>
        <v>0</v>
      </c>
      <c r="HQ96" s="1145"/>
    </row>
    <row r="97" spans="2:225">
      <c r="B97" s="1127"/>
      <c r="C97" s="733" t="s">
        <v>244</v>
      </c>
      <c r="D97" s="488">
        <v>3.6499999999999998E-2</v>
      </c>
      <c r="E97" s="488">
        <v>3.6499999999999998E-2</v>
      </c>
      <c r="F97" s="488">
        <v>3.6499999999999998E-2</v>
      </c>
      <c r="G97" s="488">
        <v>3.6499999999999998E-2</v>
      </c>
      <c r="H97" s="488">
        <v>3.6499999999999998E-2</v>
      </c>
      <c r="I97" s="488">
        <v>3.6499999999999998E-2</v>
      </c>
      <c r="J97" s="488">
        <v>3.6499999999999998E-2</v>
      </c>
      <c r="K97" s="488">
        <v>3.6499999999999998E-2</v>
      </c>
      <c r="L97" s="488">
        <v>3.6499999999999998E-2</v>
      </c>
      <c r="M97" s="488">
        <v>3.7499999999999999E-2</v>
      </c>
      <c r="N97" s="488">
        <v>3.7499999999999999E-2</v>
      </c>
      <c r="O97" s="494">
        <v>3.7499999999999999E-2</v>
      </c>
      <c r="P97" s="488">
        <v>3.85E-2</v>
      </c>
      <c r="Q97" s="488">
        <v>3.85E-2</v>
      </c>
      <c r="R97" s="488">
        <v>3.85E-2</v>
      </c>
      <c r="S97" s="488">
        <v>3.85E-2</v>
      </c>
      <c r="T97" s="494">
        <v>3.85E-2</v>
      </c>
      <c r="U97" s="488">
        <v>3.9E-2</v>
      </c>
      <c r="V97" s="488">
        <v>3.9E-2</v>
      </c>
      <c r="W97" s="503">
        <v>3.9E-2</v>
      </c>
      <c r="X97" s="478">
        <v>4.0500000000000001E-2</v>
      </c>
      <c r="Y97" s="478">
        <v>4.0500000000000001E-2</v>
      </c>
      <c r="Z97" s="478">
        <v>4.0500000000000001E-2</v>
      </c>
      <c r="AA97" s="478">
        <v>4.0500000000000001E-2</v>
      </c>
      <c r="AB97" s="478">
        <v>4.0500000000000001E-2</v>
      </c>
      <c r="AC97" s="478">
        <v>4.0500000000000001E-2</v>
      </c>
      <c r="AD97" s="478">
        <v>4.0500000000000001E-2</v>
      </c>
      <c r="AE97" s="503">
        <v>4.0500000000000001E-2</v>
      </c>
      <c r="AF97" s="478">
        <v>4.1000000000000002E-2</v>
      </c>
      <c r="AG97" s="478">
        <v>4.1000000000000002E-2</v>
      </c>
      <c r="AH97" s="503">
        <v>4.1000000000000002E-2</v>
      </c>
      <c r="AI97" s="478">
        <v>4.2000000000000003E-2</v>
      </c>
      <c r="AJ97" s="478">
        <v>4.2000000000000003E-2</v>
      </c>
      <c r="AK97" s="478">
        <v>4.2000000000000003E-2</v>
      </c>
      <c r="AL97" s="479">
        <v>4.2000000000000003E-2</v>
      </c>
      <c r="AM97" s="478">
        <v>4.2000000000000003E-2</v>
      </c>
      <c r="AN97" s="478">
        <v>4.2000000000000003E-2</v>
      </c>
      <c r="AO97" s="478">
        <v>4.2000000000000003E-2</v>
      </c>
      <c r="AP97" s="478">
        <v>4.2000000000000003E-2</v>
      </c>
      <c r="AQ97" s="478">
        <v>4.2000000000000003E-2</v>
      </c>
      <c r="AR97" s="478">
        <v>4.2000000000000003E-2</v>
      </c>
      <c r="AS97" s="478">
        <v>4.2000000000000003E-2</v>
      </c>
      <c r="AT97" s="478">
        <v>4.2000000000000003E-2</v>
      </c>
      <c r="AU97" s="478">
        <v>4.2000000000000003E-2</v>
      </c>
      <c r="AV97" s="503">
        <v>4.2000000000000003E-2</v>
      </c>
      <c r="AW97" s="479">
        <v>4.3499999999999997E-2</v>
      </c>
      <c r="AX97" s="479">
        <v>4.3499999999999997E-2</v>
      </c>
      <c r="AY97" s="479">
        <v>4.3499999999999997E-2</v>
      </c>
      <c r="AZ97" s="479">
        <v>4.3499999999999997E-2</v>
      </c>
      <c r="BA97" s="479">
        <v>4.3499999999999997E-2</v>
      </c>
      <c r="BB97" s="479">
        <v>4.3499999999999997E-2</v>
      </c>
      <c r="BC97" s="479">
        <v>4.3499999999999997E-2</v>
      </c>
      <c r="BD97" s="479">
        <v>4.3499999999999997E-2</v>
      </c>
      <c r="BE97" s="479">
        <v>4.3499999999999997E-2</v>
      </c>
      <c r="BF97" s="479">
        <v>4.3499999999999997E-2</v>
      </c>
      <c r="BG97" s="479">
        <v>4.3499999999999997E-2</v>
      </c>
      <c r="BH97" s="479">
        <v>4.3499999999999997E-2</v>
      </c>
      <c r="BI97" s="479">
        <v>4.3499999999999997E-2</v>
      </c>
      <c r="BJ97" s="479">
        <v>4.3499999999999997E-2</v>
      </c>
      <c r="BK97" s="479">
        <v>4.4999999999999998E-2</v>
      </c>
      <c r="BL97" s="479">
        <v>4.4999999999999998E-2</v>
      </c>
      <c r="BM97" s="479">
        <v>4.4999999999999998E-2</v>
      </c>
      <c r="BN97" s="479">
        <v>4.5999999999999999E-2</v>
      </c>
      <c r="BO97" s="479">
        <v>4.5999999999999999E-2</v>
      </c>
      <c r="BP97" s="479">
        <v>4.5999999999999999E-2</v>
      </c>
      <c r="BQ97" s="479">
        <v>4.5999999999999999E-2</v>
      </c>
      <c r="BR97" s="479">
        <v>4.5999999999999999E-2</v>
      </c>
      <c r="BS97" s="479">
        <v>4.5999999999999999E-2</v>
      </c>
      <c r="BT97" s="479">
        <v>4.5999999999999999E-2</v>
      </c>
      <c r="BU97" s="479">
        <v>4.5999999999999999E-2</v>
      </c>
      <c r="BV97" s="479">
        <v>4.5999999999999999E-2</v>
      </c>
      <c r="BW97" s="479">
        <v>4.5999999999999999E-2</v>
      </c>
      <c r="BX97" s="479">
        <v>4.5999999999999999E-2</v>
      </c>
      <c r="BY97" s="479">
        <v>4.5999999999999999E-2</v>
      </c>
      <c r="BZ97" s="479">
        <v>4.5999999999999999E-2</v>
      </c>
      <c r="CA97" s="479">
        <v>4.8500000000000001E-2</v>
      </c>
      <c r="CB97" s="479">
        <v>4.8500000000000001E-2</v>
      </c>
      <c r="CC97" s="479">
        <v>4.8500000000000001E-2</v>
      </c>
      <c r="CD97" s="479">
        <v>4.8500000000000001E-2</v>
      </c>
      <c r="CE97" s="479">
        <v>4.8500000000000001E-2</v>
      </c>
      <c r="CF97" s="479">
        <v>4.8500000000000001E-2</v>
      </c>
      <c r="CG97" s="479">
        <v>4.8500000000000001E-2</v>
      </c>
      <c r="CH97" s="479">
        <v>4.8500000000000001E-2</v>
      </c>
      <c r="CI97" s="479">
        <v>4.8500000000000001E-2</v>
      </c>
      <c r="CJ97" s="479">
        <v>4.8500000000000001E-2</v>
      </c>
      <c r="CK97" s="479">
        <v>4.8500000000000001E-2</v>
      </c>
      <c r="CL97" s="479">
        <v>4.8500000000000001E-2</v>
      </c>
      <c r="CM97" s="479">
        <v>4.8500000000000001E-2</v>
      </c>
      <c r="CN97" s="479">
        <v>4.8500000000000001E-2</v>
      </c>
      <c r="CO97" s="479">
        <v>4.8500000000000001E-2</v>
      </c>
      <c r="CP97" s="479">
        <v>4.8500000000000001E-2</v>
      </c>
      <c r="CQ97" s="479">
        <v>4.8500000000000001E-2</v>
      </c>
      <c r="CR97" s="479">
        <v>4.8500000000000001E-2</v>
      </c>
      <c r="CS97" s="479">
        <v>4.8500000000000001E-2</v>
      </c>
      <c r="CT97" s="479">
        <v>4.8500000000000001E-2</v>
      </c>
      <c r="CU97" s="505">
        <v>4.8500000000000001E-2</v>
      </c>
      <c r="CV97" s="505">
        <v>4.8500000000000001E-2</v>
      </c>
      <c r="CW97" s="505">
        <v>4.8500000000000001E-2</v>
      </c>
      <c r="CX97" s="505">
        <v>4.8500000000000001E-2</v>
      </c>
      <c r="CY97" s="505">
        <v>4.8500000000000001E-2</v>
      </c>
      <c r="CZ97" s="505">
        <v>4.8500000000000001E-2</v>
      </c>
      <c r="DA97" s="505">
        <v>4.8500000000000001E-2</v>
      </c>
      <c r="DB97" s="505">
        <v>4.8500000000000001E-2</v>
      </c>
      <c r="DC97" s="505">
        <v>4.8500000000000001E-2</v>
      </c>
      <c r="DD97" s="505">
        <v>4.8500000000000001E-2</v>
      </c>
      <c r="DE97" s="505">
        <v>4.8500000000000001E-2</v>
      </c>
      <c r="DF97" s="505">
        <v>4.8500000000000001E-2</v>
      </c>
      <c r="DG97" s="505">
        <v>4.8500000000000001E-2</v>
      </c>
      <c r="DH97" s="505">
        <v>4.8500000000000001E-2</v>
      </c>
      <c r="DI97" s="505">
        <v>4.8500000000000001E-2</v>
      </c>
      <c r="DJ97" s="505">
        <v>4.8500000000000001E-2</v>
      </c>
      <c r="DK97" s="505">
        <v>4.8500000000000001E-2</v>
      </c>
      <c r="DL97" s="505">
        <v>4.8500000000000001E-2</v>
      </c>
      <c r="DM97" s="505">
        <v>4.8500000000000001E-2</v>
      </c>
      <c r="DN97" s="505">
        <v>4.8500000000000001E-2</v>
      </c>
      <c r="DO97" s="505">
        <v>4.8500000000000001E-2</v>
      </c>
      <c r="DP97" s="505">
        <v>4.8500000000000001E-2</v>
      </c>
      <c r="DQ97" s="505">
        <v>4.8500000000000001E-2</v>
      </c>
      <c r="DR97" s="505">
        <v>4.8500000000000001E-2</v>
      </c>
      <c r="DS97" s="505">
        <v>4.8500000000000001E-2</v>
      </c>
      <c r="DT97" s="505">
        <v>4.8500000000000001E-2</v>
      </c>
      <c r="DU97" s="505">
        <v>4.8500000000000001E-2</v>
      </c>
      <c r="DV97" s="505">
        <v>4.8500000000000001E-2</v>
      </c>
      <c r="DW97" s="505">
        <v>4.8500000000000001E-2</v>
      </c>
      <c r="DX97" s="505">
        <v>4.8500000000000001E-2</v>
      </c>
      <c r="DY97" s="505">
        <v>4.8500000000000001E-2</v>
      </c>
      <c r="DZ97" s="505">
        <v>4.8500000000000001E-2</v>
      </c>
      <c r="EA97" s="505">
        <v>4.8500000000000001E-2</v>
      </c>
      <c r="EB97" s="505">
        <v>4.8500000000000001E-2</v>
      </c>
      <c r="EC97" s="505">
        <v>4.8500000000000001E-2</v>
      </c>
      <c r="ED97" s="505">
        <v>4.8500000000000001E-2</v>
      </c>
      <c r="EE97" s="505">
        <v>4.8500000000000001E-2</v>
      </c>
      <c r="EF97" s="505">
        <v>4.8500000000000001E-2</v>
      </c>
      <c r="EG97" s="505">
        <v>4.8500000000000001E-2</v>
      </c>
      <c r="EH97" s="505">
        <v>4.8500000000000001E-2</v>
      </c>
      <c r="EI97" s="505">
        <v>4.8500000000000001E-2</v>
      </c>
      <c r="EJ97" s="505">
        <v>4.8500000000000001E-2</v>
      </c>
      <c r="EK97" s="505">
        <v>4.8500000000000001E-2</v>
      </c>
      <c r="EL97" s="505">
        <v>4.8500000000000001E-2</v>
      </c>
      <c r="EM97" s="505">
        <v>4.8500000000000001E-2</v>
      </c>
      <c r="EN97" s="505">
        <v>4.8500000000000001E-2</v>
      </c>
      <c r="EO97" s="505">
        <v>4.8500000000000001E-2</v>
      </c>
      <c r="EP97" s="505">
        <v>4.8500000000000001E-2</v>
      </c>
      <c r="EQ97" s="505">
        <v>4.8500000000000001E-2</v>
      </c>
      <c r="ER97" s="505">
        <v>4.8500000000000001E-2</v>
      </c>
      <c r="ES97" s="505">
        <v>4.8500000000000001E-2</v>
      </c>
      <c r="ET97" s="505">
        <v>4.8500000000000001E-2</v>
      </c>
      <c r="EU97" s="505">
        <v>4.8500000000000001E-2</v>
      </c>
      <c r="EV97" s="505">
        <v>4.8500000000000001E-2</v>
      </c>
      <c r="EW97" s="505">
        <v>4.8500000000000001E-2</v>
      </c>
      <c r="EX97" s="505">
        <v>4.8500000000000001E-2</v>
      </c>
      <c r="EY97" s="505">
        <v>4.8500000000000001E-2</v>
      </c>
      <c r="EZ97" s="505">
        <v>4.8500000000000001E-2</v>
      </c>
      <c r="FA97" s="505">
        <v>4.8500000000000001E-2</v>
      </c>
      <c r="FB97" s="505">
        <v>4.8500000000000001E-2</v>
      </c>
      <c r="FC97" s="505">
        <v>4.8500000000000001E-2</v>
      </c>
      <c r="FD97" s="505">
        <v>4.8500000000000001E-2</v>
      </c>
      <c r="FE97" s="505">
        <v>4.8500000000000001E-2</v>
      </c>
      <c r="FF97" s="505">
        <v>4.8500000000000001E-2</v>
      </c>
      <c r="FG97" s="505">
        <v>4.8500000000000001E-2</v>
      </c>
      <c r="FH97" s="505">
        <v>4.8500000000000001E-2</v>
      </c>
      <c r="FI97" s="505">
        <v>4.8500000000000001E-2</v>
      </c>
      <c r="FJ97" s="505">
        <v>4.8500000000000001E-2</v>
      </c>
      <c r="FK97" s="505">
        <v>4.8500000000000001E-2</v>
      </c>
      <c r="FL97" s="505">
        <v>4.8500000000000001E-2</v>
      </c>
      <c r="FM97" s="505">
        <v>4.8500000000000001E-2</v>
      </c>
      <c r="FN97" s="505">
        <v>4.8500000000000001E-2</v>
      </c>
      <c r="FO97" s="505">
        <v>4.8500000000000001E-2</v>
      </c>
      <c r="FP97" s="505">
        <v>4.8500000000000001E-2</v>
      </c>
      <c r="FQ97" s="505">
        <v>4.8500000000000001E-2</v>
      </c>
      <c r="FR97" s="505">
        <v>4.8500000000000001E-2</v>
      </c>
      <c r="FS97" s="505">
        <v>4.8500000000000001E-2</v>
      </c>
      <c r="FT97" s="505">
        <v>4.8500000000000001E-2</v>
      </c>
      <c r="FU97" s="505">
        <v>4.8500000000000001E-2</v>
      </c>
      <c r="FV97" s="505">
        <v>4.8500000000000001E-2</v>
      </c>
      <c r="FW97" s="505">
        <v>4.8500000000000001E-2</v>
      </c>
      <c r="FX97" s="505">
        <v>4.8500000000000001E-2</v>
      </c>
      <c r="FY97" s="505">
        <v>4.8500000000000001E-2</v>
      </c>
      <c r="FZ97" s="505">
        <v>4.8500000000000001E-2</v>
      </c>
      <c r="GA97" s="505">
        <v>4.8500000000000001E-2</v>
      </c>
      <c r="GB97" s="505">
        <v>4.8500000000000001E-2</v>
      </c>
      <c r="GC97" s="505">
        <v>4.8500000000000001E-2</v>
      </c>
      <c r="GD97" s="505">
        <v>2.5999999999999999E-2</v>
      </c>
      <c r="GE97" s="505">
        <v>2.5999999999999999E-2</v>
      </c>
      <c r="GF97" s="505">
        <v>2.5999999999999999E-2</v>
      </c>
      <c r="GG97" s="505">
        <v>2.5999999999999999E-2</v>
      </c>
      <c r="GH97" s="505">
        <v>2.5999999999999999E-2</v>
      </c>
      <c r="GI97" s="505">
        <v>2.5999999999999999E-2</v>
      </c>
      <c r="GJ97" s="505">
        <v>2.5999999999999999E-2</v>
      </c>
      <c r="GK97" s="505">
        <v>2.5999999999999999E-2</v>
      </c>
      <c r="GL97" s="505">
        <v>2.5999999999999999E-2</v>
      </c>
      <c r="GM97" s="505">
        <v>2.5999999999999999E-2</v>
      </c>
      <c r="GN97" s="505">
        <v>2.5999999999999999E-2</v>
      </c>
      <c r="GO97" s="505">
        <v>2.5999999999999999E-2</v>
      </c>
      <c r="GP97" s="505">
        <v>2.5999999999999999E-2</v>
      </c>
      <c r="GQ97" s="505">
        <v>2.5999999999999999E-2</v>
      </c>
      <c r="GR97" s="505">
        <v>2.5999999999999999E-2</v>
      </c>
      <c r="GS97" s="505">
        <v>2.5999999999999999E-2</v>
      </c>
      <c r="GT97" s="505">
        <v>2.5999999999999999E-2</v>
      </c>
      <c r="GU97" s="505">
        <v>2.5999999999999999E-2</v>
      </c>
      <c r="GV97" s="505">
        <v>2.5999999999999999E-2</v>
      </c>
      <c r="GW97" s="505">
        <v>2.5999999999999999E-2</v>
      </c>
      <c r="GX97" s="505">
        <v>2.5999999999999999E-2</v>
      </c>
      <c r="GY97" s="505">
        <v>2.5999999999999999E-2</v>
      </c>
      <c r="GZ97" s="505">
        <v>2.5999999999999999E-2</v>
      </c>
      <c r="HA97" s="505">
        <v>2.5999999999999999E-2</v>
      </c>
      <c r="HB97" s="505">
        <v>2.5999999999999999E-2</v>
      </c>
      <c r="HC97" s="505">
        <v>2.5999999999999999E-2</v>
      </c>
      <c r="HD97" s="505">
        <v>2.5999999999999999E-2</v>
      </c>
      <c r="HE97" s="505">
        <v>2.5999999999999999E-2</v>
      </c>
      <c r="HF97" s="505">
        <v>2.5999999999999999E-2</v>
      </c>
      <c r="HG97" s="505">
        <v>2.5999999999999999E-2</v>
      </c>
      <c r="HH97" s="505">
        <v>2.5999999999999999E-2</v>
      </c>
      <c r="HI97" s="505">
        <v>2.5999999999999999E-2</v>
      </c>
      <c r="HJ97" s="505">
        <v>2.5999999999999999E-2</v>
      </c>
      <c r="HK97" s="505">
        <v>2.5999999999999999E-2</v>
      </c>
      <c r="HL97" s="505">
        <v>2.5999999999999999E-2</v>
      </c>
      <c r="HM97" s="505">
        <v>2.5999999999999999E-2</v>
      </c>
      <c r="HN97" s="505">
        <v>2.5999999999999999E-2</v>
      </c>
      <c r="HO97" s="505">
        <v>2.5999999999999999E-2</v>
      </c>
      <c r="HP97" s="473">
        <f t="shared" si="30"/>
        <v>0</v>
      </c>
      <c r="HQ97" s="1147"/>
    </row>
    <row r="98" spans="2:225">
      <c r="B98" s="1129" t="s">
        <v>26</v>
      </c>
      <c r="C98" s="730" t="s">
        <v>243</v>
      </c>
      <c r="D98" s="500">
        <v>3.27E-2</v>
      </c>
      <c r="E98" s="500">
        <v>3.27E-2</v>
      </c>
      <c r="F98" s="502">
        <v>3.27E-2</v>
      </c>
      <c r="G98" s="502">
        <v>3.2599999999999997E-2</v>
      </c>
      <c r="H98" s="502">
        <v>3.2399999999999998E-2</v>
      </c>
      <c r="I98" s="502">
        <v>3.2599999999999997E-2</v>
      </c>
      <c r="J98" s="500">
        <v>3.27E-2</v>
      </c>
      <c r="K98" s="500">
        <v>3.27E-2</v>
      </c>
      <c r="L98" s="502">
        <v>3.27E-2</v>
      </c>
      <c r="M98" s="502">
        <v>3.2500000000000001E-2</v>
      </c>
      <c r="N98" s="502">
        <v>3.2599999999999997E-2</v>
      </c>
      <c r="O98" s="502">
        <v>3.2899999999999999E-2</v>
      </c>
      <c r="P98" s="502">
        <v>3.3000000000000002E-2</v>
      </c>
      <c r="Q98" s="502">
        <v>3.3399999999999999E-2</v>
      </c>
      <c r="R98" s="502">
        <v>3.3700000000000001E-2</v>
      </c>
      <c r="S98" s="502">
        <v>3.4200000000000001E-2</v>
      </c>
      <c r="T98" s="502">
        <v>3.49E-2</v>
      </c>
      <c r="U98" s="502">
        <v>3.44E-2</v>
      </c>
      <c r="V98" s="502">
        <v>3.49E-2</v>
      </c>
      <c r="W98" s="502">
        <v>3.44E-2</v>
      </c>
      <c r="X98" s="500">
        <v>3.4599999999999999E-2</v>
      </c>
      <c r="Y98" s="502">
        <v>3.49E-2</v>
      </c>
      <c r="Z98" s="502">
        <v>3.5400000000000001E-2</v>
      </c>
      <c r="AA98" s="502">
        <v>3.56E-2</v>
      </c>
      <c r="AB98" s="502">
        <v>3.5999999999999997E-2</v>
      </c>
      <c r="AC98" s="502">
        <v>3.4999999999999996E-2</v>
      </c>
      <c r="AD98" s="502">
        <v>3.5299999999999998E-2</v>
      </c>
      <c r="AE98" s="502">
        <v>3.6299999999999999E-2</v>
      </c>
      <c r="AF98" s="502">
        <v>3.6700000000000003E-2</v>
      </c>
      <c r="AG98" s="500">
        <v>3.7100000000000001E-2</v>
      </c>
      <c r="AH98" s="500">
        <v>3.7100000000000001E-2</v>
      </c>
      <c r="AI98" s="502">
        <v>3.7100000000000001E-2</v>
      </c>
      <c r="AJ98" s="500">
        <v>3.78E-2</v>
      </c>
      <c r="AK98" s="500">
        <v>3.7900000000000003E-2</v>
      </c>
      <c r="AL98" s="502">
        <v>3.7900000000000003E-2</v>
      </c>
      <c r="AM98" s="502">
        <v>3.7999999999999999E-2</v>
      </c>
      <c r="AN98" s="500">
        <v>3.7699999999999997E-2</v>
      </c>
      <c r="AO98" s="502">
        <v>3.7699999999999997E-2</v>
      </c>
      <c r="AP98" s="500">
        <v>3.9199999999999999E-2</v>
      </c>
      <c r="AQ98" s="500">
        <v>3.9199999999999999E-2</v>
      </c>
      <c r="AR98" s="502">
        <v>3.9199999999999999E-2</v>
      </c>
      <c r="AS98" s="500">
        <v>3.9300000000000002E-2</v>
      </c>
      <c r="AT98" s="500">
        <v>3.9300000000000002E-2</v>
      </c>
      <c r="AU98" s="500">
        <v>3.9300000000000002E-2</v>
      </c>
      <c r="AV98" s="502">
        <v>3.9E-2</v>
      </c>
      <c r="AW98" s="501">
        <v>3.8899999999999997E-2</v>
      </c>
      <c r="AX98" s="501">
        <v>3.8899999999999997E-2</v>
      </c>
      <c r="AY98" s="501">
        <v>3.8899999999999997E-2</v>
      </c>
      <c r="AZ98" s="501">
        <v>3.8899999999999997E-2</v>
      </c>
      <c r="BA98" s="501">
        <v>3.8899999999999997E-2</v>
      </c>
      <c r="BB98" s="501">
        <v>3.8899999999999997E-2</v>
      </c>
      <c r="BC98" s="501">
        <v>3.8899999999999997E-2</v>
      </c>
      <c r="BD98" s="501">
        <v>3.8800000000000001E-2</v>
      </c>
      <c r="BE98" s="501">
        <v>3.8800000000000001E-2</v>
      </c>
      <c r="BF98" s="501">
        <v>3.8800000000000001E-2</v>
      </c>
      <c r="BG98" s="501">
        <v>3.8300000000000001E-2</v>
      </c>
      <c r="BH98" s="501">
        <v>3.8300000000000001E-2</v>
      </c>
      <c r="BI98" s="501">
        <v>3.8300000000000001E-2</v>
      </c>
      <c r="BJ98" s="501">
        <v>3.8300000000000001E-2</v>
      </c>
      <c r="BK98" s="501">
        <v>3.8300000000000001E-2</v>
      </c>
      <c r="BL98" s="501">
        <v>3.85E-2</v>
      </c>
      <c r="BM98" s="501">
        <v>3.8899999999999997E-2</v>
      </c>
      <c r="BN98" s="501">
        <v>3.8899999999999997E-2</v>
      </c>
      <c r="BO98" s="501">
        <v>3.9399999999999998E-2</v>
      </c>
      <c r="BP98" s="501">
        <v>4.0500000000000001E-2</v>
      </c>
      <c r="BQ98" s="501">
        <v>4.0500000000000001E-2</v>
      </c>
      <c r="BR98" s="501">
        <v>4.0599999999999997E-2</v>
      </c>
      <c r="BS98" s="501">
        <v>4.0599999999999997E-2</v>
      </c>
      <c r="BT98" s="501">
        <v>4.1500000000000002E-2</v>
      </c>
      <c r="BU98" s="501">
        <v>4.1500000000000002E-2</v>
      </c>
      <c r="BV98" s="501">
        <v>4.1500000000000002E-2</v>
      </c>
      <c r="BW98" s="501">
        <v>4.1500000000000002E-2</v>
      </c>
      <c r="BX98" s="501">
        <v>4.1500000000000002E-2</v>
      </c>
      <c r="BY98" s="501">
        <v>4.1500000000000002E-2</v>
      </c>
      <c r="BZ98" s="501">
        <v>4.1500000000000002E-2</v>
      </c>
      <c r="CA98" s="501">
        <v>4.3299999999999998E-2</v>
      </c>
      <c r="CB98" s="501">
        <v>4.48E-2</v>
      </c>
      <c r="CC98" s="501">
        <v>4.5400000000000003E-2</v>
      </c>
      <c r="CD98" s="501">
        <v>4.5900000000000003E-2</v>
      </c>
      <c r="CE98" s="501">
        <v>4.65E-2</v>
      </c>
      <c r="CF98" s="501">
        <v>4.6699999999999998E-2</v>
      </c>
      <c r="CG98" s="501">
        <v>4.6800000000000001E-2</v>
      </c>
      <c r="CH98" s="501">
        <v>4.8000000000000001E-2</v>
      </c>
      <c r="CI98" s="501">
        <v>4.8300000000000003E-2</v>
      </c>
      <c r="CJ98" s="501">
        <v>4.8800000000000003E-2</v>
      </c>
      <c r="CK98" s="501">
        <v>4.8800000000000003E-2</v>
      </c>
      <c r="CL98" s="501">
        <v>4.9000000000000002E-2</v>
      </c>
      <c r="CM98" s="501">
        <v>4.9200000000000001E-2</v>
      </c>
      <c r="CN98" s="501">
        <v>4.9200000000000001E-2</v>
      </c>
      <c r="CO98" s="501">
        <v>4.9299999999999997E-2</v>
      </c>
      <c r="CP98" s="501">
        <v>4.9200000000000001E-2</v>
      </c>
      <c r="CQ98" s="501">
        <v>4.9299999999999997E-2</v>
      </c>
      <c r="CR98" s="501">
        <v>4.9099999999999998E-2</v>
      </c>
      <c r="CS98" s="501">
        <v>4.8800000000000003E-2</v>
      </c>
      <c r="CT98" s="501">
        <v>4.87E-2</v>
      </c>
      <c r="CU98" s="484">
        <v>4.8800000000000003E-2</v>
      </c>
      <c r="CV98" s="501">
        <v>4.87E-2</v>
      </c>
      <c r="CW98" s="524">
        <v>4.87E-2</v>
      </c>
      <c r="CX98" s="482">
        <v>4.8500000000000001E-2</v>
      </c>
      <c r="CY98" s="482">
        <v>4.8599999999999997E-2</v>
      </c>
      <c r="CZ98" s="482">
        <v>4.8599999999999997E-2</v>
      </c>
      <c r="DA98" s="482">
        <v>4.8800000000000003E-2</v>
      </c>
      <c r="DB98" s="482">
        <v>4.8800000000000003E-2</v>
      </c>
      <c r="DC98" s="484">
        <v>4.8800000000000003E-2</v>
      </c>
      <c r="DD98" s="484">
        <v>4.8899999999999999E-2</v>
      </c>
      <c r="DE98" s="484">
        <v>4.8800000000000003E-2</v>
      </c>
      <c r="DF98" s="482">
        <v>4.8599999999999997E-2</v>
      </c>
      <c r="DG98" s="482">
        <v>4.87E-2</v>
      </c>
      <c r="DH98" s="482">
        <v>4.8099999999999997E-2</v>
      </c>
      <c r="DI98" s="482">
        <v>4.87E-2</v>
      </c>
      <c r="DJ98" s="482">
        <v>4.82E-2</v>
      </c>
      <c r="DK98" s="482">
        <v>4.8399999999999999E-2</v>
      </c>
      <c r="DL98" s="482">
        <v>4.8500000000000001E-2</v>
      </c>
      <c r="DM98" s="482">
        <v>4.87E-2</v>
      </c>
      <c r="DN98" s="482">
        <v>4.9099999999999998E-2</v>
      </c>
      <c r="DO98" s="482">
        <v>4.9099999999999998E-2</v>
      </c>
      <c r="DP98" s="482">
        <v>4.9000000000000002E-2</v>
      </c>
      <c r="DQ98" s="482">
        <v>4.9599999999999998E-2</v>
      </c>
      <c r="DR98" s="482">
        <v>4.9500000000000002E-2</v>
      </c>
      <c r="DS98" s="482">
        <v>4.9599999999999998E-2</v>
      </c>
      <c r="DT98" s="482">
        <v>4.9599999999999998E-2</v>
      </c>
      <c r="DU98" s="482">
        <v>4.9700000000000001E-2</v>
      </c>
      <c r="DV98" s="482">
        <v>4.7399999999999998E-2</v>
      </c>
      <c r="DW98" s="482">
        <v>4.99E-2</v>
      </c>
      <c r="DX98" s="482">
        <v>5.0200000000000002E-2</v>
      </c>
      <c r="DY98" s="482">
        <v>4.9799999999999997E-2</v>
      </c>
      <c r="DZ98" s="482">
        <v>5.0099999999999999E-2</v>
      </c>
      <c r="EA98" s="482">
        <v>5.0200000000000002E-2</v>
      </c>
      <c r="EB98" s="482">
        <v>0.05</v>
      </c>
      <c r="EC98" s="482">
        <v>5.0299999999999997E-2</v>
      </c>
      <c r="ED98" s="482">
        <v>4.99E-2</v>
      </c>
      <c r="EE98" s="482">
        <v>4.99E-2</v>
      </c>
      <c r="EF98" s="482">
        <v>4.9799999999999997E-2</v>
      </c>
      <c r="EG98" s="482">
        <v>4.9500000000000002E-2</v>
      </c>
      <c r="EH98" s="482">
        <v>4.9299999999999997E-2</v>
      </c>
      <c r="EI98" s="482">
        <v>3.4500000000000003E-2</v>
      </c>
      <c r="EJ98" s="482">
        <v>3.2800000000000003E-2</v>
      </c>
      <c r="EK98" s="482">
        <v>3.2099999999999997E-2</v>
      </c>
      <c r="EL98" s="482">
        <v>3.09E-2</v>
      </c>
      <c r="EM98" s="482">
        <v>2.9600000000000001E-2</v>
      </c>
      <c r="EN98" s="482">
        <v>4.65E-2</v>
      </c>
      <c r="EO98" s="482">
        <v>4.6399999999999997E-2</v>
      </c>
      <c r="EP98" s="482">
        <v>4.6199999999999998E-2</v>
      </c>
      <c r="EQ98" s="482">
        <v>4.5999999999999999E-2</v>
      </c>
      <c r="ER98" s="482">
        <v>4.5499999999999999E-2</v>
      </c>
      <c r="ES98" s="482">
        <v>4.5199999999999997E-2</v>
      </c>
      <c r="ET98" s="482">
        <v>4.41E-2</v>
      </c>
      <c r="EU98" s="482">
        <v>4.3700000000000003E-2</v>
      </c>
      <c r="EV98" s="482">
        <v>4.36E-2</v>
      </c>
      <c r="EW98" s="482">
        <v>4.3799999999999999E-2</v>
      </c>
      <c r="EX98" s="482">
        <v>4.48E-2</v>
      </c>
      <c r="EY98" s="482">
        <v>4.58E-2</v>
      </c>
      <c r="EZ98" s="482">
        <v>4.4900000000000002E-2</v>
      </c>
      <c r="FA98" s="484">
        <v>4.5100000000000001E-2</v>
      </c>
      <c r="FB98" s="484">
        <v>4.41E-2</v>
      </c>
      <c r="FC98" s="477">
        <v>4.3400000000000001E-2</v>
      </c>
      <c r="FD98" s="477">
        <v>4.2599999999999999E-2</v>
      </c>
      <c r="FE98" s="477">
        <v>4.1799999999999997E-2</v>
      </c>
      <c r="FF98" s="477">
        <v>4.2999999999999997E-2</v>
      </c>
      <c r="FG98" s="477">
        <v>4.2599999999999999E-2</v>
      </c>
      <c r="FH98" s="477">
        <v>4.2599999999999999E-2</v>
      </c>
      <c r="FI98" s="477">
        <v>4.2799999999999998E-2</v>
      </c>
      <c r="FJ98" s="477">
        <v>4.2299999999999997E-2</v>
      </c>
      <c r="FK98" s="477">
        <v>4.2500000000000003E-2</v>
      </c>
      <c r="FL98" s="477">
        <v>4.24E-2</v>
      </c>
      <c r="FM98" s="477">
        <v>4.2500000000000003E-2</v>
      </c>
      <c r="FN98" s="477">
        <v>4.3200000000000002E-2</v>
      </c>
      <c r="FO98" s="477">
        <v>4.2500000000000003E-2</v>
      </c>
      <c r="FP98" s="477">
        <v>4.2500000000000003E-2</v>
      </c>
      <c r="FQ98" s="477">
        <v>4.2000000000000003E-2</v>
      </c>
      <c r="FR98" s="477">
        <v>4.1000000000000002E-2</v>
      </c>
      <c r="FS98" s="477">
        <v>0.04</v>
      </c>
      <c r="FT98" s="477">
        <v>3.9399999999999998E-2</v>
      </c>
      <c r="FU98" s="477">
        <v>3.6400000000000002E-2</v>
      </c>
      <c r="FV98" s="482">
        <v>4.7600000000000003E-2</v>
      </c>
      <c r="FW98" s="482">
        <v>4.7600000000000003E-2</v>
      </c>
      <c r="FX98" s="482">
        <v>4.9099999999999998E-2</v>
      </c>
      <c r="FY98" s="482">
        <v>4.8500000000000001E-2</v>
      </c>
      <c r="FZ98" s="482">
        <v>4.82E-2</v>
      </c>
      <c r="GA98" s="482">
        <v>4.7800000000000002E-2</v>
      </c>
      <c r="GB98" s="482">
        <v>4.7699999999999999E-2</v>
      </c>
      <c r="GC98" s="482">
        <v>4.8000000000000001E-2</v>
      </c>
      <c r="GD98" s="477">
        <v>3.2099999999999997E-2</v>
      </c>
      <c r="GE98" s="477">
        <v>3.2099999999999997E-2</v>
      </c>
      <c r="GF98" s="477">
        <v>3.2099999999999997E-2</v>
      </c>
      <c r="GG98" s="477">
        <v>3.2099999999999997E-2</v>
      </c>
      <c r="GH98" s="477">
        <v>3.2099999999999997E-2</v>
      </c>
      <c r="GI98" s="477">
        <v>3.2099999999999997E-2</v>
      </c>
      <c r="GJ98" s="477">
        <v>3.2099999999999997E-2</v>
      </c>
      <c r="GK98" s="477">
        <v>3.2099999999999997E-2</v>
      </c>
      <c r="GL98" s="477">
        <v>3.2099999999999997E-2</v>
      </c>
      <c r="GM98" s="477">
        <v>3.2099999999999997E-2</v>
      </c>
      <c r="GN98" s="477">
        <v>3.2099999999999997E-2</v>
      </c>
      <c r="GO98" s="477">
        <v>3.2099999999999997E-2</v>
      </c>
      <c r="GP98" s="477">
        <v>3.2099999999999997E-2</v>
      </c>
      <c r="GQ98" s="477">
        <v>3.2099999999999997E-2</v>
      </c>
      <c r="GR98" s="477">
        <v>3.2099999999999997E-2</v>
      </c>
      <c r="GS98" s="477">
        <v>3.2099999999999997E-2</v>
      </c>
      <c r="GT98" s="477">
        <v>3.2099999999999997E-2</v>
      </c>
      <c r="GU98" s="477">
        <v>3.2099999999999997E-2</v>
      </c>
      <c r="GV98" s="477">
        <v>3.2099999999999997E-2</v>
      </c>
      <c r="GW98" s="477">
        <v>3.2099999999999997E-2</v>
      </c>
      <c r="GX98" s="477">
        <v>3.2099999999999997E-2</v>
      </c>
      <c r="GY98" s="477">
        <v>3.2099999999999997E-2</v>
      </c>
      <c r="GZ98" s="477">
        <v>3.2099999999999997E-2</v>
      </c>
      <c r="HA98" s="477">
        <v>3.2099999999999997E-2</v>
      </c>
      <c r="HB98" s="477">
        <v>3.2099999999999997E-2</v>
      </c>
      <c r="HC98" s="477">
        <v>3.2099999999999997E-2</v>
      </c>
      <c r="HD98" s="477">
        <v>3.2099999999999997E-2</v>
      </c>
      <c r="HE98" s="477">
        <v>3.2099999999999997E-2</v>
      </c>
      <c r="HF98" s="477">
        <v>3.2099999999999997E-2</v>
      </c>
      <c r="HG98" s="477">
        <v>3.2099999999999997E-2</v>
      </c>
      <c r="HH98" s="477">
        <v>3.2099999999999997E-2</v>
      </c>
      <c r="HI98" s="477">
        <v>3.2099999999999997E-2</v>
      </c>
      <c r="HJ98" s="477">
        <v>3.2099999999999997E-2</v>
      </c>
      <c r="HK98" s="477">
        <v>3.2099999999999997E-2</v>
      </c>
      <c r="HL98" s="477">
        <v>3.2099999999999997E-2</v>
      </c>
      <c r="HM98" s="477">
        <v>3.2099999999999997E-2</v>
      </c>
      <c r="HN98" s="477">
        <v>3.2099999999999997E-2</v>
      </c>
      <c r="HO98" s="477">
        <v>3.2099999999999997E-2</v>
      </c>
      <c r="HP98" s="473">
        <f t="shared" si="30"/>
        <v>0</v>
      </c>
      <c r="HQ98" s="1135"/>
    </row>
    <row r="99" spans="2:225">
      <c r="B99" s="1129"/>
      <c r="C99" s="730" t="s">
        <v>242</v>
      </c>
      <c r="D99" s="500">
        <v>3.27E-2</v>
      </c>
      <c r="E99" s="500">
        <v>3.27E-2</v>
      </c>
      <c r="F99" s="502">
        <v>3.27E-2</v>
      </c>
      <c r="G99" s="502">
        <v>3.2599999999999997E-2</v>
      </c>
      <c r="H99" s="502">
        <v>3.2399999999999998E-2</v>
      </c>
      <c r="I99" s="502">
        <v>3.2599999999999997E-2</v>
      </c>
      <c r="J99" s="500">
        <v>3.27E-2</v>
      </c>
      <c r="K99" s="500">
        <v>3.27E-2</v>
      </c>
      <c r="L99" s="502">
        <v>3.27E-2</v>
      </c>
      <c r="M99" s="502">
        <v>3.2500000000000001E-2</v>
      </c>
      <c r="N99" s="502">
        <v>3.2599999999999997E-2</v>
      </c>
      <c r="O99" s="502">
        <v>3.2899999999999999E-2</v>
      </c>
      <c r="P99" s="502">
        <v>3.3000000000000002E-2</v>
      </c>
      <c r="Q99" s="502">
        <v>3.3399999999999999E-2</v>
      </c>
      <c r="R99" s="502">
        <v>3.3700000000000001E-2</v>
      </c>
      <c r="S99" s="502">
        <v>3.4200000000000001E-2</v>
      </c>
      <c r="T99" s="502">
        <v>3.49E-2</v>
      </c>
      <c r="U99" s="502">
        <v>3.44E-2</v>
      </c>
      <c r="V99" s="502">
        <v>3.49E-2</v>
      </c>
      <c r="W99" s="502">
        <v>3.44E-2</v>
      </c>
      <c r="X99" s="500">
        <v>3.4599999999999999E-2</v>
      </c>
      <c r="Y99" s="502">
        <v>3.49E-2</v>
      </c>
      <c r="Z99" s="502">
        <v>3.5400000000000001E-2</v>
      </c>
      <c r="AA99" s="502">
        <v>3.56E-2</v>
      </c>
      <c r="AB99" s="502">
        <v>3.5999999999999997E-2</v>
      </c>
      <c r="AC99" s="502">
        <v>3.4999999999999996E-2</v>
      </c>
      <c r="AD99" s="502">
        <v>3.5299999999999998E-2</v>
      </c>
      <c r="AE99" s="502">
        <v>3.6299999999999999E-2</v>
      </c>
      <c r="AF99" s="502">
        <v>3.6700000000000003E-2</v>
      </c>
      <c r="AG99" s="500">
        <v>3.7100000000000001E-2</v>
      </c>
      <c r="AH99" s="500">
        <v>3.7100000000000001E-2</v>
      </c>
      <c r="AI99" s="502">
        <v>3.7100000000000001E-2</v>
      </c>
      <c r="AJ99" s="500">
        <v>3.78E-2</v>
      </c>
      <c r="AK99" s="500">
        <v>3.7900000000000003E-2</v>
      </c>
      <c r="AL99" s="502">
        <v>3.7900000000000003E-2</v>
      </c>
      <c r="AM99" s="502">
        <v>3.7999999999999999E-2</v>
      </c>
      <c r="AN99" s="500">
        <v>3.7699999999999997E-2</v>
      </c>
      <c r="AO99" s="502">
        <v>3.7699999999999997E-2</v>
      </c>
      <c r="AP99" s="500">
        <v>3.9199999999999999E-2</v>
      </c>
      <c r="AQ99" s="500">
        <v>3.9199999999999999E-2</v>
      </c>
      <c r="AR99" s="502">
        <v>3.9199999999999999E-2</v>
      </c>
      <c r="AS99" s="500">
        <v>3.9300000000000002E-2</v>
      </c>
      <c r="AT99" s="500">
        <f t="shared" ref="AT99:BC101" si="31">$W$98</f>
        <v>3.44E-2</v>
      </c>
      <c r="AU99" s="500">
        <f t="shared" si="31"/>
        <v>3.44E-2</v>
      </c>
      <c r="AV99" s="502">
        <f t="shared" si="31"/>
        <v>3.44E-2</v>
      </c>
      <c r="AW99" s="501">
        <f t="shared" si="31"/>
        <v>3.44E-2</v>
      </c>
      <c r="AX99" s="501">
        <f t="shared" si="31"/>
        <v>3.44E-2</v>
      </c>
      <c r="AY99" s="501">
        <f t="shared" si="31"/>
        <v>3.44E-2</v>
      </c>
      <c r="AZ99" s="501">
        <f t="shared" si="31"/>
        <v>3.44E-2</v>
      </c>
      <c r="BA99" s="501">
        <f t="shared" si="31"/>
        <v>3.44E-2</v>
      </c>
      <c r="BB99" s="501">
        <f t="shared" si="31"/>
        <v>3.44E-2</v>
      </c>
      <c r="BC99" s="501">
        <f t="shared" si="31"/>
        <v>3.44E-2</v>
      </c>
      <c r="BD99" s="501">
        <v>3.8800000000000001E-2</v>
      </c>
      <c r="BE99" s="501">
        <v>3.8800000000000001E-2</v>
      </c>
      <c r="BF99" s="501">
        <v>3.8800000000000001E-2</v>
      </c>
      <c r="BG99" s="501">
        <v>3.8300000000000001E-2</v>
      </c>
      <c r="BH99" s="501">
        <v>3.8300000000000001E-2</v>
      </c>
      <c r="BI99" s="501">
        <v>3.8300000000000001E-2</v>
      </c>
      <c r="BJ99" s="501">
        <v>3.8300000000000001E-2</v>
      </c>
      <c r="BK99" s="501">
        <v>3.8300000000000001E-2</v>
      </c>
      <c r="BL99" s="501">
        <v>3.85E-2</v>
      </c>
      <c r="BM99" s="501">
        <v>3.8899999999999997E-2</v>
      </c>
      <c r="BN99" s="501">
        <v>3.8899999999999997E-2</v>
      </c>
      <c r="BO99" s="501">
        <v>3.9399999999999998E-2</v>
      </c>
      <c r="BP99" s="501">
        <v>4.0500000000000001E-2</v>
      </c>
      <c r="BQ99" s="501">
        <v>4.0500000000000001E-2</v>
      </c>
      <c r="BR99" s="501">
        <v>4.0599999999999997E-2</v>
      </c>
      <c r="BS99" s="501">
        <v>4.0599999999999997E-2</v>
      </c>
      <c r="BT99" s="501">
        <v>4.1500000000000002E-2</v>
      </c>
      <c r="BU99" s="501">
        <v>4.1500000000000002E-2</v>
      </c>
      <c r="BV99" s="501">
        <v>4.1500000000000002E-2</v>
      </c>
      <c r="BW99" s="501">
        <v>4.1500000000000002E-2</v>
      </c>
      <c r="BX99" s="501">
        <v>4.1500000000000002E-2</v>
      </c>
      <c r="BY99" s="501">
        <v>4.1500000000000002E-2</v>
      </c>
      <c r="BZ99" s="501">
        <v>4.1500000000000002E-2</v>
      </c>
      <c r="CA99" s="501">
        <v>4.3299999999999998E-2</v>
      </c>
      <c r="CB99" s="501">
        <v>4.48E-2</v>
      </c>
      <c r="CC99" s="501">
        <v>4.5400000000000003E-2</v>
      </c>
      <c r="CD99" s="501">
        <v>4.5900000000000003E-2</v>
      </c>
      <c r="CE99" s="501">
        <v>4.65E-2</v>
      </c>
      <c r="CF99" s="501">
        <v>4.6699999999999998E-2</v>
      </c>
      <c r="CG99" s="501">
        <v>4.6800000000000001E-2</v>
      </c>
      <c r="CH99" s="501">
        <v>4.8000000000000001E-2</v>
      </c>
      <c r="CI99" s="501">
        <v>4.8300000000000003E-2</v>
      </c>
      <c r="CJ99" s="501">
        <v>4.8800000000000003E-2</v>
      </c>
      <c r="CK99" s="501">
        <v>4.8800000000000003E-2</v>
      </c>
      <c r="CL99" s="501">
        <v>4.9000000000000002E-2</v>
      </c>
      <c r="CM99" s="501">
        <v>4.9200000000000001E-2</v>
      </c>
      <c r="CN99" s="501">
        <v>4.9200000000000001E-2</v>
      </c>
      <c r="CO99" s="501">
        <v>4.9299999999999997E-2</v>
      </c>
      <c r="CP99" s="501">
        <v>4.9200000000000001E-2</v>
      </c>
      <c r="CQ99" s="501">
        <v>4.9299999999999997E-2</v>
      </c>
      <c r="CR99" s="501">
        <v>4.9099999999999998E-2</v>
      </c>
      <c r="CS99" s="501">
        <v>4.8800000000000003E-2</v>
      </c>
      <c r="CT99" s="501">
        <v>4.87E-2</v>
      </c>
      <c r="CU99" s="484">
        <v>4.8800000000000003E-2</v>
      </c>
      <c r="CV99" s="501">
        <v>4.87E-2</v>
      </c>
      <c r="CW99" s="524">
        <v>4.87E-2</v>
      </c>
      <c r="CX99" s="482">
        <v>4.8500000000000001E-2</v>
      </c>
      <c r="CY99" s="482">
        <v>4.8599999999999997E-2</v>
      </c>
      <c r="CZ99" s="482">
        <v>4.8599999999999997E-2</v>
      </c>
      <c r="DA99" s="482">
        <v>4.8800000000000003E-2</v>
      </c>
      <c r="DB99" s="482">
        <v>4.8800000000000003E-2</v>
      </c>
      <c r="DC99" s="484">
        <v>4.8800000000000003E-2</v>
      </c>
      <c r="DD99" s="484">
        <v>4.8899999999999999E-2</v>
      </c>
      <c r="DE99" s="484">
        <v>4.8800000000000003E-2</v>
      </c>
      <c r="DF99" s="482">
        <v>4.8599999999999997E-2</v>
      </c>
      <c r="DG99" s="482">
        <v>4.87E-2</v>
      </c>
      <c r="DH99" s="482">
        <v>4.8099999999999997E-2</v>
      </c>
      <c r="DI99" s="482">
        <v>4.87E-2</v>
      </c>
      <c r="DJ99" s="482">
        <v>4.82E-2</v>
      </c>
      <c r="DK99" s="482">
        <v>4.8399999999999999E-2</v>
      </c>
      <c r="DL99" s="482">
        <v>4.8500000000000001E-2</v>
      </c>
      <c r="DM99" s="482">
        <v>4.87E-2</v>
      </c>
      <c r="DN99" s="482">
        <v>4.9099999999999998E-2</v>
      </c>
      <c r="DO99" s="482">
        <v>4.9099999999999998E-2</v>
      </c>
      <c r="DP99" s="482">
        <v>4.9000000000000002E-2</v>
      </c>
      <c r="DQ99" s="482">
        <v>4.9599999999999998E-2</v>
      </c>
      <c r="DR99" s="482">
        <v>4.9500000000000002E-2</v>
      </c>
      <c r="DS99" s="482">
        <v>4.9599999999999998E-2</v>
      </c>
      <c r="DT99" s="482">
        <v>4.9599999999999998E-2</v>
      </c>
      <c r="DU99" s="482">
        <v>4.9700000000000001E-2</v>
      </c>
      <c r="DV99" s="482">
        <v>4.7399999999999998E-2</v>
      </c>
      <c r="DW99" s="482">
        <v>4.99E-2</v>
      </c>
      <c r="DX99" s="482">
        <v>5.0200000000000002E-2</v>
      </c>
      <c r="DY99" s="482">
        <v>4.9799999999999997E-2</v>
      </c>
      <c r="DZ99" s="482">
        <v>5.0099999999999999E-2</v>
      </c>
      <c r="EA99" s="482">
        <v>5.0200000000000002E-2</v>
      </c>
      <c r="EB99" s="482">
        <v>0.05</v>
      </c>
      <c r="EC99" s="482">
        <v>5.0299999999999997E-2</v>
      </c>
      <c r="ED99" s="482">
        <v>4.99E-2</v>
      </c>
      <c r="EE99" s="482">
        <v>4.99E-2</v>
      </c>
      <c r="EF99" s="482">
        <v>4.9799999999999997E-2</v>
      </c>
      <c r="EG99" s="482">
        <v>4.9500000000000002E-2</v>
      </c>
      <c r="EH99" s="482">
        <v>4.9299999999999997E-2</v>
      </c>
      <c r="EI99" s="482">
        <v>3.4500000000000003E-2</v>
      </c>
      <c r="EJ99" s="482">
        <v>3.2800000000000003E-2</v>
      </c>
      <c r="EK99" s="482">
        <v>3.2099999999999997E-2</v>
      </c>
      <c r="EL99" s="482">
        <v>3.09E-2</v>
      </c>
      <c r="EM99" s="482">
        <v>2.9600000000000001E-2</v>
      </c>
      <c r="EN99" s="482">
        <v>4.65E-2</v>
      </c>
      <c r="EO99" s="482">
        <v>4.6399999999999997E-2</v>
      </c>
      <c r="EP99" s="482">
        <v>4.6199999999999998E-2</v>
      </c>
      <c r="EQ99" s="482">
        <v>4.5999999999999999E-2</v>
      </c>
      <c r="ER99" s="482">
        <v>4.5499999999999999E-2</v>
      </c>
      <c r="ES99" s="482">
        <v>4.5199999999999997E-2</v>
      </c>
      <c r="ET99" s="482">
        <v>4.41E-2</v>
      </c>
      <c r="EU99" s="482">
        <v>4.3700000000000003E-2</v>
      </c>
      <c r="EV99" s="482">
        <v>4.36E-2</v>
      </c>
      <c r="EW99" s="482">
        <v>4.3799999999999999E-2</v>
      </c>
      <c r="EX99" s="482">
        <v>4.48E-2</v>
      </c>
      <c r="EY99" s="482">
        <v>4.58E-2</v>
      </c>
      <c r="EZ99" s="482">
        <v>4.4900000000000002E-2</v>
      </c>
      <c r="FA99" s="484">
        <v>4.5100000000000001E-2</v>
      </c>
      <c r="FB99" s="484">
        <v>4.41E-2</v>
      </c>
      <c r="FC99" s="477">
        <v>4.3400000000000001E-2</v>
      </c>
      <c r="FD99" s="477">
        <v>4.2599999999999999E-2</v>
      </c>
      <c r="FE99" s="477">
        <v>4.1799999999999997E-2</v>
      </c>
      <c r="FF99" s="477">
        <v>4.2999999999999997E-2</v>
      </c>
      <c r="FG99" s="477">
        <v>4.2599999999999999E-2</v>
      </c>
      <c r="FH99" s="477">
        <v>4.2599999999999999E-2</v>
      </c>
      <c r="FI99" s="477">
        <v>4.2799999999999998E-2</v>
      </c>
      <c r="FJ99" s="477">
        <v>4.2299999999999997E-2</v>
      </c>
      <c r="FK99" s="477">
        <v>4.2500000000000003E-2</v>
      </c>
      <c r="FL99" s="477">
        <v>4.24E-2</v>
      </c>
      <c r="FM99" s="477">
        <v>4.2500000000000003E-2</v>
      </c>
      <c r="FN99" s="477">
        <v>4.3200000000000002E-2</v>
      </c>
      <c r="FO99" s="477">
        <v>4.2500000000000003E-2</v>
      </c>
      <c r="FP99" s="477">
        <v>4.2500000000000003E-2</v>
      </c>
      <c r="FQ99" s="477">
        <v>4.2000000000000003E-2</v>
      </c>
      <c r="FR99" s="477">
        <v>4.1000000000000002E-2</v>
      </c>
      <c r="FS99" s="477">
        <v>0.04</v>
      </c>
      <c r="FT99" s="477">
        <v>3.9399999999999998E-2</v>
      </c>
      <c r="FU99" s="477">
        <v>3.6400000000000002E-2</v>
      </c>
      <c r="FV99" s="482">
        <v>4.7600000000000003E-2</v>
      </c>
      <c r="FW99" s="482">
        <v>4.7600000000000003E-2</v>
      </c>
      <c r="FX99" s="482">
        <v>4.9099999999999998E-2</v>
      </c>
      <c r="FY99" s="482">
        <v>4.8500000000000001E-2</v>
      </c>
      <c r="FZ99" s="482">
        <v>4.82E-2</v>
      </c>
      <c r="GA99" s="482">
        <v>4.7800000000000002E-2</v>
      </c>
      <c r="GB99" s="482">
        <v>4.7699999999999999E-2</v>
      </c>
      <c r="GC99" s="482">
        <v>4.8000000000000001E-2</v>
      </c>
      <c r="GD99" s="477">
        <v>3.2099999999999997E-2</v>
      </c>
      <c r="GE99" s="477">
        <v>3.2099999999999997E-2</v>
      </c>
      <c r="GF99" s="477">
        <v>3.2099999999999997E-2</v>
      </c>
      <c r="GG99" s="477">
        <v>3.2099999999999997E-2</v>
      </c>
      <c r="GH99" s="477">
        <v>3.2099999999999997E-2</v>
      </c>
      <c r="GI99" s="477">
        <v>3.2099999999999997E-2</v>
      </c>
      <c r="GJ99" s="477">
        <v>3.2099999999999997E-2</v>
      </c>
      <c r="GK99" s="477">
        <v>3.2099999999999997E-2</v>
      </c>
      <c r="GL99" s="477">
        <v>3.2099999999999997E-2</v>
      </c>
      <c r="GM99" s="477">
        <v>3.2099999999999997E-2</v>
      </c>
      <c r="GN99" s="477">
        <v>3.2099999999999997E-2</v>
      </c>
      <c r="GO99" s="477">
        <v>3.2099999999999997E-2</v>
      </c>
      <c r="GP99" s="477">
        <v>3.2099999999999997E-2</v>
      </c>
      <c r="GQ99" s="477">
        <v>3.2099999999999997E-2</v>
      </c>
      <c r="GR99" s="477">
        <v>3.2099999999999997E-2</v>
      </c>
      <c r="GS99" s="477">
        <v>3.2099999999999997E-2</v>
      </c>
      <c r="GT99" s="477">
        <v>3.2099999999999997E-2</v>
      </c>
      <c r="GU99" s="477">
        <v>3.2099999999999997E-2</v>
      </c>
      <c r="GV99" s="477">
        <v>3.2099999999999997E-2</v>
      </c>
      <c r="GW99" s="477">
        <v>3.2099999999999997E-2</v>
      </c>
      <c r="GX99" s="477">
        <v>3.2099999999999997E-2</v>
      </c>
      <c r="GY99" s="477">
        <v>3.2099999999999997E-2</v>
      </c>
      <c r="GZ99" s="477">
        <v>3.2099999999999997E-2</v>
      </c>
      <c r="HA99" s="477">
        <v>3.2099999999999997E-2</v>
      </c>
      <c r="HB99" s="477">
        <v>3.2099999999999997E-2</v>
      </c>
      <c r="HC99" s="477">
        <v>3.2099999999999997E-2</v>
      </c>
      <c r="HD99" s="477">
        <v>3.2099999999999997E-2</v>
      </c>
      <c r="HE99" s="477">
        <v>3.2099999999999997E-2</v>
      </c>
      <c r="HF99" s="477">
        <v>3.2099999999999997E-2</v>
      </c>
      <c r="HG99" s="477">
        <v>3.2099999999999997E-2</v>
      </c>
      <c r="HH99" s="477">
        <v>3.2099999999999997E-2</v>
      </c>
      <c r="HI99" s="477">
        <v>3.2099999999999997E-2</v>
      </c>
      <c r="HJ99" s="477">
        <v>3.2099999999999997E-2</v>
      </c>
      <c r="HK99" s="477">
        <v>3.2099999999999997E-2</v>
      </c>
      <c r="HL99" s="477">
        <v>3.2099999999999997E-2</v>
      </c>
      <c r="HM99" s="477">
        <v>3.2099999999999997E-2</v>
      </c>
      <c r="HN99" s="477">
        <v>3.2099999999999997E-2</v>
      </c>
      <c r="HO99" s="477">
        <v>3.2099999999999997E-2</v>
      </c>
      <c r="HP99" s="473">
        <f t="shared" si="30"/>
        <v>0</v>
      </c>
      <c r="HQ99" s="1136"/>
    </row>
    <row r="100" spans="2:225">
      <c r="B100" s="1129"/>
      <c r="C100" s="730" t="s">
        <v>241</v>
      </c>
      <c r="D100" s="500">
        <v>3.27E-2</v>
      </c>
      <c r="E100" s="500">
        <v>3.27E-2</v>
      </c>
      <c r="F100" s="502">
        <v>3.27E-2</v>
      </c>
      <c r="G100" s="502">
        <v>3.2599999999999997E-2</v>
      </c>
      <c r="H100" s="502">
        <v>3.2399999999999998E-2</v>
      </c>
      <c r="I100" s="502">
        <v>3.2599999999999997E-2</v>
      </c>
      <c r="J100" s="500">
        <v>3.27E-2</v>
      </c>
      <c r="K100" s="500">
        <v>3.27E-2</v>
      </c>
      <c r="L100" s="502">
        <v>3.27E-2</v>
      </c>
      <c r="M100" s="502">
        <v>3.2500000000000001E-2</v>
      </c>
      <c r="N100" s="502">
        <v>3.2599999999999997E-2</v>
      </c>
      <c r="O100" s="502">
        <v>3.2899999999999999E-2</v>
      </c>
      <c r="P100" s="502">
        <v>3.3000000000000002E-2</v>
      </c>
      <c r="Q100" s="502">
        <v>3.3399999999999999E-2</v>
      </c>
      <c r="R100" s="502">
        <v>3.3700000000000001E-2</v>
      </c>
      <c r="S100" s="502">
        <v>3.4200000000000001E-2</v>
      </c>
      <c r="T100" s="502">
        <v>3.49E-2</v>
      </c>
      <c r="U100" s="502">
        <v>3.44E-2</v>
      </c>
      <c r="V100" s="502">
        <v>3.49E-2</v>
      </c>
      <c r="W100" s="502">
        <v>3.44E-2</v>
      </c>
      <c r="X100" s="500">
        <v>3.4599999999999999E-2</v>
      </c>
      <c r="Y100" s="502">
        <v>3.49E-2</v>
      </c>
      <c r="Z100" s="502">
        <v>3.5400000000000001E-2</v>
      </c>
      <c r="AA100" s="502">
        <v>3.56E-2</v>
      </c>
      <c r="AB100" s="502">
        <v>3.5999999999999997E-2</v>
      </c>
      <c r="AC100" s="502">
        <v>3.4999999999999996E-2</v>
      </c>
      <c r="AD100" s="502">
        <v>3.5299999999999998E-2</v>
      </c>
      <c r="AE100" s="502">
        <v>3.6299999999999999E-2</v>
      </c>
      <c r="AF100" s="502">
        <v>3.6700000000000003E-2</v>
      </c>
      <c r="AG100" s="500">
        <v>3.7100000000000001E-2</v>
      </c>
      <c r="AH100" s="500">
        <v>3.7100000000000001E-2</v>
      </c>
      <c r="AI100" s="502">
        <v>3.7100000000000001E-2</v>
      </c>
      <c r="AJ100" s="500">
        <v>3.78E-2</v>
      </c>
      <c r="AK100" s="500">
        <v>3.7900000000000003E-2</v>
      </c>
      <c r="AL100" s="502">
        <v>3.7900000000000003E-2</v>
      </c>
      <c r="AM100" s="502">
        <v>3.7999999999999999E-2</v>
      </c>
      <c r="AN100" s="500">
        <v>3.7699999999999997E-2</v>
      </c>
      <c r="AO100" s="502">
        <v>3.7699999999999997E-2</v>
      </c>
      <c r="AP100" s="500">
        <v>3.9199999999999999E-2</v>
      </c>
      <c r="AQ100" s="500">
        <v>3.9199999999999999E-2</v>
      </c>
      <c r="AR100" s="502">
        <v>3.9199999999999999E-2</v>
      </c>
      <c r="AS100" s="500">
        <v>3.9300000000000002E-2</v>
      </c>
      <c r="AT100" s="500">
        <f t="shared" si="31"/>
        <v>3.44E-2</v>
      </c>
      <c r="AU100" s="500">
        <f t="shared" si="31"/>
        <v>3.44E-2</v>
      </c>
      <c r="AV100" s="502">
        <f t="shared" si="31"/>
        <v>3.44E-2</v>
      </c>
      <c r="AW100" s="501">
        <f t="shared" si="31"/>
        <v>3.44E-2</v>
      </c>
      <c r="AX100" s="501">
        <f t="shared" si="31"/>
        <v>3.44E-2</v>
      </c>
      <c r="AY100" s="501">
        <f t="shared" si="31"/>
        <v>3.44E-2</v>
      </c>
      <c r="AZ100" s="501">
        <f t="shared" si="31"/>
        <v>3.44E-2</v>
      </c>
      <c r="BA100" s="501">
        <f t="shared" si="31"/>
        <v>3.44E-2</v>
      </c>
      <c r="BB100" s="501">
        <f t="shared" si="31"/>
        <v>3.44E-2</v>
      </c>
      <c r="BC100" s="501">
        <f t="shared" si="31"/>
        <v>3.44E-2</v>
      </c>
      <c r="BD100" s="501">
        <v>3.8800000000000001E-2</v>
      </c>
      <c r="BE100" s="501">
        <v>3.8800000000000001E-2</v>
      </c>
      <c r="BF100" s="501">
        <v>3.8800000000000001E-2</v>
      </c>
      <c r="BG100" s="501">
        <v>3.8300000000000001E-2</v>
      </c>
      <c r="BH100" s="501">
        <v>3.8300000000000001E-2</v>
      </c>
      <c r="BI100" s="501">
        <v>3.8300000000000001E-2</v>
      </c>
      <c r="BJ100" s="501">
        <v>3.8300000000000001E-2</v>
      </c>
      <c r="BK100" s="501">
        <v>3.8300000000000001E-2</v>
      </c>
      <c r="BL100" s="501">
        <v>3.85E-2</v>
      </c>
      <c r="BM100" s="501">
        <v>3.8899999999999997E-2</v>
      </c>
      <c r="BN100" s="501">
        <v>3.8899999999999997E-2</v>
      </c>
      <c r="BO100" s="501">
        <v>3.9399999999999998E-2</v>
      </c>
      <c r="BP100" s="501">
        <v>4.0500000000000001E-2</v>
      </c>
      <c r="BQ100" s="501">
        <v>4.0500000000000001E-2</v>
      </c>
      <c r="BR100" s="501">
        <v>4.0599999999999997E-2</v>
      </c>
      <c r="BS100" s="501">
        <v>4.0599999999999997E-2</v>
      </c>
      <c r="BT100" s="501">
        <v>4.1500000000000002E-2</v>
      </c>
      <c r="BU100" s="501">
        <v>4.1500000000000002E-2</v>
      </c>
      <c r="BV100" s="501">
        <v>4.1500000000000002E-2</v>
      </c>
      <c r="BW100" s="501">
        <v>4.1500000000000002E-2</v>
      </c>
      <c r="BX100" s="501">
        <v>4.1500000000000002E-2</v>
      </c>
      <c r="BY100" s="501">
        <v>4.1500000000000002E-2</v>
      </c>
      <c r="BZ100" s="501">
        <v>4.1500000000000002E-2</v>
      </c>
      <c r="CA100" s="501">
        <v>4.3299999999999998E-2</v>
      </c>
      <c r="CB100" s="501">
        <v>4.48E-2</v>
      </c>
      <c r="CC100" s="501">
        <v>4.5400000000000003E-2</v>
      </c>
      <c r="CD100" s="501">
        <v>4.5900000000000003E-2</v>
      </c>
      <c r="CE100" s="501">
        <v>4.65E-2</v>
      </c>
      <c r="CF100" s="501">
        <v>4.6699999999999998E-2</v>
      </c>
      <c r="CG100" s="501">
        <v>4.6800000000000001E-2</v>
      </c>
      <c r="CH100" s="501">
        <v>4.8000000000000001E-2</v>
      </c>
      <c r="CI100" s="501">
        <v>4.8300000000000003E-2</v>
      </c>
      <c r="CJ100" s="501">
        <v>4.8800000000000003E-2</v>
      </c>
      <c r="CK100" s="501">
        <v>4.8800000000000003E-2</v>
      </c>
      <c r="CL100" s="501">
        <v>4.9000000000000002E-2</v>
      </c>
      <c r="CM100" s="501">
        <v>4.9200000000000001E-2</v>
      </c>
      <c r="CN100" s="501">
        <v>4.9200000000000001E-2</v>
      </c>
      <c r="CO100" s="501">
        <v>4.9299999999999997E-2</v>
      </c>
      <c r="CP100" s="501">
        <v>4.9200000000000001E-2</v>
      </c>
      <c r="CQ100" s="501">
        <v>4.9299999999999997E-2</v>
      </c>
      <c r="CR100" s="501">
        <v>4.9099999999999998E-2</v>
      </c>
      <c r="CS100" s="501">
        <v>4.8800000000000003E-2</v>
      </c>
      <c r="CT100" s="501">
        <v>4.87E-2</v>
      </c>
      <c r="CU100" s="484">
        <v>4.8800000000000003E-2</v>
      </c>
      <c r="CV100" s="501">
        <v>4.87E-2</v>
      </c>
      <c r="CW100" s="524">
        <v>4.87E-2</v>
      </c>
      <c r="CX100" s="482">
        <v>4.8500000000000001E-2</v>
      </c>
      <c r="CY100" s="482">
        <v>4.8599999999999997E-2</v>
      </c>
      <c r="CZ100" s="482">
        <v>4.8599999999999997E-2</v>
      </c>
      <c r="DA100" s="482">
        <v>4.8800000000000003E-2</v>
      </c>
      <c r="DB100" s="482">
        <v>4.8800000000000003E-2</v>
      </c>
      <c r="DC100" s="484">
        <v>4.8800000000000003E-2</v>
      </c>
      <c r="DD100" s="484">
        <v>4.8899999999999999E-2</v>
      </c>
      <c r="DE100" s="484">
        <v>4.8800000000000003E-2</v>
      </c>
      <c r="DF100" s="482">
        <v>4.8599999999999997E-2</v>
      </c>
      <c r="DG100" s="482">
        <v>4.87E-2</v>
      </c>
      <c r="DH100" s="482">
        <v>4.8099999999999997E-2</v>
      </c>
      <c r="DI100" s="482">
        <v>4.87E-2</v>
      </c>
      <c r="DJ100" s="482">
        <v>4.82E-2</v>
      </c>
      <c r="DK100" s="482">
        <v>4.8399999999999999E-2</v>
      </c>
      <c r="DL100" s="482">
        <v>4.8500000000000001E-2</v>
      </c>
      <c r="DM100" s="482">
        <v>4.87E-2</v>
      </c>
      <c r="DN100" s="482">
        <v>4.9099999999999998E-2</v>
      </c>
      <c r="DO100" s="482">
        <v>4.9099999999999998E-2</v>
      </c>
      <c r="DP100" s="482">
        <v>4.9000000000000002E-2</v>
      </c>
      <c r="DQ100" s="482">
        <v>4.9599999999999998E-2</v>
      </c>
      <c r="DR100" s="482">
        <v>4.9500000000000002E-2</v>
      </c>
      <c r="DS100" s="482">
        <v>4.9599999999999998E-2</v>
      </c>
      <c r="DT100" s="482">
        <v>4.9599999999999998E-2</v>
      </c>
      <c r="DU100" s="482">
        <v>4.9700000000000001E-2</v>
      </c>
      <c r="DV100" s="482">
        <v>4.7399999999999998E-2</v>
      </c>
      <c r="DW100" s="482">
        <v>4.99E-2</v>
      </c>
      <c r="DX100" s="482">
        <v>5.0200000000000002E-2</v>
      </c>
      <c r="DY100" s="482">
        <v>4.9799999999999997E-2</v>
      </c>
      <c r="DZ100" s="482">
        <v>5.0099999999999999E-2</v>
      </c>
      <c r="EA100" s="482">
        <v>5.0200000000000002E-2</v>
      </c>
      <c r="EB100" s="482">
        <v>0.05</v>
      </c>
      <c r="EC100" s="482">
        <v>5.0299999999999997E-2</v>
      </c>
      <c r="ED100" s="482">
        <v>4.99E-2</v>
      </c>
      <c r="EE100" s="482">
        <v>4.99E-2</v>
      </c>
      <c r="EF100" s="482">
        <v>4.9799999999999997E-2</v>
      </c>
      <c r="EG100" s="482">
        <v>4.9500000000000002E-2</v>
      </c>
      <c r="EH100" s="482">
        <v>4.9299999999999997E-2</v>
      </c>
      <c r="EI100" s="482">
        <v>3.4500000000000003E-2</v>
      </c>
      <c r="EJ100" s="482">
        <v>3.2800000000000003E-2</v>
      </c>
      <c r="EK100" s="482">
        <v>3.2099999999999997E-2</v>
      </c>
      <c r="EL100" s="482">
        <v>3.09E-2</v>
      </c>
      <c r="EM100" s="482">
        <v>2.9600000000000001E-2</v>
      </c>
      <c r="EN100" s="482">
        <v>4.65E-2</v>
      </c>
      <c r="EO100" s="482">
        <v>4.6399999999999997E-2</v>
      </c>
      <c r="EP100" s="482">
        <v>4.6199999999999998E-2</v>
      </c>
      <c r="EQ100" s="482">
        <v>4.5999999999999999E-2</v>
      </c>
      <c r="ER100" s="482">
        <v>4.5499999999999999E-2</v>
      </c>
      <c r="ES100" s="482">
        <v>4.5199999999999997E-2</v>
      </c>
      <c r="ET100" s="482">
        <v>4.41E-2</v>
      </c>
      <c r="EU100" s="482">
        <v>4.3700000000000003E-2</v>
      </c>
      <c r="EV100" s="482">
        <v>4.36E-2</v>
      </c>
      <c r="EW100" s="482">
        <v>4.3799999999999999E-2</v>
      </c>
      <c r="EX100" s="482">
        <v>4.48E-2</v>
      </c>
      <c r="EY100" s="482">
        <v>4.58E-2</v>
      </c>
      <c r="EZ100" s="482">
        <v>4.4900000000000002E-2</v>
      </c>
      <c r="FA100" s="484">
        <v>4.5100000000000001E-2</v>
      </c>
      <c r="FB100" s="484">
        <v>4.41E-2</v>
      </c>
      <c r="FC100" s="477">
        <v>4.3400000000000001E-2</v>
      </c>
      <c r="FD100" s="477">
        <v>4.2599999999999999E-2</v>
      </c>
      <c r="FE100" s="477">
        <v>4.1799999999999997E-2</v>
      </c>
      <c r="FF100" s="477">
        <v>4.2999999999999997E-2</v>
      </c>
      <c r="FG100" s="477">
        <v>4.2599999999999999E-2</v>
      </c>
      <c r="FH100" s="477">
        <v>4.2599999999999999E-2</v>
      </c>
      <c r="FI100" s="477">
        <v>4.2799999999999998E-2</v>
      </c>
      <c r="FJ100" s="477">
        <v>4.2299999999999997E-2</v>
      </c>
      <c r="FK100" s="477">
        <v>4.2500000000000003E-2</v>
      </c>
      <c r="FL100" s="477">
        <v>4.24E-2</v>
      </c>
      <c r="FM100" s="477">
        <v>4.2500000000000003E-2</v>
      </c>
      <c r="FN100" s="477">
        <v>4.3200000000000002E-2</v>
      </c>
      <c r="FO100" s="477">
        <v>4.2500000000000003E-2</v>
      </c>
      <c r="FP100" s="477">
        <v>4.2500000000000003E-2</v>
      </c>
      <c r="FQ100" s="477">
        <v>4.2000000000000003E-2</v>
      </c>
      <c r="FR100" s="477">
        <v>4.1000000000000002E-2</v>
      </c>
      <c r="FS100" s="477">
        <v>0.04</v>
      </c>
      <c r="FT100" s="477">
        <v>3.9399999999999998E-2</v>
      </c>
      <c r="FU100" s="477">
        <v>3.6400000000000002E-2</v>
      </c>
      <c r="FV100" s="482">
        <v>4.7600000000000003E-2</v>
      </c>
      <c r="FW100" s="482">
        <v>4.7600000000000003E-2</v>
      </c>
      <c r="FX100" s="482">
        <v>4.9099999999999998E-2</v>
      </c>
      <c r="FY100" s="482">
        <v>4.8500000000000001E-2</v>
      </c>
      <c r="FZ100" s="482">
        <v>4.82E-2</v>
      </c>
      <c r="GA100" s="482">
        <v>4.7800000000000002E-2</v>
      </c>
      <c r="GB100" s="482">
        <v>4.7699999999999999E-2</v>
      </c>
      <c r="GC100" s="482">
        <v>4.8000000000000001E-2</v>
      </c>
      <c r="GD100" s="477">
        <v>3.2099999999999997E-2</v>
      </c>
      <c r="GE100" s="477">
        <v>3.2099999999999997E-2</v>
      </c>
      <c r="GF100" s="477">
        <v>3.2099999999999997E-2</v>
      </c>
      <c r="GG100" s="477">
        <v>3.2099999999999997E-2</v>
      </c>
      <c r="GH100" s="477">
        <v>3.2099999999999997E-2</v>
      </c>
      <c r="GI100" s="477">
        <v>3.2099999999999997E-2</v>
      </c>
      <c r="GJ100" s="477">
        <v>3.2099999999999997E-2</v>
      </c>
      <c r="GK100" s="477">
        <v>3.2099999999999997E-2</v>
      </c>
      <c r="GL100" s="477">
        <v>3.2099999999999997E-2</v>
      </c>
      <c r="GM100" s="477">
        <v>3.2099999999999997E-2</v>
      </c>
      <c r="GN100" s="477">
        <v>3.2099999999999997E-2</v>
      </c>
      <c r="GO100" s="477">
        <v>3.2099999999999997E-2</v>
      </c>
      <c r="GP100" s="477">
        <v>3.2099999999999997E-2</v>
      </c>
      <c r="GQ100" s="477">
        <v>3.2099999999999997E-2</v>
      </c>
      <c r="GR100" s="477">
        <v>3.2099999999999997E-2</v>
      </c>
      <c r="GS100" s="477">
        <v>3.2099999999999997E-2</v>
      </c>
      <c r="GT100" s="477">
        <v>3.2099999999999997E-2</v>
      </c>
      <c r="GU100" s="477">
        <v>3.2099999999999997E-2</v>
      </c>
      <c r="GV100" s="477">
        <v>3.2099999999999997E-2</v>
      </c>
      <c r="GW100" s="477">
        <v>3.2099999999999997E-2</v>
      </c>
      <c r="GX100" s="477">
        <v>3.2099999999999997E-2</v>
      </c>
      <c r="GY100" s="477">
        <v>3.2099999999999997E-2</v>
      </c>
      <c r="GZ100" s="477">
        <v>3.2099999999999997E-2</v>
      </c>
      <c r="HA100" s="477">
        <v>3.2099999999999997E-2</v>
      </c>
      <c r="HB100" s="477">
        <v>3.2099999999999997E-2</v>
      </c>
      <c r="HC100" s="477">
        <v>3.2099999999999997E-2</v>
      </c>
      <c r="HD100" s="477">
        <v>3.2099999999999997E-2</v>
      </c>
      <c r="HE100" s="477">
        <v>3.2099999999999997E-2</v>
      </c>
      <c r="HF100" s="477">
        <v>3.2099999999999997E-2</v>
      </c>
      <c r="HG100" s="477">
        <v>3.2099999999999997E-2</v>
      </c>
      <c r="HH100" s="477">
        <v>3.2099999999999997E-2</v>
      </c>
      <c r="HI100" s="477">
        <v>3.2099999999999997E-2</v>
      </c>
      <c r="HJ100" s="477">
        <v>3.2099999999999997E-2</v>
      </c>
      <c r="HK100" s="477">
        <v>3.2099999999999997E-2</v>
      </c>
      <c r="HL100" s="477">
        <v>3.2099999999999997E-2</v>
      </c>
      <c r="HM100" s="477">
        <v>3.2099999999999997E-2</v>
      </c>
      <c r="HN100" s="477">
        <v>3.2099999999999997E-2</v>
      </c>
      <c r="HO100" s="477">
        <v>3.2099999999999997E-2</v>
      </c>
      <c r="HP100" s="473">
        <f t="shared" si="30"/>
        <v>0</v>
      </c>
      <c r="HQ100" s="1136"/>
    </row>
    <row r="101" spans="2:225">
      <c r="B101" s="1129"/>
      <c r="C101" s="730" t="s">
        <v>219</v>
      </c>
      <c r="D101" s="500">
        <v>3.27E-2</v>
      </c>
      <c r="E101" s="500">
        <v>3.27E-2</v>
      </c>
      <c r="F101" s="502">
        <v>3.27E-2</v>
      </c>
      <c r="G101" s="502">
        <v>3.2599999999999997E-2</v>
      </c>
      <c r="H101" s="502">
        <v>3.2399999999999998E-2</v>
      </c>
      <c r="I101" s="502">
        <v>3.2599999999999997E-2</v>
      </c>
      <c r="J101" s="500">
        <v>3.27E-2</v>
      </c>
      <c r="K101" s="500">
        <v>3.27E-2</v>
      </c>
      <c r="L101" s="502">
        <v>3.27E-2</v>
      </c>
      <c r="M101" s="502">
        <v>3.2500000000000001E-2</v>
      </c>
      <c r="N101" s="502">
        <v>3.2599999999999997E-2</v>
      </c>
      <c r="O101" s="502">
        <v>3.2899999999999999E-2</v>
      </c>
      <c r="P101" s="502">
        <v>3.3000000000000002E-2</v>
      </c>
      <c r="Q101" s="502">
        <v>3.3399999999999999E-2</v>
      </c>
      <c r="R101" s="502">
        <v>3.3700000000000001E-2</v>
      </c>
      <c r="S101" s="502">
        <v>3.4200000000000001E-2</v>
      </c>
      <c r="T101" s="502">
        <v>3.49E-2</v>
      </c>
      <c r="U101" s="502">
        <v>3.44E-2</v>
      </c>
      <c r="V101" s="502">
        <v>3.49E-2</v>
      </c>
      <c r="W101" s="502">
        <v>3.44E-2</v>
      </c>
      <c r="X101" s="500">
        <v>3.4599999999999999E-2</v>
      </c>
      <c r="Y101" s="502">
        <v>3.49E-2</v>
      </c>
      <c r="Z101" s="502">
        <v>3.5400000000000001E-2</v>
      </c>
      <c r="AA101" s="502">
        <v>3.56E-2</v>
      </c>
      <c r="AB101" s="502">
        <v>3.5999999999999997E-2</v>
      </c>
      <c r="AC101" s="502">
        <v>3.4999999999999996E-2</v>
      </c>
      <c r="AD101" s="502">
        <v>3.5299999999999998E-2</v>
      </c>
      <c r="AE101" s="502">
        <v>3.6299999999999999E-2</v>
      </c>
      <c r="AF101" s="502">
        <v>3.6700000000000003E-2</v>
      </c>
      <c r="AG101" s="500">
        <v>3.7100000000000001E-2</v>
      </c>
      <c r="AH101" s="500">
        <v>3.7100000000000001E-2</v>
      </c>
      <c r="AI101" s="502">
        <v>3.7100000000000001E-2</v>
      </c>
      <c r="AJ101" s="500">
        <v>3.78E-2</v>
      </c>
      <c r="AK101" s="500">
        <v>3.7900000000000003E-2</v>
      </c>
      <c r="AL101" s="502">
        <v>3.7900000000000003E-2</v>
      </c>
      <c r="AM101" s="502">
        <v>3.7999999999999999E-2</v>
      </c>
      <c r="AN101" s="500">
        <v>3.7699999999999997E-2</v>
      </c>
      <c r="AO101" s="502">
        <v>3.7699999999999997E-2</v>
      </c>
      <c r="AP101" s="500">
        <v>3.9199999999999999E-2</v>
      </c>
      <c r="AQ101" s="500">
        <v>3.9199999999999999E-2</v>
      </c>
      <c r="AR101" s="502">
        <v>3.9199999999999999E-2</v>
      </c>
      <c r="AS101" s="500">
        <v>3.9300000000000002E-2</v>
      </c>
      <c r="AT101" s="500">
        <f t="shared" si="31"/>
        <v>3.44E-2</v>
      </c>
      <c r="AU101" s="500">
        <f t="shared" si="31"/>
        <v>3.44E-2</v>
      </c>
      <c r="AV101" s="502">
        <f t="shared" si="31"/>
        <v>3.44E-2</v>
      </c>
      <c r="AW101" s="501">
        <f t="shared" si="31"/>
        <v>3.44E-2</v>
      </c>
      <c r="AX101" s="501">
        <f t="shared" si="31"/>
        <v>3.44E-2</v>
      </c>
      <c r="AY101" s="501">
        <f t="shared" si="31"/>
        <v>3.44E-2</v>
      </c>
      <c r="AZ101" s="501">
        <f t="shared" si="31"/>
        <v>3.44E-2</v>
      </c>
      <c r="BA101" s="501">
        <f t="shared" si="31"/>
        <v>3.44E-2</v>
      </c>
      <c r="BB101" s="501">
        <f t="shared" si="31"/>
        <v>3.44E-2</v>
      </c>
      <c r="BC101" s="501">
        <f t="shared" si="31"/>
        <v>3.44E-2</v>
      </c>
      <c r="BD101" s="501">
        <v>3.8800000000000001E-2</v>
      </c>
      <c r="BE101" s="501">
        <v>3.8800000000000001E-2</v>
      </c>
      <c r="BF101" s="501">
        <v>3.8800000000000001E-2</v>
      </c>
      <c r="BG101" s="501">
        <v>3.8300000000000001E-2</v>
      </c>
      <c r="BH101" s="501">
        <v>3.8300000000000001E-2</v>
      </c>
      <c r="BI101" s="501">
        <v>3.8300000000000001E-2</v>
      </c>
      <c r="BJ101" s="501">
        <v>3.8300000000000001E-2</v>
      </c>
      <c r="BK101" s="501">
        <v>3.8300000000000001E-2</v>
      </c>
      <c r="BL101" s="501">
        <v>3.85E-2</v>
      </c>
      <c r="BM101" s="501">
        <v>3.8899999999999997E-2</v>
      </c>
      <c r="BN101" s="501">
        <v>3.8899999999999997E-2</v>
      </c>
      <c r="BO101" s="501">
        <v>3.9399999999999998E-2</v>
      </c>
      <c r="BP101" s="501">
        <v>4.0500000000000001E-2</v>
      </c>
      <c r="BQ101" s="501">
        <v>4.0500000000000001E-2</v>
      </c>
      <c r="BR101" s="501">
        <v>4.0599999999999997E-2</v>
      </c>
      <c r="BS101" s="501">
        <v>4.0599999999999997E-2</v>
      </c>
      <c r="BT101" s="501">
        <v>4.1500000000000002E-2</v>
      </c>
      <c r="BU101" s="501">
        <v>4.1500000000000002E-2</v>
      </c>
      <c r="BV101" s="501">
        <v>4.1500000000000002E-2</v>
      </c>
      <c r="BW101" s="501">
        <v>4.1500000000000002E-2</v>
      </c>
      <c r="BX101" s="501">
        <v>4.1500000000000002E-2</v>
      </c>
      <c r="BY101" s="501">
        <v>4.1500000000000002E-2</v>
      </c>
      <c r="BZ101" s="501">
        <v>4.1500000000000002E-2</v>
      </c>
      <c r="CA101" s="501">
        <v>4.3299999999999998E-2</v>
      </c>
      <c r="CB101" s="501">
        <v>4.48E-2</v>
      </c>
      <c r="CC101" s="501">
        <v>4.5400000000000003E-2</v>
      </c>
      <c r="CD101" s="501">
        <v>4.5900000000000003E-2</v>
      </c>
      <c r="CE101" s="501">
        <v>4.65E-2</v>
      </c>
      <c r="CF101" s="501">
        <v>4.6699999999999998E-2</v>
      </c>
      <c r="CG101" s="501">
        <v>4.6800000000000001E-2</v>
      </c>
      <c r="CH101" s="501">
        <v>4.8000000000000001E-2</v>
      </c>
      <c r="CI101" s="501">
        <v>4.8300000000000003E-2</v>
      </c>
      <c r="CJ101" s="501">
        <v>4.8800000000000003E-2</v>
      </c>
      <c r="CK101" s="501">
        <v>4.8800000000000003E-2</v>
      </c>
      <c r="CL101" s="501">
        <v>4.9000000000000002E-2</v>
      </c>
      <c r="CM101" s="501">
        <v>4.9200000000000001E-2</v>
      </c>
      <c r="CN101" s="501">
        <v>4.9200000000000001E-2</v>
      </c>
      <c r="CO101" s="501">
        <v>4.9299999999999997E-2</v>
      </c>
      <c r="CP101" s="501">
        <v>4.9200000000000001E-2</v>
      </c>
      <c r="CQ101" s="501">
        <v>4.9299999999999997E-2</v>
      </c>
      <c r="CR101" s="501">
        <v>4.9099999999999998E-2</v>
      </c>
      <c r="CS101" s="501">
        <v>4.8800000000000003E-2</v>
      </c>
      <c r="CT101" s="501">
        <v>4.87E-2</v>
      </c>
      <c r="CU101" s="484">
        <v>4.8800000000000003E-2</v>
      </c>
      <c r="CV101" s="501">
        <v>4.87E-2</v>
      </c>
      <c r="CW101" s="524">
        <v>4.87E-2</v>
      </c>
      <c r="CX101" s="482">
        <v>4.8500000000000001E-2</v>
      </c>
      <c r="CY101" s="482">
        <v>4.8599999999999997E-2</v>
      </c>
      <c r="CZ101" s="482">
        <v>4.8599999999999997E-2</v>
      </c>
      <c r="DA101" s="482">
        <v>4.8800000000000003E-2</v>
      </c>
      <c r="DB101" s="482">
        <v>4.8800000000000003E-2</v>
      </c>
      <c r="DC101" s="484">
        <v>4.8800000000000003E-2</v>
      </c>
      <c r="DD101" s="484">
        <v>4.8899999999999999E-2</v>
      </c>
      <c r="DE101" s="484">
        <v>4.8800000000000003E-2</v>
      </c>
      <c r="DF101" s="482">
        <v>4.8599999999999997E-2</v>
      </c>
      <c r="DG101" s="482">
        <v>4.87E-2</v>
      </c>
      <c r="DH101" s="482">
        <v>4.8099999999999997E-2</v>
      </c>
      <c r="DI101" s="482">
        <v>4.87E-2</v>
      </c>
      <c r="DJ101" s="482">
        <v>4.82E-2</v>
      </c>
      <c r="DK101" s="482">
        <v>4.8399999999999999E-2</v>
      </c>
      <c r="DL101" s="482">
        <v>4.8500000000000001E-2</v>
      </c>
      <c r="DM101" s="482">
        <v>4.87E-2</v>
      </c>
      <c r="DN101" s="482">
        <v>4.9099999999999998E-2</v>
      </c>
      <c r="DO101" s="482">
        <v>4.9099999999999998E-2</v>
      </c>
      <c r="DP101" s="482">
        <v>4.9000000000000002E-2</v>
      </c>
      <c r="DQ101" s="482">
        <v>4.9599999999999998E-2</v>
      </c>
      <c r="DR101" s="482">
        <v>4.9500000000000002E-2</v>
      </c>
      <c r="DS101" s="482">
        <v>4.9599999999999998E-2</v>
      </c>
      <c r="DT101" s="482">
        <v>4.9599999999999998E-2</v>
      </c>
      <c r="DU101" s="482">
        <v>4.9700000000000001E-2</v>
      </c>
      <c r="DV101" s="482">
        <v>4.7399999999999998E-2</v>
      </c>
      <c r="DW101" s="482">
        <v>4.99E-2</v>
      </c>
      <c r="DX101" s="482">
        <v>5.0200000000000002E-2</v>
      </c>
      <c r="DY101" s="482">
        <v>4.9799999999999997E-2</v>
      </c>
      <c r="DZ101" s="482">
        <v>5.0099999999999999E-2</v>
      </c>
      <c r="EA101" s="482">
        <v>5.0200000000000002E-2</v>
      </c>
      <c r="EB101" s="482">
        <v>0.05</v>
      </c>
      <c r="EC101" s="482">
        <v>5.0299999999999997E-2</v>
      </c>
      <c r="ED101" s="482">
        <v>4.99E-2</v>
      </c>
      <c r="EE101" s="482">
        <v>4.99E-2</v>
      </c>
      <c r="EF101" s="482">
        <v>4.9799999999999997E-2</v>
      </c>
      <c r="EG101" s="482">
        <v>4.9500000000000002E-2</v>
      </c>
      <c r="EH101" s="482">
        <v>4.9299999999999997E-2</v>
      </c>
      <c r="EI101" s="482">
        <v>3.4500000000000003E-2</v>
      </c>
      <c r="EJ101" s="482">
        <v>3.2800000000000003E-2</v>
      </c>
      <c r="EK101" s="482">
        <v>3.2099999999999997E-2</v>
      </c>
      <c r="EL101" s="482">
        <v>3.09E-2</v>
      </c>
      <c r="EM101" s="482">
        <v>2.9600000000000001E-2</v>
      </c>
      <c r="EN101" s="482">
        <v>4.65E-2</v>
      </c>
      <c r="EO101" s="482">
        <v>4.6399999999999997E-2</v>
      </c>
      <c r="EP101" s="482">
        <v>4.6199999999999998E-2</v>
      </c>
      <c r="EQ101" s="482">
        <v>4.5999999999999999E-2</v>
      </c>
      <c r="ER101" s="482">
        <v>4.5499999999999999E-2</v>
      </c>
      <c r="ES101" s="482">
        <v>4.5199999999999997E-2</v>
      </c>
      <c r="ET101" s="482">
        <v>4.41E-2</v>
      </c>
      <c r="EU101" s="482">
        <v>4.3700000000000003E-2</v>
      </c>
      <c r="EV101" s="482">
        <v>4.36E-2</v>
      </c>
      <c r="EW101" s="482">
        <v>4.3799999999999999E-2</v>
      </c>
      <c r="EX101" s="482">
        <v>4.48E-2</v>
      </c>
      <c r="EY101" s="482">
        <v>4.58E-2</v>
      </c>
      <c r="EZ101" s="482">
        <v>4.4900000000000002E-2</v>
      </c>
      <c r="FA101" s="484">
        <v>4.5100000000000001E-2</v>
      </c>
      <c r="FB101" s="484">
        <v>4.41E-2</v>
      </c>
      <c r="FC101" s="477">
        <v>4.3400000000000001E-2</v>
      </c>
      <c r="FD101" s="477">
        <v>4.2599999999999999E-2</v>
      </c>
      <c r="FE101" s="477">
        <v>4.1799999999999997E-2</v>
      </c>
      <c r="FF101" s="477">
        <v>4.2999999999999997E-2</v>
      </c>
      <c r="FG101" s="477">
        <v>4.2599999999999999E-2</v>
      </c>
      <c r="FH101" s="477">
        <v>4.2599999999999999E-2</v>
      </c>
      <c r="FI101" s="477">
        <v>4.2799999999999998E-2</v>
      </c>
      <c r="FJ101" s="477">
        <v>4.2299999999999997E-2</v>
      </c>
      <c r="FK101" s="477">
        <v>4.2500000000000003E-2</v>
      </c>
      <c r="FL101" s="477">
        <v>4.24E-2</v>
      </c>
      <c r="FM101" s="477">
        <v>4.2500000000000003E-2</v>
      </c>
      <c r="FN101" s="477">
        <v>4.3200000000000002E-2</v>
      </c>
      <c r="FO101" s="477">
        <v>4.2500000000000003E-2</v>
      </c>
      <c r="FP101" s="477">
        <v>4.2500000000000003E-2</v>
      </c>
      <c r="FQ101" s="477">
        <v>4.2000000000000003E-2</v>
      </c>
      <c r="FR101" s="477">
        <v>4.1000000000000002E-2</v>
      </c>
      <c r="FS101" s="477">
        <v>0.04</v>
      </c>
      <c r="FT101" s="477">
        <v>3.9399999999999998E-2</v>
      </c>
      <c r="FU101" s="477">
        <v>3.6400000000000002E-2</v>
      </c>
      <c r="FV101" s="482">
        <v>4.7600000000000003E-2</v>
      </c>
      <c r="FW101" s="482">
        <v>4.7600000000000003E-2</v>
      </c>
      <c r="FX101" s="482">
        <v>4.9099999999999998E-2</v>
      </c>
      <c r="FY101" s="482">
        <v>4.8500000000000001E-2</v>
      </c>
      <c r="FZ101" s="482">
        <v>4.82E-2</v>
      </c>
      <c r="GA101" s="482">
        <v>4.7800000000000002E-2</v>
      </c>
      <c r="GB101" s="482">
        <v>4.7699999999999999E-2</v>
      </c>
      <c r="GC101" s="482">
        <v>4.8000000000000001E-2</v>
      </c>
      <c r="GD101" s="477">
        <v>3.2099999999999997E-2</v>
      </c>
      <c r="GE101" s="477">
        <v>3.2099999999999997E-2</v>
      </c>
      <c r="GF101" s="477">
        <v>3.2099999999999997E-2</v>
      </c>
      <c r="GG101" s="477">
        <v>3.2099999999999997E-2</v>
      </c>
      <c r="GH101" s="477">
        <v>3.2099999999999997E-2</v>
      </c>
      <c r="GI101" s="477">
        <v>3.2099999999999997E-2</v>
      </c>
      <c r="GJ101" s="477">
        <v>3.2099999999999997E-2</v>
      </c>
      <c r="GK101" s="477">
        <v>3.2099999999999997E-2</v>
      </c>
      <c r="GL101" s="477">
        <v>3.2099999999999997E-2</v>
      </c>
      <c r="GM101" s="477">
        <v>3.2099999999999997E-2</v>
      </c>
      <c r="GN101" s="477">
        <v>3.2099999999999997E-2</v>
      </c>
      <c r="GO101" s="477">
        <v>3.2099999999999997E-2</v>
      </c>
      <c r="GP101" s="477">
        <v>3.2099999999999997E-2</v>
      </c>
      <c r="GQ101" s="477">
        <v>3.2099999999999997E-2</v>
      </c>
      <c r="GR101" s="477">
        <v>3.2099999999999997E-2</v>
      </c>
      <c r="GS101" s="477">
        <v>3.2099999999999997E-2</v>
      </c>
      <c r="GT101" s="477">
        <v>3.2099999999999997E-2</v>
      </c>
      <c r="GU101" s="477">
        <v>3.2099999999999997E-2</v>
      </c>
      <c r="GV101" s="477">
        <v>3.2099999999999997E-2</v>
      </c>
      <c r="GW101" s="477">
        <v>3.2099999999999997E-2</v>
      </c>
      <c r="GX101" s="477">
        <v>3.2099999999999997E-2</v>
      </c>
      <c r="GY101" s="477">
        <v>3.2099999999999997E-2</v>
      </c>
      <c r="GZ101" s="477">
        <v>3.2099999999999997E-2</v>
      </c>
      <c r="HA101" s="477">
        <v>3.2099999999999997E-2</v>
      </c>
      <c r="HB101" s="477">
        <v>3.2099999999999997E-2</v>
      </c>
      <c r="HC101" s="477">
        <v>3.2099999999999997E-2</v>
      </c>
      <c r="HD101" s="477">
        <v>3.2099999999999997E-2</v>
      </c>
      <c r="HE101" s="477">
        <v>3.2099999999999997E-2</v>
      </c>
      <c r="HF101" s="477">
        <v>3.2099999999999997E-2</v>
      </c>
      <c r="HG101" s="477">
        <v>3.2099999999999997E-2</v>
      </c>
      <c r="HH101" s="477">
        <v>3.2099999999999997E-2</v>
      </c>
      <c r="HI101" s="477">
        <v>3.2099999999999997E-2</v>
      </c>
      <c r="HJ101" s="477">
        <v>3.2099999999999997E-2</v>
      </c>
      <c r="HK101" s="477">
        <v>3.2099999999999997E-2</v>
      </c>
      <c r="HL101" s="477">
        <v>3.2099999999999997E-2</v>
      </c>
      <c r="HM101" s="477">
        <v>3.2099999999999997E-2</v>
      </c>
      <c r="HN101" s="477">
        <v>3.2099999999999997E-2</v>
      </c>
      <c r="HO101" s="477">
        <v>3.2099999999999997E-2</v>
      </c>
      <c r="HP101" s="473">
        <f t="shared" si="30"/>
        <v>0</v>
      </c>
      <c r="HQ101" s="1136"/>
    </row>
    <row r="102" spans="2:225">
      <c r="B102" s="1129"/>
      <c r="C102" s="730" t="s">
        <v>240</v>
      </c>
      <c r="D102" s="500">
        <v>3.4200000000000001E-2</v>
      </c>
      <c r="E102" s="500">
        <v>3.4200000000000001E-2</v>
      </c>
      <c r="F102" s="502">
        <v>3.4200000000000001E-2</v>
      </c>
      <c r="G102" s="502">
        <v>3.4099999999999998E-2</v>
      </c>
      <c r="H102" s="502">
        <v>3.39E-2</v>
      </c>
      <c r="I102" s="502">
        <v>3.4099999999999998E-2</v>
      </c>
      <c r="J102" s="500">
        <v>3.4200000000000001E-2</v>
      </c>
      <c r="K102" s="500">
        <v>3.4200000000000001E-2</v>
      </c>
      <c r="L102" s="502">
        <v>3.4200000000000001E-2</v>
      </c>
      <c r="M102" s="502">
        <v>3.4000000000000002E-2</v>
      </c>
      <c r="N102" s="502">
        <v>3.4099999999999998E-2</v>
      </c>
      <c r="O102" s="502">
        <v>3.44E-2</v>
      </c>
      <c r="P102" s="502">
        <v>3.4500000000000003E-2</v>
      </c>
      <c r="Q102" s="502">
        <v>3.49E-2</v>
      </c>
      <c r="R102" s="502">
        <v>3.5200000000000002E-2</v>
      </c>
      <c r="S102" s="502">
        <v>3.5700000000000003E-2</v>
      </c>
      <c r="T102" s="502">
        <v>3.6400000000000002E-2</v>
      </c>
      <c r="U102" s="502">
        <v>3.5900000000000001E-2</v>
      </c>
      <c r="V102" s="502">
        <v>3.6400000000000002E-2</v>
      </c>
      <c r="W102" s="502">
        <v>3.5900000000000001E-2</v>
      </c>
      <c r="X102" s="500">
        <v>3.61E-2</v>
      </c>
      <c r="Y102" s="502">
        <v>3.6400000000000002E-2</v>
      </c>
      <c r="Z102" s="502">
        <v>3.6900000000000002E-2</v>
      </c>
      <c r="AA102" s="502">
        <v>3.7100000000000001E-2</v>
      </c>
      <c r="AB102" s="502">
        <v>3.7499999999999999E-2</v>
      </c>
      <c r="AC102" s="502">
        <v>3.6499999999999998E-2</v>
      </c>
      <c r="AD102" s="502">
        <v>3.6799999999999999E-2</v>
      </c>
      <c r="AE102" s="502">
        <v>3.78E-2</v>
      </c>
      <c r="AF102" s="502">
        <v>3.8199999999999998E-2</v>
      </c>
      <c r="AG102" s="500">
        <v>3.8600000000000002E-2</v>
      </c>
      <c r="AH102" s="500">
        <v>3.8600000000000002E-2</v>
      </c>
      <c r="AI102" s="502">
        <v>3.8600000000000002E-2</v>
      </c>
      <c r="AJ102" s="500">
        <v>3.9300000000000002E-2</v>
      </c>
      <c r="AK102" s="500">
        <v>3.9399999999999998E-2</v>
      </c>
      <c r="AL102" s="502">
        <v>3.9399999999999998E-2</v>
      </c>
      <c r="AM102" s="502">
        <v>3.95E-2</v>
      </c>
      <c r="AN102" s="500">
        <v>3.9199999999999999E-2</v>
      </c>
      <c r="AO102" s="502">
        <v>3.9199999999999999E-2</v>
      </c>
      <c r="AP102" s="500">
        <v>4.07E-2</v>
      </c>
      <c r="AQ102" s="500">
        <v>4.07E-2</v>
      </c>
      <c r="AR102" s="502">
        <v>4.07E-2</v>
      </c>
      <c r="AS102" s="500">
        <v>4.0800000000000003E-2</v>
      </c>
      <c r="AT102" s="500">
        <v>4.0800000000000003E-2</v>
      </c>
      <c r="AU102" s="500">
        <v>4.0800000000000003E-2</v>
      </c>
      <c r="AV102" s="502">
        <v>4.0500000000000001E-2</v>
      </c>
      <c r="AW102" s="501">
        <f t="shared" ref="AW102:BC102" si="32">0.1%+AW101</f>
        <v>3.5400000000000001E-2</v>
      </c>
      <c r="AX102" s="501">
        <f t="shared" si="32"/>
        <v>3.5400000000000001E-2</v>
      </c>
      <c r="AY102" s="501">
        <f t="shared" si="32"/>
        <v>3.5400000000000001E-2</v>
      </c>
      <c r="AZ102" s="501">
        <f t="shared" si="32"/>
        <v>3.5400000000000001E-2</v>
      </c>
      <c r="BA102" s="501">
        <f t="shared" si="32"/>
        <v>3.5400000000000001E-2</v>
      </c>
      <c r="BB102" s="501">
        <f t="shared" si="32"/>
        <v>3.5400000000000001E-2</v>
      </c>
      <c r="BC102" s="501">
        <f t="shared" si="32"/>
        <v>3.5400000000000001E-2</v>
      </c>
      <c r="BD102" s="501">
        <v>4.0300000000000002E-2</v>
      </c>
      <c r="BE102" s="501">
        <v>4.0300000000000002E-2</v>
      </c>
      <c r="BF102" s="501">
        <v>4.0300000000000002E-2</v>
      </c>
      <c r="BG102" s="501">
        <v>3.9800000000000002E-2</v>
      </c>
      <c r="BH102" s="501">
        <v>3.9800000000000002E-2</v>
      </c>
      <c r="BI102" s="501">
        <v>3.9800000000000002E-2</v>
      </c>
      <c r="BJ102" s="501">
        <v>3.9800000000000002E-2</v>
      </c>
      <c r="BK102" s="501">
        <v>3.9800000000000002E-2</v>
      </c>
      <c r="BL102" s="501">
        <v>0.04</v>
      </c>
      <c r="BM102" s="501">
        <v>4.0399999999999998E-2</v>
      </c>
      <c r="BN102" s="501">
        <v>4.0399999999999998E-2</v>
      </c>
      <c r="BO102" s="501">
        <v>4.0899999999999999E-2</v>
      </c>
      <c r="BP102" s="501">
        <v>4.2000000000000003E-2</v>
      </c>
      <c r="BQ102" s="501">
        <v>4.2000000000000003E-2</v>
      </c>
      <c r="BR102" s="501">
        <v>4.2099999999999999E-2</v>
      </c>
      <c r="BS102" s="501">
        <v>4.2099999999999999E-2</v>
      </c>
      <c r="BT102" s="501">
        <v>4.2999999999999997E-2</v>
      </c>
      <c r="BU102" s="501">
        <v>4.2999999999999997E-2</v>
      </c>
      <c r="BV102" s="501">
        <v>4.2999999999999997E-2</v>
      </c>
      <c r="BW102" s="501">
        <v>4.2999999999999997E-2</v>
      </c>
      <c r="BX102" s="501">
        <v>4.2999999999999997E-2</v>
      </c>
      <c r="BY102" s="501">
        <v>4.2999999999999997E-2</v>
      </c>
      <c r="BZ102" s="501">
        <v>4.2999999999999997E-2</v>
      </c>
      <c r="CA102" s="501">
        <v>4.48E-2</v>
      </c>
      <c r="CB102" s="501">
        <v>4.6300000000000001E-2</v>
      </c>
      <c r="CC102" s="501">
        <v>4.6899999999999997E-2</v>
      </c>
      <c r="CD102" s="501">
        <v>4.7399999999999998E-2</v>
      </c>
      <c r="CE102" s="501">
        <v>4.8000000000000001E-2</v>
      </c>
      <c r="CF102" s="501">
        <v>4.82E-2</v>
      </c>
      <c r="CG102" s="501">
        <v>4.8300000000000003E-2</v>
      </c>
      <c r="CH102" s="501">
        <v>4.9500000000000002E-2</v>
      </c>
      <c r="CI102" s="501">
        <v>4.9799999999999997E-2</v>
      </c>
      <c r="CJ102" s="501">
        <v>5.0299999999999997E-2</v>
      </c>
      <c r="CK102" s="501">
        <v>5.0299999999999997E-2</v>
      </c>
      <c r="CL102" s="501">
        <v>5.0500000000000003E-2</v>
      </c>
      <c r="CM102" s="501">
        <v>5.0700000000000002E-2</v>
      </c>
      <c r="CN102" s="501">
        <v>5.0700000000000002E-2</v>
      </c>
      <c r="CO102" s="501">
        <v>5.0799999999999998E-2</v>
      </c>
      <c r="CP102" s="501">
        <v>5.0200000000000002E-2</v>
      </c>
      <c r="CQ102" s="501">
        <v>5.0299999999999997E-2</v>
      </c>
      <c r="CR102" s="501">
        <v>5.0599999999999999E-2</v>
      </c>
      <c r="CS102" s="501">
        <v>5.0299999999999997E-2</v>
      </c>
      <c r="CT102" s="501">
        <v>5.0200000000000002E-2</v>
      </c>
      <c r="CU102" s="484">
        <v>5.0299999999999997E-2</v>
      </c>
      <c r="CV102" s="501">
        <v>5.0200000000000002E-2</v>
      </c>
      <c r="CW102" s="524">
        <v>5.0200000000000002E-2</v>
      </c>
      <c r="CX102" s="482">
        <v>0.05</v>
      </c>
      <c r="CY102" s="482">
        <v>5.0099999999999999E-2</v>
      </c>
      <c r="CZ102" s="482">
        <v>5.0099999999999999E-2</v>
      </c>
      <c r="DA102" s="482">
        <v>5.0299999999999997E-2</v>
      </c>
      <c r="DB102" s="482">
        <v>5.0299999999999997E-2</v>
      </c>
      <c r="DC102" s="484">
        <v>5.0299999999999997E-2</v>
      </c>
      <c r="DD102" s="484">
        <v>5.04E-2</v>
      </c>
      <c r="DE102" s="484">
        <v>5.0299999999999997E-2</v>
      </c>
      <c r="DF102" s="482">
        <v>5.0099999999999999E-2</v>
      </c>
      <c r="DG102" s="482">
        <v>5.0200000000000002E-2</v>
      </c>
      <c r="DH102" s="482">
        <v>4.9599999999999998E-2</v>
      </c>
      <c r="DI102" s="482">
        <v>5.0200000000000002E-2</v>
      </c>
      <c r="DJ102" s="482">
        <v>4.9700000000000001E-2</v>
      </c>
      <c r="DK102" s="482">
        <v>4.99E-2</v>
      </c>
      <c r="DL102" s="482">
        <v>0.05</v>
      </c>
      <c r="DM102" s="482">
        <v>5.0200000000000002E-2</v>
      </c>
      <c r="DN102" s="482">
        <v>5.0599999999999999E-2</v>
      </c>
      <c r="DO102" s="482">
        <v>5.0599999999999999E-2</v>
      </c>
      <c r="DP102" s="482">
        <v>5.0500000000000003E-2</v>
      </c>
      <c r="DQ102" s="482">
        <v>5.11E-2</v>
      </c>
      <c r="DR102" s="482">
        <v>5.0999999999999997E-2</v>
      </c>
      <c r="DS102" s="482">
        <v>5.11E-2</v>
      </c>
      <c r="DT102" s="482">
        <v>5.11E-2</v>
      </c>
      <c r="DU102" s="482">
        <v>5.1200000000000002E-2</v>
      </c>
      <c r="DV102" s="482">
        <v>5.1200000000000002E-2</v>
      </c>
      <c r="DW102" s="482">
        <v>5.1400000000000001E-2</v>
      </c>
      <c r="DX102" s="482">
        <v>5.1700000000000003E-2</v>
      </c>
      <c r="DY102" s="482">
        <v>5.1299999999999998E-2</v>
      </c>
      <c r="DZ102" s="482">
        <v>5.16E-2</v>
      </c>
      <c r="EA102" s="482">
        <v>5.1700000000000003E-2</v>
      </c>
      <c r="EB102" s="482">
        <v>5.1499999999999997E-2</v>
      </c>
      <c r="EC102" s="482">
        <v>5.1799999999999999E-2</v>
      </c>
      <c r="ED102" s="482">
        <v>5.1400000000000001E-2</v>
      </c>
      <c r="EE102" s="482">
        <v>5.1400000000000001E-2</v>
      </c>
      <c r="EF102" s="482">
        <v>5.1299999999999998E-2</v>
      </c>
      <c r="EG102" s="482">
        <v>5.0999999999999997E-2</v>
      </c>
      <c r="EH102" s="482">
        <v>5.0799999999999998E-2</v>
      </c>
      <c r="EI102" s="482">
        <v>3.6999999999999998E-2</v>
      </c>
      <c r="EJ102" s="482">
        <v>3.5299999999999998E-2</v>
      </c>
      <c r="EK102" s="482">
        <v>3.4599999999999999E-2</v>
      </c>
      <c r="EL102" s="482">
        <v>3.09E-2</v>
      </c>
      <c r="EM102" s="482">
        <v>2.9600000000000001E-2</v>
      </c>
      <c r="EN102" s="482">
        <v>4.8000000000000001E-2</v>
      </c>
      <c r="EO102" s="482">
        <v>4.7899999999999998E-2</v>
      </c>
      <c r="EP102" s="482">
        <v>4.7699999999999999E-2</v>
      </c>
      <c r="EQ102" s="482">
        <v>4.7500000000000001E-2</v>
      </c>
      <c r="ER102" s="482">
        <v>4.7E-2</v>
      </c>
      <c r="ES102" s="482">
        <v>4.6699999999999998E-2</v>
      </c>
      <c r="ET102" s="482">
        <v>4.5600000000000002E-2</v>
      </c>
      <c r="EU102" s="482">
        <v>4.5199999999999997E-2</v>
      </c>
      <c r="EV102" s="482">
        <v>4.5100000000000001E-2</v>
      </c>
      <c r="EW102" s="482">
        <v>4.53E-2</v>
      </c>
      <c r="EX102" s="482">
        <v>4.7300000000000002E-2</v>
      </c>
      <c r="EY102" s="482">
        <v>4.8300000000000003E-2</v>
      </c>
      <c r="EZ102" s="482">
        <v>4.7399999999999998E-2</v>
      </c>
      <c r="FA102" s="484">
        <v>4.7600000000000003E-2</v>
      </c>
      <c r="FB102" s="484">
        <v>4.6600000000000003E-2</v>
      </c>
      <c r="FC102" s="477">
        <v>4.5900000000000003E-2</v>
      </c>
      <c r="FD102" s="477">
        <v>4.5100000000000001E-2</v>
      </c>
      <c r="FE102" s="477">
        <v>4.4299999999999999E-2</v>
      </c>
      <c r="FF102" s="477">
        <v>4.5499999999999999E-2</v>
      </c>
      <c r="FG102" s="477">
        <v>4.5100000000000001E-2</v>
      </c>
      <c r="FH102" s="477">
        <v>4.5100000000000001E-2</v>
      </c>
      <c r="FI102" s="477">
        <v>4.53E-2</v>
      </c>
      <c r="FJ102" s="477">
        <v>4.48E-2</v>
      </c>
      <c r="FK102" s="477">
        <v>4.4999999999999998E-2</v>
      </c>
      <c r="FL102" s="477">
        <v>4.4900000000000002E-2</v>
      </c>
      <c r="FM102" s="477">
        <v>4.4999999999999998E-2</v>
      </c>
      <c r="FN102" s="477">
        <v>4.5699999999999998E-2</v>
      </c>
      <c r="FO102" s="477">
        <v>4.4999999999999998E-2</v>
      </c>
      <c r="FP102" s="477">
        <v>4.4999999999999998E-2</v>
      </c>
      <c r="FQ102" s="477">
        <v>4.4499999999999998E-2</v>
      </c>
      <c r="FR102" s="477">
        <v>4.3499999999999997E-2</v>
      </c>
      <c r="FS102" s="477">
        <v>4.2500000000000003E-2</v>
      </c>
      <c r="FT102" s="477">
        <v>4.19E-2</v>
      </c>
      <c r="FU102" s="477">
        <v>3.8899999999999997E-2</v>
      </c>
      <c r="FV102" s="482">
        <v>4.9099999999999998E-2</v>
      </c>
      <c r="FW102" s="482">
        <v>4.9099999999999998E-2</v>
      </c>
      <c r="FX102" s="482">
        <v>5.0599999999999999E-2</v>
      </c>
      <c r="FY102" s="482">
        <v>0.05</v>
      </c>
      <c r="FZ102" s="482">
        <v>4.9700000000000001E-2</v>
      </c>
      <c r="GA102" s="482">
        <v>4.9299999999999997E-2</v>
      </c>
      <c r="GB102" s="482">
        <v>4.9200000000000001E-2</v>
      </c>
      <c r="GC102" s="482">
        <v>4.9500000000000002E-2</v>
      </c>
      <c r="GD102" s="477">
        <v>3.4599999999999999E-2</v>
      </c>
      <c r="GE102" s="477">
        <v>3.4599999999999999E-2</v>
      </c>
      <c r="GF102" s="477">
        <v>3.4599999999999999E-2</v>
      </c>
      <c r="GG102" s="477">
        <v>3.4599999999999999E-2</v>
      </c>
      <c r="GH102" s="477">
        <v>3.4599999999999999E-2</v>
      </c>
      <c r="GI102" s="477">
        <v>3.4599999999999999E-2</v>
      </c>
      <c r="GJ102" s="477">
        <v>3.4599999999999999E-2</v>
      </c>
      <c r="GK102" s="477">
        <v>3.4599999999999999E-2</v>
      </c>
      <c r="GL102" s="477">
        <v>3.4599999999999999E-2</v>
      </c>
      <c r="GM102" s="477">
        <v>3.4599999999999999E-2</v>
      </c>
      <c r="GN102" s="477">
        <v>3.4599999999999999E-2</v>
      </c>
      <c r="GO102" s="477">
        <v>3.4599999999999999E-2</v>
      </c>
      <c r="GP102" s="477">
        <v>3.4599999999999999E-2</v>
      </c>
      <c r="GQ102" s="477">
        <v>3.4599999999999999E-2</v>
      </c>
      <c r="GR102" s="477">
        <v>3.4599999999999999E-2</v>
      </c>
      <c r="GS102" s="477">
        <v>3.4599999999999999E-2</v>
      </c>
      <c r="GT102" s="477">
        <v>3.4599999999999999E-2</v>
      </c>
      <c r="GU102" s="477">
        <v>3.4599999999999999E-2</v>
      </c>
      <c r="GV102" s="477">
        <v>3.4599999999999999E-2</v>
      </c>
      <c r="GW102" s="477">
        <v>3.4599999999999999E-2</v>
      </c>
      <c r="GX102" s="477">
        <v>3.4599999999999999E-2</v>
      </c>
      <c r="GY102" s="477">
        <v>3.4599999999999999E-2</v>
      </c>
      <c r="GZ102" s="477">
        <v>3.4599999999999999E-2</v>
      </c>
      <c r="HA102" s="477">
        <v>3.4599999999999999E-2</v>
      </c>
      <c r="HB102" s="477">
        <v>3.4599999999999999E-2</v>
      </c>
      <c r="HC102" s="477">
        <v>3.4599999999999999E-2</v>
      </c>
      <c r="HD102" s="477">
        <v>3.4599999999999999E-2</v>
      </c>
      <c r="HE102" s="477">
        <v>3.4599999999999999E-2</v>
      </c>
      <c r="HF102" s="477">
        <v>3.4599999999999999E-2</v>
      </c>
      <c r="HG102" s="477">
        <v>3.4599999999999999E-2</v>
      </c>
      <c r="HH102" s="477">
        <v>3.4599999999999999E-2</v>
      </c>
      <c r="HI102" s="477">
        <v>3.4599999999999999E-2</v>
      </c>
      <c r="HJ102" s="477">
        <v>3.4599999999999999E-2</v>
      </c>
      <c r="HK102" s="477">
        <v>3.4599999999999999E-2</v>
      </c>
      <c r="HL102" s="477">
        <v>3.4599999999999999E-2</v>
      </c>
      <c r="HM102" s="477">
        <v>3.4599999999999999E-2</v>
      </c>
      <c r="HN102" s="477">
        <v>3.4599999999999999E-2</v>
      </c>
      <c r="HO102" s="477">
        <v>3.4599999999999999E-2</v>
      </c>
      <c r="HP102" s="473">
        <f t="shared" si="30"/>
        <v>0</v>
      </c>
      <c r="HQ102" s="1136"/>
    </row>
    <row r="103" spans="2:225">
      <c r="B103" s="1129"/>
      <c r="C103" s="730" t="s">
        <v>239</v>
      </c>
      <c r="D103" s="500">
        <v>3.4200000000000001E-2</v>
      </c>
      <c r="E103" s="500">
        <v>3.4200000000000001E-2</v>
      </c>
      <c r="F103" s="502">
        <v>3.4200000000000001E-2</v>
      </c>
      <c r="G103" s="502">
        <v>3.4099999999999998E-2</v>
      </c>
      <c r="H103" s="502">
        <v>3.39E-2</v>
      </c>
      <c r="I103" s="502">
        <v>3.4099999999999998E-2</v>
      </c>
      <c r="J103" s="500">
        <v>3.4200000000000001E-2</v>
      </c>
      <c r="K103" s="500">
        <v>3.4200000000000001E-2</v>
      </c>
      <c r="L103" s="502">
        <v>3.4200000000000001E-2</v>
      </c>
      <c r="M103" s="502">
        <v>3.4000000000000002E-2</v>
      </c>
      <c r="N103" s="502">
        <v>3.4099999999999998E-2</v>
      </c>
      <c r="O103" s="502">
        <v>3.44E-2</v>
      </c>
      <c r="P103" s="502">
        <v>3.4500000000000003E-2</v>
      </c>
      <c r="Q103" s="502">
        <v>3.49E-2</v>
      </c>
      <c r="R103" s="502">
        <v>3.5200000000000002E-2</v>
      </c>
      <c r="S103" s="502">
        <v>3.5700000000000003E-2</v>
      </c>
      <c r="T103" s="502">
        <v>3.6400000000000002E-2</v>
      </c>
      <c r="U103" s="502">
        <v>3.5900000000000001E-2</v>
      </c>
      <c r="V103" s="502">
        <v>3.6400000000000002E-2</v>
      </c>
      <c r="W103" s="502">
        <v>3.5900000000000001E-2</v>
      </c>
      <c r="X103" s="500">
        <v>3.61E-2</v>
      </c>
      <c r="Y103" s="502">
        <v>3.6400000000000002E-2</v>
      </c>
      <c r="Z103" s="502">
        <v>3.6900000000000002E-2</v>
      </c>
      <c r="AA103" s="502">
        <v>3.7100000000000001E-2</v>
      </c>
      <c r="AB103" s="502">
        <v>3.7499999999999999E-2</v>
      </c>
      <c r="AC103" s="502">
        <v>3.6499999999999998E-2</v>
      </c>
      <c r="AD103" s="502">
        <v>3.6799999999999999E-2</v>
      </c>
      <c r="AE103" s="502">
        <v>3.78E-2</v>
      </c>
      <c r="AF103" s="502">
        <v>3.8199999999999998E-2</v>
      </c>
      <c r="AG103" s="500">
        <v>3.8600000000000002E-2</v>
      </c>
      <c r="AH103" s="500">
        <v>3.8600000000000002E-2</v>
      </c>
      <c r="AI103" s="502">
        <v>3.8600000000000002E-2</v>
      </c>
      <c r="AJ103" s="500">
        <v>3.9300000000000002E-2</v>
      </c>
      <c r="AK103" s="500">
        <v>3.9399999999999998E-2</v>
      </c>
      <c r="AL103" s="502">
        <v>3.9399999999999998E-2</v>
      </c>
      <c r="AM103" s="502">
        <v>3.95E-2</v>
      </c>
      <c r="AN103" s="500">
        <v>3.9199999999999999E-2</v>
      </c>
      <c r="AO103" s="502">
        <v>3.9199999999999999E-2</v>
      </c>
      <c r="AP103" s="500">
        <v>4.07E-2</v>
      </c>
      <c r="AQ103" s="500">
        <v>4.07E-2</v>
      </c>
      <c r="AR103" s="502">
        <v>4.07E-2</v>
      </c>
      <c r="AS103" s="500">
        <v>4.0800000000000003E-2</v>
      </c>
      <c r="AT103" s="500">
        <f t="shared" ref="AT103:BC103" si="33">AT102</f>
        <v>4.0800000000000003E-2</v>
      </c>
      <c r="AU103" s="500">
        <f t="shared" si="33"/>
        <v>4.0800000000000003E-2</v>
      </c>
      <c r="AV103" s="502">
        <f t="shared" si="33"/>
        <v>4.0500000000000001E-2</v>
      </c>
      <c r="AW103" s="501">
        <f t="shared" si="33"/>
        <v>3.5400000000000001E-2</v>
      </c>
      <c r="AX103" s="501">
        <f t="shared" si="33"/>
        <v>3.5400000000000001E-2</v>
      </c>
      <c r="AY103" s="501">
        <f t="shared" si="33"/>
        <v>3.5400000000000001E-2</v>
      </c>
      <c r="AZ103" s="501">
        <f t="shared" si="33"/>
        <v>3.5400000000000001E-2</v>
      </c>
      <c r="BA103" s="501">
        <f t="shared" si="33"/>
        <v>3.5400000000000001E-2</v>
      </c>
      <c r="BB103" s="501">
        <f t="shared" si="33"/>
        <v>3.5400000000000001E-2</v>
      </c>
      <c r="BC103" s="501">
        <f t="shared" si="33"/>
        <v>3.5400000000000001E-2</v>
      </c>
      <c r="BD103" s="501">
        <v>4.0300000000000002E-2</v>
      </c>
      <c r="BE103" s="501">
        <v>4.0300000000000002E-2</v>
      </c>
      <c r="BF103" s="501">
        <v>4.0300000000000002E-2</v>
      </c>
      <c r="BG103" s="501">
        <v>3.9800000000000002E-2</v>
      </c>
      <c r="BH103" s="501">
        <v>3.9800000000000002E-2</v>
      </c>
      <c r="BI103" s="501">
        <v>3.9800000000000002E-2</v>
      </c>
      <c r="BJ103" s="501">
        <v>3.9800000000000002E-2</v>
      </c>
      <c r="BK103" s="501">
        <v>3.9800000000000002E-2</v>
      </c>
      <c r="BL103" s="501">
        <v>0.04</v>
      </c>
      <c r="BM103" s="501">
        <v>4.0399999999999998E-2</v>
      </c>
      <c r="BN103" s="501">
        <v>4.0399999999999998E-2</v>
      </c>
      <c r="BO103" s="501">
        <v>4.0899999999999999E-2</v>
      </c>
      <c r="BP103" s="501">
        <v>4.2000000000000003E-2</v>
      </c>
      <c r="BQ103" s="501">
        <v>4.2000000000000003E-2</v>
      </c>
      <c r="BR103" s="501">
        <v>4.2099999999999999E-2</v>
      </c>
      <c r="BS103" s="501">
        <v>4.2099999999999999E-2</v>
      </c>
      <c r="BT103" s="501">
        <v>4.2999999999999997E-2</v>
      </c>
      <c r="BU103" s="501">
        <v>4.2999999999999997E-2</v>
      </c>
      <c r="BV103" s="501">
        <v>4.2999999999999997E-2</v>
      </c>
      <c r="BW103" s="501">
        <v>4.2999999999999997E-2</v>
      </c>
      <c r="BX103" s="501">
        <v>4.2999999999999997E-2</v>
      </c>
      <c r="BY103" s="501">
        <v>4.2999999999999997E-2</v>
      </c>
      <c r="BZ103" s="501">
        <v>4.2999999999999997E-2</v>
      </c>
      <c r="CA103" s="501">
        <v>4.48E-2</v>
      </c>
      <c r="CB103" s="501">
        <v>4.6300000000000001E-2</v>
      </c>
      <c r="CC103" s="501">
        <v>4.6899999999999997E-2</v>
      </c>
      <c r="CD103" s="501">
        <v>4.7399999999999998E-2</v>
      </c>
      <c r="CE103" s="501">
        <v>4.8000000000000001E-2</v>
      </c>
      <c r="CF103" s="501">
        <v>4.82E-2</v>
      </c>
      <c r="CG103" s="501">
        <v>4.8300000000000003E-2</v>
      </c>
      <c r="CH103" s="501">
        <v>4.9500000000000002E-2</v>
      </c>
      <c r="CI103" s="501">
        <v>4.9799999999999997E-2</v>
      </c>
      <c r="CJ103" s="501">
        <v>5.0299999999999997E-2</v>
      </c>
      <c r="CK103" s="501">
        <v>5.0299999999999997E-2</v>
      </c>
      <c r="CL103" s="501">
        <v>5.0500000000000003E-2</v>
      </c>
      <c r="CM103" s="501">
        <v>5.0700000000000002E-2</v>
      </c>
      <c r="CN103" s="501">
        <v>5.0700000000000002E-2</v>
      </c>
      <c r="CO103" s="501">
        <v>5.0799999999999998E-2</v>
      </c>
      <c r="CP103" s="501">
        <v>5.0200000000000002E-2</v>
      </c>
      <c r="CQ103" s="501">
        <v>5.0299999999999997E-2</v>
      </c>
      <c r="CR103" s="501">
        <v>5.0599999999999999E-2</v>
      </c>
      <c r="CS103" s="501">
        <v>5.0299999999999997E-2</v>
      </c>
      <c r="CT103" s="501">
        <v>5.0200000000000002E-2</v>
      </c>
      <c r="CU103" s="484">
        <v>5.0299999999999997E-2</v>
      </c>
      <c r="CV103" s="501">
        <v>5.0200000000000002E-2</v>
      </c>
      <c r="CW103" s="524">
        <v>5.0200000000000002E-2</v>
      </c>
      <c r="CX103" s="482">
        <v>0.05</v>
      </c>
      <c r="CY103" s="482">
        <v>5.0099999999999999E-2</v>
      </c>
      <c r="CZ103" s="482">
        <v>5.0099999999999999E-2</v>
      </c>
      <c r="DA103" s="482">
        <v>5.0299999999999997E-2</v>
      </c>
      <c r="DB103" s="482">
        <v>5.0299999999999997E-2</v>
      </c>
      <c r="DC103" s="484">
        <v>5.0299999999999997E-2</v>
      </c>
      <c r="DD103" s="484">
        <v>5.04E-2</v>
      </c>
      <c r="DE103" s="484">
        <v>5.0299999999999997E-2</v>
      </c>
      <c r="DF103" s="482">
        <v>5.0099999999999999E-2</v>
      </c>
      <c r="DG103" s="482">
        <v>5.0200000000000002E-2</v>
      </c>
      <c r="DH103" s="482">
        <v>4.9599999999999998E-2</v>
      </c>
      <c r="DI103" s="482">
        <v>5.0200000000000002E-2</v>
      </c>
      <c r="DJ103" s="482">
        <v>4.9700000000000001E-2</v>
      </c>
      <c r="DK103" s="482">
        <v>4.99E-2</v>
      </c>
      <c r="DL103" s="482">
        <v>0.05</v>
      </c>
      <c r="DM103" s="482">
        <v>5.0200000000000002E-2</v>
      </c>
      <c r="DN103" s="482">
        <v>5.0599999999999999E-2</v>
      </c>
      <c r="DO103" s="482">
        <v>5.0599999999999999E-2</v>
      </c>
      <c r="DP103" s="482">
        <v>5.0500000000000003E-2</v>
      </c>
      <c r="DQ103" s="482">
        <v>5.11E-2</v>
      </c>
      <c r="DR103" s="482">
        <v>5.0999999999999997E-2</v>
      </c>
      <c r="DS103" s="482">
        <v>5.11E-2</v>
      </c>
      <c r="DT103" s="482">
        <v>5.11E-2</v>
      </c>
      <c r="DU103" s="482">
        <v>5.1200000000000002E-2</v>
      </c>
      <c r="DV103" s="482">
        <v>5.1200000000000002E-2</v>
      </c>
      <c r="DW103" s="482">
        <v>5.1400000000000001E-2</v>
      </c>
      <c r="DX103" s="482">
        <v>5.1700000000000003E-2</v>
      </c>
      <c r="DY103" s="482">
        <v>5.1299999999999998E-2</v>
      </c>
      <c r="DZ103" s="482">
        <v>5.16E-2</v>
      </c>
      <c r="EA103" s="482">
        <v>5.1700000000000003E-2</v>
      </c>
      <c r="EB103" s="482">
        <v>5.1499999999999997E-2</v>
      </c>
      <c r="EC103" s="482">
        <v>5.1799999999999999E-2</v>
      </c>
      <c r="ED103" s="482">
        <v>5.1400000000000001E-2</v>
      </c>
      <c r="EE103" s="482">
        <v>5.1400000000000001E-2</v>
      </c>
      <c r="EF103" s="482">
        <v>5.1299999999999998E-2</v>
      </c>
      <c r="EG103" s="482">
        <v>5.0999999999999997E-2</v>
      </c>
      <c r="EH103" s="482">
        <v>5.0799999999999998E-2</v>
      </c>
      <c r="EI103" s="482">
        <v>3.6999999999999998E-2</v>
      </c>
      <c r="EJ103" s="482">
        <v>3.5299999999999998E-2</v>
      </c>
      <c r="EK103" s="482">
        <v>3.4599999999999999E-2</v>
      </c>
      <c r="EL103" s="482">
        <v>3.09E-2</v>
      </c>
      <c r="EM103" s="482">
        <v>2.9600000000000001E-2</v>
      </c>
      <c r="EN103" s="482">
        <v>4.8000000000000001E-2</v>
      </c>
      <c r="EO103" s="482">
        <v>4.7899999999999998E-2</v>
      </c>
      <c r="EP103" s="482">
        <v>4.7699999999999999E-2</v>
      </c>
      <c r="EQ103" s="482">
        <v>4.7500000000000001E-2</v>
      </c>
      <c r="ER103" s="482">
        <v>4.7E-2</v>
      </c>
      <c r="ES103" s="482">
        <v>4.6699999999999998E-2</v>
      </c>
      <c r="ET103" s="482">
        <v>4.5600000000000002E-2</v>
      </c>
      <c r="EU103" s="482">
        <v>4.5199999999999997E-2</v>
      </c>
      <c r="EV103" s="482">
        <v>4.5100000000000001E-2</v>
      </c>
      <c r="EW103" s="482">
        <v>4.53E-2</v>
      </c>
      <c r="EX103" s="482">
        <v>4.7300000000000002E-2</v>
      </c>
      <c r="EY103" s="482">
        <v>4.8300000000000003E-2</v>
      </c>
      <c r="EZ103" s="482">
        <v>4.7399999999999998E-2</v>
      </c>
      <c r="FA103" s="484">
        <v>4.7600000000000003E-2</v>
      </c>
      <c r="FB103" s="484">
        <v>4.6600000000000003E-2</v>
      </c>
      <c r="FC103" s="477">
        <v>4.5900000000000003E-2</v>
      </c>
      <c r="FD103" s="477">
        <v>4.5100000000000001E-2</v>
      </c>
      <c r="FE103" s="477">
        <v>4.4299999999999999E-2</v>
      </c>
      <c r="FF103" s="477">
        <v>4.5499999999999999E-2</v>
      </c>
      <c r="FG103" s="477">
        <v>4.5100000000000001E-2</v>
      </c>
      <c r="FH103" s="477">
        <v>4.5100000000000001E-2</v>
      </c>
      <c r="FI103" s="477">
        <v>4.53E-2</v>
      </c>
      <c r="FJ103" s="477">
        <v>4.48E-2</v>
      </c>
      <c r="FK103" s="477">
        <v>4.4999999999999998E-2</v>
      </c>
      <c r="FL103" s="477">
        <v>4.4900000000000002E-2</v>
      </c>
      <c r="FM103" s="477">
        <v>4.4999999999999998E-2</v>
      </c>
      <c r="FN103" s="477">
        <v>4.5699999999999998E-2</v>
      </c>
      <c r="FO103" s="477">
        <v>4.4999999999999998E-2</v>
      </c>
      <c r="FP103" s="477">
        <v>4.4999999999999998E-2</v>
      </c>
      <c r="FQ103" s="477">
        <v>4.4499999999999998E-2</v>
      </c>
      <c r="FR103" s="477">
        <v>4.3499999999999997E-2</v>
      </c>
      <c r="FS103" s="477">
        <v>4.2500000000000003E-2</v>
      </c>
      <c r="FT103" s="477">
        <v>4.19E-2</v>
      </c>
      <c r="FU103" s="477">
        <v>3.8899999999999997E-2</v>
      </c>
      <c r="FV103" s="482">
        <v>4.9099999999999998E-2</v>
      </c>
      <c r="FW103" s="482">
        <v>4.9099999999999998E-2</v>
      </c>
      <c r="FX103" s="482">
        <v>5.0599999999999999E-2</v>
      </c>
      <c r="FY103" s="482">
        <v>0.05</v>
      </c>
      <c r="FZ103" s="482">
        <v>4.9700000000000001E-2</v>
      </c>
      <c r="GA103" s="482">
        <v>4.9299999999999997E-2</v>
      </c>
      <c r="GB103" s="482">
        <v>4.9200000000000001E-2</v>
      </c>
      <c r="GC103" s="482">
        <v>4.9500000000000002E-2</v>
      </c>
      <c r="GD103" s="477">
        <v>3.4599999999999999E-2</v>
      </c>
      <c r="GE103" s="477">
        <v>3.4599999999999999E-2</v>
      </c>
      <c r="GF103" s="477">
        <v>3.4599999999999999E-2</v>
      </c>
      <c r="GG103" s="477">
        <v>3.4599999999999999E-2</v>
      </c>
      <c r="GH103" s="477">
        <v>3.4599999999999999E-2</v>
      </c>
      <c r="GI103" s="477">
        <v>3.4599999999999999E-2</v>
      </c>
      <c r="GJ103" s="477">
        <v>3.4599999999999999E-2</v>
      </c>
      <c r="GK103" s="477">
        <v>3.4599999999999999E-2</v>
      </c>
      <c r="GL103" s="477">
        <v>3.4599999999999999E-2</v>
      </c>
      <c r="GM103" s="477">
        <v>3.4599999999999999E-2</v>
      </c>
      <c r="GN103" s="477">
        <v>3.4599999999999999E-2</v>
      </c>
      <c r="GO103" s="477">
        <v>3.4599999999999999E-2</v>
      </c>
      <c r="GP103" s="477">
        <v>3.4599999999999999E-2</v>
      </c>
      <c r="GQ103" s="477">
        <v>3.4599999999999999E-2</v>
      </c>
      <c r="GR103" s="477">
        <v>3.4599999999999999E-2</v>
      </c>
      <c r="GS103" s="477">
        <v>3.4599999999999999E-2</v>
      </c>
      <c r="GT103" s="477">
        <v>3.4599999999999999E-2</v>
      </c>
      <c r="GU103" s="477">
        <v>3.4599999999999999E-2</v>
      </c>
      <c r="GV103" s="477">
        <v>3.4599999999999999E-2</v>
      </c>
      <c r="GW103" s="477">
        <v>3.4599999999999999E-2</v>
      </c>
      <c r="GX103" s="477">
        <v>3.4599999999999999E-2</v>
      </c>
      <c r="GY103" s="477">
        <v>3.4599999999999999E-2</v>
      </c>
      <c r="GZ103" s="477">
        <v>3.4599999999999999E-2</v>
      </c>
      <c r="HA103" s="477">
        <v>3.4599999999999999E-2</v>
      </c>
      <c r="HB103" s="477">
        <v>3.4599999999999999E-2</v>
      </c>
      <c r="HC103" s="477">
        <v>3.4599999999999999E-2</v>
      </c>
      <c r="HD103" s="477">
        <v>3.4599999999999999E-2</v>
      </c>
      <c r="HE103" s="477">
        <v>3.4599999999999999E-2</v>
      </c>
      <c r="HF103" s="477">
        <v>3.4599999999999999E-2</v>
      </c>
      <c r="HG103" s="477">
        <v>3.4599999999999999E-2</v>
      </c>
      <c r="HH103" s="477">
        <v>3.4599999999999999E-2</v>
      </c>
      <c r="HI103" s="477">
        <v>3.4599999999999999E-2</v>
      </c>
      <c r="HJ103" s="477">
        <v>3.4599999999999999E-2</v>
      </c>
      <c r="HK103" s="477">
        <v>3.4599999999999999E-2</v>
      </c>
      <c r="HL103" s="477">
        <v>3.4599999999999999E-2</v>
      </c>
      <c r="HM103" s="477">
        <v>3.4599999999999999E-2</v>
      </c>
      <c r="HN103" s="477">
        <v>3.4599999999999999E-2</v>
      </c>
      <c r="HO103" s="477">
        <v>3.4599999999999999E-2</v>
      </c>
      <c r="HP103" s="473">
        <f t="shared" si="30"/>
        <v>0</v>
      </c>
      <c r="HQ103" s="1137"/>
    </row>
    <row r="104" spans="2:225">
      <c r="B104" s="1126" t="s">
        <v>39</v>
      </c>
      <c r="C104" s="731" t="s">
        <v>237</v>
      </c>
      <c r="D104" s="657">
        <v>2.9499999999999998E-2</v>
      </c>
      <c r="E104" s="657">
        <v>2.9499999999999998E-2</v>
      </c>
      <c r="F104" s="657">
        <v>2.93E-2</v>
      </c>
      <c r="G104" s="657">
        <v>2.9000000000000001E-2</v>
      </c>
      <c r="H104" s="657">
        <v>2.8500000000000001E-2</v>
      </c>
      <c r="I104" s="657">
        <v>2.86E-2</v>
      </c>
      <c r="J104" s="657">
        <v>2.8500000000000001E-2</v>
      </c>
      <c r="K104" s="657">
        <v>2.87E-2</v>
      </c>
      <c r="L104" s="657">
        <v>2.8799999999999999E-2</v>
      </c>
      <c r="M104" s="657">
        <v>2.8899999999999999E-2</v>
      </c>
      <c r="N104" s="657">
        <v>2.92E-2</v>
      </c>
      <c r="O104" s="657">
        <v>2.9600000000000001E-2</v>
      </c>
      <c r="P104" s="657">
        <v>2.9899999999999999E-2</v>
      </c>
      <c r="Q104" s="657">
        <v>3.04E-2</v>
      </c>
      <c r="R104" s="657">
        <v>3.0700000000000002E-2</v>
      </c>
      <c r="S104" s="657">
        <v>3.0499999999999999E-2</v>
      </c>
      <c r="T104" s="494">
        <v>3.1199999999999999E-2</v>
      </c>
      <c r="U104" s="494">
        <v>3.0800000000000001E-2</v>
      </c>
      <c r="V104" s="494">
        <v>3.09E-2</v>
      </c>
      <c r="W104" s="526">
        <v>3.0499999999999999E-2</v>
      </c>
      <c r="X104" s="526">
        <v>3.0800000000000001E-2</v>
      </c>
      <c r="Y104" s="526">
        <v>3.1100000000000003E-2</v>
      </c>
      <c r="Z104" s="526">
        <v>3.1300000000000001E-2</v>
      </c>
      <c r="AA104" s="526">
        <v>3.1699999999999999E-2</v>
      </c>
      <c r="AB104" s="526">
        <v>3.2199999999999999E-2</v>
      </c>
      <c r="AC104" s="526">
        <v>3.2399999999999998E-2</v>
      </c>
      <c r="AD104" s="526">
        <v>3.27E-2</v>
      </c>
      <c r="AE104" s="526">
        <v>3.3599999999999998E-2</v>
      </c>
      <c r="AF104" s="526">
        <v>3.4000000000000002E-2</v>
      </c>
      <c r="AG104" s="526">
        <v>3.4200000000000001E-2</v>
      </c>
      <c r="AH104" s="478">
        <v>3.44E-2</v>
      </c>
      <c r="AI104" s="503">
        <v>3.4599999999999999E-2</v>
      </c>
      <c r="AJ104" s="503">
        <v>3.5200000000000002E-2</v>
      </c>
      <c r="AK104" s="503">
        <v>3.5400000000000001E-2</v>
      </c>
      <c r="AL104" s="503">
        <v>3.5499999999999997E-2</v>
      </c>
      <c r="AM104" s="503">
        <v>3.5400000000000001E-2</v>
      </c>
      <c r="AN104" s="503">
        <v>3.5299999999999998E-2</v>
      </c>
      <c r="AO104" s="503">
        <v>3.6299999999999999E-2</v>
      </c>
      <c r="AP104" s="478">
        <v>3.6499999999999998E-2</v>
      </c>
      <c r="AQ104" s="503">
        <v>3.6499999999999998E-2</v>
      </c>
      <c r="AR104" s="503">
        <v>3.6400000000000002E-2</v>
      </c>
      <c r="AS104" s="478">
        <v>3.6200000000000003E-2</v>
      </c>
      <c r="AT104" s="478">
        <v>3.6200000000000003E-2</v>
      </c>
      <c r="AU104" s="478">
        <v>3.6200000000000003E-2</v>
      </c>
      <c r="AV104" s="503">
        <v>3.6200000000000003E-2</v>
      </c>
      <c r="AW104" s="479">
        <v>3.5900000000000001E-2</v>
      </c>
      <c r="AX104" s="479">
        <v>3.5900000000000001E-2</v>
      </c>
      <c r="AY104" s="479">
        <v>3.5900000000000001E-2</v>
      </c>
      <c r="AZ104" s="479">
        <v>3.5900000000000001E-2</v>
      </c>
      <c r="BA104" s="479">
        <v>3.5900000000000001E-2</v>
      </c>
      <c r="BB104" s="479">
        <v>3.5900000000000001E-2</v>
      </c>
      <c r="BC104" s="479">
        <v>3.5900000000000001E-2</v>
      </c>
      <c r="BD104" s="479">
        <v>3.6200000000000003E-2</v>
      </c>
      <c r="BE104" s="479">
        <v>3.6200000000000003E-2</v>
      </c>
      <c r="BF104" s="479">
        <v>3.6200000000000003E-2</v>
      </c>
      <c r="BG104" s="479">
        <v>3.6200000000000003E-2</v>
      </c>
      <c r="BH104" s="479">
        <v>3.6200000000000003E-2</v>
      </c>
      <c r="BI104" s="479">
        <v>3.6200000000000003E-2</v>
      </c>
      <c r="BJ104" s="479">
        <v>3.6200000000000003E-2</v>
      </c>
      <c r="BK104" s="479">
        <v>3.6200000000000003E-2</v>
      </c>
      <c r="BL104" s="479">
        <v>3.6700000000000003E-2</v>
      </c>
      <c r="BM104" s="479">
        <v>3.7100000000000001E-2</v>
      </c>
      <c r="BN104" s="479">
        <v>3.7100000000000001E-2</v>
      </c>
      <c r="BO104" s="479">
        <v>3.7100000000000001E-2</v>
      </c>
      <c r="BP104" s="479">
        <v>3.7999999999999999E-2</v>
      </c>
      <c r="BQ104" s="479">
        <v>3.7999999999999999E-2</v>
      </c>
      <c r="BR104" s="479">
        <v>3.8300000000000001E-2</v>
      </c>
      <c r="BS104" s="479">
        <v>3.8300000000000001E-2</v>
      </c>
      <c r="BT104" s="479">
        <v>3.9E-2</v>
      </c>
      <c r="BU104" s="479">
        <v>3.9E-2</v>
      </c>
      <c r="BV104" s="479">
        <v>3.9E-2</v>
      </c>
      <c r="BW104" s="479">
        <v>3.9E-2</v>
      </c>
      <c r="BX104" s="479">
        <v>3.9E-2</v>
      </c>
      <c r="BY104" s="479">
        <v>3.9E-2</v>
      </c>
      <c r="BZ104" s="479">
        <v>3.9E-2</v>
      </c>
      <c r="CA104" s="479">
        <v>4.1399999999999999E-2</v>
      </c>
      <c r="CB104" s="479">
        <v>4.2500000000000003E-2</v>
      </c>
      <c r="CC104" s="479">
        <v>4.3200000000000002E-2</v>
      </c>
      <c r="CD104" s="479">
        <v>4.3900000000000002E-2</v>
      </c>
      <c r="CE104" s="479">
        <v>4.4200000000000003E-2</v>
      </c>
      <c r="CF104" s="479">
        <v>4.4299999999999999E-2</v>
      </c>
      <c r="CG104" s="479">
        <v>4.4400000000000002E-2</v>
      </c>
      <c r="CH104" s="479">
        <v>4.58E-2</v>
      </c>
      <c r="CI104" s="479">
        <v>4.6100000000000002E-2</v>
      </c>
      <c r="CJ104" s="479">
        <v>4.6100000000000002E-2</v>
      </c>
      <c r="CK104" s="479">
        <v>4.6300000000000001E-2</v>
      </c>
      <c r="CL104" s="479">
        <v>4.6300000000000001E-2</v>
      </c>
      <c r="CM104" s="479">
        <v>4.6300000000000001E-2</v>
      </c>
      <c r="CN104" s="479">
        <v>4.6300000000000001E-2</v>
      </c>
      <c r="CO104" s="479">
        <v>4.6399999999999997E-2</v>
      </c>
      <c r="CP104" s="479">
        <v>4.65E-2</v>
      </c>
      <c r="CQ104" s="479">
        <v>4.65E-2</v>
      </c>
      <c r="CR104" s="479">
        <v>4.65E-2</v>
      </c>
      <c r="CS104" s="479">
        <v>4.6399999999999997E-2</v>
      </c>
      <c r="CT104" s="479">
        <v>4.65E-2</v>
      </c>
      <c r="CU104" s="527">
        <v>4.65E-2</v>
      </c>
      <c r="CV104" s="496">
        <v>4.6600000000000003E-2</v>
      </c>
      <c r="CW104" s="472">
        <v>4.65E-2</v>
      </c>
      <c r="CX104" s="472">
        <v>4.65E-2</v>
      </c>
      <c r="CY104" s="472">
        <v>4.65E-2</v>
      </c>
      <c r="CZ104" s="472">
        <v>4.6300000000000001E-2</v>
      </c>
      <c r="DA104" s="472">
        <v>4.6300000000000001E-2</v>
      </c>
      <c r="DB104" s="472">
        <v>4.6100000000000002E-2</v>
      </c>
      <c r="DC104" s="472">
        <v>4.6100000000000002E-2</v>
      </c>
      <c r="DD104" s="472">
        <v>4.5900000000000003E-2</v>
      </c>
      <c r="DE104" s="472">
        <v>4.5900000000000003E-2</v>
      </c>
      <c r="DF104" s="472">
        <v>4.5900000000000003E-2</v>
      </c>
      <c r="DG104" s="472">
        <v>4.5999999999999999E-2</v>
      </c>
      <c r="DH104" s="472">
        <v>4.5999999999999999E-2</v>
      </c>
      <c r="DI104" s="472">
        <v>4.6100000000000002E-2</v>
      </c>
      <c r="DJ104" s="472">
        <v>4.6199999999999998E-2</v>
      </c>
      <c r="DK104" s="472">
        <v>4.6300000000000001E-2</v>
      </c>
      <c r="DL104" s="472">
        <v>4.6600000000000003E-2</v>
      </c>
      <c r="DM104" s="472">
        <v>4.6800000000000001E-2</v>
      </c>
      <c r="DN104" s="472">
        <v>4.7E-2</v>
      </c>
      <c r="DO104" s="472">
        <v>4.7500000000000001E-2</v>
      </c>
      <c r="DP104" s="472">
        <v>4.8000000000000001E-2</v>
      </c>
      <c r="DQ104" s="472">
        <v>4.82E-2</v>
      </c>
      <c r="DR104" s="472">
        <v>4.7E-2</v>
      </c>
      <c r="DS104" s="472">
        <v>4.7399999999999998E-2</v>
      </c>
      <c r="DT104" s="472">
        <v>4.6800000000000001E-2</v>
      </c>
      <c r="DU104" s="472">
        <v>4.6899999999999997E-2</v>
      </c>
      <c r="DV104" s="472">
        <v>4.6600000000000003E-2</v>
      </c>
      <c r="DW104" s="472">
        <v>4.6600000000000003E-2</v>
      </c>
      <c r="DX104" s="472">
        <v>4.6399999999999997E-2</v>
      </c>
      <c r="DY104" s="472">
        <v>4.6100000000000002E-2</v>
      </c>
      <c r="DZ104" s="472">
        <v>4.6199999999999998E-2</v>
      </c>
      <c r="EA104" s="472">
        <v>4.6300000000000001E-2</v>
      </c>
      <c r="EB104" s="472">
        <v>4.6199999999999998E-2</v>
      </c>
      <c r="EC104" s="472">
        <v>4.6199999999999998E-2</v>
      </c>
      <c r="ED104" s="472">
        <v>4.5999999999999999E-2</v>
      </c>
      <c r="EE104" s="472">
        <v>4.5999999999999999E-2</v>
      </c>
      <c r="EF104" s="472">
        <v>4.5900000000000003E-2</v>
      </c>
      <c r="EG104" s="472">
        <v>4.5900000000000003E-2</v>
      </c>
      <c r="EH104" s="472">
        <v>4.6100000000000002E-2</v>
      </c>
      <c r="EI104" s="472">
        <v>3.1300000000000001E-2</v>
      </c>
      <c r="EJ104" s="472">
        <v>3.1300000000000001E-2</v>
      </c>
      <c r="EK104" s="472">
        <v>3.04E-2</v>
      </c>
      <c r="EL104" s="472">
        <v>2.92E-2</v>
      </c>
      <c r="EM104" s="472">
        <v>2.5600000000000001E-2</v>
      </c>
      <c r="EN104" s="472">
        <v>4.4200000000000003E-2</v>
      </c>
      <c r="EO104" s="472">
        <v>4.6100000000000002E-2</v>
      </c>
      <c r="EP104" s="472">
        <v>4.5999999999999999E-2</v>
      </c>
      <c r="EQ104" s="472">
        <v>4.5699999999999998E-2</v>
      </c>
      <c r="ER104" s="472">
        <v>4.5400000000000003E-2</v>
      </c>
      <c r="ES104" s="472">
        <v>4.5600000000000002E-2</v>
      </c>
      <c r="ET104" s="472">
        <v>4.53E-2</v>
      </c>
      <c r="EU104" s="472">
        <v>4.4600000000000001E-2</v>
      </c>
      <c r="EV104" s="472">
        <v>4.53E-2</v>
      </c>
      <c r="EW104" s="472">
        <v>4.4999999999999998E-2</v>
      </c>
      <c r="EX104" s="472">
        <v>4.4299999999999999E-2</v>
      </c>
      <c r="EY104" s="472">
        <v>4.3799999999999999E-2</v>
      </c>
      <c r="EZ104" s="472">
        <v>4.3099999999999999E-2</v>
      </c>
      <c r="FA104" s="484">
        <v>4.3099999999999999E-2</v>
      </c>
      <c r="FB104" s="484">
        <v>4.2500000000000003E-2</v>
      </c>
      <c r="FC104" s="479">
        <v>4.2099999999999999E-2</v>
      </c>
      <c r="FD104" s="479">
        <v>4.1799999999999997E-2</v>
      </c>
      <c r="FE104" s="479">
        <v>4.1500000000000002E-2</v>
      </c>
      <c r="FF104" s="479">
        <v>4.1099999999999998E-2</v>
      </c>
      <c r="FG104" s="479">
        <v>4.0800000000000003E-2</v>
      </c>
      <c r="FH104" s="479">
        <v>4.0800000000000003E-2</v>
      </c>
      <c r="FI104" s="479">
        <v>4.0800000000000003E-2</v>
      </c>
      <c r="FJ104" s="479">
        <v>4.1000000000000002E-2</v>
      </c>
      <c r="FK104" s="479">
        <v>4.0899999999999999E-2</v>
      </c>
      <c r="FL104" s="479">
        <v>4.07E-2</v>
      </c>
      <c r="FM104" s="479">
        <v>3.7900000000000003E-2</v>
      </c>
      <c r="FN104" s="479">
        <v>3.78E-2</v>
      </c>
      <c r="FO104" s="479">
        <v>3.7400000000000003E-2</v>
      </c>
      <c r="FP104" s="479">
        <v>3.7100000000000001E-2</v>
      </c>
      <c r="FQ104" s="479">
        <v>3.7100000000000001E-2</v>
      </c>
      <c r="FR104" s="479">
        <v>3.6900000000000002E-2</v>
      </c>
      <c r="FS104" s="479">
        <v>3.7600000000000001E-2</v>
      </c>
      <c r="FT104" s="479">
        <v>3.6299999999999999E-2</v>
      </c>
      <c r="FU104" s="479">
        <v>3.32E-2</v>
      </c>
      <c r="FV104" s="472">
        <v>4.5400000000000003E-2</v>
      </c>
      <c r="FW104" s="472">
        <v>4.53E-2</v>
      </c>
      <c r="FX104" s="472">
        <v>4.5999999999999999E-2</v>
      </c>
      <c r="FY104" s="472">
        <v>4.58E-2</v>
      </c>
      <c r="FZ104" s="472">
        <v>4.5499999999999999E-2</v>
      </c>
      <c r="GA104" s="472">
        <v>4.5400000000000003E-2</v>
      </c>
      <c r="GB104" s="472">
        <v>4.5400000000000003E-2</v>
      </c>
      <c r="GC104" s="472">
        <v>4.53E-2</v>
      </c>
      <c r="GD104" s="479">
        <v>3.04E-2</v>
      </c>
      <c r="GE104" s="479">
        <v>3.04E-2</v>
      </c>
      <c r="GF104" s="479">
        <v>3.04E-2</v>
      </c>
      <c r="GG104" s="479">
        <v>3.04E-2</v>
      </c>
      <c r="GH104" s="479">
        <v>3.04E-2</v>
      </c>
      <c r="GI104" s="479">
        <v>3.04E-2</v>
      </c>
      <c r="GJ104" s="479">
        <v>3.04E-2</v>
      </c>
      <c r="GK104" s="479">
        <v>3.04E-2</v>
      </c>
      <c r="GL104" s="479">
        <v>3.04E-2</v>
      </c>
      <c r="GM104" s="479">
        <v>3.04E-2</v>
      </c>
      <c r="GN104" s="479">
        <v>3.04E-2</v>
      </c>
      <c r="GO104" s="479">
        <v>3.04E-2</v>
      </c>
      <c r="GP104" s="479">
        <v>3.04E-2</v>
      </c>
      <c r="GQ104" s="479">
        <v>3.04E-2</v>
      </c>
      <c r="GR104" s="479">
        <v>3.04E-2</v>
      </c>
      <c r="GS104" s="479">
        <v>3.04E-2</v>
      </c>
      <c r="GT104" s="479">
        <v>3.04E-2</v>
      </c>
      <c r="GU104" s="479">
        <v>3.04E-2</v>
      </c>
      <c r="GV104" s="479">
        <v>3.04E-2</v>
      </c>
      <c r="GW104" s="479">
        <v>3.04E-2</v>
      </c>
      <c r="GX104" s="479">
        <v>3.04E-2</v>
      </c>
      <c r="GY104" s="479">
        <v>3.04E-2</v>
      </c>
      <c r="GZ104" s="479">
        <v>3.04E-2</v>
      </c>
      <c r="HA104" s="479">
        <v>3.04E-2</v>
      </c>
      <c r="HB104" s="479">
        <v>3.04E-2</v>
      </c>
      <c r="HC104" s="479">
        <v>3.04E-2</v>
      </c>
      <c r="HD104" s="479">
        <v>3.04E-2</v>
      </c>
      <c r="HE104" s="479">
        <v>3.04E-2</v>
      </c>
      <c r="HF104" s="479">
        <v>3.04E-2</v>
      </c>
      <c r="HG104" s="479">
        <v>3.04E-2</v>
      </c>
      <c r="HH104" s="479">
        <v>3.04E-2</v>
      </c>
      <c r="HI104" s="479">
        <v>3.04E-2</v>
      </c>
      <c r="HJ104" s="479">
        <v>3.04E-2</v>
      </c>
      <c r="HK104" s="479">
        <v>3.04E-2</v>
      </c>
      <c r="HL104" s="479">
        <v>3.04E-2</v>
      </c>
      <c r="HM104" s="479">
        <v>3.04E-2</v>
      </c>
      <c r="HN104" s="479">
        <v>3.04E-2</v>
      </c>
      <c r="HO104" s="479">
        <v>3.04E-2</v>
      </c>
      <c r="HP104" s="473">
        <f t="shared" si="30"/>
        <v>0</v>
      </c>
      <c r="HQ104" s="1145"/>
    </row>
    <row r="105" spans="2:225">
      <c r="B105" s="1127"/>
      <c r="C105" s="731" t="s">
        <v>236</v>
      </c>
      <c r="D105" s="657">
        <v>3.0800000000000001E-2</v>
      </c>
      <c r="E105" s="657">
        <v>3.0800000000000001E-2</v>
      </c>
      <c r="F105" s="657">
        <v>3.0599999999999999E-2</v>
      </c>
      <c r="G105" s="657">
        <v>3.0499999999999999E-2</v>
      </c>
      <c r="H105" s="657">
        <v>2.98E-2</v>
      </c>
      <c r="I105" s="657">
        <v>2.9899999999999999E-2</v>
      </c>
      <c r="J105" s="657">
        <v>2.98E-2</v>
      </c>
      <c r="K105" s="657">
        <v>0.03</v>
      </c>
      <c r="L105" s="657">
        <v>3.0700000000000002E-2</v>
      </c>
      <c r="M105" s="657">
        <v>3.0200000000000001E-2</v>
      </c>
      <c r="N105" s="657">
        <v>3.0499999999999999E-2</v>
      </c>
      <c r="O105" s="657">
        <v>3.09E-2</v>
      </c>
      <c r="P105" s="657">
        <v>3.1199999999999999E-2</v>
      </c>
      <c r="Q105" s="657">
        <v>3.1699999999999999E-2</v>
      </c>
      <c r="R105" s="657">
        <v>3.2000000000000001E-2</v>
      </c>
      <c r="S105" s="657">
        <v>3.1800000000000002E-2</v>
      </c>
      <c r="T105" s="494">
        <v>3.2500000000000001E-2</v>
      </c>
      <c r="U105" s="494">
        <v>3.2099999999999997E-2</v>
      </c>
      <c r="V105" s="494">
        <v>3.2199999999999999E-2</v>
      </c>
      <c r="W105" s="526">
        <v>3.1800000000000002E-2</v>
      </c>
      <c r="X105" s="526">
        <v>3.2100000000000004E-2</v>
      </c>
      <c r="Y105" s="526">
        <v>3.2400000000000005E-2</v>
      </c>
      <c r="Z105" s="526">
        <v>3.2600000000000004E-2</v>
      </c>
      <c r="AA105" s="526">
        <v>3.3000000000000002E-2</v>
      </c>
      <c r="AB105" s="526">
        <v>3.3500000000000002E-2</v>
      </c>
      <c r="AC105" s="526">
        <v>3.3700000000000001E-2</v>
      </c>
      <c r="AD105" s="526">
        <v>3.4000000000000002E-2</v>
      </c>
      <c r="AE105" s="526">
        <v>3.49E-2</v>
      </c>
      <c r="AF105" s="526">
        <v>3.5299999999999998E-2</v>
      </c>
      <c r="AG105" s="526">
        <v>3.5499999999999997E-2</v>
      </c>
      <c r="AH105" s="478">
        <v>3.5700000000000003E-2</v>
      </c>
      <c r="AI105" s="503">
        <v>3.5900000000000001E-2</v>
      </c>
      <c r="AJ105" s="503">
        <v>3.6499999999999998E-2</v>
      </c>
      <c r="AK105" s="503">
        <v>3.6700000000000003E-2</v>
      </c>
      <c r="AL105" s="503">
        <v>3.6799999999999999E-2</v>
      </c>
      <c r="AM105" s="503">
        <v>3.6700000000000003E-2</v>
      </c>
      <c r="AN105" s="503">
        <v>3.6600000000000001E-2</v>
      </c>
      <c r="AO105" s="503">
        <v>3.7100000000000001E-2</v>
      </c>
      <c r="AP105" s="478">
        <v>3.73E-2</v>
      </c>
      <c r="AQ105" s="503">
        <v>3.73E-2</v>
      </c>
      <c r="AR105" s="503">
        <v>3.7199999999999997E-2</v>
      </c>
      <c r="AS105" s="478">
        <v>3.6999999999999998E-2</v>
      </c>
      <c r="AT105" s="478">
        <v>3.6999999999999998E-2</v>
      </c>
      <c r="AU105" s="478">
        <v>3.6999999999999998E-2</v>
      </c>
      <c r="AV105" s="503">
        <v>3.6999999999999998E-2</v>
      </c>
      <c r="AW105" s="479">
        <f t="shared" ref="AW105:BC105" si="34">AW104+0.1%</f>
        <v>3.6900000000000002E-2</v>
      </c>
      <c r="AX105" s="479">
        <f t="shared" si="34"/>
        <v>3.6900000000000002E-2</v>
      </c>
      <c r="AY105" s="479">
        <f t="shared" si="34"/>
        <v>3.6900000000000002E-2</v>
      </c>
      <c r="AZ105" s="479">
        <f t="shared" si="34"/>
        <v>3.6900000000000002E-2</v>
      </c>
      <c r="BA105" s="479">
        <f t="shared" si="34"/>
        <v>3.6900000000000002E-2</v>
      </c>
      <c r="BB105" s="479">
        <f t="shared" si="34"/>
        <v>3.6900000000000002E-2</v>
      </c>
      <c r="BC105" s="479">
        <f t="shared" si="34"/>
        <v>3.6900000000000002E-2</v>
      </c>
      <c r="BD105" s="479">
        <v>3.6999999999999998E-2</v>
      </c>
      <c r="BE105" s="479">
        <v>3.6999999999999998E-2</v>
      </c>
      <c r="BF105" s="479">
        <v>3.6999999999999998E-2</v>
      </c>
      <c r="BG105" s="479">
        <v>3.6999999999999998E-2</v>
      </c>
      <c r="BH105" s="479">
        <v>3.6999999999999998E-2</v>
      </c>
      <c r="BI105" s="479">
        <v>3.6999999999999998E-2</v>
      </c>
      <c r="BJ105" s="479">
        <v>3.6999999999999998E-2</v>
      </c>
      <c r="BK105" s="479">
        <v>3.6999999999999998E-2</v>
      </c>
      <c r="BL105" s="479">
        <v>3.7499999999999999E-2</v>
      </c>
      <c r="BM105" s="479">
        <v>3.7900000000000003E-2</v>
      </c>
      <c r="BN105" s="479">
        <v>3.7900000000000003E-2</v>
      </c>
      <c r="BO105" s="479">
        <v>3.7900000000000003E-2</v>
      </c>
      <c r="BP105" s="479">
        <v>3.8800000000000001E-2</v>
      </c>
      <c r="BQ105" s="479">
        <v>3.8800000000000001E-2</v>
      </c>
      <c r="BR105" s="479">
        <v>3.9100000000000003E-2</v>
      </c>
      <c r="BS105" s="479">
        <v>3.9100000000000003E-2</v>
      </c>
      <c r="BT105" s="479">
        <v>3.9800000000000002E-2</v>
      </c>
      <c r="BU105" s="479">
        <v>3.9800000000000002E-2</v>
      </c>
      <c r="BV105" s="479">
        <v>3.9800000000000002E-2</v>
      </c>
      <c r="BW105" s="479">
        <v>3.9800000000000002E-2</v>
      </c>
      <c r="BX105" s="479">
        <v>3.9800000000000002E-2</v>
      </c>
      <c r="BY105" s="479">
        <v>3.9800000000000002E-2</v>
      </c>
      <c r="BZ105" s="479">
        <v>3.9800000000000002E-2</v>
      </c>
      <c r="CA105" s="479">
        <v>4.2200000000000001E-2</v>
      </c>
      <c r="CB105" s="479">
        <v>4.3299999999999998E-2</v>
      </c>
      <c r="CC105" s="479">
        <v>4.3999999999999997E-2</v>
      </c>
      <c r="CD105" s="479">
        <v>4.4699999999999997E-2</v>
      </c>
      <c r="CE105" s="479">
        <v>4.4999999999999998E-2</v>
      </c>
      <c r="CF105" s="479">
        <v>4.5100000000000001E-2</v>
      </c>
      <c r="CG105" s="479">
        <v>4.5199999999999997E-2</v>
      </c>
      <c r="CH105" s="479">
        <v>4.6600000000000003E-2</v>
      </c>
      <c r="CI105" s="479">
        <v>4.6899999999999997E-2</v>
      </c>
      <c r="CJ105" s="479">
        <v>4.6899999999999997E-2</v>
      </c>
      <c r="CK105" s="479">
        <v>4.7100000000000003E-2</v>
      </c>
      <c r="CL105" s="479">
        <v>4.7100000000000003E-2</v>
      </c>
      <c r="CM105" s="479">
        <v>4.7100000000000003E-2</v>
      </c>
      <c r="CN105" s="479">
        <v>4.7100000000000003E-2</v>
      </c>
      <c r="CO105" s="479">
        <v>4.7199999999999999E-2</v>
      </c>
      <c r="CP105" s="479">
        <v>4.7300000000000002E-2</v>
      </c>
      <c r="CQ105" s="479">
        <v>4.7300000000000002E-2</v>
      </c>
      <c r="CR105" s="479">
        <v>4.7300000000000002E-2</v>
      </c>
      <c r="CS105" s="479">
        <v>4.7199999999999999E-2</v>
      </c>
      <c r="CT105" s="479">
        <v>4.7300000000000002E-2</v>
      </c>
      <c r="CU105" s="484">
        <v>4.7300000000000002E-2</v>
      </c>
      <c r="CV105" s="496">
        <v>4.7399999999999998E-2</v>
      </c>
      <c r="CW105" s="472">
        <v>4.7300000000000002E-2</v>
      </c>
      <c r="CX105" s="472">
        <v>4.7300000000000002E-2</v>
      </c>
      <c r="CY105" s="472">
        <v>4.7300000000000002E-2</v>
      </c>
      <c r="CZ105" s="472">
        <v>4.7100000000000003E-2</v>
      </c>
      <c r="DA105" s="472">
        <v>4.7100000000000003E-2</v>
      </c>
      <c r="DB105" s="472">
        <v>4.6899999999999997E-2</v>
      </c>
      <c r="DC105" s="472">
        <v>4.6899999999999997E-2</v>
      </c>
      <c r="DD105" s="472">
        <v>4.6699999999999998E-2</v>
      </c>
      <c r="DE105" s="472">
        <v>4.6699999999999998E-2</v>
      </c>
      <c r="DF105" s="472">
        <v>4.6699999999999998E-2</v>
      </c>
      <c r="DG105" s="472">
        <v>4.6800000000000001E-2</v>
      </c>
      <c r="DH105" s="472">
        <v>4.6800000000000001E-2</v>
      </c>
      <c r="DI105" s="472">
        <v>4.6899999999999997E-2</v>
      </c>
      <c r="DJ105" s="472">
        <v>4.7E-2</v>
      </c>
      <c r="DK105" s="472">
        <v>4.7100000000000003E-2</v>
      </c>
      <c r="DL105" s="472">
        <v>4.7399999999999998E-2</v>
      </c>
      <c r="DM105" s="472">
        <v>4.7600000000000003E-2</v>
      </c>
      <c r="DN105" s="472">
        <v>4.7800000000000002E-2</v>
      </c>
      <c r="DO105" s="472">
        <v>4.8300000000000003E-2</v>
      </c>
      <c r="DP105" s="472">
        <v>4.8800000000000003E-2</v>
      </c>
      <c r="DQ105" s="472">
        <v>4.9000000000000002E-2</v>
      </c>
      <c r="DR105" s="472">
        <v>4.7300000000000002E-2</v>
      </c>
      <c r="DS105" s="472">
        <v>4.7699999999999999E-2</v>
      </c>
      <c r="DT105" s="472">
        <v>4.6800000000000001E-2</v>
      </c>
      <c r="DU105" s="472">
        <v>4.6899999999999997E-2</v>
      </c>
      <c r="DV105" s="472">
        <v>4.6600000000000003E-2</v>
      </c>
      <c r="DW105" s="472">
        <v>4.6600000000000003E-2</v>
      </c>
      <c r="DX105" s="472">
        <v>4.6399999999999997E-2</v>
      </c>
      <c r="DY105" s="472">
        <v>4.6100000000000002E-2</v>
      </c>
      <c r="DZ105" s="472">
        <v>4.6199999999999998E-2</v>
      </c>
      <c r="EA105" s="472">
        <v>4.6300000000000001E-2</v>
      </c>
      <c r="EB105" s="472">
        <v>4.6199999999999998E-2</v>
      </c>
      <c r="EC105" s="472">
        <v>4.6199999999999998E-2</v>
      </c>
      <c r="ED105" s="472">
        <v>4.5999999999999999E-2</v>
      </c>
      <c r="EE105" s="472">
        <v>4.5999999999999999E-2</v>
      </c>
      <c r="EF105" s="472">
        <v>4.5900000000000003E-2</v>
      </c>
      <c r="EG105" s="472">
        <v>4.5900000000000003E-2</v>
      </c>
      <c r="EH105" s="472">
        <v>4.6100000000000002E-2</v>
      </c>
      <c r="EI105" s="472">
        <v>3.2300000000000002E-2</v>
      </c>
      <c r="EJ105" s="472">
        <v>3.2300000000000002E-2</v>
      </c>
      <c r="EK105" s="472">
        <v>3.1399999999999997E-2</v>
      </c>
      <c r="EL105" s="472">
        <v>3.0200000000000001E-2</v>
      </c>
      <c r="EM105" s="472">
        <v>2.6599999999999999E-2</v>
      </c>
      <c r="EN105" s="472">
        <v>4.4200000000000003E-2</v>
      </c>
      <c r="EO105" s="472">
        <v>4.6100000000000002E-2</v>
      </c>
      <c r="EP105" s="472">
        <v>4.5999999999999999E-2</v>
      </c>
      <c r="EQ105" s="472">
        <v>4.5699999999999998E-2</v>
      </c>
      <c r="ER105" s="472">
        <v>4.5400000000000003E-2</v>
      </c>
      <c r="ES105" s="472">
        <v>4.5600000000000002E-2</v>
      </c>
      <c r="ET105" s="472">
        <v>4.53E-2</v>
      </c>
      <c r="EU105" s="472">
        <v>4.4600000000000001E-2</v>
      </c>
      <c r="EV105" s="472">
        <v>4.53E-2</v>
      </c>
      <c r="EW105" s="472">
        <v>4.4999999999999998E-2</v>
      </c>
      <c r="EX105" s="472">
        <v>4.4299999999999999E-2</v>
      </c>
      <c r="EY105" s="472">
        <v>4.3799999999999999E-2</v>
      </c>
      <c r="EZ105" s="472">
        <v>4.3099999999999999E-2</v>
      </c>
      <c r="FA105" s="484">
        <v>4.3099999999999999E-2</v>
      </c>
      <c r="FB105" s="484">
        <v>4.2500000000000003E-2</v>
      </c>
      <c r="FC105" s="479">
        <v>4.2099999999999999E-2</v>
      </c>
      <c r="FD105" s="479">
        <v>4.1799999999999997E-2</v>
      </c>
      <c r="FE105" s="479">
        <v>4.1500000000000002E-2</v>
      </c>
      <c r="FF105" s="479">
        <v>4.1099999999999998E-2</v>
      </c>
      <c r="FG105" s="479">
        <v>4.0800000000000003E-2</v>
      </c>
      <c r="FH105" s="479">
        <v>4.0800000000000003E-2</v>
      </c>
      <c r="FI105" s="479">
        <v>4.0800000000000003E-2</v>
      </c>
      <c r="FJ105" s="479">
        <v>4.1000000000000002E-2</v>
      </c>
      <c r="FK105" s="479">
        <v>4.0899999999999999E-2</v>
      </c>
      <c r="FL105" s="479">
        <v>4.07E-2</v>
      </c>
      <c r="FM105" s="479">
        <v>3.8899999999999997E-2</v>
      </c>
      <c r="FN105" s="479">
        <v>3.8800000000000001E-2</v>
      </c>
      <c r="FO105" s="479">
        <v>3.8399999999999997E-2</v>
      </c>
      <c r="FP105" s="479">
        <v>3.8100000000000002E-2</v>
      </c>
      <c r="FQ105" s="479">
        <v>3.8100000000000002E-2</v>
      </c>
      <c r="FR105" s="479">
        <v>3.7900000000000003E-2</v>
      </c>
      <c r="FS105" s="479">
        <v>3.8600000000000002E-2</v>
      </c>
      <c r="FT105" s="479">
        <v>3.73E-2</v>
      </c>
      <c r="FU105" s="479">
        <v>3.4200000000000001E-2</v>
      </c>
      <c r="FV105" s="472">
        <v>4.5400000000000003E-2</v>
      </c>
      <c r="FW105" s="472">
        <v>4.53E-2</v>
      </c>
      <c r="FX105" s="472">
        <v>4.5999999999999999E-2</v>
      </c>
      <c r="FY105" s="472">
        <v>4.58E-2</v>
      </c>
      <c r="FZ105" s="472">
        <v>4.5499999999999999E-2</v>
      </c>
      <c r="GA105" s="472">
        <v>4.5400000000000003E-2</v>
      </c>
      <c r="GB105" s="472">
        <v>4.5400000000000003E-2</v>
      </c>
      <c r="GC105" s="472">
        <v>4.53E-2</v>
      </c>
      <c r="GD105" s="479">
        <v>3.1399999999999997E-2</v>
      </c>
      <c r="GE105" s="479">
        <v>3.1399999999999997E-2</v>
      </c>
      <c r="GF105" s="479">
        <v>3.1399999999999997E-2</v>
      </c>
      <c r="GG105" s="479">
        <v>3.1399999999999997E-2</v>
      </c>
      <c r="GH105" s="479">
        <v>3.1399999999999997E-2</v>
      </c>
      <c r="GI105" s="479">
        <v>3.1399999999999997E-2</v>
      </c>
      <c r="GJ105" s="479">
        <v>3.1399999999999997E-2</v>
      </c>
      <c r="GK105" s="479">
        <v>3.1399999999999997E-2</v>
      </c>
      <c r="GL105" s="479">
        <v>3.1399999999999997E-2</v>
      </c>
      <c r="GM105" s="479">
        <v>3.1399999999999997E-2</v>
      </c>
      <c r="GN105" s="479">
        <v>3.1399999999999997E-2</v>
      </c>
      <c r="GO105" s="479">
        <v>3.1399999999999997E-2</v>
      </c>
      <c r="GP105" s="479">
        <v>3.1399999999999997E-2</v>
      </c>
      <c r="GQ105" s="479">
        <v>3.1399999999999997E-2</v>
      </c>
      <c r="GR105" s="479">
        <v>3.1399999999999997E-2</v>
      </c>
      <c r="GS105" s="479">
        <v>3.1399999999999997E-2</v>
      </c>
      <c r="GT105" s="479">
        <v>3.1399999999999997E-2</v>
      </c>
      <c r="GU105" s="479">
        <v>3.1399999999999997E-2</v>
      </c>
      <c r="GV105" s="479">
        <v>3.1399999999999997E-2</v>
      </c>
      <c r="GW105" s="479">
        <v>3.1399999999999997E-2</v>
      </c>
      <c r="GX105" s="479">
        <v>3.1399999999999997E-2</v>
      </c>
      <c r="GY105" s="479">
        <v>3.1399999999999997E-2</v>
      </c>
      <c r="GZ105" s="479">
        <v>3.1399999999999997E-2</v>
      </c>
      <c r="HA105" s="479">
        <v>3.1399999999999997E-2</v>
      </c>
      <c r="HB105" s="479">
        <v>3.1399999999999997E-2</v>
      </c>
      <c r="HC105" s="479">
        <v>3.1399999999999997E-2</v>
      </c>
      <c r="HD105" s="479">
        <v>3.1399999999999997E-2</v>
      </c>
      <c r="HE105" s="479">
        <v>3.1399999999999997E-2</v>
      </c>
      <c r="HF105" s="479">
        <v>3.1399999999999997E-2</v>
      </c>
      <c r="HG105" s="479">
        <v>3.1399999999999997E-2</v>
      </c>
      <c r="HH105" s="479">
        <v>3.1399999999999997E-2</v>
      </c>
      <c r="HI105" s="479">
        <v>3.1399999999999997E-2</v>
      </c>
      <c r="HJ105" s="479">
        <v>3.1399999999999997E-2</v>
      </c>
      <c r="HK105" s="479">
        <v>3.1399999999999997E-2</v>
      </c>
      <c r="HL105" s="479">
        <v>3.1399999999999997E-2</v>
      </c>
      <c r="HM105" s="479">
        <v>3.1399999999999997E-2</v>
      </c>
      <c r="HN105" s="479">
        <v>3.1399999999999997E-2</v>
      </c>
      <c r="HO105" s="479">
        <v>3.1399999999999997E-2</v>
      </c>
      <c r="HP105" s="473">
        <f t="shared" si="30"/>
        <v>0</v>
      </c>
      <c r="HQ105" s="1146"/>
    </row>
    <row r="106" spans="2:225">
      <c r="B106" s="1127"/>
      <c r="C106" s="731" t="s">
        <v>235</v>
      </c>
      <c r="D106" s="657">
        <v>3.15E-2</v>
      </c>
      <c r="E106" s="657">
        <v>3.15E-2</v>
      </c>
      <c r="F106" s="657">
        <v>3.1300000000000001E-2</v>
      </c>
      <c r="G106" s="657">
        <v>3.1E-2</v>
      </c>
      <c r="H106" s="657">
        <v>3.0499999999999999E-2</v>
      </c>
      <c r="I106" s="657">
        <v>3.0599999999999999E-2</v>
      </c>
      <c r="J106" s="657">
        <v>3.0499999999999999E-2</v>
      </c>
      <c r="K106" s="657">
        <v>3.0700000000000002E-2</v>
      </c>
      <c r="L106" s="657">
        <v>3.1199999999999999E-2</v>
      </c>
      <c r="M106" s="657">
        <v>3.09E-2</v>
      </c>
      <c r="N106" s="657">
        <v>3.1199999999999999E-2</v>
      </c>
      <c r="O106" s="657">
        <v>3.1600000000000003E-2</v>
      </c>
      <c r="P106" s="657">
        <v>3.1899999999999998E-2</v>
      </c>
      <c r="Q106" s="657">
        <v>3.2399999999999998E-2</v>
      </c>
      <c r="R106" s="657">
        <v>3.27E-2</v>
      </c>
      <c r="S106" s="657">
        <v>3.2500000000000001E-2</v>
      </c>
      <c r="T106" s="494">
        <v>3.32E-2</v>
      </c>
      <c r="U106" s="494">
        <v>3.2799999999999996E-2</v>
      </c>
      <c r="V106" s="494">
        <v>3.2899999999999999E-2</v>
      </c>
      <c r="W106" s="526">
        <v>3.2500000000000001E-2</v>
      </c>
      <c r="X106" s="526">
        <v>3.2800000000000003E-2</v>
      </c>
      <c r="Y106" s="526">
        <v>3.3100000000000004E-2</v>
      </c>
      <c r="Z106" s="526">
        <v>3.3300000000000003E-2</v>
      </c>
      <c r="AA106" s="526">
        <v>3.3700000000000001E-2</v>
      </c>
      <c r="AB106" s="526">
        <v>3.4200000000000001E-2</v>
      </c>
      <c r="AC106" s="526">
        <v>3.44E-2</v>
      </c>
      <c r="AD106" s="526">
        <v>3.4700000000000002E-2</v>
      </c>
      <c r="AE106" s="526">
        <v>3.56E-2</v>
      </c>
      <c r="AF106" s="526">
        <v>3.5999999999999997E-2</v>
      </c>
      <c r="AG106" s="526">
        <v>3.6200000000000003E-2</v>
      </c>
      <c r="AH106" s="478">
        <v>3.6400000000000002E-2</v>
      </c>
      <c r="AI106" s="503">
        <v>3.6600000000000001E-2</v>
      </c>
      <c r="AJ106" s="503">
        <v>3.7199999999999997E-2</v>
      </c>
      <c r="AK106" s="503">
        <v>3.7400000000000003E-2</v>
      </c>
      <c r="AL106" s="503">
        <v>3.7499999999999999E-2</v>
      </c>
      <c r="AM106" s="503">
        <v>3.7400000000000003E-2</v>
      </c>
      <c r="AN106" s="478">
        <v>3.73E-2</v>
      </c>
      <c r="AO106" s="503">
        <v>3.73E-2</v>
      </c>
      <c r="AP106" s="478">
        <v>3.7499999999999999E-2</v>
      </c>
      <c r="AQ106" s="503">
        <v>3.7499999999999999E-2</v>
      </c>
      <c r="AR106" s="503">
        <v>3.7399999999999996E-2</v>
      </c>
      <c r="AS106" s="478">
        <v>3.7199999999999997E-2</v>
      </c>
      <c r="AT106" s="478">
        <v>3.7199999999999997E-2</v>
      </c>
      <c r="AU106" s="478">
        <v>3.7199999999999997E-2</v>
      </c>
      <c r="AV106" s="503">
        <v>3.7199999999999997E-2</v>
      </c>
      <c r="AW106" s="479">
        <f t="shared" ref="AW106:BC106" si="35">AW105</f>
        <v>3.6900000000000002E-2</v>
      </c>
      <c r="AX106" s="479">
        <f t="shared" si="35"/>
        <v>3.6900000000000002E-2</v>
      </c>
      <c r="AY106" s="479">
        <f t="shared" si="35"/>
        <v>3.6900000000000002E-2</v>
      </c>
      <c r="AZ106" s="479">
        <f t="shared" si="35"/>
        <v>3.6900000000000002E-2</v>
      </c>
      <c r="BA106" s="479">
        <f t="shared" si="35"/>
        <v>3.6900000000000002E-2</v>
      </c>
      <c r="BB106" s="479">
        <f t="shared" si="35"/>
        <v>3.6900000000000002E-2</v>
      </c>
      <c r="BC106" s="479">
        <f t="shared" si="35"/>
        <v>3.6900000000000002E-2</v>
      </c>
      <c r="BD106" s="479">
        <v>3.7199999999999997E-2</v>
      </c>
      <c r="BE106" s="479">
        <v>3.7199999999999997E-2</v>
      </c>
      <c r="BF106" s="479">
        <v>3.7199999999999997E-2</v>
      </c>
      <c r="BG106" s="479">
        <v>3.7199999999999997E-2</v>
      </c>
      <c r="BH106" s="479">
        <v>3.7199999999999997E-2</v>
      </c>
      <c r="BI106" s="479">
        <v>3.7199999999999997E-2</v>
      </c>
      <c r="BJ106" s="479">
        <v>3.7199999999999997E-2</v>
      </c>
      <c r="BK106" s="479">
        <v>3.7199999999999997E-2</v>
      </c>
      <c r="BL106" s="479">
        <v>3.7699999999999997E-2</v>
      </c>
      <c r="BM106" s="479">
        <v>3.8100000000000002E-2</v>
      </c>
      <c r="BN106" s="479">
        <v>3.8100000000000002E-2</v>
      </c>
      <c r="BO106" s="479">
        <v>3.8100000000000002E-2</v>
      </c>
      <c r="BP106" s="479">
        <v>3.9E-2</v>
      </c>
      <c r="BQ106" s="479">
        <v>3.9E-2</v>
      </c>
      <c r="BR106" s="479">
        <v>3.9300000000000002E-2</v>
      </c>
      <c r="BS106" s="479">
        <v>3.9300000000000002E-2</v>
      </c>
      <c r="BT106" s="479">
        <v>0.04</v>
      </c>
      <c r="BU106" s="479">
        <v>0.04</v>
      </c>
      <c r="BV106" s="479">
        <v>0.04</v>
      </c>
      <c r="BW106" s="479">
        <v>0.04</v>
      </c>
      <c r="BX106" s="479">
        <v>0.04</v>
      </c>
      <c r="BY106" s="479">
        <v>0.04</v>
      </c>
      <c r="BZ106" s="479">
        <v>0.04</v>
      </c>
      <c r="CA106" s="479">
        <v>4.24E-2</v>
      </c>
      <c r="CB106" s="479">
        <v>4.3499999999999997E-2</v>
      </c>
      <c r="CC106" s="479">
        <v>4.4200000000000003E-2</v>
      </c>
      <c r="CD106" s="479">
        <v>4.4900000000000002E-2</v>
      </c>
      <c r="CE106" s="479">
        <v>4.5199999999999997E-2</v>
      </c>
      <c r="CF106" s="479">
        <v>4.53E-2</v>
      </c>
      <c r="CG106" s="479">
        <v>4.5400000000000003E-2</v>
      </c>
      <c r="CH106" s="479">
        <v>4.6800000000000001E-2</v>
      </c>
      <c r="CI106" s="479">
        <v>4.7100000000000003E-2</v>
      </c>
      <c r="CJ106" s="479">
        <v>4.7100000000000003E-2</v>
      </c>
      <c r="CK106" s="479">
        <v>4.7300000000000002E-2</v>
      </c>
      <c r="CL106" s="479">
        <v>4.7300000000000002E-2</v>
      </c>
      <c r="CM106" s="479">
        <v>4.7300000000000002E-2</v>
      </c>
      <c r="CN106" s="479">
        <v>4.7300000000000002E-2</v>
      </c>
      <c r="CO106" s="479">
        <v>4.7399999999999998E-2</v>
      </c>
      <c r="CP106" s="479">
        <v>4.7500000000000001E-2</v>
      </c>
      <c r="CQ106" s="479">
        <v>4.7500000000000001E-2</v>
      </c>
      <c r="CR106" s="479">
        <v>4.7500000000000001E-2</v>
      </c>
      <c r="CS106" s="479">
        <v>4.7399999999999998E-2</v>
      </c>
      <c r="CT106" s="479">
        <v>4.7500000000000001E-2</v>
      </c>
      <c r="CU106" s="484">
        <v>4.7500000000000001E-2</v>
      </c>
      <c r="CV106" s="496">
        <v>4.7600000000000003E-2</v>
      </c>
      <c r="CW106" s="472">
        <v>4.7500000000000001E-2</v>
      </c>
      <c r="CX106" s="472">
        <v>4.7500000000000001E-2</v>
      </c>
      <c r="CY106" s="472">
        <v>4.7500000000000001E-2</v>
      </c>
      <c r="CZ106" s="472">
        <v>4.7300000000000002E-2</v>
      </c>
      <c r="DA106" s="472">
        <v>4.7300000000000002E-2</v>
      </c>
      <c r="DB106" s="472">
        <v>4.7100000000000003E-2</v>
      </c>
      <c r="DC106" s="472">
        <v>4.7100000000000003E-2</v>
      </c>
      <c r="DD106" s="472">
        <v>4.6899999999999997E-2</v>
      </c>
      <c r="DE106" s="472">
        <v>4.6899999999999997E-2</v>
      </c>
      <c r="DF106" s="472">
        <v>4.6899999999999997E-2</v>
      </c>
      <c r="DG106" s="472">
        <v>4.7E-2</v>
      </c>
      <c r="DH106" s="472">
        <v>4.7E-2</v>
      </c>
      <c r="DI106" s="472">
        <v>4.7100000000000003E-2</v>
      </c>
      <c r="DJ106" s="472">
        <v>4.7199999999999999E-2</v>
      </c>
      <c r="DK106" s="472">
        <v>4.7300000000000002E-2</v>
      </c>
      <c r="DL106" s="472">
        <v>4.7600000000000003E-2</v>
      </c>
      <c r="DM106" s="472">
        <v>4.7800000000000002E-2</v>
      </c>
      <c r="DN106" s="472">
        <v>4.8000000000000001E-2</v>
      </c>
      <c r="DO106" s="472">
        <v>4.8500000000000001E-2</v>
      </c>
      <c r="DP106" s="472">
        <v>4.9000000000000002E-2</v>
      </c>
      <c r="DQ106" s="472">
        <v>4.9200000000000001E-2</v>
      </c>
      <c r="DR106" s="472">
        <v>4.7600000000000003E-2</v>
      </c>
      <c r="DS106" s="472">
        <v>4.8000000000000001E-2</v>
      </c>
      <c r="DT106" s="472">
        <v>4.7E-2</v>
      </c>
      <c r="DU106" s="472">
        <v>4.7100000000000003E-2</v>
      </c>
      <c r="DV106" s="472">
        <v>4.6800000000000001E-2</v>
      </c>
      <c r="DW106" s="472">
        <v>4.6800000000000001E-2</v>
      </c>
      <c r="DX106" s="472">
        <v>4.6600000000000003E-2</v>
      </c>
      <c r="DY106" s="472">
        <v>4.6300000000000001E-2</v>
      </c>
      <c r="DZ106" s="472">
        <v>4.6399999999999997E-2</v>
      </c>
      <c r="EA106" s="472">
        <v>4.65E-2</v>
      </c>
      <c r="EB106" s="472">
        <v>4.6399999999999997E-2</v>
      </c>
      <c r="EC106" s="472">
        <v>4.6399999999999997E-2</v>
      </c>
      <c r="ED106" s="472">
        <v>4.6199999999999998E-2</v>
      </c>
      <c r="EE106" s="472">
        <v>4.6199999999999998E-2</v>
      </c>
      <c r="EF106" s="472">
        <v>4.6100000000000002E-2</v>
      </c>
      <c r="EG106" s="472">
        <v>4.6100000000000002E-2</v>
      </c>
      <c r="EH106" s="472">
        <v>4.6300000000000001E-2</v>
      </c>
      <c r="EI106" s="472">
        <v>3.2300000000000002E-2</v>
      </c>
      <c r="EJ106" s="472">
        <v>3.3300000000000003E-2</v>
      </c>
      <c r="EK106" s="472">
        <v>3.2399999999999998E-2</v>
      </c>
      <c r="EL106" s="472">
        <v>3.1199999999999999E-2</v>
      </c>
      <c r="EM106" s="472">
        <v>2.76E-2</v>
      </c>
      <c r="EN106" s="472">
        <v>4.4400000000000002E-2</v>
      </c>
      <c r="EO106" s="472">
        <v>4.7300000000000002E-2</v>
      </c>
      <c r="EP106" s="472">
        <v>4.7199999999999999E-2</v>
      </c>
      <c r="EQ106" s="472">
        <v>4.6899999999999997E-2</v>
      </c>
      <c r="ER106" s="472">
        <v>4.6600000000000003E-2</v>
      </c>
      <c r="ES106" s="472">
        <v>4.6800000000000001E-2</v>
      </c>
      <c r="ET106" s="472">
        <v>4.65E-2</v>
      </c>
      <c r="EU106" s="472">
        <v>4.58E-2</v>
      </c>
      <c r="EV106" s="472">
        <v>4.58E-2</v>
      </c>
      <c r="EW106" s="472">
        <v>4.5499999999999999E-2</v>
      </c>
      <c r="EX106" s="472">
        <v>4.48E-2</v>
      </c>
      <c r="EY106" s="472">
        <v>4.4299999999999999E-2</v>
      </c>
      <c r="EZ106" s="472">
        <v>4.36E-2</v>
      </c>
      <c r="FA106" s="484">
        <v>4.36E-2</v>
      </c>
      <c r="FB106" s="484">
        <v>4.2999999999999997E-2</v>
      </c>
      <c r="FC106" s="479">
        <v>4.2599999999999999E-2</v>
      </c>
      <c r="FD106" s="479">
        <v>4.2299999999999997E-2</v>
      </c>
      <c r="FE106" s="479">
        <v>4.2000000000000003E-2</v>
      </c>
      <c r="FF106" s="479">
        <v>4.1599999999999998E-2</v>
      </c>
      <c r="FG106" s="479">
        <v>4.1300000000000003E-2</v>
      </c>
      <c r="FH106" s="479">
        <v>4.1300000000000003E-2</v>
      </c>
      <c r="FI106" s="479">
        <v>4.1300000000000003E-2</v>
      </c>
      <c r="FJ106" s="479">
        <v>4.1500000000000002E-2</v>
      </c>
      <c r="FK106" s="479">
        <v>4.1399999999999999E-2</v>
      </c>
      <c r="FL106" s="479">
        <v>4.1200000000000001E-2</v>
      </c>
      <c r="FM106" s="479">
        <v>3.8899999999999997E-2</v>
      </c>
      <c r="FN106" s="479">
        <v>3.8800000000000001E-2</v>
      </c>
      <c r="FO106" s="479">
        <v>3.8399999999999997E-2</v>
      </c>
      <c r="FP106" s="479">
        <v>3.8100000000000002E-2</v>
      </c>
      <c r="FQ106" s="479">
        <v>3.8100000000000002E-2</v>
      </c>
      <c r="FR106" s="479">
        <v>3.7900000000000003E-2</v>
      </c>
      <c r="FS106" s="479">
        <v>3.8600000000000002E-2</v>
      </c>
      <c r="FT106" s="479">
        <v>3.73E-2</v>
      </c>
      <c r="FU106" s="479">
        <v>3.4200000000000001E-2</v>
      </c>
      <c r="FV106" s="472">
        <v>4.5600000000000002E-2</v>
      </c>
      <c r="FW106" s="472">
        <v>4.5499999999999999E-2</v>
      </c>
      <c r="FX106" s="472">
        <v>4.6199999999999998E-2</v>
      </c>
      <c r="FY106" s="472">
        <v>4.5999999999999999E-2</v>
      </c>
      <c r="FZ106" s="472">
        <v>4.5699999999999998E-2</v>
      </c>
      <c r="GA106" s="472">
        <v>4.5600000000000002E-2</v>
      </c>
      <c r="GB106" s="472">
        <v>4.5600000000000002E-2</v>
      </c>
      <c r="GC106" s="472">
        <v>4.5499999999999999E-2</v>
      </c>
      <c r="GD106" s="479">
        <v>3.2399999999999998E-2</v>
      </c>
      <c r="GE106" s="479">
        <v>3.2399999999999998E-2</v>
      </c>
      <c r="GF106" s="479">
        <v>3.2399999999999998E-2</v>
      </c>
      <c r="GG106" s="479">
        <v>3.2399999999999998E-2</v>
      </c>
      <c r="GH106" s="479">
        <v>3.2399999999999998E-2</v>
      </c>
      <c r="GI106" s="479">
        <v>3.2399999999999998E-2</v>
      </c>
      <c r="GJ106" s="479">
        <v>3.2399999999999998E-2</v>
      </c>
      <c r="GK106" s="479">
        <v>3.2399999999999998E-2</v>
      </c>
      <c r="GL106" s="479">
        <v>3.2399999999999998E-2</v>
      </c>
      <c r="GM106" s="479">
        <v>3.2399999999999998E-2</v>
      </c>
      <c r="GN106" s="479">
        <v>3.2399999999999998E-2</v>
      </c>
      <c r="GO106" s="479">
        <v>3.2399999999999998E-2</v>
      </c>
      <c r="GP106" s="479">
        <v>3.2399999999999998E-2</v>
      </c>
      <c r="GQ106" s="479">
        <v>3.2399999999999998E-2</v>
      </c>
      <c r="GR106" s="479">
        <v>3.2399999999999998E-2</v>
      </c>
      <c r="GS106" s="479">
        <v>3.2399999999999998E-2</v>
      </c>
      <c r="GT106" s="479">
        <v>3.2399999999999998E-2</v>
      </c>
      <c r="GU106" s="479">
        <v>3.2399999999999998E-2</v>
      </c>
      <c r="GV106" s="479">
        <v>3.2399999999999998E-2</v>
      </c>
      <c r="GW106" s="479">
        <v>3.2399999999999998E-2</v>
      </c>
      <c r="GX106" s="479">
        <v>3.2399999999999998E-2</v>
      </c>
      <c r="GY106" s="479">
        <v>3.2399999999999998E-2</v>
      </c>
      <c r="GZ106" s="479">
        <v>3.2399999999999998E-2</v>
      </c>
      <c r="HA106" s="479">
        <v>3.2399999999999998E-2</v>
      </c>
      <c r="HB106" s="479">
        <v>3.2399999999999998E-2</v>
      </c>
      <c r="HC106" s="479">
        <v>3.2399999999999998E-2</v>
      </c>
      <c r="HD106" s="479">
        <v>3.2399999999999998E-2</v>
      </c>
      <c r="HE106" s="479">
        <v>3.2399999999999998E-2</v>
      </c>
      <c r="HF106" s="479">
        <v>3.2399999999999998E-2</v>
      </c>
      <c r="HG106" s="479">
        <v>3.2399999999999998E-2</v>
      </c>
      <c r="HH106" s="479">
        <v>3.2399999999999998E-2</v>
      </c>
      <c r="HI106" s="479">
        <v>3.2399999999999998E-2</v>
      </c>
      <c r="HJ106" s="479">
        <v>3.2399999999999998E-2</v>
      </c>
      <c r="HK106" s="479">
        <v>3.2399999999999998E-2</v>
      </c>
      <c r="HL106" s="479">
        <v>3.2399999999999998E-2</v>
      </c>
      <c r="HM106" s="479">
        <v>3.2399999999999998E-2</v>
      </c>
      <c r="HN106" s="479">
        <v>3.2399999999999998E-2</v>
      </c>
      <c r="HO106" s="479">
        <v>3.2399999999999998E-2</v>
      </c>
      <c r="HP106" s="473">
        <f t="shared" si="30"/>
        <v>0</v>
      </c>
      <c r="HQ106" s="1146"/>
    </row>
    <row r="107" spans="2:225">
      <c r="B107" s="1127"/>
      <c r="C107" s="731" t="s">
        <v>234</v>
      </c>
      <c r="D107" s="657">
        <v>3.2500000000000001E-2</v>
      </c>
      <c r="E107" s="657">
        <v>3.2500000000000001E-2</v>
      </c>
      <c r="F107" s="657">
        <v>3.2300000000000002E-2</v>
      </c>
      <c r="G107" s="657">
        <v>3.2000000000000001E-2</v>
      </c>
      <c r="H107" s="657">
        <v>3.15E-2</v>
      </c>
      <c r="I107" s="657">
        <v>3.1600000000000003E-2</v>
      </c>
      <c r="J107" s="657">
        <v>3.15E-2</v>
      </c>
      <c r="K107" s="657">
        <v>3.1699999999999999E-2</v>
      </c>
      <c r="L107" s="657">
        <v>3.2199999999999999E-2</v>
      </c>
      <c r="M107" s="657">
        <v>3.1899999999999998E-2</v>
      </c>
      <c r="N107" s="657">
        <v>3.2199999999999999E-2</v>
      </c>
      <c r="O107" s="657">
        <v>3.2599999999999997E-2</v>
      </c>
      <c r="P107" s="657">
        <v>3.2899999999999999E-2</v>
      </c>
      <c r="Q107" s="657">
        <v>3.3399999999999999E-2</v>
      </c>
      <c r="R107" s="657">
        <v>3.3700000000000001E-2</v>
      </c>
      <c r="S107" s="657">
        <v>3.3500000000000002E-2</v>
      </c>
      <c r="T107" s="494">
        <v>3.4200000000000001E-2</v>
      </c>
      <c r="U107" s="494">
        <v>3.3799999999999997E-2</v>
      </c>
      <c r="V107" s="494">
        <v>3.39E-2</v>
      </c>
      <c r="W107" s="526">
        <v>3.3500000000000002E-2</v>
      </c>
      <c r="X107" s="526">
        <v>3.3800000000000004E-2</v>
      </c>
      <c r="Y107" s="526">
        <v>3.4100000000000005E-2</v>
      </c>
      <c r="Z107" s="526">
        <v>3.4300000000000004E-2</v>
      </c>
      <c r="AA107" s="526">
        <v>3.4700000000000002E-2</v>
      </c>
      <c r="AB107" s="526">
        <v>3.5200000000000002E-2</v>
      </c>
      <c r="AC107" s="526">
        <v>3.5400000000000001E-2</v>
      </c>
      <c r="AD107" s="526">
        <v>3.5700000000000003E-2</v>
      </c>
      <c r="AE107" s="526">
        <v>3.6600000000000001E-2</v>
      </c>
      <c r="AF107" s="526">
        <v>3.6999999999999998E-2</v>
      </c>
      <c r="AG107" s="526">
        <v>3.7199999999999997E-2</v>
      </c>
      <c r="AH107" s="478">
        <v>3.7400000000000003E-2</v>
      </c>
      <c r="AI107" s="503">
        <v>3.7600000000000001E-2</v>
      </c>
      <c r="AJ107" s="503">
        <v>3.8199999999999998E-2</v>
      </c>
      <c r="AK107" s="503">
        <v>3.8399999999999997E-2</v>
      </c>
      <c r="AL107" s="503">
        <v>3.85E-2</v>
      </c>
      <c r="AM107" s="503">
        <v>3.8399999999999997E-2</v>
      </c>
      <c r="AN107" s="478">
        <v>3.8300000000000001E-2</v>
      </c>
      <c r="AO107" s="503">
        <v>3.8300000000000001E-2</v>
      </c>
      <c r="AP107" s="478">
        <v>3.8500000000000006E-2</v>
      </c>
      <c r="AQ107" s="503">
        <v>3.8500000000000006E-2</v>
      </c>
      <c r="AR107" s="503">
        <v>3.8400000000000004E-2</v>
      </c>
      <c r="AS107" s="478">
        <f t="shared" ref="AS107:BC107" si="36">AS104+0.2%</f>
        <v>3.8200000000000005E-2</v>
      </c>
      <c r="AT107" s="478">
        <f t="shared" si="36"/>
        <v>3.8200000000000005E-2</v>
      </c>
      <c r="AU107" s="478">
        <f t="shared" si="36"/>
        <v>3.8200000000000005E-2</v>
      </c>
      <c r="AV107" s="503">
        <f t="shared" si="36"/>
        <v>3.8200000000000005E-2</v>
      </c>
      <c r="AW107" s="479">
        <f t="shared" si="36"/>
        <v>3.7900000000000003E-2</v>
      </c>
      <c r="AX107" s="479">
        <f t="shared" si="36"/>
        <v>3.7900000000000003E-2</v>
      </c>
      <c r="AY107" s="479">
        <f t="shared" si="36"/>
        <v>3.7900000000000003E-2</v>
      </c>
      <c r="AZ107" s="479">
        <f t="shared" si="36"/>
        <v>3.7900000000000003E-2</v>
      </c>
      <c r="BA107" s="479">
        <f t="shared" si="36"/>
        <v>3.7900000000000003E-2</v>
      </c>
      <c r="BB107" s="479">
        <f t="shared" si="36"/>
        <v>3.7900000000000003E-2</v>
      </c>
      <c r="BC107" s="479">
        <f t="shared" si="36"/>
        <v>3.7900000000000003E-2</v>
      </c>
      <c r="BD107" s="479">
        <v>3.8199999999999998E-2</v>
      </c>
      <c r="BE107" s="479">
        <v>3.8199999999999998E-2</v>
      </c>
      <c r="BF107" s="479">
        <v>3.8199999999999998E-2</v>
      </c>
      <c r="BG107" s="479">
        <v>3.8199999999999998E-2</v>
      </c>
      <c r="BH107" s="479">
        <v>3.8199999999999998E-2</v>
      </c>
      <c r="BI107" s="479">
        <v>3.8199999999999998E-2</v>
      </c>
      <c r="BJ107" s="479">
        <v>3.8199999999999998E-2</v>
      </c>
      <c r="BK107" s="479">
        <v>3.8199999999999998E-2</v>
      </c>
      <c r="BL107" s="479">
        <v>3.8699999999999998E-2</v>
      </c>
      <c r="BM107" s="479">
        <v>3.9100000000000003E-2</v>
      </c>
      <c r="BN107" s="479">
        <v>3.9100000000000003E-2</v>
      </c>
      <c r="BO107" s="479">
        <v>3.9100000000000003E-2</v>
      </c>
      <c r="BP107" s="479">
        <v>0.04</v>
      </c>
      <c r="BQ107" s="479">
        <v>0.04</v>
      </c>
      <c r="BR107" s="479">
        <v>4.0300000000000002E-2</v>
      </c>
      <c r="BS107" s="479">
        <v>4.0300000000000002E-2</v>
      </c>
      <c r="BT107" s="479">
        <v>4.1000000000000002E-2</v>
      </c>
      <c r="BU107" s="479">
        <v>4.1000000000000002E-2</v>
      </c>
      <c r="BV107" s="479">
        <v>4.1000000000000002E-2</v>
      </c>
      <c r="BW107" s="479">
        <v>4.1000000000000002E-2</v>
      </c>
      <c r="BX107" s="479">
        <v>4.1000000000000002E-2</v>
      </c>
      <c r="BY107" s="479">
        <v>4.1000000000000002E-2</v>
      </c>
      <c r="BZ107" s="479">
        <v>4.1000000000000002E-2</v>
      </c>
      <c r="CA107" s="479">
        <v>4.3400000000000001E-2</v>
      </c>
      <c r="CB107" s="479">
        <v>4.4499999999999998E-2</v>
      </c>
      <c r="CC107" s="479">
        <v>4.5199999999999997E-2</v>
      </c>
      <c r="CD107" s="479">
        <v>4.5900000000000003E-2</v>
      </c>
      <c r="CE107" s="479">
        <v>4.6199999999999998E-2</v>
      </c>
      <c r="CF107" s="479">
        <v>4.6300000000000001E-2</v>
      </c>
      <c r="CG107" s="479">
        <v>4.6399999999999997E-2</v>
      </c>
      <c r="CH107" s="479">
        <v>4.7800000000000002E-2</v>
      </c>
      <c r="CI107" s="479">
        <v>4.8099999999999997E-2</v>
      </c>
      <c r="CJ107" s="479">
        <v>4.8099999999999997E-2</v>
      </c>
      <c r="CK107" s="479">
        <v>4.8300000000000003E-2</v>
      </c>
      <c r="CL107" s="479">
        <v>4.8300000000000003E-2</v>
      </c>
      <c r="CM107" s="479">
        <v>4.8300000000000003E-2</v>
      </c>
      <c r="CN107" s="479">
        <v>4.8300000000000003E-2</v>
      </c>
      <c r="CO107" s="479">
        <v>4.8399999999999999E-2</v>
      </c>
      <c r="CP107" s="479">
        <v>4.8500000000000001E-2</v>
      </c>
      <c r="CQ107" s="479">
        <v>4.8500000000000001E-2</v>
      </c>
      <c r="CR107" s="479">
        <v>4.8500000000000001E-2</v>
      </c>
      <c r="CS107" s="479">
        <v>4.8399999999999999E-2</v>
      </c>
      <c r="CT107" s="479">
        <v>4.8500000000000001E-2</v>
      </c>
      <c r="CU107" s="484">
        <v>4.8500000000000001E-2</v>
      </c>
      <c r="CV107" s="496">
        <v>4.8599999999999997E-2</v>
      </c>
      <c r="CW107" s="472">
        <v>4.8500000000000001E-2</v>
      </c>
      <c r="CX107" s="472">
        <v>4.8500000000000001E-2</v>
      </c>
      <c r="CY107" s="472">
        <v>4.8500000000000001E-2</v>
      </c>
      <c r="CZ107" s="472">
        <v>4.8300000000000003E-2</v>
      </c>
      <c r="DA107" s="472">
        <v>4.8300000000000003E-2</v>
      </c>
      <c r="DB107" s="472">
        <v>4.8099999999999997E-2</v>
      </c>
      <c r="DC107" s="472">
        <v>4.8099999999999997E-2</v>
      </c>
      <c r="DD107" s="472">
        <v>4.7899999999999998E-2</v>
      </c>
      <c r="DE107" s="472">
        <v>4.7899999999999998E-2</v>
      </c>
      <c r="DF107" s="472">
        <v>4.7899999999999998E-2</v>
      </c>
      <c r="DG107" s="472">
        <v>4.8000000000000001E-2</v>
      </c>
      <c r="DH107" s="472">
        <v>4.8000000000000001E-2</v>
      </c>
      <c r="DI107" s="472">
        <v>4.8099999999999997E-2</v>
      </c>
      <c r="DJ107" s="472">
        <v>4.82E-2</v>
      </c>
      <c r="DK107" s="472">
        <v>4.8300000000000003E-2</v>
      </c>
      <c r="DL107" s="472">
        <v>4.8599999999999997E-2</v>
      </c>
      <c r="DM107" s="472">
        <v>4.8800000000000003E-2</v>
      </c>
      <c r="DN107" s="472">
        <v>4.9000000000000002E-2</v>
      </c>
      <c r="DO107" s="472">
        <v>4.9500000000000002E-2</v>
      </c>
      <c r="DP107" s="472">
        <v>0.05</v>
      </c>
      <c r="DQ107" s="472">
        <v>5.0200000000000002E-2</v>
      </c>
      <c r="DR107" s="472">
        <v>4.7899999999999998E-2</v>
      </c>
      <c r="DS107" s="472">
        <v>4.8300000000000003E-2</v>
      </c>
      <c r="DT107" s="472">
        <v>4.7500000000000001E-2</v>
      </c>
      <c r="DU107" s="472">
        <v>4.7600000000000003E-2</v>
      </c>
      <c r="DV107" s="472">
        <v>4.7300000000000002E-2</v>
      </c>
      <c r="DW107" s="472">
        <v>4.7300000000000002E-2</v>
      </c>
      <c r="DX107" s="472">
        <v>4.7100000000000003E-2</v>
      </c>
      <c r="DY107" s="472">
        <v>4.6800000000000001E-2</v>
      </c>
      <c r="DZ107" s="472">
        <v>4.6899999999999997E-2</v>
      </c>
      <c r="EA107" s="472">
        <v>4.7E-2</v>
      </c>
      <c r="EB107" s="472">
        <v>4.6899999999999997E-2</v>
      </c>
      <c r="EC107" s="472">
        <v>4.6899999999999997E-2</v>
      </c>
      <c r="ED107" s="472">
        <v>4.6699999999999998E-2</v>
      </c>
      <c r="EE107" s="472">
        <v>4.6699999999999998E-2</v>
      </c>
      <c r="EF107" s="472">
        <v>4.6600000000000003E-2</v>
      </c>
      <c r="EG107" s="472">
        <v>4.6600000000000003E-2</v>
      </c>
      <c r="EH107" s="472">
        <v>4.6800000000000001E-2</v>
      </c>
      <c r="EI107" s="472">
        <v>3.3300000000000003E-2</v>
      </c>
      <c r="EJ107" s="472">
        <v>3.4299999999999997E-2</v>
      </c>
      <c r="EK107" s="472">
        <v>3.3399999999999999E-2</v>
      </c>
      <c r="EL107" s="472">
        <v>3.2199999999999999E-2</v>
      </c>
      <c r="EM107" s="472">
        <v>2.86E-2</v>
      </c>
      <c r="EN107" s="472">
        <v>4.4900000000000002E-2</v>
      </c>
      <c r="EO107" s="472">
        <v>4.7300000000000002E-2</v>
      </c>
      <c r="EP107" s="472">
        <v>4.7199999999999999E-2</v>
      </c>
      <c r="EQ107" s="472">
        <v>4.6899999999999997E-2</v>
      </c>
      <c r="ER107" s="472">
        <v>4.6600000000000003E-2</v>
      </c>
      <c r="ES107" s="472">
        <v>4.6800000000000001E-2</v>
      </c>
      <c r="ET107" s="472">
        <v>4.65E-2</v>
      </c>
      <c r="EU107" s="472">
        <v>4.58E-2</v>
      </c>
      <c r="EV107" s="472">
        <v>4.65E-2</v>
      </c>
      <c r="EW107" s="472">
        <v>4.6199999999999998E-2</v>
      </c>
      <c r="EX107" s="472">
        <v>4.5499999999999999E-2</v>
      </c>
      <c r="EY107" s="472">
        <v>4.4999999999999998E-2</v>
      </c>
      <c r="EZ107" s="472">
        <v>4.4299999999999999E-2</v>
      </c>
      <c r="FA107" s="484">
        <v>4.4299999999999999E-2</v>
      </c>
      <c r="FB107" s="484">
        <v>4.3700000000000003E-2</v>
      </c>
      <c r="FC107" s="479">
        <v>4.3299999999999998E-2</v>
      </c>
      <c r="FD107" s="479">
        <v>4.2999999999999997E-2</v>
      </c>
      <c r="FE107" s="479">
        <v>4.2700000000000002E-2</v>
      </c>
      <c r="FF107" s="479">
        <v>4.2299999999999997E-2</v>
      </c>
      <c r="FG107" s="479">
        <v>4.2000000000000003E-2</v>
      </c>
      <c r="FH107" s="479">
        <v>4.2000000000000003E-2</v>
      </c>
      <c r="FI107" s="479">
        <v>4.2000000000000003E-2</v>
      </c>
      <c r="FJ107" s="479">
        <v>4.2200000000000001E-2</v>
      </c>
      <c r="FK107" s="479">
        <v>4.2099999999999999E-2</v>
      </c>
      <c r="FL107" s="479">
        <v>4.19E-2</v>
      </c>
      <c r="FM107" s="479">
        <v>3.9899999999999998E-2</v>
      </c>
      <c r="FN107" s="479">
        <v>3.9800000000000002E-2</v>
      </c>
      <c r="FO107" s="479">
        <v>3.9399999999999998E-2</v>
      </c>
      <c r="FP107" s="479">
        <v>3.9100000000000003E-2</v>
      </c>
      <c r="FQ107" s="479">
        <v>3.9100000000000003E-2</v>
      </c>
      <c r="FR107" s="479">
        <v>3.8899999999999997E-2</v>
      </c>
      <c r="FS107" s="479">
        <v>3.9600000000000003E-2</v>
      </c>
      <c r="FT107" s="479">
        <v>3.8300000000000001E-2</v>
      </c>
      <c r="FU107" s="479">
        <v>3.5200000000000002E-2</v>
      </c>
      <c r="FV107" s="472">
        <v>4.6399999999999997E-2</v>
      </c>
      <c r="FW107" s="472">
        <v>4.5999999999999999E-2</v>
      </c>
      <c r="FX107" s="472">
        <v>4.6699999999999998E-2</v>
      </c>
      <c r="FY107" s="472">
        <v>4.65E-2</v>
      </c>
      <c r="FZ107" s="472">
        <v>4.6199999999999998E-2</v>
      </c>
      <c r="GA107" s="472">
        <v>4.6100000000000002E-2</v>
      </c>
      <c r="GB107" s="472">
        <v>4.6100000000000002E-2</v>
      </c>
      <c r="GC107" s="472">
        <v>4.5999999999999999E-2</v>
      </c>
      <c r="GD107" s="479">
        <v>3.3399999999999999E-2</v>
      </c>
      <c r="GE107" s="479">
        <v>3.3399999999999999E-2</v>
      </c>
      <c r="GF107" s="479">
        <v>3.3399999999999999E-2</v>
      </c>
      <c r="GG107" s="479">
        <v>3.3399999999999999E-2</v>
      </c>
      <c r="GH107" s="479">
        <v>3.3399999999999999E-2</v>
      </c>
      <c r="GI107" s="479">
        <v>3.3399999999999999E-2</v>
      </c>
      <c r="GJ107" s="479">
        <v>3.3399999999999999E-2</v>
      </c>
      <c r="GK107" s="479">
        <v>3.3399999999999999E-2</v>
      </c>
      <c r="GL107" s="479">
        <v>3.3399999999999999E-2</v>
      </c>
      <c r="GM107" s="479">
        <v>3.3399999999999999E-2</v>
      </c>
      <c r="GN107" s="479">
        <v>3.3399999999999999E-2</v>
      </c>
      <c r="GO107" s="479">
        <v>3.3399999999999999E-2</v>
      </c>
      <c r="GP107" s="479">
        <v>3.3399999999999999E-2</v>
      </c>
      <c r="GQ107" s="479">
        <v>3.3399999999999999E-2</v>
      </c>
      <c r="GR107" s="479">
        <v>3.3399999999999999E-2</v>
      </c>
      <c r="GS107" s="479">
        <v>3.3399999999999999E-2</v>
      </c>
      <c r="GT107" s="479">
        <v>3.3399999999999999E-2</v>
      </c>
      <c r="GU107" s="479">
        <v>3.3399999999999999E-2</v>
      </c>
      <c r="GV107" s="479">
        <v>3.3399999999999999E-2</v>
      </c>
      <c r="GW107" s="479">
        <v>3.3399999999999999E-2</v>
      </c>
      <c r="GX107" s="479">
        <v>3.3399999999999999E-2</v>
      </c>
      <c r="GY107" s="479">
        <v>3.3399999999999999E-2</v>
      </c>
      <c r="GZ107" s="479">
        <v>3.3399999999999999E-2</v>
      </c>
      <c r="HA107" s="479">
        <v>3.3399999999999999E-2</v>
      </c>
      <c r="HB107" s="479">
        <v>3.3399999999999999E-2</v>
      </c>
      <c r="HC107" s="479">
        <v>3.3399999999999999E-2</v>
      </c>
      <c r="HD107" s="479">
        <v>3.3399999999999999E-2</v>
      </c>
      <c r="HE107" s="479">
        <v>3.3399999999999999E-2</v>
      </c>
      <c r="HF107" s="479">
        <v>3.3399999999999999E-2</v>
      </c>
      <c r="HG107" s="479">
        <v>3.3399999999999999E-2</v>
      </c>
      <c r="HH107" s="479">
        <v>3.3399999999999999E-2</v>
      </c>
      <c r="HI107" s="479">
        <v>3.3399999999999999E-2</v>
      </c>
      <c r="HJ107" s="479">
        <v>3.3399999999999999E-2</v>
      </c>
      <c r="HK107" s="479">
        <v>3.3399999999999999E-2</v>
      </c>
      <c r="HL107" s="479">
        <v>3.3399999999999999E-2</v>
      </c>
      <c r="HM107" s="479">
        <v>3.3399999999999999E-2</v>
      </c>
      <c r="HN107" s="479">
        <v>3.3399999999999999E-2</v>
      </c>
      <c r="HO107" s="479">
        <v>3.3399999999999999E-2</v>
      </c>
      <c r="HP107" s="473">
        <f t="shared" si="30"/>
        <v>0</v>
      </c>
      <c r="HQ107" s="1146"/>
    </row>
    <row r="108" spans="2:225">
      <c r="B108" s="1128"/>
      <c r="C108" s="731" t="s">
        <v>233</v>
      </c>
      <c r="D108" s="657">
        <v>3.2500000000000001E-2</v>
      </c>
      <c r="E108" s="657">
        <v>3.2500000000000001E-2</v>
      </c>
      <c r="F108" s="657">
        <v>3.2300000000000002E-2</v>
      </c>
      <c r="G108" s="657">
        <v>3.2000000000000001E-2</v>
      </c>
      <c r="H108" s="657">
        <v>3.15E-2</v>
      </c>
      <c r="I108" s="657">
        <v>3.1600000000000003E-2</v>
      </c>
      <c r="J108" s="657">
        <v>3.15E-2</v>
      </c>
      <c r="K108" s="657">
        <v>3.1699999999999999E-2</v>
      </c>
      <c r="L108" s="657">
        <v>3.2199999999999999E-2</v>
      </c>
      <c r="M108" s="657">
        <v>3.1899999999999998E-2</v>
      </c>
      <c r="N108" s="657">
        <v>3.2199999999999999E-2</v>
      </c>
      <c r="O108" s="657">
        <v>3.2599999999999997E-2</v>
      </c>
      <c r="P108" s="657">
        <v>3.2899999999999999E-2</v>
      </c>
      <c r="Q108" s="657">
        <v>3.3399999999999999E-2</v>
      </c>
      <c r="R108" s="657">
        <v>3.3700000000000001E-2</v>
      </c>
      <c r="S108" s="657">
        <v>3.3500000000000002E-2</v>
      </c>
      <c r="T108" s="494">
        <v>3.4200000000000001E-2</v>
      </c>
      <c r="U108" s="494">
        <v>3.3799999999999997E-2</v>
      </c>
      <c r="V108" s="494">
        <v>3.39E-2</v>
      </c>
      <c r="W108" s="526">
        <v>3.3500000000000002E-2</v>
      </c>
      <c r="X108" s="526">
        <v>3.3800000000000004E-2</v>
      </c>
      <c r="Y108" s="526">
        <v>3.4100000000000005E-2</v>
      </c>
      <c r="Z108" s="526">
        <v>3.4300000000000004E-2</v>
      </c>
      <c r="AA108" s="526">
        <v>3.4700000000000002E-2</v>
      </c>
      <c r="AB108" s="526">
        <v>3.5200000000000002E-2</v>
      </c>
      <c r="AC108" s="526">
        <v>3.5400000000000001E-2</v>
      </c>
      <c r="AD108" s="526">
        <v>3.5700000000000003E-2</v>
      </c>
      <c r="AE108" s="526">
        <v>3.6600000000000001E-2</v>
      </c>
      <c r="AF108" s="526">
        <v>3.6999999999999998E-2</v>
      </c>
      <c r="AG108" s="526">
        <v>3.7199999999999997E-2</v>
      </c>
      <c r="AH108" s="478">
        <v>3.7400000000000003E-2</v>
      </c>
      <c r="AI108" s="503">
        <v>3.7600000000000001E-2</v>
      </c>
      <c r="AJ108" s="503">
        <v>3.8199999999999998E-2</v>
      </c>
      <c r="AK108" s="503">
        <v>3.8399999999999997E-2</v>
      </c>
      <c r="AL108" s="503">
        <v>3.85E-2</v>
      </c>
      <c r="AM108" s="503">
        <v>3.8399999999999997E-2</v>
      </c>
      <c r="AN108" s="478">
        <v>3.8300000000000001E-2</v>
      </c>
      <c r="AO108" s="503">
        <v>3.8300000000000001E-2</v>
      </c>
      <c r="AP108" s="478">
        <v>3.8500000000000006E-2</v>
      </c>
      <c r="AQ108" s="503">
        <v>3.8500000000000006E-2</v>
      </c>
      <c r="AR108" s="503">
        <v>3.8400000000000004E-2</v>
      </c>
      <c r="AS108" s="478">
        <f t="shared" ref="AS108:BC108" si="37">AS107</f>
        <v>3.8200000000000005E-2</v>
      </c>
      <c r="AT108" s="478">
        <f t="shared" si="37"/>
        <v>3.8200000000000005E-2</v>
      </c>
      <c r="AU108" s="478">
        <f t="shared" si="37"/>
        <v>3.8200000000000005E-2</v>
      </c>
      <c r="AV108" s="503">
        <f t="shared" si="37"/>
        <v>3.8200000000000005E-2</v>
      </c>
      <c r="AW108" s="479">
        <f t="shared" si="37"/>
        <v>3.7900000000000003E-2</v>
      </c>
      <c r="AX108" s="479">
        <f t="shared" si="37"/>
        <v>3.7900000000000003E-2</v>
      </c>
      <c r="AY108" s="479">
        <f t="shared" si="37"/>
        <v>3.7900000000000003E-2</v>
      </c>
      <c r="AZ108" s="479">
        <f t="shared" si="37"/>
        <v>3.7900000000000003E-2</v>
      </c>
      <c r="BA108" s="479">
        <f t="shared" si="37"/>
        <v>3.7900000000000003E-2</v>
      </c>
      <c r="BB108" s="479">
        <f t="shared" si="37"/>
        <v>3.7900000000000003E-2</v>
      </c>
      <c r="BC108" s="479">
        <f t="shared" si="37"/>
        <v>3.7900000000000003E-2</v>
      </c>
      <c r="BD108" s="479">
        <v>3.8199999999999998E-2</v>
      </c>
      <c r="BE108" s="479">
        <v>3.8199999999999998E-2</v>
      </c>
      <c r="BF108" s="479">
        <v>3.8199999999999998E-2</v>
      </c>
      <c r="BG108" s="479">
        <v>3.8199999999999998E-2</v>
      </c>
      <c r="BH108" s="479">
        <v>3.8199999999999998E-2</v>
      </c>
      <c r="BI108" s="479">
        <v>3.8199999999999998E-2</v>
      </c>
      <c r="BJ108" s="479">
        <v>3.8199999999999998E-2</v>
      </c>
      <c r="BK108" s="479">
        <v>3.8199999999999998E-2</v>
      </c>
      <c r="BL108" s="479">
        <v>3.8699999999999998E-2</v>
      </c>
      <c r="BM108" s="479">
        <v>3.9100000000000003E-2</v>
      </c>
      <c r="BN108" s="479">
        <v>3.9100000000000003E-2</v>
      </c>
      <c r="BO108" s="479">
        <v>3.9100000000000003E-2</v>
      </c>
      <c r="BP108" s="479">
        <v>0.04</v>
      </c>
      <c r="BQ108" s="479">
        <v>0.04</v>
      </c>
      <c r="BR108" s="479">
        <v>4.0300000000000002E-2</v>
      </c>
      <c r="BS108" s="479">
        <v>4.0300000000000002E-2</v>
      </c>
      <c r="BT108" s="479">
        <v>4.1000000000000002E-2</v>
      </c>
      <c r="BU108" s="479">
        <v>4.1000000000000002E-2</v>
      </c>
      <c r="BV108" s="479">
        <v>4.1000000000000002E-2</v>
      </c>
      <c r="BW108" s="479">
        <v>4.1000000000000002E-2</v>
      </c>
      <c r="BX108" s="479">
        <v>4.1000000000000002E-2</v>
      </c>
      <c r="BY108" s="479">
        <v>4.1000000000000002E-2</v>
      </c>
      <c r="BZ108" s="479">
        <v>4.1000000000000002E-2</v>
      </c>
      <c r="CA108" s="479">
        <v>4.3400000000000001E-2</v>
      </c>
      <c r="CB108" s="479">
        <v>4.4499999999999998E-2</v>
      </c>
      <c r="CC108" s="479">
        <v>4.5199999999999997E-2</v>
      </c>
      <c r="CD108" s="479">
        <v>4.5900000000000003E-2</v>
      </c>
      <c r="CE108" s="479">
        <v>4.6199999999999998E-2</v>
      </c>
      <c r="CF108" s="479">
        <v>4.6300000000000001E-2</v>
      </c>
      <c r="CG108" s="479">
        <v>4.6399999999999997E-2</v>
      </c>
      <c r="CH108" s="479">
        <v>4.7800000000000002E-2</v>
      </c>
      <c r="CI108" s="479">
        <v>4.8099999999999997E-2</v>
      </c>
      <c r="CJ108" s="479">
        <v>4.8099999999999997E-2</v>
      </c>
      <c r="CK108" s="479">
        <v>4.8300000000000003E-2</v>
      </c>
      <c r="CL108" s="479">
        <v>4.8300000000000003E-2</v>
      </c>
      <c r="CM108" s="479">
        <v>4.8300000000000003E-2</v>
      </c>
      <c r="CN108" s="479">
        <v>4.8300000000000003E-2</v>
      </c>
      <c r="CO108" s="479">
        <v>4.8399999999999999E-2</v>
      </c>
      <c r="CP108" s="479">
        <v>4.8500000000000001E-2</v>
      </c>
      <c r="CQ108" s="479">
        <v>4.8500000000000001E-2</v>
      </c>
      <c r="CR108" s="479">
        <v>4.8500000000000001E-2</v>
      </c>
      <c r="CS108" s="479">
        <v>4.8399999999999999E-2</v>
      </c>
      <c r="CT108" s="479">
        <v>4.8500000000000001E-2</v>
      </c>
      <c r="CU108" s="484">
        <v>4.8500000000000001E-2</v>
      </c>
      <c r="CV108" s="496">
        <v>4.8599999999999997E-2</v>
      </c>
      <c r="CW108" s="472">
        <v>4.8500000000000001E-2</v>
      </c>
      <c r="CX108" s="472">
        <v>4.8500000000000001E-2</v>
      </c>
      <c r="CY108" s="472">
        <v>4.8500000000000001E-2</v>
      </c>
      <c r="CZ108" s="472">
        <v>4.8300000000000003E-2</v>
      </c>
      <c r="DA108" s="472">
        <v>4.8300000000000003E-2</v>
      </c>
      <c r="DB108" s="472">
        <v>4.8099999999999997E-2</v>
      </c>
      <c r="DC108" s="472">
        <v>4.8099999999999997E-2</v>
      </c>
      <c r="DD108" s="472">
        <v>4.7899999999999998E-2</v>
      </c>
      <c r="DE108" s="472">
        <v>4.7899999999999998E-2</v>
      </c>
      <c r="DF108" s="472">
        <v>4.7899999999999998E-2</v>
      </c>
      <c r="DG108" s="472">
        <v>4.8000000000000001E-2</v>
      </c>
      <c r="DH108" s="472">
        <v>4.8000000000000001E-2</v>
      </c>
      <c r="DI108" s="472">
        <v>4.8099999999999997E-2</v>
      </c>
      <c r="DJ108" s="472">
        <v>4.82E-2</v>
      </c>
      <c r="DK108" s="472">
        <v>4.8300000000000003E-2</v>
      </c>
      <c r="DL108" s="472">
        <v>4.8599999999999997E-2</v>
      </c>
      <c r="DM108" s="472">
        <v>4.8800000000000003E-2</v>
      </c>
      <c r="DN108" s="472">
        <v>4.9000000000000002E-2</v>
      </c>
      <c r="DO108" s="472">
        <v>4.9500000000000002E-2</v>
      </c>
      <c r="DP108" s="472">
        <v>0.05</v>
      </c>
      <c r="DQ108" s="472">
        <v>5.0200000000000002E-2</v>
      </c>
      <c r="DR108" s="472">
        <v>4.82E-2</v>
      </c>
      <c r="DS108" s="472">
        <v>4.8599999999999997E-2</v>
      </c>
      <c r="DT108" s="472">
        <v>4.7500000000000001E-2</v>
      </c>
      <c r="DU108" s="472">
        <v>4.7600000000000003E-2</v>
      </c>
      <c r="DV108" s="472">
        <v>4.7300000000000002E-2</v>
      </c>
      <c r="DW108" s="472">
        <v>4.7300000000000002E-2</v>
      </c>
      <c r="DX108" s="472">
        <v>4.7100000000000003E-2</v>
      </c>
      <c r="DY108" s="472">
        <v>4.6800000000000001E-2</v>
      </c>
      <c r="DZ108" s="472">
        <v>4.6899999999999997E-2</v>
      </c>
      <c r="EA108" s="472">
        <v>4.7E-2</v>
      </c>
      <c r="EB108" s="472">
        <v>4.6899999999999997E-2</v>
      </c>
      <c r="EC108" s="472">
        <v>4.6899999999999997E-2</v>
      </c>
      <c r="ED108" s="472">
        <v>4.6699999999999998E-2</v>
      </c>
      <c r="EE108" s="472">
        <v>4.6699999999999998E-2</v>
      </c>
      <c r="EF108" s="472">
        <v>4.6600000000000003E-2</v>
      </c>
      <c r="EG108" s="472">
        <v>4.6600000000000003E-2</v>
      </c>
      <c r="EH108" s="472">
        <v>4.6800000000000001E-2</v>
      </c>
      <c r="EI108" s="472">
        <v>3.3300000000000003E-2</v>
      </c>
      <c r="EJ108" s="472">
        <v>3.5299999999999998E-2</v>
      </c>
      <c r="EK108" s="472">
        <v>3.44E-2</v>
      </c>
      <c r="EL108" s="472">
        <v>3.32E-2</v>
      </c>
      <c r="EM108" s="472">
        <v>2.9600000000000001E-2</v>
      </c>
      <c r="EN108" s="472">
        <v>4.4900000000000002E-2</v>
      </c>
      <c r="EO108" s="472">
        <v>4.7300000000000002E-2</v>
      </c>
      <c r="EP108" s="472">
        <v>4.7199999999999999E-2</v>
      </c>
      <c r="EQ108" s="472">
        <v>4.6899999999999997E-2</v>
      </c>
      <c r="ER108" s="472">
        <v>4.6600000000000003E-2</v>
      </c>
      <c r="ES108" s="472">
        <v>4.6800000000000001E-2</v>
      </c>
      <c r="ET108" s="472">
        <v>4.65E-2</v>
      </c>
      <c r="EU108" s="472">
        <v>4.58E-2</v>
      </c>
      <c r="EV108" s="472">
        <v>4.65E-2</v>
      </c>
      <c r="EW108" s="472">
        <v>4.6199999999999998E-2</v>
      </c>
      <c r="EX108" s="472">
        <v>4.5499999999999999E-2</v>
      </c>
      <c r="EY108" s="472">
        <v>4.4999999999999998E-2</v>
      </c>
      <c r="EZ108" s="472">
        <v>4.4299999999999999E-2</v>
      </c>
      <c r="FA108" s="484">
        <v>4.4299999999999999E-2</v>
      </c>
      <c r="FB108" s="484">
        <v>4.3700000000000003E-2</v>
      </c>
      <c r="FC108" s="479">
        <v>4.3299999999999998E-2</v>
      </c>
      <c r="FD108" s="479">
        <v>4.2999999999999997E-2</v>
      </c>
      <c r="FE108" s="479">
        <v>4.2700000000000002E-2</v>
      </c>
      <c r="FF108" s="479">
        <v>4.2299999999999997E-2</v>
      </c>
      <c r="FG108" s="479">
        <v>4.2000000000000003E-2</v>
      </c>
      <c r="FH108" s="479">
        <v>4.2000000000000003E-2</v>
      </c>
      <c r="FI108" s="479">
        <v>4.2000000000000003E-2</v>
      </c>
      <c r="FJ108" s="479">
        <v>4.2200000000000001E-2</v>
      </c>
      <c r="FK108" s="479">
        <v>4.2099999999999999E-2</v>
      </c>
      <c r="FL108" s="479">
        <v>4.19E-2</v>
      </c>
      <c r="FM108" s="479">
        <v>3.9899999999999998E-2</v>
      </c>
      <c r="FN108" s="479">
        <v>3.9800000000000002E-2</v>
      </c>
      <c r="FO108" s="479">
        <v>3.9399999999999998E-2</v>
      </c>
      <c r="FP108" s="479">
        <v>3.9100000000000003E-2</v>
      </c>
      <c r="FQ108" s="479">
        <v>3.9100000000000003E-2</v>
      </c>
      <c r="FR108" s="479">
        <v>3.8899999999999997E-2</v>
      </c>
      <c r="FS108" s="479">
        <v>3.9600000000000003E-2</v>
      </c>
      <c r="FT108" s="479">
        <v>3.8300000000000001E-2</v>
      </c>
      <c r="FU108" s="479">
        <v>3.5200000000000002E-2</v>
      </c>
      <c r="FV108" s="472">
        <v>4.6100000000000002E-2</v>
      </c>
      <c r="FW108" s="472">
        <v>4.5999999999999999E-2</v>
      </c>
      <c r="FX108" s="472">
        <v>4.6699999999999998E-2</v>
      </c>
      <c r="FY108" s="472">
        <v>4.65E-2</v>
      </c>
      <c r="FZ108" s="472">
        <v>4.6199999999999998E-2</v>
      </c>
      <c r="GA108" s="472">
        <v>4.6100000000000002E-2</v>
      </c>
      <c r="GB108" s="472">
        <v>4.6100000000000002E-2</v>
      </c>
      <c r="GC108" s="472">
        <v>4.5999999999999999E-2</v>
      </c>
      <c r="GD108" s="479">
        <v>3.44E-2</v>
      </c>
      <c r="GE108" s="479">
        <v>3.44E-2</v>
      </c>
      <c r="GF108" s="479">
        <v>3.44E-2</v>
      </c>
      <c r="GG108" s="479">
        <v>3.44E-2</v>
      </c>
      <c r="GH108" s="479">
        <v>3.44E-2</v>
      </c>
      <c r="GI108" s="479">
        <v>3.44E-2</v>
      </c>
      <c r="GJ108" s="479">
        <v>3.44E-2</v>
      </c>
      <c r="GK108" s="479">
        <v>3.44E-2</v>
      </c>
      <c r="GL108" s="479">
        <v>3.44E-2</v>
      </c>
      <c r="GM108" s="479">
        <v>3.44E-2</v>
      </c>
      <c r="GN108" s="479">
        <v>3.44E-2</v>
      </c>
      <c r="GO108" s="479">
        <v>3.44E-2</v>
      </c>
      <c r="GP108" s="479">
        <v>3.44E-2</v>
      </c>
      <c r="GQ108" s="479">
        <v>3.44E-2</v>
      </c>
      <c r="GR108" s="479">
        <v>3.44E-2</v>
      </c>
      <c r="GS108" s="479">
        <v>3.44E-2</v>
      </c>
      <c r="GT108" s="479">
        <v>3.44E-2</v>
      </c>
      <c r="GU108" s="479">
        <v>3.44E-2</v>
      </c>
      <c r="GV108" s="479">
        <v>3.44E-2</v>
      </c>
      <c r="GW108" s="479">
        <v>3.44E-2</v>
      </c>
      <c r="GX108" s="479">
        <v>3.44E-2</v>
      </c>
      <c r="GY108" s="479">
        <v>3.44E-2</v>
      </c>
      <c r="GZ108" s="479">
        <v>3.44E-2</v>
      </c>
      <c r="HA108" s="479">
        <v>3.44E-2</v>
      </c>
      <c r="HB108" s="479">
        <v>3.44E-2</v>
      </c>
      <c r="HC108" s="479">
        <v>3.44E-2</v>
      </c>
      <c r="HD108" s="479">
        <v>3.44E-2</v>
      </c>
      <c r="HE108" s="479">
        <v>3.44E-2</v>
      </c>
      <c r="HF108" s="479">
        <v>3.44E-2</v>
      </c>
      <c r="HG108" s="479">
        <v>3.44E-2</v>
      </c>
      <c r="HH108" s="479">
        <v>3.44E-2</v>
      </c>
      <c r="HI108" s="479">
        <v>3.44E-2</v>
      </c>
      <c r="HJ108" s="479">
        <v>3.44E-2</v>
      </c>
      <c r="HK108" s="479">
        <v>3.44E-2</v>
      </c>
      <c r="HL108" s="479">
        <v>3.44E-2</v>
      </c>
      <c r="HM108" s="479">
        <v>3.44E-2</v>
      </c>
      <c r="HN108" s="479">
        <v>3.44E-2</v>
      </c>
      <c r="HO108" s="479">
        <v>3.44E-2</v>
      </c>
      <c r="HP108" s="473">
        <f t="shared" si="30"/>
        <v>0</v>
      </c>
      <c r="HQ108" s="1147"/>
    </row>
    <row r="109" spans="2:225">
      <c r="B109" s="1123" t="s">
        <v>46</v>
      </c>
      <c r="C109" s="730" t="s">
        <v>232</v>
      </c>
      <c r="D109" s="502">
        <v>2.2748000000000001E-2</v>
      </c>
      <c r="E109" s="502">
        <v>2.2748000000000001E-2</v>
      </c>
      <c r="F109" s="502">
        <v>2.2679999999999999E-2</v>
      </c>
      <c r="G109" s="502">
        <v>2.2727000000000001E-2</v>
      </c>
      <c r="H109" s="502">
        <v>2.2393E-2</v>
      </c>
      <c r="I109" s="500">
        <v>2.2692E-2</v>
      </c>
      <c r="J109" s="500">
        <v>2.2692E-2</v>
      </c>
      <c r="K109" s="502">
        <v>2.2692E-2</v>
      </c>
      <c r="L109" s="502">
        <v>2.2669000000000002E-2</v>
      </c>
      <c r="M109" s="502">
        <v>2.2464000000000001E-2</v>
      </c>
      <c r="N109" s="502">
        <v>2.2608E-2</v>
      </c>
      <c r="O109" s="502">
        <v>2.2887000000000001E-2</v>
      </c>
      <c r="P109" s="502">
        <v>2.3007E-2</v>
      </c>
      <c r="Q109" s="502">
        <v>2.3363999999999999E-2</v>
      </c>
      <c r="R109" s="502">
        <v>2.3717999999999999E-2</v>
      </c>
      <c r="S109" s="502">
        <v>2.4223999999999999E-2</v>
      </c>
      <c r="T109" s="502">
        <v>2.4778999999999999E-2</v>
      </c>
      <c r="U109" s="502">
        <v>2.4409E-2</v>
      </c>
      <c r="V109" s="502">
        <v>2.4865999999999999E-2</v>
      </c>
      <c r="W109" s="502">
        <v>2.4382999999999998E-2</v>
      </c>
      <c r="X109" s="502">
        <v>2.4597999999999998E-2</v>
      </c>
      <c r="Y109" s="502">
        <v>2.4936E-2</v>
      </c>
      <c r="Z109" s="502">
        <v>2.5353000000000001E-2</v>
      </c>
      <c r="AA109" s="502">
        <v>2.5853000000000001E-2</v>
      </c>
      <c r="AB109" s="502">
        <v>2.6002000000000001E-2</v>
      </c>
      <c r="AC109" s="500">
        <v>2.6256999999999999E-2</v>
      </c>
      <c r="AD109" s="502">
        <v>2.656E-2</v>
      </c>
      <c r="AE109" s="502">
        <v>2.7711E-2</v>
      </c>
      <c r="AF109" s="502">
        <v>2.7979E-2</v>
      </c>
      <c r="AG109" s="502">
        <v>2.8150000000000001E-2</v>
      </c>
      <c r="AH109" s="481">
        <v>2.8329E-2</v>
      </c>
      <c r="AI109" s="480">
        <v>2.8419E-2</v>
      </c>
      <c r="AJ109" s="480">
        <v>2.9079000000000001E-2</v>
      </c>
      <c r="AK109" s="480">
        <v>2.9148E-2</v>
      </c>
      <c r="AL109" s="480">
        <v>2.9224E-2</v>
      </c>
      <c r="AM109" s="480">
        <v>2.9284999999999999E-2</v>
      </c>
      <c r="AN109" s="480">
        <v>2.8923999999999998E-2</v>
      </c>
      <c r="AO109" s="480">
        <v>2.9021000000000002E-2</v>
      </c>
      <c r="AP109" s="481">
        <v>2.92E-2</v>
      </c>
      <c r="AQ109" s="481">
        <v>2.92E-2</v>
      </c>
      <c r="AR109" s="480">
        <v>2.92E-2</v>
      </c>
      <c r="AS109" s="480">
        <v>2.9287000000000001E-2</v>
      </c>
      <c r="AT109" s="481">
        <v>2.9252E-2</v>
      </c>
      <c r="AU109" s="481">
        <v>2.9252E-2</v>
      </c>
      <c r="AV109" s="480">
        <v>2.8982000000000001E-2</v>
      </c>
      <c r="AW109" s="483">
        <v>2.8798000000000001E-2</v>
      </c>
      <c r="AX109" s="483">
        <v>2.9002E-2</v>
      </c>
      <c r="AY109" s="483">
        <v>2.9002E-2</v>
      </c>
      <c r="AZ109" s="483">
        <v>2.9002E-2</v>
      </c>
      <c r="BA109" s="483">
        <v>2.9002E-2</v>
      </c>
      <c r="BB109" s="483">
        <v>2.9002E-2</v>
      </c>
      <c r="BC109" s="483">
        <v>2.9002E-2</v>
      </c>
      <c r="BD109" s="482">
        <v>2.92E-2</v>
      </c>
      <c r="BE109" s="482">
        <v>2.92E-2</v>
      </c>
      <c r="BF109" s="482">
        <v>2.92E-2</v>
      </c>
      <c r="BG109" s="482">
        <v>2.8899999999999999E-2</v>
      </c>
      <c r="BH109" s="482">
        <v>2.8899999999999999E-2</v>
      </c>
      <c r="BI109" s="482">
        <v>2.8899999999999999E-2</v>
      </c>
      <c r="BJ109" s="482">
        <v>2.8899999999999999E-2</v>
      </c>
      <c r="BK109" s="482">
        <v>2.8899999999999999E-2</v>
      </c>
      <c r="BL109" s="482">
        <v>2.93E-2</v>
      </c>
      <c r="BM109" s="482">
        <v>2.93E-2</v>
      </c>
      <c r="BN109" s="482">
        <v>2.9520000000000001E-2</v>
      </c>
      <c r="BO109" s="482">
        <v>2.9922000000000001E-2</v>
      </c>
      <c r="BP109" s="482">
        <v>3.1139E-2</v>
      </c>
      <c r="BQ109" s="482">
        <v>3.1139E-2</v>
      </c>
      <c r="BR109" s="482">
        <v>3.1199999999999999E-2</v>
      </c>
      <c r="BS109" s="482">
        <v>3.1199999999999999E-2</v>
      </c>
      <c r="BT109" s="482">
        <v>3.2300000000000002E-2</v>
      </c>
      <c r="BU109" s="482">
        <v>3.2300000000000002E-2</v>
      </c>
      <c r="BV109" s="482">
        <v>3.2300000000000002E-2</v>
      </c>
      <c r="BW109" s="482">
        <v>3.1920999999999998E-2</v>
      </c>
      <c r="BX109" s="482">
        <v>3.1920999999999998E-2</v>
      </c>
      <c r="BY109" s="482">
        <v>3.1920999999999998E-2</v>
      </c>
      <c r="BZ109" s="482">
        <v>3.2587999999999999E-2</v>
      </c>
      <c r="CA109" s="482">
        <v>3.4195999999999997E-2</v>
      </c>
      <c r="CB109" s="482">
        <v>3.5489E-2</v>
      </c>
      <c r="CC109" s="482">
        <v>3.6165999999999997E-2</v>
      </c>
      <c r="CD109" s="482">
        <v>3.6610999999999998E-2</v>
      </c>
      <c r="CE109" s="482">
        <v>3.7211000000000001E-2</v>
      </c>
      <c r="CF109" s="482">
        <v>3.7180999999999999E-2</v>
      </c>
      <c r="CG109" s="482">
        <v>3.7324000000000003E-2</v>
      </c>
      <c r="CH109" s="482">
        <v>3.8553999999999998E-2</v>
      </c>
      <c r="CI109" s="482">
        <v>3.8834E-2</v>
      </c>
      <c r="CJ109" s="482">
        <v>3.8857999999999997E-2</v>
      </c>
      <c r="CK109" s="482">
        <v>3.9039999999999998E-2</v>
      </c>
      <c r="CL109" s="482">
        <v>3.9182000000000002E-2</v>
      </c>
      <c r="CM109" s="482">
        <v>3.9393999999999998E-2</v>
      </c>
      <c r="CN109" s="482">
        <v>3.9435999999999999E-2</v>
      </c>
      <c r="CO109" s="482">
        <v>3.9432000000000002E-2</v>
      </c>
      <c r="CP109" s="482">
        <v>3.9428999999999999E-2</v>
      </c>
      <c r="CQ109" s="482">
        <v>3.9428999999999999E-2</v>
      </c>
      <c r="CR109" s="482">
        <v>3.9267000000000003E-2</v>
      </c>
      <c r="CS109" s="482">
        <v>3.9224000000000002E-2</v>
      </c>
      <c r="CT109" s="482">
        <v>3.9211999999999997E-2</v>
      </c>
      <c r="CU109" s="482">
        <v>3.9267999999999997E-2</v>
      </c>
      <c r="CV109" s="482">
        <v>3.9170999999999997E-2</v>
      </c>
      <c r="CW109" s="509">
        <v>3.9170999999999997E-2</v>
      </c>
      <c r="CX109" s="483">
        <v>3.8972E-2</v>
      </c>
      <c r="CY109" s="483">
        <v>3.9080999999999998E-2</v>
      </c>
      <c r="CZ109" s="483">
        <v>3.9076E-2</v>
      </c>
      <c r="DA109" s="483">
        <v>3.9052000000000003E-2</v>
      </c>
      <c r="DB109" s="483">
        <v>3.9052000000000003E-2</v>
      </c>
      <c r="DC109" s="485">
        <v>3.9264E-2</v>
      </c>
      <c r="DD109" s="485">
        <v>3.9432000000000002E-2</v>
      </c>
      <c r="DE109" s="483">
        <v>3.9070000000000001E-2</v>
      </c>
      <c r="DF109" s="483">
        <v>3.9070000000000001E-2</v>
      </c>
      <c r="DG109" s="483">
        <v>3.9161000000000001E-2</v>
      </c>
      <c r="DH109" s="483">
        <v>3.9064000000000002E-2</v>
      </c>
      <c r="DI109" s="483">
        <v>3.9246999999999997E-2</v>
      </c>
      <c r="DJ109" s="483">
        <v>3.8199999999999998E-2</v>
      </c>
      <c r="DK109" s="483">
        <v>3.9233999999999998E-2</v>
      </c>
      <c r="DL109" s="483">
        <v>3.9273000000000002E-2</v>
      </c>
      <c r="DM109" s="483">
        <v>3.9479E-2</v>
      </c>
      <c r="DN109" s="483">
        <v>3.9745999999999997E-2</v>
      </c>
      <c r="DO109" s="483">
        <v>3.9861000000000001E-2</v>
      </c>
      <c r="DP109" s="483">
        <v>3.9761999999999999E-2</v>
      </c>
      <c r="DQ109" s="483">
        <v>3.9882000000000001E-2</v>
      </c>
      <c r="DR109" s="483">
        <v>3.9708E-2</v>
      </c>
      <c r="DS109" s="483">
        <v>3.9902E-2</v>
      </c>
      <c r="DT109" s="483">
        <v>3.9656999999999998E-2</v>
      </c>
      <c r="DU109" s="483">
        <v>3.9828000000000002E-2</v>
      </c>
      <c r="DV109" s="483">
        <v>3.9795999999999998E-2</v>
      </c>
      <c r="DW109" s="483">
        <v>3.9967999999999997E-2</v>
      </c>
      <c r="DX109" s="483">
        <v>4.0245799999999998E-2</v>
      </c>
      <c r="DY109" s="483">
        <v>3.9997999999999999E-2</v>
      </c>
      <c r="DZ109" s="483">
        <v>3.9969999999999999E-2</v>
      </c>
      <c r="EA109" s="483">
        <v>4.0082E-2</v>
      </c>
      <c r="EB109" s="483">
        <v>3.9911000000000002E-2</v>
      </c>
      <c r="EC109" s="483">
        <v>4.0174000000000001E-2</v>
      </c>
      <c r="ED109" s="483">
        <v>3.9773000000000003E-2</v>
      </c>
      <c r="EE109" s="483">
        <v>3.9718000000000003E-2</v>
      </c>
      <c r="EF109" s="483">
        <v>3.9698999999999998E-2</v>
      </c>
      <c r="EG109" s="483">
        <v>3.9663999999999998E-2</v>
      </c>
      <c r="EH109" s="483">
        <v>3.9573999999999998E-2</v>
      </c>
      <c r="EI109" s="483">
        <v>2.2474000000000001E-2</v>
      </c>
      <c r="EJ109" s="483">
        <v>2.419E-2</v>
      </c>
      <c r="EK109" s="483">
        <v>2.3671999999999999E-2</v>
      </c>
      <c r="EL109" s="483">
        <v>1.8238999999999998E-2</v>
      </c>
      <c r="EM109" s="483">
        <v>2.2468999999999999E-2</v>
      </c>
      <c r="EN109" s="483">
        <v>3.7509000000000001E-2</v>
      </c>
      <c r="EO109" s="483">
        <v>3.6896999999999999E-2</v>
      </c>
      <c r="EP109" s="483">
        <v>3.6721999999999998E-2</v>
      </c>
      <c r="EQ109" s="483">
        <v>3.7114000000000001E-2</v>
      </c>
      <c r="ER109" s="483">
        <v>3.6679999999999997E-2</v>
      </c>
      <c r="ES109" s="483">
        <v>3.6278999999999999E-2</v>
      </c>
      <c r="ET109" s="483">
        <v>3.5587000000000001E-2</v>
      </c>
      <c r="EU109" s="483">
        <v>3.5085999999999999E-2</v>
      </c>
      <c r="EV109" s="483">
        <v>3.5012000000000001E-2</v>
      </c>
      <c r="EW109" s="483">
        <v>3.4854999999999997E-2</v>
      </c>
      <c r="EX109" s="482">
        <v>3.3300000000000003E-2</v>
      </c>
      <c r="EY109" s="482">
        <v>3.3799999999999997E-2</v>
      </c>
      <c r="EZ109" s="483">
        <v>3.5416999999999997E-2</v>
      </c>
      <c r="FA109" s="485">
        <v>3.5062999999999997E-2</v>
      </c>
      <c r="FB109" s="485">
        <v>3.4109E-2</v>
      </c>
      <c r="FC109" s="486">
        <v>3.4107999999999999E-2</v>
      </c>
      <c r="FD109" s="486">
        <v>3.3570999999999997E-2</v>
      </c>
      <c r="FE109" s="486">
        <v>3.3316999999999999E-2</v>
      </c>
      <c r="FF109" s="486">
        <v>3.3035000000000002E-2</v>
      </c>
      <c r="FG109" s="486">
        <v>3.6415999999999997E-2</v>
      </c>
      <c r="FH109" s="486">
        <v>3.2849999999999997E-2</v>
      </c>
      <c r="FI109" s="486">
        <v>3.2375000000000001E-2</v>
      </c>
      <c r="FJ109" s="486">
        <v>3.1996999999999998E-2</v>
      </c>
      <c r="FK109" s="486">
        <v>3.1574999999999999E-2</v>
      </c>
      <c r="FL109" s="486">
        <v>3.0318000000000001E-2</v>
      </c>
      <c r="FM109" s="486">
        <v>3.0984999999999999E-2</v>
      </c>
      <c r="FN109" s="486">
        <v>3.049E-2</v>
      </c>
      <c r="FO109" s="486">
        <v>2.9697999999999999E-2</v>
      </c>
      <c r="FP109" s="486">
        <v>2.8753999999999998E-2</v>
      </c>
      <c r="FQ109" s="486">
        <v>2.8603E-2</v>
      </c>
      <c r="FR109" s="486">
        <v>2.7909E-2</v>
      </c>
      <c r="FS109" s="486">
        <v>2.6955E-2</v>
      </c>
      <c r="FT109" s="486">
        <v>2.605E-2</v>
      </c>
      <c r="FU109" s="486">
        <v>2.3890000000000002E-2</v>
      </c>
      <c r="FV109" s="483">
        <v>3.8531999999999997E-2</v>
      </c>
      <c r="FW109" s="483">
        <v>3.8636999999999998E-2</v>
      </c>
      <c r="FX109" s="483">
        <v>3.8995000000000002E-2</v>
      </c>
      <c r="FY109" s="483">
        <v>3.8995000000000002E-2</v>
      </c>
      <c r="FZ109" s="483">
        <v>3.8686999999999999E-2</v>
      </c>
      <c r="GA109" s="483">
        <v>3.8386999999999998E-2</v>
      </c>
      <c r="GB109" s="483">
        <v>3.8203000000000001E-2</v>
      </c>
      <c r="GC109" s="483">
        <v>3.8543000000000001E-2</v>
      </c>
      <c r="GD109" s="486">
        <v>2.3671999999999999E-2</v>
      </c>
      <c r="GE109" s="486">
        <v>2.3671999999999999E-2</v>
      </c>
      <c r="GF109" s="486">
        <v>2.3671999999999999E-2</v>
      </c>
      <c r="GG109" s="486">
        <v>2.3671999999999999E-2</v>
      </c>
      <c r="GH109" s="486">
        <v>2.3671999999999999E-2</v>
      </c>
      <c r="GI109" s="486">
        <v>2.3671999999999999E-2</v>
      </c>
      <c r="GJ109" s="486">
        <v>2.3671999999999999E-2</v>
      </c>
      <c r="GK109" s="486">
        <v>2.3671999999999999E-2</v>
      </c>
      <c r="GL109" s="486">
        <v>2.3671999999999999E-2</v>
      </c>
      <c r="GM109" s="486">
        <v>2.3671999999999999E-2</v>
      </c>
      <c r="GN109" s="486">
        <v>2.3671999999999999E-2</v>
      </c>
      <c r="GO109" s="486">
        <v>2.3671999999999999E-2</v>
      </c>
      <c r="GP109" s="486">
        <v>2.3671999999999999E-2</v>
      </c>
      <c r="GQ109" s="486">
        <v>2.3671999999999999E-2</v>
      </c>
      <c r="GR109" s="486">
        <v>2.3671999999999999E-2</v>
      </c>
      <c r="GS109" s="486">
        <v>2.3671999999999999E-2</v>
      </c>
      <c r="GT109" s="486">
        <v>2.3671999999999999E-2</v>
      </c>
      <c r="GU109" s="486">
        <v>2.3671999999999999E-2</v>
      </c>
      <c r="GV109" s="486">
        <v>2.3671999999999999E-2</v>
      </c>
      <c r="GW109" s="486">
        <v>2.3671999999999999E-2</v>
      </c>
      <c r="GX109" s="486">
        <v>2.3671999999999999E-2</v>
      </c>
      <c r="GY109" s="486">
        <v>2.3671999999999999E-2</v>
      </c>
      <c r="GZ109" s="486">
        <v>2.3671999999999999E-2</v>
      </c>
      <c r="HA109" s="486">
        <v>2.3671999999999999E-2</v>
      </c>
      <c r="HB109" s="486">
        <v>2.3671999999999999E-2</v>
      </c>
      <c r="HC109" s="486">
        <v>2.3671999999999999E-2</v>
      </c>
      <c r="HD109" s="486">
        <v>2.3671999999999999E-2</v>
      </c>
      <c r="HE109" s="486">
        <v>2.3671999999999999E-2</v>
      </c>
      <c r="HF109" s="486">
        <v>2.3671999999999999E-2</v>
      </c>
      <c r="HG109" s="486">
        <v>2.3671999999999999E-2</v>
      </c>
      <c r="HH109" s="486">
        <v>2.3671999999999999E-2</v>
      </c>
      <c r="HI109" s="486">
        <v>2.3671999999999999E-2</v>
      </c>
      <c r="HJ109" s="486">
        <v>2.3671999999999999E-2</v>
      </c>
      <c r="HK109" s="486">
        <v>2.3671999999999999E-2</v>
      </c>
      <c r="HL109" s="486">
        <v>2.3671999999999999E-2</v>
      </c>
      <c r="HM109" s="486">
        <v>2.3671999999999999E-2</v>
      </c>
      <c r="HN109" s="486">
        <v>2.3671999999999999E-2</v>
      </c>
      <c r="HO109" s="486">
        <v>2.3671999999999999E-2</v>
      </c>
      <c r="HP109" s="473">
        <f t="shared" si="30"/>
        <v>0</v>
      </c>
      <c r="HQ109" s="1135"/>
    </row>
    <row r="110" spans="2:225">
      <c r="B110" s="1124"/>
      <c r="C110" s="730" t="s">
        <v>231</v>
      </c>
      <c r="D110" s="502">
        <v>2.3747999999999998E-2</v>
      </c>
      <c r="E110" s="502">
        <v>2.3747999999999998E-2</v>
      </c>
      <c r="F110" s="502">
        <v>2.368E-2</v>
      </c>
      <c r="G110" s="502">
        <v>2.3727000000000002E-2</v>
      </c>
      <c r="H110" s="502">
        <v>2.3393000000000001E-2</v>
      </c>
      <c r="I110" s="500">
        <v>2.3692000000000001E-2</v>
      </c>
      <c r="J110" s="500">
        <v>2.3692000000000001E-2</v>
      </c>
      <c r="K110" s="502">
        <v>2.3692000000000001E-2</v>
      </c>
      <c r="L110" s="502">
        <v>2.3668999999999999E-2</v>
      </c>
      <c r="M110" s="502">
        <v>2.3463999999999999E-2</v>
      </c>
      <c r="N110" s="502">
        <v>2.3608000000000001E-2</v>
      </c>
      <c r="O110" s="502">
        <v>2.3886999999999999E-2</v>
      </c>
      <c r="P110" s="502">
        <v>2.4007000000000001E-2</v>
      </c>
      <c r="Q110" s="502">
        <v>2.4364E-2</v>
      </c>
      <c r="R110" s="502">
        <v>2.4718E-2</v>
      </c>
      <c r="S110" s="502">
        <v>2.5224E-2</v>
      </c>
      <c r="T110" s="502">
        <v>2.5779E-2</v>
      </c>
      <c r="U110" s="502">
        <v>2.5409000000000001E-2</v>
      </c>
      <c r="V110" s="502">
        <v>2.5866E-2</v>
      </c>
      <c r="W110" s="502">
        <v>2.5382999999999999E-2</v>
      </c>
      <c r="X110" s="502">
        <v>2.5597999999999999E-2</v>
      </c>
      <c r="Y110" s="502">
        <v>2.5936000000000001E-2</v>
      </c>
      <c r="Z110" s="502">
        <v>2.6353000000000001E-2</v>
      </c>
      <c r="AA110" s="502">
        <v>2.6852999999999998E-2</v>
      </c>
      <c r="AB110" s="502">
        <v>2.7002000000000002E-2</v>
      </c>
      <c r="AC110" s="500">
        <v>2.7257E-2</v>
      </c>
      <c r="AD110" s="502">
        <v>2.7560000000000001E-2</v>
      </c>
      <c r="AE110" s="502">
        <v>2.8711E-2</v>
      </c>
      <c r="AF110" s="502">
        <v>2.8979000000000001E-2</v>
      </c>
      <c r="AG110" s="502">
        <v>2.9149999999999999E-2</v>
      </c>
      <c r="AH110" s="481">
        <v>2.9329000000000001E-2</v>
      </c>
      <c r="AI110" s="480">
        <v>2.9419000000000001E-2</v>
      </c>
      <c r="AJ110" s="480">
        <v>3.0079000000000002E-2</v>
      </c>
      <c r="AK110" s="480">
        <v>3.0186999999999999E-2</v>
      </c>
      <c r="AL110" s="480">
        <v>3.0997E-2</v>
      </c>
      <c r="AM110" s="480">
        <v>3.0284999999999999E-2</v>
      </c>
      <c r="AN110" s="480">
        <v>3.9924000000000001E-2</v>
      </c>
      <c r="AO110" s="480">
        <v>3.0020999999999999E-2</v>
      </c>
      <c r="AP110" s="481">
        <v>3.0200000000000001E-2</v>
      </c>
      <c r="AQ110" s="481">
        <f t="shared" ref="AQ110:BC111" si="38">AQ109+0.1%</f>
        <v>3.0200000000000001E-2</v>
      </c>
      <c r="AR110" s="480">
        <f t="shared" si="38"/>
        <v>3.0200000000000001E-2</v>
      </c>
      <c r="AS110" s="480">
        <f t="shared" si="38"/>
        <v>3.0287000000000001E-2</v>
      </c>
      <c r="AT110" s="481">
        <f t="shared" si="38"/>
        <v>3.0252000000000001E-2</v>
      </c>
      <c r="AU110" s="481">
        <f t="shared" si="38"/>
        <v>3.0252000000000001E-2</v>
      </c>
      <c r="AV110" s="480">
        <f t="shared" si="38"/>
        <v>2.9982000000000002E-2</v>
      </c>
      <c r="AW110" s="483">
        <f t="shared" si="38"/>
        <v>2.9798000000000002E-2</v>
      </c>
      <c r="AX110" s="483">
        <f t="shared" si="38"/>
        <v>3.0002000000000001E-2</v>
      </c>
      <c r="AY110" s="483">
        <f t="shared" si="38"/>
        <v>3.0002000000000001E-2</v>
      </c>
      <c r="AZ110" s="483">
        <f t="shared" si="38"/>
        <v>3.0002000000000001E-2</v>
      </c>
      <c r="BA110" s="483">
        <f t="shared" si="38"/>
        <v>3.0002000000000001E-2</v>
      </c>
      <c r="BB110" s="483">
        <f t="shared" si="38"/>
        <v>3.0002000000000001E-2</v>
      </c>
      <c r="BC110" s="483">
        <f t="shared" si="38"/>
        <v>3.0002000000000001E-2</v>
      </c>
      <c r="BD110" s="482">
        <v>3.0200000000000001E-2</v>
      </c>
      <c r="BE110" s="482">
        <v>3.0200000000000001E-2</v>
      </c>
      <c r="BF110" s="482">
        <v>3.0200000000000001E-2</v>
      </c>
      <c r="BG110" s="482">
        <v>2.9899999999999999E-2</v>
      </c>
      <c r="BH110" s="482">
        <v>2.9899999999999999E-2</v>
      </c>
      <c r="BI110" s="482">
        <v>2.9899999999999999E-2</v>
      </c>
      <c r="BJ110" s="482">
        <v>2.9899999999999999E-2</v>
      </c>
      <c r="BK110" s="482">
        <v>2.9899999999999999E-2</v>
      </c>
      <c r="BL110" s="482">
        <v>3.0300000000000001E-2</v>
      </c>
      <c r="BM110" s="482">
        <v>3.0300000000000001E-2</v>
      </c>
      <c r="BN110" s="482">
        <v>3.0519999999999999E-2</v>
      </c>
      <c r="BO110" s="482">
        <v>3.0922000000000002E-2</v>
      </c>
      <c r="BP110" s="482">
        <v>3.2139000000000001E-2</v>
      </c>
      <c r="BQ110" s="482">
        <v>3.2139000000000001E-2</v>
      </c>
      <c r="BR110" s="482">
        <v>3.2199999999999999E-2</v>
      </c>
      <c r="BS110" s="482">
        <v>3.2199999999999999E-2</v>
      </c>
      <c r="BT110" s="482">
        <v>3.3300000000000003E-2</v>
      </c>
      <c r="BU110" s="482">
        <v>3.3300000000000003E-2</v>
      </c>
      <c r="BV110" s="482">
        <v>3.3300000000000003E-2</v>
      </c>
      <c r="BW110" s="482">
        <v>3.2920999999999999E-2</v>
      </c>
      <c r="BX110" s="482">
        <v>3.2920999999999999E-2</v>
      </c>
      <c r="BY110" s="482">
        <v>3.2920999999999999E-2</v>
      </c>
      <c r="BZ110" s="482">
        <v>3.3588E-2</v>
      </c>
      <c r="CA110" s="482">
        <v>3.5195999999999998E-2</v>
      </c>
      <c r="CB110" s="482">
        <v>3.6489000000000001E-2</v>
      </c>
      <c r="CC110" s="482">
        <v>3.7165999999999998E-2</v>
      </c>
      <c r="CD110" s="482">
        <v>3.7610999999999999E-2</v>
      </c>
      <c r="CE110" s="482">
        <v>3.8211000000000002E-2</v>
      </c>
      <c r="CF110" s="482">
        <v>3.8181E-2</v>
      </c>
      <c r="CG110" s="482">
        <v>3.8323999999999997E-2</v>
      </c>
      <c r="CH110" s="482">
        <v>3.9553999999999999E-2</v>
      </c>
      <c r="CI110" s="482">
        <v>3.9834000000000001E-2</v>
      </c>
      <c r="CJ110" s="482">
        <v>3.9857999999999998E-2</v>
      </c>
      <c r="CK110" s="482">
        <v>4.0039999999999999E-2</v>
      </c>
      <c r="CL110" s="482">
        <v>4.0182000000000002E-2</v>
      </c>
      <c r="CM110" s="482">
        <v>4.0393999999999999E-2</v>
      </c>
      <c r="CN110" s="482">
        <v>4.0436E-2</v>
      </c>
      <c r="CO110" s="482">
        <v>4.0432000000000003E-2</v>
      </c>
      <c r="CP110" s="482">
        <v>4.0429E-2</v>
      </c>
      <c r="CQ110" s="482">
        <v>4.0429E-2</v>
      </c>
      <c r="CR110" s="482">
        <v>4.0266999999999997E-2</v>
      </c>
      <c r="CS110" s="482">
        <v>4.0224000000000003E-2</v>
      </c>
      <c r="CT110" s="482">
        <v>4.0211999999999998E-2</v>
      </c>
      <c r="CU110" s="482">
        <v>4.0268999999999999E-2</v>
      </c>
      <c r="CV110" s="482">
        <v>4.0170999999999998E-2</v>
      </c>
      <c r="CW110" s="509">
        <v>4.0170999999999998E-2</v>
      </c>
      <c r="CX110" s="483">
        <v>3.9972000000000001E-2</v>
      </c>
      <c r="CY110" s="483">
        <v>4.0080999999999999E-2</v>
      </c>
      <c r="CZ110" s="483">
        <v>4.0076000000000001E-2</v>
      </c>
      <c r="DA110" s="483">
        <v>4.0051999999999997E-2</v>
      </c>
      <c r="DB110" s="483">
        <v>4.0051999999999997E-2</v>
      </c>
      <c r="DC110" s="485">
        <v>4.0264000000000001E-2</v>
      </c>
      <c r="DD110" s="485">
        <v>4.0432000000000003E-2</v>
      </c>
      <c r="DE110" s="483">
        <v>4.0070000000000001E-2</v>
      </c>
      <c r="DF110" s="483">
        <v>4.0070000000000001E-2</v>
      </c>
      <c r="DG110" s="483">
        <v>4.0161000000000002E-2</v>
      </c>
      <c r="DH110" s="483">
        <v>4.0064000000000002E-2</v>
      </c>
      <c r="DI110" s="483">
        <v>4.0246999999999998E-2</v>
      </c>
      <c r="DJ110" s="483">
        <v>3.9979000000000001E-2</v>
      </c>
      <c r="DK110" s="483">
        <v>4.0233999999999999E-2</v>
      </c>
      <c r="DL110" s="483">
        <v>4.0273000000000003E-2</v>
      </c>
      <c r="DM110" s="483">
        <v>4.0479000000000001E-2</v>
      </c>
      <c r="DN110" s="483">
        <v>4.0745999999999997E-2</v>
      </c>
      <c r="DO110" s="483">
        <v>4.0861000000000001E-2</v>
      </c>
      <c r="DP110" s="483">
        <v>4.0762E-2</v>
      </c>
      <c r="DQ110" s="483">
        <v>4.0882000000000002E-2</v>
      </c>
      <c r="DR110" s="483">
        <v>4.0708000000000001E-2</v>
      </c>
      <c r="DS110" s="483">
        <v>4.0902000000000001E-2</v>
      </c>
      <c r="DT110" s="483">
        <v>4.0656999999999999E-2</v>
      </c>
      <c r="DU110" s="483">
        <v>4.0828000000000003E-2</v>
      </c>
      <c r="DV110" s="483">
        <v>4.0795999999999999E-2</v>
      </c>
      <c r="DW110" s="483">
        <v>4.0967999999999997E-2</v>
      </c>
      <c r="DX110" s="483">
        <v>4.1258000000000003E-2</v>
      </c>
      <c r="DY110" s="483">
        <v>4.0998E-2</v>
      </c>
      <c r="DZ110" s="483">
        <v>4.0969999999999999E-2</v>
      </c>
      <c r="EA110" s="483">
        <v>4.1082E-2</v>
      </c>
      <c r="EB110" s="483">
        <v>4.0911000000000003E-2</v>
      </c>
      <c r="EC110" s="483">
        <v>4.1174000000000002E-2</v>
      </c>
      <c r="ED110" s="483">
        <v>4.0772999999999997E-2</v>
      </c>
      <c r="EE110" s="483">
        <v>4.0717999999999997E-2</v>
      </c>
      <c r="EF110" s="483">
        <v>4.0698999999999999E-2</v>
      </c>
      <c r="EG110" s="483">
        <v>4.0663999999999999E-2</v>
      </c>
      <c r="EH110" s="483">
        <v>4.0573999999999999E-2</v>
      </c>
      <c r="EI110" s="483">
        <v>2.3473999999999998E-2</v>
      </c>
      <c r="EJ110" s="483">
        <v>2.5189E-2</v>
      </c>
      <c r="EK110" s="483">
        <v>2.4671999999999999E-2</v>
      </c>
      <c r="EL110" s="483">
        <v>1.9238999999999999E-2</v>
      </c>
      <c r="EM110" s="483">
        <v>2.4469000000000001E-2</v>
      </c>
      <c r="EN110" s="483">
        <v>3.8509000000000002E-2</v>
      </c>
      <c r="EO110" s="483">
        <v>3.7898000000000001E-2</v>
      </c>
      <c r="EP110" s="483">
        <v>3.7721999999999999E-2</v>
      </c>
      <c r="EQ110" s="483">
        <v>3.8114000000000002E-2</v>
      </c>
      <c r="ER110" s="483">
        <v>3.7679999999999998E-2</v>
      </c>
      <c r="ES110" s="483">
        <v>3.7279E-2</v>
      </c>
      <c r="ET110" s="483">
        <v>3.6587000000000001E-2</v>
      </c>
      <c r="EU110" s="483">
        <v>3.6086E-2</v>
      </c>
      <c r="EV110" s="483">
        <v>3.6012000000000002E-2</v>
      </c>
      <c r="EW110" s="483">
        <v>3.5854999999999998E-2</v>
      </c>
      <c r="EX110" s="482">
        <v>3.4299999999999997E-2</v>
      </c>
      <c r="EY110" s="482">
        <v>3.4799999999999998E-2</v>
      </c>
      <c r="EZ110" s="483">
        <v>3.6416999999999998E-2</v>
      </c>
      <c r="FA110" s="485">
        <v>3.6062999999999998E-2</v>
      </c>
      <c r="FB110" s="485">
        <v>3.5109000000000001E-2</v>
      </c>
      <c r="FC110" s="486">
        <v>3.5108E-2</v>
      </c>
      <c r="FD110" s="486">
        <v>3.4570999999999998E-2</v>
      </c>
      <c r="FE110" s="486">
        <v>3.4317E-2</v>
      </c>
      <c r="FF110" s="486">
        <v>3.4035000000000003E-2</v>
      </c>
      <c r="FG110" s="486">
        <v>3.7415999999999998E-2</v>
      </c>
      <c r="FH110" s="486">
        <v>3.3849999999999998E-2</v>
      </c>
      <c r="FI110" s="486">
        <v>3.3375000000000002E-2</v>
      </c>
      <c r="FJ110" s="486">
        <v>3.2996999999999999E-2</v>
      </c>
      <c r="FK110" s="486">
        <v>3.2575E-2</v>
      </c>
      <c r="FL110" s="486">
        <v>3.1317999999999999E-2</v>
      </c>
      <c r="FM110" s="486">
        <v>3.1985E-2</v>
      </c>
      <c r="FN110" s="486">
        <v>3.1489999999999997E-2</v>
      </c>
      <c r="FO110" s="486">
        <v>3.0698E-2</v>
      </c>
      <c r="FP110" s="486">
        <v>2.9753999999999999E-2</v>
      </c>
      <c r="FQ110" s="486">
        <v>2.9603000000000001E-2</v>
      </c>
      <c r="FR110" s="486">
        <v>2.8909000000000001E-2</v>
      </c>
      <c r="FS110" s="486">
        <v>2.7955000000000001E-2</v>
      </c>
      <c r="FT110" s="486">
        <v>2.7050000000000001E-2</v>
      </c>
      <c r="FU110" s="486">
        <v>2.4889999999999999E-2</v>
      </c>
      <c r="FV110" s="483">
        <v>3.9531999999999998E-2</v>
      </c>
      <c r="FW110" s="483">
        <v>3.9636999999999999E-2</v>
      </c>
      <c r="FX110" s="483">
        <v>3.9995000000000003E-2</v>
      </c>
      <c r="FY110" s="483">
        <v>3.9995000000000003E-2</v>
      </c>
      <c r="FZ110" s="483">
        <v>3.9687E-2</v>
      </c>
      <c r="GA110" s="483">
        <v>3.9386999999999998E-2</v>
      </c>
      <c r="GB110" s="483">
        <v>3.9203000000000002E-2</v>
      </c>
      <c r="GC110" s="483">
        <v>3.9543000000000002E-2</v>
      </c>
      <c r="GD110" s="486">
        <v>2.4671999999999999E-2</v>
      </c>
      <c r="GE110" s="486">
        <v>2.4671999999999999E-2</v>
      </c>
      <c r="GF110" s="486">
        <v>2.4671999999999999E-2</v>
      </c>
      <c r="GG110" s="486">
        <v>2.4671999999999999E-2</v>
      </c>
      <c r="GH110" s="486">
        <v>2.4671999999999999E-2</v>
      </c>
      <c r="GI110" s="486">
        <v>2.4671999999999999E-2</v>
      </c>
      <c r="GJ110" s="486">
        <v>2.4671999999999999E-2</v>
      </c>
      <c r="GK110" s="486">
        <v>2.4671999999999999E-2</v>
      </c>
      <c r="GL110" s="486">
        <v>2.4671999999999999E-2</v>
      </c>
      <c r="GM110" s="486">
        <v>2.4671999999999999E-2</v>
      </c>
      <c r="GN110" s="486">
        <v>2.4671999999999999E-2</v>
      </c>
      <c r="GO110" s="486">
        <v>2.4671999999999999E-2</v>
      </c>
      <c r="GP110" s="486">
        <v>2.4671999999999999E-2</v>
      </c>
      <c r="GQ110" s="486">
        <v>2.4671999999999999E-2</v>
      </c>
      <c r="GR110" s="486">
        <v>2.4671999999999999E-2</v>
      </c>
      <c r="GS110" s="486">
        <v>2.4671999999999999E-2</v>
      </c>
      <c r="GT110" s="486">
        <v>2.4671999999999999E-2</v>
      </c>
      <c r="GU110" s="486">
        <v>2.4671999999999999E-2</v>
      </c>
      <c r="GV110" s="486">
        <v>2.4671999999999999E-2</v>
      </c>
      <c r="GW110" s="486">
        <v>2.4671999999999999E-2</v>
      </c>
      <c r="GX110" s="486">
        <v>2.4671999999999999E-2</v>
      </c>
      <c r="GY110" s="486">
        <v>2.4671999999999999E-2</v>
      </c>
      <c r="GZ110" s="486">
        <v>2.4671999999999999E-2</v>
      </c>
      <c r="HA110" s="486">
        <v>2.4671999999999999E-2</v>
      </c>
      <c r="HB110" s="486">
        <v>2.4671999999999999E-2</v>
      </c>
      <c r="HC110" s="486">
        <v>2.4671999999999999E-2</v>
      </c>
      <c r="HD110" s="486">
        <v>2.4671999999999999E-2</v>
      </c>
      <c r="HE110" s="486">
        <v>2.4671999999999999E-2</v>
      </c>
      <c r="HF110" s="486">
        <v>2.4671999999999999E-2</v>
      </c>
      <c r="HG110" s="486">
        <v>2.4671999999999999E-2</v>
      </c>
      <c r="HH110" s="486">
        <v>2.4671999999999999E-2</v>
      </c>
      <c r="HI110" s="486">
        <v>2.4671999999999999E-2</v>
      </c>
      <c r="HJ110" s="486">
        <v>2.4671999999999999E-2</v>
      </c>
      <c r="HK110" s="486">
        <v>2.4671999999999999E-2</v>
      </c>
      <c r="HL110" s="486">
        <v>2.4671999999999999E-2</v>
      </c>
      <c r="HM110" s="486">
        <v>2.4671999999999999E-2</v>
      </c>
      <c r="HN110" s="486">
        <v>2.4671999999999999E-2</v>
      </c>
      <c r="HO110" s="486">
        <v>2.4671999999999999E-2</v>
      </c>
      <c r="HP110" s="473">
        <f t="shared" si="30"/>
        <v>0</v>
      </c>
      <c r="HQ110" s="1136"/>
    </row>
    <row r="111" spans="2:225">
      <c r="B111" s="1124"/>
      <c r="C111" s="730" t="s">
        <v>62</v>
      </c>
      <c r="D111" s="502">
        <v>2.4747999999999999E-2</v>
      </c>
      <c r="E111" s="502">
        <v>2.4747999999999999E-2</v>
      </c>
      <c r="F111" s="502">
        <v>2.4680000000000001E-2</v>
      </c>
      <c r="G111" s="502">
        <v>2.4719999999999999E-2</v>
      </c>
      <c r="H111" s="502">
        <v>2.4393000000000001E-2</v>
      </c>
      <c r="I111" s="500">
        <v>2.4691999999999999E-2</v>
      </c>
      <c r="J111" s="500">
        <v>2.4691999999999999E-2</v>
      </c>
      <c r="K111" s="502">
        <v>2.4691999999999999E-2</v>
      </c>
      <c r="L111" s="502">
        <v>2.4669E-2</v>
      </c>
      <c r="M111" s="502">
        <v>2.4464E-2</v>
      </c>
      <c r="N111" s="502">
        <v>2.4608000000000001E-2</v>
      </c>
      <c r="O111" s="502">
        <v>2.4886999999999999E-2</v>
      </c>
      <c r="P111" s="502">
        <v>2.5007000000000001E-2</v>
      </c>
      <c r="Q111" s="502">
        <v>2.5364000000000001E-2</v>
      </c>
      <c r="R111" s="502">
        <v>2.5718000000000001E-2</v>
      </c>
      <c r="S111" s="502">
        <v>2.6224000000000001E-2</v>
      </c>
      <c r="T111" s="502">
        <v>2.6779000000000001E-2</v>
      </c>
      <c r="U111" s="502">
        <v>2.6408999999999998E-2</v>
      </c>
      <c r="V111" s="502">
        <v>2.6866000000000001E-2</v>
      </c>
      <c r="W111" s="502">
        <v>2.6383E-2</v>
      </c>
      <c r="X111" s="502">
        <v>2.6598E-2</v>
      </c>
      <c r="Y111" s="502">
        <v>2.6936000000000002E-2</v>
      </c>
      <c r="Z111" s="502">
        <v>2.7352999999999999E-2</v>
      </c>
      <c r="AA111" s="502">
        <v>2.7852999999999999E-2</v>
      </c>
      <c r="AB111" s="502">
        <v>2.8001999999999999E-2</v>
      </c>
      <c r="AC111" s="500">
        <v>2.8257000000000001E-2</v>
      </c>
      <c r="AD111" s="502">
        <v>2.8559999999999999E-2</v>
      </c>
      <c r="AE111" s="502">
        <v>2.9711000000000001E-2</v>
      </c>
      <c r="AF111" s="502">
        <v>2.9978999999999999E-2</v>
      </c>
      <c r="AG111" s="502">
        <v>3.015E-2</v>
      </c>
      <c r="AH111" s="481">
        <v>3.0328999999999998E-2</v>
      </c>
      <c r="AI111" s="480">
        <v>3.0419000000000002E-2</v>
      </c>
      <c r="AJ111" s="480">
        <v>3.1078999999999999E-2</v>
      </c>
      <c r="AK111" s="480">
        <v>3.1186999999999999E-2</v>
      </c>
      <c r="AL111" s="480">
        <v>3.1996999999999998E-2</v>
      </c>
      <c r="AM111" s="480">
        <v>3.1285E-2</v>
      </c>
      <c r="AN111" s="480">
        <v>3.0924E-2</v>
      </c>
      <c r="AO111" s="480">
        <v>3.1021E-2</v>
      </c>
      <c r="AP111" s="481">
        <v>3.1200000000000002E-2</v>
      </c>
      <c r="AQ111" s="481">
        <f t="shared" si="38"/>
        <v>3.1200000000000002E-2</v>
      </c>
      <c r="AR111" s="480">
        <f t="shared" si="38"/>
        <v>3.1200000000000002E-2</v>
      </c>
      <c r="AS111" s="480">
        <f t="shared" si="38"/>
        <v>3.1287000000000002E-2</v>
      </c>
      <c r="AT111" s="481">
        <f t="shared" si="38"/>
        <v>3.1252000000000002E-2</v>
      </c>
      <c r="AU111" s="481">
        <f t="shared" si="38"/>
        <v>3.1252000000000002E-2</v>
      </c>
      <c r="AV111" s="480">
        <f t="shared" si="38"/>
        <v>3.0982000000000003E-2</v>
      </c>
      <c r="AW111" s="483">
        <f t="shared" si="38"/>
        <v>3.0798000000000002E-2</v>
      </c>
      <c r="AX111" s="483">
        <f t="shared" si="38"/>
        <v>3.1002000000000002E-2</v>
      </c>
      <c r="AY111" s="483">
        <f t="shared" si="38"/>
        <v>3.1002000000000002E-2</v>
      </c>
      <c r="AZ111" s="483">
        <f t="shared" si="38"/>
        <v>3.1002000000000002E-2</v>
      </c>
      <c r="BA111" s="483">
        <f t="shared" si="38"/>
        <v>3.1002000000000002E-2</v>
      </c>
      <c r="BB111" s="483">
        <f t="shared" si="38"/>
        <v>3.1002000000000002E-2</v>
      </c>
      <c r="BC111" s="483">
        <f t="shared" si="38"/>
        <v>3.1002000000000002E-2</v>
      </c>
      <c r="BD111" s="482">
        <v>3.1199999999999999E-2</v>
      </c>
      <c r="BE111" s="482">
        <v>3.1199999999999999E-2</v>
      </c>
      <c r="BF111" s="482">
        <v>3.1199999999999999E-2</v>
      </c>
      <c r="BG111" s="482">
        <v>3.09E-2</v>
      </c>
      <c r="BH111" s="482">
        <v>3.09E-2</v>
      </c>
      <c r="BI111" s="482">
        <v>3.09E-2</v>
      </c>
      <c r="BJ111" s="482">
        <v>3.09E-2</v>
      </c>
      <c r="BK111" s="482">
        <v>3.09E-2</v>
      </c>
      <c r="BL111" s="482">
        <v>3.1300000000000001E-2</v>
      </c>
      <c r="BM111" s="482">
        <v>3.1300000000000001E-2</v>
      </c>
      <c r="BN111" s="482">
        <v>3.1519999999999999E-2</v>
      </c>
      <c r="BO111" s="482">
        <v>3.1921999999999999E-2</v>
      </c>
      <c r="BP111" s="482">
        <v>3.3139000000000002E-2</v>
      </c>
      <c r="BQ111" s="482">
        <v>3.3139000000000002E-2</v>
      </c>
      <c r="BR111" s="482">
        <v>3.32E-2</v>
      </c>
      <c r="BS111" s="482">
        <v>3.32E-2</v>
      </c>
      <c r="BT111" s="482">
        <v>3.4299999999999997E-2</v>
      </c>
      <c r="BU111" s="482">
        <v>3.4299999999999997E-2</v>
      </c>
      <c r="BV111" s="482">
        <v>3.4299999999999997E-2</v>
      </c>
      <c r="BW111" s="482">
        <v>3.3921E-2</v>
      </c>
      <c r="BX111" s="482">
        <v>3.3921E-2</v>
      </c>
      <c r="BY111" s="482">
        <v>3.3921E-2</v>
      </c>
      <c r="BZ111" s="482">
        <v>3.4588000000000001E-2</v>
      </c>
      <c r="CA111" s="482">
        <v>3.6195999999999999E-2</v>
      </c>
      <c r="CB111" s="482">
        <v>3.7489000000000001E-2</v>
      </c>
      <c r="CC111" s="482">
        <v>3.8165999999999999E-2</v>
      </c>
      <c r="CD111" s="482">
        <v>3.8610999999999999E-2</v>
      </c>
      <c r="CE111" s="482">
        <v>3.9211000000000003E-2</v>
      </c>
      <c r="CF111" s="482">
        <v>3.9181000000000001E-2</v>
      </c>
      <c r="CG111" s="482">
        <v>3.9323999999999998E-2</v>
      </c>
      <c r="CH111" s="482">
        <v>4.0554E-2</v>
      </c>
      <c r="CI111" s="482">
        <v>4.0834000000000002E-2</v>
      </c>
      <c r="CJ111" s="482">
        <v>4.0857999999999998E-2</v>
      </c>
      <c r="CK111" s="482">
        <v>4.104E-2</v>
      </c>
      <c r="CL111" s="482">
        <v>4.1182000000000003E-2</v>
      </c>
      <c r="CM111" s="482">
        <v>4.1394E-2</v>
      </c>
      <c r="CN111" s="482">
        <v>4.1436000000000001E-2</v>
      </c>
      <c r="CO111" s="482">
        <v>4.1431999999999997E-2</v>
      </c>
      <c r="CP111" s="482">
        <v>4.1429000000000001E-2</v>
      </c>
      <c r="CQ111" s="482">
        <v>4.1429000000000001E-2</v>
      </c>
      <c r="CR111" s="482">
        <v>4.1266999999999998E-2</v>
      </c>
      <c r="CS111" s="482">
        <v>4.1223999999999997E-2</v>
      </c>
      <c r="CT111" s="482">
        <v>4.1211999999999999E-2</v>
      </c>
      <c r="CU111" s="482">
        <v>4.1267999999999999E-2</v>
      </c>
      <c r="CV111" s="482">
        <v>4.1170999999999999E-2</v>
      </c>
      <c r="CW111" s="509">
        <v>4.1170999999999999E-2</v>
      </c>
      <c r="CX111" s="483">
        <v>4.0972000000000001E-2</v>
      </c>
      <c r="CY111" s="483">
        <v>4.1080999999999999E-2</v>
      </c>
      <c r="CZ111" s="483">
        <v>4.1076000000000001E-2</v>
      </c>
      <c r="DA111" s="483">
        <v>4.1051999999999998E-2</v>
      </c>
      <c r="DB111" s="483">
        <v>4.1051999999999998E-2</v>
      </c>
      <c r="DC111" s="485">
        <v>4.1264000000000002E-2</v>
      </c>
      <c r="DD111" s="485">
        <v>4.1431999999999997E-2</v>
      </c>
      <c r="DE111" s="483">
        <v>4.1070000000000002E-2</v>
      </c>
      <c r="DF111" s="483">
        <v>4.1070000000000002E-2</v>
      </c>
      <c r="DG111" s="483">
        <v>4.1161000000000003E-2</v>
      </c>
      <c r="DH111" s="483">
        <v>4.1064000000000003E-2</v>
      </c>
      <c r="DI111" s="483">
        <v>4.1246999999999999E-2</v>
      </c>
      <c r="DJ111" s="483">
        <v>4.0979000000000002E-2</v>
      </c>
      <c r="DK111" s="483">
        <v>4.1234E-2</v>
      </c>
      <c r="DL111" s="483">
        <v>4.1272999999999997E-2</v>
      </c>
      <c r="DM111" s="483">
        <v>4.1479000000000002E-2</v>
      </c>
      <c r="DN111" s="483">
        <v>4.1745999999999998E-2</v>
      </c>
      <c r="DO111" s="483">
        <v>4.1861000000000002E-2</v>
      </c>
      <c r="DP111" s="483">
        <v>4.1762000000000001E-2</v>
      </c>
      <c r="DQ111" s="483">
        <v>4.1882000000000003E-2</v>
      </c>
      <c r="DR111" s="483">
        <v>4.1708000000000002E-2</v>
      </c>
      <c r="DS111" s="483">
        <v>4.1902000000000002E-2</v>
      </c>
      <c r="DT111" s="483">
        <v>4.1657E-2</v>
      </c>
      <c r="DU111" s="483">
        <v>4.1827999999999997E-2</v>
      </c>
      <c r="DV111" s="483">
        <v>4.1796E-2</v>
      </c>
      <c r="DW111" s="483">
        <v>4.1967999999999998E-2</v>
      </c>
      <c r="DX111" s="483">
        <v>4.2257999999999997E-2</v>
      </c>
      <c r="DY111" s="483">
        <v>4.1998000000000001E-2</v>
      </c>
      <c r="DZ111" s="483">
        <v>4.197E-2</v>
      </c>
      <c r="EA111" s="483">
        <v>4.2082000000000001E-2</v>
      </c>
      <c r="EB111" s="483">
        <v>4.1910999999999997E-2</v>
      </c>
      <c r="EC111" s="483">
        <v>4.2174000000000003E-2</v>
      </c>
      <c r="ED111" s="483">
        <v>4.1772999999999998E-2</v>
      </c>
      <c r="EE111" s="483">
        <v>4.1717999999999998E-2</v>
      </c>
      <c r="EF111" s="483">
        <v>4.1699E-2</v>
      </c>
      <c r="EG111" s="483">
        <v>4.1664E-2</v>
      </c>
      <c r="EH111" s="483">
        <v>4.1574E-2</v>
      </c>
      <c r="EI111" s="483">
        <v>2.4473999999999999E-2</v>
      </c>
      <c r="EJ111" s="483">
        <v>2.6190000000000001E-2</v>
      </c>
      <c r="EK111" s="483">
        <v>2.5672E-2</v>
      </c>
      <c r="EL111" s="483">
        <v>2.0239E-2</v>
      </c>
      <c r="EM111" s="483">
        <v>2.5468999999999999E-2</v>
      </c>
      <c r="EN111" s="483">
        <v>3.9509000000000002E-2</v>
      </c>
      <c r="EO111" s="483">
        <v>3.8897000000000001E-2</v>
      </c>
      <c r="EP111" s="483">
        <v>3.8721999999999999E-2</v>
      </c>
      <c r="EQ111" s="483">
        <v>3.9114000000000003E-2</v>
      </c>
      <c r="ER111" s="483">
        <v>3.8679999999999999E-2</v>
      </c>
      <c r="ES111" s="483">
        <v>3.8279000000000001E-2</v>
      </c>
      <c r="ET111" s="483">
        <v>3.7587000000000002E-2</v>
      </c>
      <c r="EU111" s="483">
        <v>3.7086000000000001E-2</v>
      </c>
      <c r="EV111" s="483">
        <v>3.7012000000000003E-2</v>
      </c>
      <c r="EW111" s="483">
        <v>3.6854999999999999E-2</v>
      </c>
      <c r="EX111" s="482">
        <v>3.5299999999999998E-2</v>
      </c>
      <c r="EY111" s="482">
        <v>3.5799999999999998E-2</v>
      </c>
      <c r="EZ111" s="483">
        <v>3.7416999999999999E-2</v>
      </c>
      <c r="FA111" s="485">
        <v>3.7062999999999999E-2</v>
      </c>
      <c r="FB111" s="485">
        <v>3.6109000000000002E-2</v>
      </c>
      <c r="FC111" s="486">
        <v>3.6108000000000001E-2</v>
      </c>
      <c r="FD111" s="486">
        <v>3.5570999999999998E-2</v>
      </c>
      <c r="FE111" s="486">
        <v>3.5317000000000001E-2</v>
      </c>
      <c r="FF111" s="486">
        <v>3.5034999999999997E-2</v>
      </c>
      <c r="FG111" s="486">
        <v>3.8415999999999999E-2</v>
      </c>
      <c r="FH111" s="486">
        <v>3.4849999999999999E-2</v>
      </c>
      <c r="FI111" s="486">
        <v>3.4375000000000003E-2</v>
      </c>
      <c r="FJ111" s="486">
        <v>3.3996999999999999E-2</v>
      </c>
      <c r="FK111" s="486">
        <v>3.3575000000000001E-2</v>
      </c>
      <c r="FL111" s="486">
        <v>3.2318E-2</v>
      </c>
      <c r="FM111" s="486">
        <v>3.2985E-2</v>
      </c>
      <c r="FN111" s="486">
        <v>3.2489999999999998E-2</v>
      </c>
      <c r="FO111" s="486">
        <v>3.1697999999999997E-2</v>
      </c>
      <c r="FP111" s="486">
        <v>3.0754E-2</v>
      </c>
      <c r="FQ111" s="486">
        <v>3.0603000000000002E-2</v>
      </c>
      <c r="FR111" s="486">
        <v>2.9909000000000002E-2</v>
      </c>
      <c r="FS111" s="486">
        <v>2.8955000000000002E-2</v>
      </c>
      <c r="FT111" s="486">
        <v>2.8049999999999999E-2</v>
      </c>
      <c r="FU111" s="486">
        <v>2.589E-2</v>
      </c>
      <c r="FV111" s="483">
        <v>4.0531999999999999E-2</v>
      </c>
      <c r="FW111" s="483">
        <v>4.0637E-2</v>
      </c>
      <c r="FX111" s="483">
        <v>4.0994999999999997E-2</v>
      </c>
      <c r="FY111" s="483">
        <v>4.0994999999999997E-2</v>
      </c>
      <c r="FZ111" s="483">
        <v>4.0687000000000001E-2</v>
      </c>
      <c r="GA111" s="483">
        <v>4.0386999999999999E-2</v>
      </c>
      <c r="GB111" s="483">
        <v>4.0203000000000003E-2</v>
      </c>
      <c r="GC111" s="483">
        <v>4.0543000000000003E-2</v>
      </c>
      <c r="GD111" s="486">
        <v>2.5672E-2</v>
      </c>
      <c r="GE111" s="486">
        <v>2.5672E-2</v>
      </c>
      <c r="GF111" s="486">
        <v>2.5672E-2</v>
      </c>
      <c r="GG111" s="486">
        <v>2.5672E-2</v>
      </c>
      <c r="GH111" s="486">
        <v>2.5672E-2</v>
      </c>
      <c r="GI111" s="486">
        <v>2.5672E-2</v>
      </c>
      <c r="GJ111" s="486">
        <v>2.5672E-2</v>
      </c>
      <c r="GK111" s="486">
        <v>2.5672E-2</v>
      </c>
      <c r="GL111" s="486">
        <v>2.5672E-2</v>
      </c>
      <c r="GM111" s="486">
        <v>2.5672E-2</v>
      </c>
      <c r="GN111" s="486">
        <v>2.5672E-2</v>
      </c>
      <c r="GO111" s="486">
        <v>2.5672E-2</v>
      </c>
      <c r="GP111" s="486">
        <v>2.5672E-2</v>
      </c>
      <c r="GQ111" s="486">
        <v>2.5672E-2</v>
      </c>
      <c r="GR111" s="486">
        <v>2.5672E-2</v>
      </c>
      <c r="GS111" s="486">
        <v>2.5672E-2</v>
      </c>
      <c r="GT111" s="486">
        <v>2.5672E-2</v>
      </c>
      <c r="GU111" s="486">
        <v>2.5672E-2</v>
      </c>
      <c r="GV111" s="486">
        <v>2.5672E-2</v>
      </c>
      <c r="GW111" s="486">
        <v>2.5672E-2</v>
      </c>
      <c r="GX111" s="486">
        <v>2.5672E-2</v>
      </c>
      <c r="GY111" s="486">
        <v>2.5672E-2</v>
      </c>
      <c r="GZ111" s="486">
        <v>2.5672E-2</v>
      </c>
      <c r="HA111" s="486">
        <v>2.5672E-2</v>
      </c>
      <c r="HB111" s="486">
        <v>2.5672E-2</v>
      </c>
      <c r="HC111" s="486">
        <v>2.5672E-2</v>
      </c>
      <c r="HD111" s="486">
        <v>2.5672E-2</v>
      </c>
      <c r="HE111" s="486">
        <v>2.5672E-2</v>
      </c>
      <c r="HF111" s="486">
        <v>2.5672E-2</v>
      </c>
      <c r="HG111" s="486">
        <v>2.5672E-2</v>
      </c>
      <c r="HH111" s="486">
        <v>2.5672E-2</v>
      </c>
      <c r="HI111" s="486">
        <v>2.5672E-2</v>
      </c>
      <c r="HJ111" s="486">
        <v>2.5672E-2</v>
      </c>
      <c r="HK111" s="486">
        <v>2.5672E-2</v>
      </c>
      <c r="HL111" s="486">
        <v>2.5672E-2</v>
      </c>
      <c r="HM111" s="486">
        <v>2.5672E-2</v>
      </c>
      <c r="HN111" s="486">
        <v>2.5672E-2</v>
      </c>
      <c r="HO111" s="486">
        <v>2.5672E-2</v>
      </c>
      <c r="HP111" s="473">
        <f t="shared" si="30"/>
        <v>0</v>
      </c>
      <c r="HQ111" s="1136"/>
    </row>
    <row r="112" spans="2:225">
      <c r="B112" s="1125"/>
      <c r="C112" s="730" t="s">
        <v>220</v>
      </c>
      <c r="D112" s="502">
        <v>2.5248E-2</v>
      </c>
      <c r="E112" s="502">
        <v>2.5248E-2</v>
      </c>
      <c r="F112" s="502">
        <v>2.5180000000000001E-2</v>
      </c>
      <c r="G112" s="502">
        <v>2.5226999999999999E-2</v>
      </c>
      <c r="H112" s="502">
        <v>2.4892999999999998E-2</v>
      </c>
      <c r="I112" s="500">
        <v>2.5191999999999999E-2</v>
      </c>
      <c r="J112" s="500">
        <v>2.5191999999999999E-2</v>
      </c>
      <c r="K112" s="502">
        <v>2.5191999999999999E-2</v>
      </c>
      <c r="L112" s="502">
        <v>2.5169E-2</v>
      </c>
      <c r="M112" s="502">
        <v>2.4964E-2</v>
      </c>
      <c r="N112" s="502">
        <v>2.5107999999999998E-2</v>
      </c>
      <c r="O112" s="502">
        <v>2.5387E-2</v>
      </c>
      <c r="P112" s="502">
        <v>2.5506999999999998E-2</v>
      </c>
      <c r="Q112" s="502">
        <v>2.5864000000000002E-2</v>
      </c>
      <c r="R112" s="502">
        <v>2.6218000000000002E-2</v>
      </c>
      <c r="S112" s="502">
        <v>2.6724000000000001E-2</v>
      </c>
      <c r="T112" s="502">
        <v>2.7279000000000001E-2</v>
      </c>
      <c r="U112" s="502">
        <v>2.6908999999999999E-2</v>
      </c>
      <c r="V112" s="502">
        <v>2.7366000000000001E-2</v>
      </c>
      <c r="W112" s="502">
        <v>2.6883000000000001E-2</v>
      </c>
      <c r="X112" s="502">
        <v>2.7098000000000001E-2</v>
      </c>
      <c r="Y112" s="502">
        <v>2.7435999999999999E-2</v>
      </c>
      <c r="Z112" s="502">
        <v>2.7852999999999999E-2</v>
      </c>
      <c r="AA112" s="502">
        <v>2.8353E-2</v>
      </c>
      <c r="AB112" s="502">
        <v>2.8502E-2</v>
      </c>
      <c r="AC112" s="500">
        <v>2.8757000000000001E-2</v>
      </c>
      <c r="AD112" s="502">
        <v>2.9059999999999999E-2</v>
      </c>
      <c r="AE112" s="502">
        <v>3.0210999999999998E-2</v>
      </c>
      <c r="AF112" s="502">
        <v>3.0478999999999999E-2</v>
      </c>
      <c r="AG112" s="502">
        <v>3.065E-2</v>
      </c>
      <c r="AH112" s="481">
        <v>3.0828999999999999E-2</v>
      </c>
      <c r="AI112" s="480">
        <v>3.0918999999999999E-2</v>
      </c>
      <c r="AJ112" s="480">
        <v>3.1579000000000003E-2</v>
      </c>
      <c r="AK112" s="480">
        <v>3.1687E-2</v>
      </c>
      <c r="AL112" s="480">
        <v>3.2496999999999998E-2</v>
      </c>
      <c r="AM112" s="480">
        <v>3.1785000000000001E-2</v>
      </c>
      <c r="AN112" s="480">
        <v>3.1424000000000001E-2</v>
      </c>
      <c r="AO112" s="480">
        <v>3.1521E-2</v>
      </c>
      <c r="AP112" s="481">
        <v>3.1699999999999999E-2</v>
      </c>
      <c r="AQ112" s="481">
        <f t="shared" ref="AQ112:BC112" si="39">AQ111+0.05%</f>
        <v>3.1699999999999999E-2</v>
      </c>
      <c r="AR112" s="480">
        <f t="shared" si="39"/>
        <v>3.1699999999999999E-2</v>
      </c>
      <c r="AS112" s="480">
        <f t="shared" si="39"/>
        <v>3.1787000000000003E-2</v>
      </c>
      <c r="AT112" s="481">
        <f t="shared" si="39"/>
        <v>3.1752000000000002E-2</v>
      </c>
      <c r="AU112" s="481">
        <f t="shared" si="39"/>
        <v>3.1752000000000002E-2</v>
      </c>
      <c r="AV112" s="480">
        <f t="shared" si="39"/>
        <v>3.1482000000000003E-2</v>
      </c>
      <c r="AW112" s="483">
        <f t="shared" si="39"/>
        <v>3.1297999999999999E-2</v>
      </c>
      <c r="AX112" s="483">
        <f t="shared" si="39"/>
        <v>3.1502000000000002E-2</v>
      </c>
      <c r="AY112" s="483">
        <f t="shared" si="39"/>
        <v>3.1502000000000002E-2</v>
      </c>
      <c r="AZ112" s="483">
        <f t="shared" si="39"/>
        <v>3.1502000000000002E-2</v>
      </c>
      <c r="BA112" s="483">
        <f t="shared" si="39"/>
        <v>3.1502000000000002E-2</v>
      </c>
      <c r="BB112" s="483">
        <f t="shared" si="39"/>
        <v>3.1502000000000002E-2</v>
      </c>
      <c r="BC112" s="483">
        <f t="shared" si="39"/>
        <v>3.1502000000000002E-2</v>
      </c>
      <c r="BD112" s="482">
        <v>3.1699999999999999E-2</v>
      </c>
      <c r="BE112" s="482">
        <v>3.1699999999999999E-2</v>
      </c>
      <c r="BF112" s="482">
        <v>3.1699999999999999E-2</v>
      </c>
      <c r="BG112" s="482">
        <v>3.1399999999999997E-2</v>
      </c>
      <c r="BH112" s="482">
        <v>3.1399999999999997E-2</v>
      </c>
      <c r="BI112" s="482">
        <v>3.1399999999999997E-2</v>
      </c>
      <c r="BJ112" s="482">
        <v>3.1399999999999997E-2</v>
      </c>
      <c r="BK112" s="482">
        <v>3.1399999999999997E-2</v>
      </c>
      <c r="BL112" s="482">
        <v>3.1800000000000002E-2</v>
      </c>
      <c r="BM112" s="482">
        <v>3.1800000000000002E-2</v>
      </c>
      <c r="BN112" s="482">
        <v>3.202E-2</v>
      </c>
      <c r="BO112" s="482">
        <v>3.2399999999999998E-2</v>
      </c>
      <c r="BP112" s="482">
        <v>3.3639000000000002E-2</v>
      </c>
      <c r="BQ112" s="482">
        <v>3.3639000000000002E-2</v>
      </c>
      <c r="BR112" s="482">
        <v>3.3700000000000001E-2</v>
      </c>
      <c r="BS112" s="482">
        <v>3.3700000000000001E-2</v>
      </c>
      <c r="BT112" s="482">
        <v>3.4799999999999998E-2</v>
      </c>
      <c r="BU112" s="482">
        <v>3.4799999999999998E-2</v>
      </c>
      <c r="BV112" s="482">
        <v>3.4799999999999998E-2</v>
      </c>
      <c r="BW112" s="482">
        <v>3.4421E-2</v>
      </c>
      <c r="BX112" s="482">
        <v>3.4421E-2</v>
      </c>
      <c r="BY112" s="482">
        <v>3.4421E-2</v>
      </c>
      <c r="BZ112" s="482">
        <v>3.5088000000000001E-2</v>
      </c>
      <c r="CA112" s="482">
        <v>3.6695999999999999E-2</v>
      </c>
      <c r="CB112" s="482">
        <v>3.7989000000000002E-2</v>
      </c>
      <c r="CC112" s="482">
        <v>3.8665999999999999E-2</v>
      </c>
      <c r="CD112" s="482">
        <v>3.9111E-2</v>
      </c>
      <c r="CE112" s="482">
        <v>3.9711000000000003E-2</v>
      </c>
      <c r="CF112" s="482">
        <v>3.9681000000000001E-2</v>
      </c>
      <c r="CG112" s="482">
        <v>3.9823999999999998E-2</v>
      </c>
      <c r="CH112" s="482">
        <v>4.1054E-2</v>
      </c>
      <c r="CI112" s="482">
        <v>4.1334000000000003E-2</v>
      </c>
      <c r="CJ112" s="482">
        <v>4.1357999999999999E-2</v>
      </c>
      <c r="CK112" s="482">
        <v>4.1540000000000001E-2</v>
      </c>
      <c r="CL112" s="482">
        <v>4.1681999999999997E-2</v>
      </c>
      <c r="CM112" s="482">
        <v>4.1894000000000001E-2</v>
      </c>
      <c r="CN112" s="482">
        <v>4.1936000000000001E-2</v>
      </c>
      <c r="CO112" s="482">
        <v>4.1931999999999997E-2</v>
      </c>
      <c r="CP112" s="482">
        <v>4.1929000000000001E-2</v>
      </c>
      <c r="CQ112" s="482">
        <v>4.1929000000000001E-2</v>
      </c>
      <c r="CR112" s="482">
        <v>4.1766999999999999E-2</v>
      </c>
      <c r="CS112" s="482">
        <v>4.1723999999999997E-2</v>
      </c>
      <c r="CT112" s="482">
        <v>4.1711999999999999E-2</v>
      </c>
      <c r="CU112" s="482">
        <v>4.1768E-2</v>
      </c>
      <c r="CV112" s="482">
        <v>4.1671E-2</v>
      </c>
      <c r="CW112" s="509">
        <v>4.1671E-2</v>
      </c>
      <c r="CX112" s="483">
        <v>4.1472000000000002E-2</v>
      </c>
      <c r="CY112" s="483">
        <v>4.1581E-2</v>
      </c>
      <c r="CZ112" s="483">
        <v>4.1576000000000002E-2</v>
      </c>
      <c r="DA112" s="483">
        <v>4.1551999999999999E-2</v>
      </c>
      <c r="DB112" s="483">
        <v>4.1551999999999999E-2</v>
      </c>
      <c r="DC112" s="485">
        <v>4.1764000000000003E-2</v>
      </c>
      <c r="DD112" s="485">
        <v>4.1931999999999997E-2</v>
      </c>
      <c r="DE112" s="483">
        <v>4.1570000000000003E-2</v>
      </c>
      <c r="DF112" s="483">
        <v>4.1570000000000003E-2</v>
      </c>
      <c r="DG112" s="483">
        <v>4.1660999999999997E-2</v>
      </c>
      <c r="DH112" s="483">
        <v>4.1563999999999997E-2</v>
      </c>
      <c r="DI112" s="483">
        <v>4.1746999999999999E-2</v>
      </c>
      <c r="DJ112" s="483">
        <v>4.1479000000000002E-2</v>
      </c>
      <c r="DK112" s="483">
        <v>4.1734E-2</v>
      </c>
      <c r="DL112" s="483">
        <v>4.1772999999999998E-2</v>
      </c>
      <c r="DM112" s="483">
        <v>4.1979000000000002E-2</v>
      </c>
      <c r="DN112" s="483">
        <v>4.2245999999999999E-2</v>
      </c>
      <c r="DO112" s="483">
        <v>4.2361000000000003E-2</v>
      </c>
      <c r="DP112" s="483">
        <v>4.2262000000000001E-2</v>
      </c>
      <c r="DQ112" s="483">
        <v>4.2382000000000003E-2</v>
      </c>
      <c r="DR112" s="483">
        <v>4.2208000000000002E-2</v>
      </c>
      <c r="DS112" s="483">
        <v>4.2402000000000002E-2</v>
      </c>
      <c r="DT112" s="483">
        <v>4.2157E-2</v>
      </c>
      <c r="DU112" s="483">
        <v>4.2327999999999998E-2</v>
      </c>
      <c r="DV112" s="483">
        <v>4.2296E-2</v>
      </c>
      <c r="DW112" s="483">
        <v>4.2467999999999999E-2</v>
      </c>
      <c r="DX112" s="483">
        <v>4.2757999999999997E-2</v>
      </c>
      <c r="DY112" s="483">
        <v>4.2498000000000001E-2</v>
      </c>
      <c r="DZ112" s="483">
        <v>4.2470000000000001E-2</v>
      </c>
      <c r="EA112" s="483">
        <v>4.2582000000000002E-2</v>
      </c>
      <c r="EB112" s="483">
        <v>4.2410999999999997E-2</v>
      </c>
      <c r="EC112" s="483">
        <v>4.2673999999999997E-2</v>
      </c>
      <c r="ED112" s="483">
        <v>4.2272999999999998E-2</v>
      </c>
      <c r="EE112" s="483">
        <v>4.2217999999999999E-2</v>
      </c>
      <c r="EF112" s="483">
        <v>4.2199E-2</v>
      </c>
      <c r="EG112" s="483">
        <v>4.2164E-2</v>
      </c>
      <c r="EH112" s="483">
        <v>4.2074E-2</v>
      </c>
      <c r="EI112" s="483">
        <v>2.4974E-2</v>
      </c>
      <c r="EJ112" s="483">
        <v>2.6689999999999998E-2</v>
      </c>
      <c r="EK112" s="483">
        <v>2.6172000000000001E-2</v>
      </c>
      <c r="EL112" s="483">
        <v>2.0739E-2</v>
      </c>
      <c r="EM112" s="483">
        <v>2.5968999999999999E-2</v>
      </c>
      <c r="EN112" s="483">
        <v>4.0009000000000003E-2</v>
      </c>
      <c r="EO112" s="483">
        <v>3.9397000000000001E-2</v>
      </c>
      <c r="EP112" s="483">
        <v>3.9222E-2</v>
      </c>
      <c r="EQ112" s="483">
        <v>3.9614000000000003E-2</v>
      </c>
      <c r="ER112" s="483">
        <v>3.918E-2</v>
      </c>
      <c r="ES112" s="483">
        <v>3.8779000000000001E-2</v>
      </c>
      <c r="ET112" s="483">
        <v>3.8087000000000003E-2</v>
      </c>
      <c r="EU112" s="483">
        <v>3.7586000000000001E-2</v>
      </c>
      <c r="EV112" s="483">
        <v>3.7511999999999997E-2</v>
      </c>
      <c r="EW112" s="483">
        <v>3.7354999999999999E-2</v>
      </c>
      <c r="EX112" s="482">
        <v>3.5799999999999998E-2</v>
      </c>
      <c r="EY112" s="482">
        <v>3.6299999999999999E-2</v>
      </c>
      <c r="EZ112" s="483">
        <v>3.7916999999999999E-2</v>
      </c>
      <c r="FA112" s="485">
        <v>3.7562999999999999E-2</v>
      </c>
      <c r="FB112" s="485">
        <v>3.6609000000000003E-2</v>
      </c>
      <c r="FC112" s="486">
        <v>3.6608000000000002E-2</v>
      </c>
      <c r="FD112" s="486">
        <v>3.6070999999999999E-2</v>
      </c>
      <c r="FE112" s="486">
        <v>3.5817000000000002E-2</v>
      </c>
      <c r="FF112" s="486">
        <v>3.5534999999999997E-2</v>
      </c>
      <c r="FG112" s="486">
        <v>3.8915999999999999E-2</v>
      </c>
      <c r="FH112" s="486">
        <v>3.5349999999999999E-2</v>
      </c>
      <c r="FI112" s="486">
        <v>3.4875000000000003E-2</v>
      </c>
      <c r="FJ112" s="486">
        <v>3.4497E-2</v>
      </c>
      <c r="FK112" s="486">
        <v>3.4075000000000001E-2</v>
      </c>
      <c r="FL112" s="486">
        <v>3.2818E-2</v>
      </c>
      <c r="FM112" s="486">
        <v>3.3485000000000001E-2</v>
      </c>
      <c r="FN112" s="486">
        <v>3.2989999999999998E-2</v>
      </c>
      <c r="FO112" s="486">
        <v>3.2197999999999997E-2</v>
      </c>
      <c r="FP112" s="486">
        <v>3.1253999999999997E-2</v>
      </c>
      <c r="FQ112" s="486">
        <v>3.1102999999999999E-2</v>
      </c>
      <c r="FR112" s="486">
        <v>3.0408999999999999E-2</v>
      </c>
      <c r="FS112" s="486">
        <v>2.9454999999999999E-2</v>
      </c>
      <c r="FT112" s="486">
        <v>2.8549999999999999E-2</v>
      </c>
      <c r="FU112" s="486">
        <v>2.639E-2</v>
      </c>
      <c r="FV112" s="483">
        <v>4.1031999999999999E-2</v>
      </c>
      <c r="FW112" s="483">
        <v>4.1137E-2</v>
      </c>
      <c r="FX112" s="483">
        <v>4.1494999999999997E-2</v>
      </c>
      <c r="FY112" s="483">
        <v>4.1494999999999997E-2</v>
      </c>
      <c r="FZ112" s="483">
        <v>4.1187000000000001E-2</v>
      </c>
      <c r="GA112" s="483">
        <v>4.0887E-2</v>
      </c>
      <c r="GB112" s="483">
        <v>4.0703000000000003E-2</v>
      </c>
      <c r="GC112" s="483">
        <v>4.1043000000000003E-2</v>
      </c>
      <c r="GD112" s="486">
        <v>2.6172000000000001E-2</v>
      </c>
      <c r="GE112" s="486">
        <v>2.6172000000000001E-2</v>
      </c>
      <c r="GF112" s="486">
        <v>2.6172000000000001E-2</v>
      </c>
      <c r="GG112" s="486">
        <v>2.6172000000000001E-2</v>
      </c>
      <c r="GH112" s="486">
        <v>2.6172000000000001E-2</v>
      </c>
      <c r="GI112" s="486">
        <v>2.6172000000000001E-2</v>
      </c>
      <c r="GJ112" s="486">
        <v>2.6172000000000001E-2</v>
      </c>
      <c r="GK112" s="486">
        <v>2.6172000000000001E-2</v>
      </c>
      <c r="GL112" s="486">
        <v>2.6172000000000001E-2</v>
      </c>
      <c r="GM112" s="486">
        <v>2.6172000000000001E-2</v>
      </c>
      <c r="GN112" s="486">
        <v>2.6172000000000001E-2</v>
      </c>
      <c r="GO112" s="486">
        <v>2.6172000000000001E-2</v>
      </c>
      <c r="GP112" s="486">
        <v>2.6172000000000001E-2</v>
      </c>
      <c r="GQ112" s="486">
        <v>2.6172000000000001E-2</v>
      </c>
      <c r="GR112" s="486">
        <v>2.6172000000000001E-2</v>
      </c>
      <c r="GS112" s="486">
        <v>2.6172000000000001E-2</v>
      </c>
      <c r="GT112" s="486">
        <v>2.6172000000000001E-2</v>
      </c>
      <c r="GU112" s="486">
        <v>2.6172000000000001E-2</v>
      </c>
      <c r="GV112" s="486">
        <v>2.6172000000000001E-2</v>
      </c>
      <c r="GW112" s="486">
        <v>2.6172000000000001E-2</v>
      </c>
      <c r="GX112" s="486">
        <v>2.6172000000000001E-2</v>
      </c>
      <c r="GY112" s="486">
        <v>2.6172000000000001E-2</v>
      </c>
      <c r="GZ112" s="486">
        <v>2.6172000000000001E-2</v>
      </c>
      <c r="HA112" s="486">
        <v>2.6172000000000001E-2</v>
      </c>
      <c r="HB112" s="486">
        <v>2.6172000000000001E-2</v>
      </c>
      <c r="HC112" s="486">
        <v>2.6172000000000001E-2</v>
      </c>
      <c r="HD112" s="486">
        <v>2.6172000000000001E-2</v>
      </c>
      <c r="HE112" s="486">
        <v>2.6172000000000001E-2</v>
      </c>
      <c r="HF112" s="486">
        <v>2.6172000000000001E-2</v>
      </c>
      <c r="HG112" s="486">
        <v>2.6172000000000001E-2</v>
      </c>
      <c r="HH112" s="486">
        <v>2.6172000000000001E-2</v>
      </c>
      <c r="HI112" s="486">
        <v>2.6172000000000001E-2</v>
      </c>
      <c r="HJ112" s="486">
        <v>2.6172000000000001E-2</v>
      </c>
      <c r="HK112" s="486">
        <v>2.6172000000000001E-2</v>
      </c>
      <c r="HL112" s="486">
        <v>2.6172000000000001E-2</v>
      </c>
      <c r="HM112" s="486">
        <v>2.6172000000000001E-2</v>
      </c>
      <c r="HN112" s="486">
        <v>2.6172000000000001E-2</v>
      </c>
      <c r="HO112" s="486">
        <v>2.6172000000000001E-2</v>
      </c>
      <c r="HP112" s="473">
        <f t="shared" si="30"/>
        <v>0</v>
      </c>
      <c r="HQ112" s="1137"/>
    </row>
    <row r="113" spans="1:225">
      <c r="B113" s="1141" t="s">
        <v>42</v>
      </c>
      <c r="C113" s="731" t="s">
        <v>219</v>
      </c>
      <c r="D113" s="528">
        <v>3.2399999999999998E-2</v>
      </c>
      <c r="E113" s="528">
        <v>3.2399999999999998E-2</v>
      </c>
      <c r="F113" s="528">
        <v>3.2399999999999998E-2</v>
      </c>
      <c r="G113" s="528">
        <v>3.2399999999999998E-2</v>
      </c>
      <c r="H113" s="528">
        <v>3.2399999999999998E-2</v>
      </c>
      <c r="I113" s="528">
        <v>3.2399999999999998E-2</v>
      </c>
      <c r="J113" s="528">
        <v>3.2399999999999998E-2</v>
      </c>
      <c r="K113" s="528">
        <v>3.2399999999999998E-2</v>
      </c>
      <c r="L113" s="526">
        <v>3.2399999999999998E-2</v>
      </c>
      <c r="M113" s="528">
        <v>3.6399999999999995E-2</v>
      </c>
      <c r="N113" s="528">
        <v>3.6399999999999995E-2</v>
      </c>
      <c r="O113" s="528">
        <v>3.6399999999999995E-2</v>
      </c>
      <c r="P113" s="528">
        <v>3.6399999999999995E-2</v>
      </c>
      <c r="Q113" s="528">
        <v>3.6399999999999995E-2</v>
      </c>
      <c r="R113" s="528">
        <v>3.6399999999999995E-2</v>
      </c>
      <c r="S113" s="528">
        <v>3.6399999999999995E-2</v>
      </c>
      <c r="T113" s="528">
        <v>3.6399999999999995E-2</v>
      </c>
      <c r="U113" s="528">
        <v>3.6399999999999995E-2</v>
      </c>
      <c r="V113" s="528">
        <v>3.6399999999999995E-2</v>
      </c>
      <c r="W113" s="528">
        <v>3.6399999999999995E-2</v>
      </c>
      <c r="X113" s="528">
        <v>3.6399999999999995E-2</v>
      </c>
      <c r="Y113" s="528">
        <v>3.6399999999999995E-2</v>
      </c>
      <c r="Z113" s="528">
        <v>3.6399999999999995E-2</v>
      </c>
      <c r="AA113" s="526">
        <v>3.6399999999999995E-2</v>
      </c>
      <c r="AB113" s="528">
        <v>3.8899999999999997E-2</v>
      </c>
      <c r="AC113" s="528">
        <v>3.8899999999999997E-2</v>
      </c>
      <c r="AD113" s="528">
        <v>3.8899999999999997E-2</v>
      </c>
      <c r="AE113" s="528">
        <v>3.8899999999999997E-2</v>
      </c>
      <c r="AF113" s="528">
        <v>3.8899999999999997E-2</v>
      </c>
      <c r="AG113" s="528">
        <v>3.8899999999999997E-2</v>
      </c>
      <c r="AH113" s="528">
        <v>3.8899999999999997E-2</v>
      </c>
      <c r="AI113" s="528">
        <v>3.8899999999999997E-2</v>
      </c>
      <c r="AJ113" s="528">
        <v>3.8899999999999997E-2</v>
      </c>
      <c r="AK113" s="528">
        <v>3.8899999999999997E-2</v>
      </c>
      <c r="AL113" s="529">
        <v>3.8899999999999997E-2</v>
      </c>
      <c r="AM113" s="528">
        <v>3.8899999999999997E-2</v>
      </c>
      <c r="AN113" s="528">
        <v>3.8899999999999997E-2</v>
      </c>
      <c r="AO113" s="528">
        <v>3.8899999999999997E-2</v>
      </c>
      <c r="AP113" s="528">
        <v>3.8899999999999997E-2</v>
      </c>
      <c r="AQ113" s="528">
        <v>3.8899999999999997E-2</v>
      </c>
      <c r="AR113" s="526">
        <v>3.8899999999999997E-2</v>
      </c>
      <c r="AS113" s="528">
        <v>4.1889999999999997E-2</v>
      </c>
      <c r="AT113" s="528">
        <v>4.1889999999999997E-2</v>
      </c>
      <c r="AU113" s="528">
        <v>4.1889999999999997E-2</v>
      </c>
      <c r="AV113" s="529">
        <v>4.1889999999999997E-2</v>
      </c>
      <c r="AW113" s="529">
        <v>4.1889999999999997E-2</v>
      </c>
      <c r="AX113" s="529">
        <v>4.1889999999999997E-2</v>
      </c>
      <c r="AY113" s="529">
        <v>4.1889999999999997E-2</v>
      </c>
      <c r="AZ113" s="529">
        <v>4.1889999999999997E-2</v>
      </c>
      <c r="BA113" s="529">
        <v>4.1889999999999997E-2</v>
      </c>
      <c r="BB113" s="529">
        <v>4.1889999999999997E-2</v>
      </c>
      <c r="BC113" s="529">
        <v>4.1889999999999997E-2</v>
      </c>
      <c r="BD113" s="529">
        <v>4.1889999999999997E-2</v>
      </c>
      <c r="BE113" s="529">
        <v>4.1889999999999997E-2</v>
      </c>
      <c r="BF113" s="529">
        <v>4.1889999999999997E-2</v>
      </c>
      <c r="BG113" s="529">
        <v>4.1889999999999997E-2</v>
      </c>
      <c r="BH113" s="529">
        <v>4.1889999999999997E-2</v>
      </c>
      <c r="BI113" s="529">
        <v>4.1889999999999997E-2</v>
      </c>
      <c r="BJ113" s="529">
        <v>4.1889999999999997E-2</v>
      </c>
      <c r="BK113" s="529">
        <v>4.1889999999999997E-2</v>
      </c>
      <c r="BL113" s="529">
        <v>4.1889999999999997E-2</v>
      </c>
      <c r="BM113" s="529">
        <v>4.1889999999999997E-2</v>
      </c>
      <c r="BN113" s="529">
        <v>4.1889999999999997E-2</v>
      </c>
      <c r="BO113" s="529">
        <v>4.1889999999999997E-2</v>
      </c>
      <c r="BP113" s="529">
        <v>4.1889999999999997E-2</v>
      </c>
      <c r="BQ113" s="529">
        <v>4.1889999999999997E-2</v>
      </c>
      <c r="BR113" s="529">
        <v>4.1889999999999997E-2</v>
      </c>
      <c r="BS113" s="529">
        <v>4.1889999999999997E-2</v>
      </c>
      <c r="BT113" s="529">
        <v>4.1889999999999997E-2</v>
      </c>
      <c r="BU113" s="529">
        <v>4.1889999999999997E-2</v>
      </c>
      <c r="BV113" s="529">
        <v>4.1889999999999997E-2</v>
      </c>
      <c r="BW113" s="529">
        <v>4.1889999999999997E-2</v>
      </c>
      <c r="BX113" s="529">
        <v>4.1889999999999997E-2</v>
      </c>
      <c r="BY113" s="529">
        <v>4.1889999999999997E-2</v>
      </c>
      <c r="BZ113" s="529">
        <v>4.1889999999999997E-2</v>
      </c>
      <c r="CA113" s="529">
        <v>4.4400000000000002E-2</v>
      </c>
      <c r="CB113" s="529">
        <v>4.4400000000000002E-2</v>
      </c>
      <c r="CC113" s="529">
        <v>4.4400000000000002E-2</v>
      </c>
      <c r="CD113" s="529">
        <v>4.4400000000000002E-2</v>
      </c>
      <c r="CE113" s="529">
        <v>4.5400000000000003E-2</v>
      </c>
      <c r="CF113" s="529">
        <v>4.5400000000000003E-2</v>
      </c>
      <c r="CG113" s="529">
        <v>4.5400000000000003E-2</v>
      </c>
      <c r="CH113" s="529">
        <v>4.5400000000000003E-2</v>
      </c>
      <c r="CI113" s="529">
        <v>4.5400000000000003E-2</v>
      </c>
      <c r="CJ113" s="529">
        <v>4.5400000000000003E-2</v>
      </c>
      <c r="CK113" s="529">
        <v>4.5400000000000003E-2</v>
      </c>
      <c r="CL113" s="529">
        <v>4.5400000000000003E-2</v>
      </c>
      <c r="CM113" s="529">
        <v>4.5400000000000003E-2</v>
      </c>
      <c r="CN113" s="529">
        <v>4.5400000000000003E-2</v>
      </c>
      <c r="CO113" s="529">
        <v>4.5400000000000003E-2</v>
      </c>
      <c r="CP113" s="529">
        <v>4.5400000000000003E-2</v>
      </c>
      <c r="CQ113" s="529">
        <v>4.5400000000000003E-2</v>
      </c>
      <c r="CR113" s="529">
        <v>4.5400000000000003E-2</v>
      </c>
      <c r="CS113" s="529">
        <v>4.5400000000000003E-2</v>
      </c>
      <c r="CT113" s="529">
        <v>4.5400000000000003E-2</v>
      </c>
      <c r="CU113" s="529">
        <v>4.5400000000000003E-2</v>
      </c>
      <c r="CV113" s="529">
        <v>4.5400000000000003E-2</v>
      </c>
      <c r="CW113" s="529">
        <v>4.5400000000000003E-2</v>
      </c>
      <c r="CX113" s="529">
        <v>4.5400000000000003E-2</v>
      </c>
      <c r="CY113" s="529">
        <v>4.5400000000000003E-2</v>
      </c>
      <c r="CZ113" s="529">
        <v>4.5400000000000003E-2</v>
      </c>
      <c r="DA113" s="529">
        <v>4.5400000000000003E-2</v>
      </c>
      <c r="DB113" s="529">
        <v>4.5400000000000003E-2</v>
      </c>
      <c r="DC113" s="529">
        <v>4.5400000000000003E-2</v>
      </c>
      <c r="DD113" s="529">
        <v>4.5400000000000003E-2</v>
      </c>
      <c r="DE113" s="529">
        <v>4.5400000000000003E-2</v>
      </c>
      <c r="DF113" s="529">
        <v>4.5400000000000003E-2</v>
      </c>
      <c r="DG113" s="529">
        <v>4.5400000000000003E-2</v>
      </c>
      <c r="DH113" s="529">
        <v>4.5400000000000003E-2</v>
      </c>
      <c r="DI113" s="529">
        <v>4.5400000000000003E-2</v>
      </c>
      <c r="DJ113" s="529">
        <v>4.5400000000000003E-2</v>
      </c>
      <c r="DK113" s="529">
        <v>4.5400000000000003E-2</v>
      </c>
      <c r="DL113" s="529">
        <v>4.5400000000000003E-2</v>
      </c>
      <c r="DM113" s="529">
        <v>4.5400000000000003E-2</v>
      </c>
      <c r="DN113" s="529">
        <v>4.5400000000000003E-2</v>
      </c>
      <c r="DO113" s="529">
        <v>4.5400000000000003E-2</v>
      </c>
      <c r="DP113" s="529">
        <v>4.5400000000000003E-2</v>
      </c>
      <c r="DQ113" s="529">
        <v>4.5400000000000003E-2</v>
      </c>
      <c r="DR113" s="529">
        <v>4.5400000000000003E-2</v>
      </c>
      <c r="DS113" s="529">
        <v>4.5400000000000003E-2</v>
      </c>
      <c r="DT113" s="529">
        <v>4.5400000000000003E-2</v>
      </c>
      <c r="DU113" s="529">
        <v>4.5400000000000003E-2</v>
      </c>
      <c r="DV113" s="529">
        <v>4.5400000000000003E-2</v>
      </c>
      <c r="DW113" s="529">
        <v>4.5400000000000003E-2</v>
      </c>
      <c r="DX113" s="529">
        <v>4.5400000000000003E-2</v>
      </c>
      <c r="DY113" s="529">
        <v>4.5400000000000003E-2</v>
      </c>
      <c r="DZ113" s="529">
        <v>4.5400000000000003E-2</v>
      </c>
      <c r="EA113" s="529">
        <v>4.5400000000000003E-2</v>
      </c>
      <c r="EB113" s="529">
        <v>4.5400000000000003E-2</v>
      </c>
      <c r="EC113" s="529">
        <v>4.5400000000000003E-2</v>
      </c>
      <c r="ED113" s="529">
        <v>4.5400000000000003E-2</v>
      </c>
      <c r="EE113" s="529">
        <v>4.5400000000000003E-2</v>
      </c>
      <c r="EF113" s="529">
        <v>4.5400000000000003E-2</v>
      </c>
      <c r="EG113" s="529">
        <v>4.5400000000000003E-2</v>
      </c>
      <c r="EH113" s="529">
        <v>4.5400000000000003E-2</v>
      </c>
      <c r="EI113" s="529">
        <v>4.5400000000000003E-2</v>
      </c>
      <c r="EJ113" s="529">
        <v>4.5400000000000003E-2</v>
      </c>
      <c r="EK113" s="529">
        <v>4.5400000000000003E-2</v>
      </c>
      <c r="EL113" s="529">
        <v>4.5400000000000003E-2</v>
      </c>
      <c r="EM113" s="529">
        <v>4.5400000000000003E-2</v>
      </c>
      <c r="EN113" s="529">
        <v>4.5400000000000003E-2</v>
      </c>
      <c r="EO113" s="529">
        <v>4.5400000000000003E-2</v>
      </c>
      <c r="EP113" s="529">
        <v>4.5400000000000003E-2</v>
      </c>
      <c r="EQ113" s="529">
        <v>4.5400000000000003E-2</v>
      </c>
      <c r="ER113" s="529">
        <v>4.5400000000000003E-2</v>
      </c>
      <c r="ES113" s="529">
        <v>4.5400000000000003E-2</v>
      </c>
      <c r="ET113" s="529">
        <v>4.5400000000000003E-2</v>
      </c>
      <c r="EU113" s="529">
        <v>4.5400000000000003E-2</v>
      </c>
      <c r="EV113" s="529">
        <v>4.5400000000000003E-2</v>
      </c>
      <c r="EW113" s="529">
        <v>4.5400000000000003E-2</v>
      </c>
      <c r="EX113" s="529">
        <v>4.5400000000000003E-2</v>
      </c>
      <c r="EY113" s="529">
        <v>4.5400000000000003E-2</v>
      </c>
      <c r="EZ113" s="529">
        <v>4.5400000000000003E-2</v>
      </c>
      <c r="FA113" s="529">
        <v>4.5400000000000003E-2</v>
      </c>
      <c r="FB113" s="529">
        <v>4.5400000000000003E-2</v>
      </c>
      <c r="FC113" s="529">
        <v>4.5400000000000003E-2</v>
      </c>
      <c r="FD113" s="529">
        <v>4.5400000000000003E-2</v>
      </c>
      <c r="FE113" s="529">
        <v>4.5400000000000003E-2</v>
      </c>
      <c r="FF113" s="529">
        <v>4.5400000000000003E-2</v>
      </c>
      <c r="FG113" s="529">
        <v>4.5400000000000003E-2</v>
      </c>
      <c r="FH113" s="529">
        <v>4.5400000000000003E-2</v>
      </c>
      <c r="FI113" s="529">
        <v>4.5400000000000003E-2</v>
      </c>
      <c r="FJ113" s="529">
        <v>4.5400000000000003E-2</v>
      </c>
      <c r="FK113" s="529">
        <v>4.5400000000000003E-2</v>
      </c>
      <c r="FL113" s="529">
        <v>4.5400000000000003E-2</v>
      </c>
      <c r="FM113" s="529">
        <v>4.5400000000000003E-2</v>
      </c>
      <c r="FN113" s="529">
        <v>4.5400000000000003E-2</v>
      </c>
      <c r="FO113" s="529">
        <v>4.5400000000000003E-2</v>
      </c>
      <c r="FP113" s="529">
        <v>4.5400000000000003E-2</v>
      </c>
      <c r="FQ113" s="529">
        <v>4.5400000000000003E-2</v>
      </c>
      <c r="FR113" s="529">
        <v>4.5400000000000003E-2</v>
      </c>
      <c r="FS113" s="529">
        <v>4.5400000000000003E-2</v>
      </c>
      <c r="FT113" s="529">
        <v>4.5400000000000003E-2</v>
      </c>
      <c r="FU113" s="529">
        <v>4.5400000000000003E-2</v>
      </c>
      <c r="FV113" s="529">
        <v>4.5400000000000003E-2</v>
      </c>
      <c r="FW113" s="529">
        <v>4.5400000000000003E-2</v>
      </c>
      <c r="FX113" s="529">
        <v>4.5400000000000003E-2</v>
      </c>
      <c r="FY113" s="529">
        <v>4.5400000000000003E-2</v>
      </c>
      <c r="FZ113" s="529">
        <v>4.5400000000000003E-2</v>
      </c>
      <c r="GA113" s="529">
        <v>4.5400000000000003E-2</v>
      </c>
      <c r="GB113" s="529">
        <v>4.5400000000000003E-2</v>
      </c>
      <c r="GC113" s="529">
        <v>4.5400000000000003E-2</v>
      </c>
      <c r="GD113" s="489">
        <v>3.1899999999999998E-2</v>
      </c>
      <c r="GE113" s="489">
        <v>3.1899999999999998E-2</v>
      </c>
      <c r="GF113" s="489">
        <v>3.1899999999999998E-2</v>
      </c>
      <c r="GG113" s="489">
        <v>3.1899999999999998E-2</v>
      </c>
      <c r="GH113" s="489">
        <v>3.1899999999999998E-2</v>
      </c>
      <c r="GI113" s="489">
        <v>3.1899999999999998E-2</v>
      </c>
      <c r="GJ113" s="489">
        <v>3.1899999999999998E-2</v>
      </c>
      <c r="GK113" s="489">
        <v>3.1899999999999998E-2</v>
      </c>
      <c r="GL113" s="489">
        <v>3.1899999999999998E-2</v>
      </c>
      <c r="GM113" s="489">
        <v>3.1899999999999998E-2</v>
      </c>
      <c r="GN113" s="489">
        <v>3.1899999999999998E-2</v>
      </c>
      <c r="GO113" s="489">
        <v>3.1899999999999998E-2</v>
      </c>
      <c r="GP113" s="489">
        <v>3.1899999999999998E-2</v>
      </c>
      <c r="GQ113" s="489">
        <v>3.1899999999999998E-2</v>
      </c>
      <c r="GR113" s="489">
        <v>3.1899999999999998E-2</v>
      </c>
      <c r="GS113" s="489">
        <v>3.1899999999999998E-2</v>
      </c>
      <c r="GT113" s="489">
        <v>3.1899999999999998E-2</v>
      </c>
      <c r="GU113" s="489">
        <v>3.1899999999999998E-2</v>
      </c>
      <c r="GV113" s="489">
        <v>3.1899999999999998E-2</v>
      </c>
      <c r="GW113" s="489">
        <v>3.1899999999999998E-2</v>
      </c>
      <c r="GX113" s="489">
        <v>3.1899999999999998E-2</v>
      </c>
      <c r="GY113" s="489">
        <v>3.1899999999999998E-2</v>
      </c>
      <c r="GZ113" s="489">
        <v>3.1899999999999998E-2</v>
      </c>
      <c r="HA113" s="489">
        <v>3.1899999999999998E-2</v>
      </c>
      <c r="HB113" s="489">
        <v>3.1899999999999998E-2</v>
      </c>
      <c r="HC113" s="489">
        <v>3.1899999999999998E-2</v>
      </c>
      <c r="HD113" s="489">
        <v>3.1899999999999998E-2</v>
      </c>
      <c r="HE113" s="489">
        <v>3.1899999999999998E-2</v>
      </c>
      <c r="HF113" s="489">
        <v>3.1899999999999998E-2</v>
      </c>
      <c r="HG113" s="489">
        <v>3.1899999999999998E-2</v>
      </c>
      <c r="HH113" s="489">
        <v>3.1899999999999998E-2</v>
      </c>
      <c r="HI113" s="489">
        <v>3.1899999999999998E-2</v>
      </c>
      <c r="HJ113" s="489">
        <v>3.1899999999999998E-2</v>
      </c>
      <c r="HK113" s="489">
        <v>3.1899999999999998E-2</v>
      </c>
      <c r="HL113" s="489">
        <v>3.1899999999999998E-2</v>
      </c>
      <c r="HM113" s="489">
        <v>3.1899999999999998E-2</v>
      </c>
      <c r="HN113" s="489">
        <v>3.1899999999999998E-2</v>
      </c>
      <c r="HO113" s="489">
        <v>3.1899999999999998E-2</v>
      </c>
      <c r="HP113" s="473">
        <f t="shared" si="30"/>
        <v>0</v>
      </c>
      <c r="HQ113" s="1142"/>
    </row>
    <row r="114" spans="1:225">
      <c r="B114" s="1141"/>
      <c r="C114" s="731" t="s">
        <v>218</v>
      </c>
      <c r="D114" s="528">
        <v>3.2599999999999997E-2</v>
      </c>
      <c r="E114" s="528">
        <v>3.2599999999999997E-2</v>
      </c>
      <c r="F114" s="528">
        <v>3.2599999999999997E-2</v>
      </c>
      <c r="G114" s="528">
        <v>3.2599999999999997E-2</v>
      </c>
      <c r="H114" s="528">
        <v>3.2599999999999997E-2</v>
      </c>
      <c r="I114" s="528">
        <v>3.2599999999999997E-2</v>
      </c>
      <c r="J114" s="528">
        <v>3.2599999999999997E-2</v>
      </c>
      <c r="K114" s="528">
        <v>3.2599999999999997E-2</v>
      </c>
      <c r="L114" s="526">
        <v>3.2599999999999997E-2</v>
      </c>
      <c r="M114" s="528">
        <v>3.6600000000000001E-2</v>
      </c>
      <c r="N114" s="528">
        <v>3.6600000000000001E-2</v>
      </c>
      <c r="O114" s="528">
        <v>3.6600000000000001E-2</v>
      </c>
      <c r="P114" s="528">
        <v>3.6600000000000001E-2</v>
      </c>
      <c r="Q114" s="528">
        <v>3.6600000000000001E-2</v>
      </c>
      <c r="R114" s="528">
        <v>3.6600000000000001E-2</v>
      </c>
      <c r="S114" s="528">
        <v>3.6600000000000001E-2</v>
      </c>
      <c r="T114" s="528">
        <v>3.6600000000000001E-2</v>
      </c>
      <c r="U114" s="528">
        <v>3.6600000000000001E-2</v>
      </c>
      <c r="V114" s="528">
        <v>3.6600000000000001E-2</v>
      </c>
      <c r="W114" s="528">
        <v>3.6600000000000001E-2</v>
      </c>
      <c r="X114" s="528">
        <v>3.6600000000000001E-2</v>
      </c>
      <c r="Y114" s="528">
        <v>3.6600000000000001E-2</v>
      </c>
      <c r="Z114" s="528">
        <v>3.6600000000000001E-2</v>
      </c>
      <c r="AA114" s="526">
        <v>3.6600000000000001E-2</v>
      </c>
      <c r="AB114" s="528">
        <v>3.9100000000000003E-2</v>
      </c>
      <c r="AC114" s="528">
        <v>3.9100000000000003E-2</v>
      </c>
      <c r="AD114" s="528">
        <v>3.9100000000000003E-2</v>
      </c>
      <c r="AE114" s="528">
        <v>3.9100000000000003E-2</v>
      </c>
      <c r="AF114" s="528">
        <v>3.9100000000000003E-2</v>
      </c>
      <c r="AG114" s="528">
        <v>3.9100000000000003E-2</v>
      </c>
      <c r="AH114" s="528">
        <v>3.9100000000000003E-2</v>
      </c>
      <c r="AI114" s="528">
        <v>3.9100000000000003E-2</v>
      </c>
      <c r="AJ114" s="528">
        <v>3.9100000000000003E-2</v>
      </c>
      <c r="AK114" s="528">
        <v>3.9100000000000003E-2</v>
      </c>
      <c r="AL114" s="529">
        <v>3.9100000000000003E-2</v>
      </c>
      <c r="AM114" s="528">
        <v>3.9100000000000003E-2</v>
      </c>
      <c r="AN114" s="528">
        <v>3.9100000000000003E-2</v>
      </c>
      <c r="AO114" s="528">
        <v>3.9100000000000003E-2</v>
      </c>
      <c r="AP114" s="528">
        <v>3.9100000000000003E-2</v>
      </c>
      <c r="AQ114" s="528">
        <v>3.9100000000000003E-2</v>
      </c>
      <c r="AR114" s="526">
        <v>3.9100000000000003E-2</v>
      </c>
      <c r="AS114" s="528">
        <v>4.2099999999999999E-2</v>
      </c>
      <c r="AT114" s="528">
        <v>4.2099999999999999E-2</v>
      </c>
      <c r="AU114" s="528">
        <v>4.2099999999999999E-2</v>
      </c>
      <c r="AV114" s="529">
        <v>4.2099999999999999E-2</v>
      </c>
      <c r="AW114" s="529">
        <v>4.2099999999999999E-2</v>
      </c>
      <c r="AX114" s="529">
        <v>4.2099999999999999E-2</v>
      </c>
      <c r="AY114" s="529">
        <v>4.2099999999999999E-2</v>
      </c>
      <c r="AZ114" s="529">
        <v>4.2099999999999999E-2</v>
      </c>
      <c r="BA114" s="529">
        <v>4.2099999999999999E-2</v>
      </c>
      <c r="BB114" s="529">
        <v>4.2099999999999999E-2</v>
      </c>
      <c r="BC114" s="529">
        <v>4.2099999999999999E-2</v>
      </c>
      <c r="BD114" s="529">
        <v>4.2099999999999999E-2</v>
      </c>
      <c r="BE114" s="529">
        <v>4.2099999999999999E-2</v>
      </c>
      <c r="BF114" s="529">
        <v>4.2099999999999999E-2</v>
      </c>
      <c r="BG114" s="529">
        <v>4.2099999999999999E-2</v>
      </c>
      <c r="BH114" s="529">
        <v>4.2099999999999999E-2</v>
      </c>
      <c r="BI114" s="529">
        <v>4.2099999999999999E-2</v>
      </c>
      <c r="BJ114" s="529">
        <v>4.2099999999999999E-2</v>
      </c>
      <c r="BK114" s="529">
        <v>4.2099999999999999E-2</v>
      </c>
      <c r="BL114" s="529">
        <v>4.2099999999999999E-2</v>
      </c>
      <c r="BM114" s="529">
        <v>4.2099999999999999E-2</v>
      </c>
      <c r="BN114" s="529">
        <v>4.2099999999999999E-2</v>
      </c>
      <c r="BO114" s="529">
        <v>4.2099999999999999E-2</v>
      </c>
      <c r="BP114" s="529">
        <v>4.2099999999999999E-2</v>
      </c>
      <c r="BQ114" s="529">
        <v>4.2099999999999999E-2</v>
      </c>
      <c r="BR114" s="529">
        <v>4.2099999999999999E-2</v>
      </c>
      <c r="BS114" s="529">
        <v>4.2099999999999999E-2</v>
      </c>
      <c r="BT114" s="529">
        <v>4.2099999999999999E-2</v>
      </c>
      <c r="BU114" s="529">
        <v>4.2099999999999999E-2</v>
      </c>
      <c r="BV114" s="529">
        <v>4.2099999999999999E-2</v>
      </c>
      <c r="BW114" s="529">
        <v>4.2099999999999999E-2</v>
      </c>
      <c r="BX114" s="529">
        <v>4.2099999999999999E-2</v>
      </c>
      <c r="BY114" s="529">
        <v>4.2099999999999999E-2</v>
      </c>
      <c r="BZ114" s="529">
        <v>4.2099999999999999E-2</v>
      </c>
      <c r="CA114" s="529">
        <v>4.4600000000000001E-2</v>
      </c>
      <c r="CB114" s="529">
        <v>4.4600000000000001E-2</v>
      </c>
      <c r="CC114" s="529">
        <v>4.4600000000000001E-2</v>
      </c>
      <c r="CD114" s="529">
        <v>4.4600000000000001E-2</v>
      </c>
      <c r="CE114" s="529">
        <v>4.5600000000000002E-2</v>
      </c>
      <c r="CF114" s="529">
        <v>4.5600000000000002E-2</v>
      </c>
      <c r="CG114" s="529">
        <v>4.5600000000000002E-2</v>
      </c>
      <c r="CH114" s="529">
        <v>4.5600000000000002E-2</v>
      </c>
      <c r="CI114" s="529">
        <v>4.5600000000000002E-2</v>
      </c>
      <c r="CJ114" s="529">
        <v>4.5600000000000002E-2</v>
      </c>
      <c r="CK114" s="529">
        <v>4.5600000000000002E-2</v>
      </c>
      <c r="CL114" s="529">
        <v>4.5600000000000002E-2</v>
      </c>
      <c r="CM114" s="529">
        <v>4.5600000000000002E-2</v>
      </c>
      <c r="CN114" s="529">
        <v>4.5600000000000002E-2</v>
      </c>
      <c r="CO114" s="529">
        <v>4.5600000000000002E-2</v>
      </c>
      <c r="CP114" s="529">
        <v>4.5600000000000002E-2</v>
      </c>
      <c r="CQ114" s="529">
        <v>4.5600000000000002E-2</v>
      </c>
      <c r="CR114" s="529">
        <v>4.5600000000000002E-2</v>
      </c>
      <c r="CS114" s="529">
        <v>4.5600000000000002E-2</v>
      </c>
      <c r="CT114" s="529">
        <v>4.5600000000000002E-2</v>
      </c>
      <c r="CU114" s="529">
        <v>4.5600000000000002E-2</v>
      </c>
      <c r="CV114" s="529">
        <v>4.5600000000000002E-2</v>
      </c>
      <c r="CW114" s="529">
        <v>4.5600000000000002E-2</v>
      </c>
      <c r="CX114" s="529">
        <v>4.5600000000000002E-2</v>
      </c>
      <c r="CY114" s="529">
        <v>4.5600000000000002E-2</v>
      </c>
      <c r="CZ114" s="529">
        <v>4.5600000000000002E-2</v>
      </c>
      <c r="DA114" s="529">
        <v>4.5600000000000002E-2</v>
      </c>
      <c r="DB114" s="529">
        <v>4.5600000000000002E-2</v>
      </c>
      <c r="DC114" s="529">
        <v>4.5600000000000002E-2</v>
      </c>
      <c r="DD114" s="529">
        <v>4.5600000000000002E-2</v>
      </c>
      <c r="DE114" s="529">
        <v>4.5600000000000002E-2</v>
      </c>
      <c r="DF114" s="529">
        <v>4.5600000000000002E-2</v>
      </c>
      <c r="DG114" s="529">
        <v>4.5600000000000002E-2</v>
      </c>
      <c r="DH114" s="529">
        <v>4.5600000000000002E-2</v>
      </c>
      <c r="DI114" s="529">
        <v>4.5600000000000002E-2</v>
      </c>
      <c r="DJ114" s="529">
        <v>4.5600000000000002E-2</v>
      </c>
      <c r="DK114" s="529">
        <v>4.5600000000000002E-2</v>
      </c>
      <c r="DL114" s="529">
        <v>4.5600000000000002E-2</v>
      </c>
      <c r="DM114" s="529">
        <v>4.5600000000000002E-2</v>
      </c>
      <c r="DN114" s="529">
        <v>4.5600000000000002E-2</v>
      </c>
      <c r="DO114" s="529">
        <v>4.5600000000000002E-2</v>
      </c>
      <c r="DP114" s="529">
        <v>4.5600000000000002E-2</v>
      </c>
      <c r="DQ114" s="529">
        <v>4.5600000000000002E-2</v>
      </c>
      <c r="DR114" s="529">
        <v>4.5600000000000002E-2</v>
      </c>
      <c r="DS114" s="529">
        <v>4.5600000000000002E-2</v>
      </c>
      <c r="DT114" s="529">
        <v>4.5600000000000002E-2</v>
      </c>
      <c r="DU114" s="529">
        <v>4.5600000000000002E-2</v>
      </c>
      <c r="DV114" s="529">
        <v>4.5600000000000002E-2</v>
      </c>
      <c r="DW114" s="529">
        <v>4.5600000000000002E-2</v>
      </c>
      <c r="DX114" s="529">
        <v>4.5600000000000002E-2</v>
      </c>
      <c r="DY114" s="529">
        <v>4.5600000000000002E-2</v>
      </c>
      <c r="DZ114" s="529">
        <v>4.5600000000000002E-2</v>
      </c>
      <c r="EA114" s="529">
        <v>4.5600000000000002E-2</v>
      </c>
      <c r="EB114" s="529">
        <v>4.5600000000000002E-2</v>
      </c>
      <c r="EC114" s="529">
        <v>4.5600000000000002E-2</v>
      </c>
      <c r="ED114" s="529">
        <v>4.5600000000000002E-2</v>
      </c>
      <c r="EE114" s="529">
        <v>4.5600000000000002E-2</v>
      </c>
      <c r="EF114" s="529">
        <v>4.5600000000000002E-2</v>
      </c>
      <c r="EG114" s="529">
        <v>4.5600000000000002E-2</v>
      </c>
      <c r="EH114" s="529">
        <v>4.5600000000000002E-2</v>
      </c>
      <c r="EI114" s="529">
        <v>4.5600000000000002E-2</v>
      </c>
      <c r="EJ114" s="529">
        <v>4.5600000000000002E-2</v>
      </c>
      <c r="EK114" s="529">
        <v>4.5600000000000002E-2</v>
      </c>
      <c r="EL114" s="529">
        <v>4.5600000000000002E-2</v>
      </c>
      <c r="EM114" s="529">
        <v>4.5600000000000002E-2</v>
      </c>
      <c r="EN114" s="529">
        <v>4.5600000000000002E-2</v>
      </c>
      <c r="EO114" s="529">
        <v>4.5600000000000002E-2</v>
      </c>
      <c r="EP114" s="529">
        <v>4.5600000000000002E-2</v>
      </c>
      <c r="EQ114" s="529">
        <v>4.5600000000000002E-2</v>
      </c>
      <c r="ER114" s="529">
        <v>4.5600000000000002E-2</v>
      </c>
      <c r="ES114" s="529">
        <v>4.5600000000000002E-2</v>
      </c>
      <c r="ET114" s="529">
        <v>4.5600000000000002E-2</v>
      </c>
      <c r="EU114" s="529">
        <v>4.5600000000000002E-2</v>
      </c>
      <c r="EV114" s="529">
        <v>4.5600000000000002E-2</v>
      </c>
      <c r="EW114" s="529">
        <v>4.5600000000000002E-2</v>
      </c>
      <c r="EX114" s="529">
        <v>4.5600000000000002E-2</v>
      </c>
      <c r="EY114" s="529">
        <v>4.5600000000000002E-2</v>
      </c>
      <c r="EZ114" s="529">
        <v>4.5600000000000002E-2</v>
      </c>
      <c r="FA114" s="529">
        <v>4.5600000000000002E-2</v>
      </c>
      <c r="FB114" s="529">
        <v>4.5600000000000002E-2</v>
      </c>
      <c r="FC114" s="529">
        <v>4.5600000000000002E-2</v>
      </c>
      <c r="FD114" s="529">
        <v>4.5600000000000002E-2</v>
      </c>
      <c r="FE114" s="529">
        <v>4.5600000000000002E-2</v>
      </c>
      <c r="FF114" s="529">
        <v>4.5600000000000002E-2</v>
      </c>
      <c r="FG114" s="529">
        <v>4.5600000000000002E-2</v>
      </c>
      <c r="FH114" s="529">
        <v>4.5600000000000002E-2</v>
      </c>
      <c r="FI114" s="529">
        <v>4.5600000000000002E-2</v>
      </c>
      <c r="FJ114" s="529">
        <v>4.5600000000000002E-2</v>
      </c>
      <c r="FK114" s="529">
        <v>4.5600000000000002E-2</v>
      </c>
      <c r="FL114" s="529">
        <v>4.5600000000000002E-2</v>
      </c>
      <c r="FM114" s="529">
        <v>4.5600000000000002E-2</v>
      </c>
      <c r="FN114" s="529">
        <v>4.5600000000000002E-2</v>
      </c>
      <c r="FO114" s="529">
        <v>4.5600000000000002E-2</v>
      </c>
      <c r="FP114" s="529">
        <v>4.5600000000000002E-2</v>
      </c>
      <c r="FQ114" s="529">
        <v>4.5600000000000002E-2</v>
      </c>
      <c r="FR114" s="529">
        <v>4.5600000000000002E-2</v>
      </c>
      <c r="FS114" s="529">
        <v>4.5600000000000002E-2</v>
      </c>
      <c r="FT114" s="529">
        <v>4.5600000000000002E-2</v>
      </c>
      <c r="FU114" s="529">
        <v>4.5600000000000002E-2</v>
      </c>
      <c r="FV114" s="529">
        <v>4.5600000000000002E-2</v>
      </c>
      <c r="FW114" s="529">
        <v>4.5600000000000002E-2</v>
      </c>
      <c r="FX114" s="529">
        <v>4.5600000000000002E-2</v>
      </c>
      <c r="FY114" s="529">
        <v>4.5600000000000002E-2</v>
      </c>
      <c r="FZ114" s="529">
        <v>4.5600000000000002E-2</v>
      </c>
      <c r="GA114" s="529">
        <v>4.5600000000000002E-2</v>
      </c>
      <c r="GB114" s="529">
        <v>4.5600000000000002E-2</v>
      </c>
      <c r="GC114" s="529">
        <v>4.5600000000000002E-2</v>
      </c>
      <c r="GD114" s="489">
        <v>3.2099999999999997E-2</v>
      </c>
      <c r="GE114" s="489">
        <v>3.2099999999999997E-2</v>
      </c>
      <c r="GF114" s="489">
        <v>3.2099999999999997E-2</v>
      </c>
      <c r="GG114" s="489">
        <v>3.2099999999999997E-2</v>
      </c>
      <c r="GH114" s="489">
        <v>3.2099999999999997E-2</v>
      </c>
      <c r="GI114" s="489">
        <v>3.2099999999999997E-2</v>
      </c>
      <c r="GJ114" s="489">
        <v>3.2099999999999997E-2</v>
      </c>
      <c r="GK114" s="489">
        <v>3.2099999999999997E-2</v>
      </c>
      <c r="GL114" s="489">
        <v>3.2099999999999997E-2</v>
      </c>
      <c r="GM114" s="489">
        <v>3.2099999999999997E-2</v>
      </c>
      <c r="GN114" s="489">
        <v>3.2099999999999997E-2</v>
      </c>
      <c r="GO114" s="489">
        <v>3.2099999999999997E-2</v>
      </c>
      <c r="GP114" s="489">
        <v>3.2099999999999997E-2</v>
      </c>
      <c r="GQ114" s="489">
        <v>3.2099999999999997E-2</v>
      </c>
      <c r="GR114" s="489">
        <v>3.2099999999999997E-2</v>
      </c>
      <c r="GS114" s="489">
        <v>3.2099999999999997E-2</v>
      </c>
      <c r="GT114" s="489">
        <v>3.2099999999999997E-2</v>
      </c>
      <c r="GU114" s="489">
        <v>3.2099999999999997E-2</v>
      </c>
      <c r="GV114" s="489">
        <v>3.2099999999999997E-2</v>
      </c>
      <c r="GW114" s="489">
        <v>3.2099999999999997E-2</v>
      </c>
      <c r="GX114" s="489">
        <v>3.2099999999999997E-2</v>
      </c>
      <c r="GY114" s="489">
        <v>3.2099999999999997E-2</v>
      </c>
      <c r="GZ114" s="489">
        <v>3.2099999999999997E-2</v>
      </c>
      <c r="HA114" s="489">
        <v>3.2099999999999997E-2</v>
      </c>
      <c r="HB114" s="489">
        <v>3.2099999999999997E-2</v>
      </c>
      <c r="HC114" s="489">
        <v>3.2099999999999997E-2</v>
      </c>
      <c r="HD114" s="489">
        <v>3.2099999999999997E-2</v>
      </c>
      <c r="HE114" s="489">
        <v>3.2099999999999997E-2</v>
      </c>
      <c r="HF114" s="489">
        <v>3.2099999999999997E-2</v>
      </c>
      <c r="HG114" s="489">
        <v>3.2099999999999997E-2</v>
      </c>
      <c r="HH114" s="489">
        <v>3.2099999999999997E-2</v>
      </c>
      <c r="HI114" s="489">
        <v>3.2099999999999997E-2</v>
      </c>
      <c r="HJ114" s="489">
        <v>3.2099999999999997E-2</v>
      </c>
      <c r="HK114" s="489">
        <v>3.2099999999999997E-2</v>
      </c>
      <c r="HL114" s="489">
        <v>3.2099999999999997E-2</v>
      </c>
      <c r="HM114" s="489">
        <v>3.2099999999999997E-2</v>
      </c>
      <c r="HN114" s="489">
        <v>3.2099999999999997E-2</v>
      </c>
      <c r="HO114" s="489">
        <v>3.2099999999999997E-2</v>
      </c>
      <c r="HP114" s="473">
        <f t="shared" si="30"/>
        <v>0</v>
      </c>
      <c r="HQ114" s="1143"/>
    </row>
    <row r="115" spans="1:225">
      <c r="B115" s="1141"/>
      <c r="C115" s="731" t="s">
        <v>217</v>
      </c>
      <c r="D115" s="528">
        <v>3.2800000000000003E-2</v>
      </c>
      <c r="E115" s="528">
        <v>3.2800000000000003E-2</v>
      </c>
      <c r="F115" s="528">
        <v>3.2800000000000003E-2</v>
      </c>
      <c r="G115" s="528">
        <v>3.2800000000000003E-2</v>
      </c>
      <c r="H115" s="528">
        <v>3.2800000000000003E-2</v>
      </c>
      <c r="I115" s="528">
        <v>3.2800000000000003E-2</v>
      </c>
      <c r="J115" s="528">
        <v>3.2800000000000003E-2</v>
      </c>
      <c r="K115" s="528">
        <v>3.2800000000000003E-2</v>
      </c>
      <c r="L115" s="526">
        <v>3.2800000000000003E-2</v>
      </c>
      <c r="M115" s="528">
        <v>3.6799999999999999E-2</v>
      </c>
      <c r="N115" s="528">
        <v>3.6799999999999999E-2</v>
      </c>
      <c r="O115" s="528">
        <v>3.6799999999999999E-2</v>
      </c>
      <c r="P115" s="528">
        <v>3.6799999999999999E-2</v>
      </c>
      <c r="Q115" s="528">
        <v>3.6799999999999999E-2</v>
      </c>
      <c r="R115" s="528">
        <v>3.6799999999999999E-2</v>
      </c>
      <c r="S115" s="528">
        <v>3.6799999999999999E-2</v>
      </c>
      <c r="T115" s="528">
        <v>3.6799999999999999E-2</v>
      </c>
      <c r="U115" s="528">
        <v>3.6799999999999999E-2</v>
      </c>
      <c r="V115" s="528">
        <v>3.6799999999999999E-2</v>
      </c>
      <c r="W115" s="528">
        <v>3.6799999999999999E-2</v>
      </c>
      <c r="X115" s="528">
        <v>3.6799999999999999E-2</v>
      </c>
      <c r="Y115" s="528">
        <v>3.6799999999999999E-2</v>
      </c>
      <c r="Z115" s="528">
        <v>3.6799999999999999E-2</v>
      </c>
      <c r="AA115" s="526">
        <v>3.6799999999999999E-2</v>
      </c>
      <c r="AB115" s="528">
        <v>3.9300000000000002E-2</v>
      </c>
      <c r="AC115" s="528">
        <v>3.9300000000000002E-2</v>
      </c>
      <c r="AD115" s="528">
        <v>3.9300000000000002E-2</v>
      </c>
      <c r="AE115" s="528">
        <v>3.9300000000000002E-2</v>
      </c>
      <c r="AF115" s="528">
        <v>3.9300000000000002E-2</v>
      </c>
      <c r="AG115" s="528">
        <v>3.9300000000000002E-2</v>
      </c>
      <c r="AH115" s="528">
        <v>3.9300000000000002E-2</v>
      </c>
      <c r="AI115" s="528">
        <v>3.9300000000000002E-2</v>
      </c>
      <c r="AJ115" s="528">
        <v>3.9300000000000002E-2</v>
      </c>
      <c r="AK115" s="528">
        <v>3.9300000000000002E-2</v>
      </c>
      <c r="AL115" s="529">
        <v>3.9300000000000002E-2</v>
      </c>
      <c r="AM115" s="528">
        <v>3.9300000000000002E-2</v>
      </c>
      <c r="AN115" s="528">
        <v>3.9300000000000002E-2</v>
      </c>
      <c r="AO115" s="528">
        <v>3.9300000000000002E-2</v>
      </c>
      <c r="AP115" s="528">
        <v>3.9300000000000002E-2</v>
      </c>
      <c r="AQ115" s="528">
        <v>3.9300000000000002E-2</v>
      </c>
      <c r="AR115" s="526">
        <v>3.9300000000000002E-2</v>
      </c>
      <c r="AS115" s="528">
        <v>4.2299999999999997E-2</v>
      </c>
      <c r="AT115" s="528">
        <v>4.2299999999999997E-2</v>
      </c>
      <c r="AU115" s="528">
        <v>4.2299999999999997E-2</v>
      </c>
      <c r="AV115" s="529">
        <v>4.2299999999999997E-2</v>
      </c>
      <c r="AW115" s="529">
        <v>4.2299999999999997E-2</v>
      </c>
      <c r="AX115" s="529">
        <v>4.2299999999999997E-2</v>
      </c>
      <c r="AY115" s="529">
        <v>4.2299999999999997E-2</v>
      </c>
      <c r="AZ115" s="529">
        <v>4.2299999999999997E-2</v>
      </c>
      <c r="BA115" s="529">
        <v>4.2299999999999997E-2</v>
      </c>
      <c r="BB115" s="529">
        <v>4.2299999999999997E-2</v>
      </c>
      <c r="BC115" s="529">
        <v>4.2299999999999997E-2</v>
      </c>
      <c r="BD115" s="529">
        <v>4.2299999999999997E-2</v>
      </c>
      <c r="BE115" s="529">
        <v>4.2299999999999997E-2</v>
      </c>
      <c r="BF115" s="529">
        <v>4.2299999999999997E-2</v>
      </c>
      <c r="BG115" s="529">
        <v>4.2299999999999997E-2</v>
      </c>
      <c r="BH115" s="529">
        <v>4.2299999999999997E-2</v>
      </c>
      <c r="BI115" s="529">
        <v>4.2299999999999997E-2</v>
      </c>
      <c r="BJ115" s="529">
        <v>4.2299999999999997E-2</v>
      </c>
      <c r="BK115" s="529">
        <v>4.2299999999999997E-2</v>
      </c>
      <c r="BL115" s="529">
        <v>4.2299999999999997E-2</v>
      </c>
      <c r="BM115" s="529">
        <v>4.2299999999999997E-2</v>
      </c>
      <c r="BN115" s="529">
        <v>4.2299999999999997E-2</v>
      </c>
      <c r="BO115" s="529">
        <v>4.2299999999999997E-2</v>
      </c>
      <c r="BP115" s="529">
        <v>4.2299999999999997E-2</v>
      </c>
      <c r="BQ115" s="529">
        <v>4.2299999999999997E-2</v>
      </c>
      <c r="BR115" s="529">
        <v>4.2299999999999997E-2</v>
      </c>
      <c r="BS115" s="529">
        <v>4.2299999999999997E-2</v>
      </c>
      <c r="BT115" s="529">
        <v>4.2299999999999997E-2</v>
      </c>
      <c r="BU115" s="529">
        <v>4.2299999999999997E-2</v>
      </c>
      <c r="BV115" s="529">
        <v>4.2299999999999997E-2</v>
      </c>
      <c r="BW115" s="529">
        <v>4.2299999999999997E-2</v>
      </c>
      <c r="BX115" s="529">
        <v>4.2299999999999997E-2</v>
      </c>
      <c r="BY115" s="529">
        <v>4.2299999999999997E-2</v>
      </c>
      <c r="BZ115" s="529">
        <v>4.2299999999999997E-2</v>
      </c>
      <c r="CA115" s="529">
        <v>4.48E-2</v>
      </c>
      <c r="CB115" s="529">
        <v>4.48E-2</v>
      </c>
      <c r="CC115" s="529">
        <v>4.48E-2</v>
      </c>
      <c r="CD115" s="529">
        <v>4.48E-2</v>
      </c>
      <c r="CE115" s="529">
        <v>4.58E-2</v>
      </c>
      <c r="CF115" s="529">
        <v>4.58E-2</v>
      </c>
      <c r="CG115" s="529">
        <v>4.58E-2</v>
      </c>
      <c r="CH115" s="529">
        <v>4.58E-2</v>
      </c>
      <c r="CI115" s="529">
        <v>4.58E-2</v>
      </c>
      <c r="CJ115" s="529">
        <v>4.58E-2</v>
      </c>
      <c r="CK115" s="529">
        <v>4.58E-2</v>
      </c>
      <c r="CL115" s="529">
        <v>4.58E-2</v>
      </c>
      <c r="CM115" s="529">
        <v>4.58E-2</v>
      </c>
      <c r="CN115" s="529">
        <v>4.58E-2</v>
      </c>
      <c r="CO115" s="529">
        <v>4.58E-2</v>
      </c>
      <c r="CP115" s="529">
        <v>4.58E-2</v>
      </c>
      <c r="CQ115" s="529">
        <v>4.58E-2</v>
      </c>
      <c r="CR115" s="529">
        <v>4.58E-2</v>
      </c>
      <c r="CS115" s="529">
        <v>4.58E-2</v>
      </c>
      <c r="CT115" s="529">
        <v>4.58E-2</v>
      </c>
      <c r="CU115" s="529">
        <v>4.58E-2</v>
      </c>
      <c r="CV115" s="529">
        <v>4.58E-2</v>
      </c>
      <c r="CW115" s="529">
        <v>4.58E-2</v>
      </c>
      <c r="CX115" s="529">
        <v>4.58E-2</v>
      </c>
      <c r="CY115" s="529">
        <v>4.58E-2</v>
      </c>
      <c r="CZ115" s="529">
        <v>4.58E-2</v>
      </c>
      <c r="DA115" s="529">
        <v>4.58E-2</v>
      </c>
      <c r="DB115" s="529">
        <v>4.58E-2</v>
      </c>
      <c r="DC115" s="529">
        <v>4.58E-2</v>
      </c>
      <c r="DD115" s="529">
        <v>4.58E-2</v>
      </c>
      <c r="DE115" s="529">
        <v>4.58E-2</v>
      </c>
      <c r="DF115" s="529">
        <v>4.58E-2</v>
      </c>
      <c r="DG115" s="529">
        <v>4.58E-2</v>
      </c>
      <c r="DH115" s="529">
        <v>4.58E-2</v>
      </c>
      <c r="DI115" s="529">
        <v>4.58E-2</v>
      </c>
      <c r="DJ115" s="529">
        <v>4.58E-2</v>
      </c>
      <c r="DK115" s="529">
        <v>4.58E-2</v>
      </c>
      <c r="DL115" s="529">
        <v>4.58E-2</v>
      </c>
      <c r="DM115" s="529">
        <v>4.58E-2</v>
      </c>
      <c r="DN115" s="529">
        <v>4.58E-2</v>
      </c>
      <c r="DO115" s="529">
        <v>4.58E-2</v>
      </c>
      <c r="DP115" s="529">
        <v>4.58E-2</v>
      </c>
      <c r="DQ115" s="529">
        <v>4.58E-2</v>
      </c>
      <c r="DR115" s="529">
        <v>4.58E-2</v>
      </c>
      <c r="DS115" s="529">
        <v>4.58E-2</v>
      </c>
      <c r="DT115" s="529">
        <v>4.58E-2</v>
      </c>
      <c r="DU115" s="529">
        <v>4.58E-2</v>
      </c>
      <c r="DV115" s="529">
        <v>4.58E-2</v>
      </c>
      <c r="DW115" s="529">
        <v>4.58E-2</v>
      </c>
      <c r="DX115" s="529">
        <v>4.58E-2</v>
      </c>
      <c r="DY115" s="529">
        <v>4.58E-2</v>
      </c>
      <c r="DZ115" s="529">
        <v>4.58E-2</v>
      </c>
      <c r="EA115" s="529">
        <v>4.58E-2</v>
      </c>
      <c r="EB115" s="529">
        <v>4.58E-2</v>
      </c>
      <c r="EC115" s="529">
        <v>4.58E-2</v>
      </c>
      <c r="ED115" s="529">
        <v>4.58E-2</v>
      </c>
      <c r="EE115" s="529">
        <v>4.58E-2</v>
      </c>
      <c r="EF115" s="529">
        <v>4.58E-2</v>
      </c>
      <c r="EG115" s="529">
        <v>4.58E-2</v>
      </c>
      <c r="EH115" s="529">
        <v>4.58E-2</v>
      </c>
      <c r="EI115" s="529">
        <v>4.58E-2</v>
      </c>
      <c r="EJ115" s="529">
        <v>4.58E-2</v>
      </c>
      <c r="EK115" s="529">
        <v>4.58E-2</v>
      </c>
      <c r="EL115" s="529">
        <v>4.58E-2</v>
      </c>
      <c r="EM115" s="529">
        <v>4.58E-2</v>
      </c>
      <c r="EN115" s="529">
        <v>4.58E-2</v>
      </c>
      <c r="EO115" s="529">
        <v>4.58E-2</v>
      </c>
      <c r="EP115" s="529">
        <v>4.58E-2</v>
      </c>
      <c r="EQ115" s="529">
        <v>4.58E-2</v>
      </c>
      <c r="ER115" s="529">
        <v>4.58E-2</v>
      </c>
      <c r="ES115" s="529">
        <v>4.58E-2</v>
      </c>
      <c r="ET115" s="529">
        <v>4.58E-2</v>
      </c>
      <c r="EU115" s="529">
        <v>4.58E-2</v>
      </c>
      <c r="EV115" s="529">
        <v>4.58E-2</v>
      </c>
      <c r="EW115" s="529">
        <v>4.58E-2</v>
      </c>
      <c r="EX115" s="529">
        <v>4.58E-2</v>
      </c>
      <c r="EY115" s="529">
        <v>4.58E-2</v>
      </c>
      <c r="EZ115" s="529">
        <v>4.58E-2</v>
      </c>
      <c r="FA115" s="529">
        <v>4.58E-2</v>
      </c>
      <c r="FB115" s="529">
        <v>4.58E-2</v>
      </c>
      <c r="FC115" s="529">
        <v>4.58E-2</v>
      </c>
      <c r="FD115" s="529">
        <v>4.58E-2</v>
      </c>
      <c r="FE115" s="529">
        <v>4.58E-2</v>
      </c>
      <c r="FF115" s="529">
        <v>4.58E-2</v>
      </c>
      <c r="FG115" s="529">
        <v>4.58E-2</v>
      </c>
      <c r="FH115" s="529">
        <v>4.58E-2</v>
      </c>
      <c r="FI115" s="529">
        <v>4.58E-2</v>
      </c>
      <c r="FJ115" s="529">
        <v>4.58E-2</v>
      </c>
      <c r="FK115" s="529">
        <v>4.58E-2</v>
      </c>
      <c r="FL115" s="529">
        <v>4.58E-2</v>
      </c>
      <c r="FM115" s="529">
        <v>4.58E-2</v>
      </c>
      <c r="FN115" s="529">
        <v>4.58E-2</v>
      </c>
      <c r="FO115" s="529">
        <v>4.58E-2</v>
      </c>
      <c r="FP115" s="529">
        <v>4.58E-2</v>
      </c>
      <c r="FQ115" s="529">
        <v>4.58E-2</v>
      </c>
      <c r="FR115" s="529">
        <v>4.58E-2</v>
      </c>
      <c r="FS115" s="529">
        <v>4.58E-2</v>
      </c>
      <c r="FT115" s="529">
        <v>4.58E-2</v>
      </c>
      <c r="FU115" s="529">
        <v>4.58E-2</v>
      </c>
      <c r="FV115" s="529">
        <v>4.58E-2</v>
      </c>
      <c r="FW115" s="529">
        <v>4.58E-2</v>
      </c>
      <c r="FX115" s="529">
        <v>4.58E-2</v>
      </c>
      <c r="FY115" s="529">
        <v>4.58E-2</v>
      </c>
      <c r="FZ115" s="529">
        <v>4.58E-2</v>
      </c>
      <c r="GA115" s="529">
        <v>4.58E-2</v>
      </c>
      <c r="GB115" s="529">
        <v>4.58E-2</v>
      </c>
      <c r="GC115" s="529">
        <v>4.58E-2</v>
      </c>
      <c r="GD115" s="489">
        <v>3.2300000000000002E-2</v>
      </c>
      <c r="GE115" s="489">
        <v>3.2300000000000002E-2</v>
      </c>
      <c r="GF115" s="489">
        <v>3.2300000000000002E-2</v>
      </c>
      <c r="GG115" s="489">
        <v>3.2300000000000002E-2</v>
      </c>
      <c r="GH115" s="489">
        <v>3.2300000000000002E-2</v>
      </c>
      <c r="GI115" s="489">
        <v>3.2300000000000002E-2</v>
      </c>
      <c r="GJ115" s="489">
        <v>3.2300000000000002E-2</v>
      </c>
      <c r="GK115" s="489">
        <v>3.2300000000000002E-2</v>
      </c>
      <c r="GL115" s="489">
        <v>3.2300000000000002E-2</v>
      </c>
      <c r="GM115" s="489">
        <v>3.2300000000000002E-2</v>
      </c>
      <c r="GN115" s="489">
        <v>3.2300000000000002E-2</v>
      </c>
      <c r="GO115" s="489">
        <v>3.2300000000000002E-2</v>
      </c>
      <c r="GP115" s="489">
        <v>3.2300000000000002E-2</v>
      </c>
      <c r="GQ115" s="489">
        <v>3.2300000000000002E-2</v>
      </c>
      <c r="GR115" s="489">
        <v>3.2300000000000002E-2</v>
      </c>
      <c r="GS115" s="489">
        <v>3.2300000000000002E-2</v>
      </c>
      <c r="GT115" s="489">
        <v>3.2300000000000002E-2</v>
      </c>
      <c r="GU115" s="489">
        <v>3.2300000000000002E-2</v>
      </c>
      <c r="GV115" s="489">
        <v>3.2300000000000002E-2</v>
      </c>
      <c r="GW115" s="489">
        <v>3.2300000000000002E-2</v>
      </c>
      <c r="GX115" s="489">
        <v>3.2300000000000002E-2</v>
      </c>
      <c r="GY115" s="489">
        <v>3.2300000000000002E-2</v>
      </c>
      <c r="GZ115" s="489">
        <v>3.2300000000000002E-2</v>
      </c>
      <c r="HA115" s="489">
        <v>3.2300000000000002E-2</v>
      </c>
      <c r="HB115" s="489">
        <v>3.2300000000000002E-2</v>
      </c>
      <c r="HC115" s="489">
        <v>3.2300000000000002E-2</v>
      </c>
      <c r="HD115" s="489">
        <v>3.2300000000000002E-2</v>
      </c>
      <c r="HE115" s="489">
        <v>3.2300000000000002E-2</v>
      </c>
      <c r="HF115" s="489">
        <v>3.2300000000000002E-2</v>
      </c>
      <c r="HG115" s="489">
        <v>3.2300000000000002E-2</v>
      </c>
      <c r="HH115" s="489">
        <v>3.2300000000000002E-2</v>
      </c>
      <c r="HI115" s="489">
        <v>3.2300000000000002E-2</v>
      </c>
      <c r="HJ115" s="489">
        <v>3.2300000000000002E-2</v>
      </c>
      <c r="HK115" s="489">
        <v>3.2300000000000002E-2</v>
      </c>
      <c r="HL115" s="489">
        <v>3.2300000000000002E-2</v>
      </c>
      <c r="HM115" s="489">
        <v>3.2300000000000002E-2</v>
      </c>
      <c r="HN115" s="489">
        <v>3.2300000000000002E-2</v>
      </c>
      <c r="HO115" s="489">
        <v>3.2300000000000002E-2</v>
      </c>
      <c r="HP115" s="473">
        <f t="shared" si="30"/>
        <v>0</v>
      </c>
      <c r="HQ115" s="1143"/>
    </row>
    <row r="116" spans="1:225">
      <c r="B116" s="1141"/>
      <c r="C116" s="731" t="s">
        <v>216</v>
      </c>
      <c r="D116" s="528">
        <v>3.3000000000000002E-2</v>
      </c>
      <c r="E116" s="528">
        <v>3.3000000000000002E-2</v>
      </c>
      <c r="F116" s="528">
        <v>3.3000000000000002E-2</v>
      </c>
      <c r="G116" s="528">
        <v>3.3000000000000002E-2</v>
      </c>
      <c r="H116" s="528">
        <v>3.3000000000000002E-2</v>
      </c>
      <c r="I116" s="528">
        <v>3.3000000000000002E-2</v>
      </c>
      <c r="J116" s="528">
        <v>3.3000000000000002E-2</v>
      </c>
      <c r="K116" s="528">
        <v>3.3000000000000002E-2</v>
      </c>
      <c r="L116" s="526">
        <v>3.3000000000000002E-2</v>
      </c>
      <c r="M116" s="528">
        <v>3.6999999999999998E-2</v>
      </c>
      <c r="N116" s="528">
        <v>3.6999999999999998E-2</v>
      </c>
      <c r="O116" s="528">
        <v>3.6999999999999998E-2</v>
      </c>
      <c r="P116" s="528">
        <v>3.6999999999999998E-2</v>
      </c>
      <c r="Q116" s="528">
        <v>3.6999999999999998E-2</v>
      </c>
      <c r="R116" s="528">
        <v>3.6999999999999998E-2</v>
      </c>
      <c r="S116" s="528">
        <v>3.6999999999999998E-2</v>
      </c>
      <c r="T116" s="528">
        <v>3.6999999999999998E-2</v>
      </c>
      <c r="U116" s="528">
        <v>3.6999999999999998E-2</v>
      </c>
      <c r="V116" s="528">
        <v>3.6999999999999998E-2</v>
      </c>
      <c r="W116" s="528">
        <v>3.6999999999999998E-2</v>
      </c>
      <c r="X116" s="528">
        <v>3.6999999999999998E-2</v>
      </c>
      <c r="Y116" s="528">
        <v>3.6999999999999998E-2</v>
      </c>
      <c r="Z116" s="528">
        <v>3.6999999999999998E-2</v>
      </c>
      <c r="AA116" s="526">
        <v>3.6999999999999998E-2</v>
      </c>
      <c r="AB116" s="528">
        <v>3.95E-2</v>
      </c>
      <c r="AC116" s="528">
        <v>3.95E-2</v>
      </c>
      <c r="AD116" s="528">
        <v>3.95E-2</v>
      </c>
      <c r="AE116" s="528">
        <v>3.95E-2</v>
      </c>
      <c r="AF116" s="528">
        <v>3.95E-2</v>
      </c>
      <c r="AG116" s="528">
        <v>3.95E-2</v>
      </c>
      <c r="AH116" s="528">
        <v>3.95E-2</v>
      </c>
      <c r="AI116" s="528">
        <v>3.95E-2</v>
      </c>
      <c r="AJ116" s="528">
        <v>3.95E-2</v>
      </c>
      <c r="AK116" s="528">
        <v>3.95E-2</v>
      </c>
      <c r="AL116" s="529">
        <v>3.95E-2</v>
      </c>
      <c r="AM116" s="528">
        <v>3.95E-2</v>
      </c>
      <c r="AN116" s="528">
        <v>3.95E-2</v>
      </c>
      <c r="AO116" s="528">
        <v>3.95E-2</v>
      </c>
      <c r="AP116" s="528">
        <v>3.95E-2</v>
      </c>
      <c r="AQ116" s="528">
        <v>3.95E-2</v>
      </c>
      <c r="AR116" s="526">
        <v>3.95E-2</v>
      </c>
      <c r="AS116" s="528">
        <v>4.2500000000000003E-2</v>
      </c>
      <c r="AT116" s="528">
        <v>4.2500000000000003E-2</v>
      </c>
      <c r="AU116" s="528">
        <v>4.2500000000000003E-2</v>
      </c>
      <c r="AV116" s="529">
        <v>4.2500000000000003E-2</v>
      </c>
      <c r="AW116" s="529">
        <v>4.2500000000000003E-2</v>
      </c>
      <c r="AX116" s="529">
        <v>4.2500000000000003E-2</v>
      </c>
      <c r="AY116" s="529">
        <v>4.2500000000000003E-2</v>
      </c>
      <c r="AZ116" s="529">
        <v>4.2500000000000003E-2</v>
      </c>
      <c r="BA116" s="529">
        <v>4.2500000000000003E-2</v>
      </c>
      <c r="BB116" s="529">
        <v>4.2500000000000003E-2</v>
      </c>
      <c r="BC116" s="529">
        <v>4.2500000000000003E-2</v>
      </c>
      <c r="BD116" s="529">
        <v>4.2500000000000003E-2</v>
      </c>
      <c r="BE116" s="529">
        <v>4.2500000000000003E-2</v>
      </c>
      <c r="BF116" s="529">
        <v>4.2500000000000003E-2</v>
      </c>
      <c r="BG116" s="529">
        <v>4.2500000000000003E-2</v>
      </c>
      <c r="BH116" s="529">
        <v>4.2500000000000003E-2</v>
      </c>
      <c r="BI116" s="529">
        <v>4.2500000000000003E-2</v>
      </c>
      <c r="BJ116" s="529">
        <v>4.2500000000000003E-2</v>
      </c>
      <c r="BK116" s="529">
        <v>4.2500000000000003E-2</v>
      </c>
      <c r="BL116" s="529">
        <v>4.2500000000000003E-2</v>
      </c>
      <c r="BM116" s="529">
        <v>4.2500000000000003E-2</v>
      </c>
      <c r="BN116" s="529">
        <v>4.2500000000000003E-2</v>
      </c>
      <c r="BO116" s="529">
        <v>4.2500000000000003E-2</v>
      </c>
      <c r="BP116" s="529">
        <v>4.2500000000000003E-2</v>
      </c>
      <c r="BQ116" s="529">
        <v>4.2500000000000003E-2</v>
      </c>
      <c r="BR116" s="529">
        <v>4.2500000000000003E-2</v>
      </c>
      <c r="BS116" s="529">
        <v>4.2500000000000003E-2</v>
      </c>
      <c r="BT116" s="529">
        <v>4.2500000000000003E-2</v>
      </c>
      <c r="BU116" s="529">
        <v>4.2500000000000003E-2</v>
      </c>
      <c r="BV116" s="529">
        <v>4.2500000000000003E-2</v>
      </c>
      <c r="BW116" s="529">
        <v>4.2500000000000003E-2</v>
      </c>
      <c r="BX116" s="529">
        <v>4.2500000000000003E-2</v>
      </c>
      <c r="BY116" s="529">
        <v>4.2500000000000003E-2</v>
      </c>
      <c r="BZ116" s="529">
        <v>4.2500000000000003E-2</v>
      </c>
      <c r="CA116" s="529">
        <v>4.4999999999999998E-2</v>
      </c>
      <c r="CB116" s="529">
        <v>4.4999999999999998E-2</v>
      </c>
      <c r="CC116" s="529">
        <v>4.4999999999999998E-2</v>
      </c>
      <c r="CD116" s="529">
        <v>4.4999999999999998E-2</v>
      </c>
      <c r="CE116" s="529">
        <v>4.5999999999999999E-2</v>
      </c>
      <c r="CF116" s="529">
        <v>4.5999999999999999E-2</v>
      </c>
      <c r="CG116" s="529">
        <v>4.5999999999999999E-2</v>
      </c>
      <c r="CH116" s="529">
        <v>4.5999999999999999E-2</v>
      </c>
      <c r="CI116" s="529">
        <v>4.5999999999999999E-2</v>
      </c>
      <c r="CJ116" s="529">
        <v>4.5999999999999999E-2</v>
      </c>
      <c r="CK116" s="529">
        <v>4.5999999999999999E-2</v>
      </c>
      <c r="CL116" s="529">
        <v>4.5999999999999999E-2</v>
      </c>
      <c r="CM116" s="529">
        <v>4.5999999999999999E-2</v>
      </c>
      <c r="CN116" s="529">
        <v>4.5999999999999999E-2</v>
      </c>
      <c r="CO116" s="529">
        <v>4.5999999999999999E-2</v>
      </c>
      <c r="CP116" s="529">
        <v>4.5999999999999999E-2</v>
      </c>
      <c r="CQ116" s="529">
        <v>4.5999999999999999E-2</v>
      </c>
      <c r="CR116" s="529">
        <v>4.5999999999999999E-2</v>
      </c>
      <c r="CS116" s="529">
        <v>4.5999999999999999E-2</v>
      </c>
      <c r="CT116" s="529">
        <v>4.5999999999999999E-2</v>
      </c>
      <c r="CU116" s="529">
        <v>4.5999999999999999E-2</v>
      </c>
      <c r="CV116" s="529">
        <v>4.5999999999999999E-2</v>
      </c>
      <c r="CW116" s="529">
        <v>4.5999999999999999E-2</v>
      </c>
      <c r="CX116" s="529">
        <v>4.5999999999999999E-2</v>
      </c>
      <c r="CY116" s="529">
        <v>4.5999999999999999E-2</v>
      </c>
      <c r="CZ116" s="529">
        <v>4.5999999999999999E-2</v>
      </c>
      <c r="DA116" s="529">
        <v>4.5999999999999999E-2</v>
      </c>
      <c r="DB116" s="529">
        <v>4.5999999999999999E-2</v>
      </c>
      <c r="DC116" s="529">
        <v>4.5999999999999999E-2</v>
      </c>
      <c r="DD116" s="529">
        <v>4.5999999999999999E-2</v>
      </c>
      <c r="DE116" s="529">
        <v>4.5999999999999999E-2</v>
      </c>
      <c r="DF116" s="529">
        <v>4.5999999999999999E-2</v>
      </c>
      <c r="DG116" s="529">
        <v>4.5999999999999999E-2</v>
      </c>
      <c r="DH116" s="529">
        <v>4.5999999999999999E-2</v>
      </c>
      <c r="DI116" s="529">
        <v>4.5999999999999999E-2</v>
      </c>
      <c r="DJ116" s="529">
        <v>4.5999999999999999E-2</v>
      </c>
      <c r="DK116" s="529">
        <v>4.5999999999999999E-2</v>
      </c>
      <c r="DL116" s="529">
        <v>4.5999999999999999E-2</v>
      </c>
      <c r="DM116" s="529">
        <v>4.5999999999999999E-2</v>
      </c>
      <c r="DN116" s="529">
        <v>4.5999999999999999E-2</v>
      </c>
      <c r="DO116" s="529">
        <v>4.5999999999999999E-2</v>
      </c>
      <c r="DP116" s="529">
        <v>4.5999999999999999E-2</v>
      </c>
      <c r="DQ116" s="529">
        <v>4.5999999999999999E-2</v>
      </c>
      <c r="DR116" s="529">
        <v>4.5999999999999999E-2</v>
      </c>
      <c r="DS116" s="529">
        <v>4.5999999999999999E-2</v>
      </c>
      <c r="DT116" s="529">
        <v>4.5999999999999999E-2</v>
      </c>
      <c r="DU116" s="529">
        <v>4.5999999999999999E-2</v>
      </c>
      <c r="DV116" s="529">
        <v>4.5999999999999999E-2</v>
      </c>
      <c r="DW116" s="529">
        <v>4.5999999999999999E-2</v>
      </c>
      <c r="DX116" s="529">
        <v>4.5999999999999999E-2</v>
      </c>
      <c r="DY116" s="529">
        <v>4.5999999999999999E-2</v>
      </c>
      <c r="DZ116" s="529">
        <v>4.5999999999999999E-2</v>
      </c>
      <c r="EA116" s="529">
        <v>4.5999999999999999E-2</v>
      </c>
      <c r="EB116" s="529">
        <v>4.5999999999999999E-2</v>
      </c>
      <c r="EC116" s="529">
        <v>4.5999999999999999E-2</v>
      </c>
      <c r="ED116" s="529">
        <v>4.5999999999999999E-2</v>
      </c>
      <c r="EE116" s="529">
        <v>4.5999999999999999E-2</v>
      </c>
      <c r="EF116" s="529">
        <v>4.5999999999999999E-2</v>
      </c>
      <c r="EG116" s="529">
        <v>4.5999999999999999E-2</v>
      </c>
      <c r="EH116" s="529">
        <v>4.5999999999999999E-2</v>
      </c>
      <c r="EI116" s="529">
        <v>4.5999999999999999E-2</v>
      </c>
      <c r="EJ116" s="529">
        <v>4.5999999999999999E-2</v>
      </c>
      <c r="EK116" s="529">
        <v>4.5999999999999999E-2</v>
      </c>
      <c r="EL116" s="529">
        <v>4.5999999999999999E-2</v>
      </c>
      <c r="EM116" s="529">
        <v>4.5999999999999999E-2</v>
      </c>
      <c r="EN116" s="529">
        <v>4.5999999999999999E-2</v>
      </c>
      <c r="EO116" s="529">
        <v>4.5999999999999999E-2</v>
      </c>
      <c r="EP116" s="529">
        <v>4.5999999999999999E-2</v>
      </c>
      <c r="EQ116" s="529">
        <v>4.5999999999999999E-2</v>
      </c>
      <c r="ER116" s="529">
        <v>4.5999999999999999E-2</v>
      </c>
      <c r="ES116" s="529">
        <v>4.5999999999999999E-2</v>
      </c>
      <c r="ET116" s="529">
        <v>4.5999999999999999E-2</v>
      </c>
      <c r="EU116" s="529">
        <v>4.5999999999999999E-2</v>
      </c>
      <c r="EV116" s="529">
        <v>4.5999999999999999E-2</v>
      </c>
      <c r="EW116" s="529">
        <v>4.5999999999999999E-2</v>
      </c>
      <c r="EX116" s="529">
        <v>4.5999999999999999E-2</v>
      </c>
      <c r="EY116" s="529">
        <v>4.5999999999999999E-2</v>
      </c>
      <c r="EZ116" s="529">
        <v>4.5999999999999999E-2</v>
      </c>
      <c r="FA116" s="529">
        <v>4.5999999999999999E-2</v>
      </c>
      <c r="FB116" s="529">
        <v>4.5999999999999999E-2</v>
      </c>
      <c r="FC116" s="529">
        <v>4.5999999999999999E-2</v>
      </c>
      <c r="FD116" s="529">
        <v>4.5999999999999999E-2</v>
      </c>
      <c r="FE116" s="529">
        <v>4.5999999999999999E-2</v>
      </c>
      <c r="FF116" s="529">
        <v>4.5999999999999999E-2</v>
      </c>
      <c r="FG116" s="529">
        <v>4.5999999999999999E-2</v>
      </c>
      <c r="FH116" s="529">
        <v>4.5999999999999999E-2</v>
      </c>
      <c r="FI116" s="529">
        <v>4.5999999999999999E-2</v>
      </c>
      <c r="FJ116" s="529">
        <v>4.5999999999999999E-2</v>
      </c>
      <c r="FK116" s="529">
        <v>4.5999999999999999E-2</v>
      </c>
      <c r="FL116" s="529">
        <v>4.5999999999999999E-2</v>
      </c>
      <c r="FM116" s="529">
        <v>4.5999999999999999E-2</v>
      </c>
      <c r="FN116" s="529">
        <v>4.5999999999999999E-2</v>
      </c>
      <c r="FO116" s="529">
        <v>4.5999999999999999E-2</v>
      </c>
      <c r="FP116" s="529">
        <v>4.5999999999999999E-2</v>
      </c>
      <c r="FQ116" s="529">
        <v>4.5999999999999999E-2</v>
      </c>
      <c r="FR116" s="529">
        <v>4.5999999999999999E-2</v>
      </c>
      <c r="FS116" s="529">
        <v>4.5999999999999999E-2</v>
      </c>
      <c r="FT116" s="529">
        <v>4.5999999999999999E-2</v>
      </c>
      <c r="FU116" s="529">
        <v>4.5999999999999999E-2</v>
      </c>
      <c r="FV116" s="529">
        <v>4.5999999999999999E-2</v>
      </c>
      <c r="FW116" s="529">
        <v>4.5999999999999999E-2</v>
      </c>
      <c r="FX116" s="529">
        <v>4.5999999999999999E-2</v>
      </c>
      <c r="FY116" s="529">
        <v>4.5999999999999999E-2</v>
      </c>
      <c r="FZ116" s="529">
        <v>4.5999999999999999E-2</v>
      </c>
      <c r="GA116" s="529">
        <v>4.5999999999999999E-2</v>
      </c>
      <c r="GB116" s="529">
        <v>4.5999999999999999E-2</v>
      </c>
      <c r="GC116" s="529">
        <v>4.5999999999999999E-2</v>
      </c>
      <c r="GD116" s="489">
        <v>3.2500000000000001E-2</v>
      </c>
      <c r="GE116" s="489">
        <v>3.2500000000000001E-2</v>
      </c>
      <c r="GF116" s="489">
        <v>3.2500000000000001E-2</v>
      </c>
      <c r="GG116" s="489">
        <v>3.2500000000000001E-2</v>
      </c>
      <c r="GH116" s="489">
        <v>3.2500000000000001E-2</v>
      </c>
      <c r="GI116" s="489">
        <v>3.2500000000000001E-2</v>
      </c>
      <c r="GJ116" s="489">
        <v>3.2500000000000001E-2</v>
      </c>
      <c r="GK116" s="489">
        <v>3.2500000000000001E-2</v>
      </c>
      <c r="GL116" s="489">
        <v>3.2500000000000001E-2</v>
      </c>
      <c r="GM116" s="489">
        <v>3.2500000000000001E-2</v>
      </c>
      <c r="GN116" s="489">
        <v>3.2500000000000001E-2</v>
      </c>
      <c r="GO116" s="489">
        <v>3.2500000000000001E-2</v>
      </c>
      <c r="GP116" s="489">
        <v>3.2500000000000001E-2</v>
      </c>
      <c r="GQ116" s="489">
        <v>3.2500000000000001E-2</v>
      </c>
      <c r="GR116" s="489">
        <v>3.2500000000000001E-2</v>
      </c>
      <c r="GS116" s="489">
        <v>3.2500000000000001E-2</v>
      </c>
      <c r="GT116" s="489">
        <v>3.2500000000000001E-2</v>
      </c>
      <c r="GU116" s="489">
        <v>3.2500000000000001E-2</v>
      </c>
      <c r="GV116" s="489">
        <v>3.2500000000000001E-2</v>
      </c>
      <c r="GW116" s="489">
        <v>3.2500000000000001E-2</v>
      </c>
      <c r="GX116" s="489">
        <v>3.2500000000000001E-2</v>
      </c>
      <c r="GY116" s="489">
        <v>3.2500000000000001E-2</v>
      </c>
      <c r="GZ116" s="489">
        <v>3.2500000000000001E-2</v>
      </c>
      <c r="HA116" s="489">
        <v>3.2500000000000001E-2</v>
      </c>
      <c r="HB116" s="489">
        <v>3.2500000000000001E-2</v>
      </c>
      <c r="HC116" s="489">
        <v>3.2500000000000001E-2</v>
      </c>
      <c r="HD116" s="489">
        <v>3.2500000000000001E-2</v>
      </c>
      <c r="HE116" s="489">
        <v>3.2500000000000001E-2</v>
      </c>
      <c r="HF116" s="489">
        <v>3.2500000000000001E-2</v>
      </c>
      <c r="HG116" s="489">
        <v>3.2500000000000001E-2</v>
      </c>
      <c r="HH116" s="489">
        <v>3.2500000000000001E-2</v>
      </c>
      <c r="HI116" s="489">
        <v>3.2500000000000001E-2</v>
      </c>
      <c r="HJ116" s="489">
        <v>3.2500000000000001E-2</v>
      </c>
      <c r="HK116" s="489">
        <v>3.2500000000000001E-2</v>
      </c>
      <c r="HL116" s="489">
        <v>3.2500000000000001E-2</v>
      </c>
      <c r="HM116" s="489">
        <v>3.2500000000000001E-2</v>
      </c>
      <c r="HN116" s="489">
        <v>3.2500000000000001E-2</v>
      </c>
      <c r="HO116" s="489">
        <v>3.2500000000000001E-2</v>
      </c>
      <c r="HP116" s="473">
        <f t="shared" si="30"/>
        <v>0</v>
      </c>
      <c r="HQ116" s="1144"/>
    </row>
    <row r="117" spans="1:225">
      <c r="B117" s="764" t="s">
        <v>12</v>
      </c>
      <c r="C117" s="730" t="s">
        <v>229</v>
      </c>
      <c r="D117" s="493">
        <v>3.32E-2</v>
      </c>
      <c r="E117" s="493">
        <v>3.32E-2</v>
      </c>
      <c r="F117" s="493">
        <v>3.2199999999999999E-2</v>
      </c>
      <c r="G117" s="500">
        <v>3.2199999999999999E-2</v>
      </c>
      <c r="H117" s="500">
        <v>3.2199999999999999E-2</v>
      </c>
      <c r="I117" s="500">
        <v>3.2199999999999999E-2</v>
      </c>
      <c r="J117" s="502">
        <v>3.2199999999999999E-2</v>
      </c>
      <c r="K117" s="502">
        <v>3.1699999999999999E-2</v>
      </c>
      <c r="L117" s="502">
        <v>3.1199999999999999E-2</v>
      </c>
      <c r="M117" s="502">
        <v>3.2199999999999999E-2</v>
      </c>
      <c r="N117" s="500">
        <v>3.27E-2</v>
      </c>
      <c r="O117" s="500">
        <v>3.27E-2</v>
      </c>
      <c r="P117" s="502">
        <v>3.27E-2</v>
      </c>
      <c r="Q117" s="500">
        <v>3.32E-2</v>
      </c>
      <c r="R117" s="502">
        <v>3.32E-2</v>
      </c>
      <c r="S117" s="500">
        <v>3.4200000000000001E-2</v>
      </c>
      <c r="T117" s="502">
        <v>3.4200000000000001E-2</v>
      </c>
      <c r="U117" s="501">
        <v>3.32E-2</v>
      </c>
      <c r="V117" s="502">
        <v>3.32E-2</v>
      </c>
      <c r="W117" s="480">
        <v>3.3700000000000001E-2</v>
      </c>
      <c r="X117" s="481">
        <v>3.4200000000000001E-2</v>
      </c>
      <c r="Y117" s="481">
        <v>3.4200000000000001E-2</v>
      </c>
      <c r="Z117" s="480">
        <v>3.4200000000000001E-2</v>
      </c>
      <c r="AA117" s="481">
        <v>3.4700000000000002E-2</v>
      </c>
      <c r="AB117" s="480">
        <v>3.4700000000000002E-2</v>
      </c>
      <c r="AC117" s="481">
        <v>3.5700000000000003E-2</v>
      </c>
      <c r="AD117" s="480">
        <v>3.6200000000000003E-2</v>
      </c>
      <c r="AE117" s="480">
        <v>3.7199999999999997E-2</v>
      </c>
      <c r="AF117" s="481">
        <v>3.7699999999999997E-2</v>
      </c>
      <c r="AG117" s="481">
        <v>3.7699999999999997E-2</v>
      </c>
      <c r="AH117" s="480">
        <v>3.7699999999999997E-2</v>
      </c>
      <c r="AI117" s="481">
        <v>3.8199999999999998E-2</v>
      </c>
      <c r="AJ117" s="481">
        <v>3.8199999999999998E-2</v>
      </c>
      <c r="AK117" s="481">
        <v>3.8199999999999998E-2</v>
      </c>
      <c r="AL117" s="482">
        <v>3.8199999999999998E-2</v>
      </c>
      <c r="AM117" s="481">
        <v>3.8199999999999998E-2</v>
      </c>
      <c r="AN117" s="481">
        <v>3.8199999999999998E-2</v>
      </c>
      <c r="AO117" s="481">
        <v>3.8199999999999998E-2</v>
      </c>
      <c r="AP117" s="481">
        <v>3.8199999999999998E-2</v>
      </c>
      <c r="AQ117" s="481">
        <v>3.8199999999999998E-2</v>
      </c>
      <c r="AR117" s="481">
        <v>3.8199999999999998E-2</v>
      </c>
      <c r="AS117" s="481">
        <v>3.8199999999999998E-2</v>
      </c>
      <c r="AT117" s="481">
        <v>3.8199999999999998E-2</v>
      </c>
      <c r="AU117" s="481">
        <v>3.8199999999999998E-2</v>
      </c>
      <c r="AV117" s="480">
        <v>3.8199999999999998E-2</v>
      </c>
      <c r="AW117" s="482">
        <v>3.9199999999999999E-2</v>
      </c>
      <c r="AX117" s="482">
        <v>3.9199999999999999E-2</v>
      </c>
      <c r="AY117" s="482">
        <v>3.9199999999999999E-2</v>
      </c>
      <c r="AZ117" s="482">
        <v>3.9199999999999999E-2</v>
      </c>
      <c r="BA117" s="482">
        <v>3.9199999999999999E-2</v>
      </c>
      <c r="BB117" s="482">
        <v>3.9199999999999999E-2</v>
      </c>
      <c r="BC117" s="482">
        <v>3.9199999999999999E-2</v>
      </c>
      <c r="BD117" s="482">
        <v>3.9199999999999999E-2</v>
      </c>
      <c r="BE117" s="482">
        <v>3.9199999999999999E-2</v>
      </c>
      <c r="BF117" s="482">
        <v>3.9199999999999999E-2</v>
      </c>
      <c r="BG117" s="482">
        <v>3.9199999999999999E-2</v>
      </c>
      <c r="BH117" s="482">
        <v>3.9199999999999999E-2</v>
      </c>
      <c r="BI117" s="482">
        <v>3.9199999999999999E-2</v>
      </c>
      <c r="BJ117" s="482">
        <v>3.9199999999999999E-2</v>
      </c>
      <c r="BK117" s="482">
        <v>3.9199999999999999E-2</v>
      </c>
      <c r="BL117" s="482">
        <v>4.02E-2</v>
      </c>
      <c r="BM117" s="482">
        <v>4.07E-2</v>
      </c>
      <c r="BN117" s="482">
        <v>4.1700000000000001E-2</v>
      </c>
      <c r="BO117" s="482">
        <v>4.1700000000000001E-2</v>
      </c>
      <c r="BP117" s="482">
        <v>4.2999999999999997E-2</v>
      </c>
      <c r="BQ117" s="482">
        <v>4.2999999999999997E-2</v>
      </c>
      <c r="BR117" s="482">
        <v>4.2999999999999997E-2</v>
      </c>
      <c r="BS117" s="482">
        <v>4.2999999999999997E-2</v>
      </c>
      <c r="BT117" s="482">
        <v>4.2200000000000001E-2</v>
      </c>
      <c r="BU117" s="482">
        <v>4.2200000000000001E-2</v>
      </c>
      <c r="BV117" s="482">
        <v>4.2200000000000001E-2</v>
      </c>
      <c r="BW117" s="482">
        <v>4.2200000000000001E-2</v>
      </c>
      <c r="BX117" s="482">
        <v>4.2900000000000001E-2</v>
      </c>
      <c r="BY117" s="482">
        <v>4.2500000000000003E-2</v>
      </c>
      <c r="BZ117" s="482">
        <v>4.2500000000000003E-2</v>
      </c>
      <c r="CA117" s="482">
        <v>4.3999999999999997E-2</v>
      </c>
      <c r="CB117" s="482">
        <v>4.6600000000000003E-2</v>
      </c>
      <c r="CC117" s="482">
        <v>4.7300000000000002E-2</v>
      </c>
      <c r="CD117" s="482">
        <v>4.58E-2</v>
      </c>
      <c r="CE117" s="482">
        <v>4.6399999999999997E-2</v>
      </c>
      <c r="CF117" s="482">
        <v>4.6300000000000001E-2</v>
      </c>
      <c r="CG117" s="482">
        <v>4.65E-2</v>
      </c>
      <c r="CH117" s="482">
        <v>4.8500000000000001E-2</v>
      </c>
      <c r="CI117" s="482">
        <v>4.8800000000000003E-2</v>
      </c>
      <c r="CJ117" s="482">
        <v>4.8800000000000003E-2</v>
      </c>
      <c r="CK117" s="482">
        <v>4.9000000000000002E-2</v>
      </c>
      <c r="CL117" s="482">
        <v>4.9099999999999998E-2</v>
      </c>
      <c r="CM117" s="482">
        <v>4.9399999999999999E-2</v>
      </c>
      <c r="CN117" s="482">
        <v>4.9500000000000002E-2</v>
      </c>
      <c r="CO117" s="482">
        <v>4.9500000000000002E-2</v>
      </c>
      <c r="CP117" s="482">
        <v>5.0099999999999999E-2</v>
      </c>
      <c r="CQ117" s="482">
        <v>5.0099999999999999E-2</v>
      </c>
      <c r="CR117" s="482">
        <v>4.99E-2</v>
      </c>
      <c r="CS117" s="482">
        <v>4.99E-2</v>
      </c>
      <c r="CT117" s="482">
        <v>4.8399999999999999E-2</v>
      </c>
      <c r="CU117" s="482">
        <v>4.8399999999999999E-2</v>
      </c>
      <c r="CV117" s="482">
        <v>4.8399999999999999E-2</v>
      </c>
      <c r="CW117" s="482">
        <v>4.8399999999999999E-2</v>
      </c>
      <c r="CX117" s="482">
        <v>4.8399999999999999E-2</v>
      </c>
      <c r="CY117" s="482">
        <v>4.8399999999999999E-2</v>
      </c>
      <c r="CZ117" s="482">
        <v>0.05</v>
      </c>
      <c r="DA117" s="482">
        <v>0.05</v>
      </c>
      <c r="DB117" s="482">
        <v>4.8599999999999997E-2</v>
      </c>
      <c r="DC117" s="482">
        <v>4.8599999999999997E-2</v>
      </c>
      <c r="DD117" s="482">
        <v>4.8599999999999997E-2</v>
      </c>
      <c r="DE117" s="484">
        <v>4.8599999999999997E-2</v>
      </c>
      <c r="DF117" s="482">
        <v>4.8399999999999999E-2</v>
      </c>
      <c r="DG117" s="482">
        <v>4.8399999999999999E-2</v>
      </c>
      <c r="DH117" s="482">
        <v>4.8399999999999999E-2</v>
      </c>
      <c r="DI117" s="482">
        <v>4.8300000000000003E-2</v>
      </c>
      <c r="DJ117" s="482">
        <v>4.8300000000000003E-2</v>
      </c>
      <c r="DK117" s="482">
        <v>4.8500000000000001E-2</v>
      </c>
      <c r="DL117" s="482">
        <v>4.8599999999999997E-2</v>
      </c>
      <c r="DM117" s="512" t="s">
        <v>124</v>
      </c>
      <c r="DN117" s="512"/>
      <c r="DO117" s="512"/>
      <c r="DP117" s="512"/>
      <c r="DQ117" s="512"/>
      <c r="DR117" s="512"/>
      <c r="DS117" s="512"/>
      <c r="DT117" s="512"/>
      <c r="DU117" s="512"/>
      <c r="DV117" s="512"/>
      <c r="DW117" s="512"/>
      <c r="DX117" s="512"/>
      <c r="DY117" s="512"/>
      <c r="DZ117" s="512"/>
      <c r="EA117" s="512"/>
      <c r="EB117" s="512"/>
      <c r="EC117" s="512"/>
      <c r="ED117" s="512"/>
      <c r="EE117" s="512"/>
      <c r="EF117" s="512"/>
      <c r="EG117" s="512"/>
      <c r="EH117" s="512"/>
      <c r="EI117" s="512"/>
      <c r="EJ117" s="512"/>
      <c r="EK117" s="512"/>
      <c r="EL117" s="513"/>
      <c r="EM117" s="513"/>
      <c r="EN117" s="512"/>
      <c r="EO117" s="512"/>
      <c r="EP117" s="512"/>
      <c r="EQ117" s="512"/>
      <c r="ER117" s="512"/>
      <c r="ES117" s="512"/>
      <c r="ET117" s="512"/>
      <c r="EU117" s="512"/>
      <c r="EV117" s="512"/>
      <c r="EW117" s="512"/>
      <c r="EX117" s="512"/>
      <c r="EY117" s="512"/>
      <c r="EZ117" s="513"/>
      <c r="FA117" s="514"/>
      <c r="FB117" s="515"/>
      <c r="FC117" s="516"/>
      <c r="FD117" s="516"/>
      <c r="FE117" s="516"/>
      <c r="FF117" s="516"/>
      <c r="FG117" s="516"/>
      <c r="FH117" s="516"/>
      <c r="FI117" s="516"/>
      <c r="FJ117" s="516"/>
      <c r="FK117" s="516"/>
      <c r="FL117" s="516"/>
      <c r="FM117" s="516"/>
      <c r="FN117" s="516"/>
      <c r="FO117" s="516"/>
      <c r="FP117" s="516"/>
      <c r="FQ117" s="516"/>
      <c r="FR117" s="516"/>
      <c r="FS117" s="516"/>
      <c r="FT117" s="516"/>
      <c r="FU117" s="516"/>
      <c r="FV117" s="512"/>
      <c r="FW117" s="512"/>
      <c r="FX117" s="512"/>
      <c r="FY117" s="512"/>
      <c r="FZ117" s="512"/>
      <c r="GA117" s="512"/>
      <c r="GB117" s="512"/>
      <c r="GC117" s="512"/>
      <c r="GD117" s="489"/>
      <c r="GE117" s="489"/>
      <c r="GF117" s="489"/>
      <c r="GG117" s="489"/>
      <c r="GH117" s="489"/>
      <c r="GI117" s="489"/>
      <c r="GJ117" s="489"/>
      <c r="GK117" s="489"/>
      <c r="GL117" s="489"/>
      <c r="GM117" s="489"/>
      <c r="GN117" s="489"/>
      <c r="GO117" s="489"/>
      <c r="GP117" s="489"/>
      <c r="GQ117" s="489"/>
      <c r="GR117" s="489"/>
      <c r="GS117" s="489"/>
      <c r="GT117" s="489"/>
      <c r="GU117" s="489"/>
      <c r="GV117" s="489"/>
      <c r="GW117" s="489"/>
      <c r="GX117" s="489"/>
      <c r="GY117" s="489"/>
      <c r="GZ117" s="489"/>
      <c r="HA117" s="489"/>
      <c r="HB117" s="489"/>
      <c r="HC117" s="489"/>
      <c r="HD117" s="489"/>
      <c r="HE117" s="489"/>
      <c r="HF117" s="489"/>
      <c r="HG117" s="489"/>
      <c r="HH117" s="489"/>
      <c r="HI117" s="489"/>
      <c r="HJ117" s="489"/>
      <c r="HK117" s="489"/>
      <c r="HL117" s="489"/>
      <c r="HM117" s="489"/>
      <c r="HN117" s="489"/>
      <c r="HO117" s="489"/>
      <c r="HP117" s="473">
        <f t="shared" si="30"/>
        <v>0</v>
      </c>
      <c r="HQ117" s="530"/>
    </row>
    <row r="118" spans="1:225">
      <c r="A118" s="671"/>
      <c r="B118" s="763" t="s">
        <v>29</v>
      </c>
      <c r="C118" s="731" t="s">
        <v>74</v>
      </c>
      <c r="D118" s="494">
        <v>2.9966E-2</v>
      </c>
      <c r="E118" s="494">
        <v>2.9966E-2</v>
      </c>
      <c r="F118" s="494">
        <v>2.9978000000000001E-2</v>
      </c>
      <c r="G118" s="494">
        <v>2.9662000000000001E-2</v>
      </c>
      <c r="H118" s="494">
        <v>2.9399000000000002E-2</v>
      </c>
      <c r="I118" s="494">
        <v>2.9399999999999999E-2</v>
      </c>
      <c r="J118" s="494">
        <v>2.9100000000000001E-2</v>
      </c>
      <c r="K118" s="494">
        <v>2.9439E-2</v>
      </c>
      <c r="L118" s="494">
        <v>2.8898E-2</v>
      </c>
      <c r="M118" s="494">
        <v>2.9170999999999999E-2</v>
      </c>
      <c r="N118" s="494">
        <v>2.9152999999999998E-2</v>
      </c>
      <c r="O118" s="494">
        <v>2.9923999999999999E-2</v>
      </c>
      <c r="P118" s="494">
        <v>3.0224000000000001E-2</v>
      </c>
      <c r="Q118" s="494">
        <v>3.0675999999999998E-2</v>
      </c>
      <c r="R118" s="494">
        <v>3.1653000000000001E-2</v>
      </c>
      <c r="S118" s="494">
        <v>3.2163999999999998E-2</v>
      </c>
      <c r="T118" s="494">
        <v>3.218E-2</v>
      </c>
      <c r="U118" s="494">
        <v>3.1158999999999999E-2</v>
      </c>
      <c r="V118" s="494">
        <v>3.1350000000000003E-2</v>
      </c>
      <c r="W118" s="526">
        <v>3.0904000000000001E-2</v>
      </c>
      <c r="X118" s="526">
        <v>3.1904000000000002E-2</v>
      </c>
      <c r="Y118" s="526">
        <v>3.2530000000000003E-2</v>
      </c>
      <c r="Z118" s="526">
        <v>3.2542000000000001E-2</v>
      </c>
      <c r="AA118" s="526">
        <v>3.27E-2</v>
      </c>
      <c r="AB118" s="526">
        <v>3.2599999999999997E-2</v>
      </c>
      <c r="AC118" s="526">
        <v>3.3010999999999999E-2</v>
      </c>
      <c r="AD118" s="526">
        <v>3.3165E-2</v>
      </c>
      <c r="AE118" s="526">
        <v>3.4051999999999999E-2</v>
      </c>
      <c r="AF118" s="526">
        <v>3.4473999999999998E-2</v>
      </c>
      <c r="AG118" s="526">
        <v>3.4185E-2</v>
      </c>
      <c r="AH118" s="488">
        <v>3.5043999999999999E-2</v>
      </c>
      <c r="AI118" s="494">
        <v>3.5191E-2</v>
      </c>
      <c r="AJ118" s="494">
        <v>3.5700999999999997E-2</v>
      </c>
      <c r="AK118" s="488">
        <v>3.5928000000000002E-2</v>
      </c>
      <c r="AL118" s="494">
        <v>3.5682999999999999E-2</v>
      </c>
      <c r="AM118" s="494">
        <v>3.5909000000000003E-2</v>
      </c>
      <c r="AN118" s="494">
        <v>3.6237999999999999E-2</v>
      </c>
      <c r="AO118" s="494">
        <v>3.6288000000000001E-2</v>
      </c>
      <c r="AP118" s="488">
        <v>3.6235999999999997E-2</v>
      </c>
      <c r="AQ118" s="494">
        <v>3.6235999999999997E-2</v>
      </c>
      <c r="AR118" s="494">
        <v>3.5985999999999997E-2</v>
      </c>
      <c r="AS118" s="494">
        <v>3.6241000000000002E-2</v>
      </c>
      <c r="AT118" s="488">
        <v>3.5874999999999997E-2</v>
      </c>
      <c r="AU118" s="488">
        <v>3.5874999999999997E-2</v>
      </c>
      <c r="AV118" s="494">
        <v>3.5397999999999999E-2</v>
      </c>
      <c r="AW118" s="489">
        <v>4.0018999999999999E-2</v>
      </c>
      <c r="AX118" s="489">
        <v>4.0018999999999999E-2</v>
      </c>
      <c r="AY118" s="489">
        <v>4.0018999999999999E-2</v>
      </c>
      <c r="AZ118" s="489">
        <v>4.0018999999999999E-2</v>
      </c>
      <c r="BA118" s="489">
        <v>4.0018999999999999E-2</v>
      </c>
      <c r="BB118" s="489">
        <v>4.0018999999999999E-2</v>
      </c>
      <c r="BC118" s="489">
        <v>4.0018999999999999E-2</v>
      </c>
      <c r="BD118" s="489">
        <v>4.0018999999999999E-2</v>
      </c>
      <c r="BE118" s="489">
        <v>4.0018999999999999E-2</v>
      </c>
      <c r="BF118" s="489">
        <v>4.0018999999999999E-2</v>
      </c>
      <c r="BG118" s="489">
        <v>4.0018999999999999E-2</v>
      </c>
      <c r="BH118" s="489">
        <v>4.0018999999999999E-2</v>
      </c>
      <c r="BI118" s="489">
        <v>4.0018999999999999E-2</v>
      </c>
      <c r="BJ118" s="489">
        <v>4.0018999999999999E-2</v>
      </c>
      <c r="BK118" s="489">
        <v>4.0018999999999999E-2</v>
      </c>
      <c r="BL118" s="489">
        <v>4.0018999999999999E-2</v>
      </c>
      <c r="BM118" s="489">
        <v>4.0018999999999999E-2</v>
      </c>
      <c r="BN118" s="489">
        <v>4.0018999999999999E-2</v>
      </c>
      <c r="BO118" s="489">
        <v>4.0018999999999999E-2</v>
      </c>
      <c r="BP118" s="489">
        <v>4.0018999999999999E-2</v>
      </c>
      <c r="BQ118" s="489">
        <v>4.0018999999999999E-2</v>
      </c>
      <c r="BR118" s="489">
        <v>4.0018999999999999E-2</v>
      </c>
      <c r="BS118" s="489">
        <v>4.0018999999999999E-2</v>
      </c>
      <c r="BT118" s="489">
        <v>4.0018999999999999E-2</v>
      </c>
      <c r="BU118" s="489">
        <v>4.0018999999999999E-2</v>
      </c>
      <c r="BV118" s="489">
        <v>4.0018999999999999E-2</v>
      </c>
      <c r="BW118" s="489">
        <v>4.0018999999999999E-2</v>
      </c>
      <c r="BX118" s="489">
        <v>4.0018999999999999E-2</v>
      </c>
      <c r="BY118" s="489">
        <v>4.0018999999999999E-2</v>
      </c>
      <c r="BZ118" s="489">
        <v>4.0018999999999999E-2</v>
      </c>
      <c r="CA118" s="489">
        <v>4.2019000000000001E-2</v>
      </c>
      <c r="CB118" s="489">
        <v>4.3719000000000001E-2</v>
      </c>
      <c r="CC118" s="489">
        <v>4.3719000000000001E-2</v>
      </c>
      <c r="CD118" s="489">
        <v>4.3719000000000001E-2</v>
      </c>
      <c r="CE118" s="489">
        <v>4.4318999999999997E-2</v>
      </c>
      <c r="CF118" s="489">
        <v>4.3618999999999998E-2</v>
      </c>
      <c r="CG118" s="489">
        <v>4.6219000000000003E-2</v>
      </c>
      <c r="CH118" s="489">
        <v>4.6219000000000003E-2</v>
      </c>
      <c r="CI118" s="489">
        <v>4.6419000000000002E-2</v>
      </c>
      <c r="CJ118" s="489">
        <v>4.6419000000000002E-2</v>
      </c>
      <c r="CK118" s="489">
        <v>4.7049000000000001E-2</v>
      </c>
      <c r="CL118" s="489">
        <v>4.7049000000000001E-2</v>
      </c>
      <c r="CM118" s="489">
        <v>4.7049000000000001E-2</v>
      </c>
      <c r="CN118" s="489">
        <v>4.7049000000000001E-2</v>
      </c>
      <c r="CO118" s="489">
        <v>4.7051999999999997E-2</v>
      </c>
      <c r="CP118" s="489">
        <v>4.6864999999999997E-2</v>
      </c>
      <c r="CQ118" s="489">
        <v>4.6982999999999997E-2</v>
      </c>
      <c r="CR118" s="489">
        <v>4.6819E-2</v>
      </c>
      <c r="CS118" s="489">
        <v>4.6788000000000003E-2</v>
      </c>
      <c r="CT118" s="489">
        <v>4.6131999999999999E-2</v>
      </c>
      <c r="CU118" s="489">
        <v>4.6131999999999999E-2</v>
      </c>
      <c r="CV118" s="489">
        <v>4.6131999999999999E-2</v>
      </c>
      <c r="CW118" s="489">
        <v>4.6131999999999999E-2</v>
      </c>
      <c r="CX118" s="489">
        <v>4.6131999999999999E-2</v>
      </c>
      <c r="CY118" s="489">
        <v>4.6131999999999999E-2</v>
      </c>
      <c r="CZ118" s="489">
        <v>4.6267000000000003E-2</v>
      </c>
      <c r="DA118" s="489">
        <v>4.6136999999999997E-2</v>
      </c>
      <c r="DB118" s="489">
        <v>4.6136999999999997E-2</v>
      </c>
      <c r="DC118" s="489" t="s">
        <v>124</v>
      </c>
      <c r="DD118" s="489" t="s">
        <v>124</v>
      </c>
      <c r="DE118" s="489">
        <v>4.5983999999999997E-2</v>
      </c>
      <c r="DF118" s="489">
        <v>4.5983999999999997E-2</v>
      </c>
      <c r="DG118" s="489">
        <v>4.5983999999999997E-2</v>
      </c>
      <c r="DH118" s="489">
        <v>4.5983999999999997E-2</v>
      </c>
      <c r="DI118" s="489">
        <v>4.5999999999999999E-2</v>
      </c>
      <c r="DJ118" s="489">
        <v>4.5934999999999997E-2</v>
      </c>
      <c r="DK118" s="489">
        <v>4.6051000000000002E-2</v>
      </c>
      <c r="DL118" s="489">
        <v>4.6427999999999997E-2</v>
      </c>
      <c r="DM118" s="489">
        <v>4.7592000000000002E-2</v>
      </c>
      <c r="DN118" s="489">
        <v>4.7738000000000003E-2</v>
      </c>
      <c r="DO118" s="489">
        <v>4.8571000000000003E-2</v>
      </c>
      <c r="DP118" s="489">
        <v>4.8652000000000001E-2</v>
      </c>
      <c r="DQ118" s="489">
        <v>4.8897999999999997E-2</v>
      </c>
      <c r="DR118" s="489">
        <v>4.8897999999999997E-2</v>
      </c>
      <c r="DS118" s="489">
        <v>4.8869999999999997E-2</v>
      </c>
      <c r="DT118" s="489">
        <v>4.8971000000000001E-2</v>
      </c>
      <c r="DU118" s="489">
        <v>4.9113999999999998E-2</v>
      </c>
      <c r="DV118" s="489">
        <v>4.9113999999999998E-2</v>
      </c>
      <c r="DW118" s="489">
        <v>4.8876999999999997E-2</v>
      </c>
      <c r="DX118" s="489">
        <v>4.8876999999999997E-2</v>
      </c>
      <c r="DY118" s="489">
        <v>4.9075000000000001E-2</v>
      </c>
      <c r="DZ118" s="489">
        <v>4.8083000000000001E-2</v>
      </c>
      <c r="EA118" s="489">
        <v>4.8083000000000001E-2</v>
      </c>
      <c r="EB118" s="489">
        <v>4.7900999999999999E-2</v>
      </c>
      <c r="EC118" s="489">
        <v>4.7893999999999999E-2</v>
      </c>
      <c r="ED118" s="489">
        <v>4.7459000000000001E-2</v>
      </c>
      <c r="EE118" s="489">
        <v>4.7268999999999999E-2</v>
      </c>
      <c r="EF118" s="489">
        <v>4.7196000000000002E-2</v>
      </c>
      <c r="EG118" s="489" t="s">
        <v>124</v>
      </c>
      <c r="EH118" s="489">
        <v>4.4359999999999997E-2</v>
      </c>
      <c r="EI118" s="489"/>
      <c r="EJ118" s="489"/>
      <c r="EK118" s="489"/>
      <c r="EL118" s="489"/>
      <c r="EM118" s="489"/>
      <c r="EN118" s="489"/>
      <c r="EO118" s="489"/>
      <c r="EP118" s="489"/>
      <c r="EQ118" s="489"/>
      <c r="ER118" s="489"/>
      <c r="ES118" s="489"/>
      <c r="ET118" s="489"/>
      <c r="EU118" s="489"/>
      <c r="EV118" s="489"/>
      <c r="EW118" s="489"/>
      <c r="EX118" s="489"/>
      <c r="EY118" s="489"/>
      <c r="EZ118" s="489"/>
      <c r="FA118" s="489"/>
      <c r="FB118" s="489"/>
      <c r="FC118" s="489"/>
      <c r="FD118" s="489"/>
      <c r="FE118" s="489"/>
      <c r="FF118" s="489"/>
      <c r="FG118" s="489"/>
      <c r="FH118" s="489"/>
      <c r="FI118" s="489"/>
      <c r="FJ118" s="489"/>
      <c r="FK118" s="489"/>
      <c r="FL118" s="489"/>
      <c r="FM118" s="489"/>
      <c r="FN118" s="489"/>
      <c r="FO118" s="489"/>
      <c r="FP118" s="489"/>
      <c r="FQ118" s="489"/>
      <c r="FR118" s="489"/>
      <c r="FS118" s="489"/>
      <c r="FT118" s="489"/>
      <c r="FU118" s="489"/>
      <c r="FV118" s="489"/>
      <c r="FW118" s="489"/>
      <c r="FX118" s="489">
        <v>4.4359999999999997E-2</v>
      </c>
      <c r="FY118" s="489">
        <v>4.4359999999999997E-2</v>
      </c>
      <c r="FZ118" s="489"/>
      <c r="GA118" s="489"/>
      <c r="GB118" s="489"/>
      <c r="GC118" s="489"/>
      <c r="GD118" s="489"/>
      <c r="GE118" s="489"/>
      <c r="GF118" s="489"/>
      <c r="GG118" s="489"/>
      <c r="GH118" s="489"/>
      <c r="GI118" s="489"/>
      <c r="GJ118" s="489"/>
      <c r="GK118" s="489"/>
      <c r="GL118" s="489"/>
      <c r="GM118" s="489"/>
      <c r="GN118" s="489"/>
      <c r="GO118" s="489"/>
      <c r="GP118" s="489"/>
      <c r="GQ118" s="489"/>
      <c r="GR118" s="489"/>
      <c r="GS118" s="489"/>
      <c r="GT118" s="489"/>
      <c r="GU118" s="489"/>
      <c r="GV118" s="489"/>
      <c r="GW118" s="489"/>
      <c r="GX118" s="489"/>
      <c r="GY118" s="489"/>
      <c r="GZ118" s="489"/>
      <c r="HA118" s="489"/>
      <c r="HB118" s="489"/>
      <c r="HC118" s="489"/>
      <c r="HD118" s="489"/>
      <c r="HE118" s="489"/>
      <c r="HF118" s="489"/>
      <c r="HG118" s="489"/>
      <c r="HH118" s="489"/>
      <c r="HI118" s="489"/>
      <c r="HJ118" s="489"/>
      <c r="HK118" s="489"/>
      <c r="HL118" s="489"/>
      <c r="HM118" s="489"/>
      <c r="HN118" s="489"/>
      <c r="HO118" s="489"/>
      <c r="HP118" s="473">
        <f t="shared" si="30"/>
        <v>0</v>
      </c>
      <c r="HQ118" s="511"/>
    </row>
    <row r="119" spans="1:225">
      <c r="B119" s="673" t="s">
        <v>44</v>
      </c>
      <c r="C119" s="735" t="s">
        <v>261</v>
      </c>
      <c r="D119" s="481">
        <v>3.2500000000000001E-2</v>
      </c>
      <c r="E119" s="481">
        <v>3.2500000000000001E-2</v>
      </c>
      <c r="F119" s="481">
        <v>3.2500000000000001E-2</v>
      </c>
      <c r="G119" s="481">
        <v>3.2500000000000001E-2</v>
      </c>
      <c r="H119" s="481">
        <v>3.2500000000000001E-2</v>
      </c>
      <c r="I119" s="481">
        <v>3.2500000000000001E-2</v>
      </c>
      <c r="J119" s="481">
        <v>3.2500000000000001E-2</v>
      </c>
      <c r="K119" s="481">
        <v>3.2500000000000001E-2</v>
      </c>
      <c r="L119" s="481">
        <v>3.2500000000000001E-2</v>
      </c>
      <c r="M119" s="481">
        <v>3.2500000000000001E-2</v>
      </c>
      <c r="N119" s="481">
        <v>3.2500000000000001E-2</v>
      </c>
      <c r="O119" s="480">
        <v>3.2500000000000001E-2</v>
      </c>
      <c r="P119" s="481">
        <v>3.5000000000000003E-2</v>
      </c>
      <c r="Q119" s="481">
        <v>3.5000000000000003E-2</v>
      </c>
      <c r="R119" s="481">
        <v>3.5000000000000003E-2</v>
      </c>
      <c r="S119" s="481">
        <v>3.5000000000000003E-2</v>
      </c>
      <c r="T119" s="481">
        <v>3.5000000000000003E-2</v>
      </c>
      <c r="U119" s="481">
        <v>3.5000000000000003E-2</v>
      </c>
      <c r="V119" s="481">
        <v>3.5000000000000003E-2</v>
      </c>
      <c r="W119" s="481">
        <v>3.5000000000000003E-2</v>
      </c>
      <c r="X119" s="481">
        <v>3.5000000000000003E-2</v>
      </c>
      <c r="Y119" s="481">
        <v>3.5000000000000003E-2</v>
      </c>
      <c r="Z119" s="481">
        <v>3.5000000000000003E-2</v>
      </c>
      <c r="AA119" s="481">
        <v>3.5000000000000003E-2</v>
      </c>
      <c r="AB119" s="481">
        <v>3.5000000000000003E-2</v>
      </c>
      <c r="AC119" s="481">
        <v>3.5000000000000003E-2</v>
      </c>
      <c r="AD119" s="481">
        <v>3.5000000000000003E-2</v>
      </c>
      <c r="AE119" s="481">
        <v>3.5000000000000003E-2</v>
      </c>
      <c r="AF119" s="481">
        <v>3.5000000000000003E-2</v>
      </c>
      <c r="AG119" s="481">
        <v>3.5000000000000003E-2</v>
      </c>
      <c r="AH119" s="481">
        <v>3.5000000000000003E-2</v>
      </c>
      <c r="AI119" s="481">
        <v>3.5000000000000003E-2</v>
      </c>
      <c r="AJ119" s="480">
        <v>3.5000000000000003E-2</v>
      </c>
      <c r="AK119" s="481">
        <v>0.04</v>
      </c>
      <c r="AL119" s="482">
        <v>0.04</v>
      </c>
      <c r="AM119" s="481">
        <v>0.04</v>
      </c>
      <c r="AN119" s="481">
        <v>0.04</v>
      </c>
      <c r="AO119" s="481">
        <v>0.04</v>
      </c>
      <c r="AP119" s="481">
        <v>0.04</v>
      </c>
      <c r="AQ119" s="481">
        <v>0.04</v>
      </c>
      <c r="AR119" s="481">
        <v>0.04</v>
      </c>
      <c r="AS119" s="481">
        <v>0.04</v>
      </c>
      <c r="AT119" s="481">
        <v>0.04</v>
      </c>
      <c r="AU119" s="481">
        <v>0.04</v>
      </c>
      <c r="AV119" s="480">
        <v>0.04</v>
      </c>
      <c r="AW119" s="482">
        <v>4.7500000000000001E-2</v>
      </c>
      <c r="AX119" s="482">
        <v>4.7500000000000001E-2</v>
      </c>
      <c r="AY119" s="482">
        <v>4.7500000000000001E-2</v>
      </c>
      <c r="AZ119" s="482">
        <v>4.7500000000000001E-2</v>
      </c>
      <c r="BA119" s="482">
        <v>4.7500000000000001E-2</v>
      </c>
      <c r="BB119" s="482">
        <v>4.7500000000000001E-2</v>
      </c>
      <c r="BC119" s="482">
        <v>4.7500000000000001E-2</v>
      </c>
      <c r="BD119" s="482">
        <v>4.7500000000000001E-2</v>
      </c>
      <c r="BE119" s="482">
        <v>4.7500000000000001E-2</v>
      </c>
      <c r="BF119" s="482">
        <v>4.7500000000000001E-2</v>
      </c>
      <c r="BG119" s="482">
        <v>4.7500000000000001E-2</v>
      </c>
      <c r="BH119" s="482">
        <v>4.7500000000000001E-2</v>
      </c>
      <c r="BI119" s="482">
        <v>4.7500000000000001E-2</v>
      </c>
      <c r="BJ119" s="482">
        <v>4.7500000000000001E-2</v>
      </c>
      <c r="BK119" s="482">
        <v>4.7500000000000001E-2</v>
      </c>
      <c r="BL119" s="482">
        <v>4.7500000000000001E-2</v>
      </c>
      <c r="BM119" s="482">
        <v>4.7500000000000001E-2</v>
      </c>
      <c r="BN119" s="482">
        <v>4.7500000000000001E-2</v>
      </c>
      <c r="BO119" s="482">
        <v>4.7500000000000001E-2</v>
      </c>
      <c r="BP119" s="482">
        <v>4.7500000000000001E-2</v>
      </c>
      <c r="BQ119" s="482">
        <v>4.7500000000000001E-2</v>
      </c>
      <c r="BR119" s="482">
        <v>4.7500000000000001E-2</v>
      </c>
      <c r="BS119" s="482">
        <v>4.7500000000000001E-2</v>
      </c>
      <c r="BT119" s="482">
        <v>4.7500000000000001E-2</v>
      </c>
      <c r="BU119" s="482">
        <v>4.7500000000000001E-2</v>
      </c>
      <c r="BV119" s="482">
        <v>4.7500000000000001E-2</v>
      </c>
      <c r="BW119" s="482">
        <v>4.7500000000000001E-2</v>
      </c>
      <c r="BX119" s="482">
        <v>4.7500000000000001E-2</v>
      </c>
      <c r="BY119" s="482">
        <v>4.7500000000000001E-2</v>
      </c>
      <c r="BZ119" s="482">
        <v>4.7500000000000001E-2</v>
      </c>
      <c r="CA119" s="482">
        <v>4.7500000000000001E-2</v>
      </c>
      <c r="CB119" s="482">
        <v>4.7500000000000001E-2</v>
      </c>
      <c r="CC119" s="482">
        <v>4.7500000000000001E-2</v>
      </c>
      <c r="CD119" s="482">
        <v>4.7500000000000001E-2</v>
      </c>
      <c r="CE119" s="482">
        <v>4.7500000000000001E-2</v>
      </c>
      <c r="CF119" s="482">
        <v>4.7500000000000001E-2</v>
      </c>
      <c r="CG119" s="482">
        <v>4.7500000000000001E-2</v>
      </c>
      <c r="CH119" s="482">
        <v>4.7500000000000001E-2</v>
      </c>
      <c r="CI119" s="482">
        <v>4.7500000000000001E-2</v>
      </c>
      <c r="CJ119" s="482">
        <v>4.7500000000000001E-2</v>
      </c>
      <c r="CK119" s="482">
        <v>1.7500000000000002E-2</v>
      </c>
      <c r="CL119" s="482">
        <v>1.7500000000000002E-2</v>
      </c>
      <c r="CM119" s="482">
        <v>1.7500000000000002E-2</v>
      </c>
      <c r="CN119" s="482">
        <v>5.3999999999999999E-2</v>
      </c>
      <c r="CO119" s="482">
        <v>5.3999999999999999E-2</v>
      </c>
      <c r="CP119" s="482">
        <v>5.3999999999999999E-2</v>
      </c>
      <c r="CQ119" s="482">
        <v>5.3999999999999999E-2</v>
      </c>
      <c r="CR119" s="482">
        <v>5.3999999999999999E-2</v>
      </c>
      <c r="CS119" s="482">
        <v>5.3999999999999999E-2</v>
      </c>
      <c r="CT119" s="482">
        <v>5.3999999999999999E-2</v>
      </c>
      <c r="CU119" s="482">
        <v>5.3999999999999999E-2</v>
      </c>
      <c r="CV119" s="482">
        <v>5.3999999999999999E-2</v>
      </c>
      <c r="CW119" s="482">
        <v>5.3999999999999999E-2</v>
      </c>
      <c r="CX119" s="482">
        <v>5.3999999999999999E-2</v>
      </c>
      <c r="CY119" s="482">
        <v>5.3999999999999999E-2</v>
      </c>
      <c r="CZ119" s="482">
        <v>4.7500000000000001E-2</v>
      </c>
      <c r="DA119" s="482">
        <v>4.7500000000000001E-2</v>
      </c>
      <c r="DB119" s="477">
        <v>5.3999999999999999E-2</v>
      </c>
      <c r="DC119" s="477">
        <v>5.3999999999999999E-2</v>
      </c>
      <c r="DD119" s="477">
        <v>5.3999999999999999E-2</v>
      </c>
      <c r="DE119" s="477">
        <v>5.3999999999999999E-2</v>
      </c>
      <c r="DF119" s="477">
        <v>5.3999999999999999E-2</v>
      </c>
      <c r="DG119" s="477">
        <v>5.3999999999999999E-2</v>
      </c>
      <c r="DH119" s="477">
        <v>4.7500000000000001E-2</v>
      </c>
      <c r="DI119" s="477">
        <v>4.7500000000000001E-2</v>
      </c>
      <c r="DJ119" s="477">
        <v>4.7500000000000001E-2</v>
      </c>
      <c r="DK119" s="477">
        <v>4.7500000000000001E-2</v>
      </c>
      <c r="DL119" s="477">
        <v>4.7500000000000001E-2</v>
      </c>
      <c r="DM119" s="477">
        <v>4.7500000000000001E-2</v>
      </c>
      <c r="DN119" s="477">
        <v>4.7500000000000001E-2</v>
      </c>
      <c r="DO119" s="477">
        <v>4.7500000000000001E-2</v>
      </c>
      <c r="DP119" s="477">
        <v>4.7500000000000001E-2</v>
      </c>
      <c r="DQ119" s="477">
        <v>4.7500000000000001E-2</v>
      </c>
      <c r="DR119" s="477">
        <v>4.7500000000000001E-2</v>
      </c>
      <c r="DS119" s="477">
        <v>4.7500000000000001E-2</v>
      </c>
      <c r="DT119" s="477">
        <v>4.7500000000000001E-2</v>
      </c>
      <c r="DU119" s="477">
        <v>4.7500000000000001E-2</v>
      </c>
      <c r="DV119" s="477">
        <v>4.7500000000000001E-2</v>
      </c>
      <c r="DW119" s="477">
        <v>4.7500000000000001E-2</v>
      </c>
      <c r="DX119" s="477">
        <v>4.7500000000000001E-2</v>
      </c>
      <c r="DY119" s="477">
        <v>4.7500000000000001E-2</v>
      </c>
      <c r="DZ119" s="477">
        <v>4.7500000000000001E-2</v>
      </c>
      <c r="EA119" s="477">
        <v>4.7500000000000001E-2</v>
      </c>
      <c r="EB119" s="477">
        <v>4.7500000000000001E-2</v>
      </c>
      <c r="EC119" s="477">
        <v>4.7500000000000001E-2</v>
      </c>
      <c r="ED119" s="477">
        <v>4.7500000000000001E-2</v>
      </c>
      <c r="EE119" s="477">
        <v>4.7500000000000001E-2</v>
      </c>
      <c r="EF119" s="477">
        <v>4.7500000000000001E-2</v>
      </c>
      <c r="EG119" s="477">
        <v>4.7500000000000001E-2</v>
      </c>
      <c r="EH119" s="477">
        <v>4.7500000000000001E-2</v>
      </c>
      <c r="EI119" s="477">
        <v>3.2500000000000001E-2</v>
      </c>
      <c r="EJ119" s="477">
        <v>2.5000000000000001E-2</v>
      </c>
      <c r="EK119" s="477">
        <v>2.5000000000000001E-2</v>
      </c>
      <c r="EL119" s="477">
        <v>2.5000000000000001E-2</v>
      </c>
      <c r="EM119" s="477">
        <v>2.5000000000000001E-2</v>
      </c>
      <c r="EN119" s="477">
        <v>0.04</v>
      </c>
      <c r="EO119" s="477">
        <v>0.04</v>
      </c>
      <c r="EP119" s="477">
        <v>0.04</v>
      </c>
      <c r="EQ119" s="477">
        <v>0.04</v>
      </c>
      <c r="ER119" s="477">
        <v>0.04</v>
      </c>
      <c r="ES119" s="477">
        <v>0.04</v>
      </c>
      <c r="ET119" s="477">
        <v>0.04</v>
      </c>
      <c r="EU119" s="477">
        <v>0.04</v>
      </c>
      <c r="EV119" s="477">
        <v>0.04</v>
      </c>
      <c r="EW119" s="477">
        <v>0.04</v>
      </c>
      <c r="EX119" s="477">
        <v>0.04</v>
      </c>
      <c r="EY119" s="477">
        <v>0.04</v>
      </c>
      <c r="EZ119" s="477">
        <v>0.04</v>
      </c>
      <c r="FA119" s="477">
        <v>0.04</v>
      </c>
      <c r="FB119" s="477">
        <v>0.04</v>
      </c>
      <c r="FC119" s="477">
        <v>0.04</v>
      </c>
      <c r="FD119" s="477">
        <v>0.04</v>
      </c>
      <c r="FE119" s="477">
        <v>0.04</v>
      </c>
      <c r="FF119" s="477">
        <v>0.04</v>
      </c>
      <c r="FG119" s="477">
        <v>0.04</v>
      </c>
      <c r="FH119" s="477">
        <v>0.04</v>
      </c>
      <c r="FI119" s="477">
        <v>0.04</v>
      </c>
      <c r="FJ119" s="477">
        <v>0.04</v>
      </c>
      <c r="FK119" s="477">
        <v>3.7499999999999999E-2</v>
      </c>
      <c r="FL119" s="477">
        <v>3.7499999999999999E-2</v>
      </c>
      <c r="FM119" s="477">
        <v>3.7499999999999999E-2</v>
      </c>
      <c r="FN119" s="477">
        <v>3.7499999999999999E-2</v>
      </c>
      <c r="FO119" s="477">
        <v>3.7499999999999999E-2</v>
      </c>
      <c r="FP119" s="477">
        <v>3.7499999999999999E-2</v>
      </c>
      <c r="FQ119" s="477">
        <v>3.2500000000000001E-2</v>
      </c>
      <c r="FR119" s="477">
        <v>3.2500000000000001E-2</v>
      </c>
      <c r="FS119" s="477">
        <v>3.2500000000000001E-2</v>
      </c>
      <c r="FT119" s="477">
        <v>3.2500000000000001E-2</v>
      </c>
      <c r="FU119" s="477">
        <v>3.2500000000000001E-2</v>
      </c>
      <c r="FV119" s="477">
        <v>0.04</v>
      </c>
      <c r="FW119" s="477">
        <v>0.04</v>
      </c>
      <c r="FX119" s="477">
        <v>0.04</v>
      </c>
      <c r="FY119" s="477">
        <v>0.04</v>
      </c>
      <c r="FZ119" s="477">
        <v>0.04</v>
      </c>
      <c r="GA119" s="477">
        <v>0.04</v>
      </c>
      <c r="GB119" s="477">
        <v>0.04</v>
      </c>
      <c r="GC119" s="477">
        <v>0.04</v>
      </c>
      <c r="GD119" s="482">
        <v>2.5000000000000001E-2</v>
      </c>
      <c r="GE119" s="482">
        <v>2.5000000000000001E-2</v>
      </c>
      <c r="GF119" s="482">
        <v>2.5000000000000001E-2</v>
      </c>
      <c r="GG119" s="482">
        <v>2.5000000000000001E-2</v>
      </c>
      <c r="GH119" s="482">
        <v>2.5000000000000001E-2</v>
      </c>
      <c r="GI119" s="482">
        <v>2.5000000000000001E-2</v>
      </c>
      <c r="GJ119" s="482">
        <v>2.5000000000000001E-2</v>
      </c>
      <c r="GK119" s="482">
        <v>2.5000000000000001E-2</v>
      </c>
      <c r="GL119" s="482">
        <v>2.5000000000000001E-2</v>
      </c>
      <c r="GM119" s="482">
        <v>2.5000000000000001E-2</v>
      </c>
      <c r="GN119" s="482">
        <v>2.5000000000000001E-2</v>
      </c>
      <c r="GO119" s="482">
        <v>2.5000000000000001E-2</v>
      </c>
      <c r="GP119" s="482">
        <v>2.5000000000000001E-2</v>
      </c>
      <c r="GQ119" s="482">
        <v>2.5000000000000001E-2</v>
      </c>
      <c r="GR119" s="482">
        <v>2.5000000000000001E-2</v>
      </c>
      <c r="GS119" s="482">
        <v>2.5000000000000001E-2</v>
      </c>
      <c r="GT119" s="482">
        <v>2.5000000000000001E-2</v>
      </c>
      <c r="GU119" s="482">
        <v>2.5000000000000001E-2</v>
      </c>
      <c r="GV119" s="482">
        <v>2.5000000000000001E-2</v>
      </c>
      <c r="GW119" s="482">
        <v>2.5000000000000001E-2</v>
      </c>
      <c r="GX119" s="482">
        <v>2.5000000000000001E-2</v>
      </c>
      <c r="GY119" s="482">
        <v>2.5000000000000001E-2</v>
      </c>
      <c r="GZ119" s="482">
        <v>2.5000000000000001E-2</v>
      </c>
      <c r="HA119" s="482">
        <v>2.5000000000000001E-2</v>
      </c>
      <c r="HB119" s="482">
        <v>2.5000000000000001E-2</v>
      </c>
      <c r="HC119" s="482">
        <v>2.5000000000000001E-2</v>
      </c>
      <c r="HD119" s="482">
        <v>2.5000000000000001E-2</v>
      </c>
      <c r="HE119" s="482">
        <v>2.5000000000000001E-2</v>
      </c>
      <c r="HF119" s="482">
        <v>2.5000000000000001E-2</v>
      </c>
      <c r="HG119" s="482">
        <v>2.5000000000000001E-2</v>
      </c>
      <c r="HH119" s="482">
        <v>2.5000000000000001E-2</v>
      </c>
      <c r="HI119" s="482">
        <v>2.5000000000000001E-2</v>
      </c>
      <c r="HJ119" s="482">
        <v>2.5000000000000001E-2</v>
      </c>
      <c r="HK119" s="482">
        <v>2.5000000000000001E-2</v>
      </c>
      <c r="HL119" s="482">
        <v>2.5000000000000001E-2</v>
      </c>
      <c r="HM119" s="482">
        <v>2.5000000000000001E-2</v>
      </c>
      <c r="HN119" s="482">
        <v>2.5000000000000001E-2</v>
      </c>
      <c r="HO119" s="482">
        <v>2.5000000000000001E-2</v>
      </c>
      <c r="HP119" s="473">
        <f t="shared" si="30"/>
        <v>0</v>
      </c>
      <c r="HQ119" s="511"/>
    </row>
    <row r="120" spans="1:225">
      <c r="C120" s="622"/>
      <c r="D120" s="622"/>
      <c r="E120" s="622"/>
      <c r="F120" s="622"/>
      <c r="G120" s="622"/>
      <c r="H120" s="622"/>
      <c r="I120" s="622"/>
      <c r="J120" s="622"/>
      <c r="K120" s="622"/>
      <c r="L120" s="622"/>
      <c r="M120" s="622"/>
      <c r="N120" s="622"/>
      <c r="O120" s="622"/>
      <c r="P120" s="622"/>
      <c r="Q120" s="622"/>
      <c r="R120" s="622"/>
      <c r="S120" s="622"/>
      <c r="T120" s="517"/>
      <c r="U120" s="517"/>
      <c r="V120" s="517"/>
      <c r="W120" s="518"/>
      <c r="X120" s="518"/>
      <c r="Y120" s="518"/>
      <c r="Z120" s="518"/>
      <c r="AA120" s="518"/>
      <c r="AB120" s="518"/>
      <c r="AC120" s="518"/>
      <c r="AD120" s="518"/>
      <c r="AE120" s="518"/>
      <c r="AF120" s="518"/>
      <c r="AG120" s="518"/>
      <c r="AH120" s="518"/>
      <c r="AI120" s="518"/>
      <c r="AJ120" s="518"/>
      <c r="AK120" s="518"/>
      <c r="AL120" s="519"/>
      <c r="AM120" s="518"/>
      <c r="AN120" s="518"/>
      <c r="AO120" s="518"/>
      <c r="AP120" s="518"/>
      <c r="AQ120" s="518"/>
      <c r="AR120" s="518"/>
      <c r="AS120" s="518"/>
      <c r="AT120" s="518"/>
      <c r="AU120" s="518"/>
      <c r="AV120" s="519"/>
      <c r="AW120" s="519"/>
      <c r="AX120" s="519"/>
      <c r="AY120" s="519"/>
      <c r="AZ120" s="519"/>
      <c r="BA120" s="519"/>
      <c r="BB120" s="519"/>
      <c r="BC120" s="519"/>
      <c r="BD120" s="519"/>
      <c r="BE120" s="519"/>
      <c r="BF120" s="519"/>
      <c r="BG120" s="519"/>
      <c r="BH120" s="519"/>
      <c r="BI120" s="519"/>
      <c r="BJ120" s="519"/>
      <c r="BK120" s="519"/>
      <c r="BL120" s="519"/>
      <c r="BM120" s="519"/>
      <c r="BN120" s="519"/>
      <c r="BO120" s="519"/>
      <c r="BP120" s="519"/>
      <c r="BQ120" s="519"/>
      <c r="BR120" s="519"/>
      <c r="BS120" s="519"/>
      <c r="BT120" s="519"/>
      <c r="BU120" s="519"/>
      <c r="BV120" s="519"/>
      <c r="BW120" s="519"/>
      <c r="BX120" s="519"/>
      <c r="BY120" s="519"/>
      <c r="BZ120" s="519"/>
      <c r="CA120" s="519"/>
      <c r="CB120" s="519"/>
      <c r="CC120" s="519"/>
      <c r="CD120" s="519"/>
      <c r="CE120" s="519"/>
      <c r="CF120" s="519"/>
      <c r="CG120" s="519"/>
      <c r="CH120" s="519"/>
      <c r="CI120" s="519"/>
      <c r="CJ120" s="519"/>
      <c r="CK120" s="519"/>
      <c r="CL120" s="519"/>
      <c r="CM120" s="519"/>
      <c r="CN120" s="519"/>
      <c r="CO120" s="519"/>
      <c r="CP120" s="519"/>
      <c r="CQ120" s="519"/>
      <c r="CR120" s="519"/>
      <c r="CS120" s="519"/>
      <c r="CT120" s="519"/>
      <c r="CU120" s="519"/>
      <c r="CV120" s="519"/>
      <c r="CW120" s="519"/>
      <c r="CX120" s="519"/>
      <c r="CY120" s="519"/>
      <c r="CZ120" s="519"/>
      <c r="DA120" s="519"/>
      <c r="DB120" s="519"/>
      <c r="DC120" s="519"/>
      <c r="DD120" s="519"/>
      <c r="DE120" s="519"/>
      <c r="DF120" s="519"/>
      <c r="DG120" s="519"/>
      <c r="DH120" s="519"/>
      <c r="DI120" s="519"/>
      <c r="DJ120" s="519"/>
      <c r="DK120" s="519"/>
      <c r="DL120" s="519"/>
      <c r="DM120" s="519"/>
      <c r="DN120" s="519"/>
      <c r="DO120" s="519"/>
      <c r="DP120" s="519"/>
      <c r="DQ120" s="519"/>
      <c r="DR120" s="519"/>
      <c r="DS120" s="519"/>
      <c r="DT120" s="519"/>
      <c r="DU120" s="519"/>
      <c r="DV120" s="519"/>
      <c r="DW120" s="519"/>
      <c r="DX120" s="519"/>
      <c r="DY120" s="519"/>
      <c r="DZ120" s="519"/>
      <c r="EA120" s="519"/>
      <c r="EB120" s="519"/>
      <c r="EC120" s="519"/>
      <c r="ED120" s="519"/>
      <c r="EE120" s="519"/>
      <c r="EF120" s="519"/>
      <c r="EG120" s="519"/>
      <c r="EH120" s="519"/>
      <c r="EI120" s="519"/>
      <c r="EJ120" s="519"/>
      <c r="EK120" s="519"/>
      <c r="EL120" s="519"/>
      <c r="EM120" s="519"/>
      <c r="EN120" s="519"/>
      <c r="EO120" s="519"/>
      <c r="EP120" s="519"/>
      <c r="EQ120" s="519"/>
      <c r="ER120" s="519"/>
      <c r="ES120" s="519"/>
      <c r="ET120" s="519"/>
      <c r="EU120" s="519"/>
      <c r="EV120" s="519"/>
      <c r="EW120" s="519"/>
      <c r="EX120" s="519"/>
      <c r="EY120" s="519"/>
      <c r="EZ120" s="519"/>
      <c r="FA120" s="519"/>
      <c r="FB120" s="519"/>
      <c r="FC120" s="519"/>
      <c r="FD120" s="519"/>
      <c r="FE120" s="519"/>
      <c r="FF120" s="519"/>
      <c r="FG120" s="519"/>
      <c r="FH120" s="519"/>
      <c r="FI120" s="519"/>
      <c r="FJ120" s="519"/>
      <c r="FK120" s="519"/>
      <c r="FL120" s="519"/>
      <c r="FM120" s="519"/>
      <c r="FN120" s="519"/>
      <c r="FO120" s="519"/>
      <c r="FP120" s="519"/>
      <c r="FQ120" s="519"/>
      <c r="FR120" s="519"/>
      <c r="FS120" s="519"/>
      <c r="FT120" s="519"/>
      <c r="FU120" s="519"/>
      <c r="FV120" s="519"/>
      <c r="FW120" s="519"/>
      <c r="FX120" s="519"/>
      <c r="FY120" s="519"/>
      <c r="FZ120" s="519"/>
      <c r="GA120" s="519"/>
      <c r="GB120" s="519"/>
      <c r="GC120" s="519"/>
      <c r="GD120" s="519"/>
      <c r="GE120" s="519"/>
      <c r="GF120" s="519"/>
      <c r="GG120" s="519"/>
      <c r="GH120" s="519"/>
      <c r="GI120" s="519"/>
      <c r="GJ120" s="519"/>
      <c r="GK120" s="519"/>
      <c r="GL120" s="519"/>
      <c r="GM120" s="519"/>
      <c r="GN120" s="519"/>
      <c r="GO120" s="519"/>
      <c r="GP120" s="519"/>
      <c r="GQ120" s="519"/>
      <c r="GR120" s="519"/>
      <c r="GS120" s="519"/>
      <c r="GT120" s="519"/>
      <c r="GU120" s="519"/>
      <c r="GV120" s="519"/>
      <c r="GW120" s="519"/>
      <c r="GX120" s="519"/>
      <c r="GY120" s="519"/>
      <c r="GZ120" s="519"/>
      <c r="HA120" s="519"/>
      <c r="HB120" s="519"/>
      <c r="HC120" s="519"/>
      <c r="HD120" s="519"/>
      <c r="HE120" s="519"/>
      <c r="HF120" s="519"/>
      <c r="HG120" s="519"/>
      <c r="HH120" s="519"/>
      <c r="HI120" s="519"/>
      <c r="HJ120" s="519"/>
      <c r="HK120" s="519"/>
      <c r="HL120" s="519"/>
      <c r="HM120" s="519"/>
      <c r="HN120" s="519"/>
      <c r="HO120" s="519"/>
      <c r="HP120" s="520"/>
      <c r="HQ120" s="532"/>
    </row>
    <row r="121" spans="1:225">
      <c r="B121" s="1131" t="s">
        <v>210</v>
      </c>
      <c r="C121" s="1131"/>
      <c r="D121" s="1131"/>
      <c r="E121" s="1131"/>
      <c r="F121" s="1131"/>
      <c r="G121" s="1131"/>
      <c r="H121" s="1131"/>
      <c r="I121" s="1131"/>
      <c r="J121" s="1131"/>
      <c r="K121" s="1131"/>
      <c r="L121" s="1131"/>
      <c r="M121" s="1131"/>
      <c r="N121" s="1131"/>
      <c r="O121" s="1131"/>
      <c r="P121" s="1131"/>
      <c r="Q121" s="1131"/>
      <c r="R121" s="1131"/>
      <c r="S121" s="1131"/>
      <c r="T121" s="1131"/>
      <c r="U121" s="1131"/>
      <c r="V121" s="1131"/>
      <c r="W121" s="1131"/>
      <c r="X121" s="1131"/>
      <c r="Y121" s="1131"/>
      <c r="Z121" s="1131"/>
      <c r="AA121" s="1131"/>
      <c r="AB121" s="1131"/>
      <c r="AC121" s="1131"/>
      <c r="AD121" s="1131"/>
      <c r="AE121" s="1131"/>
      <c r="AF121" s="1131"/>
      <c r="AG121" s="1131"/>
      <c r="AH121" s="1131"/>
      <c r="AI121" s="1131"/>
      <c r="AJ121" s="1131"/>
      <c r="AK121" s="1131"/>
      <c r="AL121" s="1131"/>
      <c r="AM121" s="1131"/>
      <c r="AN121" s="1131"/>
      <c r="AO121" s="1131"/>
      <c r="AP121" s="1131"/>
      <c r="AQ121" s="1131"/>
      <c r="AR121" s="1131"/>
      <c r="AS121" s="1131"/>
      <c r="AT121" s="1131"/>
      <c r="AU121" s="1131"/>
      <c r="AV121" s="1131"/>
      <c r="AW121" s="1131"/>
      <c r="AX121" s="1131"/>
      <c r="AY121" s="1131"/>
      <c r="AZ121" s="1131"/>
      <c r="BA121" s="1131"/>
      <c r="BB121" s="1131"/>
      <c r="BC121" s="1131"/>
      <c r="BD121" s="1131"/>
      <c r="BE121" s="1131"/>
      <c r="BF121" s="1131"/>
      <c r="BG121" s="1131"/>
      <c r="BH121" s="1131"/>
      <c r="BI121" s="1131"/>
      <c r="BJ121" s="1131"/>
      <c r="BK121" s="1131"/>
      <c r="BL121" s="1131"/>
      <c r="BM121" s="1131"/>
      <c r="BN121" s="1131"/>
      <c r="BO121" s="1131"/>
      <c r="BP121" s="1131"/>
      <c r="BQ121" s="1131"/>
      <c r="BR121" s="1131"/>
      <c r="BS121" s="1131"/>
      <c r="BT121" s="1131"/>
      <c r="BU121" s="1131"/>
      <c r="BV121" s="1131"/>
      <c r="BW121" s="1131"/>
      <c r="BX121" s="1131"/>
      <c r="BY121" s="1131"/>
      <c r="BZ121" s="1131"/>
      <c r="CA121" s="1131"/>
      <c r="CB121" s="1131"/>
      <c r="CC121" s="1131"/>
      <c r="CD121" s="1131"/>
      <c r="CE121" s="1131"/>
      <c r="CF121" s="1131"/>
      <c r="CG121" s="1131"/>
      <c r="CH121" s="1131"/>
      <c r="CI121" s="1131"/>
      <c r="CJ121" s="1131"/>
      <c r="CK121" s="1131"/>
      <c r="CL121" s="1131"/>
      <c r="CM121" s="1131"/>
      <c r="CN121" s="1131"/>
      <c r="CO121" s="1131"/>
      <c r="CP121" s="1131"/>
      <c r="CQ121" s="1131"/>
      <c r="CR121" s="1131"/>
      <c r="CS121" s="1131"/>
      <c r="CT121" s="1131"/>
      <c r="CU121" s="1131"/>
      <c r="CV121" s="1131"/>
      <c r="CW121" s="1131"/>
      <c r="CX121" s="1131"/>
      <c r="CY121" s="1131"/>
      <c r="CZ121" s="1131"/>
      <c r="DA121" s="1131"/>
      <c r="DB121" s="1131"/>
      <c r="DC121" s="1131"/>
      <c r="DD121" s="1131"/>
      <c r="DE121" s="1131"/>
      <c r="DF121" s="1131"/>
      <c r="DG121" s="1131"/>
      <c r="DH121" s="1131"/>
      <c r="DI121" s="1131"/>
      <c r="DJ121" s="1131"/>
      <c r="DK121" s="1131"/>
      <c r="DL121" s="1131"/>
      <c r="DM121" s="1131"/>
      <c r="DN121" s="1131"/>
      <c r="DO121" s="1131"/>
      <c r="DP121" s="1131"/>
      <c r="DQ121" s="1131"/>
      <c r="DR121" s="1131"/>
      <c r="DS121" s="1131"/>
      <c r="DT121" s="1131"/>
      <c r="DU121" s="1131"/>
      <c r="DV121" s="1131"/>
      <c r="DW121" s="1131"/>
      <c r="DX121" s="1131"/>
      <c r="DY121" s="1131"/>
      <c r="DZ121" s="1131"/>
      <c r="EA121" s="1131"/>
      <c r="EB121" s="1131"/>
      <c r="EC121" s="1131"/>
      <c r="ED121" s="1131"/>
      <c r="EE121" s="1131"/>
      <c r="EF121" s="1131"/>
      <c r="EG121" s="1131"/>
      <c r="EH121" s="1131"/>
      <c r="EI121" s="1131"/>
      <c r="EJ121" s="1131"/>
      <c r="EK121" s="1131"/>
      <c r="EL121" s="1131"/>
      <c r="EM121" s="1131"/>
      <c r="EN121" s="1131"/>
      <c r="EO121" s="1131"/>
      <c r="EP121" s="1131"/>
      <c r="EQ121" s="1131"/>
      <c r="ER121" s="1131"/>
      <c r="ES121" s="1131"/>
      <c r="ET121" s="1131"/>
      <c r="EU121" s="1131"/>
      <c r="EV121" s="1131"/>
      <c r="EW121" s="1131"/>
      <c r="EX121" s="1131"/>
      <c r="EY121" s="1131"/>
      <c r="EZ121" s="1131"/>
      <c r="FA121" s="1131"/>
      <c r="FB121" s="1131"/>
      <c r="FC121" s="1131"/>
      <c r="FD121" s="1131"/>
      <c r="FE121" s="1131"/>
      <c r="FF121" s="1131"/>
      <c r="FG121" s="1131"/>
      <c r="FH121" s="1131"/>
      <c r="FI121" s="1131"/>
      <c r="FJ121" s="1131"/>
      <c r="FK121" s="1131"/>
      <c r="FL121" s="1131"/>
      <c r="FM121" s="1131"/>
      <c r="FN121" s="1131"/>
      <c r="FO121" s="1131"/>
      <c r="FP121" s="1131"/>
      <c r="FQ121" s="1131"/>
      <c r="FR121" s="1131"/>
      <c r="FS121" s="1131"/>
      <c r="FT121" s="1131"/>
      <c r="FU121" s="1131"/>
      <c r="FV121" s="1131"/>
      <c r="FW121" s="1131"/>
      <c r="FX121" s="1131"/>
      <c r="FY121" s="1131"/>
      <c r="FZ121" s="1131"/>
      <c r="GA121" s="1131"/>
      <c r="GB121" s="1131"/>
      <c r="GC121" s="1131"/>
      <c r="GD121" s="1131"/>
      <c r="GE121" s="1131"/>
      <c r="GF121" s="1131"/>
      <c r="GG121" s="1131"/>
      <c r="GH121" s="1131"/>
      <c r="GI121" s="1131"/>
      <c r="GJ121" s="1131"/>
      <c r="GK121" s="1131"/>
      <c r="GL121" s="1131"/>
      <c r="GM121" s="1131"/>
      <c r="GN121" s="1131"/>
      <c r="GO121" s="1131"/>
      <c r="GP121" s="1131"/>
      <c r="GQ121" s="1131"/>
      <c r="GR121" s="1131"/>
      <c r="GS121" s="1131"/>
      <c r="GT121" s="1131"/>
      <c r="GU121" s="1131"/>
      <c r="GV121" s="1131" t="s">
        <v>225</v>
      </c>
      <c r="GW121" s="1131"/>
      <c r="GX121" s="1131"/>
      <c r="GY121" s="1131"/>
      <c r="GZ121" s="1131"/>
      <c r="HA121" s="1131"/>
      <c r="HB121" s="1131"/>
      <c r="HC121" s="1131"/>
      <c r="HD121" s="1131"/>
      <c r="HE121" s="1131"/>
      <c r="HF121" s="1131"/>
      <c r="HG121" s="1131"/>
      <c r="HH121" s="1131"/>
      <c r="HI121" s="1131"/>
      <c r="HJ121" s="1131"/>
      <c r="HK121" s="1131"/>
      <c r="HL121" s="1131"/>
      <c r="HM121" s="1131"/>
      <c r="HN121" s="1131"/>
      <c r="HO121" s="1131"/>
      <c r="HP121" s="1131"/>
      <c r="HQ121" s="1131"/>
    </row>
    <row r="122" spans="1:225">
      <c r="B122" s="464" t="s">
        <v>121</v>
      </c>
      <c r="C122" s="464" t="s">
        <v>120</v>
      </c>
      <c r="D122" s="465">
        <f t="shared" ref="D122:F122" si="40">D3</f>
        <v>46099</v>
      </c>
      <c r="E122" s="465">
        <f t="shared" ref="E122" si="41">E3</f>
        <v>46092</v>
      </c>
      <c r="F122" s="465">
        <f t="shared" si="40"/>
        <v>46085</v>
      </c>
      <c r="G122" s="465">
        <f t="shared" ref="G122:O122" si="42">G3</f>
        <v>46078</v>
      </c>
      <c r="H122" s="465">
        <f t="shared" ref="H122" si="43">H3</f>
        <v>46071</v>
      </c>
      <c r="I122" s="465">
        <f>I3</f>
        <v>46057</v>
      </c>
      <c r="J122" s="465">
        <f t="shared" si="42"/>
        <v>46050</v>
      </c>
      <c r="K122" s="465">
        <f t="shared" si="42"/>
        <v>46043</v>
      </c>
      <c r="L122" s="465">
        <f t="shared" si="42"/>
        <v>46036</v>
      </c>
      <c r="M122" s="465">
        <f t="shared" si="42"/>
        <v>46029</v>
      </c>
      <c r="N122" s="465">
        <f t="shared" si="42"/>
        <v>46022</v>
      </c>
      <c r="O122" s="465">
        <f t="shared" si="42"/>
        <v>46015</v>
      </c>
      <c r="P122" s="465">
        <f t="shared" ref="P122:V122" si="44">P3</f>
        <v>46008</v>
      </c>
      <c r="Q122" s="465">
        <f>Q3</f>
        <v>46001</v>
      </c>
      <c r="R122" s="465">
        <f t="shared" si="44"/>
        <v>45994</v>
      </c>
      <c r="S122" s="465">
        <f t="shared" si="44"/>
        <v>45987</v>
      </c>
      <c r="T122" s="465">
        <f t="shared" si="44"/>
        <v>45980</v>
      </c>
      <c r="U122" s="465">
        <f t="shared" si="44"/>
        <v>45973</v>
      </c>
      <c r="V122" s="465">
        <f t="shared" si="44"/>
        <v>45966</v>
      </c>
      <c r="W122" s="465">
        <f t="shared" ref="W122:AF122" si="45">W3</f>
        <v>45959</v>
      </c>
      <c r="X122" s="465">
        <f>X3</f>
        <v>45952</v>
      </c>
      <c r="Y122" s="465">
        <f>Y3</f>
        <v>45945</v>
      </c>
      <c r="Z122" s="465">
        <f>Z3</f>
        <v>45938</v>
      </c>
      <c r="AA122" s="465">
        <f>AA3</f>
        <v>45931</v>
      </c>
      <c r="AB122" s="465">
        <f t="shared" si="45"/>
        <v>45924</v>
      </c>
      <c r="AC122" s="465">
        <f t="shared" si="45"/>
        <v>45917</v>
      </c>
      <c r="AD122" s="465">
        <f t="shared" si="45"/>
        <v>45910</v>
      </c>
      <c r="AE122" s="465">
        <f t="shared" si="45"/>
        <v>45903</v>
      </c>
      <c r="AF122" s="465">
        <f t="shared" si="45"/>
        <v>45896</v>
      </c>
      <c r="AG122" s="465">
        <f t="shared" ref="AG122:CR122" si="46">AG3</f>
        <v>45889</v>
      </c>
      <c r="AH122" s="465">
        <f t="shared" si="46"/>
        <v>45882</v>
      </c>
      <c r="AI122" s="465">
        <f t="shared" si="46"/>
        <v>45875</v>
      </c>
      <c r="AJ122" s="465">
        <f t="shared" si="46"/>
        <v>45868</v>
      </c>
      <c r="AK122" s="465">
        <f t="shared" si="46"/>
        <v>45861</v>
      </c>
      <c r="AL122" s="465">
        <f t="shared" si="46"/>
        <v>45854</v>
      </c>
      <c r="AM122" s="465">
        <f t="shared" si="46"/>
        <v>45847</v>
      </c>
      <c r="AN122" s="465">
        <f t="shared" si="46"/>
        <v>45840</v>
      </c>
      <c r="AO122" s="465">
        <f t="shared" si="46"/>
        <v>45833</v>
      </c>
      <c r="AP122" s="465">
        <f t="shared" si="46"/>
        <v>45826</v>
      </c>
      <c r="AQ122" s="465">
        <f t="shared" si="46"/>
        <v>45819</v>
      </c>
      <c r="AR122" s="465">
        <f t="shared" si="46"/>
        <v>45812</v>
      </c>
      <c r="AS122" s="465">
        <f t="shared" si="46"/>
        <v>45805</v>
      </c>
      <c r="AT122" s="465">
        <f t="shared" si="46"/>
        <v>45798</v>
      </c>
      <c r="AU122" s="465">
        <f t="shared" si="46"/>
        <v>45792</v>
      </c>
      <c r="AV122" s="465">
        <f t="shared" si="46"/>
        <v>38480</v>
      </c>
      <c r="AW122" s="465">
        <f t="shared" si="46"/>
        <v>45777</v>
      </c>
      <c r="AX122" s="465">
        <f t="shared" si="46"/>
        <v>45757</v>
      </c>
      <c r="AY122" s="465">
        <f t="shared" si="46"/>
        <v>45750</v>
      </c>
      <c r="AZ122" s="465">
        <f t="shared" si="46"/>
        <v>45742</v>
      </c>
      <c r="BA122" s="465">
        <f t="shared" si="46"/>
        <v>45736</v>
      </c>
      <c r="BB122" s="465">
        <f t="shared" si="46"/>
        <v>45729</v>
      </c>
      <c r="BC122" s="465">
        <f t="shared" si="46"/>
        <v>45722</v>
      </c>
      <c r="BD122" s="465">
        <f t="shared" si="46"/>
        <v>45715</v>
      </c>
      <c r="BE122" s="465">
        <f t="shared" si="46"/>
        <v>45708</v>
      </c>
      <c r="BF122" s="465">
        <f t="shared" si="46"/>
        <v>45701</v>
      </c>
      <c r="BG122" s="465">
        <f t="shared" si="46"/>
        <v>46092</v>
      </c>
      <c r="BH122" s="465">
        <f t="shared" si="46"/>
        <v>45688</v>
      </c>
      <c r="BI122" s="465">
        <f t="shared" si="46"/>
        <v>45681</v>
      </c>
      <c r="BJ122" s="465">
        <f t="shared" si="46"/>
        <v>45673</v>
      </c>
      <c r="BK122" s="465">
        <f t="shared" si="46"/>
        <v>45666</v>
      </c>
      <c r="BL122" s="465">
        <f t="shared" si="46"/>
        <v>45659</v>
      </c>
      <c r="BM122" s="465">
        <f t="shared" si="46"/>
        <v>45652</v>
      </c>
      <c r="BN122" s="465">
        <f t="shared" si="46"/>
        <v>45645</v>
      </c>
      <c r="BO122" s="465">
        <f t="shared" si="46"/>
        <v>45638</v>
      </c>
      <c r="BP122" s="465">
        <f t="shared" si="46"/>
        <v>45631</v>
      </c>
      <c r="BQ122" s="465">
        <f t="shared" si="46"/>
        <v>45625</v>
      </c>
      <c r="BR122" s="465">
        <f t="shared" si="46"/>
        <v>45617</v>
      </c>
      <c r="BS122" s="465">
        <f t="shared" si="46"/>
        <v>45610</v>
      </c>
      <c r="BT122" s="465">
        <f t="shared" si="46"/>
        <v>45603</v>
      </c>
      <c r="BU122" s="465">
        <f t="shared" si="46"/>
        <v>45595</v>
      </c>
      <c r="BV122" s="465">
        <f t="shared" si="46"/>
        <v>45591</v>
      </c>
      <c r="BW122" s="465">
        <f t="shared" si="46"/>
        <v>45582</v>
      </c>
      <c r="BX122" s="465">
        <f t="shared" si="46"/>
        <v>45575</v>
      </c>
      <c r="BY122" s="465">
        <f t="shared" si="46"/>
        <v>45568</v>
      </c>
      <c r="BZ122" s="465">
        <f t="shared" si="46"/>
        <v>45561</v>
      </c>
      <c r="CA122" s="465">
        <f t="shared" si="46"/>
        <v>45554</v>
      </c>
      <c r="CB122" s="465">
        <f t="shared" si="46"/>
        <v>45547</v>
      </c>
      <c r="CC122" s="465">
        <f t="shared" si="46"/>
        <v>45540</v>
      </c>
      <c r="CD122" s="465">
        <f t="shared" si="46"/>
        <v>45533</v>
      </c>
      <c r="CE122" s="465">
        <f t="shared" si="46"/>
        <v>45526</v>
      </c>
      <c r="CF122" s="465">
        <f t="shared" si="46"/>
        <v>45517</v>
      </c>
      <c r="CG122" s="465">
        <f t="shared" si="46"/>
        <v>45511</v>
      </c>
      <c r="CH122" s="465">
        <f t="shared" si="46"/>
        <v>45505</v>
      </c>
      <c r="CI122" s="465">
        <f t="shared" si="46"/>
        <v>45498</v>
      </c>
      <c r="CJ122" s="465">
        <f t="shared" si="46"/>
        <v>45492</v>
      </c>
      <c r="CK122" s="465">
        <f t="shared" si="46"/>
        <v>45484</v>
      </c>
      <c r="CL122" s="465">
        <f t="shared" si="46"/>
        <v>45477</v>
      </c>
      <c r="CM122" s="465">
        <f t="shared" si="46"/>
        <v>45470</v>
      </c>
      <c r="CN122" s="465">
        <f t="shared" si="46"/>
        <v>45463</v>
      </c>
      <c r="CO122" s="465">
        <f t="shared" si="46"/>
        <v>45456</v>
      </c>
      <c r="CP122" s="465">
        <f t="shared" si="46"/>
        <v>45449</v>
      </c>
      <c r="CQ122" s="465">
        <f t="shared" si="46"/>
        <v>45442</v>
      </c>
      <c r="CR122" s="465">
        <f t="shared" si="46"/>
        <v>45435</v>
      </c>
      <c r="CS122" s="465">
        <f t="shared" ref="CS122:FD122" si="47">CS3</f>
        <v>45428</v>
      </c>
      <c r="CT122" s="465">
        <f t="shared" si="47"/>
        <v>45421</v>
      </c>
      <c r="CU122" s="465">
        <f t="shared" si="47"/>
        <v>45414</v>
      </c>
      <c r="CV122" s="465">
        <f t="shared" si="47"/>
        <v>45407</v>
      </c>
      <c r="CW122" s="465">
        <f t="shared" si="47"/>
        <v>45400</v>
      </c>
      <c r="CX122" s="465">
        <f t="shared" si="47"/>
        <v>45393</v>
      </c>
      <c r="CY122" s="465">
        <f t="shared" si="47"/>
        <v>45386</v>
      </c>
      <c r="CZ122" s="465">
        <f t="shared" si="47"/>
        <v>45378</v>
      </c>
      <c r="DA122" s="465">
        <f t="shared" si="47"/>
        <v>45372</v>
      </c>
      <c r="DB122" s="465">
        <f t="shared" si="47"/>
        <v>45365</v>
      </c>
      <c r="DC122" s="465">
        <f t="shared" si="47"/>
        <v>45358</v>
      </c>
      <c r="DD122" s="465">
        <f t="shared" si="47"/>
        <v>45351</v>
      </c>
      <c r="DE122" s="465">
        <f t="shared" si="47"/>
        <v>45343</v>
      </c>
      <c r="DF122" s="465">
        <f t="shared" si="47"/>
        <v>45336</v>
      </c>
      <c r="DG122" s="465">
        <f t="shared" si="47"/>
        <v>45329</v>
      </c>
      <c r="DH122" s="465">
        <f t="shared" si="47"/>
        <v>45323</v>
      </c>
      <c r="DI122" s="465">
        <f t="shared" si="47"/>
        <v>45316</v>
      </c>
      <c r="DJ122" s="465">
        <f t="shared" si="47"/>
        <v>45309</v>
      </c>
      <c r="DK122" s="465">
        <f t="shared" si="47"/>
        <v>45302</v>
      </c>
      <c r="DL122" s="465">
        <f t="shared" si="47"/>
        <v>45295</v>
      </c>
      <c r="DM122" s="465">
        <f t="shared" si="47"/>
        <v>45288</v>
      </c>
      <c r="DN122" s="465">
        <f t="shared" si="47"/>
        <v>45281</v>
      </c>
      <c r="DO122" s="465">
        <f t="shared" si="47"/>
        <v>45274</v>
      </c>
      <c r="DP122" s="465">
        <f t="shared" si="47"/>
        <v>45267</v>
      </c>
      <c r="DQ122" s="465">
        <f t="shared" si="47"/>
        <v>45260</v>
      </c>
      <c r="DR122" s="465">
        <f t="shared" si="47"/>
        <v>45253</v>
      </c>
      <c r="DS122" s="465">
        <f t="shared" si="47"/>
        <v>45246</v>
      </c>
      <c r="DT122" s="465">
        <f t="shared" si="47"/>
        <v>45239</v>
      </c>
      <c r="DU122" s="465">
        <f t="shared" si="47"/>
        <v>45232</v>
      </c>
      <c r="DV122" s="465">
        <f t="shared" si="47"/>
        <v>45225</v>
      </c>
      <c r="DW122" s="465">
        <f t="shared" si="47"/>
        <v>45218</v>
      </c>
      <c r="DX122" s="465">
        <f t="shared" si="47"/>
        <v>45211</v>
      </c>
      <c r="DY122" s="465">
        <f t="shared" si="47"/>
        <v>45197</v>
      </c>
      <c r="DZ122" s="465">
        <f t="shared" si="47"/>
        <v>45190</v>
      </c>
      <c r="EA122" s="465">
        <f t="shared" si="47"/>
        <v>45183</v>
      </c>
      <c r="EB122" s="465">
        <f t="shared" si="47"/>
        <v>45176</v>
      </c>
      <c r="EC122" s="465">
        <f t="shared" si="47"/>
        <v>45168</v>
      </c>
      <c r="ED122" s="465">
        <f t="shared" si="47"/>
        <v>45162</v>
      </c>
      <c r="EE122" s="465">
        <f t="shared" si="47"/>
        <v>45155</v>
      </c>
      <c r="EF122" s="465">
        <f t="shared" si="47"/>
        <v>45148</v>
      </c>
      <c r="EG122" s="465">
        <f t="shared" si="47"/>
        <v>45141</v>
      </c>
      <c r="EH122" s="465">
        <f t="shared" si="47"/>
        <v>45134</v>
      </c>
      <c r="EI122" s="465">
        <f t="shared" si="47"/>
        <v>44839</v>
      </c>
      <c r="EJ122" s="465">
        <f t="shared" si="47"/>
        <v>44831</v>
      </c>
      <c r="EK122" s="465">
        <f t="shared" si="47"/>
        <v>44826</v>
      </c>
      <c r="EL122" s="465">
        <f t="shared" si="47"/>
        <v>44818</v>
      </c>
      <c r="EM122" s="465">
        <f t="shared" si="47"/>
        <v>44811</v>
      </c>
      <c r="EN122" s="465">
        <f t="shared" si="47"/>
        <v>45070</v>
      </c>
      <c r="EO122" s="465">
        <f t="shared" si="47"/>
        <v>45063</v>
      </c>
      <c r="EP122" s="465">
        <f t="shared" si="47"/>
        <v>45056</v>
      </c>
      <c r="EQ122" s="465">
        <f t="shared" si="47"/>
        <v>45050</v>
      </c>
      <c r="ER122" s="465">
        <f t="shared" si="47"/>
        <v>45042</v>
      </c>
      <c r="ES122" s="465">
        <f t="shared" si="47"/>
        <v>45035</v>
      </c>
      <c r="ET122" s="465">
        <f t="shared" si="47"/>
        <v>45028</v>
      </c>
      <c r="EU122" s="465">
        <f t="shared" si="47"/>
        <v>45020</v>
      </c>
      <c r="EV122" s="465">
        <f t="shared" si="47"/>
        <v>45014</v>
      </c>
      <c r="EW122" s="465">
        <f t="shared" si="47"/>
        <v>45008</v>
      </c>
      <c r="EX122" s="465">
        <f t="shared" si="47"/>
        <v>45002</v>
      </c>
      <c r="EY122" s="465">
        <f t="shared" si="47"/>
        <v>45000</v>
      </c>
      <c r="EZ122" s="465">
        <f t="shared" si="47"/>
        <v>44993</v>
      </c>
      <c r="FA122" s="465">
        <f t="shared" si="47"/>
        <v>44986</v>
      </c>
      <c r="FB122" s="465">
        <f t="shared" si="47"/>
        <v>44979</v>
      </c>
      <c r="FC122" s="465">
        <f t="shared" si="47"/>
        <v>44972</v>
      </c>
      <c r="FD122" s="465">
        <f t="shared" si="47"/>
        <v>44965</v>
      </c>
      <c r="FE122" s="465">
        <f t="shared" ref="FE122:HO122" si="48">FE3</f>
        <v>44958</v>
      </c>
      <c r="FF122" s="465">
        <f t="shared" si="48"/>
        <v>44951</v>
      </c>
      <c r="FG122" s="465">
        <f t="shared" si="48"/>
        <v>44944</v>
      </c>
      <c r="FH122" s="465">
        <f t="shared" si="48"/>
        <v>44937</v>
      </c>
      <c r="FI122" s="465">
        <f t="shared" si="48"/>
        <v>44930</v>
      </c>
      <c r="FJ122" s="465">
        <f t="shared" si="48"/>
        <v>44923</v>
      </c>
      <c r="FK122" s="465">
        <f t="shared" si="48"/>
        <v>44916</v>
      </c>
      <c r="FL122" s="465">
        <f t="shared" si="48"/>
        <v>44910</v>
      </c>
      <c r="FM122" s="465">
        <f t="shared" si="48"/>
        <v>44902</v>
      </c>
      <c r="FN122" s="465">
        <f t="shared" si="48"/>
        <v>44896</v>
      </c>
      <c r="FO122" s="465">
        <f t="shared" si="48"/>
        <v>44888</v>
      </c>
      <c r="FP122" s="465">
        <f t="shared" si="48"/>
        <v>44881</v>
      </c>
      <c r="FQ122" s="465">
        <f t="shared" si="48"/>
        <v>44874</v>
      </c>
      <c r="FR122" s="465">
        <f t="shared" si="48"/>
        <v>44868</v>
      </c>
      <c r="FS122" s="465">
        <f t="shared" si="48"/>
        <v>44860</v>
      </c>
      <c r="FT122" s="465">
        <f t="shared" si="48"/>
        <v>44853</v>
      </c>
      <c r="FU122" s="465">
        <f t="shared" si="48"/>
        <v>44846</v>
      </c>
      <c r="FV122" s="465">
        <f t="shared" si="48"/>
        <v>45085</v>
      </c>
      <c r="FW122" s="465">
        <f t="shared" si="48"/>
        <v>45076</v>
      </c>
      <c r="FX122" s="465">
        <f t="shared" si="48"/>
        <v>45127</v>
      </c>
      <c r="FY122" s="465">
        <f t="shared" si="48"/>
        <v>45120</v>
      </c>
      <c r="FZ122" s="465">
        <f t="shared" si="48"/>
        <v>45113</v>
      </c>
      <c r="GA122" s="465">
        <f t="shared" si="48"/>
        <v>45105</v>
      </c>
      <c r="GB122" s="465">
        <f t="shared" si="48"/>
        <v>45099</v>
      </c>
      <c r="GC122" s="465">
        <f t="shared" si="48"/>
        <v>45092</v>
      </c>
      <c r="GD122" s="465">
        <f t="shared" si="48"/>
        <v>44803</v>
      </c>
      <c r="GE122" s="465">
        <f t="shared" si="48"/>
        <v>44797</v>
      </c>
      <c r="GF122" s="465">
        <f t="shared" si="48"/>
        <v>44790</v>
      </c>
      <c r="GG122" s="465">
        <f t="shared" si="48"/>
        <v>44783</v>
      </c>
      <c r="GH122" s="465">
        <f t="shared" si="48"/>
        <v>44776</v>
      </c>
      <c r="GI122" s="465">
        <f t="shared" si="48"/>
        <v>44769</v>
      </c>
      <c r="GJ122" s="465">
        <f t="shared" si="48"/>
        <v>44762</v>
      </c>
      <c r="GK122" s="465">
        <f t="shared" si="48"/>
        <v>44755</v>
      </c>
      <c r="GL122" s="465">
        <f t="shared" si="48"/>
        <v>44748</v>
      </c>
      <c r="GM122" s="465">
        <f t="shared" si="48"/>
        <v>44741</v>
      </c>
      <c r="GN122" s="465">
        <f t="shared" si="48"/>
        <v>44733</v>
      </c>
      <c r="GO122" s="465">
        <f t="shared" si="48"/>
        <v>44727</v>
      </c>
      <c r="GP122" s="465">
        <f t="shared" si="48"/>
        <v>44720</v>
      </c>
      <c r="GQ122" s="465">
        <f t="shared" si="48"/>
        <v>44713</v>
      </c>
      <c r="GR122" s="465">
        <f t="shared" si="48"/>
        <v>44706</v>
      </c>
      <c r="GS122" s="465">
        <f t="shared" si="48"/>
        <v>44699</v>
      </c>
      <c r="GT122" s="465">
        <f t="shared" si="48"/>
        <v>44690</v>
      </c>
      <c r="GU122" s="465">
        <f t="shared" si="48"/>
        <v>44687</v>
      </c>
      <c r="GV122" s="465">
        <f t="shared" si="48"/>
        <v>44685</v>
      </c>
      <c r="GW122" s="465">
        <f t="shared" si="48"/>
        <v>44678</v>
      </c>
      <c r="GX122" s="465">
        <f t="shared" si="48"/>
        <v>44670</v>
      </c>
      <c r="GY122" s="465">
        <f t="shared" si="48"/>
        <v>44663</v>
      </c>
      <c r="GZ122" s="465">
        <f t="shared" si="48"/>
        <v>44662</v>
      </c>
      <c r="HA122" s="465">
        <f t="shared" si="48"/>
        <v>44659</v>
      </c>
      <c r="HB122" s="465">
        <f t="shared" si="48"/>
        <v>44657</v>
      </c>
      <c r="HC122" s="465">
        <f t="shared" si="48"/>
        <v>44656</v>
      </c>
      <c r="HD122" s="465">
        <f t="shared" si="48"/>
        <v>44655</v>
      </c>
      <c r="HE122" s="465">
        <f t="shared" si="48"/>
        <v>44652</v>
      </c>
      <c r="HF122" s="465">
        <f t="shared" si="48"/>
        <v>44650</v>
      </c>
      <c r="HG122" s="465">
        <f t="shared" si="48"/>
        <v>44649</v>
      </c>
      <c r="HH122" s="465">
        <f t="shared" si="48"/>
        <v>44648</v>
      </c>
      <c r="HI122" s="465">
        <f t="shared" si="48"/>
        <v>44645</v>
      </c>
      <c r="HJ122" s="465">
        <f t="shared" si="48"/>
        <v>44644</v>
      </c>
      <c r="HK122" s="465">
        <f t="shared" si="48"/>
        <v>44642</v>
      </c>
      <c r="HL122" s="465">
        <f t="shared" si="48"/>
        <v>44641</v>
      </c>
      <c r="HM122" s="465">
        <f t="shared" si="48"/>
        <v>44638</v>
      </c>
      <c r="HN122" s="465">
        <f t="shared" si="48"/>
        <v>44637</v>
      </c>
      <c r="HO122" s="465">
        <f t="shared" si="48"/>
        <v>44636</v>
      </c>
      <c r="HP122" s="468" t="s">
        <v>113</v>
      </c>
      <c r="HQ122" s="469" t="s">
        <v>223</v>
      </c>
    </row>
    <row r="123" spans="1:225">
      <c r="B123" s="1123" t="s">
        <v>37</v>
      </c>
      <c r="C123" s="730" t="s">
        <v>256</v>
      </c>
      <c r="D123" s="502">
        <v>2.9499999999999998E-2</v>
      </c>
      <c r="E123" s="502">
        <v>2.9499999999999998E-2</v>
      </c>
      <c r="F123" s="500">
        <v>2.9000000000000001E-2</v>
      </c>
      <c r="G123" s="500">
        <v>2.9000000000000001E-2</v>
      </c>
      <c r="H123" s="500">
        <v>2.9000000000000001E-2</v>
      </c>
      <c r="I123" s="500">
        <v>2.9000000000000001E-2</v>
      </c>
      <c r="J123" s="500">
        <v>2.9000000000000001E-2</v>
      </c>
      <c r="K123" s="500">
        <v>2.9000000000000001E-2</v>
      </c>
      <c r="L123" s="500">
        <v>2.9000000000000001E-2</v>
      </c>
      <c r="M123" s="500">
        <v>2.9000000000000001E-2</v>
      </c>
      <c r="N123" s="500">
        <v>2.9000000000000001E-2</v>
      </c>
      <c r="O123" s="502">
        <v>2.9000000000000001E-2</v>
      </c>
      <c r="P123" s="500">
        <v>2.9499999999999998E-2</v>
      </c>
      <c r="Q123" s="502">
        <v>2.9499999999999998E-2</v>
      </c>
      <c r="R123" s="500">
        <v>0.03</v>
      </c>
      <c r="S123" s="502">
        <v>0.03</v>
      </c>
      <c r="T123" s="502">
        <v>3.1E-2</v>
      </c>
      <c r="U123" s="501">
        <v>3.0499999999999999E-2</v>
      </c>
      <c r="V123" s="502">
        <v>3.0499999999999999E-2</v>
      </c>
      <c r="W123" s="493">
        <v>2.9499999999999998E-2</v>
      </c>
      <c r="X123" s="493">
        <v>3.0499999999999999E-2</v>
      </c>
      <c r="Y123" s="476">
        <v>3.1E-2</v>
      </c>
      <c r="Z123" s="493">
        <v>3.1E-2</v>
      </c>
      <c r="AA123" s="493">
        <v>3.15E-2</v>
      </c>
      <c r="AB123" s="493">
        <v>3.1E-2</v>
      </c>
      <c r="AC123" s="493">
        <v>3.15E-2</v>
      </c>
      <c r="AD123" s="493">
        <v>3.3500000000000002E-2</v>
      </c>
      <c r="AE123" s="493">
        <v>3.4000000000000002E-2</v>
      </c>
      <c r="AF123" s="493">
        <v>3.4500000000000003E-2</v>
      </c>
      <c r="AG123" s="476">
        <v>3.5000000000000003E-2</v>
      </c>
      <c r="AH123" s="476">
        <v>3.5000000000000003E-2</v>
      </c>
      <c r="AI123" s="493">
        <v>3.5000000000000003E-2</v>
      </c>
      <c r="AJ123" s="476">
        <v>3.5999999999999997E-2</v>
      </c>
      <c r="AK123" s="476">
        <v>3.5999999999999997E-2</v>
      </c>
      <c r="AL123" s="477">
        <v>3.5999999999999997E-2</v>
      </c>
      <c r="AM123" s="493">
        <v>3.5999999999999997E-2</v>
      </c>
      <c r="AN123" s="493">
        <v>3.5499999999999997E-2</v>
      </c>
      <c r="AO123" s="493">
        <v>3.5999999999999997E-2</v>
      </c>
      <c r="AP123" s="493">
        <v>3.6499999999999998E-2</v>
      </c>
      <c r="AQ123" s="493">
        <v>3.6999999999999998E-2</v>
      </c>
      <c r="AR123" s="476">
        <v>3.6499999999999998E-2</v>
      </c>
      <c r="AS123" s="493">
        <v>3.6499999999999998E-2</v>
      </c>
      <c r="AT123" s="476">
        <v>3.5999999999999997E-2</v>
      </c>
      <c r="AU123" s="476">
        <v>3.5999999999999997E-2</v>
      </c>
      <c r="AV123" s="493">
        <v>3.5999999999999997E-2</v>
      </c>
      <c r="AW123" s="477">
        <v>3.5499999999999997E-2</v>
      </c>
      <c r="AX123" s="477">
        <v>3.6999999999999998E-2</v>
      </c>
      <c r="AY123" s="477">
        <v>3.6999999999999998E-2</v>
      </c>
      <c r="AZ123" s="477">
        <v>3.6999999999999998E-2</v>
      </c>
      <c r="BA123" s="477">
        <v>3.6999999999999998E-2</v>
      </c>
      <c r="BB123" s="477">
        <v>3.6999999999999998E-2</v>
      </c>
      <c r="BC123" s="477">
        <v>3.6999999999999998E-2</v>
      </c>
      <c r="BD123" s="477">
        <v>3.6999999999999998E-2</v>
      </c>
      <c r="BE123" s="477">
        <v>3.6999999999999998E-2</v>
      </c>
      <c r="BF123" s="477">
        <v>3.6999999999999998E-2</v>
      </c>
      <c r="BG123" s="477">
        <v>3.6999999999999998E-2</v>
      </c>
      <c r="BH123" s="477">
        <v>3.7499999999999999E-2</v>
      </c>
      <c r="BI123" s="477">
        <v>3.7499999999999999E-2</v>
      </c>
      <c r="BJ123" s="477">
        <v>3.7499999999999999E-2</v>
      </c>
      <c r="BK123" s="477">
        <v>3.7499999999999999E-2</v>
      </c>
      <c r="BL123" s="477">
        <v>3.7499999999999999E-2</v>
      </c>
      <c r="BM123" s="477">
        <v>3.7499999999999999E-2</v>
      </c>
      <c r="BN123" s="477">
        <v>3.7499999999999999E-2</v>
      </c>
      <c r="BO123" s="477">
        <v>3.7999999999999999E-2</v>
      </c>
      <c r="BP123" s="477">
        <v>3.7999999999999999E-2</v>
      </c>
      <c r="BQ123" s="477">
        <v>3.7999999999999999E-2</v>
      </c>
      <c r="BR123" s="477">
        <v>3.7999999999999999E-2</v>
      </c>
      <c r="BS123" s="477">
        <v>3.85E-2</v>
      </c>
      <c r="BT123" s="477">
        <v>3.85E-2</v>
      </c>
      <c r="BU123" s="477">
        <v>3.85E-2</v>
      </c>
      <c r="BV123" s="477">
        <v>3.85E-2</v>
      </c>
      <c r="BW123" s="477">
        <v>3.85E-2</v>
      </c>
      <c r="BX123" s="477">
        <v>3.85E-2</v>
      </c>
      <c r="BY123" s="477">
        <v>3.7999999999999999E-2</v>
      </c>
      <c r="BZ123" s="477">
        <v>3.7999999999999999E-2</v>
      </c>
      <c r="CA123" s="477">
        <v>3.85E-2</v>
      </c>
      <c r="CB123" s="477">
        <v>4.0500000000000001E-2</v>
      </c>
      <c r="CC123" s="477">
        <v>4.2500000000000003E-2</v>
      </c>
      <c r="CD123" s="477">
        <v>4.2500000000000003E-2</v>
      </c>
      <c r="CE123" s="477">
        <v>4.2999999999999997E-2</v>
      </c>
      <c r="CF123" s="477">
        <v>4.2999999999999997E-2</v>
      </c>
      <c r="CG123" s="477">
        <v>4.2999999999999997E-2</v>
      </c>
      <c r="CH123" s="477">
        <v>4.5999999999999999E-2</v>
      </c>
      <c r="CI123" s="477">
        <v>4.5999999999999999E-2</v>
      </c>
      <c r="CJ123" s="477">
        <v>4.65E-2</v>
      </c>
      <c r="CK123" s="477">
        <v>4.65E-2</v>
      </c>
      <c r="CL123" s="477">
        <v>4.65E-2</v>
      </c>
      <c r="CM123" s="477">
        <v>4.65E-2</v>
      </c>
      <c r="CN123" s="477">
        <v>4.65E-2</v>
      </c>
      <c r="CO123" s="477">
        <v>4.65E-2</v>
      </c>
      <c r="CP123" s="477">
        <v>4.7E-2</v>
      </c>
      <c r="CQ123" s="477">
        <v>4.7E-2</v>
      </c>
      <c r="CR123" s="477">
        <v>4.65E-2</v>
      </c>
      <c r="CS123" s="477">
        <v>4.65E-2</v>
      </c>
      <c r="CT123" s="477">
        <v>4.65E-2</v>
      </c>
      <c r="CU123" s="477">
        <v>4.65E-2</v>
      </c>
      <c r="CV123" s="477">
        <v>4.65E-2</v>
      </c>
      <c r="CW123" s="477">
        <v>4.65E-2</v>
      </c>
      <c r="CX123" s="477">
        <v>4.65E-2</v>
      </c>
      <c r="CY123" s="477">
        <v>4.5999999999999999E-2</v>
      </c>
      <c r="CZ123" s="477">
        <v>4.5999999999999999E-2</v>
      </c>
      <c r="DA123" s="477">
        <v>4.5999999999999999E-2</v>
      </c>
      <c r="DB123" s="477">
        <v>4.5999999999999999E-2</v>
      </c>
      <c r="DC123" s="477">
        <v>4.5999999999999999E-2</v>
      </c>
      <c r="DD123" s="477">
        <v>4.5999999999999999E-2</v>
      </c>
      <c r="DE123" s="477">
        <v>4.5999999999999999E-2</v>
      </c>
      <c r="DF123" s="477">
        <v>4.5999999999999999E-2</v>
      </c>
      <c r="DG123" s="477">
        <v>4.5999999999999999E-2</v>
      </c>
      <c r="DH123" s="477">
        <v>4.5999999999999999E-2</v>
      </c>
      <c r="DI123" s="477">
        <v>4.7E-2</v>
      </c>
      <c r="DJ123" s="477">
        <v>4.7E-2</v>
      </c>
      <c r="DK123" s="477">
        <v>4.7E-2</v>
      </c>
      <c r="DL123" s="477">
        <v>4.7500000000000001E-2</v>
      </c>
      <c r="DM123" s="477">
        <v>4.8500000000000001E-2</v>
      </c>
      <c r="DN123" s="477">
        <v>4.8500000000000001E-2</v>
      </c>
      <c r="DO123" s="477">
        <v>0.05</v>
      </c>
      <c r="DP123" s="477">
        <v>0.05</v>
      </c>
      <c r="DQ123" s="477">
        <v>0.05</v>
      </c>
      <c r="DR123" s="477">
        <v>0.05</v>
      </c>
      <c r="DS123" s="477">
        <v>0.05</v>
      </c>
      <c r="DT123" s="477">
        <v>5.0500000000000003E-2</v>
      </c>
      <c r="DU123" s="477">
        <v>5.0500000000000003E-2</v>
      </c>
      <c r="DV123" s="477">
        <v>5.0500000000000003E-2</v>
      </c>
      <c r="DW123" s="477">
        <v>5.0500000000000003E-2</v>
      </c>
      <c r="DX123" s="477">
        <v>0.05</v>
      </c>
      <c r="DY123" s="477">
        <v>0.05</v>
      </c>
      <c r="DZ123" s="477">
        <v>0.05</v>
      </c>
      <c r="EA123" s="477">
        <v>4.9500000000000002E-2</v>
      </c>
      <c r="EB123" s="477">
        <v>4.9500000000000002E-2</v>
      </c>
      <c r="EC123" s="477">
        <v>4.9500000000000002E-2</v>
      </c>
      <c r="ED123" s="477">
        <v>4.9500000000000002E-2</v>
      </c>
      <c r="EE123" s="477">
        <v>4.9500000000000002E-2</v>
      </c>
      <c r="EF123" s="477">
        <v>4.9500000000000002E-2</v>
      </c>
      <c r="EG123" s="477">
        <v>4.9500000000000002E-2</v>
      </c>
      <c r="EH123" s="477">
        <v>4.9500000000000002E-2</v>
      </c>
      <c r="EI123" s="482">
        <v>3.9E-2</v>
      </c>
      <c r="EJ123" s="482">
        <v>3.6499999999999998E-2</v>
      </c>
      <c r="EK123" s="482">
        <v>3.6499999999999998E-2</v>
      </c>
      <c r="EL123" s="482">
        <v>3.2000000000000001E-2</v>
      </c>
      <c r="EM123" s="482">
        <v>3.1E-2</v>
      </c>
      <c r="EN123" s="477">
        <v>4.5499999999999999E-2</v>
      </c>
      <c r="EO123" s="477">
        <v>4.4999999999999998E-2</v>
      </c>
      <c r="EP123" s="477">
        <v>4.4999999999999998E-2</v>
      </c>
      <c r="EQ123" s="477">
        <v>4.4999999999999998E-2</v>
      </c>
      <c r="ER123" s="482">
        <v>4.5499999999999999E-2</v>
      </c>
      <c r="ES123" s="482">
        <v>4.4499999999999998E-2</v>
      </c>
      <c r="ET123" s="482">
        <v>4.3999999999999997E-2</v>
      </c>
      <c r="EU123" s="482">
        <v>4.3999999999999997E-2</v>
      </c>
      <c r="EV123" s="482">
        <v>4.2999999999999997E-2</v>
      </c>
      <c r="EW123" s="482">
        <v>4.1500000000000002E-2</v>
      </c>
      <c r="EX123" s="482">
        <v>4.1000000000000002E-2</v>
      </c>
      <c r="EY123" s="482">
        <v>4.2000000000000003E-2</v>
      </c>
      <c r="EZ123" s="482">
        <v>4.5499999999999999E-2</v>
      </c>
      <c r="FA123" s="484">
        <v>4.3999999999999997E-2</v>
      </c>
      <c r="FB123" s="484">
        <v>4.3999999999999997E-2</v>
      </c>
      <c r="FC123" s="477">
        <v>4.3499999999999997E-2</v>
      </c>
      <c r="FD123" s="477">
        <v>4.3499999999999997E-2</v>
      </c>
      <c r="FE123" s="477">
        <v>4.3499999999999997E-2</v>
      </c>
      <c r="FF123" s="477">
        <v>4.3499999999999997E-2</v>
      </c>
      <c r="FG123" s="477">
        <v>4.3499999999999997E-2</v>
      </c>
      <c r="FH123" s="477">
        <v>4.3999999999999997E-2</v>
      </c>
      <c r="FI123" s="477">
        <v>4.3999999999999997E-2</v>
      </c>
      <c r="FJ123" s="477">
        <v>4.3999999999999997E-2</v>
      </c>
      <c r="FK123" s="477">
        <v>4.4499999999999998E-2</v>
      </c>
      <c r="FL123" s="477">
        <v>4.4499999999999998E-2</v>
      </c>
      <c r="FM123" s="477">
        <v>4.4999999999999998E-2</v>
      </c>
      <c r="FN123" s="477">
        <v>4.5499999999999999E-2</v>
      </c>
      <c r="FO123" s="477">
        <v>4.4499999999999998E-2</v>
      </c>
      <c r="FP123" s="477">
        <v>4.3999999999999997E-2</v>
      </c>
      <c r="FQ123" s="477">
        <v>4.4499999999999998E-2</v>
      </c>
      <c r="FR123" s="477">
        <v>4.2500000000000003E-2</v>
      </c>
      <c r="FS123" s="477">
        <v>4.2500000000000003E-2</v>
      </c>
      <c r="FT123" s="477">
        <v>4.0500000000000001E-2</v>
      </c>
      <c r="FU123" s="477">
        <v>3.85E-2</v>
      </c>
      <c r="FV123" s="477">
        <v>4.7500000000000001E-2</v>
      </c>
      <c r="FW123" s="477">
        <v>4.7E-2</v>
      </c>
      <c r="FX123" s="477">
        <v>4.9000000000000002E-2</v>
      </c>
      <c r="FY123" s="477">
        <v>4.9000000000000002E-2</v>
      </c>
      <c r="FZ123" s="477">
        <v>4.8500000000000001E-2</v>
      </c>
      <c r="GA123" s="477">
        <v>4.8500000000000001E-2</v>
      </c>
      <c r="GB123" s="477">
        <v>4.8000000000000001E-2</v>
      </c>
      <c r="GC123" s="477">
        <v>4.7500000000000001E-2</v>
      </c>
      <c r="GD123" s="477">
        <v>3.6499999999999998E-2</v>
      </c>
      <c r="GE123" s="477">
        <v>3.6499999999999998E-2</v>
      </c>
      <c r="GF123" s="477">
        <v>3.6499999999999998E-2</v>
      </c>
      <c r="GG123" s="477">
        <v>3.6499999999999998E-2</v>
      </c>
      <c r="GH123" s="477">
        <v>3.6499999999999998E-2</v>
      </c>
      <c r="GI123" s="477">
        <v>3.6499999999999998E-2</v>
      </c>
      <c r="GJ123" s="477">
        <v>3.6499999999999998E-2</v>
      </c>
      <c r="GK123" s="477">
        <v>3.6499999999999998E-2</v>
      </c>
      <c r="GL123" s="477">
        <v>3.6499999999999998E-2</v>
      </c>
      <c r="GM123" s="477">
        <v>3.6499999999999998E-2</v>
      </c>
      <c r="GN123" s="477">
        <v>3.6499999999999998E-2</v>
      </c>
      <c r="GO123" s="477">
        <v>3.6499999999999998E-2</v>
      </c>
      <c r="GP123" s="477">
        <v>3.6499999999999998E-2</v>
      </c>
      <c r="GQ123" s="477">
        <v>3.6499999999999998E-2</v>
      </c>
      <c r="GR123" s="477">
        <v>3.6499999999999998E-2</v>
      </c>
      <c r="GS123" s="477">
        <v>3.6499999999999998E-2</v>
      </c>
      <c r="GT123" s="477">
        <v>3.6499999999999998E-2</v>
      </c>
      <c r="GU123" s="477">
        <v>3.6499999999999998E-2</v>
      </c>
      <c r="GV123" s="477">
        <v>3.6499999999999998E-2</v>
      </c>
      <c r="GW123" s="477">
        <v>3.6499999999999998E-2</v>
      </c>
      <c r="GX123" s="477">
        <v>3.6499999999999998E-2</v>
      </c>
      <c r="GY123" s="477">
        <v>3.6499999999999998E-2</v>
      </c>
      <c r="GZ123" s="477">
        <v>3.6499999999999998E-2</v>
      </c>
      <c r="HA123" s="477">
        <v>3.6499999999999998E-2</v>
      </c>
      <c r="HB123" s="477">
        <v>3.6499999999999998E-2</v>
      </c>
      <c r="HC123" s="477">
        <v>3.6499999999999998E-2</v>
      </c>
      <c r="HD123" s="477">
        <v>3.6499999999999998E-2</v>
      </c>
      <c r="HE123" s="477">
        <v>3.6499999999999998E-2</v>
      </c>
      <c r="HF123" s="477">
        <v>3.6499999999999998E-2</v>
      </c>
      <c r="HG123" s="477">
        <v>3.6499999999999998E-2</v>
      </c>
      <c r="HH123" s="477">
        <v>3.6499999999999998E-2</v>
      </c>
      <c r="HI123" s="477">
        <v>3.6499999999999998E-2</v>
      </c>
      <c r="HJ123" s="477">
        <v>3.6499999999999998E-2</v>
      </c>
      <c r="HK123" s="477">
        <v>3.6499999999999998E-2</v>
      </c>
      <c r="HL123" s="477">
        <v>3.6499999999999998E-2</v>
      </c>
      <c r="HM123" s="477">
        <v>3.6499999999999998E-2</v>
      </c>
      <c r="HN123" s="477">
        <v>3.6499999999999998E-2</v>
      </c>
      <c r="HO123" s="477">
        <v>3.6499999999999998E-2</v>
      </c>
      <c r="HP123" s="473">
        <f t="shared" ref="HP123:HP166" si="49">D123-E123</f>
        <v>0</v>
      </c>
      <c r="HQ123" s="1135"/>
    </row>
    <row r="124" spans="1:225">
      <c r="B124" s="1124"/>
      <c r="C124" s="730" t="s">
        <v>255</v>
      </c>
      <c r="D124" s="502">
        <v>0.03</v>
      </c>
      <c r="E124" s="502">
        <v>0.03</v>
      </c>
      <c r="F124" s="500">
        <v>2.9499999999999998E-2</v>
      </c>
      <c r="G124" s="500">
        <v>2.9499999999999998E-2</v>
      </c>
      <c r="H124" s="500">
        <v>2.9499999999999998E-2</v>
      </c>
      <c r="I124" s="500">
        <v>2.9499999999999998E-2</v>
      </c>
      <c r="J124" s="500">
        <v>2.9499999999999998E-2</v>
      </c>
      <c r="K124" s="500">
        <v>2.9499999999999998E-2</v>
      </c>
      <c r="L124" s="500">
        <v>2.9499999999999998E-2</v>
      </c>
      <c r="M124" s="500">
        <v>2.9499999999999998E-2</v>
      </c>
      <c r="N124" s="500">
        <v>2.9499999999999998E-2</v>
      </c>
      <c r="O124" s="502">
        <v>2.9499999999999998E-2</v>
      </c>
      <c r="P124" s="500">
        <v>0.03</v>
      </c>
      <c r="Q124" s="502">
        <v>0.03</v>
      </c>
      <c r="R124" s="500">
        <v>3.0499999999999999E-2</v>
      </c>
      <c r="S124" s="502">
        <v>3.0499999999999999E-2</v>
      </c>
      <c r="T124" s="502">
        <v>3.15E-2</v>
      </c>
      <c r="U124" s="501">
        <v>3.1E-2</v>
      </c>
      <c r="V124" s="502">
        <v>3.1E-2</v>
      </c>
      <c r="W124" s="493">
        <v>0.03</v>
      </c>
      <c r="X124" s="493">
        <v>3.1E-2</v>
      </c>
      <c r="Y124" s="476">
        <v>3.15E-2</v>
      </c>
      <c r="Z124" s="493">
        <v>3.15E-2</v>
      </c>
      <c r="AA124" s="493">
        <v>3.2000000000000001E-2</v>
      </c>
      <c r="AB124" s="493">
        <v>3.15E-2</v>
      </c>
      <c r="AC124" s="493">
        <v>3.2000000000000001E-2</v>
      </c>
      <c r="AD124" s="493">
        <v>3.4000000000000002E-2</v>
      </c>
      <c r="AE124" s="493">
        <v>3.4500000000000003E-2</v>
      </c>
      <c r="AF124" s="493">
        <v>3.5000000000000003E-2</v>
      </c>
      <c r="AG124" s="476">
        <v>3.5499999999999997E-2</v>
      </c>
      <c r="AH124" s="476">
        <v>3.5499999999999997E-2</v>
      </c>
      <c r="AI124" s="493">
        <v>3.5499999999999997E-2</v>
      </c>
      <c r="AJ124" s="476">
        <v>3.6499999999999998E-2</v>
      </c>
      <c r="AK124" s="476">
        <v>3.6499999999999998E-2</v>
      </c>
      <c r="AL124" s="477">
        <v>3.6499999999999998E-2</v>
      </c>
      <c r="AM124" s="493">
        <v>3.6499999999999998E-2</v>
      </c>
      <c r="AN124" s="493">
        <v>3.5999999999999997E-2</v>
      </c>
      <c r="AO124" s="493">
        <v>3.6499999999999998E-2</v>
      </c>
      <c r="AP124" s="493">
        <v>3.6999999999999998E-2</v>
      </c>
      <c r="AQ124" s="493">
        <v>3.7499999999999999E-2</v>
      </c>
      <c r="AR124" s="476">
        <v>3.6999999999999998E-2</v>
      </c>
      <c r="AS124" s="493">
        <v>3.6999999999999998E-2</v>
      </c>
      <c r="AT124" s="476">
        <v>3.6499999999999998E-2</v>
      </c>
      <c r="AU124" s="476">
        <v>3.6499999999999998E-2</v>
      </c>
      <c r="AV124" s="493">
        <v>3.6499999999999998E-2</v>
      </c>
      <c r="AW124" s="477">
        <v>3.5999999999999997E-2</v>
      </c>
      <c r="AX124" s="477">
        <v>3.7499999999999999E-2</v>
      </c>
      <c r="AY124" s="477">
        <v>3.7499999999999999E-2</v>
      </c>
      <c r="AZ124" s="477">
        <v>3.7499999999999999E-2</v>
      </c>
      <c r="BA124" s="477">
        <v>3.7499999999999999E-2</v>
      </c>
      <c r="BB124" s="477">
        <v>3.7499999999999999E-2</v>
      </c>
      <c r="BC124" s="477">
        <v>3.7499999999999999E-2</v>
      </c>
      <c r="BD124" s="477">
        <v>3.7499999999999999E-2</v>
      </c>
      <c r="BE124" s="477">
        <v>3.7499999999999999E-2</v>
      </c>
      <c r="BF124" s="477">
        <v>3.7499999999999999E-2</v>
      </c>
      <c r="BG124" s="477">
        <v>3.7499999999999999E-2</v>
      </c>
      <c r="BH124" s="477">
        <v>3.7999999999999999E-2</v>
      </c>
      <c r="BI124" s="477">
        <v>3.7999999999999999E-2</v>
      </c>
      <c r="BJ124" s="477">
        <v>3.7999999999999999E-2</v>
      </c>
      <c r="BK124" s="477">
        <v>3.7999999999999999E-2</v>
      </c>
      <c r="BL124" s="477">
        <v>3.7999999999999999E-2</v>
      </c>
      <c r="BM124" s="477">
        <v>3.7999999999999999E-2</v>
      </c>
      <c r="BN124" s="477">
        <v>3.7999999999999999E-2</v>
      </c>
      <c r="BO124" s="477">
        <v>3.85E-2</v>
      </c>
      <c r="BP124" s="477">
        <v>3.85E-2</v>
      </c>
      <c r="BQ124" s="477">
        <v>3.85E-2</v>
      </c>
      <c r="BR124" s="477">
        <v>3.85E-2</v>
      </c>
      <c r="BS124" s="477">
        <v>3.9E-2</v>
      </c>
      <c r="BT124" s="477">
        <v>3.9E-2</v>
      </c>
      <c r="BU124" s="477">
        <v>3.9E-2</v>
      </c>
      <c r="BV124" s="477">
        <v>3.9E-2</v>
      </c>
      <c r="BW124" s="477">
        <v>3.9E-2</v>
      </c>
      <c r="BX124" s="477">
        <v>3.9E-2</v>
      </c>
      <c r="BY124" s="477">
        <v>3.85E-2</v>
      </c>
      <c r="BZ124" s="477">
        <v>3.85E-2</v>
      </c>
      <c r="CA124" s="477">
        <v>3.9E-2</v>
      </c>
      <c r="CB124" s="477">
        <v>4.1000000000000002E-2</v>
      </c>
      <c r="CC124" s="477">
        <v>4.2999999999999997E-2</v>
      </c>
      <c r="CD124" s="477">
        <v>4.2999999999999997E-2</v>
      </c>
      <c r="CE124" s="477">
        <v>4.3499999999999997E-2</v>
      </c>
      <c r="CF124" s="477">
        <v>4.3499999999999997E-2</v>
      </c>
      <c r="CG124" s="477">
        <v>4.3499999999999997E-2</v>
      </c>
      <c r="CH124" s="477">
        <v>4.65E-2</v>
      </c>
      <c r="CI124" s="477">
        <v>4.65E-2</v>
      </c>
      <c r="CJ124" s="477">
        <v>4.7E-2</v>
      </c>
      <c r="CK124" s="477">
        <v>4.7E-2</v>
      </c>
      <c r="CL124" s="477">
        <v>4.7E-2</v>
      </c>
      <c r="CM124" s="477">
        <v>4.7E-2</v>
      </c>
      <c r="CN124" s="477">
        <v>4.7E-2</v>
      </c>
      <c r="CO124" s="477">
        <v>4.7E-2</v>
      </c>
      <c r="CP124" s="477">
        <v>4.7500000000000001E-2</v>
      </c>
      <c r="CQ124" s="477">
        <v>4.7500000000000001E-2</v>
      </c>
      <c r="CR124" s="477">
        <v>4.7E-2</v>
      </c>
      <c r="CS124" s="477">
        <v>4.7E-2</v>
      </c>
      <c r="CT124" s="477">
        <v>4.7E-2</v>
      </c>
      <c r="CU124" s="477">
        <v>4.7E-2</v>
      </c>
      <c r="CV124" s="477">
        <v>4.7E-2</v>
      </c>
      <c r="CW124" s="477">
        <v>4.7E-2</v>
      </c>
      <c r="CX124" s="477">
        <v>4.7E-2</v>
      </c>
      <c r="CY124" s="477">
        <v>4.65E-2</v>
      </c>
      <c r="CZ124" s="477">
        <v>4.65E-2</v>
      </c>
      <c r="DA124" s="477">
        <v>4.65E-2</v>
      </c>
      <c r="DB124" s="477">
        <v>4.65E-2</v>
      </c>
      <c r="DC124" s="477">
        <v>4.65E-2</v>
      </c>
      <c r="DD124" s="477">
        <v>4.65E-2</v>
      </c>
      <c r="DE124" s="477">
        <v>4.65E-2</v>
      </c>
      <c r="DF124" s="477">
        <v>4.65E-2</v>
      </c>
      <c r="DG124" s="477">
        <v>4.65E-2</v>
      </c>
      <c r="DH124" s="477">
        <v>4.65E-2</v>
      </c>
      <c r="DI124" s="477">
        <v>4.7500000000000001E-2</v>
      </c>
      <c r="DJ124" s="477">
        <v>4.7500000000000001E-2</v>
      </c>
      <c r="DK124" s="477">
        <v>4.7500000000000001E-2</v>
      </c>
      <c r="DL124" s="477">
        <v>4.8000000000000001E-2</v>
      </c>
      <c r="DM124" s="477">
        <v>4.9000000000000002E-2</v>
      </c>
      <c r="DN124" s="477">
        <v>4.9000000000000002E-2</v>
      </c>
      <c r="DO124" s="477">
        <v>5.0500000000000003E-2</v>
      </c>
      <c r="DP124" s="477">
        <v>5.0500000000000003E-2</v>
      </c>
      <c r="DQ124" s="477">
        <v>5.0500000000000003E-2</v>
      </c>
      <c r="DR124" s="477">
        <v>5.0500000000000003E-2</v>
      </c>
      <c r="DS124" s="477">
        <v>5.0500000000000003E-2</v>
      </c>
      <c r="DT124" s="477">
        <v>5.0999999999999997E-2</v>
      </c>
      <c r="DU124" s="477">
        <v>5.0999999999999997E-2</v>
      </c>
      <c r="DV124" s="477">
        <v>5.0999999999999997E-2</v>
      </c>
      <c r="DW124" s="477">
        <v>5.0999999999999997E-2</v>
      </c>
      <c r="DX124" s="477">
        <v>5.0500000000000003E-2</v>
      </c>
      <c r="DY124" s="477">
        <v>5.0500000000000003E-2</v>
      </c>
      <c r="DZ124" s="477">
        <v>5.0500000000000003E-2</v>
      </c>
      <c r="EA124" s="477">
        <v>0.05</v>
      </c>
      <c r="EB124" s="477">
        <v>0.05</v>
      </c>
      <c r="EC124" s="477">
        <v>0.05</v>
      </c>
      <c r="ED124" s="477">
        <v>0.05</v>
      </c>
      <c r="EE124" s="477">
        <v>0.05</v>
      </c>
      <c r="EF124" s="477">
        <v>0.05</v>
      </c>
      <c r="EG124" s="477">
        <v>0.05</v>
      </c>
      <c r="EH124" s="477">
        <v>0.05</v>
      </c>
      <c r="EI124" s="482">
        <v>0.04</v>
      </c>
      <c r="EJ124" s="482">
        <v>3.7499999999999999E-2</v>
      </c>
      <c r="EK124" s="482">
        <v>3.7499999999999999E-2</v>
      </c>
      <c r="EL124" s="482">
        <v>3.3000000000000002E-2</v>
      </c>
      <c r="EM124" s="482">
        <v>3.2000000000000001E-2</v>
      </c>
      <c r="EN124" s="477">
        <v>4.5999999999999999E-2</v>
      </c>
      <c r="EO124" s="477">
        <v>4.5499999999999999E-2</v>
      </c>
      <c r="EP124" s="477">
        <v>4.5499999999999999E-2</v>
      </c>
      <c r="EQ124" s="477">
        <v>4.5499999999999999E-2</v>
      </c>
      <c r="ER124" s="482">
        <v>4.5999999999999999E-2</v>
      </c>
      <c r="ES124" s="482">
        <v>4.4999999999999998E-2</v>
      </c>
      <c r="ET124" s="482">
        <v>4.4499999999999998E-2</v>
      </c>
      <c r="EU124" s="482">
        <v>4.4499999999999998E-2</v>
      </c>
      <c r="EV124" s="482">
        <v>4.3499999999999997E-2</v>
      </c>
      <c r="EW124" s="482">
        <v>4.2000000000000003E-2</v>
      </c>
      <c r="EX124" s="482">
        <v>4.1500000000000002E-2</v>
      </c>
      <c r="EY124" s="482">
        <v>4.2500000000000003E-2</v>
      </c>
      <c r="EZ124" s="482">
        <v>4.5999999999999999E-2</v>
      </c>
      <c r="FA124" s="484">
        <v>4.4499999999999998E-2</v>
      </c>
      <c r="FB124" s="484">
        <v>4.4499999999999998E-2</v>
      </c>
      <c r="FC124" s="477">
        <v>4.3999999999999997E-2</v>
      </c>
      <c r="FD124" s="477">
        <v>4.3999999999999997E-2</v>
      </c>
      <c r="FE124" s="477">
        <v>4.3999999999999997E-2</v>
      </c>
      <c r="FF124" s="477">
        <v>4.3999999999999997E-2</v>
      </c>
      <c r="FG124" s="477">
        <v>4.3999999999999997E-2</v>
      </c>
      <c r="FH124" s="477">
        <v>4.453E-2</v>
      </c>
      <c r="FI124" s="477">
        <v>4.453E-2</v>
      </c>
      <c r="FJ124" s="477">
        <v>4.453E-2</v>
      </c>
      <c r="FK124" s="477">
        <v>4.4999999999999998E-2</v>
      </c>
      <c r="FL124" s="477">
        <v>4.4999999999999998E-2</v>
      </c>
      <c r="FM124" s="477">
        <v>4.5499999999999999E-2</v>
      </c>
      <c r="FN124" s="477">
        <v>4.5999999999999999E-2</v>
      </c>
      <c r="FO124" s="477">
        <v>4.4999999999999998E-2</v>
      </c>
      <c r="FP124" s="477">
        <v>4.4499999999999998E-2</v>
      </c>
      <c r="FQ124" s="477">
        <v>4.4999999999999998E-2</v>
      </c>
      <c r="FR124" s="477">
        <v>4.2999999999999997E-2</v>
      </c>
      <c r="FS124" s="477">
        <v>4.3499999999999997E-2</v>
      </c>
      <c r="FT124" s="477">
        <v>4.1500000000000002E-2</v>
      </c>
      <c r="FU124" s="477">
        <v>3.95E-2</v>
      </c>
      <c r="FV124" s="477">
        <v>4.8000000000000001E-2</v>
      </c>
      <c r="FW124" s="477">
        <v>4.7500000000000001E-2</v>
      </c>
      <c r="FX124" s="477">
        <v>4.9500000000000002E-2</v>
      </c>
      <c r="FY124" s="477">
        <v>4.9500000000000002E-2</v>
      </c>
      <c r="FZ124" s="477">
        <v>4.9000000000000002E-2</v>
      </c>
      <c r="GA124" s="477">
        <v>4.9000000000000002E-2</v>
      </c>
      <c r="GB124" s="477">
        <v>4.8500000000000001E-2</v>
      </c>
      <c r="GC124" s="477">
        <v>4.8000000000000001E-2</v>
      </c>
      <c r="GD124" s="477">
        <v>3.7499999999999999E-2</v>
      </c>
      <c r="GE124" s="477">
        <v>3.7499999999999999E-2</v>
      </c>
      <c r="GF124" s="477">
        <v>3.7499999999999999E-2</v>
      </c>
      <c r="GG124" s="477">
        <v>3.7499999999999999E-2</v>
      </c>
      <c r="GH124" s="477">
        <v>3.7499999999999999E-2</v>
      </c>
      <c r="GI124" s="477">
        <v>3.7499999999999999E-2</v>
      </c>
      <c r="GJ124" s="477">
        <v>3.7499999999999999E-2</v>
      </c>
      <c r="GK124" s="477">
        <v>3.7499999999999999E-2</v>
      </c>
      <c r="GL124" s="477">
        <v>3.7499999999999999E-2</v>
      </c>
      <c r="GM124" s="477">
        <v>3.7499999999999999E-2</v>
      </c>
      <c r="GN124" s="477">
        <v>3.7499999999999999E-2</v>
      </c>
      <c r="GO124" s="477">
        <v>3.7499999999999999E-2</v>
      </c>
      <c r="GP124" s="477">
        <v>3.7499999999999999E-2</v>
      </c>
      <c r="GQ124" s="477">
        <v>3.7499999999999999E-2</v>
      </c>
      <c r="GR124" s="477">
        <v>3.7499999999999999E-2</v>
      </c>
      <c r="GS124" s="477">
        <v>3.7499999999999999E-2</v>
      </c>
      <c r="GT124" s="477">
        <v>3.7499999999999999E-2</v>
      </c>
      <c r="GU124" s="477">
        <v>3.7499999999999999E-2</v>
      </c>
      <c r="GV124" s="477">
        <v>3.7499999999999999E-2</v>
      </c>
      <c r="GW124" s="477">
        <v>3.7499999999999999E-2</v>
      </c>
      <c r="GX124" s="477">
        <v>3.7499999999999999E-2</v>
      </c>
      <c r="GY124" s="477">
        <v>3.7499999999999999E-2</v>
      </c>
      <c r="GZ124" s="477">
        <v>3.7499999999999999E-2</v>
      </c>
      <c r="HA124" s="477">
        <v>3.7499999999999999E-2</v>
      </c>
      <c r="HB124" s="477">
        <v>3.7499999999999999E-2</v>
      </c>
      <c r="HC124" s="477">
        <v>3.7499999999999999E-2</v>
      </c>
      <c r="HD124" s="477">
        <v>3.7499999999999999E-2</v>
      </c>
      <c r="HE124" s="477">
        <v>3.7499999999999999E-2</v>
      </c>
      <c r="HF124" s="477">
        <v>3.7499999999999999E-2</v>
      </c>
      <c r="HG124" s="477">
        <v>3.7499999999999999E-2</v>
      </c>
      <c r="HH124" s="477">
        <v>3.7499999999999999E-2</v>
      </c>
      <c r="HI124" s="477">
        <v>3.7499999999999999E-2</v>
      </c>
      <c r="HJ124" s="477">
        <v>3.7499999999999999E-2</v>
      </c>
      <c r="HK124" s="477">
        <v>3.7499999999999999E-2</v>
      </c>
      <c r="HL124" s="477">
        <v>3.7499999999999999E-2</v>
      </c>
      <c r="HM124" s="477">
        <v>3.7499999999999999E-2</v>
      </c>
      <c r="HN124" s="477">
        <v>3.7499999999999999E-2</v>
      </c>
      <c r="HO124" s="477">
        <v>3.7499999999999999E-2</v>
      </c>
      <c r="HP124" s="473">
        <f t="shared" si="49"/>
        <v>0</v>
      </c>
      <c r="HQ124" s="1136"/>
    </row>
    <row r="125" spans="1:225">
      <c r="B125" s="1125"/>
      <c r="C125" s="730" t="s">
        <v>260</v>
      </c>
      <c r="D125" s="502">
        <v>3.15E-2</v>
      </c>
      <c r="E125" s="502">
        <v>3.15E-2</v>
      </c>
      <c r="F125" s="500">
        <v>3.1E-2</v>
      </c>
      <c r="G125" s="500">
        <v>3.1E-2</v>
      </c>
      <c r="H125" s="500">
        <v>3.1E-2</v>
      </c>
      <c r="I125" s="500">
        <v>3.1E-2</v>
      </c>
      <c r="J125" s="500">
        <v>3.1E-2</v>
      </c>
      <c r="K125" s="500">
        <v>3.1E-2</v>
      </c>
      <c r="L125" s="500">
        <v>3.1E-2</v>
      </c>
      <c r="M125" s="500">
        <v>3.1E-2</v>
      </c>
      <c r="N125" s="500">
        <v>3.1E-2</v>
      </c>
      <c r="O125" s="502">
        <v>3.1E-2</v>
      </c>
      <c r="P125" s="500">
        <v>3.15E-2</v>
      </c>
      <c r="Q125" s="502">
        <v>3.15E-2</v>
      </c>
      <c r="R125" s="500">
        <v>3.2000000000000001E-2</v>
      </c>
      <c r="S125" s="502">
        <v>3.2000000000000001E-2</v>
      </c>
      <c r="T125" s="502">
        <v>3.3000000000000002E-2</v>
      </c>
      <c r="U125" s="501">
        <v>3.2500000000000001E-2</v>
      </c>
      <c r="V125" s="502">
        <v>3.2500000000000001E-2</v>
      </c>
      <c r="W125" s="493">
        <v>3.15E-2</v>
      </c>
      <c r="X125" s="493">
        <v>3.2500000000000001E-2</v>
      </c>
      <c r="Y125" s="476">
        <v>3.3000000000000002E-2</v>
      </c>
      <c r="Z125" s="493">
        <v>3.3000000000000002E-2</v>
      </c>
      <c r="AA125" s="493">
        <v>3.3500000000000002E-2</v>
      </c>
      <c r="AB125" s="493">
        <v>3.3000000000000002E-2</v>
      </c>
      <c r="AC125" s="493">
        <v>3.3500000000000002E-2</v>
      </c>
      <c r="AD125" s="493">
        <v>3.5499999999999997E-2</v>
      </c>
      <c r="AE125" s="493">
        <v>3.5999999999999997E-2</v>
      </c>
      <c r="AF125" s="493">
        <v>3.6499999999999998E-2</v>
      </c>
      <c r="AG125" s="476">
        <v>3.6999999999999998E-2</v>
      </c>
      <c r="AH125" s="476">
        <v>3.6999999999999998E-2</v>
      </c>
      <c r="AI125" s="493">
        <v>3.6999999999999998E-2</v>
      </c>
      <c r="AJ125" s="476">
        <v>3.7999999999999999E-2</v>
      </c>
      <c r="AK125" s="476">
        <v>3.7999999999999999E-2</v>
      </c>
      <c r="AL125" s="477">
        <v>3.7999999999999999E-2</v>
      </c>
      <c r="AM125" s="493">
        <v>3.7999999999999999E-2</v>
      </c>
      <c r="AN125" s="493">
        <v>3.7499999999999999E-2</v>
      </c>
      <c r="AO125" s="493">
        <v>3.7999999999999999E-2</v>
      </c>
      <c r="AP125" s="493">
        <v>3.85E-2</v>
      </c>
      <c r="AQ125" s="493">
        <v>3.9E-2</v>
      </c>
      <c r="AR125" s="476">
        <v>3.85E-2</v>
      </c>
      <c r="AS125" s="493">
        <v>3.85E-2</v>
      </c>
      <c r="AT125" s="476">
        <v>3.7999999999999999E-2</v>
      </c>
      <c r="AU125" s="476">
        <v>3.7999999999999999E-2</v>
      </c>
      <c r="AV125" s="493">
        <v>3.7999999999999999E-2</v>
      </c>
      <c r="AW125" s="477">
        <v>3.7499999999999999E-2</v>
      </c>
      <c r="AX125" s="477">
        <v>3.9E-2</v>
      </c>
      <c r="AY125" s="477">
        <v>3.9E-2</v>
      </c>
      <c r="AZ125" s="477">
        <v>3.9E-2</v>
      </c>
      <c r="BA125" s="477">
        <v>3.9E-2</v>
      </c>
      <c r="BB125" s="477">
        <v>3.9E-2</v>
      </c>
      <c r="BC125" s="477">
        <v>3.9E-2</v>
      </c>
      <c r="BD125" s="477">
        <v>3.9E-2</v>
      </c>
      <c r="BE125" s="477">
        <v>3.9E-2</v>
      </c>
      <c r="BF125" s="477">
        <v>3.9E-2</v>
      </c>
      <c r="BG125" s="477">
        <v>3.9E-2</v>
      </c>
      <c r="BH125" s="477">
        <v>3.95E-2</v>
      </c>
      <c r="BI125" s="477">
        <v>3.95E-2</v>
      </c>
      <c r="BJ125" s="477">
        <v>3.95E-2</v>
      </c>
      <c r="BK125" s="477">
        <v>3.95E-2</v>
      </c>
      <c r="BL125" s="477">
        <v>3.95E-2</v>
      </c>
      <c r="BM125" s="477">
        <v>3.95E-2</v>
      </c>
      <c r="BN125" s="477">
        <v>3.95E-2</v>
      </c>
      <c r="BO125" s="477">
        <v>0.04</v>
      </c>
      <c r="BP125" s="477">
        <v>0.04</v>
      </c>
      <c r="BQ125" s="477">
        <v>0.04</v>
      </c>
      <c r="BR125" s="477">
        <v>0.04</v>
      </c>
      <c r="BS125" s="477">
        <v>4.0500000000000001E-2</v>
      </c>
      <c r="BT125" s="477">
        <v>4.0500000000000001E-2</v>
      </c>
      <c r="BU125" s="477">
        <v>4.0500000000000001E-2</v>
      </c>
      <c r="BV125" s="477">
        <v>4.0500000000000001E-2</v>
      </c>
      <c r="BW125" s="477">
        <v>4.0500000000000001E-2</v>
      </c>
      <c r="BX125" s="477">
        <v>4.0500000000000001E-2</v>
      </c>
      <c r="BY125" s="477">
        <v>0.04</v>
      </c>
      <c r="BZ125" s="477">
        <v>0.04</v>
      </c>
      <c r="CA125" s="477">
        <v>4.0500000000000001E-2</v>
      </c>
      <c r="CB125" s="477">
        <v>4.2500000000000003E-2</v>
      </c>
      <c r="CC125" s="477">
        <v>4.4499999999999998E-2</v>
      </c>
      <c r="CD125" s="477">
        <v>4.4499999999999998E-2</v>
      </c>
      <c r="CE125" s="477">
        <v>4.4999999999999998E-2</v>
      </c>
      <c r="CF125" s="477">
        <v>4.4999999999999998E-2</v>
      </c>
      <c r="CG125" s="477">
        <v>4.4999999999999998E-2</v>
      </c>
      <c r="CH125" s="477">
        <v>4.8000000000000001E-2</v>
      </c>
      <c r="CI125" s="477">
        <v>4.8000000000000001E-2</v>
      </c>
      <c r="CJ125" s="477">
        <v>4.8500000000000001E-2</v>
      </c>
      <c r="CK125" s="477">
        <v>4.8500000000000001E-2</v>
      </c>
      <c r="CL125" s="477">
        <v>4.8500000000000001E-2</v>
      </c>
      <c r="CM125" s="477">
        <v>4.8500000000000001E-2</v>
      </c>
      <c r="CN125" s="477">
        <v>4.8500000000000001E-2</v>
      </c>
      <c r="CO125" s="477">
        <v>4.8500000000000001E-2</v>
      </c>
      <c r="CP125" s="477">
        <v>4.9000000000000002E-2</v>
      </c>
      <c r="CQ125" s="477">
        <v>4.9000000000000002E-2</v>
      </c>
      <c r="CR125" s="477">
        <v>4.8500000000000001E-2</v>
      </c>
      <c r="CS125" s="477">
        <v>4.8500000000000001E-2</v>
      </c>
      <c r="CT125" s="477">
        <v>4.8500000000000001E-2</v>
      </c>
      <c r="CU125" s="477">
        <v>4.8500000000000001E-2</v>
      </c>
      <c r="CV125" s="477">
        <v>4.8500000000000001E-2</v>
      </c>
      <c r="CW125" s="477">
        <v>4.8500000000000001E-2</v>
      </c>
      <c r="CX125" s="477">
        <v>4.8500000000000001E-2</v>
      </c>
      <c r="CY125" s="477">
        <v>4.8000000000000001E-2</v>
      </c>
      <c r="CZ125" s="477">
        <v>4.8000000000000001E-2</v>
      </c>
      <c r="DA125" s="477">
        <v>4.8000000000000001E-2</v>
      </c>
      <c r="DB125" s="477">
        <v>4.8000000000000001E-2</v>
      </c>
      <c r="DC125" s="477">
        <v>4.8000000000000001E-2</v>
      </c>
      <c r="DD125" s="477">
        <v>4.8000000000000001E-2</v>
      </c>
      <c r="DE125" s="477">
        <v>4.8000000000000001E-2</v>
      </c>
      <c r="DF125" s="477">
        <v>4.8000000000000001E-2</v>
      </c>
      <c r="DG125" s="477">
        <v>4.8000000000000001E-2</v>
      </c>
      <c r="DH125" s="477">
        <v>4.8000000000000001E-2</v>
      </c>
      <c r="DI125" s="477">
        <v>4.9000000000000002E-2</v>
      </c>
      <c r="DJ125" s="477">
        <v>4.9000000000000002E-2</v>
      </c>
      <c r="DK125" s="477">
        <v>4.9000000000000002E-2</v>
      </c>
      <c r="DL125" s="477">
        <v>4.9500000000000002E-2</v>
      </c>
      <c r="DM125" s="477">
        <v>5.0500000000000003E-2</v>
      </c>
      <c r="DN125" s="477">
        <v>5.0500000000000003E-2</v>
      </c>
      <c r="DO125" s="477">
        <v>5.1999999999999998E-2</v>
      </c>
      <c r="DP125" s="477">
        <v>5.1999999999999998E-2</v>
      </c>
      <c r="DQ125" s="477">
        <v>5.1999999999999998E-2</v>
      </c>
      <c r="DR125" s="477">
        <v>5.1999999999999998E-2</v>
      </c>
      <c r="DS125" s="477">
        <v>5.1999999999999998E-2</v>
      </c>
      <c r="DT125" s="477">
        <v>5.2499999999999998E-2</v>
      </c>
      <c r="DU125" s="477">
        <v>5.2499999999999998E-2</v>
      </c>
      <c r="DV125" s="477">
        <v>5.2499999999999998E-2</v>
      </c>
      <c r="DW125" s="477">
        <v>5.2499999999999998E-2</v>
      </c>
      <c r="DX125" s="477">
        <v>5.1999999999999998E-2</v>
      </c>
      <c r="DY125" s="477">
        <v>5.1999999999999998E-2</v>
      </c>
      <c r="DZ125" s="477">
        <v>5.1999999999999998E-2</v>
      </c>
      <c r="EA125" s="477">
        <v>5.1499999999999997E-2</v>
      </c>
      <c r="EB125" s="477">
        <v>5.1499999999999997E-2</v>
      </c>
      <c r="EC125" s="477">
        <v>5.1499999999999997E-2</v>
      </c>
      <c r="ED125" s="477">
        <v>5.1499999999999997E-2</v>
      </c>
      <c r="EE125" s="477">
        <v>5.1499999999999997E-2</v>
      </c>
      <c r="EF125" s="477">
        <v>5.1499999999999997E-2</v>
      </c>
      <c r="EG125" s="477">
        <v>5.1499999999999997E-2</v>
      </c>
      <c r="EH125" s="477">
        <v>5.1499999999999997E-2</v>
      </c>
      <c r="EI125" s="482">
        <v>4.1000000000000002E-2</v>
      </c>
      <c r="EJ125" s="482">
        <v>3.85E-2</v>
      </c>
      <c r="EK125" s="482">
        <v>3.85E-2</v>
      </c>
      <c r="EL125" s="482">
        <v>3.4000000000000002E-2</v>
      </c>
      <c r="EM125" s="482">
        <v>3.3000000000000002E-2</v>
      </c>
      <c r="EN125" s="477">
        <v>4.7500000000000001E-2</v>
      </c>
      <c r="EO125" s="477">
        <v>4.7E-2</v>
      </c>
      <c r="EP125" s="477">
        <v>4.7E-2</v>
      </c>
      <c r="EQ125" s="477">
        <v>4.7E-2</v>
      </c>
      <c r="ER125" s="482">
        <v>4.7500000000000001E-2</v>
      </c>
      <c r="ES125" s="482">
        <v>4.65E-2</v>
      </c>
      <c r="ET125" s="482">
        <v>4.5999999999999999E-2</v>
      </c>
      <c r="EU125" s="482">
        <v>4.5999999999999999E-2</v>
      </c>
      <c r="EV125" s="482">
        <v>4.4999999999999998E-2</v>
      </c>
      <c r="EW125" s="482">
        <v>4.3499999999999997E-2</v>
      </c>
      <c r="EX125" s="482">
        <v>4.2999999999999997E-2</v>
      </c>
      <c r="EY125" s="482">
        <v>4.3999999999999997E-2</v>
      </c>
      <c r="EZ125" s="482">
        <v>4.7500000000000001E-2</v>
      </c>
      <c r="FA125" s="484">
        <v>4.5999999999999999E-2</v>
      </c>
      <c r="FB125" s="484">
        <v>4.5999999999999999E-2</v>
      </c>
      <c r="FC125" s="477">
        <v>4.5499999999999999E-2</v>
      </c>
      <c r="FD125" s="477">
        <v>4.5499999999999999E-2</v>
      </c>
      <c r="FE125" s="477">
        <v>4.5499999999999999E-2</v>
      </c>
      <c r="FF125" s="477">
        <v>4.5499999999999999E-2</v>
      </c>
      <c r="FG125" s="477">
        <v>4.5499999999999999E-2</v>
      </c>
      <c r="FH125" s="477">
        <v>4.5999999999999999E-2</v>
      </c>
      <c r="FI125" s="477">
        <v>4.5999999999999999E-2</v>
      </c>
      <c r="FJ125" s="477">
        <v>4.5999999999999999E-2</v>
      </c>
      <c r="FK125" s="477">
        <v>4.65E-2</v>
      </c>
      <c r="FL125" s="477">
        <v>4.65E-2</v>
      </c>
      <c r="FM125" s="477">
        <v>4.7E-2</v>
      </c>
      <c r="FN125" s="477">
        <v>4.7500000000000001E-2</v>
      </c>
      <c r="FO125" s="477">
        <v>4.65E-2</v>
      </c>
      <c r="FP125" s="477">
        <v>4.5999999999999999E-2</v>
      </c>
      <c r="FQ125" s="477">
        <v>4.65E-2</v>
      </c>
      <c r="FR125" s="477">
        <v>4.4499999999999998E-2</v>
      </c>
      <c r="FS125" s="477">
        <v>4.4499999999999998E-2</v>
      </c>
      <c r="FT125" s="477">
        <v>4.2500000000000003E-2</v>
      </c>
      <c r="FU125" s="477">
        <v>4.0500000000000001E-2</v>
      </c>
      <c r="FV125" s="477">
        <v>4.9500000000000002E-2</v>
      </c>
      <c r="FW125" s="477">
        <v>4.9000000000000002E-2</v>
      </c>
      <c r="FX125" s="477">
        <v>5.0999999999999997E-2</v>
      </c>
      <c r="FY125" s="477">
        <v>5.0999999999999997E-2</v>
      </c>
      <c r="FZ125" s="477">
        <v>5.0500000000000003E-2</v>
      </c>
      <c r="GA125" s="477">
        <v>5.0500000000000003E-2</v>
      </c>
      <c r="GB125" s="477">
        <v>0.05</v>
      </c>
      <c r="GC125" s="477">
        <v>4.9500000000000002E-2</v>
      </c>
      <c r="GD125" s="477">
        <v>3.85E-2</v>
      </c>
      <c r="GE125" s="477">
        <v>3.85E-2</v>
      </c>
      <c r="GF125" s="477">
        <v>3.85E-2</v>
      </c>
      <c r="GG125" s="477">
        <v>3.85E-2</v>
      </c>
      <c r="GH125" s="477">
        <v>3.85E-2</v>
      </c>
      <c r="GI125" s="477">
        <v>3.85E-2</v>
      </c>
      <c r="GJ125" s="477">
        <v>3.85E-2</v>
      </c>
      <c r="GK125" s="477">
        <v>3.85E-2</v>
      </c>
      <c r="GL125" s="477">
        <v>3.85E-2</v>
      </c>
      <c r="GM125" s="477">
        <v>3.85E-2</v>
      </c>
      <c r="GN125" s="477">
        <v>3.85E-2</v>
      </c>
      <c r="GO125" s="477">
        <v>3.85E-2</v>
      </c>
      <c r="GP125" s="477">
        <v>3.85E-2</v>
      </c>
      <c r="GQ125" s="477">
        <v>3.85E-2</v>
      </c>
      <c r="GR125" s="477">
        <v>3.85E-2</v>
      </c>
      <c r="GS125" s="477">
        <v>3.85E-2</v>
      </c>
      <c r="GT125" s="477">
        <v>3.85E-2</v>
      </c>
      <c r="GU125" s="477">
        <v>3.85E-2</v>
      </c>
      <c r="GV125" s="477">
        <v>3.85E-2</v>
      </c>
      <c r="GW125" s="477">
        <v>3.85E-2</v>
      </c>
      <c r="GX125" s="477">
        <v>3.85E-2</v>
      </c>
      <c r="GY125" s="477">
        <v>3.85E-2</v>
      </c>
      <c r="GZ125" s="477">
        <v>3.85E-2</v>
      </c>
      <c r="HA125" s="477">
        <v>3.85E-2</v>
      </c>
      <c r="HB125" s="477">
        <v>3.85E-2</v>
      </c>
      <c r="HC125" s="477">
        <v>3.85E-2</v>
      </c>
      <c r="HD125" s="477">
        <v>3.85E-2</v>
      </c>
      <c r="HE125" s="477">
        <v>3.85E-2</v>
      </c>
      <c r="HF125" s="477">
        <v>3.85E-2</v>
      </c>
      <c r="HG125" s="477">
        <v>3.85E-2</v>
      </c>
      <c r="HH125" s="477">
        <v>3.85E-2</v>
      </c>
      <c r="HI125" s="477">
        <v>3.85E-2</v>
      </c>
      <c r="HJ125" s="477">
        <v>3.85E-2</v>
      </c>
      <c r="HK125" s="477">
        <v>3.85E-2</v>
      </c>
      <c r="HL125" s="477">
        <v>3.85E-2</v>
      </c>
      <c r="HM125" s="477">
        <v>3.85E-2</v>
      </c>
      <c r="HN125" s="477">
        <v>3.85E-2</v>
      </c>
      <c r="HO125" s="477">
        <v>3.85E-2</v>
      </c>
      <c r="HP125" s="473">
        <f t="shared" si="49"/>
        <v>0</v>
      </c>
      <c r="HQ125" s="1137"/>
    </row>
    <row r="126" spans="1:225">
      <c r="B126" s="1138" t="s">
        <v>50</v>
      </c>
      <c r="C126" s="729" t="s">
        <v>258</v>
      </c>
      <c r="D126" s="664">
        <v>2.76E-2</v>
      </c>
      <c r="E126" s="664">
        <v>2.76E-2</v>
      </c>
      <c r="F126" s="664">
        <v>2.7099999999999999E-2</v>
      </c>
      <c r="G126" s="664">
        <v>2.7E-2</v>
      </c>
      <c r="H126" s="664">
        <v>2.64E-2</v>
      </c>
      <c r="I126" s="664">
        <v>2.7099999999999999E-2</v>
      </c>
      <c r="J126" s="664">
        <v>2.7E-2</v>
      </c>
      <c r="K126" s="666">
        <v>2.7099999999999999E-2</v>
      </c>
      <c r="L126" s="666">
        <v>2.7099999999999999E-2</v>
      </c>
      <c r="M126" s="666">
        <v>2.7099999999999999E-2</v>
      </c>
      <c r="N126" s="664">
        <v>2.7099999999999999E-2</v>
      </c>
      <c r="O126" s="664">
        <v>2.75E-2</v>
      </c>
      <c r="P126" s="664">
        <v>2.76E-2</v>
      </c>
      <c r="Q126" s="664">
        <v>2.8199999999999999E-2</v>
      </c>
      <c r="R126" s="664">
        <v>2.81E-2</v>
      </c>
      <c r="S126" s="664">
        <v>2.8299999999999999E-2</v>
      </c>
      <c r="T126" s="589">
        <v>2.86E-2</v>
      </c>
      <c r="U126" s="589">
        <v>2.8300000000000002E-2</v>
      </c>
      <c r="V126" s="589">
        <v>2.8400000000000002E-2</v>
      </c>
      <c r="W126" s="470">
        <v>2.7699999999999999E-2</v>
      </c>
      <c r="X126" s="470">
        <v>2.7799999999999998E-2</v>
      </c>
      <c r="Y126" s="470">
        <v>2.81E-2</v>
      </c>
      <c r="Z126" s="471">
        <v>2.87E-2</v>
      </c>
      <c r="AA126" s="470">
        <v>2.87E-2</v>
      </c>
      <c r="AB126" s="470">
        <v>2.92E-2</v>
      </c>
      <c r="AC126" s="470">
        <v>2.93E-2</v>
      </c>
      <c r="AD126" s="470">
        <v>2.9799999999999997E-2</v>
      </c>
      <c r="AE126" s="470">
        <v>3.0799999999999998E-2</v>
      </c>
      <c r="AF126" s="470">
        <v>3.1199999999999999E-2</v>
      </c>
      <c r="AG126" s="470">
        <v>3.1300000000000001E-2</v>
      </c>
      <c r="AH126" s="503">
        <v>3.1199999999999999E-2</v>
      </c>
      <c r="AI126" s="503">
        <v>3.1600000000000003E-2</v>
      </c>
      <c r="AJ126" s="503">
        <v>3.2599999999999997E-2</v>
      </c>
      <c r="AK126" s="503">
        <v>3.2899999999999999E-2</v>
      </c>
      <c r="AL126" s="503">
        <v>3.3099999999999997E-2</v>
      </c>
      <c r="AM126" s="503">
        <v>3.3000000000000002E-2</v>
      </c>
      <c r="AN126" s="503">
        <v>3.2199999999999999E-2</v>
      </c>
      <c r="AO126" s="503">
        <v>3.2599999999999997E-2</v>
      </c>
      <c r="AP126" s="503">
        <v>3.3300000000000003E-2</v>
      </c>
      <c r="AQ126" s="503">
        <v>3.3500000000000002E-2</v>
      </c>
      <c r="AR126" s="503">
        <v>3.3300000000000003E-2</v>
      </c>
      <c r="AS126" s="503">
        <v>3.3700000000000001E-2</v>
      </c>
      <c r="AT126" s="478">
        <v>3.4000000000000002E-2</v>
      </c>
      <c r="AU126" s="478">
        <v>3.4000000000000002E-2</v>
      </c>
      <c r="AV126" s="503">
        <v>3.32E-2</v>
      </c>
      <c r="AW126" s="479">
        <v>3.3000000000000002E-2</v>
      </c>
      <c r="AX126" s="479">
        <v>3.3000000000000002E-2</v>
      </c>
      <c r="AY126" s="479">
        <v>3.3000000000000002E-2</v>
      </c>
      <c r="AZ126" s="479">
        <v>3.3000000000000002E-2</v>
      </c>
      <c r="BA126" s="479">
        <v>3.3000000000000002E-2</v>
      </c>
      <c r="BB126" s="479">
        <v>3.3000000000000002E-2</v>
      </c>
      <c r="BC126" s="479">
        <v>3.3000000000000002E-2</v>
      </c>
      <c r="BD126" s="479">
        <v>3.3300000000000003E-2</v>
      </c>
      <c r="BE126" s="479">
        <v>3.3300000000000003E-2</v>
      </c>
      <c r="BF126" s="479">
        <v>3.3300000000000003E-2</v>
      </c>
      <c r="BG126" s="479">
        <v>3.3300000000000003E-2</v>
      </c>
      <c r="BH126" s="479">
        <v>3.3799999999999997E-2</v>
      </c>
      <c r="BI126" s="479">
        <v>3.3799999999999997E-2</v>
      </c>
      <c r="BJ126" s="479">
        <v>3.3799999999999997E-2</v>
      </c>
      <c r="BK126" s="479">
        <v>3.3799999999999997E-2</v>
      </c>
      <c r="BL126" s="479">
        <v>3.3500000000000002E-2</v>
      </c>
      <c r="BM126" s="479">
        <v>3.3500000000000002E-2</v>
      </c>
      <c r="BN126" s="479">
        <v>3.3500000000000002E-2</v>
      </c>
      <c r="BO126" s="479">
        <v>3.3500000000000002E-2</v>
      </c>
      <c r="BP126" s="479">
        <v>3.4700000000000002E-2</v>
      </c>
      <c r="BQ126" s="479">
        <v>3.4700000000000002E-2</v>
      </c>
      <c r="BR126" s="479">
        <v>3.5299999999999998E-2</v>
      </c>
      <c r="BS126" s="479">
        <v>3.5299999999999998E-2</v>
      </c>
      <c r="BT126" s="479">
        <v>3.4799999999999998E-2</v>
      </c>
      <c r="BU126" s="479">
        <v>3.4799999999999998E-2</v>
      </c>
      <c r="BV126" s="479">
        <v>3.5299999999999998E-2</v>
      </c>
      <c r="BW126" s="479">
        <v>3.5299999999999998E-2</v>
      </c>
      <c r="BX126" s="479">
        <v>3.5299999999999998E-2</v>
      </c>
      <c r="BY126" s="479">
        <v>3.3399999999999999E-2</v>
      </c>
      <c r="BZ126" s="479">
        <v>3.3399999999999999E-2</v>
      </c>
      <c r="CA126" s="479">
        <v>3.5299999999999998E-2</v>
      </c>
      <c r="CB126" s="479">
        <v>3.6299999999999999E-2</v>
      </c>
      <c r="CC126" s="479">
        <v>3.7499999999999999E-2</v>
      </c>
      <c r="CD126" s="479">
        <v>3.8100000000000002E-2</v>
      </c>
      <c r="CE126" s="479">
        <v>3.8699999999999998E-2</v>
      </c>
      <c r="CF126" s="479">
        <v>3.85E-2</v>
      </c>
      <c r="CG126" s="479">
        <v>3.8899999999999997E-2</v>
      </c>
      <c r="CH126" s="479">
        <v>4.1700000000000001E-2</v>
      </c>
      <c r="CI126" s="479">
        <v>4.224E-2</v>
      </c>
      <c r="CJ126" s="479">
        <v>4.2000000000000003E-2</v>
      </c>
      <c r="CK126" s="479">
        <v>4.2900000000000001E-2</v>
      </c>
      <c r="CL126" s="479">
        <v>4.3200000000000002E-2</v>
      </c>
      <c r="CM126" s="479">
        <v>4.3400000000000001E-2</v>
      </c>
      <c r="CN126" s="479">
        <v>4.3700000000000003E-2</v>
      </c>
      <c r="CO126" s="479">
        <v>4.3900000000000002E-2</v>
      </c>
      <c r="CP126" s="479">
        <v>4.3799999999999999E-2</v>
      </c>
      <c r="CQ126" s="479">
        <v>4.4600000000000001E-2</v>
      </c>
      <c r="CR126" s="479">
        <v>4.4200000000000003E-2</v>
      </c>
      <c r="CS126" s="479">
        <v>4.4200000000000003E-2</v>
      </c>
      <c r="CT126" s="479">
        <v>4.3900000000000002E-2</v>
      </c>
      <c r="CU126" s="484">
        <v>4.3900000000000002E-2</v>
      </c>
      <c r="CV126" s="479">
        <v>4.3799999999999999E-2</v>
      </c>
      <c r="CW126" s="524">
        <v>4.4499999999999998E-2</v>
      </c>
      <c r="CX126" s="472">
        <v>4.41E-2</v>
      </c>
      <c r="CY126" s="472">
        <v>4.3900000000000002E-2</v>
      </c>
      <c r="CZ126" s="472">
        <v>4.3799999999999999E-2</v>
      </c>
      <c r="DA126" s="472">
        <v>4.3700000000000003E-2</v>
      </c>
      <c r="DB126" s="472">
        <v>4.3999999999999997E-2</v>
      </c>
      <c r="DC126" s="484">
        <v>4.3999999999999997E-2</v>
      </c>
      <c r="DD126" s="484">
        <v>4.4900000000000002E-2</v>
      </c>
      <c r="DE126" s="472">
        <v>4.4699999999999997E-2</v>
      </c>
      <c r="DF126" s="472">
        <v>4.4699999999999997E-2</v>
      </c>
      <c r="DG126" s="472">
        <v>4.41E-2</v>
      </c>
      <c r="DH126" s="472">
        <v>4.3499999999999997E-2</v>
      </c>
      <c r="DI126" s="472">
        <v>4.3799999999999999E-2</v>
      </c>
      <c r="DJ126" s="472">
        <v>4.36E-2</v>
      </c>
      <c r="DK126" s="472">
        <v>4.4699999999999997E-2</v>
      </c>
      <c r="DL126" s="472">
        <v>4.48E-2</v>
      </c>
      <c r="DM126" s="472">
        <v>4.4999999999999998E-2</v>
      </c>
      <c r="DN126" s="472">
        <v>4.5900000000000003E-2</v>
      </c>
      <c r="DO126" s="472">
        <v>4.6800000000000001E-2</v>
      </c>
      <c r="DP126" s="472">
        <v>4.65E-2</v>
      </c>
      <c r="DQ126" s="472">
        <v>4.7300000000000002E-2</v>
      </c>
      <c r="DR126" s="472">
        <v>4.7300000000000002E-2</v>
      </c>
      <c r="DS126" s="472">
        <v>4.7100000000000003E-2</v>
      </c>
      <c r="DT126" s="472">
        <v>4.7399999999999998E-2</v>
      </c>
      <c r="DU126" s="472">
        <v>4.8099999999999997E-2</v>
      </c>
      <c r="DV126" s="472">
        <v>4.8000000000000001E-2</v>
      </c>
      <c r="DW126" s="472">
        <v>5.1700000000000003E-2</v>
      </c>
      <c r="DX126" s="472">
        <v>5.11E-2</v>
      </c>
      <c r="DY126" s="472">
        <v>5.1400000000000001E-2</v>
      </c>
      <c r="DZ126" s="472">
        <v>5.1499999999999997E-2</v>
      </c>
      <c r="EA126" s="472">
        <v>5.1499999999999997E-2</v>
      </c>
      <c r="EB126" s="472">
        <v>5.1200000000000002E-2</v>
      </c>
      <c r="EC126" s="472">
        <v>5.1400000000000001E-2</v>
      </c>
      <c r="ED126" s="472">
        <v>5.1299999999999998E-2</v>
      </c>
      <c r="EE126" s="472">
        <v>5.0900000000000001E-2</v>
      </c>
      <c r="EF126" s="472">
        <v>5.0999999999999997E-2</v>
      </c>
      <c r="EG126" s="472">
        <v>5.0999999999999997E-2</v>
      </c>
      <c r="EH126" s="472">
        <v>5.1299999999999998E-2</v>
      </c>
      <c r="EI126" s="472">
        <v>3.6999999999999998E-2</v>
      </c>
      <c r="EJ126" s="472">
        <v>3.6799999999999999E-2</v>
      </c>
      <c r="EK126" s="472">
        <v>3.5900000000000001E-2</v>
      </c>
      <c r="EL126" s="472">
        <v>3.4799999999999998E-2</v>
      </c>
      <c r="EM126" s="472">
        <v>3.04E-2</v>
      </c>
      <c r="EN126" s="472">
        <v>4.8000000000000001E-2</v>
      </c>
      <c r="EO126" s="472">
        <v>4.6800000000000001E-2</v>
      </c>
      <c r="EP126" s="472">
        <v>4.6699999999999998E-2</v>
      </c>
      <c r="EQ126" s="472">
        <v>4.65E-2</v>
      </c>
      <c r="ER126" s="472">
        <v>4.7600000000000003E-2</v>
      </c>
      <c r="ES126" s="472">
        <v>4.8000000000000001E-2</v>
      </c>
      <c r="ET126" s="472">
        <v>4.7E-2</v>
      </c>
      <c r="EU126" s="472">
        <v>4.6699999999999998E-2</v>
      </c>
      <c r="EV126" s="472">
        <v>4.5999999999999999E-2</v>
      </c>
      <c r="EW126" s="472">
        <v>4.4600000000000001E-2</v>
      </c>
      <c r="EX126" s="472">
        <v>4.1099999999999998E-2</v>
      </c>
      <c r="EY126" s="472">
        <v>4.36E-2</v>
      </c>
      <c r="EZ126" s="472">
        <v>4.7E-2</v>
      </c>
      <c r="FA126" s="484">
        <v>4.6399999999999997E-2</v>
      </c>
      <c r="FB126" s="484">
        <v>4.5999999999999999E-2</v>
      </c>
      <c r="FC126" s="472">
        <v>4.5400000000000003E-2</v>
      </c>
      <c r="FD126" s="472">
        <v>4.4600000000000001E-2</v>
      </c>
      <c r="FE126" s="484">
        <v>4.36E-2</v>
      </c>
      <c r="FF126" s="484">
        <v>4.4499999999999998E-2</v>
      </c>
      <c r="FG126" s="484">
        <v>4.4299999999999999E-2</v>
      </c>
      <c r="FH126" s="484">
        <v>4.4299999999999999E-2</v>
      </c>
      <c r="FI126" s="484">
        <v>4.53E-2</v>
      </c>
      <c r="FJ126" s="484">
        <v>4.6699999999999998E-2</v>
      </c>
      <c r="FK126" s="484">
        <v>4.5999999999999999E-2</v>
      </c>
      <c r="FL126" s="484">
        <v>4.5699999999999998E-2</v>
      </c>
      <c r="FM126" s="484">
        <v>4.5999999999999999E-2</v>
      </c>
      <c r="FN126" s="484">
        <v>4.6199999999999998E-2</v>
      </c>
      <c r="FO126" s="484">
        <v>4.5999999999999999E-2</v>
      </c>
      <c r="FP126" s="484">
        <v>4.48E-2</v>
      </c>
      <c r="FQ126" s="484">
        <v>4.53E-2</v>
      </c>
      <c r="FR126" s="484">
        <v>4.4900000000000002E-2</v>
      </c>
      <c r="FS126" s="484">
        <v>4.1399999999999999E-2</v>
      </c>
      <c r="FT126" s="484">
        <v>4.07E-2</v>
      </c>
      <c r="FU126" s="484">
        <v>3.8800000000000001E-2</v>
      </c>
      <c r="FV126" s="472">
        <v>4.9799999999999997E-2</v>
      </c>
      <c r="FW126" s="472">
        <v>4.9299999999999997E-2</v>
      </c>
      <c r="FX126" s="472">
        <v>5.0900000000000001E-2</v>
      </c>
      <c r="FY126" s="472">
        <v>5.0900000000000001E-2</v>
      </c>
      <c r="FZ126" s="472">
        <v>5.0599999999999999E-2</v>
      </c>
      <c r="GA126" s="472">
        <v>0.05</v>
      </c>
      <c r="GB126" s="472">
        <v>5.0500000000000003E-2</v>
      </c>
      <c r="GC126" s="472">
        <v>5.0099999999999999E-2</v>
      </c>
      <c r="GD126" s="472">
        <v>3.5900000000000001E-2</v>
      </c>
      <c r="GE126" s="472">
        <v>3.5900000000000001E-2</v>
      </c>
      <c r="GF126" s="472">
        <v>3.5900000000000001E-2</v>
      </c>
      <c r="GG126" s="472">
        <v>3.5900000000000001E-2</v>
      </c>
      <c r="GH126" s="472">
        <v>3.5900000000000001E-2</v>
      </c>
      <c r="GI126" s="472">
        <v>3.5900000000000001E-2</v>
      </c>
      <c r="GJ126" s="472">
        <v>3.5900000000000001E-2</v>
      </c>
      <c r="GK126" s="472">
        <v>3.5900000000000001E-2</v>
      </c>
      <c r="GL126" s="472">
        <v>3.5900000000000001E-2</v>
      </c>
      <c r="GM126" s="472">
        <v>3.5900000000000001E-2</v>
      </c>
      <c r="GN126" s="472">
        <v>3.5900000000000001E-2</v>
      </c>
      <c r="GO126" s="472">
        <v>3.5900000000000001E-2</v>
      </c>
      <c r="GP126" s="472">
        <v>3.5900000000000001E-2</v>
      </c>
      <c r="GQ126" s="472">
        <v>3.5900000000000001E-2</v>
      </c>
      <c r="GR126" s="472">
        <v>3.5900000000000001E-2</v>
      </c>
      <c r="GS126" s="472">
        <v>3.5900000000000001E-2</v>
      </c>
      <c r="GT126" s="472">
        <v>3.5900000000000001E-2</v>
      </c>
      <c r="GU126" s="472">
        <v>3.5900000000000001E-2</v>
      </c>
      <c r="GV126" s="472">
        <v>3.5900000000000001E-2</v>
      </c>
      <c r="GW126" s="472">
        <v>3.5900000000000001E-2</v>
      </c>
      <c r="GX126" s="472">
        <v>3.5900000000000001E-2</v>
      </c>
      <c r="GY126" s="472">
        <v>3.5900000000000001E-2</v>
      </c>
      <c r="GZ126" s="472">
        <v>3.5900000000000001E-2</v>
      </c>
      <c r="HA126" s="472">
        <v>3.5900000000000001E-2</v>
      </c>
      <c r="HB126" s="472">
        <v>3.5900000000000001E-2</v>
      </c>
      <c r="HC126" s="472">
        <v>3.5900000000000001E-2</v>
      </c>
      <c r="HD126" s="472">
        <v>3.5900000000000001E-2</v>
      </c>
      <c r="HE126" s="472">
        <v>3.5900000000000001E-2</v>
      </c>
      <c r="HF126" s="472">
        <v>3.5900000000000001E-2</v>
      </c>
      <c r="HG126" s="472">
        <v>3.5900000000000001E-2</v>
      </c>
      <c r="HH126" s="472">
        <v>3.5900000000000001E-2</v>
      </c>
      <c r="HI126" s="472">
        <v>3.5900000000000001E-2</v>
      </c>
      <c r="HJ126" s="472">
        <v>3.5900000000000001E-2</v>
      </c>
      <c r="HK126" s="472">
        <v>3.5900000000000001E-2</v>
      </c>
      <c r="HL126" s="472">
        <v>3.5900000000000001E-2</v>
      </c>
      <c r="HM126" s="472">
        <v>3.5900000000000001E-2</v>
      </c>
      <c r="HN126" s="472">
        <v>3.5900000000000001E-2</v>
      </c>
      <c r="HO126" s="472">
        <v>3.5900000000000001E-2</v>
      </c>
      <c r="HP126" s="473">
        <f t="shared" si="49"/>
        <v>0</v>
      </c>
      <c r="HQ126" s="1145"/>
    </row>
    <row r="127" spans="1:225">
      <c r="B127" s="1139"/>
      <c r="C127" s="729" t="s">
        <v>255</v>
      </c>
      <c r="D127" s="664">
        <v>2.76E-2</v>
      </c>
      <c r="E127" s="664">
        <v>2.76E-2</v>
      </c>
      <c r="F127" s="664">
        <v>2.7099999999999999E-2</v>
      </c>
      <c r="G127" s="664">
        <v>2.7E-2</v>
      </c>
      <c r="H127" s="664">
        <v>2.64E-2</v>
      </c>
      <c r="I127" s="664">
        <v>2.7099999999999999E-2</v>
      </c>
      <c r="J127" s="664">
        <v>2.7E-2</v>
      </c>
      <c r="K127" s="666">
        <v>2.7099999999999999E-2</v>
      </c>
      <c r="L127" s="666">
        <v>2.7099999999999999E-2</v>
      </c>
      <c r="M127" s="666">
        <v>2.7099999999999999E-2</v>
      </c>
      <c r="N127" s="664">
        <v>2.7099999999999999E-2</v>
      </c>
      <c r="O127" s="664">
        <v>2.75E-2</v>
      </c>
      <c r="P127" s="664">
        <v>2.76E-2</v>
      </c>
      <c r="Q127" s="664">
        <v>2.8199999999999999E-2</v>
      </c>
      <c r="R127" s="664">
        <v>2.81E-2</v>
      </c>
      <c r="S127" s="664">
        <v>2.8299999999999999E-2</v>
      </c>
      <c r="T127" s="589">
        <v>2.86E-2</v>
      </c>
      <c r="U127" s="589">
        <v>2.8300000000000002E-2</v>
      </c>
      <c r="V127" s="589">
        <v>2.8400000000000002E-2</v>
      </c>
      <c r="W127" s="470">
        <v>2.7699999999999999E-2</v>
      </c>
      <c r="X127" s="470">
        <v>2.7799999999999998E-2</v>
      </c>
      <c r="Y127" s="470">
        <v>2.81E-2</v>
      </c>
      <c r="Z127" s="471">
        <v>2.87E-2</v>
      </c>
      <c r="AA127" s="470">
        <v>2.87E-2</v>
      </c>
      <c r="AB127" s="470">
        <v>2.92E-2</v>
      </c>
      <c r="AC127" s="470">
        <v>2.93E-2</v>
      </c>
      <c r="AD127" s="470">
        <v>2.9799999999999997E-2</v>
      </c>
      <c r="AE127" s="470">
        <v>3.0799999999999998E-2</v>
      </c>
      <c r="AF127" s="470">
        <v>3.1199999999999999E-2</v>
      </c>
      <c r="AG127" s="470">
        <v>3.1300000000000001E-2</v>
      </c>
      <c r="AH127" s="503">
        <v>3.1199999999999999E-2</v>
      </c>
      <c r="AI127" s="503">
        <v>3.1600000000000003E-2</v>
      </c>
      <c r="AJ127" s="503">
        <v>3.2599999999999997E-2</v>
      </c>
      <c r="AK127" s="503">
        <v>3.2899999999999999E-2</v>
      </c>
      <c r="AL127" s="503">
        <v>3.3099999999999997E-2</v>
      </c>
      <c r="AM127" s="503">
        <v>3.3000000000000002E-2</v>
      </c>
      <c r="AN127" s="503">
        <v>3.2199999999999999E-2</v>
      </c>
      <c r="AO127" s="503">
        <v>3.2599999999999997E-2</v>
      </c>
      <c r="AP127" s="503">
        <v>3.3300000000000003E-2</v>
      </c>
      <c r="AQ127" s="503">
        <v>3.3500000000000002E-2</v>
      </c>
      <c r="AR127" s="503">
        <v>3.3300000000000003E-2</v>
      </c>
      <c r="AS127" s="503">
        <v>3.3700000000000001E-2</v>
      </c>
      <c r="AT127" s="478">
        <v>3.4000000000000002E-2</v>
      </c>
      <c r="AU127" s="478">
        <v>3.4000000000000002E-2</v>
      </c>
      <c r="AV127" s="503">
        <v>3.32E-2</v>
      </c>
      <c r="AW127" s="479">
        <v>3.3000000000000002E-2</v>
      </c>
      <c r="AX127" s="479">
        <v>3.3000000000000002E-2</v>
      </c>
      <c r="AY127" s="479">
        <v>3.3000000000000002E-2</v>
      </c>
      <c r="AZ127" s="479">
        <v>3.3000000000000002E-2</v>
      </c>
      <c r="BA127" s="479">
        <v>3.3000000000000002E-2</v>
      </c>
      <c r="BB127" s="479">
        <v>3.3000000000000002E-2</v>
      </c>
      <c r="BC127" s="479">
        <v>3.3000000000000002E-2</v>
      </c>
      <c r="BD127" s="479">
        <v>3.3300000000000003E-2</v>
      </c>
      <c r="BE127" s="479">
        <v>3.3300000000000003E-2</v>
      </c>
      <c r="BF127" s="479">
        <v>3.3300000000000003E-2</v>
      </c>
      <c r="BG127" s="479">
        <v>3.3300000000000003E-2</v>
      </c>
      <c r="BH127" s="479">
        <v>3.3799999999999997E-2</v>
      </c>
      <c r="BI127" s="479">
        <v>3.3799999999999997E-2</v>
      </c>
      <c r="BJ127" s="479">
        <v>3.3799999999999997E-2</v>
      </c>
      <c r="BK127" s="479">
        <v>3.3799999999999997E-2</v>
      </c>
      <c r="BL127" s="479">
        <v>3.3500000000000002E-2</v>
      </c>
      <c r="BM127" s="479">
        <v>3.3500000000000002E-2</v>
      </c>
      <c r="BN127" s="479">
        <v>3.3500000000000002E-2</v>
      </c>
      <c r="BO127" s="479">
        <v>3.3500000000000002E-2</v>
      </c>
      <c r="BP127" s="479">
        <v>3.4700000000000002E-2</v>
      </c>
      <c r="BQ127" s="479">
        <v>3.4700000000000002E-2</v>
      </c>
      <c r="BR127" s="479">
        <v>3.5299999999999998E-2</v>
      </c>
      <c r="BS127" s="479">
        <v>3.5299999999999998E-2</v>
      </c>
      <c r="BT127" s="479">
        <v>3.4799999999999998E-2</v>
      </c>
      <c r="BU127" s="479">
        <v>3.4799999999999998E-2</v>
      </c>
      <c r="BV127" s="479">
        <v>3.5299999999999998E-2</v>
      </c>
      <c r="BW127" s="479">
        <v>3.5299999999999998E-2</v>
      </c>
      <c r="BX127" s="479">
        <v>3.5299999999999998E-2</v>
      </c>
      <c r="BY127" s="479">
        <v>3.3399999999999999E-2</v>
      </c>
      <c r="BZ127" s="479">
        <v>3.3399999999999999E-2</v>
      </c>
      <c r="CA127" s="479">
        <v>3.5299999999999998E-2</v>
      </c>
      <c r="CB127" s="479">
        <v>3.6299999999999999E-2</v>
      </c>
      <c r="CC127" s="479">
        <v>3.7499999999999999E-2</v>
      </c>
      <c r="CD127" s="479">
        <v>3.8100000000000002E-2</v>
      </c>
      <c r="CE127" s="479">
        <v>3.8699999999999998E-2</v>
      </c>
      <c r="CF127" s="479">
        <v>3.85E-2</v>
      </c>
      <c r="CG127" s="479">
        <v>3.8899999999999997E-2</v>
      </c>
      <c r="CH127" s="479">
        <v>4.1700000000000001E-2</v>
      </c>
      <c r="CI127" s="479">
        <v>4.2200000000000001E-2</v>
      </c>
      <c r="CJ127" s="479">
        <v>4.2000000000000003E-2</v>
      </c>
      <c r="CK127" s="479">
        <v>4.2900000000000001E-2</v>
      </c>
      <c r="CL127" s="479">
        <v>4.3200000000000002E-2</v>
      </c>
      <c r="CM127" s="479">
        <v>4.3400000000000001E-2</v>
      </c>
      <c r="CN127" s="479">
        <v>4.3700000000000003E-2</v>
      </c>
      <c r="CO127" s="479">
        <v>4.3900000000000002E-2</v>
      </c>
      <c r="CP127" s="479">
        <v>4.3799999999999999E-2</v>
      </c>
      <c r="CQ127" s="479">
        <v>4.4600000000000001E-2</v>
      </c>
      <c r="CR127" s="479">
        <v>4.4200000000000003E-2</v>
      </c>
      <c r="CS127" s="479">
        <v>4.4200000000000003E-2</v>
      </c>
      <c r="CT127" s="479">
        <v>4.3900000000000002E-2</v>
      </c>
      <c r="CU127" s="484">
        <v>4.3900000000000002E-2</v>
      </c>
      <c r="CV127" s="479">
        <v>4.3799999999999999E-2</v>
      </c>
      <c r="CW127" s="524">
        <v>4.4499999999999998E-2</v>
      </c>
      <c r="CX127" s="472">
        <v>4.41E-2</v>
      </c>
      <c r="CY127" s="472">
        <v>4.3900000000000002E-2</v>
      </c>
      <c r="CZ127" s="472">
        <v>4.3799999999999999E-2</v>
      </c>
      <c r="DA127" s="472">
        <v>4.3700000000000003E-2</v>
      </c>
      <c r="DB127" s="472">
        <v>4.3999999999999997E-2</v>
      </c>
      <c r="DC127" s="484">
        <v>4.3999999999999997E-2</v>
      </c>
      <c r="DD127" s="484">
        <v>4.4900000000000002E-2</v>
      </c>
      <c r="DE127" s="472">
        <v>4.4699999999999997E-2</v>
      </c>
      <c r="DF127" s="472">
        <v>4.4699999999999997E-2</v>
      </c>
      <c r="DG127" s="472">
        <v>4.41E-2</v>
      </c>
      <c r="DH127" s="472">
        <v>4.3499999999999997E-2</v>
      </c>
      <c r="DI127" s="472">
        <v>4.3799999999999999E-2</v>
      </c>
      <c r="DJ127" s="472">
        <v>4.36E-2</v>
      </c>
      <c r="DK127" s="472">
        <v>4.4699999999999997E-2</v>
      </c>
      <c r="DL127" s="472">
        <v>4.48E-2</v>
      </c>
      <c r="DM127" s="472">
        <v>4.4999999999999998E-2</v>
      </c>
      <c r="DN127" s="472">
        <v>4.5900000000000003E-2</v>
      </c>
      <c r="DO127" s="472">
        <v>4.6800000000000001E-2</v>
      </c>
      <c r="DP127" s="472">
        <v>4.65E-2</v>
      </c>
      <c r="DQ127" s="472">
        <v>4.7300000000000002E-2</v>
      </c>
      <c r="DR127" s="472">
        <v>4.7300000000000002E-2</v>
      </c>
      <c r="DS127" s="472">
        <v>4.7100000000000003E-2</v>
      </c>
      <c r="DT127" s="472">
        <v>4.7399999999999998E-2</v>
      </c>
      <c r="DU127" s="472">
        <v>4.8099999999999997E-2</v>
      </c>
      <c r="DV127" s="472">
        <v>4.8000000000000001E-2</v>
      </c>
      <c r="DW127" s="472">
        <v>5.2699999999999997E-2</v>
      </c>
      <c r="DX127" s="472">
        <v>5.21E-2</v>
      </c>
      <c r="DY127" s="472">
        <v>5.2400000000000002E-2</v>
      </c>
      <c r="DZ127" s="472">
        <v>5.2499999999999998E-2</v>
      </c>
      <c r="EA127" s="472">
        <v>5.2499999999999998E-2</v>
      </c>
      <c r="EB127" s="472">
        <v>5.2200000000000003E-2</v>
      </c>
      <c r="EC127" s="472">
        <v>5.2400000000000002E-2</v>
      </c>
      <c r="ED127" s="472">
        <v>5.2299999999999999E-2</v>
      </c>
      <c r="EE127" s="472">
        <v>5.1900000000000002E-2</v>
      </c>
      <c r="EF127" s="472">
        <v>5.1999999999999998E-2</v>
      </c>
      <c r="EG127" s="472">
        <v>5.1999999999999998E-2</v>
      </c>
      <c r="EH127" s="472">
        <v>5.2299999999999999E-2</v>
      </c>
      <c r="EI127" s="472">
        <v>3.7999999999999999E-2</v>
      </c>
      <c r="EJ127" s="472">
        <v>3.78E-2</v>
      </c>
      <c r="EK127" s="472">
        <v>3.6900000000000002E-2</v>
      </c>
      <c r="EL127" s="472">
        <v>3.5799999999999998E-2</v>
      </c>
      <c r="EM127" s="472">
        <v>3.1399999999999997E-2</v>
      </c>
      <c r="EN127" s="472">
        <v>4.9000000000000002E-2</v>
      </c>
      <c r="EO127" s="472">
        <v>4.7800000000000002E-2</v>
      </c>
      <c r="EP127" s="472">
        <v>4.7699999999999999E-2</v>
      </c>
      <c r="EQ127" s="472">
        <v>4.7500000000000001E-2</v>
      </c>
      <c r="ER127" s="472">
        <v>4.8599999999999997E-2</v>
      </c>
      <c r="ES127" s="472">
        <v>4.9000000000000002E-2</v>
      </c>
      <c r="ET127" s="472">
        <v>4.8000000000000001E-2</v>
      </c>
      <c r="EU127" s="472">
        <v>4.7699999999999999E-2</v>
      </c>
      <c r="EV127" s="472">
        <v>4.7E-2</v>
      </c>
      <c r="EW127" s="472">
        <v>4.5600000000000002E-2</v>
      </c>
      <c r="EX127" s="472">
        <v>4.2099999999999999E-2</v>
      </c>
      <c r="EY127" s="472">
        <v>4.4600000000000001E-2</v>
      </c>
      <c r="EZ127" s="472">
        <v>4.8000000000000001E-2</v>
      </c>
      <c r="FA127" s="484">
        <v>4.7399999999999998E-2</v>
      </c>
      <c r="FB127" s="484">
        <v>4.7E-2</v>
      </c>
      <c r="FC127" s="472">
        <v>4.6399999999999997E-2</v>
      </c>
      <c r="FD127" s="472">
        <v>4.5600000000000002E-2</v>
      </c>
      <c r="FE127" s="484">
        <v>4.4600000000000001E-2</v>
      </c>
      <c r="FF127" s="484">
        <v>4.5499999999999999E-2</v>
      </c>
      <c r="FG127" s="484">
        <v>4.53E-2</v>
      </c>
      <c r="FH127" s="484">
        <v>4.53E-2</v>
      </c>
      <c r="FI127" s="484">
        <v>4.6300000000000001E-2</v>
      </c>
      <c r="FJ127" s="484">
        <v>4.7699999999999999E-2</v>
      </c>
      <c r="FK127" s="484">
        <v>4.7E-2</v>
      </c>
      <c r="FL127" s="484">
        <v>4.6699999999999998E-2</v>
      </c>
      <c r="FM127" s="484">
        <v>4.7E-2</v>
      </c>
      <c r="FN127" s="484">
        <v>4.7199999999999999E-2</v>
      </c>
      <c r="FO127" s="484">
        <v>4.7E-2</v>
      </c>
      <c r="FP127" s="484">
        <v>4.58E-2</v>
      </c>
      <c r="FQ127" s="484">
        <v>4.6300000000000001E-2</v>
      </c>
      <c r="FR127" s="484">
        <v>4.5900000000000003E-2</v>
      </c>
      <c r="FS127" s="484">
        <v>4.24E-2</v>
      </c>
      <c r="FT127" s="484">
        <v>4.1700000000000001E-2</v>
      </c>
      <c r="FU127" s="484">
        <v>3.9800000000000002E-2</v>
      </c>
      <c r="FV127" s="472">
        <v>5.0799999999999998E-2</v>
      </c>
      <c r="FW127" s="472">
        <v>5.0299999999999997E-2</v>
      </c>
      <c r="FX127" s="472">
        <v>5.1900000000000002E-2</v>
      </c>
      <c r="FY127" s="472">
        <v>5.1900000000000002E-2</v>
      </c>
      <c r="FZ127" s="472">
        <v>5.16E-2</v>
      </c>
      <c r="GA127" s="472">
        <v>5.0999999999999997E-2</v>
      </c>
      <c r="GB127" s="472">
        <v>5.1499999999999997E-2</v>
      </c>
      <c r="GC127" s="472">
        <v>5.11E-2</v>
      </c>
      <c r="GD127" s="472">
        <v>3.6900000000000002E-2</v>
      </c>
      <c r="GE127" s="472">
        <v>3.6900000000000002E-2</v>
      </c>
      <c r="GF127" s="472">
        <v>3.6900000000000002E-2</v>
      </c>
      <c r="GG127" s="472">
        <v>3.6900000000000002E-2</v>
      </c>
      <c r="GH127" s="472">
        <v>3.6900000000000002E-2</v>
      </c>
      <c r="GI127" s="472">
        <v>3.6900000000000002E-2</v>
      </c>
      <c r="GJ127" s="472">
        <v>3.6900000000000002E-2</v>
      </c>
      <c r="GK127" s="472">
        <v>3.6900000000000002E-2</v>
      </c>
      <c r="GL127" s="472">
        <v>3.6900000000000002E-2</v>
      </c>
      <c r="GM127" s="472">
        <v>3.6900000000000002E-2</v>
      </c>
      <c r="GN127" s="472">
        <v>3.6900000000000002E-2</v>
      </c>
      <c r="GO127" s="472">
        <v>3.6900000000000002E-2</v>
      </c>
      <c r="GP127" s="472">
        <v>3.6900000000000002E-2</v>
      </c>
      <c r="GQ127" s="472">
        <v>3.6900000000000002E-2</v>
      </c>
      <c r="GR127" s="472">
        <v>3.6900000000000002E-2</v>
      </c>
      <c r="GS127" s="472">
        <v>3.6900000000000002E-2</v>
      </c>
      <c r="GT127" s="472">
        <v>3.6900000000000002E-2</v>
      </c>
      <c r="GU127" s="472">
        <v>3.6900000000000002E-2</v>
      </c>
      <c r="GV127" s="472">
        <v>3.6900000000000002E-2</v>
      </c>
      <c r="GW127" s="472">
        <v>3.6900000000000002E-2</v>
      </c>
      <c r="GX127" s="472">
        <v>3.6900000000000002E-2</v>
      </c>
      <c r="GY127" s="472">
        <v>3.6900000000000002E-2</v>
      </c>
      <c r="GZ127" s="472">
        <v>3.6900000000000002E-2</v>
      </c>
      <c r="HA127" s="472">
        <v>3.6900000000000002E-2</v>
      </c>
      <c r="HB127" s="472">
        <v>3.6900000000000002E-2</v>
      </c>
      <c r="HC127" s="472">
        <v>3.6900000000000002E-2</v>
      </c>
      <c r="HD127" s="472">
        <v>3.6900000000000002E-2</v>
      </c>
      <c r="HE127" s="472">
        <v>3.6900000000000002E-2</v>
      </c>
      <c r="HF127" s="472">
        <v>3.6900000000000002E-2</v>
      </c>
      <c r="HG127" s="472">
        <v>3.6900000000000002E-2</v>
      </c>
      <c r="HH127" s="472">
        <v>3.6900000000000002E-2</v>
      </c>
      <c r="HI127" s="472">
        <v>3.6900000000000002E-2</v>
      </c>
      <c r="HJ127" s="472">
        <v>3.6900000000000002E-2</v>
      </c>
      <c r="HK127" s="472">
        <v>3.6900000000000002E-2</v>
      </c>
      <c r="HL127" s="472">
        <v>3.6900000000000002E-2</v>
      </c>
      <c r="HM127" s="472">
        <v>3.6900000000000002E-2</v>
      </c>
      <c r="HN127" s="472">
        <v>3.6900000000000002E-2</v>
      </c>
      <c r="HO127" s="472">
        <v>3.6900000000000002E-2</v>
      </c>
      <c r="HP127" s="473">
        <f t="shared" si="49"/>
        <v>0</v>
      </c>
      <c r="HQ127" s="1146"/>
    </row>
    <row r="128" spans="1:225">
      <c r="B128" s="1139"/>
      <c r="C128" s="729" t="s">
        <v>254</v>
      </c>
      <c r="D128" s="664">
        <v>3.0599999999999999E-2</v>
      </c>
      <c r="E128" s="664">
        <v>3.0599999999999999E-2</v>
      </c>
      <c r="F128" s="664">
        <v>3.0099999999999998E-2</v>
      </c>
      <c r="G128" s="664">
        <v>0.03</v>
      </c>
      <c r="H128" s="664">
        <v>2.9399999999999999E-2</v>
      </c>
      <c r="I128" s="664">
        <v>3.0099999999999998E-2</v>
      </c>
      <c r="J128" s="664">
        <v>0.03</v>
      </c>
      <c r="K128" s="666">
        <v>3.0099999999999998E-2</v>
      </c>
      <c r="L128" s="666">
        <v>3.0099999999999998E-2</v>
      </c>
      <c r="M128" s="666">
        <v>3.0099999999999998E-2</v>
      </c>
      <c r="N128" s="664">
        <v>3.0099999999999998E-2</v>
      </c>
      <c r="O128" s="664">
        <v>3.0499999999999999E-2</v>
      </c>
      <c r="P128" s="664">
        <v>3.0599999999999999E-2</v>
      </c>
      <c r="Q128" s="664">
        <v>3.1199999999999999E-2</v>
      </c>
      <c r="R128" s="664">
        <v>3.1099999999999999E-2</v>
      </c>
      <c r="S128" s="664">
        <v>3.1300000000000001E-2</v>
      </c>
      <c r="T128" s="589">
        <v>3.1600000000000003E-2</v>
      </c>
      <c r="U128" s="589">
        <v>3.1299999999999994E-2</v>
      </c>
      <c r="V128" s="589">
        <v>3.1399999999999997E-2</v>
      </c>
      <c r="W128" s="470">
        <v>3.0699999999999998E-2</v>
      </c>
      <c r="X128" s="470">
        <v>3.0799999999999998E-2</v>
      </c>
      <c r="Y128" s="470">
        <v>3.1099999999999999E-2</v>
      </c>
      <c r="Z128" s="471">
        <v>3.1699999999999999E-2</v>
      </c>
      <c r="AA128" s="470">
        <v>3.1699999999999999E-2</v>
      </c>
      <c r="AB128" s="470">
        <v>3.2199999999999999E-2</v>
      </c>
      <c r="AC128" s="470">
        <v>3.2300000000000002E-2</v>
      </c>
      <c r="AD128" s="470">
        <v>3.2800000000000003E-2</v>
      </c>
      <c r="AE128" s="470">
        <v>3.3800000000000004E-2</v>
      </c>
      <c r="AF128" s="470">
        <v>3.4200000000000001E-2</v>
      </c>
      <c r="AG128" s="470">
        <v>3.4299999999999997E-2</v>
      </c>
      <c r="AH128" s="503">
        <v>3.4200000000000001E-2</v>
      </c>
      <c r="AI128" s="503">
        <v>3.4599999999999999E-2</v>
      </c>
      <c r="AJ128" s="503">
        <v>3.56E-2</v>
      </c>
      <c r="AK128" s="503">
        <v>3.5900000000000001E-2</v>
      </c>
      <c r="AL128" s="503">
        <v>3.61E-2</v>
      </c>
      <c r="AM128" s="503">
        <v>3.5999999999999997E-2</v>
      </c>
      <c r="AN128" s="503">
        <v>3.5200000000000002E-2</v>
      </c>
      <c r="AO128" s="503">
        <v>3.56E-2</v>
      </c>
      <c r="AP128" s="503">
        <v>3.6299999999999999E-2</v>
      </c>
      <c r="AQ128" s="503">
        <v>3.6500000000000005E-2</v>
      </c>
      <c r="AR128" s="503">
        <v>3.6300000000000006E-2</v>
      </c>
      <c r="AS128" s="503">
        <v>3.6700000000000003E-2</v>
      </c>
      <c r="AT128" s="478">
        <v>3.6999999999999998E-2</v>
      </c>
      <c r="AU128" s="478">
        <v>3.6999999999999998E-2</v>
      </c>
      <c r="AV128" s="503">
        <v>3.6200000000000003E-2</v>
      </c>
      <c r="AW128" s="479">
        <v>3.5999999999999997E-2</v>
      </c>
      <c r="AX128" s="479">
        <v>3.5999999999999997E-2</v>
      </c>
      <c r="AY128" s="479">
        <v>3.5999999999999997E-2</v>
      </c>
      <c r="AZ128" s="479">
        <v>3.5999999999999997E-2</v>
      </c>
      <c r="BA128" s="479">
        <v>3.5999999999999997E-2</v>
      </c>
      <c r="BB128" s="479">
        <v>3.5999999999999997E-2</v>
      </c>
      <c r="BC128" s="479">
        <v>3.5999999999999997E-2</v>
      </c>
      <c r="BD128" s="479">
        <v>3.6299999999999999E-2</v>
      </c>
      <c r="BE128" s="479">
        <v>3.6299999999999999E-2</v>
      </c>
      <c r="BF128" s="479">
        <v>3.6299999999999999E-2</v>
      </c>
      <c r="BG128" s="479">
        <v>3.6299999999999999E-2</v>
      </c>
      <c r="BH128" s="479">
        <v>3.6799999999999999E-2</v>
      </c>
      <c r="BI128" s="479">
        <v>3.6799999999999999E-2</v>
      </c>
      <c r="BJ128" s="479">
        <v>3.6799999999999999E-2</v>
      </c>
      <c r="BK128" s="479">
        <v>3.6799999999999999E-2</v>
      </c>
      <c r="BL128" s="479">
        <v>3.6499999999999998E-2</v>
      </c>
      <c r="BM128" s="479">
        <v>3.6499999999999998E-2</v>
      </c>
      <c r="BN128" s="479">
        <v>3.6499999999999998E-2</v>
      </c>
      <c r="BO128" s="479">
        <v>3.6499999999999998E-2</v>
      </c>
      <c r="BP128" s="479">
        <v>3.7699999999999997E-2</v>
      </c>
      <c r="BQ128" s="479">
        <v>3.7699999999999997E-2</v>
      </c>
      <c r="BR128" s="479">
        <v>3.8300000000000001E-2</v>
      </c>
      <c r="BS128" s="479">
        <v>3.8300000000000001E-2</v>
      </c>
      <c r="BT128" s="479">
        <v>3.78E-2</v>
      </c>
      <c r="BU128" s="479">
        <v>3.78E-2</v>
      </c>
      <c r="BV128" s="479">
        <v>3.8300000000000001E-2</v>
      </c>
      <c r="BW128" s="479">
        <v>3.8300000000000001E-2</v>
      </c>
      <c r="BX128" s="479">
        <v>3.8300000000000001E-2</v>
      </c>
      <c r="BY128" s="479">
        <v>3.6400000000000002E-2</v>
      </c>
      <c r="BZ128" s="479">
        <v>3.6400000000000002E-2</v>
      </c>
      <c r="CA128" s="479">
        <v>3.8300000000000001E-2</v>
      </c>
      <c r="CB128" s="479">
        <v>3.9300000000000002E-2</v>
      </c>
      <c r="CC128" s="479">
        <v>4.0500000000000001E-2</v>
      </c>
      <c r="CD128" s="479">
        <v>4.1099999999999998E-2</v>
      </c>
      <c r="CE128" s="479">
        <v>4.1700000000000001E-2</v>
      </c>
      <c r="CF128" s="479">
        <v>4.1500000000000002E-2</v>
      </c>
      <c r="CG128" s="479">
        <v>4.19E-2</v>
      </c>
      <c r="CH128" s="479">
        <v>4.4699999999999997E-2</v>
      </c>
      <c r="CI128" s="479">
        <v>4.5199999999999997E-2</v>
      </c>
      <c r="CJ128" s="479">
        <v>4.4999999999999998E-2</v>
      </c>
      <c r="CK128" s="479">
        <v>4.5900000000000003E-2</v>
      </c>
      <c r="CL128" s="479">
        <v>4.6199999999999998E-2</v>
      </c>
      <c r="CM128" s="479">
        <v>4.6399999999999997E-2</v>
      </c>
      <c r="CN128" s="479">
        <v>4.6699999999999998E-2</v>
      </c>
      <c r="CO128" s="479">
        <v>4.6899999999999997E-2</v>
      </c>
      <c r="CP128" s="479">
        <v>4.6800000000000001E-2</v>
      </c>
      <c r="CQ128" s="479">
        <v>4.7600000000000003E-2</v>
      </c>
      <c r="CR128" s="479">
        <v>4.7199999999999999E-2</v>
      </c>
      <c r="CS128" s="479">
        <v>4.7199999999999999E-2</v>
      </c>
      <c r="CT128" s="479">
        <v>4.6899999999999997E-2</v>
      </c>
      <c r="CU128" s="484">
        <v>4.6899999999999997E-2</v>
      </c>
      <c r="CV128" s="479">
        <v>4.6800000000000001E-2</v>
      </c>
      <c r="CW128" s="524">
        <v>4.7300000000000002E-2</v>
      </c>
      <c r="CX128" s="472">
        <v>4.6899999999999997E-2</v>
      </c>
      <c r="CY128" s="472">
        <v>4.6699999999999998E-2</v>
      </c>
      <c r="CZ128" s="472">
        <v>4.6600000000000003E-2</v>
      </c>
      <c r="DA128" s="472">
        <v>4.65E-2</v>
      </c>
      <c r="DB128" s="472">
        <v>4.6800000000000001E-2</v>
      </c>
      <c r="DC128" s="484">
        <v>4.6800000000000001E-2</v>
      </c>
      <c r="DD128" s="484">
        <v>4.7699999999999999E-2</v>
      </c>
      <c r="DE128" s="472">
        <v>4.7500000000000001E-2</v>
      </c>
      <c r="DF128" s="472">
        <v>4.7500000000000001E-2</v>
      </c>
      <c r="DG128" s="472">
        <v>4.6899999999999997E-2</v>
      </c>
      <c r="DH128" s="472">
        <v>4.6300000000000001E-2</v>
      </c>
      <c r="DI128" s="472">
        <v>4.6600000000000003E-2</v>
      </c>
      <c r="DJ128" s="472">
        <v>4.6399999999999997E-2</v>
      </c>
      <c r="DK128" s="472">
        <v>4.7600000000000003E-2</v>
      </c>
      <c r="DL128" s="472">
        <v>4.7600000000000003E-2</v>
      </c>
      <c r="DM128" s="472">
        <v>4.7800000000000002E-2</v>
      </c>
      <c r="DN128" s="472">
        <v>4.87E-2</v>
      </c>
      <c r="DO128" s="472">
        <v>4.9599999999999998E-2</v>
      </c>
      <c r="DP128" s="472">
        <v>4.9299999999999997E-2</v>
      </c>
      <c r="DQ128" s="472">
        <v>5.0099999999999999E-2</v>
      </c>
      <c r="DR128" s="472">
        <v>5.0099999999999999E-2</v>
      </c>
      <c r="DS128" s="472">
        <v>4.99E-2</v>
      </c>
      <c r="DT128" s="472">
        <v>5.0200000000000002E-2</v>
      </c>
      <c r="DU128" s="472">
        <v>5.0900000000000001E-2</v>
      </c>
      <c r="DV128" s="472">
        <v>5.0799999999999998E-2</v>
      </c>
      <c r="DW128" s="472">
        <v>5.2699999999999997E-2</v>
      </c>
      <c r="DX128" s="472">
        <v>5.21E-2</v>
      </c>
      <c r="DY128" s="472">
        <v>5.2400000000000002E-2</v>
      </c>
      <c r="DZ128" s="472">
        <v>5.2499999999999998E-2</v>
      </c>
      <c r="EA128" s="472">
        <v>5.2499999999999998E-2</v>
      </c>
      <c r="EB128" s="472">
        <v>5.2200000000000003E-2</v>
      </c>
      <c r="EC128" s="472">
        <v>5.2400000000000002E-2</v>
      </c>
      <c r="ED128" s="472">
        <v>5.2299999999999999E-2</v>
      </c>
      <c r="EE128" s="472">
        <v>5.2400000000000002E-2</v>
      </c>
      <c r="EF128" s="472">
        <v>5.1999999999999998E-2</v>
      </c>
      <c r="EG128" s="472">
        <v>5.1999999999999998E-2</v>
      </c>
      <c r="EH128" s="472">
        <v>5.2299999999999999E-2</v>
      </c>
      <c r="EI128" s="472">
        <v>3.7999999999999999E-2</v>
      </c>
      <c r="EJ128" s="472">
        <v>3.78E-2</v>
      </c>
      <c r="EK128" s="472">
        <v>3.6900000000000002E-2</v>
      </c>
      <c r="EL128" s="472">
        <v>3.5799999999999998E-2</v>
      </c>
      <c r="EM128" s="472">
        <v>3.1399999999999997E-2</v>
      </c>
      <c r="EN128" s="472">
        <v>4.9000000000000002E-2</v>
      </c>
      <c r="EO128" s="472">
        <v>4.7800000000000002E-2</v>
      </c>
      <c r="EP128" s="472">
        <v>4.7699999999999999E-2</v>
      </c>
      <c r="EQ128" s="472">
        <v>4.7500000000000001E-2</v>
      </c>
      <c r="ER128" s="472">
        <v>4.8599999999999997E-2</v>
      </c>
      <c r="ES128" s="472">
        <v>4.9000000000000002E-2</v>
      </c>
      <c r="ET128" s="472">
        <v>4.8000000000000001E-2</v>
      </c>
      <c r="EU128" s="472">
        <v>4.7699999999999999E-2</v>
      </c>
      <c r="EV128" s="472">
        <v>4.7E-2</v>
      </c>
      <c r="EW128" s="472">
        <v>4.5600000000000002E-2</v>
      </c>
      <c r="EX128" s="472">
        <v>4.2099999999999999E-2</v>
      </c>
      <c r="EY128" s="472">
        <v>4.4600000000000001E-2</v>
      </c>
      <c r="EZ128" s="472">
        <v>4.8000000000000001E-2</v>
      </c>
      <c r="FA128" s="484">
        <v>4.7399999999999998E-2</v>
      </c>
      <c r="FB128" s="484">
        <v>4.7E-2</v>
      </c>
      <c r="FC128" s="472">
        <v>4.6399999999999997E-2</v>
      </c>
      <c r="FD128" s="472">
        <v>4.5600000000000002E-2</v>
      </c>
      <c r="FE128" s="484">
        <v>4.4600000000000001E-2</v>
      </c>
      <c r="FF128" s="484">
        <v>4.5499999999999999E-2</v>
      </c>
      <c r="FG128" s="484">
        <v>4.53E-2</v>
      </c>
      <c r="FH128" s="484">
        <v>4.53E-2</v>
      </c>
      <c r="FI128" s="484">
        <v>4.6300000000000001E-2</v>
      </c>
      <c r="FJ128" s="484">
        <v>4.7699999999999999E-2</v>
      </c>
      <c r="FK128" s="484">
        <v>4.7E-2</v>
      </c>
      <c r="FL128" s="484">
        <v>4.6699999999999998E-2</v>
      </c>
      <c r="FM128" s="484">
        <v>4.7E-2</v>
      </c>
      <c r="FN128" s="484">
        <v>4.7199999999999999E-2</v>
      </c>
      <c r="FO128" s="484">
        <v>4.7E-2</v>
      </c>
      <c r="FP128" s="484">
        <v>4.58E-2</v>
      </c>
      <c r="FQ128" s="484">
        <v>4.6300000000000001E-2</v>
      </c>
      <c r="FR128" s="484">
        <v>4.5900000000000003E-2</v>
      </c>
      <c r="FS128" s="484">
        <v>4.24E-2</v>
      </c>
      <c r="FT128" s="484">
        <v>4.1700000000000001E-2</v>
      </c>
      <c r="FU128" s="484">
        <v>3.9800000000000002E-2</v>
      </c>
      <c r="FV128" s="472">
        <v>5.0799999999999998E-2</v>
      </c>
      <c r="FW128" s="472">
        <v>5.0299999999999997E-2</v>
      </c>
      <c r="FX128" s="472">
        <v>5.1900000000000002E-2</v>
      </c>
      <c r="FY128" s="472">
        <v>5.1900000000000002E-2</v>
      </c>
      <c r="FZ128" s="472">
        <v>5.16E-2</v>
      </c>
      <c r="GA128" s="472">
        <v>5.0999999999999997E-2</v>
      </c>
      <c r="GB128" s="472">
        <v>5.1499999999999997E-2</v>
      </c>
      <c r="GC128" s="472">
        <v>5.11E-2</v>
      </c>
      <c r="GD128" s="472">
        <v>3.6900000000000002E-2</v>
      </c>
      <c r="GE128" s="472">
        <v>3.6900000000000002E-2</v>
      </c>
      <c r="GF128" s="472">
        <v>3.6900000000000002E-2</v>
      </c>
      <c r="GG128" s="472">
        <v>3.6900000000000002E-2</v>
      </c>
      <c r="GH128" s="472">
        <v>3.6900000000000002E-2</v>
      </c>
      <c r="GI128" s="472">
        <v>3.6900000000000002E-2</v>
      </c>
      <c r="GJ128" s="472">
        <v>3.6900000000000002E-2</v>
      </c>
      <c r="GK128" s="472">
        <v>3.6900000000000002E-2</v>
      </c>
      <c r="GL128" s="472">
        <v>3.6900000000000002E-2</v>
      </c>
      <c r="GM128" s="472">
        <v>3.6900000000000002E-2</v>
      </c>
      <c r="GN128" s="472">
        <v>3.6900000000000002E-2</v>
      </c>
      <c r="GO128" s="472">
        <v>3.6900000000000002E-2</v>
      </c>
      <c r="GP128" s="472">
        <v>3.6900000000000002E-2</v>
      </c>
      <c r="GQ128" s="472">
        <v>3.6900000000000002E-2</v>
      </c>
      <c r="GR128" s="472">
        <v>3.6900000000000002E-2</v>
      </c>
      <c r="GS128" s="472">
        <v>3.6900000000000002E-2</v>
      </c>
      <c r="GT128" s="472">
        <v>3.6900000000000002E-2</v>
      </c>
      <c r="GU128" s="472">
        <v>3.6900000000000002E-2</v>
      </c>
      <c r="GV128" s="472">
        <v>3.6900000000000002E-2</v>
      </c>
      <c r="GW128" s="472">
        <v>3.6900000000000002E-2</v>
      </c>
      <c r="GX128" s="472">
        <v>3.6900000000000002E-2</v>
      </c>
      <c r="GY128" s="472">
        <v>3.6900000000000002E-2</v>
      </c>
      <c r="GZ128" s="472">
        <v>3.6900000000000002E-2</v>
      </c>
      <c r="HA128" s="472">
        <v>3.6900000000000002E-2</v>
      </c>
      <c r="HB128" s="472">
        <v>3.6900000000000002E-2</v>
      </c>
      <c r="HC128" s="472">
        <v>3.6900000000000002E-2</v>
      </c>
      <c r="HD128" s="472">
        <v>3.6900000000000002E-2</v>
      </c>
      <c r="HE128" s="472">
        <v>3.6900000000000002E-2</v>
      </c>
      <c r="HF128" s="472">
        <v>3.6900000000000002E-2</v>
      </c>
      <c r="HG128" s="472">
        <v>3.6900000000000002E-2</v>
      </c>
      <c r="HH128" s="472">
        <v>3.6900000000000002E-2</v>
      </c>
      <c r="HI128" s="472">
        <v>3.6900000000000002E-2</v>
      </c>
      <c r="HJ128" s="472">
        <v>3.6900000000000002E-2</v>
      </c>
      <c r="HK128" s="472">
        <v>3.6900000000000002E-2</v>
      </c>
      <c r="HL128" s="472">
        <v>3.6900000000000002E-2</v>
      </c>
      <c r="HM128" s="472">
        <v>3.6900000000000002E-2</v>
      </c>
      <c r="HN128" s="472">
        <v>3.6900000000000002E-2</v>
      </c>
      <c r="HO128" s="472">
        <v>3.6900000000000002E-2</v>
      </c>
      <c r="HP128" s="473">
        <f t="shared" si="49"/>
        <v>0</v>
      </c>
      <c r="HQ128" s="1146"/>
    </row>
    <row r="129" spans="2:225">
      <c r="B129" s="1140"/>
      <c r="C129" s="729" t="s">
        <v>253</v>
      </c>
      <c r="D129" s="664">
        <v>3.0599999999999999E-2</v>
      </c>
      <c r="E129" s="664">
        <v>3.0599999999999999E-2</v>
      </c>
      <c r="F129" s="664">
        <v>3.0099999999999998E-2</v>
      </c>
      <c r="G129" s="664">
        <v>0.03</v>
      </c>
      <c r="H129" s="664">
        <v>2.9399999999999999E-2</v>
      </c>
      <c r="I129" s="664">
        <v>3.0099999999999998E-2</v>
      </c>
      <c r="J129" s="664">
        <v>0.03</v>
      </c>
      <c r="K129" s="666">
        <v>3.0099999999999998E-2</v>
      </c>
      <c r="L129" s="666">
        <v>3.0099999999999998E-2</v>
      </c>
      <c r="M129" s="666">
        <v>3.0099999999999998E-2</v>
      </c>
      <c r="N129" s="664">
        <v>3.0099999999999998E-2</v>
      </c>
      <c r="O129" s="664">
        <v>3.0499999999999999E-2</v>
      </c>
      <c r="P129" s="664">
        <v>3.0599999999999999E-2</v>
      </c>
      <c r="Q129" s="664">
        <v>3.1199999999999999E-2</v>
      </c>
      <c r="R129" s="664">
        <v>3.1099999999999999E-2</v>
      </c>
      <c r="S129" s="664">
        <v>3.1300000000000001E-2</v>
      </c>
      <c r="T129" s="589">
        <v>3.1600000000000003E-2</v>
      </c>
      <c r="U129" s="589">
        <v>3.1299999999999994E-2</v>
      </c>
      <c r="V129" s="589">
        <v>3.1399999999999997E-2</v>
      </c>
      <c r="W129" s="470">
        <v>3.0699999999999998E-2</v>
      </c>
      <c r="X129" s="470">
        <v>3.0799999999999998E-2</v>
      </c>
      <c r="Y129" s="470">
        <v>3.1099999999999999E-2</v>
      </c>
      <c r="Z129" s="471">
        <v>3.1699999999999999E-2</v>
      </c>
      <c r="AA129" s="470">
        <v>3.1699999999999999E-2</v>
      </c>
      <c r="AB129" s="470">
        <v>3.2199999999999999E-2</v>
      </c>
      <c r="AC129" s="470">
        <v>3.2300000000000002E-2</v>
      </c>
      <c r="AD129" s="470">
        <v>3.2800000000000003E-2</v>
      </c>
      <c r="AE129" s="470">
        <v>3.3800000000000004E-2</v>
      </c>
      <c r="AF129" s="470">
        <v>3.4200000000000001E-2</v>
      </c>
      <c r="AG129" s="470">
        <v>3.4299999999999997E-2</v>
      </c>
      <c r="AH129" s="503">
        <v>3.4200000000000001E-2</v>
      </c>
      <c r="AI129" s="503">
        <v>3.4599999999999999E-2</v>
      </c>
      <c r="AJ129" s="503">
        <v>3.56E-2</v>
      </c>
      <c r="AK129" s="503">
        <v>3.5900000000000001E-2</v>
      </c>
      <c r="AL129" s="503">
        <v>3.61E-2</v>
      </c>
      <c r="AM129" s="503">
        <v>3.5999999999999997E-2</v>
      </c>
      <c r="AN129" s="503">
        <v>3.5200000000000002E-2</v>
      </c>
      <c r="AO129" s="503">
        <v>3.56E-2</v>
      </c>
      <c r="AP129" s="503">
        <v>3.6299999999999999E-2</v>
      </c>
      <c r="AQ129" s="503">
        <v>3.6500000000000005E-2</v>
      </c>
      <c r="AR129" s="503">
        <v>3.6300000000000006E-2</v>
      </c>
      <c r="AS129" s="503">
        <v>3.6700000000000003E-2</v>
      </c>
      <c r="AT129" s="478">
        <v>3.6999999999999998E-2</v>
      </c>
      <c r="AU129" s="478">
        <v>3.6999999999999998E-2</v>
      </c>
      <c r="AV129" s="503">
        <v>3.6200000000000003E-2</v>
      </c>
      <c r="AW129" s="479">
        <v>3.5999999999999997E-2</v>
      </c>
      <c r="AX129" s="479">
        <v>3.5999999999999997E-2</v>
      </c>
      <c r="AY129" s="479">
        <v>3.5999999999999997E-2</v>
      </c>
      <c r="AZ129" s="479">
        <v>3.5999999999999997E-2</v>
      </c>
      <c r="BA129" s="479">
        <v>3.5999999999999997E-2</v>
      </c>
      <c r="BB129" s="479">
        <v>3.5999999999999997E-2</v>
      </c>
      <c r="BC129" s="479">
        <v>3.5999999999999997E-2</v>
      </c>
      <c r="BD129" s="479">
        <v>3.6299999999999999E-2</v>
      </c>
      <c r="BE129" s="479">
        <v>3.6299999999999999E-2</v>
      </c>
      <c r="BF129" s="479">
        <v>3.6299999999999999E-2</v>
      </c>
      <c r="BG129" s="479">
        <v>3.6299999999999999E-2</v>
      </c>
      <c r="BH129" s="479">
        <v>3.6799999999999999E-2</v>
      </c>
      <c r="BI129" s="479">
        <v>3.6799999999999999E-2</v>
      </c>
      <c r="BJ129" s="479">
        <v>3.6799999999999999E-2</v>
      </c>
      <c r="BK129" s="479">
        <v>3.6799999999999999E-2</v>
      </c>
      <c r="BL129" s="479">
        <v>3.6499999999999998E-2</v>
      </c>
      <c r="BM129" s="479">
        <v>3.6499999999999998E-2</v>
      </c>
      <c r="BN129" s="479">
        <v>3.6499999999999998E-2</v>
      </c>
      <c r="BO129" s="479">
        <v>3.6499999999999998E-2</v>
      </c>
      <c r="BP129" s="479">
        <v>3.7699999999999997E-2</v>
      </c>
      <c r="BQ129" s="479">
        <v>3.7699999999999997E-2</v>
      </c>
      <c r="BR129" s="479">
        <v>3.8300000000000001E-2</v>
      </c>
      <c r="BS129" s="479">
        <v>3.8300000000000001E-2</v>
      </c>
      <c r="BT129" s="479">
        <v>3.78E-2</v>
      </c>
      <c r="BU129" s="479">
        <v>3.78E-2</v>
      </c>
      <c r="BV129" s="479">
        <v>3.8300000000000001E-2</v>
      </c>
      <c r="BW129" s="479">
        <v>3.8300000000000001E-2</v>
      </c>
      <c r="BX129" s="479">
        <v>3.8300000000000001E-2</v>
      </c>
      <c r="BY129" s="479">
        <v>3.6400000000000002E-2</v>
      </c>
      <c r="BZ129" s="479">
        <v>3.6400000000000002E-2</v>
      </c>
      <c r="CA129" s="479">
        <v>3.8300000000000001E-2</v>
      </c>
      <c r="CB129" s="479">
        <v>3.9300000000000002E-2</v>
      </c>
      <c r="CC129" s="479">
        <v>4.0500000000000001E-2</v>
      </c>
      <c r="CD129" s="479">
        <v>4.1099999999999998E-2</v>
      </c>
      <c r="CE129" s="479">
        <v>4.1700000000000001E-2</v>
      </c>
      <c r="CF129" s="479">
        <v>4.1500000000000002E-2</v>
      </c>
      <c r="CG129" s="479">
        <v>4.19E-2</v>
      </c>
      <c r="CH129" s="479">
        <v>4.4699999999999997E-2</v>
      </c>
      <c r="CI129" s="479">
        <v>4.521E-2</v>
      </c>
      <c r="CJ129" s="479">
        <v>4.4999999999999998E-2</v>
      </c>
      <c r="CK129" s="479">
        <v>4.5900000000000003E-2</v>
      </c>
      <c r="CL129" s="479">
        <v>4.6199999999999998E-2</v>
      </c>
      <c r="CM129" s="479">
        <v>4.6399999999999997E-2</v>
      </c>
      <c r="CN129" s="479">
        <v>4.6699999999999998E-2</v>
      </c>
      <c r="CO129" s="479">
        <v>4.6899999999999997E-2</v>
      </c>
      <c r="CP129" s="479">
        <v>4.6800000000000001E-2</v>
      </c>
      <c r="CQ129" s="479">
        <v>4.7600000000000003E-2</v>
      </c>
      <c r="CR129" s="479">
        <v>4.7199999999999999E-2</v>
      </c>
      <c r="CS129" s="479">
        <v>4.7199999999999999E-2</v>
      </c>
      <c r="CT129" s="479">
        <v>4.6899999999999997E-2</v>
      </c>
      <c r="CU129" s="484">
        <v>4.6899999999999997E-2</v>
      </c>
      <c r="CV129" s="479">
        <v>4.6800000000000001E-2</v>
      </c>
      <c r="CW129" s="524">
        <v>4.7300000000000002E-2</v>
      </c>
      <c r="CX129" s="472">
        <v>4.6899999999999997E-2</v>
      </c>
      <c r="CY129" s="472">
        <v>4.6699999999999998E-2</v>
      </c>
      <c r="CZ129" s="472">
        <v>4.6600000000000003E-2</v>
      </c>
      <c r="DA129" s="472">
        <v>4.65E-2</v>
      </c>
      <c r="DB129" s="472">
        <v>4.6800000000000001E-2</v>
      </c>
      <c r="DC129" s="484">
        <v>4.6800000000000001E-2</v>
      </c>
      <c r="DD129" s="484">
        <v>4.7699999999999999E-2</v>
      </c>
      <c r="DE129" s="472">
        <v>4.7500000000000001E-2</v>
      </c>
      <c r="DF129" s="472">
        <v>4.7500000000000001E-2</v>
      </c>
      <c r="DG129" s="472">
        <v>4.6899999999999997E-2</v>
      </c>
      <c r="DH129" s="472">
        <v>4.6300000000000001E-2</v>
      </c>
      <c r="DI129" s="472">
        <v>4.6600000000000003E-2</v>
      </c>
      <c r="DJ129" s="472">
        <v>4.6399999999999997E-2</v>
      </c>
      <c r="DK129" s="472">
        <v>4.7600000000000003E-2</v>
      </c>
      <c r="DL129" s="472">
        <v>4.7600000000000003E-2</v>
      </c>
      <c r="DM129" s="472">
        <v>4.7800000000000002E-2</v>
      </c>
      <c r="DN129" s="472">
        <v>4.87E-2</v>
      </c>
      <c r="DO129" s="472">
        <v>4.9599999999999998E-2</v>
      </c>
      <c r="DP129" s="472">
        <v>4.9299999999999997E-2</v>
      </c>
      <c r="DQ129" s="472">
        <v>5.0099999999999999E-2</v>
      </c>
      <c r="DR129" s="472">
        <v>5.0099999999999999E-2</v>
      </c>
      <c r="DS129" s="472">
        <v>4.99E-2</v>
      </c>
      <c r="DT129" s="472">
        <v>5.0200000000000002E-2</v>
      </c>
      <c r="DU129" s="472">
        <v>5.0900000000000001E-2</v>
      </c>
      <c r="DV129" s="472">
        <v>5.0799999999999998E-2</v>
      </c>
      <c r="DW129" s="472">
        <v>5.3699999999999998E-2</v>
      </c>
      <c r="DX129" s="472">
        <v>5.3100000000000001E-2</v>
      </c>
      <c r="DY129" s="472">
        <v>5.3400000000000003E-2</v>
      </c>
      <c r="DZ129" s="472">
        <v>5.3499999999999999E-2</v>
      </c>
      <c r="EA129" s="472">
        <v>5.3499999999999999E-2</v>
      </c>
      <c r="EB129" s="472">
        <v>5.3199999999999997E-2</v>
      </c>
      <c r="EC129" s="472">
        <v>5.3400000000000003E-2</v>
      </c>
      <c r="ED129" s="472">
        <v>5.33E-2</v>
      </c>
      <c r="EE129" s="472">
        <v>5.3400000000000003E-2</v>
      </c>
      <c r="EF129" s="472">
        <v>5.2999999999999999E-2</v>
      </c>
      <c r="EG129" s="472">
        <v>5.2999999999999999E-2</v>
      </c>
      <c r="EH129" s="472">
        <v>5.33E-2</v>
      </c>
      <c r="EI129" s="472">
        <v>3.9E-2</v>
      </c>
      <c r="EJ129" s="472">
        <v>3.8800000000000001E-2</v>
      </c>
      <c r="EK129" s="472">
        <v>3.7900000000000003E-2</v>
      </c>
      <c r="EL129" s="472">
        <v>3.6799999999999999E-2</v>
      </c>
      <c r="EM129" s="472">
        <v>3.2399999999999998E-2</v>
      </c>
      <c r="EN129" s="472">
        <v>0.05</v>
      </c>
      <c r="EO129" s="472">
        <v>4.8800000000000003E-2</v>
      </c>
      <c r="EP129" s="472">
        <v>4.87E-2</v>
      </c>
      <c r="EQ129" s="472">
        <v>4.8500000000000001E-2</v>
      </c>
      <c r="ER129" s="472">
        <v>4.9599999999999998E-2</v>
      </c>
      <c r="ES129" s="472">
        <v>0.05</v>
      </c>
      <c r="ET129" s="472">
        <v>4.9000000000000002E-2</v>
      </c>
      <c r="EU129" s="472">
        <v>4.87E-2</v>
      </c>
      <c r="EV129" s="472">
        <v>4.8000000000000001E-2</v>
      </c>
      <c r="EW129" s="472">
        <v>4.6600000000000003E-2</v>
      </c>
      <c r="EX129" s="472">
        <v>4.3099999999999999E-2</v>
      </c>
      <c r="EY129" s="472">
        <v>4.5600000000000002E-2</v>
      </c>
      <c r="EZ129" s="472">
        <v>4.9000000000000002E-2</v>
      </c>
      <c r="FA129" s="484">
        <v>4.8399999999999999E-2</v>
      </c>
      <c r="FB129" s="484">
        <v>4.8000000000000001E-2</v>
      </c>
      <c r="FC129" s="472">
        <v>4.7399999999999998E-2</v>
      </c>
      <c r="FD129" s="472">
        <v>4.6600000000000003E-2</v>
      </c>
      <c r="FE129" s="484">
        <v>4.5600000000000002E-2</v>
      </c>
      <c r="FF129" s="484">
        <v>4.65E-2</v>
      </c>
      <c r="FG129" s="484">
        <v>4.6300000000000001E-2</v>
      </c>
      <c r="FH129" s="484">
        <v>4.6300000000000001E-2</v>
      </c>
      <c r="FI129" s="484">
        <v>4.7300000000000002E-2</v>
      </c>
      <c r="FJ129" s="484">
        <v>4.87E-2</v>
      </c>
      <c r="FK129" s="484">
        <v>4.8000000000000001E-2</v>
      </c>
      <c r="FL129" s="484">
        <v>4.7699999999999999E-2</v>
      </c>
      <c r="FM129" s="484">
        <v>4.8000000000000001E-2</v>
      </c>
      <c r="FN129" s="484">
        <v>4.82E-2</v>
      </c>
      <c r="FO129" s="484">
        <v>4.8000000000000001E-2</v>
      </c>
      <c r="FP129" s="484">
        <v>4.6800000000000001E-2</v>
      </c>
      <c r="FQ129" s="484">
        <v>4.7300000000000002E-2</v>
      </c>
      <c r="FR129" s="484">
        <v>4.6899999999999997E-2</v>
      </c>
      <c r="FS129" s="484">
        <v>4.3400000000000001E-2</v>
      </c>
      <c r="FT129" s="484">
        <v>4.2700000000000002E-2</v>
      </c>
      <c r="FU129" s="484">
        <v>4.0800000000000003E-2</v>
      </c>
      <c r="FV129" s="472">
        <v>5.1799999999999999E-2</v>
      </c>
      <c r="FW129" s="472">
        <v>5.1299999999999998E-2</v>
      </c>
      <c r="FX129" s="472">
        <v>5.2900000000000003E-2</v>
      </c>
      <c r="FY129" s="472">
        <v>5.2900000000000003E-2</v>
      </c>
      <c r="FZ129" s="472">
        <v>5.2600000000000001E-2</v>
      </c>
      <c r="GA129" s="472">
        <v>5.1999999999999998E-2</v>
      </c>
      <c r="GB129" s="472">
        <v>5.2499999999999998E-2</v>
      </c>
      <c r="GC129" s="472">
        <v>5.21E-2</v>
      </c>
      <c r="GD129" s="472">
        <v>3.7900000000000003E-2</v>
      </c>
      <c r="GE129" s="472">
        <v>3.7900000000000003E-2</v>
      </c>
      <c r="GF129" s="472">
        <v>3.7900000000000003E-2</v>
      </c>
      <c r="GG129" s="472">
        <v>3.7900000000000003E-2</v>
      </c>
      <c r="GH129" s="472">
        <v>3.7900000000000003E-2</v>
      </c>
      <c r="GI129" s="472">
        <v>3.7900000000000003E-2</v>
      </c>
      <c r="GJ129" s="472">
        <v>3.7900000000000003E-2</v>
      </c>
      <c r="GK129" s="472">
        <v>3.7900000000000003E-2</v>
      </c>
      <c r="GL129" s="472">
        <v>3.7900000000000003E-2</v>
      </c>
      <c r="GM129" s="472">
        <v>3.7900000000000003E-2</v>
      </c>
      <c r="GN129" s="472">
        <v>3.7900000000000003E-2</v>
      </c>
      <c r="GO129" s="472">
        <v>3.7900000000000003E-2</v>
      </c>
      <c r="GP129" s="472">
        <v>3.7900000000000003E-2</v>
      </c>
      <c r="GQ129" s="472">
        <v>3.7900000000000003E-2</v>
      </c>
      <c r="GR129" s="472">
        <v>3.7900000000000003E-2</v>
      </c>
      <c r="GS129" s="472">
        <v>3.7900000000000003E-2</v>
      </c>
      <c r="GT129" s="472">
        <v>3.7900000000000003E-2</v>
      </c>
      <c r="GU129" s="472">
        <v>3.7900000000000003E-2</v>
      </c>
      <c r="GV129" s="472">
        <v>3.7900000000000003E-2</v>
      </c>
      <c r="GW129" s="472">
        <v>3.7900000000000003E-2</v>
      </c>
      <c r="GX129" s="472">
        <v>3.7900000000000003E-2</v>
      </c>
      <c r="GY129" s="472">
        <v>3.7900000000000003E-2</v>
      </c>
      <c r="GZ129" s="472">
        <v>3.7900000000000003E-2</v>
      </c>
      <c r="HA129" s="472">
        <v>3.7900000000000003E-2</v>
      </c>
      <c r="HB129" s="472">
        <v>3.7900000000000003E-2</v>
      </c>
      <c r="HC129" s="472">
        <v>3.7900000000000003E-2</v>
      </c>
      <c r="HD129" s="472">
        <v>3.7900000000000003E-2</v>
      </c>
      <c r="HE129" s="472">
        <v>3.7900000000000003E-2</v>
      </c>
      <c r="HF129" s="472">
        <v>3.7900000000000003E-2</v>
      </c>
      <c r="HG129" s="472">
        <v>3.7900000000000003E-2</v>
      </c>
      <c r="HH129" s="472">
        <v>3.7900000000000003E-2</v>
      </c>
      <c r="HI129" s="472">
        <v>3.7900000000000003E-2</v>
      </c>
      <c r="HJ129" s="472">
        <v>3.7900000000000003E-2</v>
      </c>
      <c r="HK129" s="472">
        <v>3.7900000000000003E-2</v>
      </c>
      <c r="HL129" s="472">
        <v>3.7900000000000003E-2</v>
      </c>
      <c r="HM129" s="472">
        <v>3.7900000000000003E-2</v>
      </c>
      <c r="HN129" s="472">
        <v>3.7900000000000003E-2</v>
      </c>
      <c r="HO129" s="472">
        <v>3.7900000000000003E-2</v>
      </c>
      <c r="HP129" s="473">
        <f t="shared" si="49"/>
        <v>0</v>
      </c>
      <c r="HQ129" s="1147"/>
    </row>
    <row r="130" spans="2:225">
      <c r="B130" s="1123" t="s">
        <v>16</v>
      </c>
      <c r="C130" s="730" t="s">
        <v>222</v>
      </c>
      <c r="D130" s="481">
        <v>0.03</v>
      </c>
      <c r="E130" s="481">
        <v>0.03</v>
      </c>
      <c r="F130" s="481">
        <v>0.03</v>
      </c>
      <c r="G130" s="481">
        <v>0.03</v>
      </c>
      <c r="H130" s="481">
        <v>0.03</v>
      </c>
      <c r="I130" s="481">
        <v>0.03</v>
      </c>
      <c r="J130" s="481">
        <v>0.03</v>
      </c>
      <c r="K130" s="481">
        <v>0.03</v>
      </c>
      <c r="L130" s="480">
        <v>0.03</v>
      </c>
      <c r="M130" s="480">
        <v>3.1E-2</v>
      </c>
      <c r="N130" s="481">
        <v>3.3000000000000002E-2</v>
      </c>
      <c r="O130" s="481">
        <v>3.3000000000000002E-2</v>
      </c>
      <c r="P130" s="481">
        <v>3.3000000000000002E-2</v>
      </c>
      <c r="Q130" s="481">
        <v>3.3000000000000002E-2</v>
      </c>
      <c r="R130" s="481">
        <v>3.3000000000000002E-2</v>
      </c>
      <c r="S130" s="481">
        <v>3.3000000000000002E-2</v>
      </c>
      <c r="T130" s="481">
        <v>3.3000000000000002E-2</v>
      </c>
      <c r="U130" s="481">
        <v>3.3000000000000002E-2</v>
      </c>
      <c r="V130" s="481">
        <v>3.3000000000000002E-2</v>
      </c>
      <c r="W130" s="481">
        <v>3.3000000000000002E-2</v>
      </c>
      <c r="X130" s="481">
        <v>3.3000000000000002E-2</v>
      </c>
      <c r="Y130" s="481">
        <v>3.3000000000000002E-2</v>
      </c>
      <c r="Z130" s="480">
        <v>3.3000000000000002E-2</v>
      </c>
      <c r="AA130" s="481">
        <v>3.4500000000000003E-2</v>
      </c>
      <c r="AB130" s="481">
        <v>3.4500000000000003E-2</v>
      </c>
      <c r="AC130" s="480">
        <v>3.4500000000000003E-2</v>
      </c>
      <c r="AD130" s="481">
        <v>3.6999999999999998E-2</v>
      </c>
      <c r="AE130" s="481">
        <v>3.6999999999999998E-2</v>
      </c>
      <c r="AF130" s="480">
        <v>3.6999999999999998E-2</v>
      </c>
      <c r="AG130" s="481">
        <v>3.95E-2</v>
      </c>
      <c r="AH130" s="481">
        <v>3.95E-2</v>
      </c>
      <c r="AI130" s="481">
        <v>3.95E-2</v>
      </c>
      <c r="AJ130" s="481">
        <v>3.95E-2</v>
      </c>
      <c r="AK130" s="480">
        <v>3.95E-2</v>
      </c>
      <c r="AL130" s="482">
        <v>4.0500000000000001E-2</v>
      </c>
      <c r="AM130" s="481">
        <v>4.0500000000000001E-2</v>
      </c>
      <c r="AN130" s="481">
        <v>4.0500000000000001E-2</v>
      </c>
      <c r="AO130" s="481">
        <v>4.0500000000000001E-2</v>
      </c>
      <c r="AP130" s="481">
        <v>4.0500000000000001E-2</v>
      </c>
      <c r="AQ130" s="481">
        <v>4.0500000000000001E-2</v>
      </c>
      <c r="AR130" s="481">
        <v>4.0500000000000001E-2</v>
      </c>
      <c r="AS130" s="481">
        <v>4.0500000000000001E-2</v>
      </c>
      <c r="AT130" s="481">
        <v>4.0500000000000001E-2</v>
      </c>
      <c r="AU130" s="481">
        <v>4.0500000000000001E-2</v>
      </c>
      <c r="AV130" s="482">
        <v>4.0500000000000001E-2</v>
      </c>
      <c r="AW130" s="482">
        <v>4.0500000000000001E-2</v>
      </c>
      <c r="AX130" s="482">
        <v>4.0500000000000001E-2</v>
      </c>
      <c r="AY130" s="482">
        <v>4.0500000000000001E-2</v>
      </c>
      <c r="AZ130" s="482">
        <v>4.0500000000000001E-2</v>
      </c>
      <c r="BA130" s="482">
        <v>4.0500000000000001E-2</v>
      </c>
      <c r="BB130" s="482">
        <v>4.0500000000000001E-2</v>
      </c>
      <c r="BC130" s="482">
        <v>4.0500000000000001E-2</v>
      </c>
      <c r="BD130" s="482">
        <v>4.0500000000000001E-2</v>
      </c>
      <c r="BE130" s="482">
        <v>4.0500000000000001E-2</v>
      </c>
      <c r="BF130" s="482">
        <v>4.0500000000000001E-2</v>
      </c>
      <c r="BG130" s="482">
        <v>4.0500000000000001E-2</v>
      </c>
      <c r="BH130" s="482">
        <v>4.0500000000000001E-2</v>
      </c>
      <c r="BI130" s="482">
        <v>4.0500000000000001E-2</v>
      </c>
      <c r="BJ130" s="482">
        <v>4.0500000000000001E-2</v>
      </c>
      <c r="BK130" s="482">
        <v>4.1000000000000002E-2</v>
      </c>
      <c r="BL130" s="482">
        <v>4.2500000000000003E-2</v>
      </c>
      <c r="BM130" s="482">
        <v>4.2500000000000003E-2</v>
      </c>
      <c r="BN130" s="482">
        <v>4.2500000000000003E-2</v>
      </c>
      <c r="BO130" s="482">
        <v>4.2500000000000003E-2</v>
      </c>
      <c r="BP130" s="482">
        <v>4.2500000000000003E-2</v>
      </c>
      <c r="BQ130" s="482">
        <v>4.2500000000000003E-2</v>
      </c>
      <c r="BR130" s="482">
        <v>4.2500000000000003E-2</v>
      </c>
      <c r="BS130" s="482">
        <v>4.2500000000000003E-2</v>
      </c>
      <c r="BT130" s="482">
        <v>4.3499999999999997E-2</v>
      </c>
      <c r="BU130" s="482">
        <v>4.3499999999999997E-2</v>
      </c>
      <c r="BV130" s="482">
        <v>4.3499999999999997E-2</v>
      </c>
      <c r="BW130" s="482">
        <v>4.3499999999999997E-2</v>
      </c>
      <c r="BX130" s="482">
        <v>4.3499999999999997E-2</v>
      </c>
      <c r="BY130" s="482">
        <v>4.65E-2</v>
      </c>
      <c r="BZ130" s="482">
        <v>4.65E-2</v>
      </c>
      <c r="CA130" s="482">
        <v>4.7500000000000001E-2</v>
      </c>
      <c r="CB130" s="482">
        <v>4.7500000000000001E-2</v>
      </c>
      <c r="CC130" s="482">
        <v>4.7500000000000001E-2</v>
      </c>
      <c r="CD130" s="482">
        <v>4.7500000000000001E-2</v>
      </c>
      <c r="CE130" s="482">
        <v>4.7500000000000001E-2</v>
      </c>
      <c r="CF130" s="482">
        <v>4.7500000000000001E-2</v>
      </c>
      <c r="CG130" s="482">
        <v>4.7500000000000001E-2</v>
      </c>
      <c r="CH130" s="482">
        <v>4.7500000000000001E-2</v>
      </c>
      <c r="CI130" s="482">
        <v>4.7500000000000001E-2</v>
      </c>
      <c r="CJ130" s="482">
        <v>4.7500000000000001E-2</v>
      </c>
      <c r="CK130" s="482">
        <v>4.7500000000000001E-2</v>
      </c>
      <c r="CL130" s="482">
        <v>4.7500000000000001E-2</v>
      </c>
      <c r="CM130" s="482">
        <v>4.7500000000000001E-2</v>
      </c>
      <c r="CN130" s="482">
        <v>4.7500000000000001E-2</v>
      </c>
      <c r="CO130" s="482">
        <v>4.7500000000000001E-2</v>
      </c>
      <c r="CP130" s="482">
        <v>4.7500000000000001E-2</v>
      </c>
      <c r="CQ130" s="482">
        <v>4.7500000000000001E-2</v>
      </c>
      <c r="CR130" s="482">
        <v>4.7500000000000001E-2</v>
      </c>
      <c r="CS130" s="482">
        <v>4.7500000000000001E-2</v>
      </c>
      <c r="CT130" s="482">
        <v>4.7500000000000001E-2</v>
      </c>
      <c r="CU130" s="482">
        <v>4.7500000000000001E-2</v>
      </c>
      <c r="CV130" s="482">
        <v>4.7500000000000001E-2</v>
      </c>
      <c r="CW130" s="482">
        <v>4.7500000000000001E-2</v>
      </c>
      <c r="CX130" s="482">
        <v>4.7500000000000001E-2</v>
      </c>
      <c r="CY130" s="482">
        <v>4.7500000000000001E-2</v>
      </c>
      <c r="CZ130" s="482">
        <v>4.7500000000000001E-2</v>
      </c>
      <c r="DA130" s="482">
        <v>4.7500000000000001E-2</v>
      </c>
      <c r="DB130" s="482">
        <v>4.7500000000000001E-2</v>
      </c>
      <c r="DC130" s="482">
        <v>4.7500000000000001E-2</v>
      </c>
      <c r="DD130" s="482">
        <v>4.7500000000000001E-2</v>
      </c>
      <c r="DE130" s="482">
        <v>4.7500000000000001E-2</v>
      </c>
      <c r="DF130" s="482">
        <v>4.7500000000000001E-2</v>
      </c>
      <c r="DG130" s="482">
        <v>4.7500000000000001E-2</v>
      </c>
      <c r="DH130" s="482">
        <v>4.7500000000000001E-2</v>
      </c>
      <c r="DI130" s="482">
        <v>4.7500000000000001E-2</v>
      </c>
      <c r="DJ130" s="482">
        <v>4.7500000000000001E-2</v>
      </c>
      <c r="DK130" s="482">
        <v>4.7500000000000001E-2</v>
      </c>
      <c r="DL130" s="482">
        <v>4.7500000000000001E-2</v>
      </c>
      <c r="DM130" s="482">
        <v>4.7500000000000001E-2</v>
      </c>
      <c r="DN130" s="482">
        <v>4.7500000000000001E-2</v>
      </c>
      <c r="DO130" s="482">
        <v>4.7500000000000001E-2</v>
      </c>
      <c r="DP130" s="482">
        <v>4.7500000000000001E-2</v>
      </c>
      <c r="DQ130" s="482">
        <v>4.7500000000000001E-2</v>
      </c>
      <c r="DR130" s="482">
        <v>4.7500000000000001E-2</v>
      </c>
      <c r="DS130" s="482">
        <v>4.7500000000000001E-2</v>
      </c>
      <c r="DT130" s="482">
        <v>4.7500000000000001E-2</v>
      </c>
      <c r="DU130" s="482">
        <v>4.7500000000000001E-2</v>
      </c>
      <c r="DV130" s="482">
        <v>4.7500000000000001E-2</v>
      </c>
      <c r="DW130" s="482">
        <v>4.7500000000000001E-2</v>
      </c>
      <c r="DX130" s="482">
        <v>4.7500000000000001E-2</v>
      </c>
      <c r="DY130" s="482">
        <v>4.7500000000000001E-2</v>
      </c>
      <c r="DZ130" s="482">
        <v>4.7500000000000001E-2</v>
      </c>
      <c r="EA130" s="482">
        <v>4.7500000000000001E-2</v>
      </c>
      <c r="EB130" s="482">
        <v>4.7500000000000001E-2</v>
      </c>
      <c r="EC130" s="482">
        <v>4.7500000000000001E-2</v>
      </c>
      <c r="ED130" s="482">
        <v>4.7500000000000001E-2</v>
      </c>
      <c r="EE130" s="482">
        <v>4.7500000000000001E-2</v>
      </c>
      <c r="EF130" s="482">
        <v>4.7500000000000001E-2</v>
      </c>
      <c r="EG130" s="482">
        <v>4.7500000000000001E-2</v>
      </c>
      <c r="EH130" s="482">
        <v>4.7500000000000001E-2</v>
      </c>
      <c r="EI130" s="482">
        <v>4.7500000000000001E-2</v>
      </c>
      <c r="EJ130" s="482">
        <v>4.7500000000000001E-2</v>
      </c>
      <c r="EK130" s="482">
        <v>4.7500000000000001E-2</v>
      </c>
      <c r="EL130" s="482">
        <v>4.7500000000000001E-2</v>
      </c>
      <c r="EM130" s="482">
        <v>4.7500000000000001E-2</v>
      </c>
      <c r="EN130" s="482">
        <v>4.7500000000000001E-2</v>
      </c>
      <c r="EO130" s="482">
        <v>4.7500000000000001E-2</v>
      </c>
      <c r="EP130" s="482">
        <v>4.7500000000000001E-2</v>
      </c>
      <c r="EQ130" s="482">
        <v>4.7500000000000001E-2</v>
      </c>
      <c r="ER130" s="482">
        <v>4.7500000000000001E-2</v>
      </c>
      <c r="ES130" s="482">
        <v>4.7500000000000001E-2</v>
      </c>
      <c r="ET130" s="482">
        <v>4.7500000000000001E-2</v>
      </c>
      <c r="EU130" s="482">
        <v>4.7500000000000001E-2</v>
      </c>
      <c r="EV130" s="482">
        <v>4.7500000000000001E-2</v>
      </c>
      <c r="EW130" s="482">
        <v>4.7500000000000001E-2</v>
      </c>
      <c r="EX130" s="482">
        <v>4.7500000000000001E-2</v>
      </c>
      <c r="EY130" s="482">
        <v>4.7500000000000001E-2</v>
      </c>
      <c r="EZ130" s="482">
        <v>4.7500000000000001E-2</v>
      </c>
      <c r="FA130" s="482">
        <v>4.7500000000000001E-2</v>
      </c>
      <c r="FB130" s="482">
        <v>4.7500000000000001E-2</v>
      </c>
      <c r="FC130" s="482">
        <v>4.7500000000000001E-2</v>
      </c>
      <c r="FD130" s="482">
        <v>4.7500000000000001E-2</v>
      </c>
      <c r="FE130" s="482">
        <v>4.7500000000000001E-2</v>
      </c>
      <c r="FF130" s="482">
        <v>4.7500000000000001E-2</v>
      </c>
      <c r="FG130" s="482">
        <v>4.7500000000000001E-2</v>
      </c>
      <c r="FH130" s="482">
        <v>4.7500000000000001E-2</v>
      </c>
      <c r="FI130" s="482">
        <v>4.7500000000000001E-2</v>
      </c>
      <c r="FJ130" s="482">
        <v>4.7500000000000001E-2</v>
      </c>
      <c r="FK130" s="482">
        <v>4.7500000000000001E-2</v>
      </c>
      <c r="FL130" s="482">
        <v>4.7500000000000001E-2</v>
      </c>
      <c r="FM130" s="482">
        <v>4.7500000000000001E-2</v>
      </c>
      <c r="FN130" s="482">
        <v>4.7500000000000001E-2</v>
      </c>
      <c r="FO130" s="482">
        <v>4.7500000000000001E-2</v>
      </c>
      <c r="FP130" s="482">
        <v>4.7500000000000001E-2</v>
      </c>
      <c r="FQ130" s="482">
        <v>4.7500000000000001E-2</v>
      </c>
      <c r="FR130" s="482">
        <v>4.7500000000000001E-2</v>
      </c>
      <c r="FS130" s="482">
        <v>4.7500000000000001E-2</v>
      </c>
      <c r="FT130" s="482">
        <v>4.7500000000000001E-2</v>
      </c>
      <c r="FU130" s="482">
        <v>4.7500000000000001E-2</v>
      </c>
      <c r="FV130" s="482">
        <v>4.7500000000000001E-2</v>
      </c>
      <c r="FW130" s="482">
        <v>4.7500000000000001E-2</v>
      </c>
      <c r="FX130" s="482">
        <v>4.7500000000000001E-2</v>
      </c>
      <c r="FY130" s="482">
        <v>4.7500000000000001E-2</v>
      </c>
      <c r="FZ130" s="482">
        <v>4.7500000000000001E-2</v>
      </c>
      <c r="GA130" s="482">
        <v>4.7500000000000001E-2</v>
      </c>
      <c r="GB130" s="482">
        <v>4.7500000000000001E-2</v>
      </c>
      <c r="GC130" s="482">
        <v>4.7500000000000001E-2</v>
      </c>
      <c r="GD130" s="477">
        <v>3.4000000000000002E-2</v>
      </c>
      <c r="GE130" s="477">
        <v>3.4000000000000002E-2</v>
      </c>
      <c r="GF130" s="477">
        <v>3.4000000000000002E-2</v>
      </c>
      <c r="GG130" s="477">
        <v>3.4000000000000002E-2</v>
      </c>
      <c r="GH130" s="477">
        <v>3.4000000000000002E-2</v>
      </c>
      <c r="GI130" s="477">
        <v>3.4000000000000002E-2</v>
      </c>
      <c r="GJ130" s="477">
        <v>3.4000000000000002E-2</v>
      </c>
      <c r="GK130" s="477">
        <v>3.4000000000000002E-2</v>
      </c>
      <c r="GL130" s="477">
        <v>3.4000000000000002E-2</v>
      </c>
      <c r="GM130" s="477">
        <v>3.4000000000000002E-2</v>
      </c>
      <c r="GN130" s="477">
        <v>3.4000000000000002E-2</v>
      </c>
      <c r="GO130" s="477">
        <v>3.4000000000000002E-2</v>
      </c>
      <c r="GP130" s="477">
        <v>3.4000000000000002E-2</v>
      </c>
      <c r="GQ130" s="477">
        <v>3.4000000000000002E-2</v>
      </c>
      <c r="GR130" s="477">
        <v>3.4000000000000002E-2</v>
      </c>
      <c r="GS130" s="477">
        <v>3.4000000000000002E-2</v>
      </c>
      <c r="GT130" s="477">
        <v>3.4000000000000002E-2</v>
      </c>
      <c r="GU130" s="477">
        <v>3.4000000000000002E-2</v>
      </c>
      <c r="GV130" s="477">
        <v>3.4000000000000002E-2</v>
      </c>
      <c r="GW130" s="477">
        <v>3.4000000000000002E-2</v>
      </c>
      <c r="GX130" s="477">
        <v>3.4000000000000002E-2</v>
      </c>
      <c r="GY130" s="477">
        <v>3.4000000000000002E-2</v>
      </c>
      <c r="GZ130" s="477">
        <v>3.4000000000000002E-2</v>
      </c>
      <c r="HA130" s="477">
        <v>3.4000000000000002E-2</v>
      </c>
      <c r="HB130" s="477">
        <v>3.4000000000000002E-2</v>
      </c>
      <c r="HC130" s="477">
        <v>3.4000000000000002E-2</v>
      </c>
      <c r="HD130" s="477">
        <v>3.4000000000000002E-2</v>
      </c>
      <c r="HE130" s="477">
        <v>3.4000000000000002E-2</v>
      </c>
      <c r="HF130" s="477">
        <v>3.4000000000000002E-2</v>
      </c>
      <c r="HG130" s="477">
        <v>3.4000000000000002E-2</v>
      </c>
      <c r="HH130" s="477">
        <v>3.4000000000000002E-2</v>
      </c>
      <c r="HI130" s="477">
        <v>3.4000000000000002E-2</v>
      </c>
      <c r="HJ130" s="477">
        <v>3.4000000000000002E-2</v>
      </c>
      <c r="HK130" s="477">
        <v>3.4000000000000002E-2</v>
      </c>
      <c r="HL130" s="477">
        <v>3.4000000000000002E-2</v>
      </c>
      <c r="HM130" s="477">
        <v>3.4000000000000002E-2</v>
      </c>
      <c r="HN130" s="477">
        <v>3.4000000000000002E-2</v>
      </c>
      <c r="HO130" s="477">
        <v>3.4000000000000002E-2</v>
      </c>
      <c r="HP130" s="473">
        <f t="shared" si="49"/>
        <v>0</v>
      </c>
      <c r="HQ130" s="1135"/>
    </row>
    <row r="131" spans="2:225">
      <c r="B131" s="1124"/>
      <c r="C131" s="730" t="s">
        <v>221</v>
      </c>
      <c r="D131" s="481">
        <v>0.03</v>
      </c>
      <c r="E131" s="481">
        <v>0.03</v>
      </c>
      <c r="F131" s="481">
        <v>0.03</v>
      </c>
      <c r="G131" s="481">
        <v>0.03</v>
      </c>
      <c r="H131" s="481">
        <v>0.03</v>
      </c>
      <c r="I131" s="481">
        <v>0.03</v>
      </c>
      <c r="J131" s="481">
        <v>0.03</v>
      </c>
      <c r="K131" s="481">
        <v>0.03</v>
      </c>
      <c r="L131" s="480">
        <v>0.03</v>
      </c>
      <c r="M131" s="480">
        <v>3.1E-2</v>
      </c>
      <c r="N131" s="481">
        <v>3.3500000000000002E-2</v>
      </c>
      <c r="O131" s="481">
        <v>3.3500000000000002E-2</v>
      </c>
      <c r="P131" s="481">
        <v>3.3500000000000002E-2</v>
      </c>
      <c r="Q131" s="481">
        <v>3.3500000000000002E-2</v>
      </c>
      <c r="R131" s="481">
        <v>3.3500000000000002E-2</v>
      </c>
      <c r="S131" s="481">
        <v>3.3500000000000002E-2</v>
      </c>
      <c r="T131" s="481">
        <v>3.3500000000000002E-2</v>
      </c>
      <c r="U131" s="481">
        <v>3.3500000000000002E-2</v>
      </c>
      <c r="V131" s="481">
        <v>3.3500000000000002E-2</v>
      </c>
      <c r="W131" s="481">
        <v>3.3500000000000002E-2</v>
      </c>
      <c r="X131" s="481">
        <v>3.3500000000000002E-2</v>
      </c>
      <c r="Y131" s="481">
        <v>3.3500000000000002E-2</v>
      </c>
      <c r="Z131" s="480">
        <v>3.3500000000000002E-2</v>
      </c>
      <c r="AA131" s="481">
        <v>3.5000000000000003E-2</v>
      </c>
      <c r="AB131" s="481">
        <v>3.5000000000000003E-2</v>
      </c>
      <c r="AC131" s="480">
        <v>3.5000000000000003E-2</v>
      </c>
      <c r="AD131" s="481">
        <v>3.7499999999999999E-2</v>
      </c>
      <c r="AE131" s="481">
        <v>3.7499999999999999E-2</v>
      </c>
      <c r="AF131" s="480">
        <v>3.7499999999999999E-2</v>
      </c>
      <c r="AG131" s="481">
        <v>0.04</v>
      </c>
      <c r="AH131" s="481">
        <v>0.04</v>
      </c>
      <c r="AI131" s="481">
        <v>0.04</v>
      </c>
      <c r="AJ131" s="481">
        <v>0.04</v>
      </c>
      <c r="AK131" s="480">
        <v>0.04</v>
      </c>
      <c r="AL131" s="482">
        <v>4.1000000000000002E-2</v>
      </c>
      <c r="AM131" s="481">
        <v>4.1000000000000002E-2</v>
      </c>
      <c r="AN131" s="481">
        <v>4.1000000000000002E-2</v>
      </c>
      <c r="AO131" s="481">
        <v>4.1000000000000002E-2</v>
      </c>
      <c r="AP131" s="481">
        <v>4.1000000000000002E-2</v>
      </c>
      <c r="AQ131" s="481">
        <v>4.1000000000000002E-2</v>
      </c>
      <c r="AR131" s="481">
        <v>4.1000000000000002E-2</v>
      </c>
      <c r="AS131" s="481">
        <v>4.1000000000000002E-2</v>
      </c>
      <c r="AT131" s="481">
        <v>4.1000000000000002E-2</v>
      </c>
      <c r="AU131" s="481">
        <v>4.1000000000000002E-2</v>
      </c>
      <c r="AV131" s="482">
        <v>4.1000000000000002E-2</v>
      </c>
      <c r="AW131" s="482">
        <v>4.1000000000000002E-2</v>
      </c>
      <c r="AX131" s="482">
        <v>4.1000000000000002E-2</v>
      </c>
      <c r="AY131" s="482">
        <v>4.1000000000000002E-2</v>
      </c>
      <c r="AZ131" s="482">
        <v>4.1000000000000002E-2</v>
      </c>
      <c r="BA131" s="482">
        <v>4.1000000000000002E-2</v>
      </c>
      <c r="BB131" s="482">
        <v>4.1000000000000002E-2</v>
      </c>
      <c r="BC131" s="482">
        <v>4.1000000000000002E-2</v>
      </c>
      <c r="BD131" s="482">
        <v>4.1000000000000002E-2</v>
      </c>
      <c r="BE131" s="482">
        <v>4.1000000000000002E-2</v>
      </c>
      <c r="BF131" s="482">
        <v>4.1000000000000002E-2</v>
      </c>
      <c r="BG131" s="482">
        <v>4.1000000000000002E-2</v>
      </c>
      <c r="BH131" s="482">
        <v>4.1000000000000002E-2</v>
      </c>
      <c r="BI131" s="482">
        <v>4.1000000000000002E-2</v>
      </c>
      <c r="BJ131" s="482">
        <v>4.1000000000000002E-2</v>
      </c>
      <c r="BK131" s="482">
        <v>4.1500000000000002E-2</v>
      </c>
      <c r="BL131" s="482">
        <v>4.2999999999999997E-2</v>
      </c>
      <c r="BM131" s="482">
        <v>4.2999999999999997E-2</v>
      </c>
      <c r="BN131" s="482">
        <v>4.2999999999999997E-2</v>
      </c>
      <c r="BO131" s="482">
        <v>4.2999999999999997E-2</v>
      </c>
      <c r="BP131" s="482">
        <v>4.2999999999999997E-2</v>
      </c>
      <c r="BQ131" s="482">
        <v>4.2999999999999997E-2</v>
      </c>
      <c r="BR131" s="482">
        <v>4.2999999999999997E-2</v>
      </c>
      <c r="BS131" s="482">
        <v>4.2999999999999997E-2</v>
      </c>
      <c r="BT131" s="482">
        <v>4.3999999999999997E-2</v>
      </c>
      <c r="BU131" s="482">
        <v>4.3999999999999997E-2</v>
      </c>
      <c r="BV131" s="482">
        <v>4.3999999999999997E-2</v>
      </c>
      <c r="BW131" s="482">
        <v>4.3999999999999997E-2</v>
      </c>
      <c r="BX131" s="482">
        <v>4.3999999999999997E-2</v>
      </c>
      <c r="BY131" s="482">
        <v>4.7E-2</v>
      </c>
      <c r="BZ131" s="482">
        <v>4.7E-2</v>
      </c>
      <c r="CA131" s="482">
        <v>4.8000000000000001E-2</v>
      </c>
      <c r="CB131" s="482">
        <v>4.8000000000000001E-2</v>
      </c>
      <c r="CC131" s="482">
        <v>4.8000000000000001E-2</v>
      </c>
      <c r="CD131" s="482">
        <v>4.8000000000000001E-2</v>
      </c>
      <c r="CE131" s="482">
        <v>4.8000000000000001E-2</v>
      </c>
      <c r="CF131" s="482">
        <v>4.8000000000000001E-2</v>
      </c>
      <c r="CG131" s="482">
        <v>4.8000000000000001E-2</v>
      </c>
      <c r="CH131" s="482">
        <v>4.8000000000000001E-2</v>
      </c>
      <c r="CI131" s="482">
        <v>4.8000000000000001E-2</v>
      </c>
      <c r="CJ131" s="482">
        <v>4.8000000000000001E-2</v>
      </c>
      <c r="CK131" s="482">
        <v>4.8000000000000001E-2</v>
      </c>
      <c r="CL131" s="482">
        <v>4.8000000000000001E-2</v>
      </c>
      <c r="CM131" s="482">
        <v>4.8000000000000001E-2</v>
      </c>
      <c r="CN131" s="482">
        <v>4.8000000000000001E-2</v>
      </c>
      <c r="CO131" s="482">
        <v>4.8000000000000001E-2</v>
      </c>
      <c r="CP131" s="482">
        <v>4.8000000000000001E-2</v>
      </c>
      <c r="CQ131" s="482">
        <v>4.8000000000000001E-2</v>
      </c>
      <c r="CR131" s="482">
        <v>4.8000000000000001E-2</v>
      </c>
      <c r="CS131" s="482">
        <v>4.8000000000000001E-2</v>
      </c>
      <c r="CT131" s="482">
        <v>4.8000000000000001E-2</v>
      </c>
      <c r="CU131" s="482">
        <v>4.8000000000000001E-2</v>
      </c>
      <c r="CV131" s="482">
        <v>4.8000000000000001E-2</v>
      </c>
      <c r="CW131" s="482">
        <v>4.8000000000000001E-2</v>
      </c>
      <c r="CX131" s="482">
        <v>4.8000000000000001E-2</v>
      </c>
      <c r="CY131" s="482">
        <v>4.8000000000000001E-2</v>
      </c>
      <c r="CZ131" s="482">
        <v>4.8000000000000001E-2</v>
      </c>
      <c r="DA131" s="482">
        <v>4.8000000000000001E-2</v>
      </c>
      <c r="DB131" s="482">
        <v>4.8000000000000001E-2</v>
      </c>
      <c r="DC131" s="482">
        <v>4.8000000000000001E-2</v>
      </c>
      <c r="DD131" s="482">
        <v>4.8000000000000001E-2</v>
      </c>
      <c r="DE131" s="482">
        <v>4.8000000000000001E-2</v>
      </c>
      <c r="DF131" s="482">
        <v>4.8000000000000001E-2</v>
      </c>
      <c r="DG131" s="482">
        <v>4.8000000000000001E-2</v>
      </c>
      <c r="DH131" s="482">
        <v>4.8000000000000001E-2</v>
      </c>
      <c r="DI131" s="482">
        <v>4.8000000000000001E-2</v>
      </c>
      <c r="DJ131" s="482">
        <v>4.8000000000000001E-2</v>
      </c>
      <c r="DK131" s="482">
        <v>4.8000000000000001E-2</v>
      </c>
      <c r="DL131" s="482">
        <v>4.8000000000000001E-2</v>
      </c>
      <c r="DM131" s="482">
        <v>4.8000000000000001E-2</v>
      </c>
      <c r="DN131" s="482">
        <v>4.8000000000000001E-2</v>
      </c>
      <c r="DO131" s="482">
        <v>4.8000000000000001E-2</v>
      </c>
      <c r="DP131" s="482">
        <v>4.8000000000000001E-2</v>
      </c>
      <c r="DQ131" s="482">
        <v>4.8000000000000001E-2</v>
      </c>
      <c r="DR131" s="482">
        <v>4.8000000000000001E-2</v>
      </c>
      <c r="DS131" s="482">
        <v>4.8000000000000001E-2</v>
      </c>
      <c r="DT131" s="482">
        <v>4.8000000000000001E-2</v>
      </c>
      <c r="DU131" s="482">
        <v>4.8000000000000001E-2</v>
      </c>
      <c r="DV131" s="482">
        <v>4.8000000000000001E-2</v>
      </c>
      <c r="DW131" s="482">
        <v>4.8000000000000001E-2</v>
      </c>
      <c r="DX131" s="482">
        <v>4.8000000000000001E-2</v>
      </c>
      <c r="DY131" s="482">
        <v>4.8000000000000001E-2</v>
      </c>
      <c r="DZ131" s="482">
        <v>4.8000000000000001E-2</v>
      </c>
      <c r="EA131" s="482">
        <v>4.8000000000000001E-2</v>
      </c>
      <c r="EB131" s="482">
        <v>4.8000000000000001E-2</v>
      </c>
      <c r="EC131" s="482">
        <v>4.8000000000000001E-2</v>
      </c>
      <c r="ED131" s="482">
        <v>4.8000000000000001E-2</v>
      </c>
      <c r="EE131" s="482">
        <v>4.8000000000000001E-2</v>
      </c>
      <c r="EF131" s="482">
        <v>4.8000000000000001E-2</v>
      </c>
      <c r="EG131" s="482">
        <v>4.8000000000000001E-2</v>
      </c>
      <c r="EH131" s="482">
        <v>4.8000000000000001E-2</v>
      </c>
      <c r="EI131" s="482">
        <v>4.8000000000000001E-2</v>
      </c>
      <c r="EJ131" s="482">
        <v>4.8000000000000001E-2</v>
      </c>
      <c r="EK131" s="482">
        <v>4.8000000000000001E-2</v>
      </c>
      <c r="EL131" s="482">
        <v>4.8000000000000001E-2</v>
      </c>
      <c r="EM131" s="482">
        <v>4.8000000000000001E-2</v>
      </c>
      <c r="EN131" s="482">
        <v>4.8000000000000001E-2</v>
      </c>
      <c r="EO131" s="482">
        <v>4.8000000000000001E-2</v>
      </c>
      <c r="EP131" s="482">
        <v>4.8000000000000001E-2</v>
      </c>
      <c r="EQ131" s="482">
        <v>4.8000000000000001E-2</v>
      </c>
      <c r="ER131" s="482">
        <v>4.8000000000000001E-2</v>
      </c>
      <c r="ES131" s="482">
        <v>4.8000000000000001E-2</v>
      </c>
      <c r="ET131" s="482">
        <v>4.8000000000000001E-2</v>
      </c>
      <c r="EU131" s="482">
        <v>4.8000000000000001E-2</v>
      </c>
      <c r="EV131" s="482">
        <v>4.8000000000000001E-2</v>
      </c>
      <c r="EW131" s="482">
        <v>4.8000000000000001E-2</v>
      </c>
      <c r="EX131" s="482">
        <v>4.8000000000000001E-2</v>
      </c>
      <c r="EY131" s="482">
        <v>4.8000000000000001E-2</v>
      </c>
      <c r="EZ131" s="482">
        <v>4.8000000000000001E-2</v>
      </c>
      <c r="FA131" s="482">
        <v>4.8000000000000001E-2</v>
      </c>
      <c r="FB131" s="482">
        <v>4.8000000000000001E-2</v>
      </c>
      <c r="FC131" s="482">
        <v>4.8000000000000001E-2</v>
      </c>
      <c r="FD131" s="482">
        <v>4.8000000000000001E-2</v>
      </c>
      <c r="FE131" s="482">
        <v>4.8000000000000001E-2</v>
      </c>
      <c r="FF131" s="482">
        <v>4.8000000000000001E-2</v>
      </c>
      <c r="FG131" s="482">
        <v>4.8000000000000001E-2</v>
      </c>
      <c r="FH131" s="482">
        <v>4.8000000000000001E-2</v>
      </c>
      <c r="FI131" s="482">
        <v>4.8000000000000001E-2</v>
      </c>
      <c r="FJ131" s="482">
        <v>4.8000000000000001E-2</v>
      </c>
      <c r="FK131" s="482">
        <v>4.8000000000000001E-2</v>
      </c>
      <c r="FL131" s="482">
        <v>4.8000000000000001E-2</v>
      </c>
      <c r="FM131" s="482">
        <v>4.8000000000000001E-2</v>
      </c>
      <c r="FN131" s="482">
        <v>4.8000000000000001E-2</v>
      </c>
      <c r="FO131" s="482">
        <v>4.8000000000000001E-2</v>
      </c>
      <c r="FP131" s="482">
        <v>4.8000000000000001E-2</v>
      </c>
      <c r="FQ131" s="482">
        <v>4.8000000000000001E-2</v>
      </c>
      <c r="FR131" s="482">
        <v>4.8000000000000001E-2</v>
      </c>
      <c r="FS131" s="482">
        <v>4.8000000000000001E-2</v>
      </c>
      <c r="FT131" s="482">
        <v>4.8000000000000001E-2</v>
      </c>
      <c r="FU131" s="482">
        <v>4.8000000000000001E-2</v>
      </c>
      <c r="FV131" s="482">
        <v>4.8000000000000001E-2</v>
      </c>
      <c r="FW131" s="482">
        <v>4.8000000000000001E-2</v>
      </c>
      <c r="FX131" s="482">
        <v>4.8000000000000001E-2</v>
      </c>
      <c r="FY131" s="482">
        <v>4.8000000000000001E-2</v>
      </c>
      <c r="FZ131" s="482">
        <v>4.8000000000000001E-2</v>
      </c>
      <c r="GA131" s="482">
        <v>4.8000000000000001E-2</v>
      </c>
      <c r="GB131" s="482">
        <v>4.8000000000000001E-2</v>
      </c>
      <c r="GC131" s="482">
        <v>4.8000000000000001E-2</v>
      </c>
      <c r="GD131" s="477">
        <v>3.4500000000000003E-2</v>
      </c>
      <c r="GE131" s="477">
        <v>3.4500000000000003E-2</v>
      </c>
      <c r="GF131" s="477">
        <v>3.4500000000000003E-2</v>
      </c>
      <c r="GG131" s="477">
        <v>3.4500000000000003E-2</v>
      </c>
      <c r="GH131" s="477">
        <v>3.4500000000000003E-2</v>
      </c>
      <c r="GI131" s="477">
        <v>3.4500000000000003E-2</v>
      </c>
      <c r="GJ131" s="477">
        <v>3.4500000000000003E-2</v>
      </c>
      <c r="GK131" s="477">
        <v>3.4500000000000003E-2</v>
      </c>
      <c r="GL131" s="477">
        <v>3.4500000000000003E-2</v>
      </c>
      <c r="GM131" s="477">
        <v>3.4500000000000003E-2</v>
      </c>
      <c r="GN131" s="477">
        <v>3.4500000000000003E-2</v>
      </c>
      <c r="GO131" s="477">
        <v>3.4500000000000003E-2</v>
      </c>
      <c r="GP131" s="477">
        <v>3.4500000000000003E-2</v>
      </c>
      <c r="GQ131" s="477">
        <v>3.4500000000000003E-2</v>
      </c>
      <c r="GR131" s="477">
        <v>3.4500000000000003E-2</v>
      </c>
      <c r="GS131" s="477">
        <v>3.4500000000000003E-2</v>
      </c>
      <c r="GT131" s="477">
        <v>3.4500000000000003E-2</v>
      </c>
      <c r="GU131" s="477">
        <v>3.4500000000000003E-2</v>
      </c>
      <c r="GV131" s="477">
        <v>3.4500000000000003E-2</v>
      </c>
      <c r="GW131" s="477">
        <v>3.4500000000000003E-2</v>
      </c>
      <c r="GX131" s="477">
        <v>3.4500000000000003E-2</v>
      </c>
      <c r="GY131" s="477">
        <v>3.4500000000000003E-2</v>
      </c>
      <c r="GZ131" s="477">
        <v>3.4500000000000003E-2</v>
      </c>
      <c r="HA131" s="477">
        <v>3.4500000000000003E-2</v>
      </c>
      <c r="HB131" s="477">
        <v>3.4500000000000003E-2</v>
      </c>
      <c r="HC131" s="477">
        <v>3.4500000000000003E-2</v>
      </c>
      <c r="HD131" s="477">
        <v>3.4500000000000003E-2</v>
      </c>
      <c r="HE131" s="477">
        <v>3.4500000000000003E-2</v>
      </c>
      <c r="HF131" s="477">
        <v>3.4500000000000003E-2</v>
      </c>
      <c r="HG131" s="477">
        <v>3.4500000000000003E-2</v>
      </c>
      <c r="HH131" s="477">
        <v>3.4500000000000003E-2</v>
      </c>
      <c r="HI131" s="477">
        <v>3.4500000000000003E-2</v>
      </c>
      <c r="HJ131" s="477">
        <v>3.4500000000000003E-2</v>
      </c>
      <c r="HK131" s="477">
        <v>3.4500000000000003E-2</v>
      </c>
      <c r="HL131" s="477">
        <v>3.4500000000000003E-2</v>
      </c>
      <c r="HM131" s="477">
        <v>3.4500000000000003E-2</v>
      </c>
      <c r="HN131" s="477">
        <v>3.4500000000000003E-2</v>
      </c>
      <c r="HO131" s="477">
        <v>3.4500000000000003E-2</v>
      </c>
      <c r="HP131" s="473">
        <f t="shared" si="49"/>
        <v>0</v>
      </c>
      <c r="HQ131" s="1136"/>
    </row>
    <row r="132" spans="2:225">
      <c r="B132" s="1125"/>
      <c r="C132" s="730" t="s">
        <v>220</v>
      </c>
      <c r="D132" s="481">
        <v>3.0499999999999999E-2</v>
      </c>
      <c r="E132" s="481">
        <v>3.0499999999999999E-2</v>
      </c>
      <c r="F132" s="481">
        <v>3.0499999999999999E-2</v>
      </c>
      <c r="G132" s="481">
        <v>3.0499999999999999E-2</v>
      </c>
      <c r="H132" s="481">
        <v>3.0499999999999999E-2</v>
      </c>
      <c r="I132" s="481">
        <v>3.0499999999999999E-2</v>
      </c>
      <c r="J132" s="481">
        <v>3.0499999999999999E-2</v>
      </c>
      <c r="K132" s="481">
        <v>3.0499999999999999E-2</v>
      </c>
      <c r="L132" s="480">
        <v>3.0499999999999999E-2</v>
      </c>
      <c r="M132" s="480">
        <v>3.2000000000000001E-2</v>
      </c>
      <c r="N132" s="481">
        <v>3.4000000000000002E-2</v>
      </c>
      <c r="O132" s="481">
        <v>3.4000000000000002E-2</v>
      </c>
      <c r="P132" s="481">
        <v>3.4000000000000002E-2</v>
      </c>
      <c r="Q132" s="481">
        <v>3.4000000000000002E-2</v>
      </c>
      <c r="R132" s="481">
        <v>3.4000000000000002E-2</v>
      </c>
      <c r="S132" s="481">
        <v>3.4000000000000002E-2</v>
      </c>
      <c r="T132" s="481">
        <v>3.4000000000000002E-2</v>
      </c>
      <c r="U132" s="481">
        <v>3.4000000000000002E-2</v>
      </c>
      <c r="V132" s="481">
        <v>3.3999999999999996E-2</v>
      </c>
      <c r="W132" s="481">
        <v>3.3999999999999996E-2</v>
      </c>
      <c r="X132" s="481">
        <v>3.3999999999999996E-2</v>
      </c>
      <c r="Y132" s="481">
        <v>3.3999999999999996E-2</v>
      </c>
      <c r="Z132" s="480">
        <v>3.3999999999999996E-2</v>
      </c>
      <c r="AA132" s="481">
        <v>3.5499999999999997E-2</v>
      </c>
      <c r="AB132" s="481">
        <v>3.5499999999999997E-2</v>
      </c>
      <c r="AC132" s="480">
        <v>3.5499999999999997E-2</v>
      </c>
      <c r="AD132" s="481">
        <v>3.7999999999999999E-2</v>
      </c>
      <c r="AE132" s="481">
        <v>3.7999999999999999E-2</v>
      </c>
      <c r="AF132" s="480">
        <v>3.7999999999999999E-2</v>
      </c>
      <c r="AG132" s="481">
        <v>4.0500000000000001E-2</v>
      </c>
      <c r="AH132" s="481">
        <v>4.0500000000000001E-2</v>
      </c>
      <c r="AI132" s="481">
        <v>4.0500000000000001E-2</v>
      </c>
      <c r="AJ132" s="481">
        <v>4.0500000000000001E-2</v>
      </c>
      <c r="AK132" s="480">
        <v>4.0500000000000001E-2</v>
      </c>
      <c r="AL132" s="482">
        <v>4.1500000000000002E-2</v>
      </c>
      <c r="AM132" s="481">
        <v>4.1500000000000002E-2</v>
      </c>
      <c r="AN132" s="481">
        <v>4.1500000000000002E-2</v>
      </c>
      <c r="AO132" s="481">
        <v>4.1500000000000002E-2</v>
      </c>
      <c r="AP132" s="481">
        <v>4.1500000000000002E-2</v>
      </c>
      <c r="AQ132" s="481">
        <v>4.1500000000000002E-2</v>
      </c>
      <c r="AR132" s="481">
        <v>4.1500000000000002E-2</v>
      </c>
      <c r="AS132" s="481">
        <v>4.1500000000000002E-2</v>
      </c>
      <c r="AT132" s="481">
        <v>4.1500000000000002E-2</v>
      </c>
      <c r="AU132" s="481">
        <v>4.1500000000000002E-2</v>
      </c>
      <c r="AV132" s="482">
        <v>4.1500000000000002E-2</v>
      </c>
      <c r="AW132" s="482">
        <v>4.1500000000000002E-2</v>
      </c>
      <c r="AX132" s="482">
        <v>4.1500000000000002E-2</v>
      </c>
      <c r="AY132" s="482">
        <v>4.1500000000000002E-2</v>
      </c>
      <c r="AZ132" s="482">
        <v>4.1500000000000002E-2</v>
      </c>
      <c r="BA132" s="482">
        <v>4.1500000000000002E-2</v>
      </c>
      <c r="BB132" s="482">
        <v>4.1500000000000002E-2</v>
      </c>
      <c r="BC132" s="482">
        <v>4.1500000000000002E-2</v>
      </c>
      <c r="BD132" s="482">
        <v>4.1500000000000002E-2</v>
      </c>
      <c r="BE132" s="482">
        <v>4.1500000000000002E-2</v>
      </c>
      <c r="BF132" s="482">
        <v>4.1500000000000002E-2</v>
      </c>
      <c r="BG132" s="482">
        <v>4.1500000000000002E-2</v>
      </c>
      <c r="BH132" s="482">
        <v>4.1500000000000002E-2</v>
      </c>
      <c r="BI132" s="482">
        <v>4.1500000000000002E-2</v>
      </c>
      <c r="BJ132" s="482">
        <v>4.1500000000000002E-2</v>
      </c>
      <c r="BK132" s="482">
        <v>4.2000000000000003E-2</v>
      </c>
      <c r="BL132" s="482">
        <v>4.3499999999999997E-2</v>
      </c>
      <c r="BM132" s="482">
        <v>4.3499999999999997E-2</v>
      </c>
      <c r="BN132" s="482">
        <v>4.3499999999999997E-2</v>
      </c>
      <c r="BO132" s="482">
        <v>4.3499999999999997E-2</v>
      </c>
      <c r="BP132" s="482">
        <v>4.3499999999999997E-2</v>
      </c>
      <c r="BQ132" s="482">
        <v>4.3499999999999997E-2</v>
      </c>
      <c r="BR132" s="482">
        <v>4.3499999999999997E-2</v>
      </c>
      <c r="BS132" s="482">
        <v>4.3499999999999997E-2</v>
      </c>
      <c r="BT132" s="482">
        <v>4.4499999999999998E-2</v>
      </c>
      <c r="BU132" s="482">
        <v>4.4499999999999998E-2</v>
      </c>
      <c r="BV132" s="482">
        <v>4.4499999999999998E-2</v>
      </c>
      <c r="BW132" s="482">
        <v>4.4499999999999998E-2</v>
      </c>
      <c r="BX132" s="482">
        <v>4.4499999999999998E-2</v>
      </c>
      <c r="BY132" s="482">
        <v>4.7500000000000001E-2</v>
      </c>
      <c r="BZ132" s="482">
        <v>4.7500000000000001E-2</v>
      </c>
      <c r="CA132" s="482">
        <v>4.8500000000000001E-2</v>
      </c>
      <c r="CB132" s="482">
        <v>4.8500000000000001E-2</v>
      </c>
      <c r="CC132" s="482">
        <v>4.8500000000000001E-2</v>
      </c>
      <c r="CD132" s="482">
        <v>4.8500000000000001E-2</v>
      </c>
      <c r="CE132" s="482">
        <v>4.8500000000000001E-2</v>
      </c>
      <c r="CF132" s="482">
        <v>4.8500000000000001E-2</v>
      </c>
      <c r="CG132" s="482">
        <v>4.8500000000000001E-2</v>
      </c>
      <c r="CH132" s="482">
        <v>4.8500000000000001E-2</v>
      </c>
      <c r="CI132" s="482">
        <v>4.8500000000000001E-2</v>
      </c>
      <c r="CJ132" s="482">
        <v>4.8500000000000001E-2</v>
      </c>
      <c r="CK132" s="482">
        <v>4.8500000000000001E-2</v>
      </c>
      <c r="CL132" s="482">
        <v>4.8500000000000001E-2</v>
      </c>
      <c r="CM132" s="482">
        <v>4.8500000000000001E-2</v>
      </c>
      <c r="CN132" s="482">
        <v>4.8500000000000001E-2</v>
      </c>
      <c r="CO132" s="482">
        <v>4.8500000000000001E-2</v>
      </c>
      <c r="CP132" s="482">
        <v>4.8500000000000001E-2</v>
      </c>
      <c r="CQ132" s="482">
        <v>4.8500000000000001E-2</v>
      </c>
      <c r="CR132" s="482">
        <v>4.8500000000000001E-2</v>
      </c>
      <c r="CS132" s="482">
        <v>4.8500000000000001E-2</v>
      </c>
      <c r="CT132" s="482">
        <v>4.8500000000000001E-2</v>
      </c>
      <c r="CU132" s="482">
        <v>4.8500000000000001E-2</v>
      </c>
      <c r="CV132" s="482">
        <v>4.8500000000000001E-2</v>
      </c>
      <c r="CW132" s="482">
        <v>4.8500000000000001E-2</v>
      </c>
      <c r="CX132" s="482">
        <v>4.8500000000000001E-2</v>
      </c>
      <c r="CY132" s="482">
        <v>4.8500000000000001E-2</v>
      </c>
      <c r="CZ132" s="482">
        <v>4.8500000000000001E-2</v>
      </c>
      <c r="DA132" s="482">
        <v>4.8500000000000001E-2</v>
      </c>
      <c r="DB132" s="482">
        <v>4.8500000000000001E-2</v>
      </c>
      <c r="DC132" s="482">
        <v>4.8500000000000001E-2</v>
      </c>
      <c r="DD132" s="482">
        <v>4.8500000000000001E-2</v>
      </c>
      <c r="DE132" s="482">
        <v>4.8500000000000001E-2</v>
      </c>
      <c r="DF132" s="482">
        <v>4.8500000000000001E-2</v>
      </c>
      <c r="DG132" s="482">
        <v>4.8500000000000001E-2</v>
      </c>
      <c r="DH132" s="482">
        <v>4.8500000000000001E-2</v>
      </c>
      <c r="DI132" s="482">
        <v>4.8500000000000001E-2</v>
      </c>
      <c r="DJ132" s="482">
        <v>4.8500000000000001E-2</v>
      </c>
      <c r="DK132" s="482">
        <v>4.8500000000000001E-2</v>
      </c>
      <c r="DL132" s="482">
        <v>4.8500000000000001E-2</v>
      </c>
      <c r="DM132" s="482">
        <v>4.8500000000000001E-2</v>
      </c>
      <c r="DN132" s="482">
        <v>4.8500000000000001E-2</v>
      </c>
      <c r="DO132" s="482">
        <v>4.8500000000000001E-2</v>
      </c>
      <c r="DP132" s="482">
        <v>4.8500000000000001E-2</v>
      </c>
      <c r="DQ132" s="482">
        <v>4.8500000000000001E-2</v>
      </c>
      <c r="DR132" s="482">
        <v>4.8500000000000001E-2</v>
      </c>
      <c r="DS132" s="482">
        <v>4.8500000000000001E-2</v>
      </c>
      <c r="DT132" s="482">
        <v>4.8500000000000001E-2</v>
      </c>
      <c r="DU132" s="482">
        <v>4.8500000000000001E-2</v>
      </c>
      <c r="DV132" s="482">
        <v>4.8500000000000001E-2</v>
      </c>
      <c r="DW132" s="482">
        <v>4.8500000000000001E-2</v>
      </c>
      <c r="DX132" s="482">
        <v>4.8500000000000001E-2</v>
      </c>
      <c r="DY132" s="482">
        <v>4.8500000000000001E-2</v>
      </c>
      <c r="DZ132" s="482">
        <v>4.8500000000000001E-2</v>
      </c>
      <c r="EA132" s="482">
        <v>4.8500000000000001E-2</v>
      </c>
      <c r="EB132" s="482">
        <v>4.8500000000000001E-2</v>
      </c>
      <c r="EC132" s="482">
        <v>4.8500000000000001E-2</v>
      </c>
      <c r="ED132" s="482">
        <v>4.8500000000000001E-2</v>
      </c>
      <c r="EE132" s="482">
        <v>4.8500000000000001E-2</v>
      </c>
      <c r="EF132" s="482">
        <v>4.8500000000000001E-2</v>
      </c>
      <c r="EG132" s="482">
        <v>4.8500000000000001E-2</v>
      </c>
      <c r="EH132" s="482">
        <v>4.8500000000000001E-2</v>
      </c>
      <c r="EI132" s="482">
        <v>4.8500000000000001E-2</v>
      </c>
      <c r="EJ132" s="482">
        <v>4.8500000000000001E-2</v>
      </c>
      <c r="EK132" s="482">
        <v>4.8500000000000001E-2</v>
      </c>
      <c r="EL132" s="482">
        <v>4.8500000000000001E-2</v>
      </c>
      <c r="EM132" s="482">
        <v>4.8500000000000001E-2</v>
      </c>
      <c r="EN132" s="482">
        <v>4.8500000000000001E-2</v>
      </c>
      <c r="EO132" s="482">
        <v>4.8500000000000001E-2</v>
      </c>
      <c r="EP132" s="482">
        <v>4.8500000000000001E-2</v>
      </c>
      <c r="EQ132" s="482">
        <v>4.8500000000000001E-2</v>
      </c>
      <c r="ER132" s="482">
        <v>4.8500000000000001E-2</v>
      </c>
      <c r="ES132" s="482">
        <v>4.8500000000000001E-2</v>
      </c>
      <c r="ET132" s="482">
        <v>4.8500000000000001E-2</v>
      </c>
      <c r="EU132" s="482">
        <v>4.8500000000000001E-2</v>
      </c>
      <c r="EV132" s="482">
        <v>4.8500000000000001E-2</v>
      </c>
      <c r="EW132" s="482">
        <v>4.8500000000000001E-2</v>
      </c>
      <c r="EX132" s="482">
        <v>4.8500000000000001E-2</v>
      </c>
      <c r="EY132" s="482">
        <v>4.8500000000000001E-2</v>
      </c>
      <c r="EZ132" s="482">
        <v>4.8500000000000001E-2</v>
      </c>
      <c r="FA132" s="482">
        <v>4.8500000000000001E-2</v>
      </c>
      <c r="FB132" s="482">
        <v>4.8500000000000001E-2</v>
      </c>
      <c r="FC132" s="482">
        <v>4.8500000000000001E-2</v>
      </c>
      <c r="FD132" s="482">
        <v>4.8500000000000001E-2</v>
      </c>
      <c r="FE132" s="482">
        <v>4.8500000000000001E-2</v>
      </c>
      <c r="FF132" s="482">
        <v>4.8500000000000001E-2</v>
      </c>
      <c r="FG132" s="482">
        <v>4.8500000000000001E-2</v>
      </c>
      <c r="FH132" s="482">
        <v>4.8500000000000001E-2</v>
      </c>
      <c r="FI132" s="482">
        <v>4.8500000000000001E-2</v>
      </c>
      <c r="FJ132" s="482">
        <v>4.8500000000000001E-2</v>
      </c>
      <c r="FK132" s="482">
        <v>4.8500000000000001E-2</v>
      </c>
      <c r="FL132" s="482">
        <v>4.8500000000000001E-2</v>
      </c>
      <c r="FM132" s="482">
        <v>4.8500000000000001E-2</v>
      </c>
      <c r="FN132" s="482">
        <v>4.8500000000000001E-2</v>
      </c>
      <c r="FO132" s="482">
        <v>4.8500000000000001E-2</v>
      </c>
      <c r="FP132" s="482">
        <v>4.8500000000000001E-2</v>
      </c>
      <c r="FQ132" s="482">
        <v>4.8500000000000001E-2</v>
      </c>
      <c r="FR132" s="482">
        <v>4.8500000000000001E-2</v>
      </c>
      <c r="FS132" s="482">
        <v>4.8500000000000001E-2</v>
      </c>
      <c r="FT132" s="482">
        <v>4.8500000000000001E-2</v>
      </c>
      <c r="FU132" s="482">
        <v>4.8500000000000001E-2</v>
      </c>
      <c r="FV132" s="482">
        <v>4.8500000000000001E-2</v>
      </c>
      <c r="FW132" s="482">
        <v>4.8500000000000001E-2</v>
      </c>
      <c r="FX132" s="482">
        <v>4.8500000000000001E-2</v>
      </c>
      <c r="FY132" s="482">
        <v>4.8500000000000001E-2</v>
      </c>
      <c r="FZ132" s="482">
        <v>4.8500000000000001E-2</v>
      </c>
      <c r="GA132" s="482">
        <v>4.8500000000000001E-2</v>
      </c>
      <c r="GB132" s="482">
        <v>4.8500000000000001E-2</v>
      </c>
      <c r="GC132" s="482">
        <v>4.8500000000000001E-2</v>
      </c>
      <c r="GD132" s="477">
        <v>3.5000000000000003E-2</v>
      </c>
      <c r="GE132" s="477">
        <v>3.5000000000000003E-2</v>
      </c>
      <c r="GF132" s="477">
        <v>3.5000000000000003E-2</v>
      </c>
      <c r="GG132" s="477">
        <v>3.5000000000000003E-2</v>
      </c>
      <c r="GH132" s="477">
        <v>3.5000000000000003E-2</v>
      </c>
      <c r="GI132" s="477">
        <v>3.5000000000000003E-2</v>
      </c>
      <c r="GJ132" s="477">
        <v>3.5000000000000003E-2</v>
      </c>
      <c r="GK132" s="477">
        <v>3.5000000000000003E-2</v>
      </c>
      <c r="GL132" s="477">
        <v>3.5000000000000003E-2</v>
      </c>
      <c r="GM132" s="477">
        <v>3.5000000000000003E-2</v>
      </c>
      <c r="GN132" s="477">
        <v>3.5000000000000003E-2</v>
      </c>
      <c r="GO132" s="477">
        <v>3.5000000000000003E-2</v>
      </c>
      <c r="GP132" s="477">
        <v>3.5000000000000003E-2</v>
      </c>
      <c r="GQ132" s="477">
        <v>3.5000000000000003E-2</v>
      </c>
      <c r="GR132" s="477">
        <v>3.5000000000000003E-2</v>
      </c>
      <c r="GS132" s="477">
        <v>3.5000000000000003E-2</v>
      </c>
      <c r="GT132" s="477">
        <v>3.5000000000000003E-2</v>
      </c>
      <c r="GU132" s="477">
        <v>3.5000000000000003E-2</v>
      </c>
      <c r="GV132" s="477">
        <v>3.5000000000000003E-2</v>
      </c>
      <c r="GW132" s="477">
        <v>3.5000000000000003E-2</v>
      </c>
      <c r="GX132" s="477">
        <v>3.5000000000000003E-2</v>
      </c>
      <c r="GY132" s="477">
        <v>3.5000000000000003E-2</v>
      </c>
      <c r="GZ132" s="477">
        <v>3.5000000000000003E-2</v>
      </c>
      <c r="HA132" s="477">
        <v>3.5000000000000003E-2</v>
      </c>
      <c r="HB132" s="477">
        <v>3.5000000000000003E-2</v>
      </c>
      <c r="HC132" s="477">
        <v>3.5000000000000003E-2</v>
      </c>
      <c r="HD132" s="477">
        <v>3.5000000000000003E-2</v>
      </c>
      <c r="HE132" s="477">
        <v>3.5000000000000003E-2</v>
      </c>
      <c r="HF132" s="477">
        <v>3.5000000000000003E-2</v>
      </c>
      <c r="HG132" s="477">
        <v>3.5000000000000003E-2</v>
      </c>
      <c r="HH132" s="477">
        <v>3.5000000000000003E-2</v>
      </c>
      <c r="HI132" s="477">
        <v>3.5000000000000003E-2</v>
      </c>
      <c r="HJ132" s="477">
        <v>3.5000000000000003E-2</v>
      </c>
      <c r="HK132" s="477">
        <v>3.5000000000000003E-2</v>
      </c>
      <c r="HL132" s="477">
        <v>3.5000000000000003E-2</v>
      </c>
      <c r="HM132" s="477">
        <v>3.5000000000000003E-2</v>
      </c>
      <c r="HN132" s="477">
        <v>3.5000000000000003E-2</v>
      </c>
      <c r="HO132" s="477">
        <v>3.5000000000000003E-2</v>
      </c>
      <c r="HP132" s="473">
        <f t="shared" si="49"/>
        <v>0</v>
      </c>
      <c r="HQ132" s="1137"/>
    </row>
    <row r="133" spans="2:225">
      <c r="B133" s="1138" t="s">
        <v>20</v>
      </c>
      <c r="C133" s="732" t="s">
        <v>256</v>
      </c>
      <c r="D133" s="588">
        <v>2.5999999999999999E-2</v>
      </c>
      <c r="E133" s="588">
        <v>2.5999999999999999E-2</v>
      </c>
      <c r="F133" s="588">
        <v>2.5999999999999999E-2</v>
      </c>
      <c r="G133" s="624">
        <v>2.5000000000000001E-2</v>
      </c>
      <c r="H133" s="588">
        <v>2.5000000000000001E-2</v>
      </c>
      <c r="I133" s="588">
        <v>2.9499999999999998E-2</v>
      </c>
      <c r="J133" s="624">
        <v>2.5000000000000001E-2</v>
      </c>
      <c r="K133" s="624">
        <v>2.5000000000000001E-2</v>
      </c>
      <c r="L133" s="588">
        <v>2.5000000000000001E-2</v>
      </c>
      <c r="M133" s="588">
        <v>2.5999999999999999E-2</v>
      </c>
      <c r="N133" s="624">
        <v>2.7E-2</v>
      </c>
      <c r="O133" s="588">
        <v>2.7E-2</v>
      </c>
      <c r="P133" s="588">
        <v>2.75E-2</v>
      </c>
      <c r="Q133" s="588">
        <v>2.7300000000000001E-2</v>
      </c>
      <c r="R133" s="624">
        <v>2.75E-2</v>
      </c>
      <c r="S133" s="624">
        <v>2.75E-2</v>
      </c>
      <c r="T133" s="587">
        <v>2.75E-2</v>
      </c>
      <c r="U133" s="587">
        <v>2.75E-2</v>
      </c>
      <c r="V133" s="587">
        <v>2.75E-2</v>
      </c>
      <c r="W133" s="471">
        <v>2.75E-2</v>
      </c>
      <c r="X133" s="470">
        <v>2.75E-2</v>
      </c>
      <c r="Y133" s="471">
        <v>2.7800000000000002E-2</v>
      </c>
      <c r="Z133" s="470">
        <v>2.8500000000000001E-2</v>
      </c>
      <c r="AA133" s="470">
        <v>2.86E-2</v>
      </c>
      <c r="AB133" s="471">
        <v>2.8500000000000001E-2</v>
      </c>
      <c r="AC133" s="470">
        <v>2.8500000000000001E-2</v>
      </c>
      <c r="AD133" s="471">
        <v>2.9499999999999998E-2</v>
      </c>
      <c r="AE133" s="471">
        <v>2.9499999999999998E-2</v>
      </c>
      <c r="AF133" s="470">
        <v>2.9499999999999998E-2</v>
      </c>
      <c r="AG133" s="471">
        <v>0.03</v>
      </c>
      <c r="AH133" s="470">
        <v>0.03</v>
      </c>
      <c r="AI133" s="470">
        <v>3.1E-2</v>
      </c>
      <c r="AJ133" s="471">
        <v>3.15E-2</v>
      </c>
      <c r="AK133" s="470">
        <v>3.15E-2</v>
      </c>
      <c r="AL133" s="472">
        <v>3.2000000000000001E-2</v>
      </c>
      <c r="AM133" s="470">
        <v>3.2000000000000001E-2</v>
      </c>
      <c r="AN133" s="471">
        <v>3.2500000000000001E-2</v>
      </c>
      <c r="AO133" s="471">
        <v>3.2500000000000001E-2</v>
      </c>
      <c r="AP133" s="471">
        <v>3.2500000000000001E-2</v>
      </c>
      <c r="AQ133" s="471">
        <v>3.2500000000000001E-2</v>
      </c>
      <c r="AR133" s="471">
        <v>3.2500000000000001E-2</v>
      </c>
      <c r="AS133" s="471">
        <v>3.2500000000000001E-2</v>
      </c>
      <c r="AT133" s="471">
        <v>3.2500000000000001E-2</v>
      </c>
      <c r="AU133" s="471">
        <v>3.2500000000000001E-2</v>
      </c>
      <c r="AV133" s="470">
        <v>3.2300000000000002E-2</v>
      </c>
      <c r="AW133" s="472">
        <v>3.3000000000000002E-2</v>
      </c>
      <c r="AX133" s="472">
        <v>3.3000000000000002E-2</v>
      </c>
      <c r="AY133" s="472">
        <v>3.3000000000000002E-2</v>
      </c>
      <c r="AZ133" s="472">
        <v>3.3000000000000002E-2</v>
      </c>
      <c r="BA133" s="472">
        <v>3.3000000000000002E-2</v>
      </c>
      <c r="BB133" s="472">
        <v>3.3000000000000002E-2</v>
      </c>
      <c r="BC133" s="472">
        <v>3.3000000000000002E-2</v>
      </c>
      <c r="BD133" s="472">
        <v>3.3000000000000002E-2</v>
      </c>
      <c r="BE133" s="472">
        <v>3.3000000000000002E-2</v>
      </c>
      <c r="BF133" s="472">
        <v>3.3000000000000002E-2</v>
      </c>
      <c r="BG133" s="472">
        <v>3.3000000000000002E-2</v>
      </c>
      <c r="BH133" s="472">
        <v>3.5099999999999999E-2</v>
      </c>
      <c r="BI133" s="472">
        <v>3.5099999999999999E-2</v>
      </c>
      <c r="BJ133" s="472">
        <v>3.5099999999999999E-2</v>
      </c>
      <c r="BK133" s="472">
        <v>3.5099999999999999E-2</v>
      </c>
      <c r="BL133" s="472">
        <v>3.5099999999999999E-2</v>
      </c>
      <c r="BM133" s="472">
        <v>3.5099999999999999E-2</v>
      </c>
      <c r="BN133" s="472">
        <v>3.5099999999999999E-2</v>
      </c>
      <c r="BO133" s="472">
        <v>3.5499999999999997E-2</v>
      </c>
      <c r="BP133" s="472">
        <v>3.5499999999999997E-2</v>
      </c>
      <c r="BQ133" s="472">
        <v>3.5499999999999997E-2</v>
      </c>
      <c r="BR133" s="472">
        <v>3.4500000000000003E-2</v>
      </c>
      <c r="BS133" s="472">
        <v>3.4500000000000003E-2</v>
      </c>
      <c r="BT133" s="472">
        <v>3.4500000000000003E-2</v>
      </c>
      <c r="BU133" s="472">
        <v>3.4500000000000003E-2</v>
      </c>
      <c r="BV133" s="472">
        <v>3.4500000000000003E-2</v>
      </c>
      <c r="BW133" s="472">
        <v>3.4500000000000003E-2</v>
      </c>
      <c r="BX133" s="472">
        <v>3.4000000000000002E-2</v>
      </c>
      <c r="BY133" s="472">
        <v>3.4000000000000002E-2</v>
      </c>
      <c r="BZ133" s="472">
        <v>3.4000000000000002E-2</v>
      </c>
      <c r="CA133" s="472">
        <v>3.4799999999999998E-2</v>
      </c>
      <c r="CB133" s="472">
        <v>3.5999999999999997E-2</v>
      </c>
      <c r="CC133" s="472">
        <v>3.7100000000000001E-2</v>
      </c>
      <c r="CD133" s="472">
        <v>3.7499999999999999E-2</v>
      </c>
      <c r="CE133" s="472">
        <v>3.8699999999999998E-2</v>
      </c>
      <c r="CF133" s="472">
        <v>3.8699999999999998E-2</v>
      </c>
      <c r="CG133" s="472">
        <v>3.8699999999999998E-2</v>
      </c>
      <c r="CH133" s="482"/>
      <c r="CI133" s="482"/>
      <c r="CJ133" s="482"/>
      <c r="CK133" s="482"/>
      <c r="CL133" s="482"/>
      <c r="CM133" s="482"/>
      <c r="CN133" s="482"/>
      <c r="CO133" s="482"/>
      <c r="CP133" s="482"/>
      <c r="CQ133" s="482"/>
      <c r="CR133" s="482"/>
      <c r="CS133" s="482"/>
      <c r="CT133" s="482"/>
      <c r="CU133" s="482"/>
      <c r="CV133" s="482"/>
      <c r="CW133" s="482"/>
      <c r="CX133" s="482"/>
      <c r="CY133" s="482"/>
      <c r="CZ133" s="482"/>
      <c r="DA133" s="482"/>
      <c r="DB133" s="482"/>
      <c r="DC133" s="482"/>
      <c r="DD133" s="482"/>
      <c r="DE133" s="482"/>
      <c r="DF133" s="482"/>
      <c r="DG133" s="482"/>
      <c r="DH133" s="482"/>
      <c r="DI133" s="482"/>
      <c r="DJ133" s="482"/>
      <c r="DK133" s="482"/>
      <c r="DL133" s="482"/>
      <c r="DM133" s="482"/>
      <c r="DN133" s="482"/>
      <c r="DO133" s="482"/>
      <c r="DP133" s="482"/>
      <c r="DQ133" s="482"/>
      <c r="DR133" s="482"/>
      <c r="DS133" s="482"/>
      <c r="DT133" s="482"/>
      <c r="DU133" s="482"/>
      <c r="DV133" s="482"/>
      <c r="DW133" s="482"/>
      <c r="DX133" s="482"/>
      <c r="DY133" s="482"/>
      <c r="DZ133" s="482"/>
      <c r="EA133" s="482"/>
      <c r="EB133" s="482"/>
      <c r="EC133" s="482"/>
      <c r="ED133" s="482"/>
      <c r="EE133" s="482"/>
      <c r="EF133" s="482"/>
      <c r="EG133" s="482"/>
      <c r="EH133" s="482"/>
      <c r="EI133" s="482"/>
      <c r="EJ133" s="482"/>
      <c r="EK133" s="482"/>
      <c r="EL133" s="482"/>
      <c r="EM133" s="482"/>
      <c r="EN133" s="482"/>
      <c r="EO133" s="482"/>
      <c r="EP133" s="482"/>
      <c r="EQ133" s="482"/>
      <c r="ER133" s="482"/>
      <c r="ES133" s="482"/>
      <c r="ET133" s="482"/>
      <c r="EU133" s="482"/>
      <c r="EV133" s="482"/>
      <c r="EW133" s="482"/>
      <c r="EX133" s="482"/>
      <c r="EY133" s="482"/>
      <c r="EZ133" s="482"/>
      <c r="FA133" s="482"/>
      <c r="FB133" s="482"/>
      <c r="FC133" s="482"/>
      <c r="FD133" s="482"/>
      <c r="FE133" s="482"/>
      <c r="FF133" s="482"/>
      <c r="FG133" s="482"/>
      <c r="FH133" s="482"/>
      <c r="FI133" s="482"/>
      <c r="FJ133" s="482"/>
      <c r="FK133" s="482"/>
      <c r="FL133" s="482"/>
      <c r="FM133" s="482"/>
      <c r="FN133" s="482"/>
      <c r="FO133" s="482"/>
      <c r="FP133" s="482"/>
      <c r="FQ133" s="482"/>
      <c r="FR133" s="482"/>
      <c r="FS133" s="482"/>
      <c r="FT133" s="482"/>
      <c r="FU133" s="482"/>
      <c r="FV133" s="482"/>
      <c r="FW133" s="482"/>
      <c r="FX133" s="482"/>
      <c r="FY133" s="482"/>
      <c r="FZ133" s="482"/>
      <c r="GA133" s="482"/>
      <c r="GB133" s="482"/>
      <c r="GC133" s="482"/>
      <c r="GD133" s="472"/>
      <c r="GE133" s="472"/>
      <c r="GF133" s="472"/>
      <c r="GG133" s="472"/>
      <c r="GH133" s="472"/>
      <c r="GI133" s="472"/>
      <c r="GJ133" s="472"/>
      <c r="GK133" s="472"/>
      <c r="GL133" s="472"/>
      <c r="GM133" s="472"/>
      <c r="GN133" s="472"/>
      <c r="GO133" s="472"/>
      <c r="GP133" s="472"/>
      <c r="GQ133" s="472"/>
      <c r="GR133" s="472"/>
      <c r="GS133" s="472"/>
      <c r="GT133" s="472"/>
      <c r="GU133" s="472"/>
      <c r="GV133" s="472"/>
      <c r="GW133" s="472"/>
      <c r="GX133" s="472"/>
      <c r="GY133" s="472"/>
      <c r="GZ133" s="472"/>
      <c r="HA133" s="472"/>
      <c r="HB133" s="472"/>
      <c r="HC133" s="472"/>
      <c r="HD133" s="472"/>
      <c r="HE133" s="472"/>
      <c r="HF133" s="472"/>
      <c r="HG133" s="472"/>
      <c r="HH133" s="472"/>
      <c r="HI133" s="472"/>
      <c r="HJ133" s="472"/>
      <c r="HK133" s="472"/>
      <c r="HL133" s="472"/>
      <c r="HM133" s="472"/>
      <c r="HN133" s="472"/>
      <c r="HO133" s="472"/>
      <c r="HP133" s="473">
        <f t="shared" si="49"/>
        <v>0</v>
      </c>
      <c r="HQ133" s="663"/>
    </row>
    <row r="134" spans="2:225">
      <c r="B134" s="1139"/>
      <c r="C134" s="732" t="s">
        <v>255</v>
      </c>
      <c r="D134" s="588">
        <v>2.5999999999999999E-2</v>
      </c>
      <c r="E134" s="588">
        <v>2.5999999999999999E-2</v>
      </c>
      <c r="F134" s="588">
        <v>2.5999999999999999E-2</v>
      </c>
      <c r="G134" s="624">
        <v>2.5000000000000001E-2</v>
      </c>
      <c r="H134" s="588">
        <v>2.5000000000000001E-2</v>
      </c>
      <c r="I134" s="588">
        <v>2.9499999999999998E-2</v>
      </c>
      <c r="J134" s="624">
        <v>2.5000000000000001E-2</v>
      </c>
      <c r="K134" s="624">
        <v>2.5000000000000001E-2</v>
      </c>
      <c r="L134" s="588">
        <v>2.5000000000000001E-2</v>
      </c>
      <c r="M134" s="588">
        <v>2.5999999999999999E-2</v>
      </c>
      <c r="N134" s="624">
        <v>2.7E-2</v>
      </c>
      <c r="O134" s="588">
        <v>2.7E-2</v>
      </c>
      <c r="P134" s="588">
        <v>2.75E-2</v>
      </c>
      <c r="Q134" s="588">
        <v>2.7300000000000001E-2</v>
      </c>
      <c r="R134" s="624">
        <v>2.75E-2</v>
      </c>
      <c r="S134" s="624">
        <v>2.75E-2</v>
      </c>
      <c r="T134" s="587">
        <v>2.75E-2</v>
      </c>
      <c r="U134" s="587">
        <v>2.75E-2</v>
      </c>
      <c r="V134" s="587">
        <v>2.75E-2</v>
      </c>
      <c r="W134" s="471">
        <v>2.75E-2</v>
      </c>
      <c r="X134" s="470">
        <v>2.75E-2</v>
      </c>
      <c r="Y134" s="471">
        <v>2.7800000000000002E-2</v>
      </c>
      <c r="Z134" s="470">
        <v>2.8500000000000001E-2</v>
      </c>
      <c r="AA134" s="470">
        <v>2.86E-2</v>
      </c>
      <c r="AB134" s="471">
        <v>2.8500000000000001E-2</v>
      </c>
      <c r="AC134" s="470">
        <v>2.8500000000000001E-2</v>
      </c>
      <c r="AD134" s="471">
        <v>2.9499999999999998E-2</v>
      </c>
      <c r="AE134" s="471">
        <v>2.9499999999999998E-2</v>
      </c>
      <c r="AF134" s="470">
        <v>2.9499999999999998E-2</v>
      </c>
      <c r="AG134" s="471">
        <v>0.03</v>
      </c>
      <c r="AH134" s="470">
        <v>0.03</v>
      </c>
      <c r="AI134" s="470">
        <v>3.1E-2</v>
      </c>
      <c r="AJ134" s="471">
        <v>3.15E-2</v>
      </c>
      <c r="AK134" s="470">
        <v>3.15E-2</v>
      </c>
      <c r="AL134" s="472">
        <v>3.2000000000000001E-2</v>
      </c>
      <c r="AM134" s="470">
        <v>3.2000000000000001E-2</v>
      </c>
      <c r="AN134" s="471">
        <v>3.2500000000000001E-2</v>
      </c>
      <c r="AO134" s="471">
        <v>3.2500000000000001E-2</v>
      </c>
      <c r="AP134" s="471">
        <v>3.2500000000000001E-2</v>
      </c>
      <c r="AQ134" s="471">
        <v>3.2500000000000001E-2</v>
      </c>
      <c r="AR134" s="471">
        <v>3.2500000000000001E-2</v>
      </c>
      <c r="AS134" s="471">
        <v>3.2500000000000001E-2</v>
      </c>
      <c r="AT134" s="471">
        <v>3.2500000000000001E-2</v>
      </c>
      <c r="AU134" s="471">
        <v>3.2500000000000001E-2</v>
      </c>
      <c r="AV134" s="470">
        <v>3.2300000000000002E-2</v>
      </c>
      <c r="AW134" s="472">
        <v>3.3000000000000002E-2</v>
      </c>
      <c r="AX134" s="472">
        <v>3.3000000000000002E-2</v>
      </c>
      <c r="AY134" s="472">
        <v>3.3000000000000002E-2</v>
      </c>
      <c r="AZ134" s="472">
        <v>3.3000000000000002E-2</v>
      </c>
      <c r="BA134" s="472">
        <v>3.3000000000000002E-2</v>
      </c>
      <c r="BB134" s="472">
        <v>3.3000000000000002E-2</v>
      </c>
      <c r="BC134" s="472">
        <v>3.3000000000000002E-2</v>
      </c>
      <c r="BD134" s="472">
        <v>3.3000000000000002E-2</v>
      </c>
      <c r="BE134" s="472">
        <v>3.3000000000000002E-2</v>
      </c>
      <c r="BF134" s="472">
        <v>3.3000000000000002E-2</v>
      </c>
      <c r="BG134" s="472">
        <v>3.3000000000000002E-2</v>
      </c>
      <c r="BH134" s="472">
        <v>3.5099999999999999E-2</v>
      </c>
      <c r="BI134" s="472">
        <v>3.5099999999999999E-2</v>
      </c>
      <c r="BJ134" s="472">
        <v>3.5099999999999999E-2</v>
      </c>
      <c r="BK134" s="472">
        <v>3.5099999999999999E-2</v>
      </c>
      <c r="BL134" s="472">
        <v>3.5099999999999999E-2</v>
      </c>
      <c r="BM134" s="472">
        <v>3.5099999999999999E-2</v>
      </c>
      <c r="BN134" s="472">
        <v>3.5099999999999999E-2</v>
      </c>
      <c r="BO134" s="472">
        <v>3.5499999999999997E-2</v>
      </c>
      <c r="BP134" s="472">
        <v>3.5499999999999997E-2</v>
      </c>
      <c r="BQ134" s="472">
        <v>3.5499999999999997E-2</v>
      </c>
      <c r="BR134" s="472">
        <v>3.4500000000000003E-2</v>
      </c>
      <c r="BS134" s="472">
        <v>3.4500000000000003E-2</v>
      </c>
      <c r="BT134" s="472">
        <v>3.4500000000000003E-2</v>
      </c>
      <c r="BU134" s="472">
        <v>3.4500000000000003E-2</v>
      </c>
      <c r="BV134" s="472">
        <v>3.4500000000000003E-2</v>
      </c>
      <c r="BW134" s="472">
        <v>3.4500000000000003E-2</v>
      </c>
      <c r="BX134" s="472">
        <v>3.4000000000000002E-2</v>
      </c>
      <c r="BY134" s="472">
        <v>3.4000000000000002E-2</v>
      </c>
      <c r="BZ134" s="472">
        <v>3.4000000000000002E-2</v>
      </c>
      <c r="CA134" s="472">
        <v>3.4799999999999998E-2</v>
      </c>
      <c r="CB134" s="472">
        <v>3.5999999999999997E-2</v>
      </c>
      <c r="CC134" s="472">
        <v>3.7100000000000001E-2</v>
      </c>
      <c r="CD134" s="472">
        <v>3.7499999999999999E-2</v>
      </c>
      <c r="CE134" s="472">
        <v>3.8699999999999998E-2</v>
      </c>
      <c r="CF134" s="472">
        <v>3.8699999999999998E-2</v>
      </c>
      <c r="CG134" s="472">
        <v>3.8699999999999998E-2</v>
      </c>
      <c r="CH134" s="482"/>
      <c r="CI134" s="482"/>
      <c r="CJ134" s="482"/>
      <c r="CK134" s="482"/>
      <c r="CL134" s="482"/>
      <c r="CM134" s="482"/>
      <c r="CN134" s="482"/>
      <c r="CO134" s="482"/>
      <c r="CP134" s="482"/>
      <c r="CQ134" s="482"/>
      <c r="CR134" s="482"/>
      <c r="CS134" s="482"/>
      <c r="CT134" s="482"/>
      <c r="CU134" s="482"/>
      <c r="CV134" s="482"/>
      <c r="CW134" s="482"/>
      <c r="CX134" s="482"/>
      <c r="CY134" s="482"/>
      <c r="CZ134" s="482"/>
      <c r="DA134" s="482"/>
      <c r="DB134" s="482"/>
      <c r="DC134" s="482"/>
      <c r="DD134" s="482"/>
      <c r="DE134" s="482"/>
      <c r="DF134" s="482"/>
      <c r="DG134" s="482"/>
      <c r="DH134" s="482"/>
      <c r="DI134" s="482"/>
      <c r="DJ134" s="482"/>
      <c r="DK134" s="482"/>
      <c r="DL134" s="482"/>
      <c r="DM134" s="482"/>
      <c r="DN134" s="482"/>
      <c r="DO134" s="482"/>
      <c r="DP134" s="482"/>
      <c r="DQ134" s="482"/>
      <c r="DR134" s="482"/>
      <c r="DS134" s="482"/>
      <c r="DT134" s="482"/>
      <c r="DU134" s="482"/>
      <c r="DV134" s="482"/>
      <c r="DW134" s="482"/>
      <c r="DX134" s="482"/>
      <c r="DY134" s="482"/>
      <c r="DZ134" s="482"/>
      <c r="EA134" s="482"/>
      <c r="EB134" s="482"/>
      <c r="EC134" s="482"/>
      <c r="ED134" s="482"/>
      <c r="EE134" s="482"/>
      <c r="EF134" s="482"/>
      <c r="EG134" s="482"/>
      <c r="EH134" s="482"/>
      <c r="EI134" s="482"/>
      <c r="EJ134" s="482"/>
      <c r="EK134" s="482"/>
      <c r="EL134" s="482"/>
      <c r="EM134" s="482"/>
      <c r="EN134" s="482"/>
      <c r="EO134" s="482"/>
      <c r="EP134" s="482"/>
      <c r="EQ134" s="482"/>
      <c r="ER134" s="482"/>
      <c r="ES134" s="482"/>
      <c r="ET134" s="482"/>
      <c r="EU134" s="482"/>
      <c r="EV134" s="482"/>
      <c r="EW134" s="482"/>
      <c r="EX134" s="482"/>
      <c r="EY134" s="482"/>
      <c r="EZ134" s="482"/>
      <c r="FA134" s="482"/>
      <c r="FB134" s="482"/>
      <c r="FC134" s="482"/>
      <c r="FD134" s="482"/>
      <c r="FE134" s="482"/>
      <c r="FF134" s="482"/>
      <c r="FG134" s="482"/>
      <c r="FH134" s="482"/>
      <c r="FI134" s="482"/>
      <c r="FJ134" s="482"/>
      <c r="FK134" s="482"/>
      <c r="FL134" s="482"/>
      <c r="FM134" s="482"/>
      <c r="FN134" s="482"/>
      <c r="FO134" s="482"/>
      <c r="FP134" s="482"/>
      <c r="FQ134" s="482"/>
      <c r="FR134" s="482"/>
      <c r="FS134" s="482"/>
      <c r="FT134" s="482"/>
      <c r="FU134" s="482"/>
      <c r="FV134" s="482"/>
      <c r="FW134" s="482"/>
      <c r="FX134" s="482"/>
      <c r="FY134" s="482"/>
      <c r="FZ134" s="482"/>
      <c r="GA134" s="482"/>
      <c r="GB134" s="482"/>
      <c r="GC134" s="482"/>
      <c r="GD134" s="472"/>
      <c r="GE134" s="472"/>
      <c r="GF134" s="472"/>
      <c r="GG134" s="472"/>
      <c r="GH134" s="472"/>
      <c r="GI134" s="472"/>
      <c r="GJ134" s="472"/>
      <c r="GK134" s="472"/>
      <c r="GL134" s="472"/>
      <c r="GM134" s="472"/>
      <c r="GN134" s="472"/>
      <c r="GO134" s="472"/>
      <c r="GP134" s="472"/>
      <c r="GQ134" s="472"/>
      <c r="GR134" s="472"/>
      <c r="GS134" s="472"/>
      <c r="GT134" s="472"/>
      <c r="GU134" s="472"/>
      <c r="GV134" s="472"/>
      <c r="GW134" s="472"/>
      <c r="GX134" s="472"/>
      <c r="GY134" s="472"/>
      <c r="GZ134" s="472"/>
      <c r="HA134" s="472"/>
      <c r="HB134" s="472"/>
      <c r="HC134" s="472"/>
      <c r="HD134" s="472"/>
      <c r="HE134" s="472"/>
      <c r="HF134" s="472"/>
      <c r="HG134" s="472"/>
      <c r="HH134" s="472"/>
      <c r="HI134" s="472"/>
      <c r="HJ134" s="472"/>
      <c r="HK134" s="472"/>
      <c r="HL134" s="472"/>
      <c r="HM134" s="472"/>
      <c r="HN134" s="472"/>
      <c r="HO134" s="472"/>
      <c r="HP134" s="473">
        <f t="shared" si="49"/>
        <v>0</v>
      </c>
      <c r="HQ134" s="498"/>
    </row>
    <row r="135" spans="2:225">
      <c r="B135" s="1139"/>
      <c r="C135" s="732" t="s">
        <v>254</v>
      </c>
      <c r="D135" s="588">
        <v>2.6499999999999999E-2</v>
      </c>
      <c r="E135" s="588">
        <v>2.6499999999999999E-2</v>
      </c>
      <c r="F135" s="588">
        <v>2.6499999999999999E-2</v>
      </c>
      <c r="G135" s="624">
        <v>2.5499999999999998E-2</v>
      </c>
      <c r="H135" s="588">
        <v>2.5499999999999998E-2</v>
      </c>
      <c r="I135" s="588">
        <v>0.03</v>
      </c>
      <c r="J135" s="624">
        <v>2.5499999999999998E-2</v>
      </c>
      <c r="K135" s="624">
        <v>2.5499999999999998E-2</v>
      </c>
      <c r="L135" s="588">
        <v>2.5499999999999998E-2</v>
      </c>
      <c r="M135" s="588">
        <v>2.6499999999999999E-2</v>
      </c>
      <c r="N135" s="624">
        <v>2.75E-2</v>
      </c>
      <c r="O135" s="588">
        <v>2.75E-2</v>
      </c>
      <c r="P135" s="588">
        <v>2.8000000000000001E-2</v>
      </c>
      <c r="Q135" s="588">
        <v>2.7799999999999998E-2</v>
      </c>
      <c r="R135" s="624">
        <v>2.8000000000000001E-2</v>
      </c>
      <c r="S135" s="624">
        <v>2.8000000000000001E-2</v>
      </c>
      <c r="T135" s="587">
        <v>2.8000000000000001E-2</v>
      </c>
      <c r="U135" s="587">
        <v>2.8000000000000001E-2</v>
      </c>
      <c r="V135" s="587">
        <v>2.8000000000000001E-2</v>
      </c>
      <c r="W135" s="471">
        <v>2.8000000000000001E-2</v>
      </c>
      <c r="X135" s="470">
        <v>2.8000000000000001E-2</v>
      </c>
      <c r="Y135" s="471">
        <v>2.8300000000000002E-2</v>
      </c>
      <c r="Z135" s="470">
        <v>2.9000000000000001E-2</v>
      </c>
      <c r="AA135" s="470">
        <v>2.9100000000000001E-2</v>
      </c>
      <c r="AB135" s="471">
        <v>2.9000000000000001E-2</v>
      </c>
      <c r="AC135" s="470">
        <v>2.9000000000000001E-2</v>
      </c>
      <c r="AD135" s="471">
        <v>0.03</v>
      </c>
      <c r="AE135" s="471">
        <v>0.03</v>
      </c>
      <c r="AF135" s="470">
        <v>0.03</v>
      </c>
      <c r="AG135" s="471">
        <v>3.0499999999999999E-2</v>
      </c>
      <c r="AH135" s="470">
        <v>3.0499999999999999E-2</v>
      </c>
      <c r="AI135" s="470">
        <v>3.15E-2</v>
      </c>
      <c r="AJ135" s="471">
        <v>3.2000000000000001E-2</v>
      </c>
      <c r="AK135" s="470">
        <v>3.2000000000000001E-2</v>
      </c>
      <c r="AL135" s="472">
        <v>3.2500000000000001E-2</v>
      </c>
      <c r="AM135" s="470">
        <v>3.2500000000000001E-2</v>
      </c>
      <c r="AN135" s="471">
        <v>3.3000000000000002E-2</v>
      </c>
      <c r="AO135" s="471">
        <v>3.3000000000000002E-2</v>
      </c>
      <c r="AP135" s="471">
        <v>3.3000000000000002E-2</v>
      </c>
      <c r="AQ135" s="471">
        <v>3.3000000000000002E-2</v>
      </c>
      <c r="AR135" s="471">
        <v>3.3000000000000002E-2</v>
      </c>
      <c r="AS135" s="471">
        <v>3.3000000000000002E-2</v>
      </c>
      <c r="AT135" s="471">
        <v>3.3000000000000002E-2</v>
      </c>
      <c r="AU135" s="471">
        <v>3.3000000000000002E-2</v>
      </c>
      <c r="AV135" s="470">
        <v>3.2800000000000003E-2</v>
      </c>
      <c r="AW135" s="472">
        <v>3.3500000000000002E-2</v>
      </c>
      <c r="AX135" s="472">
        <v>3.3500000000000002E-2</v>
      </c>
      <c r="AY135" s="472">
        <v>3.3500000000000002E-2</v>
      </c>
      <c r="AZ135" s="472">
        <v>3.3500000000000002E-2</v>
      </c>
      <c r="BA135" s="472">
        <v>3.3500000000000002E-2</v>
      </c>
      <c r="BB135" s="472">
        <v>3.3500000000000002E-2</v>
      </c>
      <c r="BC135" s="472">
        <v>3.3500000000000002E-2</v>
      </c>
      <c r="BD135" s="472">
        <v>3.3500000000000002E-2</v>
      </c>
      <c r="BE135" s="472">
        <v>3.3500000000000002E-2</v>
      </c>
      <c r="BF135" s="472">
        <v>3.3500000000000002E-2</v>
      </c>
      <c r="BG135" s="472">
        <v>3.3500000000000002E-2</v>
      </c>
      <c r="BH135" s="472">
        <v>3.56E-2</v>
      </c>
      <c r="BI135" s="472">
        <v>3.56E-2</v>
      </c>
      <c r="BJ135" s="472">
        <v>3.56E-2</v>
      </c>
      <c r="BK135" s="472">
        <v>3.56E-2</v>
      </c>
      <c r="BL135" s="472">
        <v>3.56E-2</v>
      </c>
      <c r="BM135" s="472">
        <v>3.56E-2</v>
      </c>
      <c r="BN135" s="472">
        <v>3.56E-2</v>
      </c>
      <c r="BO135" s="472">
        <v>3.5999999999999997E-2</v>
      </c>
      <c r="BP135" s="472">
        <v>3.5999999999999997E-2</v>
      </c>
      <c r="BQ135" s="472">
        <v>3.5999999999999997E-2</v>
      </c>
      <c r="BR135" s="472">
        <v>3.5000000000000003E-2</v>
      </c>
      <c r="BS135" s="472">
        <v>3.5000000000000003E-2</v>
      </c>
      <c r="BT135" s="472">
        <v>3.5000000000000003E-2</v>
      </c>
      <c r="BU135" s="472">
        <v>3.5000000000000003E-2</v>
      </c>
      <c r="BV135" s="472">
        <v>3.5000000000000003E-2</v>
      </c>
      <c r="BW135" s="472">
        <v>3.5000000000000003E-2</v>
      </c>
      <c r="BX135" s="472">
        <v>3.4500000000000003E-2</v>
      </c>
      <c r="BY135" s="472">
        <v>3.4500000000000003E-2</v>
      </c>
      <c r="BZ135" s="472">
        <v>3.4500000000000003E-2</v>
      </c>
      <c r="CA135" s="472">
        <v>3.5299999999999998E-2</v>
      </c>
      <c r="CB135" s="472">
        <v>3.6499999999999998E-2</v>
      </c>
      <c r="CC135" s="472">
        <v>3.7600000000000001E-2</v>
      </c>
      <c r="CD135" s="472">
        <v>3.7999999999999999E-2</v>
      </c>
      <c r="CE135" s="472">
        <v>3.9199999999999999E-2</v>
      </c>
      <c r="CF135" s="472">
        <v>3.9199999999999999E-2</v>
      </c>
      <c r="CG135" s="472">
        <v>3.9199999999999999E-2</v>
      </c>
      <c r="CH135" s="482"/>
      <c r="CI135" s="482"/>
      <c r="CJ135" s="482"/>
      <c r="CK135" s="482"/>
      <c r="CL135" s="482"/>
      <c r="CM135" s="482"/>
      <c r="CN135" s="482"/>
      <c r="CO135" s="482"/>
      <c r="CP135" s="482"/>
      <c r="CQ135" s="482"/>
      <c r="CR135" s="482"/>
      <c r="CS135" s="482"/>
      <c r="CT135" s="482"/>
      <c r="CU135" s="482"/>
      <c r="CV135" s="482"/>
      <c r="CW135" s="482"/>
      <c r="CX135" s="482"/>
      <c r="CY135" s="482"/>
      <c r="CZ135" s="482"/>
      <c r="DA135" s="482"/>
      <c r="DB135" s="482"/>
      <c r="DC135" s="482"/>
      <c r="DD135" s="482"/>
      <c r="DE135" s="482"/>
      <c r="DF135" s="482"/>
      <c r="DG135" s="482"/>
      <c r="DH135" s="482"/>
      <c r="DI135" s="482"/>
      <c r="DJ135" s="482"/>
      <c r="DK135" s="482"/>
      <c r="DL135" s="482"/>
      <c r="DM135" s="482"/>
      <c r="DN135" s="482"/>
      <c r="DO135" s="482"/>
      <c r="DP135" s="482"/>
      <c r="DQ135" s="482"/>
      <c r="DR135" s="482"/>
      <c r="DS135" s="482"/>
      <c r="DT135" s="482"/>
      <c r="DU135" s="482"/>
      <c r="DV135" s="482"/>
      <c r="DW135" s="482"/>
      <c r="DX135" s="482"/>
      <c r="DY135" s="482"/>
      <c r="DZ135" s="482"/>
      <c r="EA135" s="482"/>
      <c r="EB135" s="482"/>
      <c r="EC135" s="482"/>
      <c r="ED135" s="482"/>
      <c r="EE135" s="482"/>
      <c r="EF135" s="482"/>
      <c r="EG135" s="482"/>
      <c r="EH135" s="482"/>
      <c r="EI135" s="482"/>
      <c r="EJ135" s="482"/>
      <c r="EK135" s="482"/>
      <c r="EL135" s="482"/>
      <c r="EM135" s="482"/>
      <c r="EN135" s="482"/>
      <c r="EO135" s="482"/>
      <c r="EP135" s="482"/>
      <c r="EQ135" s="482"/>
      <c r="ER135" s="482"/>
      <c r="ES135" s="482"/>
      <c r="ET135" s="482"/>
      <c r="EU135" s="482"/>
      <c r="EV135" s="482"/>
      <c r="EW135" s="482"/>
      <c r="EX135" s="482"/>
      <c r="EY135" s="482"/>
      <c r="EZ135" s="482"/>
      <c r="FA135" s="482"/>
      <c r="FB135" s="482"/>
      <c r="FC135" s="482"/>
      <c r="FD135" s="482"/>
      <c r="FE135" s="482"/>
      <c r="FF135" s="482"/>
      <c r="FG135" s="482"/>
      <c r="FH135" s="482"/>
      <c r="FI135" s="482"/>
      <c r="FJ135" s="482"/>
      <c r="FK135" s="482"/>
      <c r="FL135" s="482"/>
      <c r="FM135" s="482"/>
      <c r="FN135" s="482"/>
      <c r="FO135" s="482"/>
      <c r="FP135" s="482"/>
      <c r="FQ135" s="482"/>
      <c r="FR135" s="482"/>
      <c r="FS135" s="482"/>
      <c r="FT135" s="482"/>
      <c r="FU135" s="482"/>
      <c r="FV135" s="482"/>
      <c r="FW135" s="482"/>
      <c r="FX135" s="482"/>
      <c r="FY135" s="482"/>
      <c r="FZ135" s="482"/>
      <c r="GA135" s="482"/>
      <c r="GB135" s="482"/>
      <c r="GC135" s="482"/>
      <c r="GD135" s="472"/>
      <c r="GE135" s="472"/>
      <c r="GF135" s="472"/>
      <c r="GG135" s="472"/>
      <c r="GH135" s="472"/>
      <c r="GI135" s="472"/>
      <c r="GJ135" s="472"/>
      <c r="GK135" s="472"/>
      <c r="GL135" s="472"/>
      <c r="GM135" s="472"/>
      <c r="GN135" s="472"/>
      <c r="GO135" s="472"/>
      <c r="GP135" s="472"/>
      <c r="GQ135" s="472"/>
      <c r="GR135" s="472"/>
      <c r="GS135" s="472"/>
      <c r="GT135" s="472"/>
      <c r="GU135" s="472"/>
      <c r="GV135" s="472"/>
      <c r="GW135" s="472"/>
      <c r="GX135" s="472"/>
      <c r="GY135" s="472"/>
      <c r="GZ135" s="472"/>
      <c r="HA135" s="472"/>
      <c r="HB135" s="472"/>
      <c r="HC135" s="472"/>
      <c r="HD135" s="472"/>
      <c r="HE135" s="472"/>
      <c r="HF135" s="472"/>
      <c r="HG135" s="472"/>
      <c r="HH135" s="472"/>
      <c r="HI135" s="472"/>
      <c r="HJ135" s="472"/>
      <c r="HK135" s="472"/>
      <c r="HL135" s="472"/>
      <c r="HM135" s="472"/>
      <c r="HN135" s="472"/>
      <c r="HO135" s="472"/>
      <c r="HP135" s="473">
        <f t="shared" si="49"/>
        <v>0</v>
      </c>
      <c r="HQ135" s="498"/>
    </row>
    <row r="136" spans="2:225">
      <c r="B136" s="1140"/>
      <c r="C136" s="729" t="s">
        <v>253</v>
      </c>
      <c r="D136" s="589">
        <v>2.6499999999999999E-2</v>
      </c>
      <c r="E136" s="589">
        <v>2.6499999999999999E-2</v>
      </c>
      <c r="F136" s="589">
        <v>2.6499999999999999E-2</v>
      </c>
      <c r="G136" s="623">
        <v>2.5499999999999998E-2</v>
      </c>
      <c r="H136" s="589">
        <v>2.5499999999999998E-2</v>
      </c>
      <c r="I136" s="589">
        <v>0.03</v>
      </c>
      <c r="J136" s="623">
        <v>2.5499999999999998E-2</v>
      </c>
      <c r="K136" s="623">
        <v>2.5499999999999998E-2</v>
      </c>
      <c r="L136" s="589">
        <v>2.5499999999999998E-2</v>
      </c>
      <c r="M136" s="589">
        <v>2.6499999999999999E-2</v>
      </c>
      <c r="N136" s="623">
        <v>2.75E-2</v>
      </c>
      <c r="O136" s="589">
        <v>2.75E-2</v>
      </c>
      <c r="P136" s="589">
        <v>2.8000000000000001E-2</v>
      </c>
      <c r="Q136" s="589">
        <v>2.7799999999999998E-2</v>
      </c>
      <c r="R136" s="623">
        <v>2.8000000000000001E-2</v>
      </c>
      <c r="S136" s="623">
        <v>2.8000000000000001E-2</v>
      </c>
      <c r="T136" s="586">
        <v>2.8000000000000001E-2</v>
      </c>
      <c r="U136" s="586">
        <v>2.8000000000000001E-2</v>
      </c>
      <c r="V136" s="586">
        <v>2.8000000000000001E-2</v>
      </c>
      <c r="W136" s="471">
        <v>2.8000000000000001E-2</v>
      </c>
      <c r="X136" s="470">
        <v>2.8000000000000001E-2</v>
      </c>
      <c r="Y136" s="471">
        <v>2.8300000000000002E-2</v>
      </c>
      <c r="Z136" s="470">
        <v>2.9000000000000001E-2</v>
      </c>
      <c r="AA136" s="470">
        <v>2.9100000000000001E-2</v>
      </c>
      <c r="AB136" s="471">
        <v>2.9000000000000001E-2</v>
      </c>
      <c r="AC136" s="470">
        <v>2.9000000000000001E-2</v>
      </c>
      <c r="AD136" s="471">
        <v>0.03</v>
      </c>
      <c r="AE136" s="471">
        <v>0.03</v>
      </c>
      <c r="AF136" s="470">
        <v>0.03</v>
      </c>
      <c r="AG136" s="471">
        <v>3.0499999999999999E-2</v>
      </c>
      <c r="AH136" s="470">
        <v>3.0499999999999999E-2</v>
      </c>
      <c r="AI136" s="470">
        <v>3.15E-2</v>
      </c>
      <c r="AJ136" s="471">
        <v>3.2000000000000001E-2</v>
      </c>
      <c r="AK136" s="470">
        <v>3.2000000000000001E-2</v>
      </c>
      <c r="AL136" s="472">
        <v>3.2500000000000001E-2</v>
      </c>
      <c r="AM136" s="470">
        <v>3.2500000000000001E-2</v>
      </c>
      <c r="AN136" s="471">
        <v>3.3000000000000002E-2</v>
      </c>
      <c r="AO136" s="471">
        <v>3.3000000000000002E-2</v>
      </c>
      <c r="AP136" s="471">
        <v>3.3000000000000002E-2</v>
      </c>
      <c r="AQ136" s="471">
        <v>3.3000000000000002E-2</v>
      </c>
      <c r="AR136" s="471">
        <v>3.3000000000000002E-2</v>
      </c>
      <c r="AS136" s="471">
        <v>3.3000000000000002E-2</v>
      </c>
      <c r="AT136" s="471">
        <v>3.3000000000000002E-2</v>
      </c>
      <c r="AU136" s="471">
        <v>3.3000000000000002E-2</v>
      </c>
      <c r="AV136" s="470">
        <v>3.2800000000000003E-2</v>
      </c>
      <c r="AW136" s="472">
        <v>3.3500000000000002E-2</v>
      </c>
      <c r="AX136" s="472">
        <v>3.3500000000000002E-2</v>
      </c>
      <c r="AY136" s="472">
        <v>3.3500000000000002E-2</v>
      </c>
      <c r="AZ136" s="472">
        <v>3.3500000000000002E-2</v>
      </c>
      <c r="BA136" s="472">
        <v>3.3500000000000002E-2</v>
      </c>
      <c r="BB136" s="472">
        <v>3.3500000000000002E-2</v>
      </c>
      <c r="BC136" s="472">
        <v>3.3500000000000002E-2</v>
      </c>
      <c r="BD136" s="472">
        <v>3.3500000000000002E-2</v>
      </c>
      <c r="BE136" s="472">
        <v>3.3500000000000002E-2</v>
      </c>
      <c r="BF136" s="472">
        <v>3.3500000000000002E-2</v>
      </c>
      <c r="BG136" s="472">
        <v>3.3500000000000002E-2</v>
      </c>
      <c r="BH136" s="472">
        <v>3.56E-2</v>
      </c>
      <c r="BI136" s="472">
        <v>3.56E-2</v>
      </c>
      <c r="BJ136" s="472">
        <v>3.56E-2</v>
      </c>
      <c r="BK136" s="472">
        <v>3.56E-2</v>
      </c>
      <c r="BL136" s="472">
        <v>3.56E-2</v>
      </c>
      <c r="BM136" s="472">
        <v>3.56E-2</v>
      </c>
      <c r="BN136" s="472">
        <v>3.56E-2</v>
      </c>
      <c r="BO136" s="472">
        <v>3.5999999999999997E-2</v>
      </c>
      <c r="BP136" s="472">
        <v>3.5999999999999997E-2</v>
      </c>
      <c r="BQ136" s="472">
        <v>3.5999999999999997E-2</v>
      </c>
      <c r="BR136" s="472">
        <v>3.5000000000000003E-2</v>
      </c>
      <c r="BS136" s="472">
        <v>3.5000000000000003E-2</v>
      </c>
      <c r="BT136" s="472">
        <v>3.5000000000000003E-2</v>
      </c>
      <c r="BU136" s="472">
        <v>3.5000000000000003E-2</v>
      </c>
      <c r="BV136" s="472">
        <v>3.5000000000000003E-2</v>
      </c>
      <c r="BW136" s="472">
        <v>3.5000000000000003E-2</v>
      </c>
      <c r="BX136" s="472">
        <v>3.4500000000000003E-2</v>
      </c>
      <c r="BY136" s="472">
        <v>3.4500000000000003E-2</v>
      </c>
      <c r="BZ136" s="472">
        <v>3.4500000000000003E-2</v>
      </c>
      <c r="CA136" s="472">
        <v>3.5299999999999998E-2</v>
      </c>
      <c r="CB136" s="472">
        <v>3.6499999999999998E-2</v>
      </c>
      <c r="CC136" s="472">
        <v>3.7600000000000001E-2</v>
      </c>
      <c r="CD136" s="472">
        <v>3.7999999999999999E-2</v>
      </c>
      <c r="CE136" s="472">
        <v>3.9199999999999999E-2</v>
      </c>
      <c r="CF136" s="472">
        <v>3.9199999999999999E-2</v>
      </c>
      <c r="CG136" s="472">
        <v>3.9199999999999999E-2</v>
      </c>
      <c r="CH136" s="479">
        <v>0.05</v>
      </c>
      <c r="CI136" s="479">
        <v>0.05</v>
      </c>
      <c r="CJ136" s="479">
        <v>0.05</v>
      </c>
      <c r="CK136" s="479">
        <v>0.05</v>
      </c>
      <c r="CL136" s="479">
        <v>0.05</v>
      </c>
      <c r="CM136" s="479">
        <v>0.05</v>
      </c>
      <c r="CN136" s="479">
        <v>0.05</v>
      </c>
      <c r="CO136" s="479">
        <v>0.05</v>
      </c>
      <c r="CP136" s="479">
        <v>0.05</v>
      </c>
      <c r="CQ136" s="479">
        <v>0.05</v>
      </c>
      <c r="CR136" s="479">
        <v>0.05</v>
      </c>
      <c r="CS136" s="479">
        <v>0.05</v>
      </c>
      <c r="CT136" s="479">
        <v>0.05</v>
      </c>
      <c r="CU136" s="479">
        <v>0.05</v>
      </c>
      <c r="CV136" s="479">
        <v>0.05</v>
      </c>
      <c r="CW136" s="479">
        <v>0.05</v>
      </c>
      <c r="CX136" s="479">
        <v>0.05</v>
      </c>
      <c r="CY136" s="479">
        <v>0.05</v>
      </c>
      <c r="CZ136" s="479">
        <v>0.05</v>
      </c>
      <c r="DA136" s="479">
        <v>0.05</v>
      </c>
      <c r="DB136" s="479">
        <v>0.05</v>
      </c>
      <c r="DC136" s="479">
        <v>0.05</v>
      </c>
      <c r="DD136" s="479">
        <v>0.05</v>
      </c>
      <c r="DE136" s="479">
        <v>0.05</v>
      </c>
      <c r="DF136" s="479">
        <v>0.05</v>
      </c>
      <c r="DG136" s="479">
        <v>0.05</v>
      </c>
      <c r="DH136" s="479">
        <v>5.1999999999999998E-2</v>
      </c>
      <c r="DI136" s="479">
        <v>5.1999999999999998E-2</v>
      </c>
      <c r="DJ136" s="479">
        <v>5.1999999999999998E-2</v>
      </c>
      <c r="DK136" s="479">
        <v>5.1999999999999998E-2</v>
      </c>
      <c r="DL136" s="479">
        <v>5.1999999999999998E-2</v>
      </c>
      <c r="DM136" s="479">
        <v>5.1999999999999998E-2</v>
      </c>
      <c r="DN136" s="479">
        <v>5.1999999999999998E-2</v>
      </c>
      <c r="DO136" s="479">
        <v>5.1999999999999998E-2</v>
      </c>
      <c r="DP136" s="479">
        <v>5.2499999999999998E-2</v>
      </c>
      <c r="DQ136" s="479">
        <v>5.2499999999999998E-2</v>
      </c>
      <c r="DR136" s="479">
        <v>5.2499999999999998E-2</v>
      </c>
      <c r="DS136" s="479">
        <v>5.2499999999999998E-2</v>
      </c>
      <c r="DT136" s="479">
        <v>5.2499999999999998E-2</v>
      </c>
      <c r="DU136" s="479">
        <v>5.2499999999999998E-2</v>
      </c>
      <c r="DV136" s="479">
        <v>5.1999999999999998E-2</v>
      </c>
      <c r="DW136" s="479">
        <v>5.1999999999999998E-2</v>
      </c>
      <c r="DX136" s="479">
        <v>5.1999999999999998E-2</v>
      </c>
      <c r="DY136" s="479">
        <v>5.0500000000000003E-2</v>
      </c>
      <c r="DZ136" s="479">
        <v>5.0500000000000003E-2</v>
      </c>
      <c r="EA136" s="479">
        <v>5.0500000000000003E-2</v>
      </c>
      <c r="EB136" s="479">
        <v>5.0500000000000003E-2</v>
      </c>
      <c r="EC136" s="479">
        <v>5.1999999999999998E-2</v>
      </c>
      <c r="ED136" s="479">
        <v>5.1999999999999998E-2</v>
      </c>
      <c r="EE136" s="479">
        <v>5.1999999999999998E-2</v>
      </c>
      <c r="EF136" s="479">
        <v>5.1999999999999998E-2</v>
      </c>
      <c r="EG136" s="479">
        <v>5.1999999999999998E-2</v>
      </c>
      <c r="EH136" s="479">
        <v>0.05</v>
      </c>
      <c r="EI136" s="479">
        <v>3.4000000000000002E-2</v>
      </c>
      <c r="EJ136" s="479">
        <v>3.2000000000000001E-2</v>
      </c>
      <c r="EK136" s="479">
        <v>3.2000000000000001E-2</v>
      </c>
      <c r="EL136" s="479">
        <v>3.2000000000000001E-2</v>
      </c>
      <c r="EM136" s="479">
        <v>3.2000000000000001E-2</v>
      </c>
      <c r="EN136" s="479">
        <v>4.7500000000000001E-2</v>
      </c>
      <c r="EO136" s="479">
        <v>4.7500000000000001E-2</v>
      </c>
      <c r="EP136" s="479">
        <v>4.7500000000000001E-2</v>
      </c>
      <c r="EQ136" s="479">
        <v>4.7500000000000001E-2</v>
      </c>
      <c r="ER136" s="479">
        <v>4.65E-2</v>
      </c>
      <c r="ES136" s="479">
        <v>4.65E-2</v>
      </c>
      <c r="ET136" s="479">
        <v>4.65E-2</v>
      </c>
      <c r="EU136" s="479">
        <v>4.65E-2</v>
      </c>
      <c r="EV136" s="479">
        <v>4.9000000000000002E-2</v>
      </c>
      <c r="EW136" s="479">
        <v>4.9000000000000002E-2</v>
      </c>
      <c r="EX136" s="479">
        <v>4.9000000000000002E-2</v>
      </c>
      <c r="EY136" s="479">
        <v>4.9000000000000002E-2</v>
      </c>
      <c r="EZ136" s="479">
        <v>4.9000000000000002E-2</v>
      </c>
      <c r="FA136" s="479">
        <v>4.9000000000000002E-2</v>
      </c>
      <c r="FB136" s="479">
        <v>4.4999999999999998E-2</v>
      </c>
      <c r="FC136" s="479">
        <v>4.4999999999999998E-2</v>
      </c>
      <c r="FD136" s="479">
        <v>4.4999999999999998E-2</v>
      </c>
      <c r="FE136" s="479">
        <v>4.4999999999999998E-2</v>
      </c>
      <c r="FF136" s="479">
        <v>4.7E-2</v>
      </c>
      <c r="FG136" s="479">
        <v>4.7E-2</v>
      </c>
      <c r="FH136" s="479">
        <v>4.7E-2</v>
      </c>
      <c r="FI136" s="479">
        <v>4.7E-2</v>
      </c>
      <c r="FJ136" s="479">
        <v>4.9000000000000002E-2</v>
      </c>
      <c r="FK136" s="479">
        <v>4.9000000000000002E-2</v>
      </c>
      <c r="FL136" s="479">
        <v>4.9000000000000002E-2</v>
      </c>
      <c r="FM136" s="479">
        <v>4.9000000000000002E-2</v>
      </c>
      <c r="FN136" s="479">
        <v>4.9000000000000002E-2</v>
      </c>
      <c r="FO136" s="479">
        <v>4.3999999999999997E-2</v>
      </c>
      <c r="FP136" s="479">
        <v>4.3999999999999997E-2</v>
      </c>
      <c r="FQ136" s="479">
        <v>4.3999999999999997E-2</v>
      </c>
      <c r="FR136" s="479">
        <v>4.3999999999999997E-2</v>
      </c>
      <c r="FS136" s="479">
        <v>3.4000000000000002E-2</v>
      </c>
      <c r="FT136" s="479">
        <v>3.4000000000000002E-2</v>
      </c>
      <c r="FU136" s="479">
        <v>3.4000000000000002E-2</v>
      </c>
      <c r="FV136" s="479">
        <v>4.8000000000000001E-2</v>
      </c>
      <c r="FW136" s="479">
        <v>4.7500000000000001E-2</v>
      </c>
      <c r="FX136" s="479">
        <v>0.05</v>
      </c>
      <c r="FY136" s="479">
        <v>0.05</v>
      </c>
      <c r="FZ136" s="479">
        <v>0.05</v>
      </c>
      <c r="GA136" s="479">
        <v>4.8000000000000001E-2</v>
      </c>
      <c r="GB136" s="479">
        <v>4.8000000000000001E-2</v>
      </c>
      <c r="GC136" s="479">
        <v>4.8000000000000001E-2</v>
      </c>
      <c r="GD136" s="472">
        <v>3.2000000000000001E-2</v>
      </c>
      <c r="GE136" s="472">
        <v>3.2000000000000001E-2</v>
      </c>
      <c r="GF136" s="472">
        <v>3.2000000000000001E-2</v>
      </c>
      <c r="GG136" s="472">
        <v>3.2000000000000001E-2</v>
      </c>
      <c r="GH136" s="472">
        <v>3.2000000000000001E-2</v>
      </c>
      <c r="GI136" s="472">
        <v>3.2000000000000001E-2</v>
      </c>
      <c r="GJ136" s="472">
        <v>3.2000000000000001E-2</v>
      </c>
      <c r="GK136" s="472">
        <v>3.2000000000000001E-2</v>
      </c>
      <c r="GL136" s="472">
        <v>3.2000000000000001E-2</v>
      </c>
      <c r="GM136" s="472">
        <v>3.2000000000000001E-2</v>
      </c>
      <c r="GN136" s="472">
        <v>3.2000000000000001E-2</v>
      </c>
      <c r="GO136" s="472">
        <v>3.2000000000000001E-2</v>
      </c>
      <c r="GP136" s="472">
        <v>3.2000000000000001E-2</v>
      </c>
      <c r="GQ136" s="472">
        <v>3.2000000000000001E-2</v>
      </c>
      <c r="GR136" s="472">
        <v>3.2000000000000001E-2</v>
      </c>
      <c r="GS136" s="472">
        <v>3.2000000000000001E-2</v>
      </c>
      <c r="GT136" s="472">
        <v>3.2000000000000001E-2</v>
      </c>
      <c r="GU136" s="472">
        <v>3.2000000000000001E-2</v>
      </c>
      <c r="GV136" s="472">
        <v>3.2000000000000001E-2</v>
      </c>
      <c r="GW136" s="472">
        <v>3.2000000000000001E-2</v>
      </c>
      <c r="GX136" s="472">
        <v>3.2000000000000001E-2</v>
      </c>
      <c r="GY136" s="472">
        <v>3.2000000000000001E-2</v>
      </c>
      <c r="GZ136" s="472">
        <v>3.2000000000000001E-2</v>
      </c>
      <c r="HA136" s="472">
        <v>3.2000000000000001E-2</v>
      </c>
      <c r="HB136" s="472">
        <v>3.2000000000000001E-2</v>
      </c>
      <c r="HC136" s="472">
        <v>3.2000000000000001E-2</v>
      </c>
      <c r="HD136" s="472">
        <v>3.2000000000000001E-2</v>
      </c>
      <c r="HE136" s="472">
        <v>3.2000000000000001E-2</v>
      </c>
      <c r="HF136" s="472">
        <v>3.2000000000000001E-2</v>
      </c>
      <c r="HG136" s="472">
        <v>3.2000000000000001E-2</v>
      </c>
      <c r="HH136" s="472">
        <v>3.2000000000000001E-2</v>
      </c>
      <c r="HI136" s="472">
        <v>3.2000000000000001E-2</v>
      </c>
      <c r="HJ136" s="472">
        <v>3.2000000000000001E-2</v>
      </c>
      <c r="HK136" s="472">
        <v>3.2000000000000001E-2</v>
      </c>
      <c r="HL136" s="472">
        <v>3.2000000000000001E-2</v>
      </c>
      <c r="HM136" s="472">
        <v>3.2000000000000001E-2</v>
      </c>
      <c r="HN136" s="472">
        <v>3.2000000000000001E-2</v>
      </c>
      <c r="HO136" s="472">
        <v>3.2000000000000001E-2</v>
      </c>
      <c r="HP136" s="473">
        <f t="shared" si="49"/>
        <v>0</v>
      </c>
      <c r="HQ136" s="499"/>
    </row>
    <row r="137" spans="2:225">
      <c r="B137" s="1123" t="s">
        <v>33</v>
      </c>
      <c r="C137" s="730" t="s">
        <v>252</v>
      </c>
      <c r="D137" s="500">
        <v>2.5500000000000002E-2</v>
      </c>
      <c r="E137" s="500">
        <v>2.5500000000000002E-2</v>
      </c>
      <c r="F137" s="500">
        <v>2.5500000000000002E-2</v>
      </c>
      <c r="G137" s="500">
        <v>2.5500000000000002E-2</v>
      </c>
      <c r="H137" s="500">
        <v>2.5500000000000002E-2</v>
      </c>
      <c r="I137" s="500">
        <v>2.5500000000000002E-2</v>
      </c>
      <c r="J137" s="500">
        <v>2.5500000000000002E-2</v>
      </c>
      <c r="K137" s="500">
        <v>2.5500000000000002E-2</v>
      </c>
      <c r="L137" s="500">
        <v>2.5500000000000002E-2</v>
      </c>
      <c r="M137" s="500">
        <v>2.5500000000000002E-2</v>
      </c>
      <c r="N137" s="500">
        <v>2.5500000000000002E-2</v>
      </c>
      <c r="O137" s="500">
        <v>2.5500000000000002E-2</v>
      </c>
      <c r="P137" s="500">
        <v>2.5500000000000002E-2</v>
      </c>
      <c r="Q137" s="500">
        <v>2.5500000000000002E-2</v>
      </c>
      <c r="R137" s="500">
        <v>2.5500000000000002E-2</v>
      </c>
      <c r="S137" s="500">
        <v>2.5500000000000002E-2</v>
      </c>
      <c r="T137" s="500">
        <v>2.5500000000000002E-2</v>
      </c>
      <c r="U137" s="500">
        <v>2.5500000000000002E-2</v>
      </c>
      <c r="V137" s="500">
        <v>2.5500000000000002E-2</v>
      </c>
      <c r="W137" s="500">
        <v>2.5500000000000002E-2</v>
      </c>
      <c r="X137" s="500">
        <v>2.5500000000000002E-2</v>
      </c>
      <c r="Y137" s="502">
        <v>2.5500000000000002E-2</v>
      </c>
      <c r="Z137" s="500">
        <v>2.8000000000000001E-2</v>
      </c>
      <c r="AA137" s="500">
        <v>2.8000000000000001E-2</v>
      </c>
      <c r="AB137" s="500">
        <v>2.8000000000000001E-2</v>
      </c>
      <c r="AC137" s="500">
        <v>2.8000000000000001E-2</v>
      </c>
      <c r="AD137" s="500">
        <v>2.8000000000000001E-2</v>
      </c>
      <c r="AE137" s="500">
        <v>2.8000000000000001E-2</v>
      </c>
      <c r="AF137" s="501">
        <v>2.8000000000000001E-2</v>
      </c>
      <c r="AG137" s="501">
        <v>2.8000000000000001E-2</v>
      </c>
      <c r="AH137" s="501">
        <v>2.8000000000000001E-2</v>
      </c>
      <c r="AI137" s="501">
        <v>2.8000000000000001E-2</v>
      </c>
      <c r="AJ137" s="501">
        <v>2.8000000000000001E-2</v>
      </c>
      <c r="AK137" s="501">
        <v>2.8000000000000001E-2</v>
      </c>
      <c r="AL137" s="501">
        <v>2.8000000000000001E-2</v>
      </c>
      <c r="AM137" s="500">
        <v>2.8000000000000001E-2</v>
      </c>
      <c r="AN137" s="500">
        <v>2.8000000000000001E-2</v>
      </c>
      <c r="AO137" s="500">
        <v>2.8000000000000001E-2</v>
      </c>
      <c r="AP137" s="500">
        <v>2.8000000000000001E-2</v>
      </c>
      <c r="AQ137" s="500">
        <v>2.8000000000000001E-2</v>
      </c>
      <c r="AR137" s="500">
        <v>2.8000000000000001E-2</v>
      </c>
      <c r="AS137" s="500">
        <v>2.8000000000000001E-2</v>
      </c>
      <c r="AT137" s="500">
        <v>2.8000000000000001E-2</v>
      </c>
      <c r="AU137" s="500">
        <v>2.8000000000000001E-2</v>
      </c>
      <c r="AV137" s="502">
        <v>2.9499999999999998E-2</v>
      </c>
      <c r="AW137" s="501">
        <v>0.03</v>
      </c>
      <c r="AX137" s="501">
        <v>0.03</v>
      </c>
      <c r="AY137" s="501">
        <v>0.03</v>
      </c>
      <c r="AZ137" s="501">
        <v>0.03</v>
      </c>
      <c r="BA137" s="501">
        <v>0.03</v>
      </c>
      <c r="BB137" s="501">
        <v>0.03</v>
      </c>
      <c r="BC137" s="501">
        <v>0.03</v>
      </c>
      <c r="BD137" s="501">
        <v>0.03</v>
      </c>
      <c r="BE137" s="501">
        <v>0.03</v>
      </c>
      <c r="BF137" s="501">
        <v>0.03</v>
      </c>
      <c r="BG137" s="501">
        <v>0.03</v>
      </c>
      <c r="BH137" s="501">
        <v>0.03</v>
      </c>
      <c r="BI137" s="501">
        <v>0.03</v>
      </c>
      <c r="BJ137" s="501">
        <v>0.03</v>
      </c>
      <c r="BK137" s="501">
        <v>0.03</v>
      </c>
      <c r="BL137" s="501">
        <v>0.03</v>
      </c>
      <c r="BM137" s="501">
        <v>0.03</v>
      </c>
      <c r="BN137" s="501">
        <v>0.03</v>
      </c>
      <c r="BO137" s="501">
        <v>0.03</v>
      </c>
      <c r="BP137" s="501">
        <v>0.03</v>
      </c>
      <c r="BQ137" s="501">
        <v>0.03</v>
      </c>
      <c r="BR137" s="501">
        <v>0.03</v>
      </c>
      <c r="BS137" s="501">
        <v>0.03</v>
      </c>
      <c r="BT137" s="501">
        <v>0.03</v>
      </c>
      <c r="BU137" s="501">
        <v>0.03</v>
      </c>
      <c r="BV137" s="501">
        <v>0.03</v>
      </c>
      <c r="BW137" s="501">
        <v>0.03</v>
      </c>
      <c r="BX137" s="501">
        <v>2.9499999999999998E-2</v>
      </c>
      <c r="BY137" s="501">
        <v>2.9499999999999998E-2</v>
      </c>
      <c r="BZ137" s="501">
        <v>3.6499999999999998E-2</v>
      </c>
      <c r="CA137" s="501">
        <v>3.6499999999999998E-2</v>
      </c>
      <c r="CB137" s="501">
        <v>3.6499999999999998E-2</v>
      </c>
      <c r="CC137" s="501">
        <v>3.6499999999999998E-2</v>
      </c>
      <c r="CD137" s="501">
        <v>3.6499999999999998E-2</v>
      </c>
      <c r="CE137" s="501">
        <v>3.6499999999999998E-2</v>
      </c>
      <c r="CF137" s="501">
        <v>3.6499999999999998E-2</v>
      </c>
      <c r="CG137" s="501">
        <v>3.6499999999999998E-2</v>
      </c>
      <c r="CH137" s="501">
        <v>3.6499999999999998E-2</v>
      </c>
      <c r="CI137" s="501">
        <v>3.6499999999999998E-2</v>
      </c>
      <c r="CJ137" s="501">
        <v>3.6499999999999998E-2</v>
      </c>
      <c r="CK137" s="501">
        <v>3.6499999999999998E-2</v>
      </c>
      <c r="CL137" s="501">
        <v>3.6499999999999998E-2</v>
      </c>
      <c r="CM137" s="501">
        <v>3.6499999999999998E-2</v>
      </c>
      <c r="CN137" s="501">
        <v>3.6499999999999998E-2</v>
      </c>
      <c r="CO137" s="501">
        <v>3.6499999999999998E-2</v>
      </c>
      <c r="CP137" s="501">
        <v>3.6499999999999998E-2</v>
      </c>
      <c r="CQ137" s="501">
        <v>3.6499999999999998E-2</v>
      </c>
      <c r="CR137" s="501">
        <v>3.6499999999999998E-2</v>
      </c>
      <c r="CS137" s="501">
        <v>3.6499999999999998E-2</v>
      </c>
      <c r="CT137" s="501">
        <v>3.6499999999999998E-2</v>
      </c>
      <c r="CU137" s="501">
        <v>3.6499999999999998E-2</v>
      </c>
      <c r="CV137" s="501">
        <v>3.6499999999999998E-2</v>
      </c>
      <c r="CW137" s="501">
        <v>3.6499999999999998E-2</v>
      </c>
      <c r="CX137" s="501">
        <v>3.6499999999999998E-2</v>
      </c>
      <c r="CY137" s="501">
        <v>3.6499999999999998E-2</v>
      </c>
      <c r="CZ137" s="501">
        <v>3.7499999999999999E-2</v>
      </c>
      <c r="DA137" s="501">
        <v>3.7499999999999999E-2</v>
      </c>
      <c r="DB137" s="501">
        <v>3.7499999999999999E-2</v>
      </c>
      <c r="DC137" s="501">
        <v>3.7499999999999999E-2</v>
      </c>
      <c r="DD137" s="501">
        <v>3.7499999999999999E-2</v>
      </c>
      <c r="DE137" s="501">
        <v>3.7499999999999999E-2</v>
      </c>
      <c r="DF137" s="501">
        <v>3.7499999999999999E-2</v>
      </c>
      <c r="DG137" s="501">
        <v>3.7499999999999999E-2</v>
      </c>
      <c r="DH137" s="501">
        <v>3.7499999999999999E-2</v>
      </c>
      <c r="DI137" s="501">
        <v>3.7499999999999999E-2</v>
      </c>
      <c r="DJ137" s="501">
        <v>3.7499999999999999E-2</v>
      </c>
      <c r="DK137" s="501">
        <v>3.7499999999999999E-2</v>
      </c>
      <c r="DL137" s="501">
        <v>3.7499999999999999E-2</v>
      </c>
      <c r="DM137" s="501">
        <v>3.7499999999999999E-2</v>
      </c>
      <c r="DN137" s="501">
        <v>3.7499999999999999E-2</v>
      </c>
      <c r="DO137" s="501">
        <v>3.7499999999999999E-2</v>
      </c>
      <c r="DP137" s="501">
        <v>3.7499999999999999E-2</v>
      </c>
      <c r="DQ137" s="501">
        <v>3.7499999999999999E-2</v>
      </c>
      <c r="DR137" s="501">
        <v>3.7499999999999999E-2</v>
      </c>
      <c r="DS137" s="501">
        <v>3.7499999999999999E-2</v>
      </c>
      <c r="DT137" s="501">
        <v>3.7499999999999999E-2</v>
      </c>
      <c r="DU137" s="501">
        <v>3.7499999999999999E-2</v>
      </c>
      <c r="DV137" s="501">
        <v>3.7499999999999999E-2</v>
      </c>
      <c r="DW137" s="501">
        <v>0.04</v>
      </c>
      <c r="DX137" s="501">
        <v>0.04</v>
      </c>
      <c r="DY137" s="501">
        <v>0.04</v>
      </c>
      <c r="DZ137" s="501">
        <v>0.04</v>
      </c>
      <c r="EA137" s="501">
        <v>0.04</v>
      </c>
      <c r="EB137" s="501">
        <v>0.04</v>
      </c>
      <c r="EC137" s="501">
        <v>0.04</v>
      </c>
      <c r="ED137" s="501">
        <v>0.04</v>
      </c>
      <c r="EE137" s="501">
        <v>0.04</v>
      </c>
      <c r="EF137" s="501">
        <v>0.04</v>
      </c>
      <c r="EG137" s="501">
        <v>0.04</v>
      </c>
      <c r="EH137" s="501">
        <v>0.04</v>
      </c>
      <c r="EI137" s="501">
        <v>0.04</v>
      </c>
      <c r="EJ137" s="501">
        <v>0.04</v>
      </c>
      <c r="EK137" s="501">
        <v>0.04</v>
      </c>
      <c r="EL137" s="501">
        <v>0.04</v>
      </c>
      <c r="EM137" s="501">
        <v>0.04</v>
      </c>
      <c r="EN137" s="501">
        <v>0.04</v>
      </c>
      <c r="EO137" s="501">
        <v>0.04</v>
      </c>
      <c r="EP137" s="501">
        <v>0.04</v>
      </c>
      <c r="EQ137" s="501">
        <v>0.04</v>
      </c>
      <c r="ER137" s="501">
        <v>0.04</v>
      </c>
      <c r="ES137" s="501">
        <v>0.04</v>
      </c>
      <c r="ET137" s="501">
        <v>0.04</v>
      </c>
      <c r="EU137" s="501">
        <v>0.04</v>
      </c>
      <c r="EV137" s="501">
        <v>0.04</v>
      </c>
      <c r="EW137" s="501">
        <v>0.04</v>
      </c>
      <c r="EX137" s="501">
        <v>0.04</v>
      </c>
      <c r="EY137" s="501">
        <v>0.04</v>
      </c>
      <c r="EZ137" s="501">
        <v>0.04</v>
      </c>
      <c r="FA137" s="501">
        <v>0.04</v>
      </c>
      <c r="FB137" s="501">
        <v>0.04</v>
      </c>
      <c r="FC137" s="501">
        <v>0.04</v>
      </c>
      <c r="FD137" s="501">
        <v>0.04</v>
      </c>
      <c r="FE137" s="501">
        <v>0.04</v>
      </c>
      <c r="FF137" s="501">
        <v>0.04</v>
      </c>
      <c r="FG137" s="501">
        <v>0.04</v>
      </c>
      <c r="FH137" s="501">
        <v>0.04</v>
      </c>
      <c r="FI137" s="501">
        <v>0.04</v>
      </c>
      <c r="FJ137" s="501">
        <v>0.04</v>
      </c>
      <c r="FK137" s="501">
        <v>0.04</v>
      </c>
      <c r="FL137" s="501">
        <v>0.04</v>
      </c>
      <c r="FM137" s="501">
        <v>0.04</v>
      </c>
      <c r="FN137" s="501">
        <v>0.04</v>
      </c>
      <c r="FO137" s="501">
        <v>0.04</v>
      </c>
      <c r="FP137" s="501">
        <v>0.04</v>
      </c>
      <c r="FQ137" s="501">
        <v>0.04</v>
      </c>
      <c r="FR137" s="501">
        <v>0.04</v>
      </c>
      <c r="FS137" s="501">
        <v>0.04</v>
      </c>
      <c r="FT137" s="501">
        <v>0.04</v>
      </c>
      <c r="FU137" s="501">
        <v>0.04</v>
      </c>
      <c r="FV137" s="501">
        <v>0.04</v>
      </c>
      <c r="FW137" s="501">
        <v>0.04</v>
      </c>
      <c r="FX137" s="501">
        <v>0.04</v>
      </c>
      <c r="FY137" s="501">
        <v>0.04</v>
      </c>
      <c r="FZ137" s="501">
        <v>0.04</v>
      </c>
      <c r="GA137" s="501">
        <v>0.04</v>
      </c>
      <c r="GB137" s="501">
        <v>4.0500000000000001E-2</v>
      </c>
      <c r="GC137" s="501">
        <v>4.0500000000000001E-2</v>
      </c>
      <c r="GD137" s="501">
        <v>1.5E-3</v>
      </c>
      <c r="GE137" s="501">
        <v>1.5E-3</v>
      </c>
      <c r="GF137" s="501">
        <v>1.5E-3</v>
      </c>
      <c r="GG137" s="501">
        <v>1.5E-3</v>
      </c>
      <c r="GH137" s="501">
        <v>1.5E-3</v>
      </c>
      <c r="GI137" s="501">
        <v>1.5E-3</v>
      </c>
      <c r="GJ137" s="501">
        <v>1.5E-3</v>
      </c>
      <c r="GK137" s="501">
        <v>1.5E-3</v>
      </c>
      <c r="GL137" s="501">
        <v>1.5E-3</v>
      </c>
      <c r="GM137" s="501">
        <v>1.5E-3</v>
      </c>
      <c r="GN137" s="501">
        <v>1.5E-3</v>
      </c>
      <c r="GO137" s="501">
        <v>1.5E-3</v>
      </c>
      <c r="GP137" s="501">
        <v>1.5E-3</v>
      </c>
      <c r="GQ137" s="501">
        <v>1.5E-3</v>
      </c>
      <c r="GR137" s="501">
        <v>1.5E-3</v>
      </c>
      <c r="GS137" s="501">
        <v>1.5E-3</v>
      </c>
      <c r="GT137" s="501">
        <v>1.5E-3</v>
      </c>
      <c r="GU137" s="501">
        <v>1.5E-3</v>
      </c>
      <c r="GV137" s="501">
        <v>1.5E-3</v>
      </c>
      <c r="GW137" s="501">
        <v>1.5E-3</v>
      </c>
      <c r="GX137" s="501">
        <v>1.5E-3</v>
      </c>
      <c r="GY137" s="501">
        <v>1.5E-3</v>
      </c>
      <c r="GZ137" s="501">
        <v>1.5E-3</v>
      </c>
      <c r="HA137" s="501">
        <v>1.5E-3</v>
      </c>
      <c r="HB137" s="501">
        <v>1.5E-3</v>
      </c>
      <c r="HC137" s="501">
        <v>1.5E-3</v>
      </c>
      <c r="HD137" s="501">
        <v>1.5E-3</v>
      </c>
      <c r="HE137" s="501">
        <v>1.5E-3</v>
      </c>
      <c r="HF137" s="501">
        <v>1.5E-3</v>
      </c>
      <c r="HG137" s="501">
        <v>1.5E-3</v>
      </c>
      <c r="HH137" s="501">
        <v>1.5E-3</v>
      </c>
      <c r="HI137" s="501">
        <v>1.5E-3</v>
      </c>
      <c r="HJ137" s="501">
        <v>1.5E-3</v>
      </c>
      <c r="HK137" s="501">
        <v>1.5E-3</v>
      </c>
      <c r="HL137" s="501">
        <v>1.5E-3</v>
      </c>
      <c r="HM137" s="501">
        <v>1.5E-3</v>
      </c>
      <c r="HN137" s="501">
        <v>1.5E-3</v>
      </c>
      <c r="HO137" s="501">
        <v>1.5E-3</v>
      </c>
      <c r="HP137" s="473">
        <f t="shared" si="49"/>
        <v>0</v>
      </c>
      <c r="HQ137" s="1132" t="s">
        <v>251</v>
      </c>
    </row>
    <row r="138" spans="2:225">
      <c r="B138" s="1124"/>
      <c r="C138" s="730" t="s">
        <v>250</v>
      </c>
      <c r="D138" s="500">
        <v>2.5500000000000002E-2</v>
      </c>
      <c r="E138" s="500">
        <v>2.5500000000000002E-2</v>
      </c>
      <c r="F138" s="500">
        <v>2.5500000000000002E-2</v>
      </c>
      <c r="G138" s="500">
        <v>2.5500000000000002E-2</v>
      </c>
      <c r="H138" s="500">
        <v>2.5500000000000002E-2</v>
      </c>
      <c r="I138" s="500">
        <v>2.5500000000000002E-2</v>
      </c>
      <c r="J138" s="500">
        <v>2.5500000000000002E-2</v>
      </c>
      <c r="K138" s="500">
        <v>2.5500000000000002E-2</v>
      </c>
      <c r="L138" s="500">
        <v>2.5500000000000002E-2</v>
      </c>
      <c r="M138" s="500">
        <v>2.5500000000000002E-2</v>
      </c>
      <c r="N138" s="500">
        <v>2.5500000000000002E-2</v>
      </c>
      <c r="O138" s="500">
        <v>2.5500000000000002E-2</v>
      </c>
      <c r="P138" s="500">
        <v>2.5500000000000002E-2</v>
      </c>
      <c r="Q138" s="500">
        <v>2.5500000000000002E-2</v>
      </c>
      <c r="R138" s="500">
        <v>2.5500000000000002E-2</v>
      </c>
      <c r="S138" s="500">
        <v>2.5500000000000002E-2</v>
      </c>
      <c r="T138" s="500">
        <v>2.5500000000000002E-2</v>
      </c>
      <c r="U138" s="500">
        <v>2.5500000000000002E-2</v>
      </c>
      <c r="V138" s="500">
        <v>2.5500000000000002E-2</v>
      </c>
      <c r="W138" s="500">
        <v>2.5500000000000002E-2</v>
      </c>
      <c r="X138" s="500">
        <v>2.5500000000000002E-2</v>
      </c>
      <c r="Y138" s="502">
        <v>2.5500000000000002E-2</v>
      </c>
      <c r="Z138" s="500">
        <v>2.8000000000000001E-2</v>
      </c>
      <c r="AA138" s="500">
        <v>2.8000000000000001E-2</v>
      </c>
      <c r="AB138" s="500">
        <v>2.8000000000000001E-2</v>
      </c>
      <c r="AC138" s="500">
        <v>2.8000000000000001E-2</v>
      </c>
      <c r="AD138" s="500">
        <v>2.8000000000000001E-2</v>
      </c>
      <c r="AE138" s="500">
        <v>2.8000000000000001E-2</v>
      </c>
      <c r="AF138" s="501">
        <v>2.8000000000000001E-2</v>
      </c>
      <c r="AG138" s="501">
        <v>2.8000000000000001E-2</v>
      </c>
      <c r="AH138" s="501">
        <v>2.8000000000000001E-2</v>
      </c>
      <c r="AI138" s="501">
        <v>2.8000000000000001E-2</v>
      </c>
      <c r="AJ138" s="501">
        <v>2.8000000000000001E-2</v>
      </c>
      <c r="AK138" s="501">
        <v>2.8000000000000001E-2</v>
      </c>
      <c r="AL138" s="501">
        <v>2.8000000000000001E-2</v>
      </c>
      <c r="AM138" s="500">
        <v>2.8000000000000001E-2</v>
      </c>
      <c r="AN138" s="500">
        <v>2.8000000000000001E-2</v>
      </c>
      <c r="AO138" s="500">
        <v>2.8000000000000001E-2</v>
      </c>
      <c r="AP138" s="500">
        <v>2.8000000000000001E-2</v>
      </c>
      <c r="AQ138" s="500">
        <v>2.8000000000000001E-2</v>
      </c>
      <c r="AR138" s="500">
        <v>2.8000000000000001E-2</v>
      </c>
      <c r="AS138" s="500">
        <v>2.8000000000000001E-2</v>
      </c>
      <c r="AT138" s="500">
        <v>2.8000000000000001E-2</v>
      </c>
      <c r="AU138" s="500">
        <v>2.8000000000000001E-2</v>
      </c>
      <c r="AV138" s="502">
        <v>2.9499999999999998E-2</v>
      </c>
      <c r="AW138" s="501">
        <v>0.03</v>
      </c>
      <c r="AX138" s="501">
        <v>0.03</v>
      </c>
      <c r="AY138" s="501">
        <v>0.03</v>
      </c>
      <c r="AZ138" s="501">
        <v>0.03</v>
      </c>
      <c r="BA138" s="501">
        <v>0.03</v>
      </c>
      <c r="BB138" s="501">
        <v>0.03</v>
      </c>
      <c r="BC138" s="501">
        <v>0.03</v>
      </c>
      <c r="BD138" s="501">
        <v>0.03</v>
      </c>
      <c r="BE138" s="501">
        <v>0.03</v>
      </c>
      <c r="BF138" s="501">
        <v>0.03</v>
      </c>
      <c r="BG138" s="501">
        <v>0.03</v>
      </c>
      <c r="BH138" s="501">
        <v>0.03</v>
      </c>
      <c r="BI138" s="501">
        <v>0.03</v>
      </c>
      <c r="BJ138" s="501">
        <v>0.03</v>
      </c>
      <c r="BK138" s="501">
        <v>0.03</v>
      </c>
      <c r="BL138" s="501">
        <v>0.03</v>
      </c>
      <c r="BM138" s="501">
        <v>0.03</v>
      </c>
      <c r="BN138" s="501">
        <v>0.03</v>
      </c>
      <c r="BO138" s="501">
        <v>0.03</v>
      </c>
      <c r="BP138" s="501">
        <v>0.03</v>
      </c>
      <c r="BQ138" s="501">
        <v>0.03</v>
      </c>
      <c r="BR138" s="501">
        <v>0.03</v>
      </c>
      <c r="BS138" s="501">
        <v>0.03</v>
      </c>
      <c r="BT138" s="501">
        <v>0.03</v>
      </c>
      <c r="BU138" s="501">
        <v>0.03</v>
      </c>
      <c r="BV138" s="501">
        <v>0.03</v>
      </c>
      <c r="BW138" s="501">
        <v>0.03</v>
      </c>
      <c r="BX138" s="501">
        <v>2.9499999999999998E-2</v>
      </c>
      <c r="BY138" s="501">
        <v>2.9499999999999998E-2</v>
      </c>
      <c r="BZ138" s="501">
        <v>3.6499999999999998E-2</v>
      </c>
      <c r="CA138" s="501">
        <v>3.6499999999999998E-2</v>
      </c>
      <c r="CB138" s="501">
        <v>3.6499999999999998E-2</v>
      </c>
      <c r="CC138" s="501">
        <v>3.6499999999999998E-2</v>
      </c>
      <c r="CD138" s="501">
        <v>3.6499999999999998E-2</v>
      </c>
      <c r="CE138" s="501">
        <v>3.6499999999999998E-2</v>
      </c>
      <c r="CF138" s="501">
        <v>3.6499999999999998E-2</v>
      </c>
      <c r="CG138" s="501">
        <v>3.6499999999999998E-2</v>
      </c>
      <c r="CH138" s="501">
        <v>3.6499999999999998E-2</v>
      </c>
      <c r="CI138" s="501">
        <v>3.6499999999999998E-2</v>
      </c>
      <c r="CJ138" s="501">
        <v>3.6499999999999998E-2</v>
      </c>
      <c r="CK138" s="501">
        <v>3.6499999999999998E-2</v>
      </c>
      <c r="CL138" s="501">
        <v>3.6499999999999998E-2</v>
      </c>
      <c r="CM138" s="501">
        <v>3.6499999999999998E-2</v>
      </c>
      <c r="CN138" s="501">
        <v>3.6499999999999998E-2</v>
      </c>
      <c r="CO138" s="501">
        <v>3.6499999999999998E-2</v>
      </c>
      <c r="CP138" s="501">
        <v>3.6499999999999998E-2</v>
      </c>
      <c r="CQ138" s="501">
        <v>3.6499999999999998E-2</v>
      </c>
      <c r="CR138" s="501">
        <v>3.6499999999999998E-2</v>
      </c>
      <c r="CS138" s="501">
        <v>3.6499999999999998E-2</v>
      </c>
      <c r="CT138" s="501">
        <v>3.6499999999999998E-2</v>
      </c>
      <c r="CU138" s="501">
        <v>3.6499999999999998E-2</v>
      </c>
      <c r="CV138" s="501">
        <v>3.6499999999999998E-2</v>
      </c>
      <c r="CW138" s="501">
        <v>3.6499999999999998E-2</v>
      </c>
      <c r="CX138" s="501">
        <v>3.6499999999999998E-2</v>
      </c>
      <c r="CY138" s="501">
        <v>3.6499999999999998E-2</v>
      </c>
      <c r="CZ138" s="501">
        <v>3.7499999999999999E-2</v>
      </c>
      <c r="DA138" s="501">
        <v>3.7499999999999999E-2</v>
      </c>
      <c r="DB138" s="501">
        <v>3.7499999999999999E-2</v>
      </c>
      <c r="DC138" s="501">
        <v>3.7499999999999999E-2</v>
      </c>
      <c r="DD138" s="501">
        <v>3.7499999999999999E-2</v>
      </c>
      <c r="DE138" s="501">
        <v>3.7499999999999999E-2</v>
      </c>
      <c r="DF138" s="501">
        <v>3.7499999999999999E-2</v>
      </c>
      <c r="DG138" s="501">
        <v>3.7499999999999999E-2</v>
      </c>
      <c r="DH138" s="501">
        <v>3.7499999999999999E-2</v>
      </c>
      <c r="DI138" s="501">
        <v>3.7499999999999999E-2</v>
      </c>
      <c r="DJ138" s="501">
        <v>3.7499999999999999E-2</v>
      </c>
      <c r="DK138" s="501">
        <v>3.7499999999999999E-2</v>
      </c>
      <c r="DL138" s="501">
        <v>3.7499999999999999E-2</v>
      </c>
      <c r="DM138" s="501">
        <v>3.7499999999999999E-2</v>
      </c>
      <c r="DN138" s="501">
        <v>3.7499999999999999E-2</v>
      </c>
      <c r="DO138" s="501">
        <v>3.7499999999999999E-2</v>
      </c>
      <c r="DP138" s="501">
        <v>3.7499999999999999E-2</v>
      </c>
      <c r="DQ138" s="501">
        <v>3.7499999999999999E-2</v>
      </c>
      <c r="DR138" s="501">
        <v>3.7499999999999999E-2</v>
      </c>
      <c r="DS138" s="501">
        <v>3.7499999999999999E-2</v>
      </c>
      <c r="DT138" s="501">
        <v>3.7499999999999999E-2</v>
      </c>
      <c r="DU138" s="501">
        <v>3.7499999999999999E-2</v>
      </c>
      <c r="DV138" s="501">
        <v>3.7499999999999999E-2</v>
      </c>
      <c r="DW138" s="501">
        <v>0.04</v>
      </c>
      <c r="DX138" s="501">
        <v>0.04</v>
      </c>
      <c r="DY138" s="501">
        <v>0.04</v>
      </c>
      <c r="DZ138" s="501">
        <v>0.04</v>
      </c>
      <c r="EA138" s="501">
        <v>0.04</v>
      </c>
      <c r="EB138" s="501">
        <v>0.04</v>
      </c>
      <c r="EC138" s="501">
        <v>0.04</v>
      </c>
      <c r="ED138" s="501">
        <v>0.04</v>
      </c>
      <c r="EE138" s="501">
        <v>0.04</v>
      </c>
      <c r="EF138" s="501">
        <v>0.04</v>
      </c>
      <c r="EG138" s="501">
        <v>0.04</v>
      </c>
      <c r="EH138" s="501">
        <v>0.04</v>
      </c>
      <c r="EI138" s="501">
        <v>0.04</v>
      </c>
      <c r="EJ138" s="501">
        <v>0.04</v>
      </c>
      <c r="EK138" s="501">
        <v>0.04</v>
      </c>
      <c r="EL138" s="501">
        <v>0.04</v>
      </c>
      <c r="EM138" s="501">
        <v>0.04</v>
      </c>
      <c r="EN138" s="501">
        <v>0.04</v>
      </c>
      <c r="EO138" s="501">
        <v>0.04</v>
      </c>
      <c r="EP138" s="501">
        <v>0.04</v>
      </c>
      <c r="EQ138" s="501">
        <v>0.04</v>
      </c>
      <c r="ER138" s="501">
        <v>0.04</v>
      </c>
      <c r="ES138" s="501">
        <v>0.04</v>
      </c>
      <c r="ET138" s="501">
        <v>0.04</v>
      </c>
      <c r="EU138" s="501">
        <v>0.04</v>
      </c>
      <c r="EV138" s="501">
        <v>0.04</v>
      </c>
      <c r="EW138" s="501">
        <v>0.04</v>
      </c>
      <c r="EX138" s="501">
        <v>0.04</v>
      </c>
      <c r="EY138" s="501">
        <v>0.04</v>
      </c>
      <c r="EZ138" s="501">
        <v>0.04</v>
      </c>
      <c r="FA138" s="501">
        <v>0.04</v>
      </c>
      <c r="FB138" s="501">
        <v>0.04</v>
      </c>
      <c r="FC138" s="501">
        <v>0.04</v>
      </c>
      <c r="FD138" s="501">
        <v>0.04</v>
      </c>
      <c r="FE138" s="501">
        <v>0.04</v>
      </c>
      <c r="FF138" s="501">
        <v>0.04</v>
      </c>
      <c r="FG138" s="501">
        <v>0.04</v>
      </c>
      <c r="FH138" s="501">
        <v>0.04</v>
      </c>
      <c r="FI138" s="501">
        <v>0.04</v>
      </c>
      <c r="FJ138" s="501">
        <v>0.04</v>
      </c>
      <c r="FK138" s="501">
        <v>0.04</v>
      </c>
      <c r="FL138" s="501">
        <v>0.04</v>
      </c>
      <c r="FM138" s="501">
        <v>0.04</v>
      </c>
      <c r="FN138" s="501">
        <v>0.04</v>
      </c>
      <c r="FO138" s="501">
        <v>0.04</v>
      </c>
      <c r="FP138" s="501">
        <v>0.04</v>
      </c>
      <c r="FQ138" s="501">
        <v>0.04</v>
      </c>
      <c r="FR138" s="501">
        <v>0.04</v>
      </c>
      <c r="FS138" s="501">
        <v>0.04</v>
      </c>
      <c r="FT138" s="501">
        <v>0.04</v>
      </c>
      <c r="FU138" s="501">
        <v>0.04</v>
      </c>
      <c r="FV138" s="501">
        <v>0.04</v>
      </c>
      <c r="FW138" s="501">
        <v>0.04</v>
      </c>
      <c r="FX138" s="501">
        <v>0.04</v>
      </c>
      <c r="FY138" s="501">
        <v>0.04</v>
      </c>
      <c r="FZ138" s="501">
        <v>0.04</v>
      </c>
      <c r="GA138" s="501">
        <v>0.04</v>
      </c>
      <c r="GB138" s="501">
        <v>4.1500000000000002E-2</v>
      </c>
      <c r="GC138" s="501">
        <v>4.1500000000000002E-2</v>
      </c>
      <c r="GD138" s="501">
        <v>1.5E-3</v>
      </c>
      <c r="GE138" s="501">
        <v>1.5E-3</v>
      </c>
      <c r="GF138" s="501">
        <v>1.5E-3</v>
      </c>
      <c r="GG138" s="501">
        <v>1.5E-3</v>
      </c>
      <c r="GH138" s="501">
        <v>1.5E-3</v>
      </c>
      <c r="GI138" s="501">
        <v>1.5E-3</v>
      </c>
      <c r="GJ138" s="501">
        <v>1.5E-3</v>
      </c>
      <c r="GK138" s="501">
        <v>1.5E-3</v>
      </c>
      <c r="GL138" s="501">
        <v>1.5E-3</v>
      </c>
      <c r="GM138" s="501">
        <v>1.5E-3</v>
      </c>
      <c r="GN138" s="501">
        <v>1.5E-3</v>
      </c>
      <c r="GO138" s="501">
        <v>1.5E-3</v>
      </c>
      <c r="GP138" s="501">
        <v>1.5E-3</v>
      </c>
      <c r="GQ138" s="501">
        <v>1.5E-3</v>
      </c>
      <c r="GR138" s="501">
        <v>1.5E-3</v>
      </c>
      <c r="GS138" s="501">
        <v>1.5E-3</v>
      </c>
      <c r="GT138" s="501">
        <v>1.5E-3</v>
      </c>
      <c r="GU138" s="501">
        <v>1.5E-3</v>
      </c>
      <c r="GV138" s="501">
        <v>1.5E-3</v>
      </c>
      <c r="GW138" s="501">
        <v>1.5E-3</v>
      </c>
      <c r="GX138" s="501">
        <v>1.5E-3</v>
      </c>
      <c r="GY138" s="501">
        <v>1.5E-3</v>
      </c>
      <c r="GZ138" s="501">
        <v>1.5E-3</v>
      </c>
      <c r="HA138" s="501">
        <v>1.5E-3</v>
      </c>
      <c r="HB138" s="501">
        <v>1.5E-3</v>
      </c>
      <c r="HC138" s="501">
        <v>1.5E-3</v>
      </c>
      <c r="HD138" s="501">
        <v>1.5E-3</v>
      </c>
      <c r="HE138" s="501">
        <v>1.5E-3</v>
      </c>
      <c r="HF138" s="501">
        <v>1.5E-3</v>
      </c>
      <c r="HG138" s="501">
        <v>1.5E-3</v>
      </c>
      <c r="HH138" s="501">
        <v>1.5E-3</v>
      </c>
      <c r="HI138" s="501">
        <v>1.5E-3</v>
      </c>
      <c r="HJ138" s="501">
        <v>1.5E-3</v>
      </c>
      <c r="HK138" s="501">
        <v>1.5E-3</v>
      </c>
      <c r="HL138" s="501">
        <v>1.5E-3</v>
      </c>
      <c r="HM138" s="501">
        <v>1.5E-3</v>
      </c>
      <c r="HN138" s="501">
        <v>1.5E-3</v>
      </c>
      <c r="HO138" s="501">
        <v>1.5E-3</v>
      </c>
      <c r="HP138" s="473">
        <f t="shared" si="49"/>
        <v>0</v>
      </c>
      <c r="HQ138" s="1133"/>
    </row>
    <row r="139" spans="2:225">
      <c r="B139" s="1124"/>
      <c r="C139" s="730" t="s">
        <v>249</v>
      </c>
      <c r="D139" s="500">
        <v>2.75E-2</v>
      </c>
      <c r="E139" s="500">
        <v>2.75E-2</v>
      </c>
      <c r="F139" s="500">
        <v>2.75E-2</v>
      </c>
      <c r="G139" s="500">
        <v>2.75E-2</v>
      </c>
      <c r="H139" s="500">
        <v>2.75E-2</v>
      </c>
      <c r="I139" s="500">
        <v>2.75E-2</v>
      </c>
      <c r="J139" s="500">
        <v>2.75E-2</v>
      </c>
      <c r="K139" s="500">
        <v>2.75E-2</v>
      </c>
      <c r="L139" s="500">
        <v>2.75E-2</v>
      </c>
      <c r="M139" s="500">
        <v>2.75E-2</v>
      </c>
      <c r="N139" s="500">
        <v>2.75E-2</v>
      </c>
      <c r="O139" s="500">
        <v>2.75E-2</v>
      </c>
      <c r="P139" s="500">
        <v>2.75E-2</v>
      </c>
      <c r="Q139" s="500">
        <v>2.75E-2</v>
      </c>
      <c r="R139" s="500">
        <v>2.75E-2</v>
      </c>
      <c r="S139" s="500">
        <v>2.75E-2</v>
      </c>
      <c r="T139" s="500">
        <v>2.75E-2</v>
      </c>
      <c r="U139" s="500">
        <v>2.75E-2</v>
      </c>
      <c r="V139" s="500">
        <v>2.75E-2</v>
      </c>
      <c r="W139" s="500">
        <v>2.75E-2</v>
      </c>
      <c r="X139" s="500">
        <v>2.75E-2</v>
      </c>
      <c r="Y139" s="502">
        <v>2.75E-2</v>
      </c>
      <c r="Z139" s="500">
        <v>0.03</v>
      </c>
      <c r="AA139" s="500">
        <v>0.03</v>
      </c>
      <c r="AB139" s="500">
        <v>0.03</v>
      </c>
      <c r="AC139" s="500">
        <v>0.03</v>
      </c>
      <c r="AD139" s="500">
        <v>0.03</v>
      </c>
      <c r="AE139" s="500">
        <v>0.03</v>
      </c>
      <c r="AF139" s="501">
        <v>0.03</v>
      </c>
      <c r="AG139" s="501">
        <v>0.03</v>
      </c>
      <c r="AH139" s="501">
        <v>0.03</v>
      </c>
      <c r="AI139" s="501">
        <v>0.03</v>
      </c>
      <c r="AJ139" s="501">
        <v>0.03</v>
      </c>
      <c r="AK139" s="501">
        <v>0.03</v>
      </c>
      <c r="AL139" s="501">
        <v>0.03</v>
      </c>
      <c r="AM139" s="500">
        <v>0.03</v>
      </c>
      <c r="AN139" s="500">
        <v>0.03</v>
      </c>
      <c r="AO139" s="500">
        <v>0.03</v>
      </c>
      <c r="AP139" s="500">
        <v>0.03</v>
      </c>
      <c r="AQ139" s="500">
        <v>0.03</v>
      </c>
      <c r="AR139" s="500">
        <v>0.03</v>
      </c>
      <c r="AS139" s="500">
        <v>0.03</v>
      </c>
      <c r="AT139" s="500">
        <v>0.03</v>
      </c>
      <c r="AU139" s="500">
        <v>0.03</v>
      </c>
      <c r="AV139" s="502">
        <v>3.15E-2</v>
      </c>
      <c r="AW139" s="501">
        <v>3.2000000000000001E-2</v>
      </c>
      <c r="AX139" s="501">
        <v>3.2000000000000001E-2</v>
      </c>
      <c r="AY139" s="501">
        <v>3.2000000000000001E-2</v>
      </c>
      <c r="AZ139" s="501">
        <v>3.2000000000000001E-2</v>
      </c>
      <c r="BA139" s="501">
        <v>3.2000000000000001E-2</v>
      </c>
      <c r="BB139" s="501">
        <v>3.2000000000000001E-2</v>
      </c>
      <c r="BC139" s="501">
        <v>3.2000000000000001E-2</v>
      </c>
      <c r="BD139" s="501">
        <v>3.2000000000000001E-2</v>
      </c>
      <c r="BE139" s="501">
        <v>3.2000000000000001E-2</v>
      </c>
      <c r="BF139" s="501">
        <v>3.2000000000000001E-2</v>
      </c>
      <c r="BG139" s="501">
        <v>3.2000000000000001E-2</v>
      </c>
      <c r="BH139" s="501">
        <v>3.2000000000000001E-2</v>
      </c>
      <c r="BI139" s="501">
        <v>3.2000000000000001E-2</v>
      </c>
      <c r="BJ139" s="501">
        <v>3.2000000000000001E-2</v>
      </c>
      <c r="BK139" s="501">
        <v>3.2000000000000001E-2</v>
      </c>
      <c r="BL139" s="501">
        <v>3.2000000000000001E-2</v>
      </c>
      <c r="BM139" s="501">
        <v>3.2000000000000001E-2</v>
      </c>
      <c r="BN139" s="501">
        <v>3.2000000000000001E-2</v>
      </c>
      <c r="BO139" s="501">
        <v>3.2000000000000001E-2</v>
      </c>
      <c r="BP139" s="501">
        <v>3.2000000000000001E-2</v>
      </c>
      <c r="BQ139" s="501">
        <v>3.2000000000000001E-2</v>
      </c>
      <c r="BR139" s="501">
        <v>3.2000000000000001E-2</v>
      </c>
      <c r="BS139" s="501">
        <v>3.2000000000000001E-2</v>
      </c>
      <c r="BT139" s="501">
        <v>3.2000000000000001E-2</v>
      </c>
      <c r="BU139" s="501">
        <v>3.2000000000000001E-2</v>
      </c>
      <c r="BV139" s="501">
        <v>3.2000000000000001E-2</v>
      </c>
      <c r="BW139" s="501">
        <v>3.2000000000000001E-2</v>
      </c>
      <c r="BX139" s="501">
        <v>3.15E-2</v>
      </c>
      <c r="BY139" s="501">
        <v>3.15E-2</v>
      </c>
      <c r="BZ139" s="501">
        <v>3.85E-2</v>
      </c>
      <c r="CA139" s="501">
        <v>3.85E-2</v>
      </c>
      <c r="CB139" s="501">
        <v>3.85E-2</v>
      </c>
      <c r="CC139" s="501">
        <v>3.7499999999999999E-2</v>
      </c>
      <c r="CD139" s="501">
        <v>3.7499999999999999E-2</v>
      </c>
      <c r="CE139" s="501">
        <v>3.7499999999999999E-2</v>
      </c>
      <c r="CF139" s="501">
        <v>3.7499999999999999E-2</v>
      </c>
      <c r="CG139" s="501">
        <v>3.7499999999999999E-2</v>
      </c>
      <c r="CH139" s="501">
        <v>3.7499999999999999E-2</v>
      </c>
      <c r="CI139" s="501">
        <v>3.7499999999999999E-2</v>
      </c>
      <c r="CJ139" s="501">
        <v>3.7499999999999999E-2</v>
      </c>
      <c r="CK139" s="501">
        <v>3.7499999999999999E-2</v>
      </c>
      <c r="CL139" s="501">
        <v>3.7499999999999999E-2</v>
      </c>
      <c r="CM139" s="501">
        <v>3.7499999999999999E-2</v>
      </c>
      <c r="CN139" s="501">
        <v>3.7499999999999999E-2</v>
      </c>
      <c r="CO139" s="501">
        <v>3.7499999999999999E-2</v>
      </c>
      <c r="CP139" s="501">
        <v>3.7499999999999999E-2</v>
      </c>
      <c r="CQ139" s="501">
        <v>3.7499999999999999E-2</v>
      </c>
      <c r="CR139" s="501">
        <v>3.7499999999999999E-2</v>
      </c>
      <c r="CS139" s="501">
        <v>3.7499999999999999E-2</v>
      </c>
      <c r="CT139" s="501">
        <v>3.7499999999999999E-2</v>
      </c>
      <c r="CU139" s="501">
        <v>3.7499999999999999E-2</v>
      </c>
      <c r="CV139" s="501">
        <v>3.7499999999999999E-2</v>
      </c>
      <c r="CW139" s="501">
        <v>3.7499999999999999E-2</v>
      </c>
      <c r="CX139" s="501">
        <v>3.7499999999999999E-2</v>
      </c>
      <c r="CY139" s="501">
        <v>3.7499999999999999E-2</v>
      </c>
      <c r="CZ139" s="501">
        <v>3.85E-2</v>
      </c>
      <c r="DA139" s="501">
        <v>3.85E-2</v>
      </c>
      <c r="DB139" s="501">
        <v>3.85E-2</v>
      </c>
      <c r="DC139" s="501">
        <v>3.85E-2</v>
      </c>
      <c r="DD139" s="501">
        <v>3.85E-2</v>
      </c>
      <c r="DE139" s="501">
        <v>3.85E-2</v>
      </c>
      <c r="DF139" s="501">
        <v>3.85E-2</v>
      </c>
      <c r="DG139" s="501">
        <v>3.85E-2</v>
      </c>
      <c r="DH139" s="501">
        <v>3.85E-2</v>
      </c>
      <c r="DI139" s="501">
        <v>3.85E-2</v>
      </c>
      <c r="DJ139" s="501">
        <v>3.85E-2</v>
      </c>
      <c r="DK139" s="501">
        <v>3.85E-2</v>
      </c>
      <c r="DL139" s="501">
        <v>3.85E-2</v>
      </c>
      <c r="DM139" s="501">
        <v>3.85E-2</v>
      </c>
      <c r="DN139" s="501">
        <v>3.85E-2</v>
      </c>
      <c r="DO139" s="501">
        <v>3.85E-2</v>
      </c>
      <c r="DP139" s="501">
        <v>3.85E-2</v>
      </c>
      <c r="DQ139" s="501">
        <v>3.85E-2</v>
      </c>
      <c r="DR139" s="501">
        <v>3.85E-2</v>
      </c>
      <c r="DS139" s="501">
        <v>3.85E-2</v>
      </c>
      <c r="DT139" s="501">
        <v>3.85E-2</v>
      </c>
      <c r="DU139" s="501">
        <v>3.85E-2</v>
      </c>
      <c r="DV139" s="501">
        <v>3.85E-2</v>
      </c>
      <c r="DW139" s="501">
        <v>4.1000000000000002E-2</v>
      </c>
      <c r="DX139" s="501">
        <v>4.1000000000000002E-2</v>
      </c>
      <c r="DY139" s="501">
        <v>4.1000000000000002E-2</v>
      </c>
      <c r="DZ139" s="501">
        <v>4.1000000000000002E-2</v>
      </c>
      <c r="EA139" s="501">
        <v>4.1000000000000002E-2</v>
      </c>
      <c r="EB139" s="501">
        <v>4.1000000000000002E-2</v>
      </c>
      <c r="EC139" s="501">
        <v>4.1000000000000002E-2</v>
      </c>
      <c r="ED139" s="501">
        <v>4.1000000000000002E-2</v>
      </c>
      <c r="EE139" s="501">
        <v>4.1000000000000002E-2</v>
      </c>
      <c r="EF139" s="501">
        <v>4.1000000000000002E-2</v>
      </c>
      <c r="EG139" s="501">
        <v>4.1000000000000002E-2</v>
      </c>
      <c r="EH139" s="501">
        <v>4.1000000000000002E-2</v>
      </c>
      <c r="EI139" s="501">
        <v>4.1000000000000002E-2</v>
      </c>
      <c r="EJ139" s="501">
        <v>4.1000000000000002E-2</v>
      </c>
      <c r="EK139" s="501">
        <v>4.1000000000000002E-2</v>
      </c>
      <c r="EL139" s="501">
        <v>4.1000000000000002E-2</v>
      </c>
      <c r="EM139" s="501">
        <v>4.1000000000000002E-2</v>
      </c>
      <c r="EN139" s="501">
        <v>4.1000000000000002E-2</v>
      </c>
      <c r="EO139" s="501">
        <v>4.1000000000000002E-2</v>
      </c>
      <c r="EP139" s="501">
        <v>4.1000000000000002E-2</v>
      </c>
      <c r="EQ139" s="501">
        <v>4.1000000000000002E-2</v>
      </c>
      <c r="ER139" s="501">
        <v>4.1000000000000002E-2</v>
      </c>
      <c r="ES139" s="501">
        <v>4.1000000000000002E-2</v>
      </c>
      <c r="ET139" s="501">
        <v>4.1000000000000002E-2</v>
      </c>
      <c r="EU139" s="501">
        <v>4.1000000000000002E-2</v>
      </c>
      <c r="EV139" s="501">
        <v>4.1000000000000002E-2</v>
      </c>
      <c r="EW139" s="501">
        <v>4.1000000000000002E-2</v>
      </c>
      <c r="EX139" s="501">
        <v>4.1000000000000002E-2</v>
      </c>
      <c r="EY139" s="501">
        <v>4.1000000000000002E-2</v>
      </c>
      <c r="EZ139" s="501">
        <v>4.1000000000000002E-2</v>
      </c>
      <c r="FA139" s="501">
        <v>4.1000000000000002E-2</v>
      </c>
      <c r="FB139" s="501">
        <v>4.1000000000000002E-2</v>
      </c>
      <c r="FC139" s="501">
        <v>4.1000000000000002E-2</v>
      </c>
      <c r="FD139" s="501">
        <v>4.1000000000000002E-2</v>
      </c>
      <c r="FE139" s="501">
        <v>4.1000000000000002E-2</v>
      </c>
      <c r="FF139" s="501">
        <v>4.1000000000000002E-2</v>
      </c>
      <c r="FG139" s="501">
        <v>4.1000000000000002E-2</v>
      </c>
      <c r="FH139" s="501">
        <v>4.1000000000000002E-2</v>
      </c>
      <c r="FI139" s="501">
        <v>4.1000000000000002E-2</v>
      </c>
      <c r="FJ139" s="501">
        <v>4.1000000000000002E-2</v>
      </c>
      <c r="FK139" s="501">
        <v>4.1000000000000002E-2</v>
      </c>
      <c r="FL139" s="501">
        <v>4.1000000000000002E-2</v>
      </c>
      <c r="FM139" s="501">
        <v>4.1000000000000002E-2</v>
      </c>
      <c r="FN139" s="501">
        <v>4.1000000000000002E-2</v>
      </c>
      <c r="FO139" s="501">
        <v>4.1000000000000002E-2</v>
      </c>
      <c r="FP139" s="501">
        <v>4.1000000000000002E-2</v>
      </c>
      <c r="FQ139" s="501">
        <v>4.1000000000000002E-2</v>
      </c>
      <c r="FR139" s="501">
        <v>4.1000000000000002E-2</v>
      </c>
      <c r="FS139" s="501">
        <v>4.1000000000000002E-2</v>
      </c>
      <c r="FT139" s="501">
        <v>4.1000000000000002E-2</v>
      </c>
      <c r="FU139" s="501">
        <v>4.1000000000000002E-2</v>
      </c>
      <c r="FV139" s="501">
        <v>4.1000000000000002E-2</v>
      </c>
      <c r="FW139" s="501">
        <v>4.1000000000000002E-2</v>
      </c>
      <c r="FX139" s="501">
        <v>4.1000000000000002E-2</v>
      </c>
      <c r="FY139" s="501">
        <v>4.1000000000000002E-2</v>
      </c>
      <c r="FZ139" s="501">
        <v>4.1000000000000002E-2</v>
      </c>
      <c r="GA139" s="501">
        <v>4.1000000000000002E-2</v>
      </c>
      <c r="GB139" s="501">
        <v>4.1500000000000002E-2</v>
      </c>
      <c r="GC139" s="501">
        <v>4.1500000000000002E-2</v>
      </c>
      <c r="GD139" s="501">
        <v>6.0000000000000001E-3</v>
      </c>
      <c r="GE139" s="501">
        <v>6.0000000000000001E-3</v>
      </c>
      <c r="GF139" s="501">
        <v>6.0000000000000001E-3</v>
      </c>
      <c r="GG139" s="501">
        <v>6.0000000000000001E-3</v>
      </c>
      <c r="GH139" s="501">
        <v>6.0000000000000001E-3</v>
      </c>
      <c r="GI139" s="501">
        <v>6.0000000000000001E-3</v>
      </c>
      <c r="GJ139" s="501">
        <v>6.0000000000000001E-3</v>
      </c>
      <c r="GK139" s="501">
        <v>6.0000000000000001E-3</v>
      </c>
      <c r="GL139" s="501">
        <v>6.0000000000000001E-3</v>
      </c>
      <c r="GM139" s="501">
        <v>6.0000000000000001E-3</v>
      </c>
      <c r="GN139" s="501">
        <v>6.0000000000000001E-3</v>
      </c>
      <c r="GO139" s="501">
        <v>6.0000000000000001E-3</v>
      </c>
      <c r="GP139" s="501">
        <v>6.0000000000000001E-3</v>
      </c>
      <c r="GQ139" s="501">
        <v>6.0000000000000001E-3</v>
      </c>
      <c r="GR139" s="501">
        <v>6.0000000000000001E-3</v>
      </c>
      <c r="GS139" s="501">
        <v>6.0000000000000001E-3</v>
      </c>
      <c r="GT139" s="501">
        <v>6.0000000000000001E-3</v>
      </c>
      <c r="GU139" s="501">
        <v>6.0000000000000001E-3</v>
      </c>
      <c r="GV139" s="501">
        <v>6.0000000000000001E-3</v>
      </c>
      <c r="GW139" s="501">
        <v>6.0000000000000001E-3</v>
      </c>
      <c r="GX139" s="501">
        <v>6.0000000000000001E-3</v>
      </c>
      <c r="GY139" s="501">
        <v>6.0000000000000001E-3</v>
      </c>
      <c r="GZ139" s="501">
        <v>6.0000000000000001E-3</v>
      </c>
      <c r="HA139" s="501">
        <v>6.0000000000000001E-3</v>
      </c>
      <c r="HB139" s="501">
        <v>6.0000000000000001E-3</v>
      </c>
      <c r="HC139" s="501">
        <v>6.0000000000000001E-3</v>
      </c>
      <c r="HD139" s="501">
        <v>6.0000000000000001E-3</v>
      </c>
      <c r="HE139" s="501">
        <v>6.0000000000000001E-3</v>
      </c>
      <c r="HF139" s="501">
        <v>6.0000000000000001E-3</v>
      </c>
      <c r="HG139" s="501">
        <v>6.0000000000000001E-3</v>
      </c>
      <c r="HH139" s="501">
        <v>6.0000000000000001E-3</v>
      </c>
      <c r="HI139" s="501">
        <v>6.0000000000000001E-3</v>
      </c>
      <c r="HJ139" s="501">
        <v>6.0000000000000001E-3</v>
      </c>
      <c r="HK139" s="501">
        <v>6.0000000000000001E-3</v>
      </c>
      <c r="HL139" s="501">
        <v>6.0000000000000001E-3</v>
      </c>
      <c r="HM139" s="501">
        <v>6.0000000000000001E-3</v>
      </c>
      <c r="HN139" s="501">
        <v>6.0000000000000001E-3</v>
      </c>
      <c r="HO139" s="501">
        <v>6.0000000000000001E-3</v>
      </c>
      <c r="HP139" s="473">
        <f t="shared" si="49"/>
        <v>0</v>
      </c>
      <c r="HQ139" s="1133"/>
    </row>
    <row r="140" spans="2:225">
      <c r="B140" s="1124"/>
      <c r="C140" s="730" t="s">
        <v>248</v>
      </c>
      <c r="D140" s="500">
        <v>2.75E-2</v>
      </c>
      <c r="E140" s="500">
        <v>2.75E-2</v>
      </c>
      <c r="F140" s="500">
        <v>2.75E-2</v>
      </c>
      <c r="G140" s="500">
        <v>2.75E-2</v>
      </c>
      <c r="H140" s="500">
        <v>2.75E-2</v>
      </c>
      <c r="I140" s="500">
        <v>2.75E-2</v>
      </c>
      <c r="J140" s="500">
        <v>2.75E-2</v>
      </c>
      <c r="K140" s="500">
        <v>2.75E-2</v>
      </c>
      <c r="L140" s="500">
        <v>2.75E-2</v>
      </c>
      <c r="M140" s="500">
        <v>2.75E-2</v>
      </c>
      <c r="N140" s="500">
        <v>2.75E-2</v>
      </c>
      <c r="O140" s="500">
        <v>2.75E-2</v>
      </c>
      <c r="P140" s="500">
        <v>2.75E-2</v>
      </c>
      <c r="Q140" s="500">
        <v>2.75E-2</v>
      </c>
      <c r="R140" s="500">
        <v>2.75E-2</v>
      </c>
      <c r="S140" s="500">
        <v>2.75E-2</v>
      </c>
      <c r="T140" s="500">
        <v>2.75E-2</v>
      </c>
      <c r="U140" s="500">
        <v>2.75E-2</v>
      </c>
      <c r="V140" s="500">
        <v>2.75E-2</v>
      </c>
      <c r="W140" s="500">
        <v>2.75E-2</v>
      </c>
      <c r="X140" s="500">
        <v>2.75E-2</v>
      </c>
      <c r="Y140" s="502">
        <v>2.75E-2</v>
      </c>
      <c r="Z140" s="500">
        <v>0.03</v>
      </c>
      <c r="AA140" s="500">
        <v>0.03</v>
      </c>
      <c r="AB140" s="500">
        <v>0.03</v>
      </c>
      <c r="AC140" s="500">
        <v>0.03</v>
      </c>
      <c r="AD140" s="500">
        <v>0.03</v>
      </c>
      <c r="AE140" s="500">
        <v>0.03</v>
      </c>
      <c r="AF140" s="501">
        <v>0.03</v>
      </c>
      <c r="AG140" s="501">
        <v>0.03</v>
      </c>
      <c r="AH140" s="501">
        <v>0.03</v>
      </c>
      <c r="AI140" s="501">
        <v>0.03</v>
      </c>
      <c r="AJ140" s="501">
        <v>0.03</v>
      </c>
      <c r="AK140" s="501">
        <v>0.03</v>
      </c>
      <c r="AL140" s="501">
        <v>0.03</v>
      </c>
      <c r="AM140" s="500">
        <v>0.03</v>
      </c>
      <c r="AN140" s="500">
        <v>0.03</v>
      </c>
      <c r="AO140" s="500">
        <v>0.03</v>
      </c>
      <c r="AP140" s="500">
        <v>0.03</v>
      </c>
      <c r="AQ140" s="500">
        <v>0.03</v>
      </c>
      <c r="AR140" s="500">
        <v>0.03</v>
      </c>
      <c r="AS140" s="500">
        <v>0.03</v>
      </c>
      <c r="AT140" s="500">
        <v>0.03</v>
      </c>
      <c r="AU140" s="500">
        <v>0.03</v>
      </c>
      <c r="AV140" s="502">
        <v>3.15E-2</v>
      </c>
      <c r="AW140" s="501">
        <v>3.2000000000000001E-2</v>
      </c>
      <c r="AX140" s="501">
        <v>3.2000000000000001E-2</v>
      </c>
      <c r="AY140" s="501">
        <v>3.2000000000000001E-2</v>
      </c>
      <c r="AZ140" s="501">
        <v>3.2000000000000001E-2</v>
      </c>
      <c r="BA140" s="501">
        <v>3.2000000000000001E-2</v>
      </c>
      <c r="BB140" s="501">
        <v>3.2000000000000001E-2</v>
      </c>
      <c r="BC140" s="501">
        <v>3.2000000000000001E-2</v>
      </c>
      <c r="BD140" s="501">
        <v>3.2000000000000001E-2</v>
      </c>
      <c r="BE140" s="501">
        <v>3.2000000000000001E-2</v>
      </c>
      <c r="BF140" s="501">
        <v>3.2000000000000001E-2</v>
      </c>
      <c r="BG140" s="501">
        <v>3.2000000000000001E-2</v>
      </c>
      <c r="BH140" s="501">
        <v>3.2000000000000001E-2</v>
      </c>
      <c r="BI140" s="501">
        <v>3.2000000000000001E-2</v>
      </c>
      <c r="BJ140" s="501">
        <v>3.2000000000000001E-2</v>
      </c>
      <c r="BK140" s="501">
        <v>3.2000000000000001E-2</v>
      </c>
      <c r="BL140" s="501">
        <v>3.2000000000000001E-2</v>
      </c>
      <c r="BM140" s="501">
        <v>3.2000000000000001E-2</v>
      </c>
      <c r="BN140" s="501">
        <v>3.2000000000000001E-2</v>
      </c>
      <c r="BO140" s="501">
        <v>3.2000000000000001E-2</v>
      </c>
      <c r="BP140" s="501">
        <v>3.2000000000000001E-2</v>
      </c>
      <c r="BQ140" s="501">
        <v>3.2000000000000001E-2</v>
      </c>
      <c r="BR140" s="501">
        <v>3.2000000000000001E-2</v>
      </c>
      <c r="BS140" s="501">
        <v>3.2000000000000001E-2</v>
      </c>
      <c r="BT140" s="501">
        <v>3.2000000000000001E-2</v>
      </c>
      <c r="BU140" s="501">
        <v>3.2000000000000001E-2</v>
      </c>
      <c r="BV140" s="501">
        <v>3.2000000000000001E-2</v>
      </c>
      <c r="BW140" s="501">
        <v>3.2000000000000001E-2</v>
      </c>
      <c r="BX140" s="501">
        <v>3.15E-2</v>
      </c>
      <c r="BY140" s="501">
        <v>3.15E-2</v>
      </c>
      <c r="BZ140" s="501">
        <v>3.85E-2</v>
      </c>
      <c r="CA140" s="501">
        <v>3.85E-2</v>
      </c>
      <c r="CB140" s="501">
        <v>3.85E-2</v>
      </c>
      <c r="CC140" s="501">
        <v>3.85E-2</v>
      </c>
      <c r="CD140" s="501">
        <v>3.85E-2</v>
      </c>
      <c r="CE140" s="501">
        <v>3.85E-2</v>
      </c>
      <c r="CF140" s="501">
        <v>3.85E-2</v>
      </c>
      <c r="CG140" s="501">
        <v>3.85E-2</v>
      </c>
      <c r="CH140" s="501">
        <v>3.85E-2</v>
      </c>
      <c r="CI140" s="501">
        <v>3.85E-2</v>
      </c>
      <c r="CJ140" s="501">
        <v>3.85E-2</v>
      </c>
      <c r="CK140" s="501">
        <v>3.85E-2</v>
      </c>
      <c r="CL140" s="501">
        <v>3.85E-2</v>
      </c>
      <c r="CM140" s="501">
        <v>3.85E-2</v>
      </c>
      <c r="CN140" s="501">
        <v>3.85E-2</v>
      </c>
      <c r="CO140" s="501">
        <v>3.85E-2</v>
      </c>
      <c r="CP140" s="501">
        <v>3.85E-2</v>
      </c>
      <c r="CQ140" s="501">
        <v>3.85E-2</v>
      </c>
      <c r="CR140" s="501">
        <v>3.85E-2</v>
      </c>
      <c r="CS140" s="501">
        <v>3.85E-2</v>
      </c>
      <c r="CT140" s="501">
        <v>3.85E-2</v>
      </c>
      <c r="CU140" s="501">
        <v>3.85E-2</v>
      </c>
      <c r="CV140" s="501">
        <v>3.85E-2</v>
      </c>
      <c r="CW140" s="501">
        <v>3.85E-2</v>
      </c>
      <c r="CX140" s="501">
        <v>3.85E-2</v>
      </c>
      <c r="CY140" s="501">
        <v>3.85E-2</v>
      </c>
      <c r="CZ140" s="501">
        <v>3.95E-2</v>
      </c>
      <c r="DA140" s="501">
        <v>3.95E-2</v>
      </c>
      <c r="DB140" s="501">
        <v>3.95E-2</v>
      </c>
      <c r="DC140" s="501">
        <v>3.95E-2</v>
      </c>
      <c r="DD140" s="501">
        <v>3.95E-2</v>
      </c>
      <c r="DE140" s="501">
        <v>3.95E-2</v>
      </c>
      <c r="DF140" s="501">
        <v>3.95E-2</v>
      </c>
      <c r="DG140" s="501">
        <v>3.95E-2</v>
      </c>
      <c r="DH140" s="501">
        <v>3.95E-2</v>
      </c>
      <c r="DI140" s="501">
        <v>3.95E-2</v>
      </c>
      <c r="DJ140" s="501">
        <v>3.95E-2</v>
      </c>
      <c r="DK140" s="501">
        <v>3.95E-2</v>
      </c>
      <c r="DL140" s="501">
        <v>3.95E-2</v>
      </c>
      <c r="DM140" s="501">
        <v>3.95E-2</v>
      </c>
      <c r="DN140" s="501">
        <v>3.95E-2</v>
      </c>
      <c r="DO140" s="501">
        <v>3.95E-2</v>
      </c>
      <c r="DP140" s="501">
        <v>3.95E-2</v>
      </c>
      <c r="DQ140" s="501">
        <v>3.95E-2</v>
      </c>
      <c r="DR140" s="501">
        <v>3.95E-2</v>
      </c>
      <c r="DS140" s="501">
        <v>3.95E-2</v>
      </c>
      <c r="DT140" s="501">
        <v>3.95E-2</v>
      </c>
      <c r="DU140" s="501">
        <v>3.95E-2</v>
      </c>
      <c r="DV140" s="501">
        <v>3.95E-2</v>
      </c>
      <c r="DW140" s="501">
        <v>4.2000000000000003E-2</v>
      </c>
      <c r="DX140" s="501">
        <v>4.2000000000000003E-2</v>
      </c>
      <c r="DY140" s="501">
        <v>4.2000000000000003E-2</v>
      </c>
      <c r="DZ140" s="501">
        <v>4.2000000000000003E-2</v>
      </c>
      <c r="EA140" s="501">
        <v>4.2000000000000003E-2</v>
      </c>
      <c r="EB140" s="501">
        <v>4.2000000000000003E-2</v>
      </c>
      <c r="EC140" s="501">
        <v>4.2000000000000003E-2</v>
      </c>
      <c r="ED140" s="501">
        <v>4.2000000000000003E-2</v>
      </c>
      <c r="EE140" s="501">
        <v>4.2000000000000003E-2</v>
      </c>
      <c r="EF140" s="501">
        <v>4.2000000000000003E-2</v>
      </c>
      <c r="EG140" s="501">
        <v>4.2000000000000003E-2</v>
      </c>
      <c r="EH140" s="501">
        <v>4.2000000000000003E-2</v>
      </c>
      <c r="EI140" s="501">
        <v>4.2000000000000003E-2</v>
      </c>
      <c r="EJ140" s="501">
        <v>4.2000000000000003E-2</v>
      </c>
      <c r="EK140" s="501">
        <v>4.2000000000000003E-2</v>
      </c>
      <c r="EL140" s="501">
        <v>4.2000000000000003E-2</v>
      </c>
      <c r="EM140" s="501">
        <v>4.2000000000000003E-2</v>
      </c>
      <c r="EN140" s="501">
        <v>4.2000000000000003E-2</v>
      </c>
      <c r="EO140" s="501">
        <v>4.2000000000000003E-2</v>
      </c>
      <c r="EP140" s="501">
        <v>4.2000000000000003E-2</v>
      </c>
      <c r="EQ140" s="501">
        <v>4.2000000000000003E-2</v>
      </c>
      <c r="ER140" s="501">
        <v>4.2000000000000003E-2</v>
      </c>
      <c r="ES140" s="501">
        <v>4.2000000000000003E-2</v>
      </c>
      <c r="ET140" s="501">
        <v>4.2000000000000003E-2</v>
      </c>
      <c r="EU140" s="501">
        <v>4.2000000000000003E-2</v>
      </c>
      <c r="EV140" s="501">
        <v>4.2000000000000003E-2</v>
      </c>
      <c r="EW140" s="501">
        <v>4.2000000000000003E-2</v>
      </c>
      <c r="EX140" s="501">
        <v>4.2000000000000003E-2</v>
      </c>
      <c r="EY140" s="501">
        <v>4.2000000000000003E-2</v>
      </c>
      <c r="EZ140" s="501">
        <v>4.2000000000000003E-2</v>
      </c>
      <c r="FA140" s="501">
        <v>4.2000000000000003E-2</v>
      </c>
      <c r="FB140" s="501">
        <v>4.2000000000000003E-2</v>
      </c>
      <c r="FC140" s="501">
        <v>4.2000000000000003E-2</v>
      </c>
      <c r="FD140" s="501">
        <v>4.2000000000000003E-2</v>
      </c>
      <c r="FE140" s="501">
        <v>4.2000000000000003E-2</v>
      </c>
      <c r="FF140" s="501">
        <v>4.2000000000000003E-2</v>
      </c>
      <c r="FG140" s="501">
        <v>4.2000000000000003E-2</v>
      </c>
      <c r="FH140" s="501">
        <v>4.2000000000000003E-2</v>
      </c>
      <c r="FI140" s="501">
        <v>4.2000000000000003E-2</v>
      </c>
      <c r="FJ140" s="501">
        <v>4.2000000000000003E-2</v>
      </c>
      <c r="FK140" s="501">
        <v>4.2000000000000003E-2</v>
      </c>
      <c r="FL140" s="501">
        <v>4.2000000000000003E-2</v>
      </c>
      <c r="FM140" s="501">
        <v>4.2000000000000003E-2</v>
      </c>
      <c r="FN140" s="501">
        <v>4.2000000000000003E-2</v>
      </c>
      <c r="FO140" s="501">
        <v>4.2000000000000003E-2</v>
      </c>
      <c r="FP140" s="501">
        <v>4.2000000000000003E-2</v>
      </c>
      <c r="FQ140" s="501">
        <v>4.2000000000000003E-2</v>
      </c>
      <c r="FR140" s="501">
        <v>4.2000000000000003E-2</v>
      </c>
      <c r="FS140" s="501">
        <v>4.2000000000000003E-2</v>
      </c>
      <c r="FT140" s="501">
        <v>4.2000000000000003E-2</v>
      </c>
      <c r="FU140" s="501">
        <v>4.2000000000000003E-2</v>
      </c>
      <c r="FV140" s="501">
        <v>4.2000000000000003E-2</v>
      </c>
      <c r="FW140" s="501">
        <v>4.2000000000000003E-2</v>
      </c>
      <c r="FX140" s="501">
        <v>4.2000000000000003E-2</v>
      </c>
      <c r="FY140" s="501">
        <v>4.2000000000000003E-2</v>
      </c>
      <c r="FZ140" s="501">
        <v>4.2000000000000003E-2</v>
      </c>
      <c r="GA140" s="501">
        <v>4.2000000000000003E-2</v>
      </c>
      <c r="GB140" s="501">
        <v>4.2500000000000003E-2</v>
      </c>
      <c r="GC140" s="501">
        <v>4.2500000000000003E-2</v>
      </c>
      <c r="GD140" s="501">
        <v>6.4999999999999997E-3</v>
      </c>
      <c r="GE140" s="501">
        <v>6.4999999999999997E-3</v>
      </c>
      <c r="GF140" s="501">
        <v>6.4999999999999997E-3</v>
      </c>
      <c r="GG140" s="501">
        <v>6.4999999999999997E-3</v>
      </c>
      <c r="GH140" s="501">
        <v>6.4999999999999997E-3</v>
      </c>
      <c r="GI140" s="501">
        <v>6.4999999999999997E-3</v>
      </c>
      <c r="GJ140" s="501">
        <v>6.4999999999999997E-3</v>
      </c>
      <c r="GK140" s="501">
        <v>6.4999999999999997E-3</v>
      </c>
      <c r="GL140" s="501">
        <v>6.4999999999999997E-3</v>
      </c>
      <c r="GM140" s="501">
        <v>6.4999999999999997E-3</v>
      </c>
      <c r="GN140" s="501">
        <v>6.4999999999999997E-3</v>
      </c>
      <c r="GO140" s="501">
        <v>6.4999999999999997E-3</v>
      </c>
      <c r="GP140" s="501">
        <v>6.4999999999999997E-3</v>
      </c>
      <c r="GQ140" s="501">
        <v>6.4999999999999997E-3</v>
      </c>
      <c r="GR140" s="501">
        <v>6.4999999999999997E-3</v>
      </c>
      <c r="GS140" s="501">
        <v>6.4999999999999997E-3</v>
      </c>
      <c r="GT140" s="501">
        <v>6.4999999999999997E-3</v>
      </c>
      <c r="GU140" s="501">
        <v>6.4999999999999997E-3</v>
      </c>
      <c r="GV140" s="501">
        <v>6.4999999999999997E-3</v>
      </c>
      <c r="GW140" s="501">
        <v>6.4999999999999997E-3</v>
      </c>
      <c r="GX140" s="501">
        <v>6.4999999999999997E-3</v>
      </c>
      <c r="GY140" s="501">
        <v>6.4999999999999997E-3</v>
      </c>
      <c r="GZ140" s="501">
        <v>6.4999999999999997E-3</v>
      </c>
      <c r="HA140" s="501">
        <v>6.4999999999999997E-3</v>
      </c>
      <c r="HB140" s="501">
        <v>6.4999999999999997E-3</v>
      </c>
      <c r="HC140" s="501">
        <v>6.4999999999999997E-3</v>
      </c>
      <c r="HD140" s="501">
        <v>6.4999999999999997E-3</v>
      </c>
      <c r="HE140" s="501">
        <v>6.4999999999999997E-3</v>
      </c>
      <c r="HF140" s="501">
        <v>6.4999999999999997E-3</v>
      </c>
      <c r="HG140" s="501">
        <v>6.4999999999999997E-3</v>
      </c>
      <c r="HH140" s="501">
        <v>6.4999999999999997E-3</v>
      </c>
      <c r="HI140" s="501">
        <v>6.4999999999999997E-3</v>
      </c>
      <c r="HJ140" s="501">
        <v>6.4999999999999997E-3</v>
      </c>
      <c r="HK140" s="501">
        <v>6.4999999999999997E-3</v>
      </c>
      <c r="HL140" s="501">
        <v>6.4999999999999997E-3</v>
      </c>
      <c r="HM140" s="501">
        <v>6.4999999999999997E-3</v>
      </c>
      <c r="HN140" s="501">
        <v>6.4999999999999997E-3</v>
      </c>
      <c r="HO140" s="501">
        <v>6.4999999999999997E-3</v>
      </c>
      <c r="HP140" s="473">
        <f t="shared" si="49"/>
        <v>0</v>
      </c>
      <c r="HQ140" s="1133"/>
    </row>
    <row r="141" spans="2:225">
      <c r="B141" s="1124"/>
      <c r="C141" s="730" t="s">
        <v>247</v>
      </c>
      <c r="D141" s="500">
        <v>2.75E-2</v>
      </c>
      <c r="E141" s="500">
        <v>2.75E-2</v>
      </c>
      <c r="F141" s="500">
        <v>2.75E-2</v>
      </c>
      <c r="G141" s="500">
        <v>2.75E-2</v>
      </c>
      <c r="H141" s="500">
        <v>2.75E-2</v>
      </c>
      <c r="I141" s="500">
        <v>2.75E-2</v>
      </c>
      <c r="J141" s="500">
        <v>2.75E-2</v>
      </c>
      <c r="K141" s="500">
        <v>2.75E-2</v>
      </c>
      <c r="L141" s="500">
        <v>2.75E-2</v>
      </c>
      <c r="M141" s="500">
        <v>2.75E-2</v>
      </c>
      <c r="N141" s="500">
        <v>2.75E-2</v>
      </c>
      <c r="O141" s="500">
        <v>2.75E-2</v>
      </c>
      <c r="P141" s="500">
        <v>2.75E-2</v>
      </c>
      <c r="Q141" s="500">
        <v>2.75E-2</v>
      </c>
      <c r="R141" s="500">
        <v>2.75E-2</v>
      </c>
      <c r="S141" s="500">
        <v>2.75E-2</v>
      </c>
      <c r="T141" s="500">
        <v>2.75E-2</v>
      </c>
      <c r="U141" s="500">
        <v>2.75E-2</v>
      </c>
      <c r="V141" s="500">
        <v>2.75E-2</v>
      </c>
      <c r="W141" s="500">
        <v>2.75E-2</v>
      </c>
      <c r="X141" s="500">
        <v>2.75E-2</v>
      </c>
      <c r="Y141" s="502">
        <v>2.75E-2</v>
      </c>
      <c r="Z141" s="500">
        <v>0.03</v>
      </c>
      <c r="AA141" s="500">
        <v>0.03</v>
      </c>
      <c r="AB141" s="500">
        <v>0.03</v>
      </c>
      <c r="AC141" s="500">
        <v>0.03</v>
      </c>
      <c r="AD141" s="500">
        <v>0.03</v>
      </c>
      <c r="AE141" s="500">
        <v>0.03</v>
      </c>
      <c r="AF141" s="501">
        <v>0.03</v>
      </c>
      <c r="AG141" s="501">
        <v>0.03</v>
      </c>
      <c r="AH141" s="501">
        <v>0.03</v>
      </c>
      <c r="AI141" s="501">
        <v>0.03</v>
      </c>
      <c r="AJ141" s="501">
        <v>0.03</v>
      </c>
      <c r="AK141" s="501">
        <v>0.03</v>
      </c>
      <c r="AL141" s="501">
        <v>0.03</v>
      </c>
      <c r="AM141" s="500">
        <v>0.03</v>
      </c>
      <c r="AN141" s="500">
        <v>0.03</v>
      </c>
      <c r="AO141" s="500">
        <v>0.03</v>
      </c>
      <c r="AP141" s="500">
        <v>0.03</v>
      </c>
      <c r="AQ141" s="500">
        <v>0.03</v>
      </c>
      <c r="AR141" s="500">
        <v>0.03</v>
      </c>
      <c r="AS141" s="500">
        <v>0.03</v>
      </c>
      <c r="AT141" s="500">
        <v>0.03</v>
      </c>
      <c r="AU141" s="500">
        <v>0.03</v>
      </c>
      <c r="AV141" s="502">
        <v>3.15E-2</v>
      </c>
      <c r="AW141" s="501">
        <v>3.2000000000000001E-2</v>
      </c>
      <c r="AX141" s="501">
        <v>3.2000000000000001E-2</v>
      </c>
      <c r="AY141" s="501">
        <v>3.2000000000000001E-2</v>
      </c>
      <c r="AZ141" s="501">
        <v>3.2000000000000001E-2</v>
      </c>
      <c r="BA141" s="501">
        <v>3.2000000000000001E-2</v>
      </c>
      <c r="BB141" s="501">
        <v>3.2000000000000001E-2</v>
      </c>
      <c r="BC141" s="501">
        <v>3.2000000000000001E-2</v>
      </c>
      <c r="BD141" s="501">
        <v>3.2000000000000001E-2</v>
      </c>
      <c r="BE141" s="501">
        <v>3.2000000000000001E-2</v>
      </c>
      <c r="BF141" s="501">
        <v>3.2000000000000001E-2</v>
      </c>
      <c r="BG141" s="501">
        <v>3.2000000000000001E-2</v>
      </c>
      <c r="BH141" s="501">
        <v>3.2000000000000001E-2</v>
      </c>
      <c r="BI141" s="501">
        <v>3.2000000000000001E-2</v>
      </c>
      <c r="BJ141" s="501">
        <v>3.2000000000000001E-2</v>
      </c>
      <c r="BK141" s="501">
        <v>3.2000000000000001E-2</v>
      </c>
      <c r="BL141" s="501">
        <v>3.2000000000000001E-2</v>
      </c>
      <c r="BM141" s="501">
        <v>3.2000000000000001E-2</v>
      </c>
      <c r="BN141" s="501">
        <v>3.2000000000000001E-2</v>
      </c>
      <c r="BO141" s="501">
        <v>3.2000000000000001E-2</v>
      </c>
      <c r="BP141" s="501">
        <v>3.2000000000000001E-2</v>
      </c>
      <c r="BQ141" s="501">
        <v>3.2000000000000001E-2</v>
      </c>
      <c r="BR141" s="501">
        <v>3.2000000000000001E-2</v>
      </c>
      <c r="BS141" s="501">
        <v>3.2000000000000001E-2</v>
      </c>
      <c r="BT141" s="501">
        <v>3.2000000000000001E-2</v>
      </c>
      <c r="BU141" s="501">
        <v>3.2000000000000001E-2</v>
      </c>
      <c r="BV141" s="501">
        <v>3.2000000000000001E-2</v>
      </c>
      <c r="BW141" s="501">
        <v>3.2000000000000001E-2</v>
      </c>
      <c r="BX141" s="501">
        <v>3.15E-2</v>
      </c>
      <c r="BY141" s="501">
        <v>3.15E-2</v>
      </c>
      <c r="BZ141" s="501">
        <v>3.85E-2</v>
      </c>
      <c r="CA141" s="501">
        <v>3.85E-2</v>
      </c>
      <c r="CB141" s="501">
        <v>3.85E-2</v>
      </c>
      <c r="CC141" s="501">
        <v>3.85E-2</v>
      </c>
      <c r="CD141" s="501">
        <v>3.85E-2</v>
      </c>
      <c r="CE141" s="501">
        <v>3.85E-2</v>
      </c>
      <c r="CF141" s="501">
        <v>3.85E-2</v>
      </c>
      <c r="CG141" s="501">
        <v>3.85E-2</v>
      </c>
      <c r="CH141" s="501">
        <v>3.85E-2</v>
      </c>
      <c r="CI141" s="501">
        <v>3.85E-2</v>
      </c>
      <c r="CJ141" s="501">
        <v>3.85E-2</v>
      </c>
      <c r="CK141" s="501">
        <v>3.85E-2</v>
      </c>
      <c r="CL141" s="501">
        <v>3.85E-2</v>
      </c>
      <c r="CM141" s="501">
        <v>3.85E-2</v>
      </c>
      <c r="CN141" s="501">
        <v>3.85E-2</v>
      </c>
      <c r="CO141" s="501">
        <v>3.85E-2</v>
      </c>
      <c r="CP141" s="501">
        <v>3.85E-2</v>
      </c>
      <c r="CQ141" s="501">
        <v>3.85E-2</v>
      </c>
      <c r="CR141" s="501">
        <v>3.85E-2</v>
      </c>
      <c r="CS141" s="501">
        <v>3.85E-2</v>
      </c>
      <c r="CT141" s="501">
        <v>3.85E-2</v>
      </c>
      <c r="CU141" s="501">
        <v>3.85E-2</v>
      </c>
      <c r="CV141" s="501">
        <v>3.85E-2</v>
      </c>
      <c r="CW141" s="501">
        <v>3.85E-2</v>
      </c>
      <c r="CX141" s="501">
        <v>3.85E-2</v>
      </c>
      <c r="CY141" s="501">
        <v>3.85E-2</v>
      </c>
      <c r="CZ141" s="501">
        <v>3.95E-2</v>
      </c>
      <c r="DA141" s="501">
        <v>3.95E-2</v>
      </c>
      <c r="DB141" s="501">
        <v>3.95E-2</v>
      </c>
      <c r="DC141" s="501">
        <v>3.95E-2</v>
      </c>
      <c r="DD141" s="501">
        <v>3.95E-2</v>
      </c>
      <c r="DE141" s="501">
        <v>3.95E-2</v>
      </c>
      <c r="DF141" s="501">
        <v>3.95E-2</v>
      </c>
      <c r="DG141" s="501">
        <v>3.95E-2</v>
      </c>
      <c r="DH141" s="501">
        <v>3.95E-2</v>
      </c>
      <c r="DI141" s="501">
        <v>3.95E-2</v>
      </c>
      <c r="DJ141" s="501">
        <v>3.95E-2</v>
      </c>
      <c r="DK141" s="501">
        <v>3.95E-2</v>
      </c>
      <c r="DL141" s="501">
        <v>3.95E-2</v>
      </c>
      <c r="DM141" s="501">
        <v>3.95E-2</v>
      </c>
      <c r="DN141" s="501">
        <v>3.95E-2</v>
      </c>
      <c r="DO141" s="501">
        <v>3.95E-2</v>
      </c>
      <c r="DP141" s="501">
        <v>3.95E-2</v>
      </c>
      <c r="DQ141" s="501">
        <v>3.95E-2</v>
      </c>
      <c r="DR141" s="501">
        <v>3.95E-2</v>
      </c>
      <c r="DS141" s="501">
        <v>3.95E-2</v>
      </c>
      <c r="DT141" s="501">
        <v>3.95E-2</v>
      </c>
      <c r="DU141" s="501">
        <v>3.95E-2</v>
      </c>
      <c r="DV141" s="501">
        <v>3.95E-2</v>
      </c>
      <c r="DW141" s="501">
        <v>4.2000000000000003E-2</v>
      </c>
      <c r="DX141" s="501">
        <v>4.2000000000000003E-2</v>
      </c>
      <c r="DY141" s="501">
        <v>4.2000000000000003E-2</v>
      </c>
      <c r="DZ141" s="501">
        <v>4.2000000000000003E-2</v>
      </c>
      <c r="EA141" s="501">
        <v>4.2000000000000003E-2</v>
      </c>
      <c r="EB141" s="501">
        <v>4.2000000000000003E-2</v>
      </c>
      <c r="EC141" s="501">
        <v>4.2000000000000003E-2</v>
      </c>
      <c r="ED141" s="501">
        <v>4.2000000000000003E-2</v>
      </c>
      <c r="EE141" s="501">
        <v>4.2000000000000003E-2</v>
      </c>
      <c r="EF141" s="501">
        <v>4.2000000000000003E-2</v>
      </c>
      <c r="EG141" s="501">
        <v>4.2000000000000003E-2</v>
      </c>
      <c r="EH141" s="501">
        <v>4.2000000000000003E-2</v>
      </c>
      <c r="EI141" s="501">
        <v>4.2000000000000003E-2</v>
      </c>
      <c r="EJ141" s="501">
        <v>4.2000000000000003E-2</v>
      </c>
      <c r="EK141" s="501">
        <v>4.2000000000000003E-2</v>
      </c>
      <c r="EL141" s="501">
        <v>4.2000000000000003E-2</v>
      </c>
      <c r="EM141" s="501">
        <v>4.2000000000000003E-2</v>
      </c>
      <c r="EN141" s="501">
        <v>4.2000000000000003E-2</v>
      </c>
      <c r="EO141" s="501">
        <v>4.2000000000000003E-2</v>
      </c>
      <c r="EP141" s="501">
        <v>4.2000000000000003E-2</v>
      </c>
      <c r="EQ141" s="501">
        <v>4.2000000000000003E-2</v>
      </c>
      <c r="ER141" s="501">
        <v>4.2000000000000003E-2</v>
      </c>
      <c r="ES141" s="501">
        <v>4.2000000000000003E-2</v>
      </c>
      <c r="ET141" s="501">
        <v>4.2000000000000003E-2</v>
      </c>
      <c r="EU141" s="501">
        <v>4.2000000000000003E-2</v>
      </c>
      <c r="EV141" s="501">
        <v>4.2000000000000003E-2</v>
      </c>
      <c r="EW141" s="501">
        <v>4.2000000000000003E-2</v>
      </c>
      <c r="EX141" s="501">
        <v>4.2000000000000003E-2</v>
      </c>
      <c r="EY141" s="501">
        <v>4.2000000000000003E-2</v>
      </c>
      <c r="EZ141" s="501">
        <v>4.2000000000000003E-2</v>
      </c>
      <c r="FA141" s="501">
        <v>4.2000000000000003E-2</v>
      </c>
      <c r="FB141" s="501">
        <v>4.2000000000000003E-2</v>
      </c>
      <c r="FC141" s="501">
        <v>4.2000000000000003E-2</v>
      </c>
      <c r="FD141" s="501">
        <v>4.2000000000000003E-2</v>
      </c>
      <c r="FE141" s="501">
        <v>4.2000000000000003E-2</v>
      </c>
      <c r="FF141" s="501">
        <v>4.2000000000000003E-2</v>
      </c>
      <c r="FG141" s="501">
        <v>4.2000000000000003E-2</v>
      </c>
      <c r="FH141" s="501">
        <v>4.2000000000000003E-2</v>
      </c>
      <c r="FI141" s="501">
        <v>4.2000000000000003E-2</v>
      </c>
      <c r="FJ141" s="501">
        <v>4.2000000000000003E-2</v>
      </c>
      <c r="FK141" s="501">
        <v>4.2000000000000003E-2</v>
      </c>
      <c r="FL141" s="501">
        <v>4.2000000000000003E-2</v>
      </c>
      <c r="FM141" s="501">
        <v>4.2000000000000003E-2</v>
      </c>
      <c r="FN141" s="501">
        <v>4.2000000000000003E-2</v>
      </c>
      <c r="FO141" s="501">
        <v>4.2000000000000003E-2</v>
      </c>
      <c r="FP141" s="501">
        <v>4.2000000000000003E-2</v>
      </c>
      <c r="FQ141" s="501">
        <v>4.2000000000000003E-2</v>
      </c>
      <c r="FR141" s="501">
        <v>4.2000000000000003E-2</v>
      </c>
      <c r="FS141" s="501">
        <v>4.2000000000000003E-2</v>
      </c>
      <c r="FT141" s="501">
        <v>4.2000000000000003E-2</v>
      </c>
      <c r="FU141" s="501">
        <v>4.2000000000000003E-2</v>
      </c>
      <c r="FV141" s="501">
        <v>4.2000000000000003E-2</v>
      </c>
      <c r="FW141" s="501">
        <v>4.2000000000000003E-2</v>
      </c>
      <c r="FX141" s="501">
        <v>4.2000000000000003E-2</v>
      </c>
      <c r="FY141" s="501">
        <v>4.2000000000000003E-2</v>
      </c>
      <c r="FZ141" s="501">
        <v>4.2000000000000003E-2</v>
      </c>
      <c r="GA141" s="501">
        <v>4.2000000000000003E-2</v>
      </c>
      <c r="GB141" s="501">
        <v>4.2500000000000003E-2</v>
      </c>
      <c r="GC141" s="501">
        <v>4.2500000000000003E-2</v>
      </c>
      <c r="GD141" s="501">
        <v>6.4999999999999997E-3</v>
      </c>
      <c r="GE141" s="501">
        <v>6.4999999999999997E-3</v>
      </c>
      <c r="GF141" s="501">
        <v>6.4999999999999997E-3</v>
      </c>
      <c r="GG141" s="501">
        <v>6.4999999999999997E-3</v>
      </c>
      <c r="GH141" s="501">
        <v>6.4999999999999997E-3</v>
      </c>
      <c r="GI141" s="501">
        <v>6.4999999999999997E-3</v>
      </c>
      <c r="GJ141" s="501">
        <v>6.4999999999999997E-3</v>
      </c>
      <c r="GK141" s="501">
        <v>6.4999999999999997E-3</v>
      </c>
      <c r="GL141" s="501">
        <v>6.4999999999999997E-3</v>
      </c>
      <c r="GM141" s="501">
        <v>6.4999999999999997E-3</v>
      </c>
      <c r="GN141" s="501">
        <v>6.4999999999999997E-3</v>
      </c>
      <c r="GO141" s="501">
        <v>6.4999999999999997E-3</v>
      </c>
      <c r="GP141" s="501">
        <v>6.4999999999999997E-3</v>
      </c>
      <c r="GQ141" s="501">
        <v>6.4999999999999997E-3</v>
      </c>
      <c r="GR141" s="501">
        <v>6.4999999999999997E-3</v>
      </c>
      <c r="GS141" s="501">
        <v>6.4999999999999997E-3</v>
      </c>
      <c r="GT141" s="501">
        <v>6.4999999999999997E-3</v>
      </c>
      <c r="GU141" s="501">
        <v>6.4999999999999997E-3</v>
      </c>
      <c r="GV141" s="501">
        <v>6.4999999999999997E-3</v>
      </c>
      <c r="GW141" s="501">
        <v>6.4999999999999997E-3</v>
      </c>
      <c r="GX141" s="501">
        <v>6.4999999999999997E-3</v>
      </c>
      <c r="GY141" s="501">
        <v>6.4999999999999997E-3</v>
      </c>
      <c r="GZ141" s="501">
        <v>6.4999999999999997E-3</v>
      </c>
      <c r="HA141" s="501">
        <v>6.4999999999999997E-3</v>
      </c>
      <c r="HB141" s="501">
        <v>6.4999999999999997E-3</v>
      </c>
      <c r="HC141" s="501">
        <v>6.4999999999999997E-3</v>
      </c>
      <c r="HD141" s="501">
        <v>6.4999999999999997E-3</v>
      </c>
      <c r="HE141" s="501">
        <v>6.4999999999999997E-3</v>
      </c>
      <c r="HF141" s="501">
        <v>6.4999999999999997E-3</v>
      </c>
      <c r="HG141" s="501">
        <v>6.4999999999999997E-3</v>
      </c>
      <c r="HH141" s="501">
        <v>6.4999999999999997E-3</v>
      </c>
      <c r="HI141" s="501">
        <v>6.4999999999999997E-3</v>
      </c>
      <c r="HJ141" s="501">
        <v>6.4999999999999997E-3</v>
      </c>
      <c r="HK141" s="501">
        <v>6.4999999999999997E-3</v>
      </c>
      <c r="HL141" s="501">
        <v>6.4999999999999997E-3</v>
      </c>
      <c r="HM141" s="501">
        <v>6.4999999999999997E-3</v>
      </c>
      <c r="HN141" s="501">
        <v>6.4999999999999997E-3</v>
      </c>
      <c r="HO141" s="501">
        <v>6.4999999999999997E-3</v>
      </c>
      <c r="HP141" s="473">
        <f t="shared" si="49"/>
        <v>0</v>
      </c>
      <c r="HQ141" s="1133"/>
    </row>
    <row r="142" spans="2:225">
      <c r="B142" s="1124"/>
      <c r="C142" s="730" t="s">
        <v>246</v>
      </c>
      <c r="D142" s="500">
        <v>2.75E-2</v>
      </c>
      <c r="E142" s="500">
        <v>2.75E-2</v>
      </c>
      <c r="F142" s="500">
        <v>2.75E-2</v>
      </c>
      <c r="G142" s="500">
        <v>2.75E-2</v>
      </c>
      <c r="H142" s="500">
        <v>2.75E-2</v>
      </c>
      <c r="I142" s="500">
        <v>2.75E-2</v>
      </c>
      <c r="J142" s="500">
        <v>2.75E-2</v>
      </c>
      <c r="K142" s="500">
        <v>2.75E-2</v>
      </c>
      <c r="L142" s="500">
        <v>2.75E-2</v>
      </c>
      <c r="M142" s="500">
        <v>2.75E-2</v>
      </c>
      <c r="N142" s="500">
        <v>2.75E-2</v>
      </c>
      <c r="O142" s="500">
        <v>2.75E-2</v>
      </c>
      <c r="P142" s="500">
        <v>2.75E-2</v>
      </c>
      <c r="Q142" s="500">
        <v>2.75E-2</v>
      </c>
      <c r="R142" s="500">
        <v>2.75E-2</v>
      </c>
      <c r="S142" s="500">
        <v>2.75E-2</v>
      </c>
      <c r="T142" s="500">
        <v>2.75E-2</v>
      </c>
      <c r="U142" s="500">
        <v>2.75E-2</v>
      </c>
      <c r="V142" s="500">
        <v>2.75E-2</v>
      </c>
      <c r="W142" s="500">
        <v>2.75E-2</v>
      </c>
      <c r="X142" s="500">
        <v>2.75E-2</v>
      </c>
      <c r="Y142" s="502">
        <v>2.75E-2</v>
      </c>
      <c r="Z142" s="500">
        <v>0.03</v>
      </c>
      <c r="AA142" s="500">
        <v>0.03</v>
      </c>
      <c r="AB142" s="500">
        <v>0.03</v>
      </c>
      <c r="AC142" s="500">
        <v>0.03</v>
      </c>
      <c r="AD142" s="500">
        <v>0.03</v>
      </c>
      <c r="AE142" s="500">
        <v>0.03</v>
      </c>
      <c r="AF142" s="501">
        <v>0.03</v>
      </c>
      <c r="AG142" s="501">
        <v>0.03</v>
      </c>
      <c r="AH142" s="501">
        <v>0.03</v>
      </c>
      <c r="AI142" s="501">
        <v>0.03</v>
      </c>
      <c r="AJ142" s="501">
        <v>0.03</v>
      </c>
      <c r="AK142" s="501">
        <v>0.03</v>
      </c>
      <c r="AL142" s="501">
        <v>0.03</v>
      </c>
      <c r="AM142" s="500">
        <v>0.03</v>
      </c>
      <c r="AN142" s="500">
        <v>0.03</v>
      </c>
      <c r="AO142" s="500">
        <v>0.03</v>
      </c>
      <c r="AP142" s="500">
        <v>0.03</v>
      </c>
      <c r="AQ142" s="500">
        <v>0.03</v>
      </c>
      <c r="AR142" s="500">
        <v>0.03</v>
      </c>
      <c r="AS142" s="500">
        <v>0.03</v>
      </c>
      <c r="AT142" s="500">
        <v>0.03</v>
      </c>
      <c r="AU142" s="500">
        <v>0.03</v>
      </c>
      <c r="AV142" s="502">
        <v>3.15E-2</v>
      </c>
      <c r="AW142" s="501">
        <v>3.2000000000000001E-2</v>
      </c>
      <c r="AX142" s="501">
        <v>3.2000000000000001E-2</v>
      </c>
      <c r="AY142" s="501">
        <v>3.2000000000000001E-2</v>
      </c>
      <c r="AZ142" s="501">
        <v>3.2000000000000001E-2</v>
      </c>
      <c r="BA142" s="501">
        <v>3.2000000000000001E-2</v>
      </c>
      <c r="BB142" s="501">
        <v>3.2000000000000001E-2</v>
      </c>
      <c r="BC142" s="501">
        <v>3.2000000000000001E-2</v>
      </c>
      <c r="BD142" s="501">
        <v>3.2000000000000001E-2</v>
      </c>
      <c r="BE142" s="501">
        <v>3.2000000000000001E-2</v>
      </c>
      <c r="BF142" s="501">
        <v>3.2000000000000001E-2</v>
      </c>
      <c r="BG142" s="501">
        <v>3.2000000000000001E-2</v>
      </c>
      <c r="BH142" s="501">
        <v>3.2000000000000001E-2</v>
      </c>
      <c r="BI142" s="501">
        <v>3.2000000000000001E-2</v>
      </c>
      <c r="BJ142" s="501">
        <v>3.2000000000000001E-2</v>
      </c>
      <c r="BK142" s="501">
        <v>3.2000000000000001E-2</v>
      </c>
      <c r="BL142" s="501">
        <v>3.2000000000000001E-2</v>
      </c>
      <c r="BM142" s="501">
        <v>3.2000000000000001E-2</v>
      </c>
      <c r="BN142" s="501">
        <v>3.2000000000000001E-2</v>
      </c>
      <c r="BO142" s="501">
        <v>3.2000000000000001E-2</v>
      </c>
      <c r="BP142" s="501">
        <v>3.2000000000000001E-2</v>
      </c>
      <c r="BQ142" s="501">
        <v>3.2000000000000001E-2</v>
      </c>
      <c r="BR142" s="501">
        <v>3.2000000000000001E-2</v>
      </c>
      <c r="BS142" s="501">
        <v>3.2000000000000001E-2</v>
      </c>
      <c r="BT142" s="501">
        <v>3.2000000000000001E-2</v>
      </c>
      <c r="BU142" s="501">
        <v>3.2000000000000001E-2</v>
      </c>
      <c r="BV142" s="501">
        <v>3.2000000000000001E-2</v>
      </c>
      <c r="BW142" s="501">
        <v>3.2000000000000001E-2</v>
      </c>
      <c r="BX142" s="501">
        <v>3.15E-2</v>
      </c>
      <c r="BY142" s="501">
        <v>3.15E-2</v>
      </c>
      <c r="BZ142" s="501">
        <v>3.85E-2</v>
      </c>
      <c r="CA142" s="501">
        <v>3.85E-2</v>
      </c>
      <c r="CB142" s="501">
        <v>3.85E-2</v>
      </c>
      <c r="CC142" s="501">
        <v>3.85E-2</v>
      </c>
      <c r="CD142" s="501">
        <v>3.85E-2</v>
      </c>
      <c r="CE142" s="501">
        <v>3.85E-2</v>
      </c>
      <c r="CF142" s="501">
        <v>3.85E-2</v>
      </c>
      <c r="CG142" s="501">
        <v>3.85E-2</v>
      </c>
      <c r="CH142" s="501">
        <v>3.85E-2</v>
      </c>
      <c r="CI142" s="501">
        <v>3.85E-2</v>
      </c>
      <c r="CJ142" s="501">
        <v>3.85E-2</v>
      </c>
      <c r="CK142" s="501">
        <v>3.85E-2</v>
      </c>
      <c r="CL142" s="501">
        <v>3.85E-2</v>
      </c>
      <c r="CM142" s="501">
        <v>3.85E-2</v>
      </c>
      <c r="CN142" s="501">
        <v>3.85E-2</v>
      </c>
      <c r="CO142" s="501">
        <v>3.85E-2</v>
      </c>
      <c r="CP142" s="501">
        <v>3.85E-2</v>
      </c>
      <c r="CQ142" s="501">
        <v>3.85E-2</v>
      </c>
      <c r="CR142" s="501">
        <v>3.85E-2</v>
      </c>
      <c r="CS142" s="501">
        <v>3.85E-2</v>
      </c>
      <c r="CT142" s="501">
        <v>3.85E-2</v>
      </c>
      <c r="CU142" s="501">
        <v>3.85E-2</v>
      </c>
      <c r="CV142" s="501">
        <v>3.85E-2</v>
      </c>
      <c r="CW142" s="501">
        <v>3.85E-2</v>
      </c>
      <c r="CX142" s="501">
        <v>3.85E-2</v>
      </c>
      <c r="CY142" s="501">
        <v>3.85E-2</v>
      </c>
      <c r="CZ142" s="501">
        <v>3.95E-2</v>
      </c>
      <c r="DA142" s="501">
        <v>3.95E-2</v>
      </c>
      <c r="DB142" s="501">
        <v>3.95E-2</v>
      </c>
      <c r="DC142" s="501">
        <v>3.95E-2</v>
      </c>
      <c r="DD142" s="501">
        <v>3.95E-2</v>
      </c>
      <c r="DE142" s="501">
        <v>3.95E-2</v>
      </c>
      <c r="DF142" s="501">
        <v>3.95E-2</v>
      </c>
      <c r="DG142" s="501">
        <v>3.95E-2</v>
      </c>
      <c r="DH142" s="501">
        <v>3.95E-2</v>
      </c>
      <c r="DI142" s="501">
        <v>3.95E-2</v>
      </c>
      <c r="DJ142" s="501">
        <v>3.95E-2</v>
      </c>
      <c r="DK142" s="501">
        <v>3.95E-2</v>
      </c>
      <c r="DL142" s="501">
        <v>3.95E-2</v>
      </c>
      <c r="DM142" s="501">
        <v>3.95E-2</v>
      </c>
      <c r="DN142" s="501">
        <v>3.95E-2</v>
      </c>
      <c r="DO142" s="501">
        <v>3.95E-2</v>
      </c>
      <c r="DP142" s="501">
        <v>3.95E-2</v>
      </c>
      <c r="DQ142" s="501">
        <v>3.95E-2</v>
      </c>
      <c r="DR142" s="501">
        <v>3.95E-2</v>
      </c>
      <c r="DS142" s="501">
        <v>3.95E-2</v>
      </c>
      <c r="DT142" s="501">
        <v>3.95E-2</v>
      </c>
      <c r="DU142" s="501">
        <v>3.95E-2</v>
      </c>
      <c r="DV142" s="501">
        <v>3.95E-2</v>
      </c>
      <c r="DW142" s="501">
        <v>4.2000000000000003E-2</v>
      </c>
      <c r="DX142" s="501">
        <v>4.2000000000000003E-2</v>
      </c>
      <c r="DY142" s="501">
        <v>4.2000000000000003E-2</v>
      </c>
      <c r="DZ142" s="501">
        <v>4.2000000000000003E-2</v>
      </c>
      <c r="EA142" s="501">
        <v>4.2000000000000003E-2</v>
      </c>
      <c r="EB142" s="501">
        <v>4.2000000000000003E-2</v>
      </c>
      <c r="EC142" s="501">
        <v>4.2000000000000003E-2</v>
      </c>
      <c r="ED142" s="501">
        <v>4.2000000000000003E-2</v>
      </c>
      <c r="EE142" s="501">
        <v>4.2000000000000003E-2</v>
      </c>
      <c r="EF142" s="501">
        <v>4.2000000000000003E-2</v>
      </c>
      <c r="EG142" s="501">
        <v>4.2000000000000003E-2</v>
      </c>
      <c r="EH142" s="501">
        <v>4.2000000000000003E-2</v>
      </c>
      <c r="EI142" s="501">
        <v>4.2000000000000003E-2</v>
      </c>
      <c r="EJ142" s="501">
        <v>4.2000000000000003E-2</v>
      </c>
      <c r="EK142" s="501">
        <v>4.2000000000000003E-2</v>
      </c>
      <c r="EL142" s="501">
        <v>4.2000000000000003E-2</v>
      </c>
      <c r="EM142" s="501">
        <v>4.2000000000000003E-2</v>
      </c>
      <c r="EN142" s="501">
        <v>4.2000000000000003E-2</v>
      </c>
      <c r="EO142" s="501">
        <v>4.2000000000000003E-2</v>
      </c>
      <c r="EP142" s="501">
        <v>4.2000000000000003E-2</v>
      </c>
      <c r="EQ142" s="501">
        <v>4.2000000000000003E-2</v>
      </c>
      <c r="ER142" s="501">
        <v>4.2000000000000003E-2</v>
      </c>
      <c r="ES142" s="501">
        <v>4.2000000000000003E-2</v>
      </c>
      <c r="ET142" s="501">
        <v>4.2000000000000003E-2</v>
      </c>
      <c r="EU142" s="501">
        <v>4.2000000000000003E-2</v>
      </c>
      <c r="EV142" s="501">
        <v>4.2000000000000003E-2</v>
      </c>
      <c r="EW142" s="501">
        <v>4.2000000000000003E-2</v>
      </c>
      <c r="EX142" s="501">
        <v>4.2000000000000003E-2</v>
      </c>
      <c r="EY142" s="501">
        <v>4.2000000000000003E-2</v>
      </c>
      <c r="EZ142" s="501">
        <v>4.2000000000000003E-2</v>
      </c>
      <c r="FA142" s="501">
        <v>4.2000000000000003E-2</v>
      </c>
      <c r="FB142" s="501">
        <v>4.2000000000000003E-2</v>
      </c>
      <c r="FC142" s="501">
        <v>4.2000000000000003E-2</v>
      </c>
      <c r="FD142" s="501">
        <v>4.2000000000000003E-2</v>
      </c>
      <c r="FE142" s="501">
        <v>4.2000000000000003E-2</v>
      </c>
      <c r="FF142" s="501">
        <v>4.2000000000000003E-2</v>
      </c>
      <c r="FG142" s="501">
        <v>4.2000000000000003E-2</v>
      </c>
      <c r="FH142" s="501">
        <v>4.2000000000000003E-2</v>
      </c>
      <c r="FI142" s="501">
        <v>4.2000000000000003E-2</v>
      </c>
      <c r="FJ142" s="501">
        <v>4.2000000000000003E-2</v>
      </c>
      <c r="FK142" s="501">
        <v>4.2000000000000003E-2</v>
      </c>
      <c r="FL142" s="501">
        <v>4.2000000000000003E-2</v>
      </c>
      <c r="FM142" s="501">
        <v>4.2000000000000003E-2</v>
      </c>
      <c r="FN142" s="501">
        <v>4.2000000000000003E-2</v>
      </c>
      <c r="FO142" s="501">
        <v>4.2000000000000003E-2</v>
      </c>
      <c r="FP142" s="501">
        <v>4.2000000000000003E-2</v>
      </c>
      <c r="FQ142" s="501">
        <v>4.2000000000000003E-2</v>
      </c>
      <c r="FR142" s="501">
        <v>4.2000000000000003E-2</v>
      </c>
      <c r="FS142" s="501">
        <v>4.2000000000000003E-2</v>
      </c>
      <c r="FT142" s="501">
        <v>4.2000000000000003E-2</v>
      </c>
      <c r="FU142" s="501">
        <v>4.2000000000000003E-2</v>
      </c>
      <c r="FV142" s="501">
        <v>4.2000000000000003E-2</v>
      </c>
      <c r="FW142" s="501">
        <v>4.2000000000000003E-2</v>
      </c>
      <c r="FX142" s="501">
        <v>4.2000000000000003E-2</v>
      </c>
      <c r="FY142" s="501">
        <v>4.2000000000000003E-2</v>
      </c>
      <c r="FZ142" s="501">
        <v>4.2000000000000003E-2</v>
      </c>
      <c r="GA142" s="501">
        <v>4.2000000000000003E-2</v>
      </c>
      <c r="GB142" s="501">
        <v>4.2500000000000003E-2</v>
      </c>
      <c r="GC142" s="501">
        <v>4.2500000000000003E-2</v>
      </c>
      <c r="GD142" s="501">
        <v>6.4999999999999997E-3</v>
      </c>
      <c r="GE142" s="501">
        <v>6.4999999999999997E-3</v>
      </c>
      <c r="GF142" s="501">
        <v>6.4999999999999997E-3</v>
      </c>
      <c r="GG142" s="501">
        <v>6.4999999999999997E-3</v>
      </c>
      <c r="GH142" s="501">
        <v>6.4999999999999997E-3</v>
      </c>
      <c r="GI142" s="501">
        <v>6.4999999999999997E-3</v>
      </c>
      <c r="GJ142" s="501">
        <v>6.4999999999999997E-3</v>
      </c>
      <c r="GK142" s="501">
        <v>6.4999999999999997E-3</v>
      </c>
      <c r="GL142" s="501">
        <v>6.4999999999999997E-3</v>
      </c>
      <c r="GM142" s="501">
        <v>6.4999999999999997E-3</v>
      </c>
      <c r="GN142" s="501">
        <v>6.4999999999999997E-3</v>
      </c>
      <c r="GO142" s="501">
        <v>6.4999999999999997E-3</v>
      </c>
      <c r="GP142" s="501">
        <v>6.4999999999999997E-3</v>
      </c>
      <c r="GQ142" s="501">
        <v>6.4999999999999997E-3</v>
      </c>
      <c r="GR142" s="501">
        <v>6.4999999999999997E-3</v>
      </c>
      <c r="GS142" s="501">
        <v>6.4999999999999997E-3</v>
      </c>
      <c r="GT142" s="501">
        <v>6.4999999999999997E-3</v>
      </c>
      <c r="GU142" s="501">
        <v>6.4999999999999997E-3</v>
      </c>
      <c r="GV142" s="501">
        <v>6.4999999999999997E-3</v>
      </c>
      <c r="GW142" s="501">
        <v>6.4999999999999997E-3</v>
      </c>
      <c r="GX142" s="501">
        <v>6.4999999999999997E-3</v>
      </c>
      <c r="GY142" s="501">
        <v>6.4999999999999997E-3</v>
      </c>
      <c r="GZ142" s="501">
        <v>6.4999999999999997E-3</v>
      </c>
      <c r="HA142" s="501">
        <v>6.4999999999999997E-3</v>
      </c>
      <c r="HB142" s="501">
        <v>6.4999999999999997E-3</v>
      </c>
      <c r="HC142" s="501">
        <v>6.4999999999999997E-3</v>
      </c>
      <c r="HD142" s="501">
        <v>6.4999999999999997E-3</v>
      </c>
      <c r="HE142" s="501">
        <v>6.4999999999999997E-3</v>
      </c>
      <c r="HF142" s="501">
        <v>6.4999999999999997E-3</v>
      </c>
      <c r="HG142" s="501">
        <v>6.4999999999999997E-3</v>
      </c>
      <c r="HH142" s="501">
        <v>6.4999999999999997E-3</v>
      </c>
      <c r="HI142" s="501">
        <v>6.4999999999999997E-3</v>
      </c>
      <c r="HJ142" s="501">
        <v>6.4999999999999997E-3</v>
      </c>
      <c r="HK142" s="501">
        <v>6.4999999999999997E-3</v>
      </c>
      <c r="HL142" s="501">
        <v>6.4999999999999997E-3</v>
      </c>
      <c r="HM142" s="501">
        <v>6.4999999999999997E-3</v>
      </c>
      <c r="HN142" s="501">
        <v>6.4999999999999997E-3</v>
      </c>
      <c r="HO142" s="501">
        <v>6.4999999999999997E-3</v>
      </c>
      <c r="HP142" s="473">
        <f t="shared" si="49"/>
        <v>0</v>
      </c>
      <c r="HQ142" s="1134"/>
    </row>
    <row r="143" spans="2:225">
      <c r="B143" s="1126" t="s">
        <v>35</v>
      </c>
      <c r="C143" s="733" t="s">
        <v>245</v>
      </c>
      <c r="D143" s="625">
        <v>3.5000000000000003E-2</v>
      </c>
      <c r="E143" s="625">
        <v>3.5000000000000003E-2</v>
      </c>
      <c r="F143" s="625">
        <v>3.5000000000000003E-2</v>
      </c>
      <c r="G143" s="625">
        <v>3.5000000000000003E-2</v>
      </c>
      <c r="H143" s="625">
        <v>3.5000000000000003E-2</v>
      </c>
      <c r="I143" s="625">
        <v>3.5000000000000003E-2</v>
      </c>
      <c r="J143" s="625">
        <v>3.5000000000000003E-2</v>
      </c>
      <c r="K143" s="625">
        <v>3.5000000000000003E-2</v>
      </c>
      <c r="L143" s="625">
        <v>3.5000000000000003E-2</v>
      </c>
      <c r="M143" s="625">
        <v>3.5000000000000003E-2</v>
      </c>
      <c r="N143" s="625">
        <v>3.5000000000000003E-2</v>
      </c>
      <c r="O143" s="617">
        <v>3.5000000000000003E-2</v>
      </c>
      <c r="P143" s="625">
        <v>3.5999999999999997E-2</v>
      </c>
      <c r="Q143" s="625">
        <v>3.5999999999999997E-2</v>
      </c>
      <c r="R143" s="625">
        <v>3.5999999999999997E-2</v>
      </c>
      <c r="S143" s="625">
        <v>3.5999999999999997E-2</v>
      </c>
      <c r="T143" s="617">
        <v>3.5999999999999997E-2</v>
      </c>
      <c r="U143" s="505">
        <v>3.7499999999999999E-2</v>
      </c>
      <c r="V143" s="505">
        <v>3.7499999999999999E-2</v>
      </c>
      <c r="W143" s="503">
        <v>3.7499999999999999E-2</v>
      </c>
      <c r="X143" s="478">
        <v>0.04</v>
      </c>
      <c r="Y143" s="478">
        <v>0.04</v>
      </c>
      <c r="Z143" s="478">
        <v>0.04</v>
      </c>
      <c r="AA143" s="478">
        <v>0.04</v>
      </c>
      <c r="AB143" s="478">
        <v>0.04</v>
      </c>
      <c r="AC143" s="478">
        <v>0.04</v>
      </c>
      <c r="AD143" s="478">
        <v>0.04</v>
      </c>
      <c r="AE143" s="503">
        <v>0.04</v>
      </c>
      <c r="AF143" s="478">
        <v>4.0500000000000001E-2</v>
      </c>
      <c r="AG143" s="478">
        <v>4.0500000000000001E-2</v>
      </c>
      <c r="AH143" s="503">
        <v>4.0500000000000001E-2</v>
      </c>
      <c r="AI143" s="478">
        <v>4.1000000000000002E-2</v>
      </c>
      <c r="AJ143" s="478">
        <v>4.1000000000000002E-2</v>
      </c>
      <c r="AK143" s="478">
        <v>4.1000000000000002E-2</v>
      </c>
      <c r="AL143" s="479">
        <v>4.1000000000000002E-2</v>
      </c>
      <c r="AM143" s="478">
        <v>4.1000000000000002E-2</v>
      </c>
      <c r="AN143" s="478">
        <v>4.1000000000000002E-2</v>
      </c>
      <c r="AO143" s="478">
        <v>4.1000000000000002E-2</v>
      </c>
      <c r="AP143" s="478">
        <v>4.1000000000000002E-2</v>
      </c>
      <c r="AQ143" s="478">
        <v>4.1000000000000002E-2</v>
      </c>
      <c r="AR143" s="478">
        <v>4.1000000000000002E-2</v>
      </c>
      <c r="AS143" s="478">
        <v>4.1000000000000002E-2</v>
      </c>
      <c r="AT143" s="478">
        <v>4.1000000000000002E-2</v>
      </c>
      <c r="AU143" s="478">
        <v>4.1000000000000002E-2</v>
      </c>
      <c r="AV143" s="479">
        <v>4.1000000000000002E-2</v>
      </c>
      <c r="AW143" s="479">
        <v>4.1000000000000002E-2</v>
      </c>
      <c r="AX143" s="479">
        <v>4.1000000000000002E-2</v>
      </c>
      <c r="AY143" s="479">
        <v>4.1000000000000002E-2</v>
      </c>
      <c r="AZ143" s="479">
        <v>4.1000000000000002E-2</v>
      </c>
      <c r="BA143" s="479">
        <v>4.1000000000000002E-2</v>
      </c>
      <c r="BB143" s="479">
        <v>4.1000000000000002E-2</v>
      </c>
      <c r="BC143" s="479">
        <v>4.1000000000000002E-2</v>
      </c>
      <c r="BD143" s="479">
        <v>4.1000000000000002E-2</v>
      </c>
      <c r="BE143" s="479">
        <v>4.1000000000000002E-2</v>
      </c>
      <c r="BF143" s="479">
        <v>4.1000000000000002E-2</v>
      </c>
      <c r="BG143" s="479">
        <v>4.1000000000000002E-2</v>
      </c>
      <c r="BH143" s="479">
        <v>4.1000000000000002E-2</v>
      </c>
      <c r="BI143" s="479">
        <v>4.1000000000000002E-2</v>
      </c>
      <c r="BJ143" s="479">
        <v>4.1000000000000002E-2</v>
      </c>
      <c r="BK143" s="479">
        <v>4.1000000000000002E-2</v>
      </c>
      <c r="BL143" s="479">
        <v>4.1000000000000002E-2</v>
      </c>
      <c r="BM143" s="479">
        <v>4.1000000000000002E-2</v>
      </c>
      <c r="BN143" s="479">
        <v>4.2000000000000003E-2</v>
      </c>
      <c r="BO143" s="479">
        <v>4.2000000000000003E-2</v>
      </c>
      <c r="BP143" s="479">
        <v>4.2000000000000003E-2</v>
      </c>
      <c r="BQ143" s="479">
        <v>4.2000000000000003E-2</v>
      </c>
      <c r="BR143" s="479">
        <v>4.2000000000000003E-2</v>
      </c>
      <c r="BS143" s="479">
        <v>4.2000000000000003E-2</v>
      </c>
      <c r="BT143" s="479">
        <v>4.2000000000000003E-2</v>
      </c>
      <c r="BU143" s="479">
        <v>4.2000000000000003E-2</v>
      </c>
      <c r="BV143" s="479">
        <v>4.2000000000000003E-2</v>
      </c>
      <c r="BW143" s="479">
        <v>4.2000000000000003E-2</v>
      </c>
      <c r="BX143" s="479">
        <v>4.2000000000000003E-2</v>
      </c>
      <c r="BY143" s="479">
        <v>4.2000000000000003E-2</v>
      </c>
      <c r="BZ143" s="479">
        <v>4.2000000000000003E-2</v>
      </c>
      <c r="CA143" s="479">
        <v>4.4999999999999998E-2</v>
      </c>
      <c r="CB143" s="479">
        <v>4.4999999999999998E-2</v>
      </c>
      <c r="CC143" s="479">
        <v>4.65E-2</v>
      </c>
      <c r="CD143" s="479">
        <v>4.7500000000000001E-2</v>
      </c>
      <c r="CE143" s="479">
        <v>4.7500000000000001E-2</v>
      </c>
      <c r="CF143" s="479">
        <v>4.7500000000000001E-2</v>
      </c>
      <c r="CG143" s="479">
        <v>4.7500000000000001E-2</v>
      </c>
      <c r="CH143" s="479">
        <v>4.7500000000000001E-2</v>
      </c>
      <c r="CI143" s="479">
        <v>4.7500000000000001E-2</v>
      </c>
      <c r="CJ143" s="479">
        <v>4.7500000000000001E-2</v>
      </c>
      <c r="CK143" s="479">
        <v>4.7500000000000001E-2</v>
      </c>
      <c r="CL143" s="479">
        <v>4.7500000000000001E-2</v>
      </c>
      <c r="CM143" s="479">
        <v>4.7500000000000001E-2</v>
      </c>
      <c r="CN143" s="479">
        <v>4.7500000000000001E-2</v>
      </c>
      <c r="CO143" s="479">
        <v>4.7500000000000001E-2</v>
      </c>
      <c r="CP143" s="479">
        <v>4.7500000000000001E-2</v>
      </c>
      <c r="CQ143" s="479">
        <v>4.7500000000000001E-2</v>
      </c>
      <c r="CR143" s="479">
        <v>4.7500000000000001E-2</v>
      </c>
      <c r="CS143" s="479">
        <v>4.7500000000000001E-2</v>
      </c>
      <c r="CT143" s="479">
        <v>4.8500000000000001E-2</v>
      </c>
      <c r="CU143" s="504">
        <v>4.8500000000000001E-2</v>
      </c>
      <c r="CV143" s="505">
        <v>4.7500000000000001E-2</v>
      </c>
      <c r="CW143" s="505">
        <v>4.7500000000000001E-2</v>
      </c>
      <c r="CX143" s="505">
        <v>4.7500000000000001E-2</v>
      </c>
      <c r="CY143" s="505">
        <v>4.7500000000000001E-2</v>
      </c>
      <c r="CZ143" s="505">
        <v>4.7500000000000001E-2</v>
      </c>
      <c r="DA143" s="505">
        <v>4.7500000000000001E-2</v>
      </c>
      <c r="DB143" s="505">
        <v>4.7500000000000001E-2</v>
      </c>
      <c r="DC143" s="505">
        <v>4.7500000000000001E-2</v>
      </c>
      <c r="DD143" s="505">
        <v>4.7500000000000001E-2</v>
      </c>
      <c r="DE143" s="505">
        <v>4.7500000000000001E-2</v>
      </c>
      <c r="DF143" s="505">
        <v>4.7500000000000001E-2</v>
      </c>
      <c r="DG143" s="505">
        <v>4.7500000000000001E-2</v>
      </c>
      <c r="DH143" s="505">
        <v>4.7500000000000001E-2</v>
      </c>
      <c r="DI143" s="505">
        <v>4.7500000000000001E-2</v>
      </c>
      <c r="DJ143" s="505">
        <v>4.7500000000000001E-2</v>
      </c>
      <c r="DK143" s="505">
        <v>4.7500000000000001E-2</v>
      </c>
      <c r="DL143" s="505">
        <v>4.7500000000000001E-2</v>
      </c>
      <c r="DM143" s="505">
        <v>4.7500000000000001E-2</v>
      </c>
      <c r="DN143" s="505">
        <v>4.7500000000000001E-2</v>
      </c>
      <c r="DO143" s="505">
        <v>4.7500000000000001E-2</v>
      </c>
      <c r="DP143" s="505">
        <v>4.7500000000000001E-2</v>
      </c>
      <c r="DQ143" s="505">
        <v>4.7500000000000001E-2</v>
      </c>
      <c r="DR143" s="505">
        <v>4.7500000000000001E-2</v>
      </c>
      <c r="DS143" s="505">
        <v>4.7500000000000001E-2</v>
      </c>
      <c r="DT143" s="505">
        <v>4.7500000000000001E-2</v>
      </c>
      <c r="DU143" s="505">
        <v>4.7500000000000001E-2</v>
      </c>
      <c r="DV143" s="505">
        <v>4.7500000000000001E-2</v>
      </c>
      <c r="DW143" s="505">
        <v>4.7500000000000001E-2</v>
      </c>
      <c r="DX143" s="505">
        <v>4.7500000000000001E-2</v>
      </c>
      <c r="DY143" s="505">
        <v>4.7500000000000001E-2</v>
      </c>
      <c r="DZ143" s="505">
        <v>4.7500000000000001E-2</v>
      </c>
      <c r="EA143" s="505">
        <v>4.7500000000000001E-2</v>
      </c>
      <c r="EB143" s="505">
        <v>4.7500000000000001E-2</v>
      </c>
      <c r="EC143" s="505">
        <v>4.7500000000000001E-2</v>
      </c>
      <c r="ED143" s="505">
        <v>4.7500000000000001E-2</v>
      </c>
      <c r="EE143" s="505">
        <v>4.7500000000000001E-2</v>
      </c>
      <c r="EF143" s="505">
        <v>4.7500000000000001E-2</v>
      </c>
      <c r="EG143" s="505">
        <v>4.7500000000000001E-2</v>
      </c>
      <c r="EH143" s="505">
        <v>4.7500000000000001E-2</v>
      </c>
      <c r="EI143" s="505">
        <v>4.7500000000000001E-2</v>
      </c>
      <c r="EJ143" s="505">
        <v>4.7500000000000001E-2</v>
      </c>
      <c r="EK143" s="505">
        <v>4.7500000000000001E-2</v>
      </c>
      <c r="EL143" s="505">
        <v>4.7500000000000001E-2</v>
      </c>
      <c r="EM143" s="505">
        <v>4.7500000000000001E-2</v>
      </c>
      <c r="EN143" s="505">
        <v>4.7500000000000001E-2</v>
      </c>
      <c r="EO143" s="505">
        <v>4.7500000000000001E-2</v>
      </c>
      <c r="EP143" s="505">
        <v>4.7500000000000001E-2</v>
      </c>
      <c r="EQ143" s="505">
        <v>4.7500000000000001E-2</v>
      </c>
      <c r="ER143" s="505">
        <v>4.7500000000000001E-2</v>
      </c>
      <c r="ES143" s="505">
        <v>4.7500000000000001E-2</v>
      </c>
      <c r="ET143" s="505">
        <v>4.7500000000000001E-2</v>
      </c>
      <c r="EU143" s="505">
        <v>4.7500000000000001E-2</v>
      </c>
      <c r="EV143" s="505">
        <v>4.7500000000000001E-2</v>
      </c>
      <c r="EW143" s="505">
        <v>4.7500000000000001E-2</v>
      </c>
      <c r="EX143" s="505">
        <v>4.7500000000000001E-2</v>
      </c>
      <c r="EY143" s="505">
        <v>4.7500000000000001E-2</v>
      </c>
      <c r="EZ143" s="505">
        <v>4.7500000000000001E-2</v>
      </c>
      <c r="FA143" s="505">
        <v>4.7500000000000001E-2</v>
      </c>
      <c r="FB143" s="505">
        <v>4.7500000000000001E-2</v>
      </c>
      <c r="FC143" s="505">
        <v>4.7500000000000001E-2</v>
      </c>
      <c r="FD143" s="505">
        <v>4.7500000000000001E-2</v>
      </c>
      <c r="FE143" s="505">
        <v>4.7500000000000001E-2</v>
      </c>
      <c r="FF143" s="505">
        <v>4.7500000000000001E-2</v>
      </c>
      <c r="FG143" s="505">
        <v>4.7500000000000001E-2</v>
      </c>
      <c r="FH143" s="505">
        <v>4.7500000000000001E-2</v>
      </c>
      <c r="FI143" s="505">
        <v>4.7500000000000001E-2</v>
      </c>
      <c r="FJ143" s="505">
        <v>4.7500000000000001E-2</v>
      </c>
      <c r="FK143" s="505">
        <v>4.7500000000000001E-2</v>
      </c>
      <c r="FL143" s="505">
        <v>4.7500000000000001E-2</v>
      </c>
      <c r="FM143" s="505">
        <v>4.7500000000000001E-2</v>
      </c>
      <c r="FN143" s="505">
        <v>4.7500000000000001E-2</v>
      </c>
      <c r="FO143" s="505">
        <v>4.7500000000000001E-2</v>
      </c>
      <c r="FP143" s="505">
        <v>4.7500000000000001E-2</v>
      </c>
      <c r="FQ143" s="505">
        <v>4.7500000000000001E-2</v>
      </c>
      <c r="FR143" s="505">
        <v>4.7500000000000001E-2</v>
      </c>
      <c r="FS143" s="505">
        <v>4.7500000000000001E-2</v>
      </c>
      <c r="FT143" s="505">
        <v>4.7500000000000001E-2</v>
      </c>
      <c r="FU143" s="505">
        <v>4.7500000000000001E-2</v>
      </c>
      <c r="FV143" s="505">
        <v>4.7500000000000001E-2</v>
      </c>
      <c r="FW143" s="505">
        <v>4.7500000000000001E-2</v>
      </c>
      <c r="FX143" s="505">
        <v>4.7500000000000001E-2</v>
      </c>
      <c r="FY143" s="505">
        <v>4.7500000000000001E-2</v>
      </c>
      <c r="FZ143" s="505">
        <v>4.7500000000000001E-2</v>
      </c>
      <c r="GA143" s="505">
        <v>4.7500000000000001E-2</v>
      </c>
      <c r="GB143" s="505">
        <v>4.7500000000000001E-2</v>
      </c>
      <c r="GC143" s="505">
        <v>4.7500000000000001E-2</v>
      </c>
      <c r="GD143" s="505">
        <v>2.9000000000000001E-2</v>
      </c>
      <c r="GE143" s="505">
        <v>2.9000000000000001E-2</v>
      </c>
      <c r="GF143" s="505">
        <v>2.9000000000000001E-2</v>
      </c>
      <c r="GG143" s="505">
        <v>2.9000000000000001E-2</v>
      </c>
      <c r="GH143" s="505">
        <v>2.9000000000000001E-2</v>
      </c>
      <c r="GI143" s="505">
        <v>2.9000000000000001E-2</v>
      </c>
      <c r="GJ143" s="505">
        <v>2.9000000000000001E-2</v>
      </c>
      <c r="GK143" s="505">
        <v>2.9000000000000001E-2</v>
      </c>
      <c r="GL143" s="505">
        <v>2.9000000000000001E-2</v>
      </c>
      <c r="GM143" s="505">
        <v>2.9000000000000001E-2</v>
      </c>
      <c r="GN143" s="505">
        <v>2.9000000000000001E-2</v>
      </c>
      <c r="GO143" s="505">
        <v>2.9000000000000001E-2</v>
      </c>
      <c r="GP143" s="505">
        <v>2.9000000000000001E-2</v>
      </c>
      <c r="GQ143" s="505">
        <v>2.9000000000000001E-2</v>
      </c>
      <c r="GR143" s="505">
        <v>2.9000000000000001E-2</v>
      </c>
      <c r="GS143" s="505">
        <v>2.9000000000000001E-2</v>
      </c>
      <c r="GT143" s="505">
        <v>2.9000000000000001E-2</v>
      </c>
      <c r="GU143" s="505">
        <v>2.9000000000000001E-2</v>
      </c>
      <c r="GV143" s="505">
        <v>2.9000000000000001E-2</v>
      </c>
      <c r="GW143" s="505">
        <v>2.9000000000000001E-2</v>
      </c>
      <c r="GX143" s="505">
        <v>2.9000000000000001E-2</v>
      </c>
      <c r="GY143" s="505">
        <v>2.9000000000000001E-2</v>
      </c>
      <c r="GZ143" s="505">
        <v>2.9000000000000001E-2</v>
      </c>
      <c r="HA143" s="505">
        <v>2.9000000000000001E-2</v>
      </c>
      <c r="HB143" s="505">
        <v>2.9000000000000001E-2</v>
      </c>
      <c r="HC143" s="505">
        <v>2.9000000000000001E-2</v>
      </c>
      <c r="HD143" s="505">
        <v>2.9000000000000001E-2</v>
      </c>
      <c r="HE143" s="505">
        <v>2.9000000000000001E-2</v>
      </c>
      <c r="HF143" s="505">
        <v>2.9000000000000001E-2</v>
      </c>
      <c r="HG143" s="505">
        <v>2.9000000000000001E-2</v>
      </c>
      <c r="HH143" s="505">
        <v>2.9000000000000001E-2</v>
      </c>
      <c r="HI143" s="505">
        <v>2.9000000000000001E-2</v>
      </c>
      <c r="HJ143" s="505">
        <v>2.9000000000000001E-2</v>
      </c>
      <c r="HK143" s="505">
        <v>2.9000000000000001E-2</v>
      </c>
      <c r="HL143" s="505">
        <v>2.9000000000000001E-2</v>
      </c>
      <c r="HM143" s="505">
        <v>2.9000000000000001E-2</v>
      </c>
      <c r="HN143" s="505">
        <v>2.9000000000000001E-2</v>
      </c>
      <c r="HO143" s="505">
        <v>2.9000000000000001E-2</v>
      </c>
      <c r="HP143" s="473">
        <f t="shared" si="49"/>
        <v>0</v>
      </c>
      <c r="HQ143" s="499"/>
    </row>
    <row r="144" spans="2:225">
      <c r="B144" s="1127"/>
      <c r="C144" s="733" t="s">
        <v>244</v>
      </c>
      <c r="D144" s="625">
        <v>3.5999999999999997E-2</v>
      </c>
      <c r="E144" s="625">
        <v>3.5999999999999997E-2</v>
      </c>
      <c r="F144" s="625">
        <v>3.5999999999999997E-2</v>
      </c>
      <c r="G144" s="625">
        <v>3.5999999999999997E-2</v>
      </c>
      <c r="H144" s="625">
        <v>3.5999999999999997E-2</v>
      </c>
      <c r="I144" s="625">
        <v>3.5999999999999997E-2</v>
      </c>
      <c r="J144" s="625">
        <v>3.5999999999999997E-2</v>
      </c>
      <c r="K144" s="625">
        <v>3.5999999999999997E-2</v>
      </c>
      <c r="L144" s="625">
        <v>3.5999999999999997E-2</v>
      </c>
      <c r="M144" s="625">
        <v>3.5999999999999997E-2</v>
      </c>
      <c r="N144" s="625">
        <v>3.5999999999999997E-2</v>
      </c>
      <c r="O144" s="617">
        <v>3.5999999999999997E-2</v>
      </c>
      <c r="P144" s="625">
        <v>3.6999999999999998E-2</v>
      </c>
      <c r="Q144" s="625">
        <v>3.6999999999999998E-2</v>
      </c>
      <c r="R144" s="625">
        <v>3.6999999999999998E-2</v>
      </c>
      <c r="S144" s="625">
        <v>3.6999999999999998E-2</v>
      </c>
      <c r="T144" s="617">
        <v>3.6999999999999998E-2</v>
      </c>
      <c r="U144" s="505">
        <v>3.85E-2</v>
      </c>
      <c r="V144" s="505">
        <v>3.85E-2</v>
      </c>
      <c r="W144" s="503">
        <v>3.85E-2</v>
      </c>
      <c r="X144" s="478">
        <v>4.1000000000000002E-2</v>
      </c>
      <c r="Y144" s="478">
        <v>4.1000000000000002E-2</v>
      </c>
      <c r="Z144" s="478">
        <v>4.1000000000000002E-2</v>
      </c>
      <c r="AA144" s="478">
        <v>4.1000000000000002E-2</v>
      </c>
      <c r="AB144" s="478">
        <v>4.1000000000000002E-2</v>
      </c>
      <c r="AC144" s="478">
        <v>4.1000000000000002E-2</v>
      </c>
      <c r="AD144" s="478">
        <v>4.1000000000000002E-2</v>
      </c>
      <c r="AE144" s="503">
        <v>4.1000000000000002E-2</v>
      </c>
      <c r="AF144" s="478">
        <v>4.1500000000000002E-2</v>
      </c>
      <c r="AG144" s="478">
        <v>4.1500000000000002E-2</v>
      </c>
      <c r="AH144" s="503">
        <v>4.1500000000000002E-2</v>
      </c>
      <c r="AI144" s="478">
        <v>4.2000000000000003E-2</v>
      </c>
      <c r="AJ144" s="478">
        <v>4.2000000000000003E-2</v>
      </c>
      <c r="AK144" s="478">
        <v>4.2000000000000003E-2</v>
      </c>
      <c r="AL144" s="479">
        <v>4.2000000000000003E-2</v>
      </c>
      <c r="AM144" s="478">
        <v>4.2000000000000003E-2</v>
      </c>
      <c r="AN144" s="478">
        <v>4.2000000000000003E-2</v>
      </c>
      <c r="AO144" s="478">
        <v>4.2000000000000003E-2</v>
      </c>
      <c r="AP144" s="478">
        <v>4.2000000000000003E-2</v>
      </c>
      <c r="AQ144" s="478">
        <v>4.2000000000000003E-2</v>
      </c>
      <c r="AR144" s="478">
        <v>4.2000000000000003E-2</v>
      </c>
      <c r="AS144" s="478">
        <v>4.2000000000000003E-2</v>
      </c>
      <c r="AT144" s="478">
        <v>4.2000000000000003E-2</v>
      </c>
      <c r="AU144" s="478">
        <v>4.2000000000000003E-2</v>
      </c>
      <c r="AV144" s="479">
        <v>4.2000000000000003E-2</v>
      </c>
      <c r="AW144" s="479">
        <v>4.2000000000000003E-2</v>
      </c>
      <c r="AX144" s="479">
        <v>4.2000000000000003E-2</v>
      </c>
      <c r="AY144" s="479">
        <v>4.2000000000000003E-2</v>
      </c>
      <c r="AZ144" s="479">
        <v>4.2000000000000003E-2</v>
      </c>
      <c r="BA144" s="479">
        <v>4.2000000000000003E-2</v>
      </c>
      <c r="BB144" s="479">
        <v>4.2000000000000003E-2</v>
      </c>
      <c r="BC144" s="479">
        <v>4.2000000000000003E-2</v>
      </c>
      <c r="BD144" s="479">
        <v>4.2000000000000003E-2</v>
      </c>
      <c r="BE144" s="479">
        <v>4.2000000000000003E-2</v>
      </c>
      <c r="BF144" s="479">
        <v>4.2000000000000003E-2</v>
      </c>
      <c r="BG144" s="479">
        <v>4.2000000000000003E-2</v>
      </c>
      <c r="BH144" s="479">
        <v>4.2000000000000003E-2</v>
      </c>
      <c r="BI144" s="479">
        <v>4.2000000000000003E-2</v>
      </c>
      <c r="BJ144" s="479">
        <v>4.2000000000000003E-2</v>
      </c>
      <c r="BK144" s="479">
        <v>4.2000000000000003E-2</v>
      </c>
      <c r="BL144" s="479">
        <v>4.2000000000000003E-2</v>
      </c>
      <c r="BM144" s="479">
        <v>4.2000000000000003E-2</v>
      </c>
      <c r="BN144" s="479">
        <v>4.2999999999999997E-2</v>
      </c>
      <c r="BO144" s="479">
        <v>4.2999999999999997E-2</v>
      </c>
      <c r="BP144" s="479">
        <v>4.2999999999999997E-2</v>
      </c>
      <c r="BQ144" s="479">
        <v>4.2999999999999997E-2</v>
      </c>
      <c r="BR144" s="479">
        <v>4.2999999999999997E-2</v>
      </c>
      <c r="BS144" s="479">
        <v>4.2999999999999997E-2</v>
      </c>
      <c r="BT144" s="479">
        <v>4.2999999999999997E-2</v>
      </c>
      <c r="BU144" s="479">
        <v>4.2999999999999997E-2</v>
      </c>
      <c r="BV144" s="479">
        <v>4.2999999999999997E-2</v>
      </c>
      <c r="BW144" s="479">
        <v>4.2999999999999997E-2</v>
      </c>
      <c r="BX144" s="479">
        <v>4.2999999999999997E-2</v>
      </c>
      <c r="BY144" s="479">
        <v>4.2999999999999997E-2</v>
      </c>
      <c r="BZ144" s="479">
        <v>4.2999999999999997E-2</v>
      </c>
      <c r="CA144" s="479">
        <v>4.5999999999999999E-2</v>
      </c>
      <c r="CB144" s="479">
        <v>4.5999999999999999E-2</v>
      </c>
      <c r="CC144" s="479">
        <v>4.7E-2</v>
      </c>
      <c r="CD144" s="479">
        <v>4.8500000000000001E-2</v>
      </c>
      <c r="CE144" s="479">
        <v>4.8500000000000001E-2</v>
      </c>
      <c r="CF144" s="479">
        <v>4.8500000000000001E-2</v>
      </c>
      <c r="CG144" s="479">
        <v>4.8500000000000001E-2</v>
      </c>
      <c r="CH144" s="479">
        <v>4.8500000000000001E-2</v>
      </c>
      <c r="CI144" s="479">
        <v>4.8500000000000001E-2</v>
      </c>
      <c r="CJ144" s="479">
        <v>4.8500000000000001E-2</v>
      </c>
      <c r="CK144" s="479">
        <v>4.8500000000000001E-2</v>
      </c>
      <c r="CL144" s="479">
        <v>4.8500000000000001E-2</v>
      </c>
      <c r="CM144" s="479">
        <v>4.8500000000000001E-2</v>
      </c>
      <c r="CN144" s="479">
        <v>4.8500000000000001E-2</v>
      </c>
      <c r="CO144" s="479">
        <v>4.8500000000000001E-2</v>
      </c>
      <c r="CP144" s="479">
        <v>4.8500000000000001E-2</v>
      </c>
      <c r="CQ144" s="479">
        <v>4.8500000000000001E-2</v>
      </c>
      <c r="CR144" s="479">
        <v>4.8500000000000001E-2</v>
      </c>
      <c r="CS144" s="479">
        <v>4.8500000000000001E-2</v>
      </c>
      <c r="CT144" s="479">
        <v>4.8500000000000001E-2</v>
      </c>
      <c r="CU144" s="505">
        <v>4.8500000000000001E-2</v>
      </c>
      <c r="CV144" s="505">
        <v>4.8500000000000001E-2</v>
      </c>
      <c r="CW144" s="505">
        <v>4.8500000000000001E-2</v>
      </c>
      <c r="CX144" s="505">
        <v>4.8500000000000001E-2</v>
      </c>
      <c r="CY144" s="505">
        <v>4.8500000000000001E-2</v>
      </c>
      <c r="CZ144" s="505">
        <v>4.8500000000000001E-2</v>
      </c>
      <c r="DA144" s="505">
        <v>4.8500000000000001E-2</v>
      </c>
      <c r="DB144" s="505">
        <v>4.8500000000000001E-2</v>
      </c>
      <c r="DC144" s="505">
        <v>4.8500000000000001E-2</v>
      </c>
      <c r="DD144" s="505">
        <v>4.8500000000000001E-2</v>
      </c>
      <c r="DE144" s="505">
        <v>4.8500000000000001E-2</v>
      </c>
      <c r="DF144" s="505">
        <v>4.8500000000000001E-2</v>
      </c>
      <c r="DG144" s="505">
        <v>4.8500000000000001E-2</v>
      </c>
      <c r="DH144" s="505">
        <v>4.8500000000000001E-2</v>
      </c>
      <c r="DI144" s="505">
        <v>4.8500000000000001E-2</v>
      </c>
      <c r="DJ144" s="505">
        <v>4.8500000000000001E-2</v>
      </c>
      <c r="DK144" s="505">
        <v>4.8500000000000001E-2</v>
      </c>
      <c r="DL144" s="505">
        <v>4.8500000000000001E-2</v>
      </c>
      <c r="DM144" s="505">
        <v>4.8500000000000001E-2</v>
      </c>
      <c r="DN144" s="505">
        <v>4.8500000000000001E-2</v>
      </c>
      <c r="DO144" s="505">
        <v>4.8500000000000001E-2</v>
      </c>
      <c r="DP144" s="505">
        <v>4.8500000000000001E-2</v>
      </c>
      <c r="DQ144" s="505">
        <v>4.8500000000000001E-2</v>
      </c>
      <c r="DR144" s="505">
        <v>4.8500000000000001E-2</v>
      </c>
      <c r="DS144" s="505">
        <v>4.8500000000000001E-2</v>
      </c>
      <c r="DT144" s="505">
        <v>4.8500000000000001E-2</v>
      </c>
      <c r="DU144" s="505">
        <v>4.8500000000000001E-2</v>
      </c>
      <c r="DV144" s="505">
        <v>4.8500000000000001E-2</v>
      </c>
      <c r="DW144" s="505">
        <v>4.8500000000000001E-2</v>
      </c>
      <c r="DX144" s="505">
        <v>4.8500000000000001E-2</v>
      </c>
      <c r="DY144" s="505">
        <v>4.8500000000000001E-2</v>
      </c>
      <c r="DZ144" s="505">
        <v>4.8500000000000001E-2</v>
      </c>
      <c r="EA144" s="505">
        <v>4.8500000000000001E-2</v>
      </c>
      <c r="EB144" s="505">
        <v>4.8500000000000001E-2</v>
      </c>
      <c r="EC144" s="505">
        <v>4.8500000000000001E-2</v>
      </c>
      <c r="ED144" s="505">
        <v>4.8500000000000001E-2</v>
      </c>
      <c r="EE144" s="505">
        <v>4.8500000000000001E-2</v>
      </c>
      <c r="EF144" s="505">
        <v>4.8500000000000001E-2</v>
      </c>
      <c r="EG144" s="505">
        <v>4.8500000000000001E-2</v>
      </c>
      <c r="EH144" s="505">
        <v>4.8500000000000001E-2</v>
      </c>
      <c r="EI144" s="505">
        <v>4.8500000000000001E-2</v>
      </c>
      <c r="EJ144" s="505">
        <v>4.8500000000000001E-2</v>
      </c>
      <c r="EK144" s="505">
        <v>4.8500000000000001E-2</v>
      </c>
      <c r="EL144" s="505">
        <v>4.8500000000000001E-2</v>
      </c>
      <c r="EM144" s="505">
        <v>4.8500000000000001E-2</v>
      </c>
      <c r="EN144" s="505">
        <v>4.8500000000000001E-2</v>
      </c>
      <c r="EO144" s="505">
        <v>4.8500000000000001E-2</v>
      </c>
      <c r="EP144" s="505">
        <v>4.8500000000000001E-2</v>
      </c>
      <c r="EQ144" s="505">
        <v>4.8500000000000001E-2</v>
      </c>
      <c r="ER144" s="505">
        <v>4.8500000000000001E-2</v>
      </c>
      <c r="ES144" s="505">
        <v>4.8500000000000001E-2</v>
      </c>
      <c r="ET144" s="505">
        <v>4.8500000000000001E-2</v>
      </c>
      <c r="EU144" s="505">
        <v>4.8500000000000001E-2</v>
      </c>
      <c r="EV144" s="505">
        <v>4.8500000000000001E-2</v>
      </c>
      <c r="EW144" s="505">
        <v>4.8500000000000001E-2</v>
      </c>
      <c r="EX144" s="505">
        <v>4.8500000000000001E-2</v>
      </c>
      <c r="EY144" s="505">
        <v>4.8500000000000001E-2</v>
      </c>
      <c r="EZ144" s="505">
        <v>4.8500000000000001E-2</v>
      </c>
      <c r="FA144" s="505">
        <v>4.8500000000000001E-2</v>
      </c>
      <c r="FB144" s="505">
        <v>4.8500000000000001E-2</v>
      </c>
      <c r="FC144" s="505">
        <v>4.8500000000000001E-2</v>
      </c>
      <c r="FD144" s="505">
        <v>4.8500000000000001E-2</v>
      </c>
      <c r="FE144" s="505">
        <v>4.8500000000000001E-2</v>
      </c>
      <c r="FF144" s="505">
        <v>4.8500000000000001E-2</v>
      </c>
      <c r="FG144" s="505">
        <v>4.8500000000000001E-2</v>
      </c>
      <c r="FH144" s="505">
        <v>4.8500000000000001E-2</v>
      </c>
      <c r="FI144" s="505">
        <v>4.8500000000000001E-2</v>
      </c>
      <c r="FJ144" s="505">
        <v>4.8500000000000001E-2</v>
      </c>
      <c r="FK144" s="505">
        <v>4.8500000000000001E-2</v>
      </c>
      <c r="FL144" s="505">
        <v>4.8500000000000001E-2</v>
      </c>
      <c r="FM144" s="505">
        <v>4.8500000000000001E-2</v>
      </c>
      <c r="FN144" s="505">
        <v>4.8500000000000001E-2</v>
      </c>
      <c r="FO144" s="505">
        <v>4.8500000000000001E-2</v>
      </c>
      <c r="FP144" s="505">
        <v>4.8500000000000001E-2</v>
      </c>
      <c r="FQ144" s="505">
        <v>4.8500000000000001E-2</v>
      </c>
      <c r="FR144" s="505">
        <v>4.8500000000000001E-2</v>
      </c>
      <c r="FS144" s="505">
        <v>4.8500000000000001E-2</v>
      </c>
      <c r="FT144" s="505">
        <v>4.8500000000000001E-2</v>
      </c>
      <c r="FU144" s="505">
        <v>4.8500000000000001E-2</v>
      </c>
      <c r="FV144" s="505">
        <v>4.8500000000000001E-2</v>
      </c>
      <c r="FW144" s="505">
        <v>4.8500000000000001E-2</v>
      </c>
      <c r="FX144" s="505">
        <v>4.8500000000000001E-2</v>
      </c>
      <c r="FY144" s="505">
        <v>4.8500000000000001E-2</v>
      </c>
      <c r="FZ144" s="505">
        <v>4.8500000000000001E-2</v>
      </c>
      <c r="GA144" s="505">
        <v>4.8500000000000001E-2</v>
      </c>
      <c r="GB144" s="505">
        <v>4.8500000000000001E-2</v>
      </c>
      <c r="GC144" s="505">
        <v>4.8500000000000001E-2</v>
      </c>
      <c r="GD144" s="505">
        <v>0.03</v>
      </c>
      <c r="GE144" s="505">
        <v>0.03</v>
      </c>
      <c r="GF144" s="505">
        <v>0.03</v>
      </c>
      <c r="GG144" s="505">
        <v>0.03</v>
      </c>
      <c r="GH144" s="505">
        <v>0.03</v>
      </c>
      <c r="GI144" s="505">
        <v>0.03</v>
      </c>
      <c r="GJ144" s="505">
        <v>0.03</v>
      </c>
      <c r="GK144" s="505">
        <v>0.03</v>
      </c>
      <c r="GL144" s="505">
        <v>0.03</v>
      </c>
      <c r="GM144" s="505">
        <v>0.03</v>
      </c>
      <c r="GN144" s="505">
        <v>0.03</v>
      </c>
      <c r="GO144" s="505">
        <v>0.03</v>
      </c>
      <c r="GP144" s="505">
        <v>0.03</v>
      </c>
      <c r="GQ144" s="505">
        <v>0.03</v>
      </c>
      <c r="GR144" s="505">
        <v>0.03</v>
      </c>
      <c r="GS144" s="505">
        <v>0.03</v>
      </c>
      <c r="GT144" s="505">
        <v>0.03</v>
      </c>
      <c r="GU144" s="505">
        <v>0.03</v>
      </c>
      <c r="GV144" s="505">
        <v>0.03</v>
      </c>
      <c r="GW144" s="505">
        <v>0.03</v>
      </c>
      <c r="GX144" s="505">
        <v>0.03</v>
      </c>
      <c r="GY144" s="505">
        <v>0.03</v>
      </c>
      <c r="GZ144" s="505">
        <v>0.03</v>
      </c>
      <c r="HA144" s="505">
        <v>0.03</v>
      </c>
      <c r="HB144" s="505">
        <v>0.03</v>
      </c>
      <c r="HC144" s="505">
        <v>0.03</v>
      </c>
      <c r="HD144" s="505">
        <v>0.03</v>
      </c>
      <c r="HE144" s="505">
        <v>0.03</v>
      </c>
      <c r="HF144" s="505">
        <v>0.03</v>
      </c>
      <c r="HG144" s="505">
        <v>0.03</v>
      </c>
      <c r="HH144" s="505">
        <v>0.03</v>
      </c>
      <c r="HI144" s="505">
        <v>0.03</v>
      </c>
      <c r="HJ144" s="505">
        <v>0.03</v>
      </c>
      <c r="HK144" s="505">
        <v>0.03</v>
      </c>
      <c r="HL144" s="505">
        <v>0.03</v>
      </c>
      <c r="HM144" s="505">
        <v>0.03</v>
      </c>
      <c r="HN144" s="505">
        <v>0.03</v>
      </c>
      <c r="HO144" s="505">
        <v>0.03</v>
      </c>
      <c r="HP144" s="473">
        <f t="shared" si="49"/>
        <v>0</v>
      </c>
      <c r="HQ144" s="507"/>
    </row>
    <row r="145" spans="2:225">
      <c r="B145" s="1123" t="s">
        <v>26</v>
      </c>
      <c r="C145" s="730" t="s">
        <v>243</v>
      </c>
      <c r="D145" s="502">
        <v>2.7799999999999998E-2</v>
      </c>
      <c r="E145" s="502">
        <v>2.7799999999999998E-2</v>
      </c>
      <c r="F145" s="502">
        <v>2.76E-2</v>
      </c>
      <c r="G145" s="502">
        <v>2.7300000000000001E-2</v>
      </c>
      <c r="H145" s="502">
        <v>2.7099999999999999E-2</v>
      </c>
      <c r="I145" s="502">
        <v>2.76E-2</v>
      </c>
      <c r="J145" s="500">
        <v>2.7699999999999999E-2</v>
      </c>
      <c r="K145" s="500">
        <v>2.7699999999999999E-2</v>
      </c>
      <c r="L145" s="502">
        <v>2.7699999999999999E-2</v>
      </c>
      <c r="M145" s="502">
        <v>2.7099999999999999E-2</v>
      </c>
      <c r="N145" s="502">
        <v>2.7199999999999998E-2</v>
      </c>
      <c r="O145" s="502">
        <v>2.7400000000000001E-2</v>
      </c>
      <c r="P145" s="502">
        <v>2.7699999999999999E-2</v>
      </c>
      <c r="Q145" s="502">
        <v>2.8199999999999999E-2</v>
      </c>
      <c r="R145" s="502">
        <v>2.8400000000000002E-2</v>
      </c>
      <c r="S145" s="502">
        <v>2.87E-2</v>
      </c>
      <c r="T145" s="502">
        <v>2.9399999999999999E-2</v>
      </c>
      <c r="U145" s="502">
        <v>2.8799999999999999E-2</v>
      </c>
      <c r="V145" s="502">
        <v>2.93E-2</v>
      </c>
      <c r="W145" s="502">
        <v>2.8299999999999999E-2</v>
      </c>
      <c r="X145" s="502">
        <v>2.8399999999999998E-2</v>
      </c>
      <c r="Y145" s="502">
        <v>2.8899999999999999E-2</v>
      </c>
      <c r="Z145" s="502">
        <v>2.9399999999999999E-2</v>
      </c>
      <c r="AA145" s="502">
        <v>2.9700000000000001E-2</v>
      </c>
      <c r="AB145" s="500">
        <v>2.9899999999999999E-2</v>
      </c>
      <c r="AC145" s="502">
        <v>2.9899999999999999E-2</v>
      </c>
      <c r="AD145" s="502">
        <v>0.03</v>
      </c>
      <c r="AE145" s="502">
        <v>3.15E-2</v>
      </c>
      <c r="AF145" s="500">
        <v>3.1899999999999998E-2</v>
      </c>
      <c r="AG145" s="500">
        <v>3.1899999999999998E-2</v>
      </c>
      <c r="AH145" s="500">
        <v>3.1899999999999998E-2</v>
      </c>
      <c r="AI145" s="502">
        <v>3.1899999999999998E-2</v>
      </c>
      <c r="AJ145" s="500">
        <v>3.3099999999999997E-2</v>
      </c>
      <c r="AK145" s="500">
        <v>3.3099999999999997E-2</v>
      </c>
      <c r="AL145" s="502">
        <v>3.3099999999999997E-2</v>
      </c>
      <c r="AM145" s="502">
        <v>3.32E-2</v>
      </c>
      <c r="AN145" s="502">
        <v>3.2500000000000001E-2</v>
      </c>
      <c r="AO145" s="502">
        <v>3.3000000000000002E-2</v>
      </c>
      <c r="AP145" s="502">
        <v>3.5099999999999999E-2</v>
      </c>
      <c r="AQ145" s="502">
        <v>3.5299999999999998E-2</v>
      </c>
      <c r="AR145" s="502">
        <v>3.5200000000000002E-2</v>
      </c>
      <c r="AS145" s="502">
        <v>3.5400000000000001E-2</v>
      </c>
      <c r="AT145" s="500">
        <v>3.5299999999999998E-2</v>
      </c>
      <c r="AU145" s="500">
        <v>3.5299999999999998E-2</v>
      </c>
      <c r="AV145" s="502">
        <v>3.4200000000000001E-2</v>
      </c>
      <c r="AW145" s="501">
        <v>3.39E-2</v>
      </c>
      <c r="AX145" s="501">
        <v>3.4500000000000003E-2</v>
      </c>
      <c r="AY145" s="501">
        <v>3.4500000000000003E-2</v>
      </c>
      <c r="AZ145" s="501">
        <v>3.4500000000000003E-2</v>
      </c>
      <c r="BA145" s="501">
        <v>3.4099999999999998E-2</v>
      </c>
      <c r="BB145" s="501">
        <v>3.4099999999999998E-2</v>
      </c>
      <c r="BC145" s="501">
        <v>3.4099999999999998E-2</v>
      </c>
      <c r="BD145" s="501">
        <v>3.5000000000000003E-2</v>
      </c>
      <c r="BE145" s="501">
        <v>3.5000000000000003E-2</v>
      </c>
      <c r="BF145" s="501">
        <v>3.5000000000000003E-2</v>
      </c>
      <c r="BG145" s="501">
        <v>3.39E-2</v>
      </c>
      <c r="BH145" s="501">
        <v>3.39E-2</v>
      </c>
      <c r="BI145" s="501">
        <v>3.39E-2</v>
      </c>
      <c r="BJ145" s="501">
        <v>3.39E-2</v>
      </c>
      <c r="BK145" s="501">
        <v>3.39E-2</v>
      </c>
      <c r="BL145" s="501">
        <v>3.39E-2</v>
      </c>
      <c r="BM145" s="501">
        <v>3.4299999999999997E-2</v>
      </c>
      <c r="BN145" s="501">
        <v>3.4299999999999997E-2</v>
      </c>
      <c r="BO145" s="501">
        <v>3.4299999999999997E-2</v>
      </c>
      <c r="BP145" s="501">
        <v>3.5299999999999998E-2</v>
      </c>
      <c r="BQ145" s="501">
        <v>3.5299999999999998E-2</v>
      </c>
      <c r="BR145" s="501">
        <v>3.5099999999999999E-2</v>
      </c>
      <c r="BS145" s="501">
        <v>3.5099999999999999E-2</v>
      </c>
      <c r="BT145" s="501">
        <v>3.5400000000000001E-2</v>
      </c>
      <c r="BU145" s="501">
        <v>3.5400000000000001E-2</v>
      </c>
      <c r="BV145" s="501">
        <v>3.5400000000000001E-2</v>
      </c>
      <c r="BW145" s="501">
        <v>3.5400000000000001E-2</v>
      </c>
      <c r="BX145" s="501">
        <v>3.5400000000000001E-2</v>
      </c>
      <c r="BY145" s="501">
        <v>3.3599999999999998E-2</v>
      </c>
      <c r="BZ145" s="501">
        <v>3.3599999999999998E-2</v>
      </c>
      <c r="CA145" s="501">
        <v>3.5099999999999999E-2</v>
      </c>
      <c r="CB145" s="501">
        <v>3.6499999999999998E-2</v>
      </c>
      <c r="CC145" s="501">
        <v>3.78E-2</v>
      </c>
      <c r="CD145" s="501">
        <v>3.8100000000000002E-2</v>
      </c>
      <c r="CE145" s="501">
        <v>3.9E-2</v>
      </c>
      <c r="CF145" s="501">
        <v>3.8800000000000001E-2</v>
      </c>
      <c r="CG145" s="501">
        <v>3.8600000000000002E-2</v>
      </c>
      <c r="CH145" s="501">
        <v>4.1599999999999998E-2</v>
      </c>
      <c r="CI145" s="501">
        <v>4.2099999999999999E-2</v>
      </c>
      <c r="CJ145" s="501">
        <v>4.3099999999999999E-2</v>
      </c>
      <c r="CK145" s="501">
        <v>4.3099999999999999E-2</v>
      </c>
      <c r="CL145" s="501">
        <v>4.3499999999999997E-2</v>
      </c>
      <c r="CM145" s="501">
        <v>4.3700000000000003E-2</v>
      </c>
      <c r="CN145" s="501">
        <v>4.3700000000000003E-2</v>
      </c>
      <c r="CO145" s="501">
        <v>4.41E-2</v>
      </c>
      <c r="CP145" s="501">
        <v>4.41E-2</v>
      </c>
      <c r="CQ145" s="501">
        <v>4.4200000000000003E-2</v>
      </c>
      <c r="CR145" s="501">
        <v>4.3900000000000002E-2</v>
      </c>
      <c r="CS145" s="501">
        <v>4.3900000000000002E-2</v>
      </c>
      <c r="CT145" s="501">
        <v>4.3799999999999999E-2</v>
      </c>
      <c r="CU145" s="484">
        <v>4.41E-2</v>
      </c>
      <c r="CV145" s="482">
        <v>4.3999999999999997E-2</v>
      </c>
      <c r="CW145" s="524">
        <v>4.3799999999999999E-2</v>
      </c>
      <c r="CX145" s="482">
        <v>4.3299999999999998E-2</v>
      </c>
      <c r="CY145" s="482">
        <v>4.3499999999999997E-2</v>
      </c>
      <c r="CZ145" s="482">
        <v>4.3200000000000002E-2</v>
      </c>
      <c r="DA145" s="482">
        <v>4.58E-2</v>
      </c>
      <c r="DB145" s="482">
        <v>4.53E-2</v>
      </c>
      <c r="DC145" s="484">
        <v>4.5499999999999999E-2</v>
      </c>
      <c r="DD145" s="484">
        <v>4.5900000000000003E-2</v>
      </c>
      <c r="DE145" s="484">
        <v>4.5699999999999998E-2</v>
      </c>
      <c r="DF145" s="482">
        <v>4.4999999999999998E-2</v>
      </c>
      <c r="DG145" s="482">
        <v>4.4900000000000002E-2</v>
      </c>
      <c r="DH145" s="482">
        <v>4.3999999999999997E-2</v>
      </c>
      <c r="DI145" s="482">
        <v>4.4600000000000001E-2</v>
      </c>
      <c r="DJ145" s="482">
        <v>4.3299999999999998E-2</v>
      </c>
      <c r="DK145" s="482">
        <v>4.41E-2</v>
      </c>
      <c r="DL145" s="482">
        <v>4.3900000000000002E-2</v>
      </c>
      <c r="DM145" s="482">
        <v>4.4200000000000003E-2</v>
      </c>
      <c r="DN145" s="482">
        <v>4.5900000000000003E-2</v>
      </c>
      <c r="DO145" s="482">
        <v>4.5900000000000003E-2</v>
      </c>
      <c r="DP145" s="482">
        <v>4.5600000000000002E-2</v>
      </c>
      <c r="DQ145" s="482">
        <v>4.6800000000000001E-2</v>
      </c>
      <c r="DR145" s="482">
        <v>4.6699999999999998E-2</v>
      </c>
      <c r="DS145" s="482">
        <v>4.7199999999999999E-2</v>
      </c>
      <c r="DT145" s="482">
        <v>4.6800000000000001E-2</v>
      </c>
      <c r="DU145" s="482">
        <v>4.7300000000000002E-2</v>
      </c>
      <c r="DV145" s="482">
        <v>4.7399999999999998E-2</v>
      </c>
      <c r="DW145" s="482">
        <v>4.7399999999999998E-2</v>
      </c>
      <c r="DX145" s="482">
        <v>4.7699999999999999E-2</v>
      </c>
      <c r="DY145" s="482">
        <v>4.7600000000000003E-2</v>
      </c>
      <c r="DZ145" s="482">
        <v>4.8099999999999997E-2</v>
      </c>
      <c r="EA145" s="482">
        <v>4.8099999999999997E-2</v>
      </c>
      <c r="EB145" s="482">
        <v>4.7699999999999999E-2</v>
      </c>
      <c r="EC145" s="482">
        <v>4.8399999999999999E-2</v>
      </c>
      <c r="ED145" s="482">
        <v>4.7699999999999999E-2</v>
      </c>
      <c r="EE145" s="482">
        <v>4.7800000000000002E-2</v>
      </c>
      <c r="EF145" s="482">
        <v>4.7699999999999999E-2</v>
      </c>
      <c r="EG145" s="482">
        <v>4.7399999999999998E-2</v>
      </c>
      <c r="EH145" s="482">
        <v>4.7300000000000002E-2</v>
      </c>
      <c r="EI145" s="482">
        <v>3.6299999999999999E-2</v>
      </c>
      <c r="EJ145" s="482">
        <v>3.5499999999999997E-2</v>
      </c>
      <c r="EK145" s="482">
        <v>3.44E-2</v>
      </c>
      <c r="EL145" s="482">
        <v>3.3799999999999997E-2</v>
      </c>
      <c r="EM145" s="482">
        <v>3.1199999999999999E-2</v>
      </c>
      <c r="EN145" s="482">
        <v>4.4200000000000003E-2</v>
      </c>
      <c r="EO145" s="482">
        <v>4.3299999999999998E-2</v>
      </c>
      <c r="EP145" s="482">
        <v>4.3099999999999999E-2</v>
      </c>
      <c r="EQ145" s="482">
        <v>4.36E-2</v>
      </c>
      <c r="ER145" s="482">
        <v>4.3099999999999999E-2</v>
      </c>
      <c r="ES145" s="482">
        <v>4.2900000000000001E-2</v>
      </c>
      <c r="ET145" s="482">
        <v>4.1399999999999999E-2</v>
      </c>
      <c r="EU145" s="482">
        <v>4.1200000000000001E-2</v>
      </c>
      <c r="EV145" s="482">
        <v>4.0599999999999997E-2</v>
      </c>
      <c r="EW145" s="482">
        <v>4.1000000000000002E-2</v>
      </c>
      <c r="EX145" s="482">
        <v>4.4999999999999998E-2</v>
      </c>
      <c r="EY145" s="482">
        <v>4.3499999999999997E-2</v>
      </c>
      <c r="EZ145" s="482">
        <v>4.7800000000000002E-2</v>
      </c>
      <c r="FA145" s="484">
        <v>4.8000000000000001E-2</v>
      </c>
      <c r="FB145" s="484">
        <v>4.6800000000000001E-2</v>
      </c>
      <c r="FC145" s="477">
        <v>4.5400000000000003E-2</v>
      </c>
      <c r="FD145" s="477">
        <v>4.3999999999999997E-2</v>
      </c>
      <c r="FE145" s="477">
        <v>4.5400000000000003E-2</v>
      </c>
      <c r="FF145" s="477">
        <v>4.5400000000000003E-2</v>
      </c>
      <c r="FG145" s="477">
        <v>4.5100000000000001E-2</v>
      </c>
      <c r="FH145" s="477">
        <v>4.4999999999999998E-2</v>
      </c>
      <c r="FI145" s="477">
        <v>4.5400000000000003E-2</v>
      </c>
      <c r="FJ145" s="477">
        <v>4.5100000000000001E-2</v>
      </c>
      <c r="FK145" s="477">
        <v>4.4999999999999998E-2</v>
      </c>
      <c r="FL145" s="477">
        <v>4.4999999999999998E-2</v>
      </c>
      <c r="FM145" s="477">
        <v>4.5400000000000003E-2</v>
      </c>
      <c r="FN145" s="477">
        <v>4.5600000000000002E-2</v>
      </c>
      <c r="FO145" s="477">
        <v>4.53E-2</v>
      </c>
      <c r="FP145" s="477">
        <v>4.3700000000000003E-2</v>
      </c>
      <c r="FQ145" s="477">
        <v>4.3900000000000002E-2</v>
      </c>
      <c r="FR145" s="477">
        <v>4.3200000000000002E-2</v>
      </c>
      <c r="FS145" s="477">
        <v>4.2099999999999999E-2</v>
      </c>
      <c r="FT145" s="477">
        <v>4.1399999999999999E-2</v>
      </c>
      <c r="FU145" s="477">
        <v>3.8300000000000001E-2</v>
      </c>
      <c r="FV145" s="482">
        <v>4.5600000000000002E-2</v>
      </c>
      <c r="FW145" s="482">
        <v>4.58E-2</v>
      </c>
      <c r="FX145" s="482">
        <v>4.7100000000000003E-2</v>
      </c>
      <c r="FY145" s="482">
        <v>4.7100000000000003E-2</v>
      </c>
      <c r="FZ145" s="482">
        <v>4.6899999999999997E-2</v>
      </c>
      <c r="GA145" s="482">
        <v>4.6300000000000001E-2</v>
      </c>
      <c r="GB145" s="482">
        <v>4.6199999999999998E-2</v>
      </c>
      <c r="GC145" s="482">
        <v>4.5999999999999999E-2</v>
      </c>
      <c r="GD145" s="477">
        <v>3.44E-2</v>
      </c>
      <c r="GE145" s="477">
        <v>3.44E-2</v>
      </c>
      <c r="GF145" s="477">
        <v>3.44E-2</v>
      </c>
      <c r="GG145" s="477">
        <v>3.44E-2</v>
      </c>
      <c r="GH145" s="477">
        <v>3.44E-2</v>
      </c>
      <c r="GI145" s="477">
        <v>3.44E-2</v>
      </c>
      <c r="GJ145" s="477">
        <v>3.44E-2</v>
      </c>
      <c r="GK145" s="477">
        <v>3.44E-2</v>
      </c>
      <c r="GL145" s="477">
        <v>3.44E-2</v>
      </c>
      <c r="GM145" s="477">
        <v>3.44E-2</v>
      </c>
      <c r="GN145" s="477">
        <v>3.44E-2</v>
      </c>
      <c r="GO145" s="477">
        <v>3.44E-2</v>
      </c>
      <c r="GP145" s="477">
        <v>3.44E-2</v>
      </c>
      <c r="GQ145" s="477">
        <v>3.44E-2</v>
      </c>
      <c r="GR145" s="477">
        <v>3.44E-2</v>
      </c>
      <c r="GS145" s="477">
        <v>3.44E-2</v>
      </c>
      <c r="GT145" s="477">
        <v>3.44E-2</v>
      </c>
      <c r="GU145" s="477">
        <v>3.44E-2</v>
      </c>
      <c r="GV145" s="477">
        <v>3.44E-2</v>
      </c>
      <c r="GW145" s="477">
        <v>3.44E-2</v>
      </c>
      <c r="GX145" s="477">
        <v>3.44E-2</v>
      </c>
      <c r="GY145" s="477">
        <v>3.44E-2</v>
      </c>
      <c r="GZ145" s="477">
        <v>3.44E-2</v>
      </c>
      <c r="HA145" s="477">
        <v>3.44E-2</v>
      </c>
      <c r="HB145" s="477">
        <v>3.44E-2</v>
      </c>
      <c r="HC145" s="477">
        <v>3.44E-2</v>
      </c>
      <c r="HD145" s="477">
        <v>3.44E-2</v>
      </c>
      <c r="HE145" s="477">
        <v>3.44E-2</v>
      </c>
      <c r="HF145" s="477">
        <v>3.44E-2</v>
      </c>
      <c r="HG145" s="477">
        <v>3.44E-2</v>
      </c>
      <c r="HH145" s="477">
        <v>3.44E-2</v>
      </c>
      <c r="HI145" s="477">
        <v>3.44E-2</v>
      </c>
      <c r="HJ145" s="477">
        <v>3.44E-2</v>
      </c>
      <c r="HK145" s="477">
        <v>3.44E-2</v>
      </c>
      <c r="HL145" s="477">
        <v>3.44E-2</v>
      </c>
      <c r="HM145" s="477">
        <v>3.44E-2</v>
      </c>
      <c r="HN145" s="477">
        <v>3.44E-2</v>
      </c>
      <c r="HO145" s="477">
        <v>3.44E-2</v>
      </c>
      <c r="HP145" s="473">
        <f t="shared" si="49"/>
        <v>0</v>
      </c>
      <c r="HQ145" s="1135"/>
    </row>
    <row r="146" spans="2:225">
      <c r="B146" s="1124"/>
      <c r="C146" s="730" t="s">
        <v>242</v>
      </c>
      <c r="D146" s="502">
        <v>2.7799999999999998E-2</v>
      </c>
      <c r="E146" s="502">
        <v>2.7799999999999998E-2</v>
      </c>
      <c r="F146" s="502">
        <v>2.76E-2</v>
      </c>
      <c r="G146" s="502">
        <v>2.7300000000000001E-2</v>
      </c>
      <c r="H146" s="502">
        <v>2.7099999999999999E-2</v>
      </c>
      <c r="I146" s="502">
        <v>2.76E-2</v>
      </c>
      <c r="J146" s="500">
        <v>2.7699999999999999E-2</v>
      </c>
      <c r="K146" s="500">
        <v>2.7699999999999999E-2</v>
      </c>
      <c r="L146" s="502">
        <v>2.7699999999999999E-2</v>
      </c>
      <c r="M146" s="502">
        <v>2.7099999999999999E-2</v>
      </c>
      <c r="N146" s="502">
        <v>2.7199999999999998E-2</v>
      </c>
      <c r="O146" s="502">
        <v>2.7400000000000001E-2</v>
      </c>
      <c r="P146" s="502">
        <v>2.7699999999999999E-2</v>
      </c>
      <c r="Q146" s="502">
        <v>2.8199999999999999E-2</v>
      </c>
      <c r="R146" s="502">
        <v>2.8400000000000002E-2</v>
      </c>
      <c r="S146" s="502">
        <v>2.87E-2</v>
      </c>
      <c r="T146" s="502">
        <v>2.9399999999999999E-2</v>
      </c>
      <c r="U146" s="502">
        <v>2.8799999999999999E-2</v>
      </c>
      <c r="V146" s="502">
        <v>2.93E-2</v>
      </c>
      <c r="W146" s="502">
        <v>2.8299999999999999E-2</v>
      </c>
      <c r="X146" s="502">
        <v>2.8399999999999998E-2</v>
      </c>
      <c r="Y146" s="502">
        <v>2.8899999999999999E-2</v>
      </c>
      <c r="Z146" s="502">
        <v>2.9399999999999999E-2</v>
      </c>
      <c r="AA146" s="502">
        <v>2.9700000000000001E-2</v>
      </c>
      <c r="AB146" s="500">
        <v>2.9899999999999999E-2</v>
      </c>
      <c r="AC146" s="502">
        <v>2.9899999999999999E-2</v>
      </c>
      <c r="AD146" s="502">
        <v>0.03</v>
      </c>
      <c r="AE146" s="502">
        <v>3.15E-2</v>
      </c>
      <c r="AF146" s="500">
        <v>3.1899999999999998E-2</v>
      </c>
      <c r="AG146" s="500">
        <v>3.1899999999999998E-2</v>
      </c>
      <c r="AH146" s="500">
        <v>3.1899999999999998E-2</v>
      </c>
      <c r="AI146" s="502">
        <v>3.1899999999999998E-2</v>
      </c>
      <c r="AJ146" s="500">
        <v>3.3099999999999997E-2</v>
      </c>
      <c r="AK146" s="500">
        <v>3.3099999999999997E-2</v>
      </c>
      <c r="AL146" s="502">
        <v>3.3099999999999997E-2</v>
      </c>
      <c r="AM146" s="502">
        <v>3.32E-2</v>
      </c>
      <c r="AN146" s="502">
        <v>3.2500000000000001E-2</v>
      </c>
      <c r="AO146" s="502">
        <v>3.3000000000000002E-2</v>
      </c>
      <c r="AP146" s="502">
        <v>3.5099999999999999E-2</v>
      </c>
      <c r="AQ146" s="502">
        <v>3.5299999999999998E-2</v>
      </c>
      <c r="AR146" s="502">
        <v>3.5200000000000002E-2</v>
      </c>
      <c r="AS146" s="502">
        <f>$W$145</f>
        <v>2.8299999999999999E-2</v>
      </c>
      <c r="AT146" s="500">
        <f>$AT$145</f>
        <v>3.5299999999999998E-2</v>
      </c>
      <c r="AU146" s="500">
        <f t="shared" ref="AU146:BC148" si="50">$W$145</f>
        <v>2.8299999999999999E-2</v>
      </c>
      <c r="AV146" s="502">
        <f t="shared" si="50"/>
        <v>2.8299999999999999E-2</v>
      </c>
      <c r="AW146" s="501">
        <f t="shared" si="50"/>
        <v>2.8299999999999999E-2</v>
      </c>
      <c r="AX146" s="501">
        <f t="shared" si="50"/>
        <v>2.8299999999999999E-2</v>
      </c>
      <c r="AY146" s="501">
        <f t="shared" si="50"/>
        <v>2.8299999999999999E-2</v>
      </c>
      <c r="AZ146" s="501">
        <f t="shared" si="50"/>
        <v>2.8299999999999999E-2</v>
      </c>
      <c r="BA146" s="501">
        <f t="shared" si="50"/>
        <v>2.8299999999999999E-2</v>
      </c>
      <c r="BB146" s="501">
        <f t="shared" si="50"/>
        <v>2.8299999999999999E-2</v>
      </c>
      <c r="BC146" s="501">
        <f t="shared" si="50"/>
        <v>2.8299999999999999E-2</v>
      </c>
      <c r="BD146" s="501">
        <v>3.5000000000000003E-2</v>
      </c>
      <c r="BE146" s="501">
        <v>3.5000000000000003E-2</v>
      </c>
      <c r="BF146" s="501">
        <v>3.5000000000000003E-2</v>
      </c>
      <c r="BG146" s="501">
        <v>3.39E-2</v>
      </c>
      <c r="BH146" s="501">
        <v>3.39E-2</v>
      </c>
      <c r="BI146" s="501">
        <v>3.39E-2</v>
      </c>
      <c r="BJ146" s="501">
        <v>3.39E-2</v>
      </c>
      <c r="BK146" s="501">
        <v>3.39E-2</v>
      </c>
      <c r="BL146" s="501">
        <v>3.39E-2</v>
      </c>
      <c r="BM146" s="501">
        <v>3.4299999999999997E-2</v>
      </c>
      <c r="BN146" s="501">
        <v>3.4299999999999997E-2</v>
      </c>
      <c r="BO146" s="501">
        <v>3.4299999999999997E-2</v>
      </c>
      <c r="BP146" s="501">
        <v>3.5299999999999998E-2</v>
      </c>
      <c r="BQ146" s="501">
        <v>3.5299999999999998E-2</v>
      </c>
      <c r="BR146" s="501">
        <v>3.5099999999999999E-2</v>
      </c>
      <c r="BS146" s="501">
        <v>3.5099999999999999E-2</v>
      </c>
      <c r="BT146" s="501">
        <v>3.5400000000000001E-2</v>
      </c>
      <c r="BU146" s="501">
        <v>3.5400000000000001E-2</v>
      </c>
      <c r="BV146" s="501">
        <v>3.5400000000000001E-2</v>
      </c>
      <c r="BW146" s="501">
        <v>3.5400000000000001E-2</v>
      </c>
      <c r="BX146" s="501">
        <v>3.5400000000000001E-2</v>
      </c>
      <c r="BY146" s="501">
        <v>3.3599999999999998E-2</v>
      </c>
      <c r="BZ146" s="501">
        <v>3.3599999999999998E-2</v>
      </c>
      <c r="CA146" s="501">
        <v>3.5099999999999999E-2</v>
      </c>
      <c r="CB146" s="501">
        <v>3.6499999999999998E-2</v>
      </c>
      <c r="CC146" s="501">
        <v>3.78E-2</v>
      </c>
      <c r="CD146" s="501">
        <v>3.8100000000000002E-2</v>
      </c>
      <c r="CE146" s="501">
        <v>3.9E-2</v>
      </c>
      <c r="CF146" s="501">
        <v>3.8800000000000001E-2</v>
      </c>
      <c r="CG146" s="501">
        <v>3.8600000000000002E-2</v>
      </c>
      <c r="CH146" s="501">
        <v>4.1599999999999998E-2</v>
      </c>
      <c r="CI146" s="501">
        <v>4.2099999999999999E-2</v>
      </c>
      <c r="CJ146" s="501">
        <v>4.3099999999999999E-2</v>
      </c>
      <c r="CK146" s="501">
        <v>4.3099999999999999E-2</v>
      </c>
      <c r="CL146" s="501">
        <v>4.3499999999999997E-2</v>
      </c>
      <c r="CM146" s="501">
        <v>4.3700000000000003E-2</v>
      </c>
      <c r="CN146" s="501">
        <v>4.3700000000000003E-2</v>
      </c>
      <c r="CO146" s="501">
        <v>4.41E-2</v>
      </c>
      <c r="CP146" s="501">
        <v>4.41E-2</v>
      </c>
      <c r="CQ146" s="501">
        <v>4.4200000000000003E-2</v>
      </c>
      <c r="CR146" s="501">
        <v>4.3900000000000002E-2</v>
      </c>
      <c r="CS146" s="501">
        <v>4.3900000000000002E-2</v>
      </c>
      <c r="CT146" s="501">
        <v>4.3799999999999999E-2</v>
      </c>
      <c r="CU146" s="484">
        <v>4.41E-2</v>
      </c>
      <c r="CV146" s="482">
        <v>4.3999999999999997E-2</v>
      </c>
      <c r="CW146" s="524">
        <v>4.3799999999999999E-2</v>
      </c>
      <c r="CX146" s="482">
        <v>4.3299999999999998E-2</v>
      </c>
      <c r="CY146" s="482">
        <v>4.3499999999999997E-2</v>
      </c>
      <c r="CZ146" s="482">
        <v>4.3200000000000002E-2</v>
      </c>
      <c r="DA146" s="482">
        <v>4.58E-2</v>
      </c>
      <c r="DB146" s="482">
        <v>4.53E-2</v>
      </c>
      <c r="DC146" s="484">
        <v>4.5499999999999999E-2</v>
      </c>
      <c r="DD146" s="484">
        <v>4.5900000000000003E-2</v>
      </c>
      <c r="DE146" s="484">
        <v>4.5699999999999998E-2</v>
      </c>
      <c r="DF146" s="482">
        <v>4.4999999999999998E-2</v>
      </c>
      <c r="DG146" s="482">
        <v>4.4900000000000002E-2</v>
      </c>
      <c r="DH146" s="482">
        <v>4.3999999999999997E-2</v>
      </c>
      <c r="DI146" s="482">
        <v>4.4600000000000001E-2</v>
      </c>
      <c r="DJ146" s="482">
        <v>4.3299999999999998E-2</v>
      </c>
      <c r="DK146" s="482">
        <v>4.41E-2</v>
      </c>
      <c r="DL146" s="482">
        <v>4.3900000000000002E-2</v>
      </c>
      <c r="DM146" s="482">
        <v>4.4200000000000003E-2</v>
      </c>
      <c r="DN146" s="482">
        <v>4.5900000000000003E-2</v>
      </c>
      <c r="DO146" s="482">
        <v>4.5900000000000003E-2</v>
      </c>
      <c r="DP146" s="482">
        <v>4.5600000000000002E-2</v>
      </c>
      <c r="DQ146" s="482">
        <v>4.6800000000000001E-2</v>
      </c>
      <c r="DR146" s="482">
        <v>4.6699999999999998E-2</v>
      </c>
      <c r="DS146" s="482">
        <v>4.7199999999999999E-2</v>
      </c>
      <c r="DT146" s="482">
        <v>4.6800000000000001E-2</v>
      </c>
      <c r="DU146" s="482">
        <v>4.7300000000000002E-2</v>
      </c>
      <c r="DV146" s="482">
        <v>4.7399999999999998E-2</v>
      </c>
      <c r="DW146" s="482">
        <v>4.7399999999999998E-2</v>
      </c>
      <c r="DX146" s="482">
        <v>4.7699999999999999E-2</v>
      </c>
      <c r="DY146" s="482">
        <v>4.7600000000000003E-2</v>
      </c>
      <c r="DZ146" s="482">
        <v>4.8099999999999997E-2</v>
      </c>
      <c r="EA146" s="482">
        <v>4.8099999999999997E-2</v>
      </c>
      <c r="EB146" s="482">
        <v>4.7699999999999999E-2</v>
      </c>
      <c r="EC146" s="482">
        <v>4.8399999999999999E-2</v>
      </c>
      <c r="ED146" s="482">
        <v>4.7699999999999999E-2</v>
      </c>
      <c r="EE146" s="482">
        <v>4.7800000000000002E-2</v>
      </c>
      <c r="EF146" s="482">
        <v>4.7699999999999999E-2</v>
      </c>
      <c r="EG146" s="482">
        <v>4.7399999999999998E-2</v>
      </c>
      <c r="EH146" s="482">
        <v>4.7300000000000002E-2</v>
      </c>
      <c r="EI146" s="482">
        <v>3.6299999999999999E-2</v>
      </c>
      <c r="EJ146" s="482">
        <v>3.5499999999999997E-2</v>
      </c>
      <c r="EK146" s="482">
        <v>3.44E-2</v>
      </c>
      <c r="EL146" s="482">
        <v>3.3799999999999997E-2</v>
      </c>
      <c r="EM146" s="482">
        <v>3.1199999999999999E-2</v>
      </c>
      <c r="EN146" s="482">
        <v>4.4200000000000003E-2</v>
      </c>
      <c r="EO146" s="482">
        <v>4.3299999999999998E-2</v>
      </c>
      <c r="EP146" s="482">
        <v>4.3099999999999999E-2</v>
      </c>
      <c r="EQ146" s="482">
        <v>4.36E-2</v>
      </c>
      <c r="ER146" s="482">
        <v>4.3099999999999999E-2</v>
      </c>
      <c r="ES146" s="482">
        <v>4.2900000000000001E-2</v>
      </c>
      <c r="ET146" s="482">
        <v>4.1399999999999999E-2</v>
      </c>
      <c r="EU146" s="482">
        <v>4.1200000000000001E-2</v>
      </c>
      <c r="EV146" s="482">
        <v>4.0599999999999997E-2</v>
      </c>
      <c r="EW146" s="482">
        <v>4.1000000000000002E-2</v>
      </c>
      <c r="EX146" s="482">
        <v>4.4999999999999998E-2</v>
      </c>
      <c r="EY146" s="482">
        <v>4.3499999999999997E-2</v>
      </c>
      <c r="EZ146" s="482">
        <v>4.7800000000000002E-2</v>
      </c>
      <c r="FA146" s="484">
        <v>4.8000000000000001E-2</v>
      </c>
      <c r="FB146" s="484">
        <v>4.6800000000000001E-2</v>
      </c>
      <c r="FC146" s="477">
        <v>4.5400000000000003E-2</v>
      </c>
      <c r="FD146" s="477">
        <v>4.3999999999999997E-2</v>
      </c>
      <c r="FE146" s="477">
        <v>4.5400000000000003E-2</v>
      </c>
      <c r="FF146" s="477">
        <v>4.5400000000000003E-2</v>
      </c>
      <c r="FG146" s="477">
        <v>4.5100000000000001E-2</v>
      </c>
      <c r="FH146" s="477">
        <v>4.4999999999999998E-2</v>
      </c>
      <c r="FI146" s="477">
        <v>4.5400000000000003E-2</v>
      </c>
      <c r="FJ146" s="477">
        <v>4.5100000000000001E-2</v>
      </c>
      <c r="FK146" s="477">
        <v>4.4999999999999998E-2</v>
      </c>
      <c r="FL146" s="477">
        <v>4.4999999999999998E-2</v>
      </c>
      <c r="FM146" s="477">
        <v>4.5400000000000003E-2</v>
      </c>
      <c r="FN146" s="477">
        <v>4.5600000000000002E-2</v>
      </c>
      <c r="FO146" s="477">
        <v>4.53E-2</v>
      </c>
      <c r="FP146" s="477">
        <v>4.3700000000000003E-2</v>
      </c>
      <c r="FQ146" s="477">
        <v>4.3900000000000002E-2</v>
      </c>
      <c r="FR146" s="477">
        <v>4.3200000000000002E-2</v>
      </c>
      <c r="FS146" s="477">
        <v>4.2099999999999999E-2</v>
      </c>
      <c r="FT146" s="477">
        <v>4.1399999999999999E-2</v>
      </c>
      <c r="FU146" s="477">
        <v>3.8300000000000001E-2</v>
      </c>
      <c r="FV146" s="482">
        <v>4.5600000000000002E-2</v>
      </c>
      <c r="FW146" s="482">
        <v>4.58E-2</v>
      </c>
      <c r="FX146" s="482">
        <v>4.7100000000000003E-2</v>
      </c>
      <c r="FY146" s="482">
        <v>4.7100000000000003E-2</v>
      </c>
      <c r="FZ146" s="482">
        <v>4.6899999999999997E-2</v>
      </c>
      <c r="GA146" s="482">
        <v>4.6300000000000001E-2</v>
      </c>
      <c r="GB146" s="482">
        <v>4.6199999999999998E-2</v>
      </c>
      <c r="GC146" s="482">
        <v>4.5999999999999999E-2</v>
      </c>
      <c r="GD146" s="477">
        <v>3.44E-2</v>
      </c>
      <c r="GE146" s="477">
        <v>3.44E-2</v>
      </c>
      <c r="GF146" s="477">
        <v>3.44E-2</v>
      </c>
      <c r="GG146" s="477">
        <v>3.44E-2</v>
      </c>
      <c r="GH146" s="477">
        <v>3.44E-2</v>
      </c>
      <c r="GI146" s="477">
        <v>3.44E-2</v>
      </c>
      <c r="GJ146" s="477">
        <v>3.44E-2</v>
      </c>
      <c r="GK146" s="477">
        <v>3.44E-2</v>
      </c>
      <c r="GL146" s="477">
        <v>3.44E-2</v>
      </c>
      <c r="GM146" s="477">
        <v>3.44E-2</v>
      </c>
      <c r="GN146" s="477">
        <v>3.44E-2</v>
      </c>
      <c r="GO146" s="477">
        <v>3.44E-2</v>
      </c>
      <c r="GP146" s="477">
        <v>3.44E-2</v>
      </c>
      <c r="GQ146" s="477">
        <v>3.44E-2</v>
      </c>
      <c r="GR146" s="477">
        <v>3.44E-2</v>
      </c>
      <c r="GS146" s="477">
        <v>3.44E-2</v>
      </c>
      <c r="GT146" s="477">
        <v>3.44E-2</v>
      </c>
      <c r="GU146" s="477">
        <v>3.44E-2</v>
      </c>
      <c r="GV146" s="477">
        <v>3.44E-2</v>
      </c>
      <c r="GW146" s="477">
        <v>3.44E-2</v>
      </c>
      <c r="GX146" s="477">
        <v>3.44E-2</v>
      </c>
      <c r="GY146" s="477">
        <v>3.44E-2</v>
      </c>
      <c r="GZ146" s="477">
        <v>3.44E-2</v>
      </c>
      <c r="HA146" s="477">
        <v>3.44E-2</v>
      </c>
      <c r="HB146" s="477">
        <v>3.44E-2</v>
      </c>
      <c r="HC146" s="477">
        <v>3.44E-2</v>
      </c>
      <c r="HD146" s="477">
        <v>3.44E-2</v>
      </c>
      <c r="HE146" s="477">
        <v>3.44E-2</v>
      </c>
      <c r="HF146" s="477">
        <v>3.44E-2</v>
      </c>
      <c r="HG146" s="477">
        <v>3.44E-2</v>
      </c>
      <c r="HH146" s="477">
        <v>3.44E-2</v>
      </c>
      <c r="HI146" s="477">
        <v>3.44E-2</v>
      </c>
      <c r="HJ146" s="477">
        <v>3.44E-2</v>
      </c>
      <c r="HK146" s="477">
        <v>3.44E-2</v>
      </c>
      <c r="HL146" s="477">
        <v>3.44E-2</v>
      </c>
      <c r="HM146" s="477">
        <v>3.44E-2</v>
      </c>
      <c r="HN146" s="477">
        <v>3.44E-2</v>
      </c>
      <c r="HO146" s="477">
        <v>3.44E-2</v>
      </c>
      <c r="HP146" s="473">
        <f t="shared" si="49"/>
        <v>0</v>
      </c>
      <c r="HQ146" s="1136"/>
    </row>
    <row r="147" spans="2:225">
      <c r="B147" s="1124"/>
      <c r="C147" s="730" t="s">
        <v>241</v>
      </c>
      <c r="D147" s="502">
        <v>2.7799999999999998E-2</v>
      </c>
      <c r="E147" s="502">
        <v>2.7799999999999998E-2</v>
      </c>
      <c r="F147" s="502">
        <v>2.76E-2</v>
      </c>
      <c r="G147" s="502">
        <v>2.7300000000000001E-2</v>
      </c>
      <c r="H147" s="502">
        <v>2.7099999999999999E-2</v>
      </c>
      <c r="I147" s="502">
        <v>2.76E-2</v>
      </c>
      <c r="J147" s="500">
        <v>2.7699999999999999E-2</v>
      </c>
      <c r="K147" s="500">
        <v>2.7699999999999999E-2</v>
      </c>
      <c r="L147" s="502">
        <v>2.7699999999999999E-2</v>
      </c>
      <c r="M147" s="502">
        <v>2.7099999999999999E-2</v>
      </c>
      <c r="N147" s="502">
        <v>2.7199999999999998E-2</v>
      </c>
      <c r="O147" s="502">
        <v>2.7400000000000001E-2</v>
      </c>
      <c r="P147" s="502">
        <v>2.7699999999999999E-2</v>
      </c>
      <c r="Q147" s="502">
        <v>2.8199999999999999E-2</v>
      </c>
      <c r="R147" s="502">
        <v>2.8400000000000002E-2</v>
      </c>
      <c r="S147" s="502">
        <v>2.87E-2</v>
      </c>
      <c r="T147" s="502">
        <v>2.9399999999999999E-2</v>
      </c>
      <c r="U147" s="502">
        <v>2.8799999999999999E-2</v>
      </c>
      <c r="V147" s="502">
        <v>2.93E-2</v>
      </c>
      <c r="W147" s="502">
        <v>2.8299999999999999E-2</v>
      </c>
      <c r="X147" s="502">
        <v>2.8399999999999998E-2</v>
      </c>
      <c r="Y147" s="502">
        <v>2.8899999999999999E-2</v>
      </c>
      <c r="Z147" s="502">
        <v>2.9399999999999999E-2</v>
      </c>
      <c r="AA147" s="502">
        <v>2.9700000000000001E-2</v>
      </c>
      <c r="AB147" s="500">
        <v>2.9899999999999999E-2</v>
      </c>
      <c r="AC147" s="502">
        <v>2.9899999999999999E-2</v>
      </c>
      <c r="AD147" s="502">
        <v>0.03</v>
      </c>
      <c r="AE147" s="502">
        <v>3.15E-2</v>
      </c>
      <c r="AF147" s="500">
        <v>3.1899999999999998E-2</v>
      </c>
      <c r="AG147" s="500">
        <v>3.1899999999999998E-2</v>
      </c>
      <c r="AH147" s="500">
        <v>3.1899999999999998E-2</v>
      </c>
      <c r="AI147" s="502">
        <v>3.1899999999999998E-2</v>
      </c>
      <c r="AJ147" s="500">
        <v>3.3099999999999997E-2</v>
      </c>
      <c r="AK147" s="500">
        <v>3.3099999999999997E-2</v>
      </c>
      <c r="AL147" s="502">
        <v>3.3099999999999997E-2</v>
      </c>
      <c r="AM147" s="502">
        <v>3.32E-2</v>
      </c>
      <c r="AN147" s="502">
        <v>3.2500000000000001E-2</v>
      </c>
      <c r="AO147" s="502">
        <v>3.3000000000000002E-2</v>
      </c>
      <c r="AP147" s="502">
        <v>3.5099999999999999E-2</v>
      </c>
      <c r="AQ147" s="502">
        <v>3.5299999999999998E-2</v>
      </c>
      <c r="AR147" s="502">
        <v>3.5200000000000002E-2</v>
      </c>
      <c r="AS147" s="502">
        <f>$W$145</f>
        <v>2.8299999999999999E-2</v>
      </c>
      <c r="AT147" s="500">
        <f>$AT$145</f>
        <v>3.5299999999999998E-2</v>
      </c>
      <c r="AU147" s="500">
        <f t="shared" si="50"/>
        <v>2.8299999999999999E-2</v>
      </c>
      <c r="AV147" s="502">
        <f t="shared" si="50"/>
        <v>2.8299999999999999E-2</v>
      </c>
      <c r="AW147" s="501">
        <f t="shared" si="50"/>
        <v>2.8299999999999999E-2</v>
      </c>
      <c r="AX147" s="501">
        <f t="shared" si="50"/>
        <v>2.8299999999999999E-2</v>
      </c>
      <c r="AY147" s="501">
        <f t="shared" si="50"/>
        <v>2.8299999999999999E-2</v>
      </c>
      <c r="AZ147" s="501">
        <f t="shared" si="50"/>
        <v>2.8299999999999999E-2</v>
      </c>
      <c r="BA147" s="501">
        <f t="shared" si="50"/>
        <v>2.8299999999999999E-2</v>
      </c>
      <c r="BB147" s="501">
        <f t="shared" si="50"/>
        <v>2.8299999999999999E-2</v>
      </c>
      <c r="BC147" s="501">
        <f t="shared" si="50"/>
        <v>2.8299999999999999E-2</v>
      </c>
      <c r="BD147" s="501">
        <v>3.5000000000000003E-2</v>
      </c>
      <c r="BE147" s="501">
        <v>3.5000000000000003E-2</v>
      </c>
      <c r="BF147" s="501">
        <v>3.5000000000000003E-2</v>
      </c>
      <c r="BG147" s="501">
        <v>3.39E-2</v>
      </c>
      <c r="BH147" s="501">
        <v>3.39E-2</v>
      </c>
      <c r="BI147" s="501">
        <v>3.39E-2</v>
      </c>
      <c r="BJ147" s="501">
        <v>3.39E-2</v>
      </c>
      <c r="BK147" s="501">
        <v>3.39E-2</v>
      </c>
      <c r="BL147" s="501">
        <v>3.39E-2</v>
      </c>
      <c r="BM147" s="501">
        <v>3.4299999999999997E-2</v>
      </c>
      <c r="BN147" s="501">
        <v>3.4299999999999997E-2</v>
      </c>
      <c r="BO147" s="501">
        <v>3.4299999999999997E-2</v>
      </c>
      <c r="BP147" s="501">
        <v>3.5299999999999998E-2</v>
      </c>
      <c r="BQ147" s="501">
        <v>3.5299999999999998E-2</v>
      </c>
      <c r="BR147" s="501">
        <v>3.5099999999999999E-2</v>
      </c>
      <c r="BS147" s="501">
        <v>3.5099999999999999E-2</v>
      </c>
      <c r="BT147" s="501">
        <v>3.5400000000000001E-2</v>
      </c>
      <c r="BU147" s="501">
        <v>3.5400000000000001E-2</v>
      </c>
      <c r="BV147" s="501">
        <v>3.5400000000000001E-2</v>
      </c>
      <c r="BW147" s="501">
        <v>3.5400000000000001E-2</v>
      </c>
      <c r="BX147" s="501">
        <v>3.5400000000000001E-2</v>
      </c>
      <c r="BY147" s="501">
        <v>3.3599999999999998E-2</v>
      </c>
      <c r="BZ147" s="501">
        <v>3.3599999999999998E-2</v>
      </c>
      <c r="CA147" s="501">
        <v>3.5099999999999999E-2</v>
      </c>
      <c r="CB147" s="501">
        <v>3.6499999999999998E-2</v>
      </c>
      <c r="CC147" s="501">
        <v>3.78E-2</v>
      </c>
      <c r="CD147" s="501">
        <v>3.8100000000000002E-2</v>
      </c>
      <c r="CE147" s="501">
        <v>3.9E-2</v>
      </c>
      <c r="CF147" s="501">
        <v>3.8800000000000001E-2</v>
      </c>
      <c r="CG147" s="501">
        <v>3.8600000000000002E-2</v>
      </c>
      <c r="CH147" s="501">
        <v>4.1599999999999998E-2</v>
      </c>
      <c r="CI147" s="501">
        <v>4.2099999999999999E-2</v>
      </c>
      <c r="CJ147" s="501">
        <v>4.3099999999999999E-2</v>
      </c>
      <c r="CK147" s="501">
        <v>4.3099999999999999E-2</v>
      </c>
      <c r="CL147" s="501">
        <v>4.3499999999999997E-2</v>
      </c>
      <c r="CM147" s="501">
        <v>4.3700000000000003E-2</v>
      </c>
      <c r="CN147" s="501">
        <v>4.3700000000000003E-2</v>
      </c>
      <c r="CO147" s="501">
        <v>4.41E-2</v>
      </c>
      <c r="CP147" s="501">
        <v>4.41E-2</v>
      </c>
      <c r="CQ147" s="501">
        <v>4.4200000000000003E-2</v>
      </c>
      <c r="CR147" s="501">
        <v>4.3900000000000002E-2</v>
      </c>
      <c r="CS147" s="501">
        <v>4.3900000000000002E-2</v>
      </c>
      <c r="CT147" s="501">
        <v>4.3799999999999999E-2</v>
      </c>
      <c r="CU147" s="484">
        <v>4.41E-2</v>
      </c>
      <c r="CV147" s="482">
        <v>4.3999999999999997E-2</v>
      </c>
      <c r="CW147" s="524">
        <v>4.3799999999999999E-2</v>
      </c>
      <c r="CX147" s="482">
        <v>4.3299999999999998E-2</v>
      </c>
      <c r="CY147" s="482">
        <v>4.3499999999999997E-2</v>
      </c>
      <c r="CZ147" s="482">
        <v>4.3200000000000002E-2</v>
      </c>
      <c r="DA147" s="482">
        <v>4.58E-2</v>
      </c>
      <c r="DB147" s="482">
        <v>4.53E-2</v>
      </c>
      <c r="DC147" s="484">
        <v>4.5499999999999999E-2</v>
      </c>
      <c r="DD147" s="484">
        <v>4.5900000000000003E-2</v>
      </c>
      <c r="DE147" s="484">
        <v>4.5699999999999998E-2</v>
      </c>
      <c r="DF147" s="482">
        <v>4.4999999999999998E-2</v>
      </c>
      <c r="DG147" s="482">
        <v>4.4900000000000002E-2</v>
      </c>
      <c r="DH147" s="482">
        <v>4.3999999999999997E-2</v>
      </c>
      <c r="DI147" s="482">
        <v>4.4600000000000001E-2</v>
      </c>
      <c r="DJ147" s="482">
        <v>4.3299999999999998E-2</v>
      </c>
      <c r="DK147" s="482">
        <v>4.41E-2</v>
      </c>
      <c r="DL147" s="482">
        <v>4.3900000000000002E-2</v>
      </c>
      <c r="DM147" s="482">
        <v>4.4200000000000003E-2</v>
      </c>
      <c r="DN147" s="482">
        <v>4.5900000000000003E-2</v>
      </c>
      <c r="DO147" s="482">
        <v>4.5900000000000003E-2</v>
      </c>
      <c r="DP147" s="482">
        <v>4.5600000000000002E-2</v>
      </c>
      <c r="DQ147" s="482">
        <v>4.6800000000000001E-2</v>
      </c>
      <c r="DR147" s="482">
        <v>4.6699999999999998E-2</v>
      </c>
      <c r="DS147" s="482">
        <v>4.7199999999999999E-2</v>
      </c>
      <c r="DT147" s="482">
        <v>4.6800000000000001E-2</v>
      </c>
      <c r="DU147" s="482">
        <v>4.7300000000000002E-2</v>
      </c>
      <c r="DV147" s="482">
        <v>4.7399999999999998E-2</v>
      </c>
      <c r="DW147" s="482">
        <v>4.7399999999999998E-2</v>
      </c>
      <c r="DX147" s="482">
        <v>4.7699999999999999E-2</v>
      </c>
      <c r="DY147" s="482">
        <v>4.7600000000000003E-2</v>
      </c>
      <c r="DZ147" s="482">
        <v>4.8099999999999997E-2</v>
      </c>
      <c r="EA147" s="482">
        <v>4.8099999999999997E-2</v>
      </c>
      <c r="EB147" s="482">
        <v>4.7699999999999999E-2</v>
      </c>
      <c r="EC147" s="482">
        <v>4.8399999999999999E-2</v>
      </c>
      <c r="ED147" s="482">
        <v>4.7699999999999999E-2</v>
      </c>
      <c r="EE147" s="482">
        <v>4.7800000000000002E-2</v>
      </c>
      <c r="EF147" s="482">
        <v>4.7699999999999999E-2</v>
      </c>
      <c r="EG147" s="482">
        <v>4.7399999999999998E-2</v>
      </c>
      <c r="EH147" s="482">
        <v>4.7300000000000002E-2</v>
      </c>
      <c r="EI147" s="482">
        <v>3.6299999999999999E-2</v>
      </c>
      <c r="EJ147" s="482">
        <v>3.5499999999999997E-2</v>
      </c>
      <c r="EK147" s="482">
        <v>3.44E-2</v>
      </c>
      <c r="EL147" s="482">
        <v>3.3799999999999997E-2</v>
      </c>
      <c r="EM147" s="482">
        <v>3.1199999999999999E-2</v>
      </c>
      <c r="EN147" s="482">
        <v>4.4200000000000003E-2</v>
      </c>
      <c r="EO147" s="482">
        <v>4.3299999999999998E-2</v>
      </c>
      <c r="EP147" s="482">
        <v>4.3099999999999999E-2</v>
      </c>
      <c r="EQ147" s="482">
        <v>4.36E-2</v>
      </c>
      <c r="ER147" s="482">
        <v>4.3099999999999999E-2</v>
      </c>
      <c r="ES147" s="482">
        <v>4.2900000000000001E-2</v>
      </c>
      <c r="ET147" s="482">
        <v>4.1399999999999999E-2</v>
      </c>
      <c r="EU147" s="482">
        <v>4.1200000000000001E-2</v>
      </c>
      <c r="EV147" s="482">
        <v>4.0599999999999997E-2</v>
      </c>
      <c r="EW147" s="482">
        <v>4.1000000000000002E-2</v>
      </c>
      <c r="EX147" s="482">
        <v>4.4999999999999998E-2</v>
      </c>
      <c r="EY147" s="482">
        <v>4.3499999999999997E-2</v>
      </c>
      <c r="EZ147" s="482">
        <v>4.7800000000000002E-2</v>
      </c>
      <c r="FA147" s="484">
        <v>4.8000000000000001E-2</v>
      </c>
      <c r="FB147" s="484">
        <v>4.6800000000000001E-2</v>
      </c>
      <c r="FC147" s="477">
        <v>4.5400000000000003E-2</v>
      </c>
      <c r="FD147" s="477">
        <v>4.3999999999999997E-2</v>
      </c>
      <c r="FE147" s="477">
        <v>4.5400000000000003E-2</v>
      </c>
      <c r="FF147" s="477">
        <v>4.5400000000000003E-2</v>
      </c>
      <c r="FG147" s="477">
        <v>4.5100000000000001E-2</v>
      </c>
      <c r="FH147" s="477">
        <v>4.4999999999999998E-2</v>
      </c>
      <c r="FI147" s="477">
        <v>4.5400000000000003E-2</v>
      </c>
      <c r="FJ147" s="477">
        <v>4.5100000000000001E-2</v>
      </c>
      <c r="FK147" s="477">
        <v>4.4999999999999998E-2</v>
      </c>
      <c r="FL147" s="477">
        <v>4.4999999999999998E-2</v>
      </c>
      <c r="FM147" s="477">
        <v>4.5400000000000003E-2</v>
      </c>
      <c r="FN147" s="477">
        <v>4.5600000000000002E-2</v>
      </c>
      <c r="FO147" s="477">
        <v>4.53E-2</v>
      </c>
      <c r="FP147" s="477">
        <v>4.3700000000000003E-2</v>
      </c>
      <c r="FQ147" s="477">
        <v>4.3900000000000002E-2</v>
      </c>
      <c r="FR147" s="477">
        <v>4.3200000000000002E-2</v>
      </c>
      <c r="FS147" s="477">
        <v>4.2099999999999999E-2</v>
      </c>
      <c r="FT147" s="477">
        <v>4.1399999999999999E-2</v>
      </c>
      <c r="FU147" s="477">
        <v>3.8300000000000001E-2</v>
      </c>
      <c r="FV147" s="482">
        <v>4.5600000000000002E-2</v>
      </c>
      <c r="FW147" s="482">
        <v>4.58E-2</v>
      </c>
      <c r="FX147" s="482">
        <v>4.7100000000000003E-2</v>
      </c>
      <c r="FY147" s="482">
        <v>4.7100000000000003E-2</v>
      </c>
      <c r="FZ147" s="482">
        <v>4.6899999999999997E-2</v>
      </c>
      <c r="GA147" s="482">
        <v>4.6300000000000001E-2</v>
      </c>
      <c r="GB147" s="482">
        <v>4.6199999999999998E-2</v>
      </c>
      <c r="GC147" s="482">
        <v>4.5999999999999999E-2</v>
      </c>
      <c r="GD147" s="477">
        <v>3.44E-2</v>
      </c>
      <c r="GE147" s="477">
        <v>3.44E-2</v>
      </c>
      <c r="GF147" s="477">
        <v>3.44E-2</v>
      </c>
      <c r="GG147" s="477">
        <v>3.44E-2</v>
      </c>
      <c r="GH147" s="477">
        <v>3.44E-2</v>
      </c>
      <c r="GI147" s="477">
        <v>3.44E-2</v>
      </c>
      <c r="GJ147" s="477">
        <v>3.44E-2</v>
      </c>
      <c r="GK147" s="477">
        <v>3.44E-2</v>
      </c>
      <c r="GL147" s="477">
        <v>3.44E-2</v>
      </c>
      <c r="GM147" s="477">
        <v>3.44E-2</v>
      </c>
      <c r="GN147" s="477">
        <v>3.44E-2</v>
      </c>
      <c r="GO147" s="477">
        <v>3.44E-2</v>
      </c>
      <c r="GP147" s="477">
        <v>3.44E-2</v>
      </c>
      <c r="GQ147" s="477">
        <v>3.44E-2</v>
      </c>
      <c r="GR147" s="477">
        <v>3.44E-2</v>
      </c>
      <c r="GS147" s="477">
        <v>3.44E-2</v>
      </c>
      <c r="GT147" s="477">
        <v>3.44E-2</v>
      </c>
      <c r="GU147" s="477">
        <v>3.44E-2</v>
      </c>
      <c r="GV147" s="477">
        <v>3.44E-2</v>
      </c>
      <c r="GW147" s="477">
        <v>3.44E-2</v>
      </c>
      <c r="GX147" s="477">
        <v>3.44E-2</v>
      </c>
      <c r="GY147" s="477">
        <v>3.44E-2</v>
      </c>
      <c r="GZ147" s="477">
        <v>3.44E-2</v>
      </c>
      <c r="HA147" s="477">
        <v>3.44E-2</v>
      </c>
      <c r="HB147" s="477">
        <v>3.44E-2</v>
      </c>
      <c r="HC147" s="477">
        <v>3.44E-2</v>
      </c>
      <c r="HD147" s="477">
        <v>3.44E-2</v>
      </c>
      <c r="HE147" s="477">
        <v>3.44E-2</v>
      </c>
      <c r="HF147" s="477">
        <v>3.44E-2</v>
      </c>
      <c r="HG147" s="477">
        <v>3.44E-2</v>
      </c>
      <c r="HH147" s="477">
        <v>3.44E-2</v>
      </c>
      <c r="HI147" s="477">
        <v>3.44E-2</v>
      </c>
      <c r="HJ147" s="477">
        <v>3.44E-2</v>
      </c>
      <c r="HK147" s="477">
        <v>3.44E-2</v>
      </c>
      <c r="HL147" s="477">
        <v>3.44E-2</v>
      </c>
      <c r="HM147" s="477">
        <v>3.44E-2</v>
      </c>
      <c r="HN147" s="477">
        <v>3.44E-2</v>
      </c>
      <c r="HO147" s="477">
        <v>3.44E-2</v>
      </c>
      <c r="HP147" s="473">
        <f t="shared" si="49"/>
        <v>0</v>
      </c>
      <c r="HQ147" s="1136"/>
    </row>
    <row r="148" spans="2:225">
      <c r="B148" s="1124"/>
      <c r="C148" s="730" t="s">
        <v>219</v>
      </c>
      <c r="D148" s="502">
        <v>2.7799999999999998E-2</v>
      </c>
      <c r="E148" s="502">
        <v>2.7799999999999998E-2</v>
      </c>
      <c r="F148" s="502">
        <v>2.76E-2</v>
      </c>
      <c r="G148" s="502">
        <v>2.7300000000000001E-2</v>
      </c>
      <c r="H148" s="502">
        <v>2.7099999999999999E-2</v>
      </c>
      <c r="I148" s="502">
        <v>2.76E-2</v>
      </c>
      <c r="J148" s="500">
        <v>2.7699999999999999E-2</v>
      </c>
      <c r="K148" s="500">
        <v>2.7699999999999999E-2</v>
      </c>
      <c r="L148" s="502">
        <v>2.7699999999999999E-2</v>
      </c>
      <c r="M148" s="502">
        <v>2.7099999999999999E-2</v>
      </c>
      <c r="N148" s="502">
        <v>2.7199999999999998E-2</v>
      </c>
      <c r="O148" s="502">
        <v>2.7400000000000001E-2</v>
      </c>
      <c r="P148" s="502">
        <v>2.7699999999999999E-2</v>
      </c>
      <c r="Q148" s="502">
        <v>2.8199999999999999E-2</v>
      </c>
      <c r="R148" s="502">
        <v>2.8400000000000002E-2</v>
      </c>
      <c r="S148" s="502">
        <v>2.87E-2</v>
      </c>
      <c r="T148" s="502">
        <v>2.9399999999999999E-2</v>
      </c>
      <c r="U148" s="502">
        <v>2.8799999999999999E-2</v>
      </c>
      <c r="V148" s="502">
        <v>2.93E-2</v>
      </c>
      <c r="W148" s="502">
        <v>2.8299999999999999E-2</v>
      </c>
      <c r="X148" s="502">
        <v>2.8399999999999998E-2</v>
      </c>
      <c r="Y148" s="502">
        <v>2.8899999999999999E-2</v>
      </c>
      <c r="Z148" s="502">
        <v>2.9399999999999999E-2</v>
      </c>
      <c r="AA148" s="502">
        <v>2.9700000000000001E-2</v>
      </c>
      <c r="AB148" s="500">
        <v>2.9899999999999999E-2</v>
      </c>
      <c r="AC148" s="502">
        <v>2.9899999999999999E-2</v>
      </c>
      <c r="AD148" s="502">
        <v>0.03</v>
      </c>
      <c r="AE148" s="502">
        <v>3.15E-2</v>
      </c>
      <c r="AF148" s="500">
        <v>3.1899999999999998E-2</v>
      </c>
      <c r="AG148" s="500">
        <v>3.1899999999999998E-2</v>
      </c>
      <c r="AH148" s="500">
        <v>3.1899999999999998E-2</v>
      </c>
      <c r="AI148" s="502">
        <v>3.1899999999999998E-2</v>
      </c>
      <c r="AJ148" s="500">
        <v>3.3099999999999997E-2</v>
      </c>
      <c r="AK148" s="500">
        <v>3.3099999999999997E-2</v>
      </c>
      <c r="AL148" s="502">
        <v>3.3099999999999997E-2</v>
      </c>
      <c r="AM148" s="502">
        <v>3.32E-2</v>
      </c>
      <c r="AN148" s="502">
        <v>3.2500000000000001E-2</v>
      </c>
      <c r="AO148" s="502">
        <v>3.3000000000000002E-2</v>
      </c>
      <c r="AP148" s="502">
        <v>3.5099999999999999E-2</v>
      </c>
      <c r="AQ148" s="502">
        <v>3.5299999999999998E-2</v>
      </c>
      <c r="AR148" s="502">
        <v>3.5200000000000002E-2</v>
      </c>
      <c r="AS148" s="502">
        <f>$W$145</f>
        <v>2.8299999999999999E-2</v>
      </c>
      <c r="AT148" s="500">
        <f>$AT$145</f>
        <v>3.5299999999999998E-2</v>
      </c>
      <c r="AU148" s="500">
        <f t="shared" si="50"/>
        <v>2.8299999999999999E-2</v>
      </c>
      <c r="AV148" s="502">
        <f t="shared" si="50"/>
        <v>2.8299999999999999E-2</v>
      </c>
      <c r="AW148" s="501">
        <f t="shared" si="50"/>
        <v>2.8299999999999999E-2</v>
      </c>
      <c r="AX148" s="501">
        <f t="shared" si="50"/>
        <v>2.8299999999999999E-2</v>
      </c>
      <c r="AY148" s="501">
        <f t="shared" si="50"/>
        <v>2.8299999999999999E-2</v>
      </c>
      <c r="AZ148" s="501">
        <f t="shared" si="50"/>
        <v>2.8299999999999999E-2</v>
      </c>
      <c r="BA148" s="501">
        <f t="shared" si="50"/>
        <v>2.8299999999999999E-2</v>
      </c>
      <c r="BB148" s="501">
        <f t="shared" si="50"/>
        <v>2.8299999999999999E-2</v>
      </c>
      <c r="BC148" s="501">
        <f t="shared" si="50"/>
        <v>2.8299999999999999E-2</v>
      </c>
      <c r="BD148" s="501">
        <v>3.5000000000000003E-2</v>
      </c>
      <c r="BE148" s="501">
        <v>3.5000000000000003E-2</v>
      </c>
      <c r="BF148" s="501">
        <v>3.5000000000000003E-2</v>
      </c>
      <c r="BG148" s="501">
        <v>3.39E-2</v>
      </c>
      <c r="BH148" s="501">
        <v>3.39E-2</v>
      </c>
      <c r="BI148" s="501">
        <v>3.39E-2</v>
      </c>
      <c r="BJ148" s="501">
        <v>3.39E-2</v>
      </c>
      <c r="BK148" s="501">
        <v>3.39E-2</v>
      </c>
      <c r="BL148" s="501">
        <v>3.39E-2</v>
      </c>
      <c r="BM148" s="501">
        <v>3.4299999999999997E-2</v>
      </c>
      <c r="BN148" s="501">
        <v>3.4299999999999997E-2</v>
      </c>
      <c r="BO148" s="501">
        <v>3.4299999999999997E-2</v>
      </c>
      <c r="BP148" s="501">
        <v>3.5299999999999998E-2</v>
      </c>
      <c r="BQ148" s="501">
        <v>3.5299999999999998E-2</v>
      </c>
      <c r="BR148" s="501">
        <v>3.5099999999999999E-2</v>
      </c>
      <c r="BS148" s="501">
        <v>3.5099999999999999E-2</v>
      </c>
      <c r="BT148" s="501">
        <v>3.5400000000000001E-2</v>
      </c>
      <c r="BU148" s="501">
        <v>3.5400000000000001E-2</v>
      </c>
      <c r="BV148" s="501">
        <v>3.5400000000000001E-2</v>
      </c>
      <c r="BW148" s="501">
        <v>3.5400000000000001E-2</v>
      </c>
      <c r="BX148" s="501">
        <v>3.5400000000000001E-2</v>
      </c>
      <c r="BY148" s="501">
        <v>3.3599999999999998E-2</v>
      </c>
      <c r="BZ148" s="501">
        <v>3.3599999999999998E-2</v>
      </c>
      <c r="CA148" s="501">
        <v>3.5099999999999999E-2</v>
      </c>
      <c r="CB148" s="501">
        <v>3.6499999999999998E-2</v>
      </c>
      <c r="CC148" s="501">
        <v>3.78E-2</v>
      </c>
      <c r="CD148" s="501">
        <v>3.8100000000000002E-2</v>
      </c>
      <c r="CE148" s="501">
        <v>3.9E-2</v>
      </c>
      <c r="CF148" s="501">
        <v>3.8800000000000001E-2</v>
      </c>
      <c r="CG148" s="501">
        <v>3.8600000000000002E-2</v>
      </c>
      <c r="CH148" s="501">
        <v>4.1599999999999998E-2</v>
      </c>
      <c r="CI148" s="501">
        <v>4.2099999999999999E-2</v>
      </c>
      <c r="CJ148" s="501">
        <v>4.3099999999999999E-2</v>
      </c>
      <c r="CK148" s="501">
        <v>4.3099999999999999E-2</v>
      </c>
      <c r="CL148" s="501">
        <v>4.3499999999999997E-2</v>
      </c>
      <c r="CM148" s="501">
        <v>4.3700000000000003E-2</v>
      </c>
      <c r="CN148" s="501">
        <v>4.3700000000000003E-2</v>
      </c>
      <c r="CO148" s="501">
        <v>4.41E-2</v>
      </c>
      <c r="CP148" s="501">
        <v>4.41E-2</v>
      </c>
      <c r="CQ148" s="501">
        <v>4.4200000000000003E-2</v>
      </c>
      <c r="CR148" s="501">
        <v>4.3900000000000002E-2</v>
      </c>
      <c r="CS148" s="501">
        <v>4.3900000000000002E-2</v>
      </c>
      <c r="CT148" s="501">
        <v>4.3799999999999999E-2</v>
      </c>
      <c r="CU148" s="484">
        <v>4.41E-2</v>
      </c>
      <c r="CV148" s="482">
        <v>4.3999999999999997E-2</v>
      </c>
      <c r="CW148" s="524">
        <v>4.3799999999999999E-2</v>
      </c>
      <c r="CX148" s="482">
        <v>4.3299999999999998E-2</v>
      </c>
      <c r="CY148" s="482">
        <v>4.3499999999999997E-2</v>
      </c>
      <c r="CZ148" s="482">
        <v>4.3200000000000002E-2</v>
      </c>
      <c r="DA148" s="482">
        <v>4.58E-2</v>
      </c>
      <c r="DB148" s="482">
        <v>4.53E-2</v>
      </c>
      <c r="DC148" s="484">
        <v>4.5499999999999999E-2</v>
      </c>
      <c r="DD148" s="484">
        <v>4.5900000000000003E-2</v>
      </c>
      <c r="DE148" s="484">
        <v>4.5699999999999998E-2</v>
      </c>
      <c r="DF148" s="482">
        <v>4.4999999999999998E-2</v>
      </c>
      <c r="DG148" s="482">
        <v>4.4900000000000002E-2</v>
      </c>
      <c r="DH148" s="482">
        <v>4.3999999999999997E-2</v>
      </c>
      <c r="DI148" s="482">
        <v>4.4600000000000001E-2</v>
      </c>
      <c r="DJ148" s="482">
        <v>4.3299999999999998E-2</v>
      </c>
      <c r="DK148" s="482">
        <v>4.41E-2</v>
      </c>
      <c r="DL148" s="482">
        <v>4.3900000000000002E-2</v>
      </c>
      <c r="DM148" s="482">
        <v>4.4200000000000003E-2</v>
      </c>
      <c r="DN148" s="482">
        <v>4.5900000000000003E-2</v>
      </c>
      <c r="DO148" s="482">
        <v>4.5900000000000003E-2</v>
      </c>
      <c r="DP148" s="482">
        <v>4.5600000000000002E-2</v>
      </c>
      <c r="DQ148" s="482">
        <v>4.6800000000000001E-2</v>
      </c>
      <c r="DR148" s="482">
        <v>4.6699999999999998E-2</v>
      </c>
      <c r="DS148" s="482">
        <v>4.7199999999999999E-2</v>
      </c>
      <c r="DT148" s="482">
        <v>4.6800000000000001E-2</v>
      </c>
      <c r="DU148" s="482">
        <v>4.7300000000000002E-2</v>
      </c>
      <c r="DV148" s="482">
        <v>4.7399999999999998E-2</v>
      </c>
      <c r="DW148" s="482">
        <v>4.7399999999999998E-2</v>
      </c>
      <c r="DX148" s="482">
        <v>4.7699999999999999E-2</v>
      </c>
      <c r="DY148" s="482">
        <v>4.7600000000000003E-2</v>
      </c>
      <c r="DZ148" s="482">
        <v>4.8099999999999997E-2</v>
      </c>
      <c r="EA148" s="482">
        <v>4.8099999999999997E-2</v>
      </c>
      <c r="EB148" s="482">
        <v>4.7699999999999999E-2</v>
      </c>
      <c r="EC148" s="482">
        <v>4.8399999999999999E-2</v>
      </c>
      <c r="ED148" s="482">
        <v>4.7699999999999999E-2</v>
      </c>
      <c r="EE148" s="482">
        <v>4.7800000000000002E-2</v>
      </c>
      <c r="EF148" s="482">
        <v>4.7699999999999999E-2</v>
      </c>
      <c r="EG148" s="482">
        <v>4.7399999999999998E-2</v>
      </c>
      <c r="EH148" s="482">
        <v>4.7300000000000002E-2</v>
      </c>
      <c r="EI148" s="482">
        <v>3.6299999999999999E-2</v>
      </c>
      <c r="EJ148" s="482">
        <v>3.5499999999999997E-2</v>
      </c>
      <c r="EK148" s="482">
        <v>3.44E-2</v>
      </c>
      <c r="EL148" s="482">
        <v>3.3799999999999997E-2</v>
      </c>
      <c r="EM148" s="482">
        <v>3.1199999999999999E-2</v>
      </c>
      <c r="EN148" s="482">
        <v>4.4200000000000003E-2</v>
      </c>
      <c r="EO148" s="482">
        <v>4.3299999999999998E-2</v>
      </c>
      <c r="EP148" s="482">
        <v>4.3099999999999999E-2</v>
      </c>
      <c r="EQ148" s="482">
        <v>4.36E-2</v>
      </c>
      <c r="ER148" s="482">
        <v>4.3099999999999999E-2</v>
      </c>
      <c r="ES148" s="482">
        <v>4.2900000000000001E-2</v>
      </c>
      <c r="ET148" s="482">
        <v>4.1399999999999999E-2</v>
      </c>
      <c r="EU148" s="482">
        <v>4.1200000000000001E-2</v>
      </c>
      <c r="EV148" s="482">
        <v>4.0599999999999997E-2</v>
      </c>
      <c r="EW148" s="482">
        <v>4.1000000000000002E-2</v>
      </c>
      <c r="EX148" s="482">
        <v>4.4999999999999998E-2</v>
      </c>
      <c r="EY148" s="482">
        <v>4.3499999999999997E-2</v>
      </c>
      <c r="EZ148" s="482">
        <v>4.7800000000000002E-2</v>
      </c>
      <c r="FA148" s="484">
        <v>4.8000000000000001E-2</v>
      </c>
      <c r="FB148" s="484">
        <v>4.6800000000000001E-2</v>
      </c>
      <c r="FC148" s="477">
        <v>4.5400000000000003E-2</v>
      </c>
      <c r="FD148" s="477">
        <v>4.3999999999999997E-2</v>
      </c>
      <c r="FE148" s="477">
        <v>4.5400000000000003E-2</v>
      </c>
      <c r="FF148" s="477">
        <v>4.5400000000000003E-2</v>
      </c>
      <c r="FG148" s="477">
        <v>4.5100000000000001E-2</v>
      </c>
      <c r="FH148" s="477">
        <v>4.4999999999999998E-2</v>
      </c>
      <c r="FI148" s="477">
        <v>4.5400000000000003E-2</v>
      </c>
      <c r="FJ148" s="477">
        <v>4.5100000000000001E-2</v>
      </c>
      <c r="FK148" s="477">
        <v>4.4999999999999998E-2</v>
      </c>
      <c r="FL148" s="477">
        <v>4.4999999999999998E-2</v>
      </c>
      <c r="FM148" s="477">
        <v>4.5400000000000003E-2</v>
      </c>
      <c r="FN148" s="477">
        <v>4.5600000000000002E-2</v>
      </c>
      <c r="FO148" s="477">
        <v>4.53E-2</v>
      </c>
      <c r="FP148" s="477">
        <v>4.3700000000000003E-2</v>
      </c>
      <c r="FQ148" s="477">
        <v>4.3900000000000002E-2</v>
      </c>
      <c r="FR148" s="477">
        <v>4.3200000000000002E-2</v>
      </c>
      <c r="FS148" s="477">
        <v>4.2099999999999999E-2</v>
      </c>
      <c r="FT148" s="477">
        <v>4.1399999999999999E-2</v>
      </c>
      <c r="FU148" s="477">
        <v>3.8300000000000001E-2</v>
      </c>
      <c r="FV148" s="482">
        <v>4.5600000000000002E-2</v>
      </c>
      <c r="FW148" s="482">
        <v>4.58E-2</v>
      </c>
      <c r="FX148" s="482">
        <v>4.7100000000000003E-2</v>
      </c>
      <c r="FY148" s="482">
        <v>4.7100000000000003E-2</v>
      </c>
      <c r="FZ148" s="482">
        <v>4.6899999999999997E-2</v>
      </c>
      <c r="GA148" s="482">
        <v>4.6300000000000001E-2</v>
      </c>
      <c r="GB148" s="482">
        <v>4.6199999999999998E-2</v>
      </c>
      <c r="GC148" s="482">
        <v>4.5999999999999999E-2</v>
      </c>
      <c r="GD148" s="477">
        <v>3.44E-2</v>
      </c>
      <c r="GE148" s="477">
        <v>3.44E-2</v>
      </c>
      <c r="GF148" s="477">
        <v>3.44E-2</v>
      </c>
      <c r="GG148" s="477">
        <v>3.44E-2</v>
      </c>
      <c r="GH148" s="477">
        <v>3.44E-2</v>
      </c>
      <c r="GI148" s="477">
        <v>3.44E-2</v>
      </c>
      <c r="GJ148" s="477">
        <v>3.44E-2</v>
      </c>
      <c r="GK148" s="477">
        <v>3.44E-2</v>
      </c>
      <c r="GL148" s="477">
        <v>3.44E-2</v>
      </c>
      <c r="GM148" s="477">
        <v>3.44E-2</v>
      </c>
      <c r="GN148" s="477">
        <v>3.44E-2</v>
      </c>
      <c r="GO148" s="477">
        <v>3.44E-2</v>
      </c>
      <c r="GP148" s="477">
        <v>3.44E-2</v>
      </c>
      <c r="GQ148" s="477">
        <v>3.44E-2</v>
      </c>
      <c r="GR148" s="477">
        <v>3.44E-2</v>
      </c>
      <c r="GS148" s="477">
        <v>3.44E-2</v>
      </c>
      <c r="GT148" s="477">
        <v>3.44E-2</v>
      </c>
      <c r="GU148" s="477">
        <v>3.44E-2</v>
      </c>
      <c r="GV148" s="477">
        <v>3.44E-2</v>
      </c>
      <c r="GW148" s="477">
        <v>3.44E-2</v>
      </c>
      <c r="GX148" s="477">
        <v>3.44E-2</v>
      </c>
      <c r="GY148" s="477">
        <v>3.44E-2</v>
      </c>
      <c r="GZ148" s="477">
        <v>3.44E-2</v>
      </c>
      <c r="HA148" s="477">
        <v>3.44E-2</v>
      </c>
      <c r="HB148" s="477">
        <v>3.44E-2</v>
      </c>
      <c r="HC148" s="477">
        <v>3.44E-2</v>
      </c>
      <c r="HD148" s="477">
        <v>3.44E-2</v>
      </c>
      <c r="HE148" s="477">
        <v>3.44E-2</v>
      </c>
      <c r="HF148" s="477">
        <v>3.44E-2</v>
      </c>
      <c r="HG148" s="477">
        <v>3.44E-2</v>
      </c>
      <c r="HH148" s="477">
        <v>3.44E-2</v>
      </c>
      <c r="HI148" s="477">
        <v>3.44E-2</v>
      </c>
      <c r="HJ148" s="477">
        <v>3.44E-2</v>
      </c>
      <c r="HK148" s="477">
        <v>3.44E-2</v>
      </c>
      <c r="HL148" s="477">
        <v>3.44E-2</v>
      </c>
      <c r="HM148" s="477">
        <v>3.44E-2</v>
      </c>
      <c r="HN148" s="477">
        <v>3.44E-2</v>
      </c>
      <c r="HO148" s="477">
        <v>3.44E-2</v>
      </c>
      <c r="HP148" s="473">
        <f t="shared" si="49"/>
        <v>0</v>
      </c>
      <c r="HQ148" s="1136"/>
    </row>
    <row r="149" spans="2:225">
      <c r="B149" s="1124"/>
      <c r="C149" s="730" t="s">
        <v>240</v>
      </c>
      <c r="D149" s="502">
        <v>3.0800000000000001E-2</v>
      </c>
      <c r="E149" s="502">
        <v>3.0800000000000001E-2</v>
      </c>
      <c r="F149" s="502">
        <v>3.0599999999999999E-2</v>
      </c>
      <c r="G149" s="502">
        <v>3.0300000000000001E-2</v>
      </c>
      <c r="H149" s="502">
        <v>3.0099999999999998E-2</v>
      </c>
      <c r="I149" s="502">
        <v>3.0599999999999999E-2</v>
      </c>
      <c r="J149" s="500">
        <v>3.0700000000000002E-2</v>
      </c>
      <c r="K149" s="500">
        <v>3.0700000000000002E-2</v>
      </c>
      <c r="L149" s="502">
        <v>3.0700000000000002E-2</v>
      </c>
      <c r="M149" s="502">
        <v>3.0099999999999998E-2</v>
      </c>
      <c r="N149" s="502">
        <v>3.0200000000000001E-2</v>
      </c>
      <c r="O149" s="502">
        <v>3.04E-2</v>
      </c>
      <c r="P149" s="502">
        <v>3.0700000000000002E-2</v>
      </c>
      <c r="Q149" s="502">
        <v>3.1199999999999999E-2</v>
      </c>
      <c r="R149" s="502">
        <v>3.1399999999999997E-2</v>
      </c>
      <c r="S149" s="502">
        <v>3.1699999999999999E-2</v>
      </c>
      <c r="T149" s="502">
        <v>3.2399999999999998E-2</v>
      </c>
      <c r="U149" s="502">
        <v>3.1800000000000002E-2</v>
      </c>
      <c r="V149" s="502">
        <v>3.2299999999999995E-2</v>
      </c>
      <c r="W149" s="502">
        <v>3.1299999999999994E-2</v>
      </c>
      <c r="X149" s="502">
        <v>3.1399999999999997E-2</v>
      </c>
      <c r="Y149" s="502">
        <v>3.1899999999999998E-2</v>
      </c>
      <c r="Z149" s="502">
        <v>3.2399999999999998E-2</v>
      </c>
      <c r="AA149" s="502">
        <v>3.27E-2</v>
      </c>
      <c r="AB149" s="500">
        <v>3.2899999999999999E-2</v>
      </c>
      <c r="AC149" s="502">
        <v>3.2899999999999999E-2</v>
      </c>
      <c r="AD149" s="502">
        <v>3.3000000000000002E-2</v>
      </c>
      <c r="AE149" s="502">
        <v>3.4500000000000003E-2</v>
      </c>
      <c r="AF149" s="500">
        <v>3.49E-2</v>
      </c>
      <c r="AG149" s="500">
        <v>3.49E-2</v>
      </c>
      <c r="AH149" s="500">
        <v>3.49E-2</v>
      </c>
      <c r="AI149" s="502">
        <v>3.49E-2</v>
      </c>
      <c r="AJ149" s="500">
        <v>3.61E-2</v>
      </c>
      <c r="AK149" s="500">
        <v>3.61E-2</v>
      </c>
      <c r="AL149" s="502">
        <v>3.61E-2</v>
      </c>
      <c r="AM149" s="502">
        <v>3.6200000000000003E-2</v>
      </c>
      <c r="AN149" s="502">
        <v>3.5499999999999997E-2</v>
      </c>
      <c r="AO149" s="502">
        <v>3.5999999999999997E-2</v>
      </c>
      <c r="AP149" s="502">
        <v>3.8100000000000002E-2</v>
      </c>
      <c r="AQ149" s="502">
        <v>3.8300000000000001E-2</v>
      </c>
      <c r="AR149" s="502">
        <v>3.8200000000000005E-2</v>
      </c>
      <c r="AS149" s="502">
        <f>0.3%+AS148</f>
        <v>3.1300000000000001E-2</v>
      </c>
      <c r="AT149" s="500">
        <f>$AT$145</f>
        <v>3.5299999999999998E-2</v>
      </c>
      <c r="AU149" s="500">
        <f t="shared" ref="AU149:BC149" si="51">0.3%+AU148</f>
        <v>3.1300000000000001E-2</v>
      </c>
      <c r="AV149" s="502">
        <f t="shared" si="51"/>
        <v>3.1300000000000001E-2</v>
      </c>
      <c r="AW149" s="501">
        <f t="shared" si="51"/>
        <v>3.1300000000000001E-2</v>
      </c>
      <c r="AX149" s="501">
        <f t="shared" si="51"/>
        <v>3.1300000000000001E-2</v>
      </c>
      <c r="AY149" s="501">
        <f t="shared" si="51"/>
        <v>3.1300000000000001E-2</v>
      </c>
      <c r="AZ149" s="501">
        <f t="shared" si="51"/>
        <v>3.1300000000000001E-2</v>
      </c>
      <c r="BA149" s="501">
        <f t="shared" si="51"/>
        <v>3.1300000000000001E-2</v>
      </c>
      <c r="BB149" s="501">
        <f t="shared" si="51"/>
        <v>3.1300000000000001E-2</v>
      </c>
      <c r="BC149" s="501">
        <f t="shared" si="51"/>
        <v>3.1300000000000001E-2</v>
      </c>
      <c r="BD149" s="501">
        <v>3.7999999999999999E-2</v>
      </c>
      <c r="BE149" s="501">
        <v>3.7999999999999999E-2</v>
      </c>
      <c r="BF149" s="501">
        <v>3.7999999999999999E-2</v>
      </c>
      <c r="BG149" s="501">
        <v>3.6900000000000002E-2</v>
      </c>
      <c r="BH149" s="501">
        <v>3.6900000000000002E-2</v>
      </c>
      <c r="BI149" s="501">
        <v>3.6900000000000002E-2</v>
      </c>
      <c r="BJ149" s="501">
        <v>3.6900000000000002E-2</v>
      </c>
      <c r="BK149" s="501">
        <v>3.6900000000000002E-2</v>
      </c>
      <c r="BL149" s="501">
        <v>3.6900000000000002E-2</v>
      </c>
      <c r="BM149" s="501">
        <v>3.73E-2</v>
      </c>
      <c r="BN149" s="501">
        <v>3.73E-2</v>
      </c>
      <c r="BO149" s="501">
        <v>3.73E-2</v>
      </c>
      <c r="BP149" s="501">
        <v>3.8300000000000001E-2</v>
      </c>
      <c r="BQ149" s="501">
        <v>3.8300000000000001E-2</v>
      </c>
      <c r="BR149" s="501">
        <v>3.8100000000000002E-2</v>
      </c>
      <c r="BS149" s="501">
        <v>3.8100000000000002E-2</v>
      </c>
      <c r="BT149" s="501">
        <v>3.8399999999999997E-2</v>
      </c>
      <c r="BU149" s="501">
        <v>3.8399999999999997E-2</v>
      </c>
      <c r="BV149" s="501">
        <v>3.8399999999999997E-2</v>
      </c>
      <c r="BW149" s="501">
        <v>3.8399999999999997E-2</v>
      </c>
      <c r="BX149" s="501">
        <v>3.8399999999999997E-2</v>
      </c>
      <c r="BY149" s="501">
        <v>3.6600000000000001E-2</v>
      </c>
      <c r="BZ149" s="501">
        <v>3.6600000000000001E-2</v>
      </c>
      <c r="CA149" s="501">
        <v>3.8100000000000002E-2</v>
      </c>
      <c r="CB149" s="501">
        <v>3.95E-2</v>
      </c>
      <c r="CC149" s="501">
        <v>4.0800000000000003E-2</v>
      </c>
      <c r="CD149" s="501">
        <v>4.1099999999999998E-2</v>
      </c>
      <c r="CE149" s="501">
        <v>4.2000000000000003E-2</v>
      </c>
      <c r="CF149" s="501">
        <v>4.1799999999999997E-2</v>
      </c>
      <c r="CG149" s="501">
        <v>4.1599999999999998E-2</v>
      </c>
      <c r="CH149" s="501">
        <v>4.4600000000000001E-2</v>
      </c>
      <c r="CI149" s="501">
        <v>4.5100000000000001E-2</v>
      </c>
      <c r="CJ149" s="501">
        <v>4.6100000000000002E-2</v>
      </c>
      <c r="CK149" s="501">
        <v>4.6100000000000002E-2</v>
      </c>
      <c r="CL149" s="501">
        <v>4.65E-2</v>
      </c>
      <c r="CM149" s="501">
        <v>4.6699999999999998E-2</v>
      </c>
      <c r="CN149" s="501">
        <v>4.6699999999999998E-2</v>
      </c>
      <c r="CO149" s="501">
        <v>4.7100000000000003E-2</v>
      </c>
      <c r="CP149" s="501">
        <v>4.7100000000000003E-2</v>
      </c>
      <c r="CQ149" s="501">
        <v>4.7199999999999999E-2</v>
      </c>
      <c r="CR149" s="501">
        <v>4.6899999999999997E-2</v>
      </c>
      <c r="CS149" s="501">
        <v>4.6899999999999997E-2</v>
      </c>
      <c r="CT149" s="501">
        <v>4.6800000000000001E-2</v>
      </c>
      <c r="CU149" s="484">
        <v>4.7100000000000003E-2</v>
      </c>
      <c r="CV149" s="482">
        <v>4.7E-2</v>
      </c>
      <c r="CW149" s="524">
        <v>4.6800000000000001E-2</v>
      </c>
      <c r="CX149" s="482">
        <v>4.6300000000000001E-2</v>
      </c>
      <c r="CY149" s="482">
        <v>4.65E-2</v>
      </c>
      <c r="CZ149" s="482">
        <v>4.6199999999999998E-2</v>
      </c>
      <c r="DA149" s="482">
        <v>4.8800000000000003E-2</v>
      </c>
      <c r="DB149" s="482">
        <v>4.8300000000000003E-2</v>
      </c>
      <c r="DC149" s="484">
        <v>4.8500000000000001E-2</v>
      </c>
      <c r="DD149" s="484">
        <v>4.8899999999999999E-2</v>
      </c>
      <c r="DE149" s="484">
        <v>4.87E-2</v>
      </c>
      <c r="DF149" s="482">
        <v>4.8000000000000001E-2</v>
      </c>
      <c r="DG149" s="482">
        <v>4.7899999999999998E-2</v>
      </c>
      <c r="DH149" s="482">
        <v>4.7E-2</v>
      </c>
      <c r="DI149" s="482">
        <v>4.7600000000000003E-2</v>
      </c>
      <c r="DJ149" s="482">
        <v>4.6300000000000001E-2</v>
      </c>
      <c r="DK149" s="482">
        <v>4.7100000000000003E-2</v>
      </c>
      <c r="DL149" s="482">
        <v>4.6899999999999997E-2</v>
      </c>
      <c r="DM149" s="482">
        <v>4.7199999999999999E-2</v>
      </c>
      <c r="DN149" s="482">
        <v>4.8899999999999999E-2</v>
      </c>
      <c r="DO149" s="482">
        <v>4.8899999999999999E-2</v>
      </c>
      <c r="DP149" s="482">
        <v>4.8599999999999997E-2</v>
      </c>
      <c r="DQ149" s="482">
        <v>4.9799999999999997E-2</v>
      </c>
      <c r="DR149" s="482">
        <v>4.9700000000000001E-2</v>
      </c>
      <c r="DS149" s="482">
        <v>5.0200000000000002E-2</v>
      </c>
      <c r="DT149" s="482">
        <v>4.9799999999999997E-2</v>
      </c>
      <c r="DU149" s="482">
        <v>5.0299999999999997E-2</v>
      </c>
      <c r="DV149" s="482">
        <v>5.04E-2</v>
      </c>
      <c r="DW149" s="482">
        <v>5.04E-2</v>
      </c>
      <c r="DX149" s="482">
        <v>5.0700000000000002E-2</v>
      </c>
      <c r="DY149" s="482">
        <v>5.0599999999999999E-2</v>
      </c>
      <c r="DZ149" s="482">
        <v>5.11E-2</v>
      </c>
      <c r="EA149" s="482">
        <v>5.11E-2</v>
      </c>
      <c r="EB149" s="482">
        <v>5.0700000000000002E-2</v>
      </c>
      <c r="EC149" s="482">
        <v>5.1400000000000001E-2</v>
      </c>
      <c r="ED149" s="482">
        <v>5.0700000000000002E-2</v>
      </c>
      <c r="EE149" s="482">
        <v>5.0799999999999998E-2</v>
      </c>
      <c r="EF149" s="482">
        <v>5.0700000000000002E-2</v>
      </c>
      <c r="EG149" s="482">
        <v>5.04E-2</v>
      </c>
      <c r="EH149" s="482">
        <v>5.0299999999999997E-2</v>
      </c>
      <c r="EI149" s="482">
        <v>3.8800000000000001E-2</v>
      </c>
      <c r="EJ149" s="482">
        <v>3.7999999999999999E-2</v>
      </c>
      <c r="EK149" s="482">
        <v>3.6900000000000002E-2</v>
      </c>
      <c r="EL149" s="482">
        <v>3.3799999999999997E-2</v>
      </c>
      <c r="EM149" s="482">
        <v>3.1199999999999999E-2</v>
      </c>
      <c r="EN149" s="482">
        <v>4.7199999999999999E-2</v>
      </c>
      <c r="EO149" s="482">
        <v>4.6300000000000001E-2</v>
      </c>
      <c r="EP149" s="482">
        <v>4.6100000000000002E-2</v>
      </c>
      <c r="EQ149" s="482">
        <v>4.6600000000000003E-2</v>
      </c>
      <c r="ER149" s="482">
        <v>4.6100000000000002E-2</v>
      </c>
      <c r="ES149" s="482">
        <v>4.5900000000000003E-2</v>
      </c>
      <c r="ET149" s="482">
        <v>4.4400000000000002E-2</v>
      </c>
      <c r="EU149" s="482">
        <v>4.4200000000000003E-2</v>
      </c>
      <c r="EV149" s="482">
        <v>4.36E-2</v>
      </c>
      <c r="EW149" s="482">
        <v>4.3999999999999997E-2</v>
      </c>
      <c r="EX149" s="482">
        <v>4.7500000000000001E-2</v>
      </c>
      <c r="EY149" s="482">
        <v>4.5999999999999999E-2</v>
      </c>
      <c r="EZ149" s="482">
        <v>5.0299999999999997E-2</v>
      </c>
      <c r="FA149" s="484">
        <v>5.0500000000000003E-2</v>
      </c>
      <c r="FB149" s="484">
        <v>4.9299999999999997E-2</v>
      </c>
      <c r="FC149" s="477">
        <v>4.7899999999999998E-2</v>
      </c>
      <c r="FD149" s="477">
        <v>4.65E-2</v>
      </c>
      <c r="FE149" s="477">
        <v>4.7899999999999998E-2</v>
      </c>
      <c r="FF149" s="477">
        <v>4.7899999999999998E-2</v>
      </c>
      <c r="FG149" s="477">
        <v>4.7600000000000003E-2</v>
      </c>
      <c r="FH149" s="477">
        <v>4.7500000000000001E-2</v>
      </c>
      <c r="FI149" s="477">
        <v>4.7899999999999998E-2</v>
      </c>
      <c r="FJ149" s="477">
        <v>4.7600000000000003E-2</v>
      </c>
      <c r="FK149" s="477">
        <v>4.7500000000000001E-2</v>
      </c>
      <c r="FL149" s="477">
        <v>4.7500000000000001E-2</v>
      </c>
      <c r="FM149" s="477">
        <v>4.7899999999999998E-2</v>
      </c>
      <c r="FN149" s="477">
        <v>4.8099999999999997E-2</v>
      </c>
      <c r="FO149" s="477">
        <v>4.7800000000000002E-2</v>
      </c>
      <c r="FP149" s="477">
        <v>4.6199999999999998E-2</v>
      </c>
      <c r="FQ149" s="477">
        <v>4.6399999999999997E-2</v>
      </c>
      <c r="FR149" s="477">
        <v>4.573E-2</v>
      </c>
      <c r="FS149" s="477">
        <v>4.4600000000000001E-2</v>
      </c>
      <c r="FT149" s="477">
        <v>4.3900000000000002E-2</v>
      </c>
      <c r="FU149" s="477">
        <v>4.0800000000000003E-2</v>
      </c>
      <c r="FV149" s="482">
        <v>4.8599999999999997E-2</v>
      </c>
      <c r="FW149" s="482">
        <v>4.8800000000000003E-2</v>
      </c>
      <c r="FX149" s="482">
        <v>5.0099999999999999E-2</v>
      </c>
      <c r="FY149" s="482">
        <v>5.0099999999999999E-2</v>
      </c>
      <c r="FZ149" s="482">
        <v>4.99E-2</v>
      </c>
      <c r="GA149" s="482">
        <v>4.9299999999999997E-2</v>
      </c>
      <c r="GB149" s="482">
        <v>4.9200000000000001E-2</v>
      </c>
      <c r="GC149" s="482">
        <v>4.9000000000000002E-2</v>
      </c>
      <c r="GD149" s="477">
        <v>3.6900000000000002E-2</v>
      </c>
      <c r="GE149" s="477">
        <v>3.6900000000000002E-2</v>
      </c>
      <c r="GF149" s="477">
        <v>3.6900000000000002E-2</v>
      </c>
      <c r="GG149" s="477">
        <v>3.6900000000000002E-2</v>
      </c>
      <c r="GH149" s="477">
        <v>3.6900000000000002E-2</v>
      </c>
      <c r="GI149" s="477">
        <v>3.6900000000000002E-2</v>
      </c>
      <c r="GJ149" s="477">
        <v>3.6900000000000002E-2</v>
      </c>
      <c r="GK149" s="477">
        <v>3.6900000000000002E-2</v>
      </c>
      <c r="GL149" s="477">
        <v>3.6900000000000002E-2</v>
      </c>
      <c r="GM149" s="477">
        <v>3.6900000000000002E-2</v>
      </c>
      <c r="GN149" s="477">
        <v>3.6900000000000002E-2</v>
      </c>
      <c r="GO149" s="477">
        <v>3.6900000000000002E-2</v>
      </c>
      <c r="GP149" s="477">
        <v>3.6900000000000002E-2</v>
      </c>
      <c r="GQ149" s="477">
        <v>3.6900000000000002E-2</v>
      </c>
      <c r="GR149" s="477">
        <v>3.6900000000000002E-2</v>
      </c>
      <c r="GS149" s="477">
        <v>3.6900000000000002E-2</v>
      </c>
      <c r="GT149" s="477">
        <v>3.6900000000000002E-2</v>
      </c>
      <c r="GU149" s="477">
        <v>3.6900000000000002E-2</v>
      </c>
      <c r="GV149" s="477">
        <v>3.6900000000000002E-2</v>
      </c>
      <c r="GW149" s="477">
        <v>3.6900000000000002E-2</v>
      </c>
      <c r="GX149" s="477">
        <v>3.6900000000000002E-2</v>
      </c>
      <c r="GY149" s="477">
        <v>3.6900000000000002E-2</v>
      </c>
      <c r="GZ149" s="477">
        <v>3.6900000000000002E-2</v>
      </c>
      <c r="HA149" s="477">
        <v>3.6900000000000002E-2</v>
      </c>
      <c r="HB149" s="477">
        <v>3.6900000000000002E-2</v>
      </c>
      <c r="HC149" s="477">
        <v>3.6900000000000002E-2</v>
      </c>
      <c r="HD149" s="477">
        <v>3.6900000000000002E-2</v>
      </c>
      <c r="HE149" s="477">
        <v>3.6900000000000002E-2</v>
      </c>
      <c r="HF149" s="477">
        <v>3.6900000000000002E-2</v>
      </c>
      <c r="HG149" s="477">
        <v>3.6900000000000002E-2</v>
      </c>
      <c r="HH149" s="477">
        <v>3.6900000000000002E-2</v>
      </c>
      <c r="HI149" s="477">
        <v>3.6900000000000002E-2</v>
      </c>
      <c r="HJ149" s="477">
        <v>3.6900000000000002E-2</v>
      </c>
      <c r="HK149" s="477">
        <v>3.6900000000000002E-2</v>
      </c>
      <c r="HL149" s="477">
        <v>3.6900000000000002E-2</v>
      </c>
      <c r="HM149" s="477">
        <v>3.6900000000000002E-2</v>
      </c>
      <c r="HN149" s="477">
        <v>3.6900000000000002E-2</v>
      </c>
      <c r="HO149" s="477">
        <v>3.6900000000000002E-2</v>
      </c>
      <c r="HP149" s="473">
        <f t="shared" si="49"/>
        <v>0</v>
      </c>
      <c r="HQ149" s="1136"/>
    </row>
    <row r="150" spans="2:225">
      <c r="B150" s="1125"/>
      <c r="C150" s="730" t="s">
        <v>239</v>
      </c>
      <c r="D150" s="502">
        <v>3.0800000000000001E-2</v>
      </c>
      <c r="E150" s="502">
        <v>3.0800000000000001E-2</v>
      </c>
      <c r="F150" s="502">
        <v>3.0599999999999999E-2</v>
      </c>
      <c r="G150" s="502">
        <v>3.0300000000000001E-2</v>
      </c>
      <c r="H150" s="502">
        <v>3.0099999999999998E-2</v>
      </c>
      <c r="I150" s="502">
        <v>3.0599999999999999E-2</v>
      </c>
      <c r="J150" s="500">
        <v>3.0700000000000002E-2</v>
      </c>
      <c r="K150" s="500">
        <v>3.0700000000000002E-2</v>
      </c>
      <c r="L150" s="502">
        <v>3.0700000000000002E-2</v>
      </c>
      <c r="M150" s="502">
        <v>3.0099999999999998E-2</v>
      </c>
      <c r="N150" s="502">
        <v>3.0200000000000001E-2</v>
      </c>
      <c r="O150" s="502">
        <v>3.04E-2</v>
      </c>
      <c r="P150" s="502">
        <v>3.0700000000000002E-2</v>
      </c>
      <c r="Q150" s="502">
        <v>3.1199999999999999E-2</v>
      </c>
      <c r="R150" s="502">
        <v>3.1399999999999997E-2</v>
      </c>
      <c r="S150" s="502">
        <v>3.1699999999999999E-2</v>
      </c>
      <c r="T150" s="502">
        <v>3.2399999999999998E-2</v>
      </c>
      <c r="U150" s="502">
        <v>3.1800000000000002E-2</v>
      </c>
      <c r="V150" s="502">
        <v>3.2299999999999995E-2</v>
      </c>
      <c r="W150" s="502">
        <v>3.1299999999999994E-2</v>
      </c>
      <c r="X150" s="502">
        <v>3.1399999999999997E-2</v>
      </c>
      <c r="Y150" s="502">
        <v>3.1899999999999998E-2</v>
      </c>
      <c r="Z150" s="502">
        <v>3.2399999999999998E-2</v>
      </c>
      <c r="AA150" s="502">
        <v>3.27E-2</v>
      </c>
      <c r="AB150" s="500">
        <v>3.2899999999999999E-2</v>
      </c>
      <c r="AC150" s="502">
        <v>3.2899999999999999E-2</v>
      </c>
      <c r="AD150" s="502">
        <v>3.3000000000000002E-2</v>
      </c>
      <c r="AE150" s="502">
        <v>3.4500000000000003E-2</v>
      </c>
      <c r="AF150" s="500">
        <v>3.49E-2</v>
      </c>
      <c r="AG150" s="500">
        <v>3.49E-2</v>
      </c>
      <c r="AH150" s="500">
        <v>3.49E-2</v>
      </c>
      <c r="AI150" s="502">
        <v>3.49E-2</v>
      </c>
      <c r="AJ150" s="500">
        <v>3.61E-2</v>
      </c>
      <c r="AK150" s="500">
        <v>3.61E-2</v>
      </c>
      <c r="AL150" s="502">
        <v>3.61E-2</v>
      </c>
      <c r="AM150" s="502">
        <v>3.6200000000000003E-2</v>
      </c>
      <c r="AN150" s="502">
        <v>3.5499999999999997E-2</v>
      </c>
      <c r="AO150" s="502">
        <v>3.5999999999999997E-2</v>
      </c>
      <c r="AP150" s="502">
        <v>3.8100000000000002E-2</v>
      </c>
      <c r="AQ150" s="502">
        <v>3.8300000000000001E-2</v>
      </c>
      <c r="AR150" s="502">
        <v>3.8200000000000005E-2</v>
      </c>
      <c r="AS150" s="502">
        <f>AS149</f>
        <v>3.1300000000000001E-2</v>
      </c>
      <c r="AT150" s="500">
        <f>$AT$145</f>
        <v>3.5299999999999998E-2</v>
      </c>
      <c r="AU150" s="500">
        <f t="shared" ref="AU150:BC150" si="52">AU149</f>
        <v>3.1300000000000001E-2</v>
      </c>
      <c r="AV150" s="502">
        <f t="shared" si="52"/>
        <v>3.1300000000000001E-2</v>
      </c>
      <c r="AW150" s="501">
        <f t="shared" si="52"/>
        <v>3.1300000000000001E-2</v>
      </c>
      <c r="AX150" s="501">
        <f t="shared" si="52"/>
        <v>3.1300000000000001E-2</v>
      </c>
      <c r="AY150" s="501">
        <f t="shared" si="52"/>
        <v>3.1300000000000001E-2</v>
      </c>
      <c r="AZ150" s="501">
        <f t="shared" si="52"/>
        <v>3.1300000000000001E-2</v>
      </c>
      <c r="BA150" s="501">
        <f t="shared" si="52"/>
        <v>3.1300000000000001E-2</v>
      </c>
      <c r="BB150" s="501">
        <f t="shared" si="52"/>
        <v>3.1300000000000001E-2</v>
      </c>
      <c r="BC150" s="501">
        <f t="shared" si="52"/>
        <v>3.1300000000000001E-2</v>
      </c>
      <c r="BD150" s="501">
        <v>3.7999999999999999E-2</v>
      </c>
      <c r="BE150" s="501">
        <v>3.7999999999999999E-2</v>
      </c>
      <c r="BF150" s="501">
        <v>3.7999999999999999E-2</v>
      </c>
      <c r="BG150" s="501">
        <v>3.6900000000000002E-2</v>
      </c>
      <c r="BH150" s="501">
        <v>3.6900000000000002E-2</v>
      </c>
      <c r="BI150" s="501">
        <v>3.6900000000000002E-2</v>
      </c>
      <c r="BJ150" s="501">
        <v>3.6900000000000002E-2</v>
      </c>
      <c r="BK150" s="501">
        <v>3.6900000000000002E-2</v>
      </c>
      <c r="BL150" s="501">
        <v>3.6900000000000002E-2</v>
      </c>
      <c r="BM150" s="501">
        <v>3.73E-2</v>
      </c>
      <c r="BN150" s="501">
        <v>3.73E-2</v>
      </c>
      <c r="BO150" s="501">
        <v>3.73E-2</v>
      </c>
      <c r="BP150" s="501">
        <v>3.8300000000000001E-2</v>
      </c>
      <c r="BQ150" s="501">
        <v>3.8300000000000001E-2</v>
      </c>
      <c r="BR150" s="501">
        <v>3.8100000000000002E-2</v>
      </c>
      <c r="BS150" s="501">
        <v>3.8100000000000002E-2</v>
      </c>
      <c r="BT150" s="501">
        <v>3.8399999999999997E-2</v>
      </c>
      <c r="BU150" s="501">
        <v>3.8399999999999997E-2</v>
      </c>
      <c r="BV150" s="501">
        <v>3.8399999999999997E-2</v>
      </c>
      <c r="BW150" s="501">
        <v>3.8399999999999997E-2</v>
      </c>
      <c r="BX150" s="501">
        <v>3.8399999999999997E-2</v>
      </c>
      <c r="BY150" s="501">
        <v>3.6600000000000001E-2</v>
      </c>
      <c r="BZ150" s="501">
        <v>3.6600000000000001E-2</v>
      </c>
      <c r="CA150" s="501">
        <v>3.8100000000000002E-2</v>
      </c>
      <c r="CB150" s="501">
        <v>3.95E-2</v>
      </c>
      <c r="CC150" s="501">
        <v>4.0800000000000003E-2</v>
      </c>
      <c r="CD150" s="501">
        <v>4.1099999999999998E-2</v>
      </c>
      <c r="CE150" s="501">
        <v>4.2000000000000003E-2</v>
      </c>
      <c r="CF150" s="501">
        <v>4.1799999999999997E-2</v>
      </c>
      <c r="CG150" s="501">
        <v>4.1599999999999998E-2</v>
      </c>
      <c r="CH150" s="501">
        <v>4.4600000000000001E-2</v>
      </c>
      <c r="CI150" s="501">
        <v>4.5100000000000001E-2</v>
      </c>
      <c r="CJ150" s="501">
        <v>4.6100000000000002E-2</v>
      </c>
      <c r="CK150" s="501">
        <v>4.6100000000000002E-2</v>
      </c>
      <c r="CL150" s="501">
        <v>4.65E-2</v>
      </c>
      <c r="CM150" s="501">
        <v>4.6699999999999998E-2</v>
      </c>
      <c r="CN150" s="501">
        <v>4.6699999999999998E-2</v>
      </c>
      <c r="CO150" s="501">
        <v>4.7100000000000003E-2</v>
      </c>
      <c r="CP150" s="501">
        <v>4.7100000000000003E-2</v>
      </c>
      <c r="CQ150" s="501">
        <v>4.7199999999999999E-2</v>
      </c>
      <c r="CR150" s="501">
        <v>4.6899999999999997E-2</v>
      </c>
      <c r="CS150" s="501">
        <v>4.6899999999999997E-2</v>
      </c>
      <c r="CT150" s="501">
        <v>4.6800000000000001E-2</v>
      </c>
      <c r="CU150" s="484">
        <v>4.7100000000000003E-2</v>
      </c>
      <c r="CV150" s="482">
        <v>4.7E-2</v>
      </c>
      <c r="CW150" s="524">
        <v>4.6800000000000001E-2</v>
      </c>
      <c r="CX150" s="482">
        <v>4.6300000000000001E-2</v>
      </c>
      <c r="CY150" s="482">
        <v>4.65E-2</v>
      </c>
      <c r="CZ150" s="482">
        <v>4.6199999999999998E-2</v>
      </c>
      <c r="DA150" s="482">
        <v>4.8800000000000003E-2</v>
      </c>
      <c r="DB150" s="482">
        <v>4.8300000000000003E-2</v>
      </c>
      <c r="DC150" s="484">
        <v>4.8500000000000001E-2</v>
      </c>
      <c r="DD150" s="484">
        <v>4.8899999999999999E-2</v>
      </c>
      <c r="DE150" s="484">
        <v>4.87E-2</v>
      </c>
      <c r="DF150" s="482">
        <v>4.8000000000000001E-2</v>
      </c>
      <c r="DG150" s="482">
        <v>4.7899999999999998E-2</v>
      </c>
      <c r="DH150" s="482">
        <v>4.7E-2</v>
      </c>
      <c r="DI150" s="482">
        <v>4.7600000000000003E-2</v>
      </c>
      <c r="DJ150" s="482">
        <v>4.6300000000000001E-2</v>
      </c>
      <c r="DK150" s="482">
        <v>4.7100000000000003E-2</v>
      </c>
      <c r="DL150" s="482">
        <v>4.6899999999999997E-2</v>
      </c>
      <c r="DM150" s="482">
        <v>4.7199999999999999E-2</v>
      </c>
      <c r="DN150" s="482">
        <v>4.8899999999999999E-2</v>
      </c>
      <c r="DO150" s="482">
        <v>4.8899999999999999E-2</v>
      </c>
      <c r="DP150" s="482">
        <v>4.8599999999999997E-2</v>
      </c>
      <c r="DQ150" s="482">
        <v>4.9799999999999997E-2</v>
      </c>
      <c r="DR150" s="482">
        <v>4.9700000000000001E-2</v>
      </c>
      <c r="DS150" s="482">
        <v>5.0200000000000002E-2</v>
      </c>
      <c r="DT150" s="482">
        <v>4.9799999999999997E-2</v>
      </c>
      <c r="DU150" s="482">
        <v>5.0299999999999997E-2</v>
      </c>
      <c r="DV150" s="482">
        <v>5.04E-2</v>
      </c>
      <c r="DW150" s="482">
        <v>5.04E-2</v>
      </c>
      <c r="DX150" s="482">
        <v>5.0700000000000002E-2</v>
      </c>
      <c r="DY150" s="482">
        <v>5.0599999999999999E-2</v>
      </c>
      <c r="DZ150" s="482">
        <v>5.11E-2</v>
      </c>
      <c r="EA150" s="482">
        <v>5.11E-2</v>
      </c>
      <c r="EB150" s="482">
        <v>5.0700000000000002E-2</v>
      </c>
      <c r="EC150" s="482">
        <v>5.1400000000000001E-2</v>
      </c>
      <c r="ED150" s="482">
        <v>5.0700000000000002E-2</v>
      </c>
      <c r="EE150" s="482">
        <v>5.0799999999999998E-2</v>
      </c>
      <c r="EF150" s="482">
        <v>5.0700000000000002E-2</v>
      </c>
      <c r="EG150" s="482">
        <v>5.04E-2</v>
      </c>
      <c r="EH150" s="482">
        <v>5.0299999999999997E-2</v>
      </c>
      <c r="EI150" s="482">
        <v>3.8800000000000001E-2</v>
      </c>
      <c r="EJ150" s="482">
        <v>3.7999999999999999E-2</v>
      </c>
      <c r="EK150" s="482">
        <v>3.6900000000000002E-2</v>
      </c>
      <c r="EL150" s="482">
        <v>3.3799999999999997E-2</v>
      </c>
      <c r="EM150" s="482">
        <v>3.1199999999999999E-2</v>
      </c>
      <c r="EN150" s="482">
        <v>4.7199999999999999E-2</v>
      </c>
      <c r="EO150" s="482">
        <v>4.6300000000000001E-2</v>
      </c>
      <c r="EP150" s="482">
        <v>4.6100000000000002E-2</v>
      </c>
      <c r="EQ150" s="482">
        <v>4.6600000000000003E-2</v>
      </c>
      <c r="ER150" s="482">
        <v>4.6100000000000002E-2</v>
      </c>
      <c r="ES150" s="482">
        <v>4.5900000000000003E-2</v>
      </c>
      <c r="ET150" s="482">
        <v>4.4400000000000002E-2</v>
      </c>
      <c r="EU150" s="482">
        <v>4.4200000000000003E-2</v>
      </c>
      <c r="EV150" s="482">
        <v>4.36E-2</v>
      </c>
      <c r="EW150" s="482">
        <v>4.3999999999999997E-2</v>
      </c>
      <c r="EX150" s="482">
        <v>4.7500000000000001E-2</v>
      </c>
      <c r="EY150" s="482">
        <v>4.5999999999999999E-2</v>
      </c>
      <c r="EZ150" s="482">
        <v>5.0299999999999997E-2</v>
      </c>
      <c r="FA150" s="484">
        <v>5.0500000000000003E-2</v>
      </c>
      <c r="FB150" s="484">
        <v>4.9299999999999997E-2</v>
      </c>
      <c r="FC150" s="477">
        <v>4.7899999999999998E-2</v>
      </c>
      <c r="FD150" s="477">
        <v>4.65E-2</v>
      </c>
      <c r="FE150" s="477">
        <v>4.7899999999999998E-2</v>
      </c>
      <c r="FF150" s="477">
        <v>4.7899999999999998E-2</v>
      </c>
      <c r="FG150" s="477">
        <v>4.7600000000000003E-2</v>
      </c>
      <c r="FH150" s="477">
        <v>4.7500000000000001E-2</v>
      </c>
      <c r="FI150" s="477">
        <v>4.7899999999999998E-2</v>
      </c>
      <c r="FJ150" s="477">
        <v>4.7600000000000003E-2</v>
      </c>
      <c r="FK150" s="477">
        <v>4.7500000000000001E-2</v>
      </c>
      <c r="FL150" s="477">
        <v>4.7500000000000001E-2</v>
      </c>
      <c r="FM150" s="477">
        <v>4.7899999999999998E-2</v>
      </c>
      <c r="FN150" s="477">
        <v>4.8099999999999997E-2</v>
      </c>
      <c r="FO150" s="477">
        <v>4.7800000000000002E-2</v>
      </c>
      <c r="FP150" s="477">
        <v>4.6199999999999998E-2</v>
      </c>
      <c r="FQ150" s="477">
        <v>4.6399999999999997E-2</v>
      </c>
      <c r="FR150" s="477">
        <v>4.573E-2</v>
      </c>
      <c r="FS150" s="477">
        <v>4.4600000000000001E-2</v>
      </c>
      <c r="FT150" s="477">
        <v>4.3900000000000002E-2</v>
      </c>
      <c r="FU150" s="477">
        <v>4.0800000000000003E-2</v>
      </c>
      <c r="FV150" s="482">
        <v>4.8599999999999997E-2</v>
      </c>
      <c r="FW150" s="482">
        <v>4.8800000000000003E-2</v>
      </c>
      <c r="FX150" s="482">
        <v>5.0099999999999999E-2</v>
      </c>
      <c r="FY150" s="482">
        <v>5.0099999999999999E-2</v>
      </c>
      <c r="FZ150" s="482">
        <v>4.99E-2</v>
      </c>
      <c r="GA150" s="482">
        <v>4.9299999999999997E-2</v>
      </c>
      <c r="GB150" s="482">
        <v>4.9200000000000001E-2</v>
      </c>
      <c r="GC150" s="482">
        <v>4.9000000000000002E-2</v>
      </c>
      <c r="GD150" s="477">
        <v>3.6900000000000002E-2</v>
      </c>
      <c r="GE150" s="477">
        <v>3.6900000000000002E-2</v>
      </c>
      <c r="GF150" s="477">
        <v>3.6900000000000002E-2</v>
      </c>
      <c r="GG150" s="477">
        <v>3.6900000000000002E-2</v>
      </c>
      <c r="GH150" s="477">
        <v>3.6900000000000002E-2</v>
      </c>
      <c r="GI150" s="477">
        <v>3.6900000000000002E-2</v>
      </c>
      <c r="GJ150" s="477">
        <v>3.6900000000000002E-2</v>
      </c>
      <c r="GK150" s="477">
        <v>3.6900000000000002E-2</v>
      </c>
      <c r="GL150" s="477">
        <v>3.6900000000000002E-2</v>
      </c>
      <c r="GM150" s="477">
        <v>3.6900000000000002E-2</v>
      </c>
      <c r="GN150" s="477">
        <v>3.6900000000000002E-2</v>
      </c>
      <c r="GO150" s="477">
        <v>3.6900000000000002E-2</v>
      </c>
      <c r="GP150" s="477">
        <v>3.6900000000000002E-2</v>
      </c>
      <c r="GQ150" s="477">
        <v>3.6900000000000002E-2</v>
      </c>
      <c r="GR150" s="477">
        <v>3.6900000000000002E-2</v>
      </c>
      <c r="GS150" s="477">
        <v>3.6900000000000002E-2</v>
      </c>
      <c r="GT150" s="477">
        <v>3.6900000000000002E-2</v>
      </c>
      <c r="GU150" s="477">
        <v>3.6900000000000002E-2</v>
      </c>
      <c r="GV150" s="477">
        <v>3.6900000000000002E-2</v>
      </c>
      <c r="GW150" s="477">
        <v>3.6900000000000002E-2</v>
      </c>
      <c r="GX150" s="477">
        <v>3.6900000000000002E-2</v>
      </c>
      <c r="GY150" s="477">
        <v>3.6900000000000002E-2</v>
      </c>
      <c r="GZ150" s="477">
        <v>3.6900000000000002E-2</v>
      </c>
      <c r="HA150" s="477">
        <v>3.6900000000000002E-2</v>
      </c>
      <c r="HB150" s="477">
        <v>3.6900000000000002E-2</v>
      </c>
      <c r="HC150" s="477">
        <v>3.6900000000000002E-2</v>
      </c>
      <c r="HD150" s="477">
        <v>3.6900000000000002E-2</v>
      </c>
      <c r="HE150" s="477">
        <v>3.6900000000000002E-2</v>
      </c>
      <c r="HF150" s="477">
        <v>3.6900000000000002E-2</v>
      </c>
      <c r="HG150" s="477">
        <v>3.6900000000000002E-2</v>
      </c>
      <c r="HH150" s="477">
        <v>3.6900000000000002E-2</v>
      </c>
      <c r="HI150" s="477">
        <v>3.6900000000000002E-2</v>
      </c>
      <c r="HJ150" s="477">
        <v>3.6900000000000002E-2</v>
      </c>
      <c r="HK150" s="477">
        <v>3.6900000000000002E-2</v>
      </c>
      <c r="HL150" s="477">
        <v>3.6900000000000002E-2</v>
      </c>
      <c r="HM150" s="477">
        <v>3.6900000000000002E-2</v>
      </c>
      <c r="HN150" s="477">
        <v>3.6900000000000002E-2</v>
      </c>
      <c r="HO150" s="477">
        <v>3.6900000000000002E-2</v>
      </c>
      <c r="HP150" s="473">
        <f t="shared" si="49"/>
        <v>0</v>
      </c>
      <c r="HQ150" s="1137"/>
    </row>
    <row r="151" spans="2:225">
      <c r="B151" s="1126" t="s">
        <v>39</v>
      </c>
      <c r="C151" s="731" t="s">
        <v>237</v>
      </c>
      <c r="D151" s="657">
        <v>2.6800000000000001E-2</v>
      </c>
      <c r="E151" s="657">
        <v>2.6800000000000001E-2</v>
      </c>
      <c r="F151" s="657">
        <v>2.5999999999999999E-2</v>
      </c>
      <c r="G151" s="657">
        <v>2.5600000000000001E-2</v>
      </c>
      <c r="H151" s="657">
        <v>2.5000000000000001E-2</v>
      </c>
      <c r="I151" s="667">
        <v>2.5600000000000001E-2</v>
      </c>
      <c r="J151" s="657">
        <v>2.5600000000000001E-2</v>
      </c>
      <c r="K151" s="657">
        <v>2.5700000000000001E-2</v>
      </c>
      <c r="L151" s="657">
        <v>2.5999999999999999E-2</v>
      </c>
      <c r="M151" s="657">
        <v>2.5700000000000001E-2</v>
      </c>
      <c r="N151" s="657">
        <v>2.5999999999999999E-2</v>
      </c>
      <c r="O151" s="657">
        <v>2.64E-2</v>
      </c>
      <c r="P151" s="657">
        <v>2.6499999999999999E-2</v>
      </c>
      <c r="Q151" s="667">
        <v>2.7E-2</v>
      </c>
      <c r="R151" s="657">
        <v>2.7E-2</v>
      </c>
      <c r="S151" s="657">
        <v>2.7200000000000002E-2</v>
      </c>
      <c r="T151" s="583">
        <v>2.8000000000000001E-2</v>
      </c>
      <c r="U151" s="583">
        <v>2.7399999999999997E-2</v>
      </c>
      <c r="V151" s="583">
        <v>2.7499999999999997E-2</v>
      </c>
      <c r="W151" s="503">
        <v>2.6799999999999997E-2</v>
      </c>
      <c r="X151" s="478">
        <v>2.6899999999999997E-2</v>
      </c>
      <c r="Y151" s="478">
        <v>2.7199999999999998E-2</v>
      </c>
      <c r="Z151" s="503">
        <v>2.7699999999999999E-2</v>
      </c>
      <c r="AA151" s="503">
        <v>2.76E-2</v>
      </c>
      <c r="AB151" s="503">
        <v>2.81E-2</v>
      </c>
      <c r="AC151" s="503">
        <v>2.8299999999999999E-2</v>
      </c>
      <c r="AD151" s="503">
        <v>2.8799999999999999E-2</v>
      </c>
      <c r="AE151" s="503">
        <v>2.9899999999999999E-2</v>
      </c>
      <c r="AF151" s="503">
        <v>3.0099999999999998E-2</v>
      </c>
      <c r="AG151" s="478">
        <v>3.0200000000000001E-2</v>
      </c>
      <c r="AH151" s="503">
        <v>3.0200000000000001E-2</v>
      </c>
      <c r="AI151" s="503">
        <v>3.0499999999999999E-2</v>
      </c>
      <c r="AJ151" s="478">
        <v>3.1899999999999998E-2</v>
      </c>
      <c r="AK151" s="503">
        <v>3.1899999999999998E-2</v>
      </c>
      <c r="AL151" s="479">
        <v>3.2099999999999997E-2</v>
      </c>
      <c r="AM151" s="503">
        <v>3.2099999999999997E-2</v>
      </c>
      <c r="AN151" s="503">
        <v>3.1399999999999997E-2</v>
      </c>
      <c r="AO151" s="503">
        <v>3.27E-2</v>
      </c>
      <c r="AP151" s="503">
        <v>3.32E-2</v>
      </c>
      <c r="AQ151" s="503">
        <v>3.3399999999999999E-2</v>
      </c>
      <c r="AR151" s="503">
        <v>3.32E-2</v>
      </c>
      <c r="AS151" s="478">
        <v>3.3500000000000002E-2</v>
      </c>
      <c r="AT151" s="478">
        <v>3.3500000000000002E-2</v>
      </c>
      <c r="AU151" s="478">
        <v>3.3500000000000002E-2</v>
      </c>
      <c r="AV151" s="503">
        <v>3.2899999999999999E-2</v>
      </c>
      <c r="AW151" s="479">
        <v>3.2399999999999998E-2</v>
      </c>
      <c r="AX151" s="479">
        <v>3.2399999999999998E-2</v>
      </c>
      <c r="AY151" s="479">
        <v>3.2399999999999998E-2</v>
      </c>
      <c r="AZ151" s="479">
        <v>3.2399999999999998E-2</v>
      </c>
      <c r="BA151" s="479">
        <v>3.2399999999999998E-2</v>
      </c>
      <c r="BB151" s="479">
        <v>3.2399999999999998E-2</v>
      </c>
      <c r="BC151" s="479">
        <v>3.2399999999999998E-2</v>
      </c>
      <c r="BD151" s="479">
        <v>3.3599999999999998E-2</v>
      </c>
      <c r="BE151" s="479">
        <v>3.3599999999999998E-2</v>
      </c>
      <c r="BF151" s="479">
        <v>3.3599999999999998E-2</v>
      </c>
      <c r="BG151" s="479">
        <v>3.32E-2</v>
      </c>
      <c r="BH151" s="479">
        <v>3.3500000000000002E-2</v>
      </c>
      <c r="BI151" s="479">
        <v>3.3500000000000002E-2</v>
      </c>
      <c r="BJ151" s="479">
        <v>3.3500000000000002E-2</v>
      </c>
      <c r="BK151" s="479">
        <v>3.3500000000000002E-2</v>
      </c>
      <c r="BL151" s="479">
        <v>3.3700000000000001E-2</v>
      </c>
      <c r="BM151" s="479">
        <v>3.4299999999999997E-2</v>
      </c>
      <c r="BN151" s="479">
        <v>3.4299999999999997E-2</v>
      </c>
      <c r="BO151" s="479">
        <v>3.3799999999999997E-2</v>
      </c>
      <c r="BP151" s="479">
        <v>3.4700000000000002E-2</v>
      </c>
      <c r="BQ151" s="479">
        <v>3.4700000000000002E-2</v>
      </c>
      <c r="BR151" s="479">
        <v>3.5000000000000003E-2</v>
      </c>
      <c r="BS151" s="479">
        <v>3.5000000000000003E-2</v>
      </c>
      <c r="BT151" s="479">
        <v>3.5000000000000003E-2</v>
      </c>
      <c r="BU151" s="479">
        <v>3.5000000000000003E-2</v>
      </c>
      <c r="BV151" s="479">
        <v>3.5000000000000003E-2</v>
      </c>
      <c r="BW151" s="479">
        <v>3.5000000000000003E-2</v>
      </c>
      <c r="BX151" s="479">
        <v>3.5000000000000003E-2</v>
      </c>
      <c r="BY151" s="479">
        <v>3.32E-2</v>
      </c>
      <c r="BZ151" s="479">
        <v>3.32E-2</v>
      </c>
      <c r="CA151" s="479">
        <v>3.5200000000000002E-2</v>
      </c>
      <c r="CB151" s="479">
        <v>3.6200000000000003E-2</v>
      </c>
      <c r="CC151" s="479">
        <v>3.7600000000000001E-2</v>
      </c>
      <c r="CD151" s="479">
        <v>3.8199999999999998E-2</v>
      </c>
      <c r="CE151" s="479">
        <v>3.8800000000000001E-2</v>
      </c>
      <c r="CF151" s="479">
        <v>3.8600000000000002E-2</v>
      </c>
      <c r="CG151" s="479">
        <v>3.8899999999999997E-2</v>
      </c>
      <c r="CH151" s="479">
        <v>4.1700000000000001E-2</v>
      </c>
      <c r="CI151" s="479">
        <v>4.2099999999999999E-2</v>
      </c>
      <c r="CJ151" s="479">
        <v>4.2000000000000003E-2</v>
      </c>
      <c r="CK151" s="479">
        <v>4.2999999999999997E-2</v>
      </c>
      <c r="CL151" s="479">
        <v>4.3299999999999998E-2</v>
      </c>
      <c r="CM151" s="479">
        <v>4.3400000000000001E-2</v>
      </c>
      <c r="CN151" s="479">
        <v>4.3400000000000001E-2</v>
      </c>
      <c r="CO151" s="479">
        <v>4.3700000000000003E-2</v>
      </c>
      <c r="CP151" s="479">
        <v>4.36E-2</v>
      </c>
      <c r="CQ151" s="479">
        <v>4.3900000000000002E-2</v>
      </c>
      <c r="CR151" s="479">
        <v>4.36E-2</v>
      </c>
      <c r="CS151" s="479">
        <v>4.36E-2</v>
      </c>
      <c r="CT151" s="479">
        <v>4.3900000000000002E-2</v>
      </c>
      <c r="CU151" s="479">
        <v>4.3900000000000002E-2</v>
      </c>
      <c r="CV151" s="479">
        <v>4.3900000000000002E-2</v>
      </c>
      <c r="CW151" s="524">
        <v>4.3700000000000003E-2</v>
      </c>
      <c r="CX151" s="472">
        <v>4.3299999999999998E-2</v>
      </c>
      <c r="CY151" s="472">
        <v>4.3299999999999998E-2</v>
      </c>
      <c r="CZ151" s="472">
        <v>4.2999999999999997E-2</v>
      </c>
      <c r="DA151" s="472">
        <v>4.2999999999999997E-2</v>
      </c>
      <c r="DB151" s="472">
        <v>4.2900000000000001E-2</v>
      </c>
      <c r="DC151" s="484">
        <v>4.2900000000000001E-2</v>
      </c>
      <c r="DD151" s="484">
        <v>4.3099999999999999E-2</v>
      </c>
      <c r="DE151" s="472">
        <v>4.3400000000000001E-2</v>
      </c>
      <c r="DF151" s="472">
        <v>4.3400000000000001E-2</v>
      </c>
      <c r="DG151" s="472">
        <v>4.2999999999999997E-2</v>
      </c>
      <c r="DH151" s="472">
        <v>4.2599999999999999E-2</v>
      </c>
      <c r="DI151" s="472">
        <v>4.2900000000000001E-2</v>
      </c>
      <c r="DJ151" s="472">
        <v>4.24E-2</v>
      </c>
      <c r="DK151" s="472">
        <v>4.3200000000000002E-2</v>
      </c>
      <c r="DL151" s="472">
        <v>4.3299999999999998E-2</v>
      </c>
      <c r="DM151" s="472">
        <v>4.3400000000000001E-2</v>
      </c>
      <c r="DN151" s="472">
        <v>4.3900000000000002E-2</v>
      </c>
      <c r="DO151" s="472">
        <v>4.5199999999999997E-2</v>
      </c>
      <c r="DP151" s="472">
        <v>4.5400000000000003E-2</v>
      </c>
      <c r="DQ151" s="472">
        <v>4.6100000000000002E-2</v>
      </c>
      <c r="DR151" s="472">
        <v>4.6300000000000001E-2</v>
      </c>
      <c r="DS151" s="472">
        <v>4.6600000000000003E-2</v>
      </c>
      <c r="DT151" s="472">
        <v>4.6699999999999998E-2</v>
      </c>
      <c r="DU151" s="472">
        <v>4.7100000000000003E-2</v>
      </c>
      <c r="DV151" s="472">
        <v>4.7100000000000003E-2</v>
      </c>
      <c r="DW151" s="472">
        <v>4.7199999999999999E-2</v>
      </c>
      <c r="DX151" s="472">
        <v>4.6899999999999997E-2</v>
      </c>
      <c r="DY151" s="472">
        <v>4.7100000000000003E-2</v>
      </c>
      <c r="DZ151" s="472">
        <v>4.7E-2</v>
      </c>
      <c r="EA151" s="472">
        <v>4.7E-2</v>
      </c>
      <c r="EB151" s="472">
        <v>4.6800000000000001E-2</v>
      </c>
      <c r="EC151" s="472">
        <v>4.6800000000000001E-2</v>
      </c>
      <c r="ED151" s="472">
        <v>4.6699999999999998E-2</v>
      </c>
      <c r="EE151" s="472">
        <v>4.6699999999999998E-2</v>
      </c>
      <c r="EF151" s="472">
        <v>4.6699999999999998E-2</v>
      </c>
      <c r="EG151" s="472">
        <v>4.6699999999999998E-2</v>
      </c>
      <c r="EH151" s="472">
        <v>4.6800000000000001E-2</v>
      </c>
      <c r="EI151" s="472">
        <v>3.5299999999999998E-2</v>
      </c>
      <c r="EJ151" s="472">
        <v>3.44E-2</v>
      </c>
      <c r="EK151" s="472">
        <v>3.3500000000000002E-2</v>
      </c>
      <c r="EL151" s="472">
        <v>3.2000000000000001E-2</v>
      </c>
      <c r="EM151" s="472">
        <v>2.8299999999999999E-2</v>
      </c>
      <c r="EN151" s="472">
        <v>4.36E-2</v>
      </c>
      <c r="EO151" s="472">
        <v>4.3900000000000002E-2</v>
      </c>
      <c r="EP151" s="472">
        <v>4.3700000000000003E-2</v>
      </c>
      <c r="EQ151" s="472">
        <v>4.3700000000000003E-2</v>
      </c>
      <c r="ER151" s="472">
        <v>4.3700000000000003E-2</v>
      </c>
      <c r="ES151" s="472">
        <v>4.3700000000000003E-2</v>
      </c>
      <c r="ET151" s="472">
        <v>4.2999999999999997E-2</v>
      </c>
      <c r="EU151" s="472">
        <v>4.2900000000000001E-2</v>
      </c>
      <c r="EV151" s="472">
        <v>4.4999999999999998E-2</v>
      </c>
      <c r="EW151" s="472">
        <v>4.4699999999999997E-2</v>
      </c>
      <c r="EX151" s="472">
        <v>4.2099999999999999E-2</v>
      </c>
      <c r="EY151" s="472">
        <v>4.3700000000000003E-2</v>
      </c>
      <c r="EZ151" s="472">
        <v>4.5499999999999999E-2</v>
      </c>
      <c r="FA151" s="484">
        <v>4.5499999999999999E-2</v>
      </c>
      <c r="FB151" s="484">
        <v>4.4900000000000002E-2</v>
      </c>
      <c r="FC151" s="479">
        <v>4.4299999999999999E-2</v>
      </c>
      <c r="FD151" s="479">
        <v>4.4400000000000002E-2</v>
      </c>
      <c r="FE151" s="479">
        <v>4.3499999999999997E-2</v>
      </c>
      <c r="FF151" s="479">
        <v>4.36E-2</v>
      </c>
      <c r="FG151" s="479">
        <v>4.3700000000000003E-2</v>
      </c>
      <c r="FH151" s="479">
        <v>4.4400000000000002E-2</v>
      </c>
      <c r="FI151" s="479">
        <v>4.4600000000000001E-2</v>
      </c>
      <c r="FJ151" s="479">
        <v>4.4600000000000001E-2</v>
      </c>
      <c r="FK151" s="479">
        <v>4.4299999999999999E-2</v>
      </c>
      <c r="FL151" s="479">
        <v>4.4699999999999997E-2</v>
      </c>
      <c r="FM151" s="479">
        <v>4.24E-2</v>
      </c>
      <c r="FN151" s="479">
        <v>4.2599999999999999E-2</v>
      </c>
      <c r="FO151" s="479">
        <v>4.24E-2</v>
      </c>
      <c r="FP151" s="479">
        <v>4.2099999999999999E-2</v>
      </c>
      <c r="FQ151" s="479">
        <v>4.2900000000000001E-2</v>
      </c>
      <c r="FR151" s="479">
        <v>4.2099999999999999E-2</v>
      </c>
      <c r="FS151" s="479">
        <v>4.2299999999999997E-2</v>
      </c>
      <c r="FT151" s="479">
        <v>4.1099999999999998E-2</v>
      </c>
      <c r="FU151" s="479">
        <v>3.8699999999999998E-2</v>
      </c>
      <c r="FV151" s="472">
        <v>4.5100000000000001E-2</v>
      </c>
      <c r="FW151" s="472">
        <v>4.5199999999999997E-2</v>
      </c>
      <c r="FX151" s="472">
        <v>4.6600000000000003E-2</v>
      </c>
      <c r="FY151" s="472">
        <v>4.6600000000000003E-2</v>
      </c>
      <c r="FZ151" s="472">
        <v>4.5499999999999999E-2</v>
      </c>
      <c r="GA151" s="472">
        <v>4.5600000000000002E-2</v>
      </c>
      <c r="GB151" s="472">
        <v>4.5600000000000002E-2</v>
      </c>
      <c r="GC151" s="472">
        <v>4.5199999999999997E-2</v>
      </c>
      <c r="GD151" s="479">
        <v>3.3500000000000002E-2</v>
      </c>
      <c r="GE151" s="479">
        <v>3.3500000000000002E-2</v>
      </c>
      <c r="GF151" s="479">
        <v>3.3500000000000002E-2</v>
      </c>
      <c r="GG151" s="479">
        <v>3.3500000000000002E-2</v>
      </c>
      <c r="GH151" s="479">
        <v>3.3500000000000002E-2</v>
      </c>
      <c r="GI151" s="479">
        <v>3.3500000000000002E-2</v>
      </c>
      <c r="GJ151" s="479">
        <v>3.3500000000000002E-2</v>
      </c>
      <c r="GK151" s="479">
        <v>3.3500000000000002E-2</v>
      </c>
      <c r="GL151" s="479">
        <v>3.3500000000000002E-2</v>
      </c>
      <c r="GM151" s="479">
        <v>3.3500000000000002E-2</v>
      </c>
      <c r="GN151" s="479">
        <v>3.3500000000000002E-2</v>
      </c>
      <c r="GO151" s="479">
        <v>3.3500000000000002E-2</v>
      </c>
      <c r="GP151" s="479">
        <v>3.3500000000000002E-2</v>
      </c>
      <c r="GQ151" s="479">
        <v>3.3500000000000002E-2</v>
      </c>
      <c r="GR151" s="479">
        <v>3.3500000000000002E-2</v>
      </c>
      <c r="GS151" s="479">
        <v>3.3500000000000002E-2</v>
      </c>
      <c r="GT151" s="479">
        <v>3.3500000000000002E-2</v>
      </c>
      <c r="GU151" s="479">
        <v>3.3500000000000002E-2</v>
      </c>
      <c r="GV151" s="479">
        <v>3.3500000000000002E-2</v>
      </c>
      <c r="GW151" s="479">
        <v>3.3500000000000002E-2</v>
      </c>
      <c r="GX151" s="479">
        <v>3.3500000000000002E-2</v>
      </c>
      <c r="GY151" s="479">
        <v>3.3500000000000002E-2</v>
      </c>
      <c r="GZ151" s="479">
        <v>3.3500000000000002E-2</v>
      </c>
      <c r="HA151" s="479">
        <v>3.3500000000000002E-2</v>
      </c>
      <c r="HB151" s="479">
        <v>3.3500000000000002E-2</v>
      </c>
      <c r="HC151" s="479">
        <v>3.3500000000000002E-2</v>
      </c>
      <c r="HD151" s="479">
        <v>3.3500000000000002E-2</v>
      </c>
      <c r="HE151" s="479">
        <v>3.3500000000000002E-2</v>
      </c>
      <c r="HF151" s="479">
        <v>3.3500000000000002E-2</v>
      </c>
      <c r="HG151" s="479">
        <v>3.3500000000000002E-2</v>
      </c>
      <c r="HH151" s="479">
        <v>3.3500000000000002E-2</v>
      </c>
      <c r="HI151" s="479">
        <v>3.3500000000000002E-2</v>
      </c>
      <c r="HJ151" s="479">
        <v>3.3500000000000002E-2</v>
      </c>
      <c r="HK151" s="479">
        <v>3.3500000000000002E-2</v>
      </c>
      <c r="HL151" s="479">
        <v>3.3500000000000002E-2</v>
      </c>
      <c r="HM151" s="479">
        <v>3.3500000000000002E-2</v>
      </c>
      <c r="HN151" s="479">
        <v>3.3500000000000002E-2</v>
      </c>
      <c r="HO151" s="479">
        <v>3.3500000000000002E-2</v>
      </c>
      <c r="HP151" s="473">
        <f t="shared" si="49"/>
        <v>0</v>
      </c>
      <c r="HQ151" s="499"/>
    </row>
    <row r="152" spans="2:225">
      <c r="B152" s="1127"/>
      <c r="C152" s="731" t="s">
        <v>236</v>
      </c>
      <c r="D152" s="657">
        <v>2.7300000000000001E-2</v>
      </c>
      <c r="E152" s="657">
        <v>2.7300000000000001E-2</v>
      </c>
      <c r="F152" s="657">
        <v>2.6499999999999999E-2</v>
      </c>
      <c r="G152" s="657">
        <v>2.6100000000000002E-2</v>
      </c>
      <c r="H152" s="657">
        <v>2.5499999999999998E-2</v>
      </c>
      <c r="I152" s="667">
        <v>2.6100000000000002E-2</v>
      </c>
      <c r="J152" s="657">
        <v>2.6100000000000002E-2</v>
      </c>
      <c r="K152" s="657">
        <v>2.6200000000000001E-2</v>
      </c>
      <c r="L152" s="657">
        <v>2.6499999999999999E-2</v>
      </c>
      <c r="M152" s="657">
        <v>2.6200000000000001E-2</v>
      </c>
      <c r="N152" s="657">
        <v>2.6499999999999999E-2</v>
      </c>
      <c r="O152" s="657">
        <v>2.69E-2</v>
      </c>
      <c r="P152" s="657">
        <v>2.7E-2</v>
      </c>
      <c r="Q152" s="667">
        <v>2.75E-2</v>
      </c>
      <c r="R152" s="657">
        <v>2.75E-2</v>
      </c>
      <c r="S152" s="657">
        <v>2.7700000000000002E-2</v>
      </c>
      <c r="T152" s="583">
        <v>2.8500000000000001E-2</v>
      </c>
      <c r="U152" s="583">
        <v>2.7899999999999998E-2</v>
      </c>
      <c r="V152" s="583">
        <v>2.7999999999999997E-2</v>
      </c>
      <c r="W152" s="503">
        <v>2.7299999999999998E-2</v>
      </c>
      <c r="X152" s="478">
        <v>2.7399999999999997E-2</v>
      </c>
      <c r="Y152" s="478">
        <v>2.7699999999999999E-2</v>
      </c>
      <c r="Z152" s="503">
        <v>2.8199999999999999E-2</v>
      </c>
      <c r="AA152" s="503">
        <v>2.81E-2</v>
      </c>
      <c r="AB152" s="503">
        <v>2.86E-2</v>
      </c>
      <c r="AC152" s="503">
        <v>2.8799999999999999E-2</v>
      </c>
      <c r="AD152" s="503">
        <v>2.93E-2</v>
      </c>
      <c r="AE152" s="503">
        <v>3.04E-2</v>
      </c>
      <c r="AF152" s="503">
        <v>3.0599999999999999E-2</v>
      </c>
      <c r="AG152" s="478">
        <v>3.0700000000000002E-2</v>
      </c>
      <c r="AH152" s="503">
        <v>3.0700000000000002E-2</v>
      </c>
      <c r="AI152" s="503">
        <v>3.1E-2</v>
      </c>
      <c r="AJ152" s="503">
        <v>3.27E-2</v>
      </c>
      <c r="AK152" s="503">
        <v>3.2399999999999998E-2</v>
      </c>
      <c r="AL152" s="479">
        <v>3.2599999999999997E-2</v>
      </c>
      <c r="AM152" s="503">
        <v>3.2599999999999997E-2</v>
      </c>
      <c r="AN152" s="503">
        <v>3.1899999999999998E-2</v>
      </c>
      <c r="AO152" s="503">
        <v>3.27E-2</v>
      </c>
      <c r="AP152" s="503">
        <v>3.32E-2</v>
      </c>
      <c r="AQ152" s="503">
        <v>3.3399999999999999E-2</v>
      </c>
      <c r="AR152" s="503">
        <v>3.32E-2</v>
      </c>
      <c r="AS152" s="478">
        <f t="shared" ref="AS152:BC152" si="53">AS151</f>
        <v>3.3500000000000002E-2</v>
      </c>
      <c r="AT152" s="478">
        <f t="shared" si="53"/>
        <v>3.3500000000000002E-2</v>
      </c>
      <c r="AU152" s="478">
        <f t="shared" si="53"/>
        <v>3.3500000000000002E-2</v>
      </c>
      <c r="AV152" s="503">
        <f t="shared" si="53"/>
        <v>3.2899999999999999E-2</v>
      </c>
      <c r="AW152" s="479">
        <f t="shared" si="53"/>
        <v>3.2399999999999998E-2</v>
      </c>
      <c r="AX152" s="479">
        <f t="shared" si="53"/>
        <v>3.2399999999999998E-2</v>
      </c>
      <c r="AY152" s="479">
        <f t="shared" si="53"/>
        <v>3.2399999999999998E-2</v>
      </c>
      <c r="AZ152" s="479">
        <f t="shared" si="53"/>
        <v>3.2399999999999998E-2</v>
      </c>
      <c r="BA152" s="479">
        <f t="shared" si="53"/>
        <v>3.2399999999999998E-2</v>
      </c>
      <c r="BB152" s="479">
        <f t="shared" si="53"/>
        <v>3.2399999999999998E-2</v>
      </c>
      <c r="BC152" s="479">
        <f t="shared" si="53"/>
        <v>3.2399999999999998E-2</v>
      </c>
      <c r="BD152" s="479">
        <v>3.3599999999999998E-2</v>
      </c>
      <c r="BE152" s="479">
        <v>3.3599999999999998E-2</v>
      </c>
      <c r="BF152" s="479">
        <v>3.3599999999999998E-2</v>
      </c>
      <c r="BG152" s="479">
        <v>3.32E-2</v>
      </c>
      <c r="BH152" s="479">
        <v>3.3500000000000002E-2</v>
      </c>
      <c r="BI152" s="479">
        <v>3.3500000000000002E-2</v>
      </c>
      <c r="BJ152" s="479">
        <v>3.3500000000000002E-2</v>
      </c>
      <c r="BK152" s="479">
        <v>3.3500000000000002E-2</v>
      </c>
      <c r="BL152" s="479">
        <v>3.3700000000000001E-2</v>
      </c>
      <c r="BM152" s="479">
        <v>3.4299999999999997E-2</v>
      </c>
      <c r="BN152" s="479">
        <v>3.4299999999999997E-2</v>
      </c>
      <c r="BO152" s="479">
        <v>3.3799999999999997E-2</v>
      </c>
      <c r="BP152" s="479">
        <v>3.4700000000000002E-2</v>
      </c>
      <c r="BQ152" s="479">
        <v>3.4700000000000002E-2</v>
      </c>
      <c r="BR152" s="479">
        <v>3.5000000000000003E-2</v>
      </c>
      <c r="BS152" s="479">
        <v>3.5000000000000003E-2</v>
      </c>
      <c r="BT152" s="479">
        <v>3.5000000000000003E-2</v>
      </c>
      <c r="BU152" s="479">
        <v>3.5000000000000003E-2</v>
      </c>
      <c r="BV152" s="479">
        <v>3.5000000000000003E-2</v>
      </c>
      <c r="BW152" s="479">
        <v>3.5000000000000003E-2</v>
      </c>
      <c r="BX152" s="479">
        <v>3.5000000000000003E-2</v>
      </c>
      <c r="BY152" s="479">
        <v>3.32E-2</v>
      </c>
      <c r="BZ152" s="479">
        <v>3.32E-2</v>
      </c>
      <c r="CA152" s="479">
        <v>3.5200000000000002E-2</v>
      </c>
      <c r="CB152" s="479">
        <v>3.6200000000000003E-2</v>
      </c>
      <c r="CC152" s="479">
        <v>3.7600000000000001E-2</v>
      </c>
      <c r="CD152" s="479">
        <v>3.8199999999999998E-2</v>
      </c>
      <c r="CE152" s="479">
        <v>3.8800000000000001E-2</v>
      </c>
      <c r="CF152" s="479">
        <v>3.8600000000000002E-2</v>
      </c>
      <c r="CG152" s="479">
        <v>3.8899999999999997E-2</v>
      </c>
      <c r="CH152" s="479">
        <v>4.1700000000000001E-2</v>
      </c>
      <c r="CI152" s="479">
        <v>4.2099999999999999E-2</v>
      </c>
      <c r="CJ152" s="479">
        <v>4.2000000000000003E-2</v>
      </c>
      <c r="CK152" s="479">
        <v>4.2999999999999997E-2</v>
      </c>
      <c r="CL152" s="479">
        <v>4.3299999999999998E-2</v>
      </c>
      <c r="CM152" s="479">
        <v>4.3400000000000001E-2</v>
      </c>
      <c r="CN152" s="479">
        <v>4.3400000000000001E-2</v>
      </c>
      <c r="CO152" s="479">
        <v>4.3700000000000003E-2</v>
      </c>
      <c r="CP152" s="479">
        <v>4.36E-2</v>
      </c>
      <c r="CQ152" s="479">
        <v>4.3900000000000002E-2</v>
      </c>
      <c r="CR152" s="479">
        <v>4.36E-2</v>
      </c>
      <c r="CS152" s="479">
        <v>4.36E-2</v>
      </c>
      <c r="CT152" s="479">
        <v>4.3900000000000002E-2</v>
      </c>
      <c r="CU152" s="479">
        <v>4.3900000000000002E-2</v>
      </c>
      <c r="CV152" s="479">
        <v>4.3900000000000002E-2</v>
      </c>
      <c r="CW152" s="524">
        <v>4.3700000000000003E-2</v>
      </c>
      <c r="CX152" s="472">
        <v>4.3299999999999998E-2</v>
      </c>
      <c r="CY152" s="472">
        <v>4.3299999999999998E-2</v>
      </c>
      <c r="CZ152" s="472">
        <v>4.2999999999999997E-2</v>
      </c>
      <c r="DA152" s="472">
        <v>4.2999999999999997E-2</v>
      </c>
      <c r="DB152" s="472">
        <v>4.2900000000000001E-2</v>
      </c>
      <c r="DC152" s="484">
        <v>4.2900000000000001E-2</v>
      </c>
      <c r="DD152" s="484">
        <v>4.3099999999999999E-2</v>
      </c>
      <c r="DE152" s="472">
        <v>4.3400000000000001E-2</v>
      </c>
      <c r="DF152" s="472">
        <v>4.3400000000000001E-2</v>
      </c>
      <c r="DG152" s="472">
        <v>4.2999999999999997E-2</v>
      </c>
      <c r="DH152" s="472">
        <v>4.2599999999999999E-2</v>
      </c>
      <c r="DI152" s="472">
        <v>4.2900000000000001E-2</v>
      </c>
      <c r="DJ152" s="472">
        <v>4.24E-2</v>
      </c>
      <c r="DK152" s="472">
        <v>4.3200000000000002E-2</v>
      </c>
      <c r="DL152" s="472">
        <v>4.3299999999999998E-2</v>
      </c>
      <c r="DM152" s="472">
        <v>4.2999999999999997E-2</v>
      </c>
      <c r="DN152" s="472">
        <v>4.3900000000000002E-2</v>
      </c>
      <c r="DO152" s="472">
        <v>4.5199999999999997E-2</v>
      </c>
      <c r="DP152" s="472">
        <v>4.5400000000000003E-2</v>
      </c>
      <c r="DQ152" s="472">
        <v>4.6100000000000002E-2</v>
      </c>
      <c r="DR152" s="472">
        <v>4.6699999999999998E-2</v>
      </c>
      <c r="DS152" s="472">
        <v>4.7E-2</v>
      </c>
      <c r="DT152" s="472">
        <v>4.6699999999999998E-2</v>
      </c>
      <c r="DU152" s="472">
        <v>4.7100000000000003E-2</v>
      </c>
      <c r="DV152" s="472">
        <v>4.7100000000000003E-2</v>
      </c>
      <c r="DW152" s="472">
        <v>4.7199999999999999E-2</v>
      </c>
      <c r="DX152" s="472">
        <v>4.6899999999999997E-2</v>
      </c>
      <c r="DY152" s="472">
        <v>4.7100000000000003E-2</v>
      </c>
      <c r="DZ152" s="472">
        <v>4.7E-2</v>
      </c>
      <c r="EA152" s="472">
        <v>4.7E-2</v>
      </c>
      <c r="EB152" s="472">
        <v>4.6800000000000001E-2</v>
      </c>
      <c r="EC152" s="472">
        <v>4.6800000000000001E-2</v>
      </c>
      <c r="ED152" s="472">
        <v>4.6699999999999998E-2</v>
      </c>
      <c r="EE152" s="472">
        <v>4.6699999999999998E-2</v>
      </c>
      <c r="EF152" s="472">
        <v>4.6699999999999998E-2</v>
      </c>
      <c r="EG152" s="472">
        <v>4.6699999999999998E-2</v>
      </c>
      <c r="EH152" s="472">
        <v>4.6800000000000001E-2</v>
      </c>
      <c r="EI152" s="472">
        <v>3.5299999999999998E-2</v>
      </c>
      <c r="EJ152" s="472">
        <v>3.5400000000000001E-2</v>
      </c>
      <c r="EK152" s="472">
        <v>3.4500000000000003E-2</v>
      </c>
      <c r="EL152" s="472">
        <v>3.3000000000000002E-2</v>
      </c>
      <c r="EM152" s="472">
        <v>2.93E-2</v>
      </c>
      <c r="EN152" s="472">
        <v>4.36E-2</v>
      </c>
      <c r="EO152" s="472">
        <v>4.3900000000000002E-2</v>
      </c>
      <c r="EP152" s="472">
        <v>4.3700000000000003E-2</v>
      </c>
      <c r="EQ152" s="472">
        <v>4.3700000000000003E-2</v>
      </c>
      <c r="ER152" s="472">
        <v>4.3700000000000003E-2</v>
      </c>
      <c r="ES152" s="472">
        <v>4.3700000000000003E-2</v>
      </c>
      <c r="ET152" s="472">
        <v>4.2999999999999997E-2</v>
      </c>
      <c r="EU152" s="472">
        <v>4.2900000000000001E-2</v>
      </c>
      <c r="EV152" s="472">
        <v>4.4999999999999998E-2</v>
      </c>
      <c r="EW152" s="472">
        <v>4.4699999999999997E-2</v>
      </c>
      <c r="EX152" s="472">
        <v>4.2099999999999999E-2</v>
      </c>
      <c r="EY152" s="472">
        <v>4.3700000000000003E-2</v>
      </c>
      <c r="EZ152" s="472">
        <v>4.5499999999999999E-2</v>
      </c>
      <c r="FA152" s="484">
        <v>4.5499999999999999E-2</v>
      </c>
      <c r="FB152" s="484">
        <v>4.4900000000000002E-2</v>
      </c>
      <c r="FC152" s="479">
        <v>4.4299999999999999E-2</v>
      </c>
      <c r="FD152" s="479">
        <v>4.4400000000000002E-2</v>
      </c>
      <c r="FE152" s="479">
        <v>4.3499999999999997E-2</v>
      </c>
      <c r="FF152" s="479">
        <v>4.36E-2</v>
      </c>
      <c r="FG152" s="479">
        <v>4.3700000000000003E-2</v>
      </c>
      <c r="FH152" s="479">
        <v>4.4400000000000002E-2</v>
      </c>
      <c r="FI152" s="479">
        <v>4.4600000000000001E-2</v>
      </c>
      <c r="FJ152" s="479">
        <v>4.4600000000000001E-2</v>
      </c>
      <c r="FK152" s="479">
        <v>4.4299999999999999E-2</v>
      </c>
      <c r="FL152" s="479">
        <v>4.4699999999999997E-2</v>
      </c>
      <c r="FM152" s="479">
        <v>4.3299999999999998E-2</v>
      </c>
      <c r="FN152" s="479">
        <v>4.3499999999999997E-2</v>
      </c>
      <c r="FO152" s="479">
        <v>4.3299999999999998E-2</v>
      </c>
      <c r="FP152" s="479">
        <v>4.2999999999999997E-2</v>
      </c>
      <c r="FQ152" s="479">
        <v>4.3799999999999999E-2</v>
      </c>
      <c r="FR152" s="479">
        <v>4.2999999999999997E-2</v>
      </c>
      <c r="FS152" s="479">
        <v>4.2299999999999997E-2</v>
      </c>
      <c r="FT152" s="479">
        <v>4.1099999999999998E-2</v>
      </c>
      <c r="FU152" s="479">
        <v>3.8699999999999998E-2</v>
      </c>
      <c r="FV152" s="472">
        <v>4.5100000000000001E-2</v>
      </c>
      <c r="FW152" s="472">
        <v>4.5199999999999997E-2</v>
      </c>
      <c r="FX152" s="472">
        <v>4.6600000000000003E-2</v>
      </c>
      <c r="FY152" s="472">
        <v>4.6600000000000003E-2</v>
      </c>
      <c r="FZ152" s="472">
        <v>4.5499999999999999E-2</v>
      </c>
      <c r="GA152" s="472">
        <v>4.5600000000000002E-2</v>
      </c>
      <c r="GB152" s="472">
        <v>4.5600000000000002E-2</v>
      </c>
      <c r="GC152" s="472">
        <v>4.5199999999999997E-2</v>
      </c>
      <c r="GD152" s="479">
        <v>3.4500000000000003E-2</v>
      </c>
      <c r="GE152" s="479">
        <v>3.4500000000000003E-2</v>
      </c>
      <c r="GF152" s="479">
        <v>3.4500000000000003E-2</v>
      </c>
      <c r="GG152" s="479">
        <v>3.4500000000000003E-2</v>
      </c>
      <c r="GH152" s="479">
        <v>3.4500000000000003E-2</v>
      </c>
      <c r="GI152" s="479">
        <v>3.4500000000000003E-2</v>
      </c>
      <c r="GJ152" s="479">
        <v>3.4500000000000003E-2</v>
      </c>
      <c r="GK152" s="479">
        <v>3.4500000000000003E-2</v>
      </c>
      <c r="GL152" s="479">
        <v>3.4500000000000003E-2</v>
      </c>
      <c r="GM152" s="479">
        <v>3.4500000000000003E-2</v>
      </c>
      <c r="GN152" s="479">
        <v>3.4500000000000003E-2</v>
      </c>
      <c r="GO152" s="479">
        <v>3.4500000000000003E-2</v>
      </c>
      <c r="GP152" s="479">
        <v>3.4500000000000003E-2</v>
      </c>
      <c r="GQ152" s="479">
        <v>3.4500000000000003E-2</v>
      </c>
      <c r="GR152" s="479">
        <v>3.4500000000000003E-2</v>
      </c>
      <c r="GS152" s="479">
        <v>3.4500000000000003E-2</v>
      </c>
      <c r="GT152" s="479">
        <v>3.4500000000000003E-2</v>
      </c>
      <c r="GU152" s="479">
        <v>3.4500000000000003E-2</v>
      </c>
      <c r="GV152" s="479">
        <v>3.4500000000000003E-2</v>
      </c>
      <c r="GW152" s="479">
        <v>3.4500000000000003E-2</v>
      </c>
      <c r="GX152" s="479">
        <v>3.4500000000000003E-2</v>
      </c>
      <c r="GY152" s="479">
        <v>3.4500000000000003E-2</v>
      </c>
      <c r="GZ152" s="479">
        <v>3.4500000000000003E-2</v>
      </c>
      <c r="HA152" s="479">
        <v>3.4500000000000003E-2</v>
      </c>
      <c r="HB152" s="479">
        <v>3.4500000000000003E-2</v>
      </c>
      <c r="HC152" s="479">
        <v>3.4500000000000003E-2</v>
      </c>
      <c r="HD152" s="479">
        <v>3.4500000000000003E-2</v>
      </c>
      <c r="HE152" s="479">
        <v>3.4500000000000003E-2</v>
      </c>
      <c r="HF152" s="479">
        <v>3.4500000000000003E-2</v>
      </c>
      <c r="HG152" s="479">
        <v>3.4500000000000003E-2</v>
      </c>
      <c r="HH152" s="479">
        <v>3.4500000000000003E-2</v>
      </c>
      <c r="HI152" s="479">
        <v>3.4500000000000003E-2</v>
      </c>
      <c r="HJ152" s="479">
        <v>3.4500000000000003E-2</v>
      </c>
      <c r="HK152" s="479">
        <v>3.4500000000000003E-2</v>
      </c>
      <c r="HL152" s="479">
        <v>3.4500000000000003E-2</v>
      </c>
      <c r="HM152" s="479">
        <v>3.4500000000000003E-2</v>
      </c>
      <c r="HN152" s="479">
        <v>3.4500000000000003E-2</v>
      </c>
      <c r="HO152" s="479">
        <v>3.4500000000000003E-2</v>
      </c>
      <c r="HP152" s="473">
        <f t="shared" si="49"/>
        <v>0</v>
      </c>
      <c r="HQ152" s="499"/>
    </row>
    <row r="153" spans="2:225">
      <c r="B153" s="1127"/>
      <c r="C153" s="731" t="s">
        <v>235</v>
      </c>
      <c r="D153" s="540">
        <v>0.03</v>
      </c>
      <c r="E153" s="540">
        <v>0.03</v>
      </c>
      <c r="F153" s="657">
        <v>0.03</v>
      </c>
      <c r="G153" s="657">
        <v>2.9600000000000001E-2</v>
      </c>
      <c r="H153" s="657">
        <v>2.9000000000000001E-2</v>
      </c>
      <c r="I153" s="667">
        <v>2.9600000000000001E-2</v>
      </c>
      <c r="J153" s="657">
        <v>2.9600000000000001E-2</v>
      </c>
      <c r="K153" s="657">
        <v>2.9700000000000001E-2</v>
      </c>
      <c r="L153" s="657">
        <v>0.03</v>
      </c>
      <c r="M153" s="657">
        <v>2.9700000000000001E-2</v>
      </c>
      <c r="N153" s="657">
        <v>0.03</v>
      </c>
      <c r="O153" s="657">
        <v>3.04E-2</v>
      </c>
      <c r="P153" s="657">
        <v>3.0499999999999999E-2</v>
      </c>
      <c r="Q153" s="667">
        <v>3.1E-2</v>
      </c>
      <c r="R153" s="657">
        <v>3.1E-2</v>
      </c>
      <c r="S153" s="657">
        <v>3.1200000000000002E-2</v>
      </c>
      <c r="T153" s="583">
        <v>3.2000000000000001E-2</v>
      </c>
      <c r="U153" s="583">
        <v>3.1400000000000004E-2</v>
      </c>
      <c r="V153" s="583">
        <v>3.1500000000000007E-2</v>
      </c>
      <c r="W153" s="503">
        <v>3.0800000000000004E-2</v>
      </c>
      <c r="X153" s="478">
        <v>3.0900000000000004E-2</v>
      </c>
      <c r="Y153" s="478">
        <v>3.1200000000000006E-2</v>
      </c>
      <c r="Z153" s="503">
        <v>3.1700000000000006E-2</v>
      </c>
      <c r="AA153" s="503">
        <v>3.1600000000000003E-2</v>
      </c>
      <c r="AB153" s="503">
        <v>3.2100000000000004E-2</v>
      </c>
      <c r="AC153" s="503">
        <v>3.2300000000000002E-2</v>
      </c>
      <c r="AD153" s="503">
        <v>3.2800000000000003E-2</v>
      </c>
      <c r="AE153" s="503">
        <v>3.39E-2</v>
      </c>
      <c r="AF153" s="503">
        <v>3.4099999999999998E-2</v>
      </c>
      <c r="AG153" s="478">
        <v>3.4200000000000001E-2</v>
      </c>
      <c r="AH153" s="503">
        <v>3.4200000000000001E-2</v>
      </c>
      <c r="AI153" s="503">
        <v>3.4500000000000003E-2</v>
      </c>
      <c r="AJ153" s="503">
        <v>3.4299999999999997E-2</v>
      </c>
      <c r="AK153" s="503">
        <v>3.5900000000000001E-2</v>
      </c>
      <c r="AL153" s="479">
        <v>3.61E-2</v>
      </c>
      <c r="AM153" s="503">
        <v>3.61E-2</v>
      </c>
      <c r="AN153" s="503">
        <v>3.5400000000000001E-2</v>
      </c>
      <c r="AO153" s="503">
        <v>3.5700000000000003E-2</v>
      </c>
      <c r="AP153" s="503">
        <v>3.6200000000000003E-2</v>
      </c>
      <c r="AQ153" s="503">
        <v>3.6400000000000002E-2</v>
      </c>
      <c r="AR153" s="503">
        <v>3.6200000000000003E-2</v>
      </c>
      <c r="AS153" s="478">
        <f t="shared" ref="AS153:BC153" si="54">AS152+0.3%</f>
        <v>3.6500000000000005E-2</v>
      </c>
      <c r="AT153" s="478">
        <f t="shared" si="54"/>
        <v>3.6500000000000005E-2</v>
      </c>
      <c r="AU153" s="478">
        <f t="shared" si="54"/>
        <v>3.6500000000000005E-2</v>
      </c>
      <c r="AV153" s="503">
        <f t="shared" si="54"/>
        <v>3.5900000000000001E-2</v>
      </c>
      <c r="AW153" s="479">
        <f t="shared" si="54"/>
        <v>3.5400000000000001E-2</v>
      </c>
      <c r="AX153" s="479">
        <f t="shared" si="54"/>
        <v>3.5400000000000001E-2</v>
      </c>
      <c r="AY153" s="479">
        <f t="shared" si="54"/>
        <v>3.5400000000000001E-2</v>
      </c>
      <c r="AZ153" s="479">
        <f t="shared" si="54"/>
        <v>3.5400000000000001E-2</v>
      </c>
      <c r="BA153" s="479">
        <f t="shared" si="54"/>
        <v>3.5400000000000001E-2</v>
      </c>
      <c r="BB153" s="479">
        <f t="shared" si="54"/>
        <v>3.5400000000000001E-2</v>
      </c>
      <c r="BC153" s="479">
        <f t="shared" si="54"/>
        <v>3.5400000000000001E-2</v>
      </c>
      <c r="BD153" s="479">
        <v>3.6600000000000001E-2</v>
      </c>
      <c r="BE153" s="479">
        <v>3.6600000000000001E-2</v>
      </c>
      <c r="BF153" s="479">
        <v>3.6600000000000001E-2</v>
      </c>
      <c r="BG153" s="479">
        <v>3.6200000000000003E-2</v>
      </c>
      <c r="BH153" s="479">
        <v>3.6499999999999998E-2</v>
      </c>
      <c r="BI153" s="479">
        <v>3.6499999999999998E-2</v>
      </c>
      <c r="BJ153" s="479">
        <v>3.6499999999999998E-2</v>
      </c>
      <c r="BK153" s="479">
        <v>3.6499999999999998E-2</v>
      </c>
      <c r="BL153" s="479">
        <v>3.6700000000000003E-2</v>
      </c>
      <c r="BM153" s="479">
        <v>3.73E-2</v>
      </c>
      <c r="BN153" s="479">
        <v>3.73E-2</v>
      </c>
      <c r="BO153" s="479">
        <v>3.6799999999999999E-2</v>
      </c>
      <c r="BP153" s="479">
        <v>3.7699999999999997E-2</v>
      </c>
      <c r="BQ153" s="479">
        <v>3.7699999999999997E-2</v>
      </c>
      <c r="BR153" s="479">
        <v>3.7999999999999999E-2</v>
      </c>
      <c r="BS153" s="479">
        <v>3.7999999999999999E-2</v>
      </c>
      <c r="BT153" s="479">
        <v>3.7999999999999999E-2</v>
      </c>
      <c r="BU153" s="479">
        <v>3.7999999999999999E-2</v>
      </c>
      <c r="BV153" s="479">
        <v>3.7999999999999999E-2</v>
      </c>
      <c r="BW153" s="479">
        <v>3.7999999999999999E-2</v>
      </c>
      <c r="BX153" s="479">
        <v>3.7999999999999999E-2</v>
      </c>
      <c r="BY153" s="479">
        <v>3.6200000000000003E-2</v>
      </c>
      <c r="BZ153" s="479">
        <v>3.6200000000000003E-2</v>
      </c>
      <c r="CA153" s="479">
        <v>3.8199999999999998E-2</v>
      </c>
      <c r="CB153" s="479">
        <v>3.9199999999999999E-2</v>
      </c>
      <c r="CC153" s="479">
        <v>4.0599999999999997E-2</v>
      </c>
      <c r="CD153" s="479">
        <v>4.1200000000000001E-2</v>
      </c>
      <c r="CE153" s="479">
        <v>4.1799999999999997E-2</v>
      </c>
      <c r="CF153" s="479">
        <v>4.1599999999999998E-2</v>
      </c>
      <c r="CG153" s="479">
        <v>4.19E-2</v>
      </c>
      <c r="CH153" s="479">
        <v>4.4699999999999997E-2</v>
      </c>
      <c r="CI153" s="479">
        <v>4.5100000000000001E-2</v>
      </c>
      <c r="CJ153" s="479">
        <v>4.4999999999999998E-2</v>
      </c>
      <c r="CK153" s="479">
        <v>4.5999999999999999E-2</v>
      </c>
      <c r="CL153" s="479">
        <v>4.6300000000000001E-2</v>
      </c>
      <c r="CM153" s="479">
        <v>4.6399999999999997E-2</v>
      </c>
      <c r="CN153" s="479">
        <v>4.6399999999999997E-2</v>
      </c>
      <c r="CO153" s="479">
        <v>4.6699999999999998E-2</v>
      </c>
      <c r="CP153" s="479">
        <v>4.6600000000000003E-2</v>
      </c>
      <c r="CQ153" s="479">
        <v>4.6899999999999997E-2</v>
      </c>
      <c r="CR153" s="479">
        <v>4.4659999999999998E-2</v>
      </c>
      <c r="CS153" s="479">
        <v>4.4659999999999998E-2</v>
      </c>
      <c r="CT153" s="479">
        <v>4.6899999999999997E-2</v>
      </c>
      <c r="CU153" s="479">
        <v>4.6899999999999997E-2</v>
      </c>
      <c r="CV153" s="479">
        <v>4.6899999999999997E-2</v>
      </c>
      <c r="CW153" s="524">
        <v>4.6699999999999998E-2</v>
      </c>
      <c r="CX153" s="472">
        <v>4.6300000000000001E-2</v>
      </c>
      <c r="CY153" s="472">
        <v>4.6300000000000001E-2</v>
      </c>
      <c r="CZ153" s="472">
        <v>4.5999999999999999E-2</v>
      </c>
      <c r="DA153" s="472">
        <v>4.5999999999999999E-2</v>
      </c>
      <c r="DB153" s="472">
        <v>4.5900000000000003E-2</v>
      </c>
      <c r="DC153" s="484">
        <v>4.5900000000000003E-2</v>
      </c>
      <c r="DD153" s="484">
        <v>4.6100000000000002E-2</v>
      </c>
      <c r="DE153" s="472">
        <v>4.6399999999999997E-2</v>
      </c>
      <c r="DF153" s="472">
        <v>4.6399999999999997E-2</v>
      </c>
      <c r="DG153" s="472">
        <v>4.5999999999999999E-2</v>
      </c>
      <c r="DH153" s="472">
        <v>4.5600000000000002E-2</v>
      </c>
      <c r="DI153" s="472">
        <v>4.5900000000000003E-2</v>
      </c>
      <c r="DJ153" s="472">
        <v>4.5400000000000003E-2</v>
      </c>
      <c r="DK153" s="472">
        <v>4.6199999999999998E-2</v>
      </c>
      <c r="DL153" s="472">
        <v>4.6300000000000001E-2</v>
      </c>
      <c r="DM153" s="472">
        <v>4.6399999999999997E-2</v>
      </c>
      <c r="DN153" s="472">
        <v>4.6899999999999997E-2</v>
      </c>
      <c r="DO153" s="472">
        <v>4.82E-2</v>
      </c>
      <c r="DP153" s="472">
        <v>4.8399999999999999E-2</v>
      </c>
      <c r="DQ153" s="472">
        <v>4.9099999999999998E-2</v>
      </c>
      <c r="DR153" s="472">
        <v>4.7100000000000003E-2</v>
      </c>
      <c r="DS153" s="472">
        <v>4.7399999999999998E-2</v>
      </c>
      <c r="DT153" s="472">
        <v>4.8000000000000001E-2</v>
      </c>
      <c r="DU153" s="472">
        <v>4.8399999999999999E-2</v>
      </c>
      <c r="DV153" s="472">
        <v>4.8399999999999999E-2</v>
      </c>
      <c r="DW153" s="472">
        <v>4.8500000000000001E-2</v>
      </c>
      <c r="DX153" s="472">
        <v>4.82E-2</v>
      </c>
      <c r="DY153" s="472">
        <v>4.8399999999999999E-2</v>
      </c>
      <c r="DZ153" s="472">
        <v>4.8300000000000003E-2</v>
      </c>
      <c r="EA153" s="472">
        <v>4.8300000000000003E-2</v>
      </c>
      <c r="EB153" s="472">
        <v>4.8099999999999997E-2</v>
      </c>
      <c r="EC153" s="472">
        <v>4.8099999999999997E-2</v>
      </c>
      <c r="ED153" s="472">
        <v>4.8000000000000001E-2</v>
      </c>
      <c r="EE153" s="472">
        <v>4.8000000000000001E-2</v>
      </c>
      <c r="EF153" s="472">
        <v>4.8000000000000001E-2</v>
      </c>
      <c r="EG153" s="472">
        <v>4.9000000000000002E-2</v>
      </c>
      <c r="EH153" s="472">
        <v>4.8099999999999997E-2</v>
      </c>
      <c r="EI153" s="472">
        <v>3.73E-2</v>
      </c>
      <c r="EJ153" s="472">
        <v>3.6400000000000002E-2</v>
      </c>
      <c r="EK153" s="472">
        <v>3.5499999999999997E-2</v>
      </c>
      <c r="EL153" s="472">
        <v>3.4000000000000002E-2</v>
      </c>
      <c r="EM153" s="472">
        <v>3.0300000000000001E-2</v>
      </c>
      <c r="EN153" s="472">
        <v>4.4900000000000002E-2</v>
      </c>
      <c r="EO153" s="472">
        <v>4.6899999999999997E-2</v>
      </c>
      <c r="EP153" s="472">
        <v>4.6699999999999998E-2</v>
      </c>
      <c r="EQ153" s="472">
        <v>4.6699999999999998E-2</v>
      </c>
      <c r="ER153" s="472">
        <v>4.6699999999999998E-2</v>
      </c>
      <c r="ES153" s="472">
        <v>4.6699999999999998E-2</v>
      </c>
      <c r="ET153" s="472">
        <v>4.5999999999999999E-2</v>
      </c>
      <c r="EU153" s="472">
        <v>4.5900000000000003E-2</v>
      </c>
      <c r="EV153" s="472">
        <v>4.6800000000000001E-2</v>
      </c>
      <c r="EW153" s="472">
        <v>4.65E-2</v>
      </c>
      <c r="EX153" s="472">
        <v>4.3900000000000002E-2</v>
      </c>
      <c r="EY153" s="472">
        <v>4.5499999999999999E-2</v>
      </c>
      <c r="EZ153" s="472">
        <v>4.7300000000000002E-2</v>
      </c>
      <c r="FA153" s="484">
        <v>4.7300000000000002E-2</v>
      </c>
      <c r="FB153" s="484">
        <v>4.6699999999999998E-2</v>
      </c>
      <c r="FC153" s="479">
        <v>4.6100000000000002E-2</v>
      </c>
      <c r="FD153" s="479">
        <v>4.6199999999999998E-2</v>
      </c>
      <c r="FE153" s="479">
        <v>4.53E-2</v>
      </c>
      <c r="FF153" s="479">
        <v>4.5400000000000003E-2</v>
      </c>
      <c r="FG153" s="479">
        <v>4.5499999999999999E-2</v>
      </c>
      <c r="FH153" s="479">
        <v>4.6199999999999998E-2</v>
      </c>
      <c r="FI153" s="479">
        <v>4.6399999999999997E-2</v>
      </c>
      <c r="FJ153" s="479">
        <v>4.6399999999999997E-2</v>
      </c>
      <c r="FK153" s="479">
        <v>4.6100000000000002E-2</v>
      </c>
      <c r="FL153" s="479">
        <v>4.65E-2</v>
      </c>
      <c r="FM153" s="479">
        <v>4.53E-2</v>
      </c>
      <c r="FN153" s="479">
        <v>4.5499999999999999E-2</v>
      </c>
      <c r="FO153" s="479">
        <v>4.53E-2</v>
      </c>
      <c r="FP153" s="479">
        <v>4.4999999999999998E-2</v>
      </c>
      <c r="FQ153" s="479">
        <v>4.58E-2</v>
      </c>
      <c r="FR153" s="479">
        <v>4.4999999999999998E-2</v>
      </c>
      <c r="FS153" s="479">
        <v>4.4299999999999999E-2</v>
      </c>
      <c r="FT153" s="479">
        <v>4.3099999999999999E-2</v>
      </c>
      <c r="FU153" s="479">
        <v>4.07E-2</v>
      </c>
      <c r="FV153" s="472">
        <v>4.6399999999999997E-2</v>
      </c>
      <c r="FW153" s="472">
        <v>4.65E-2</v>
      </c>
      <c r="FX153" s="472">
        <v>4.7899999999999998E-2</v>
      </c>
      <c r="FY153" s="472">
        <v>4.7899999999999998E-2</v>
      </c>
      <c r="FZ153" s="472">
        <v>4.5699999999999998E-2</v>
      </c>
      <c r="GA153" s="472">
        <v>4.6899999999999997E-2</v>
      </c>
      <c r="GB153" s="472">
        <v>4.6899999999999997E-2</v>
      </c>
      <c r="GC153" s="472">
        <v>4.65E-2</v>
      </c>
      <c r="GD153" s="479">
        <v>3.5499999999999997E-2</v>
      </c>
      <c r="GE153" s="479">
        <v>3.5499999999999997E-2</v>
      </c>
      <c r="GF153" s="479">
        <v>3.5499999999999997E-2</v>
      </c>
      <c r="GG153" s="479">
        <v>3.5499999999999997E-2</v>
      </c>
      <c r="GH153" s="479">
        <v>3.5499999999999997E-2</v>
      </c>
      <c r="GI153" s="479">
        <v>3.5499999999999997E-2</v>
      </c>
      <c r="GJ153" s="479">
        <v>3.5499999999999997E-2</v>
      </c>
      <c r="GK153" s="479">
        <v>3.5499999999999997E-2</v>
      </c>
      <c r="GL153" s="479">
        <v>3.5499999999999997E-2</v>
      </c>
      <c r="GM153" s="479">
        <v>3.5499999999999997E-2</v>
      </c>
      <c r="GN153" s="479">
        <v>3.5499999999999997E-2</v>
      </c>
      <c r="GO153" s="479">
        <v>3.5499999999999997E-2</v>
      </c>
      <c r="GP153" s="479">
        <v>3.5499999999999997E-2</v>
      </c>
      <c r="GQ153" s="479">
        <v>3.5499999999999997E-2</v>
      </c>
      <c r="GR153" s="479">
        <v>3.5499999999999997E-2</v>
      </c>
      <c r="GS153" s="479">
        <v>3.5499999999999997E-2</v>
      </c>
      <c r="GT153" s="479">
        <v>3.5499999999999997E-2</v>
      </c>
      <c r="GU153" s="479">
        <v>3.5499999999999997E-2</v>
      </c>
      <c r="GV153" s="479">
        <v>3.5499999999999997E-2</v>
      </c>
      <c r="GW153" s="479">
        <v>3.5499999999999997E-2</v>
      </c>
      <c r="GX153" s="479">
        <v>3.5499999999999997E-2</v>
      </c>
      <c r="GY153" s="479">
        <v>3.5499999999999997E-2</v>
      </c>
      <c r="GZ153" s="479">
        <v>3.5499999999999997E-2</v>
      </c>
      <c r="HA153" s="479">
        <v>3.5499999999999997E-2</v>
      </c>
      <c r="HB153" s="479">
        <v>3.5499999999999997E-2</v>
      </c>
      <c r="HC153" s="479">
        <v>3.5499999999999997E-2</v>
      </c>
      <c r="HD153" s="479">
        <v>3.5499999999999997E-2</v>
      </c>
      <c r="HE153" s="479">
        <v>3.5499999999999997E-2</v>
      </c>
      <c r="HF153" s="479">
        <v>3.5499999999999997E-2</v>
      </c>
      <c r="HG153" s="479">
        <v>3.5499999999999997E-2</v>
      </c>
      <c r="HH153" s="479">
        <v>3.5499999999999997E-2</v>
      </c>
      <c r="HI153" s="479">
        <v>3.5499999999999997E-2</v>
      </c>
      <c r="HJ153" s="479">
        <v>3.5499999999999997E-2</v>
      </c>
      <c r="HK153" s="479">
        <v>3.5499999999999997E-2</v>
      </c>
      <c r="HL153" s="479">
        <v>3.5499999999999997E-2</v>
      </c>
      <c r="HM153" s="479">
        <v>3.5499999999999997E-2</v>
      </c>
      <c r="HN153" s="479">
        <v>3.5499999999999997E-2</v>
      </c>
      <c r="HO153" s="479">
        <v>3.5499999999999997E-2</v>
      </c>
      <c r="HP153" s="473">
        <f t="shared" si="49"/>
        <v>0</v>
      </c>
      <c r="HQ153" s="499"/>
    </row>
    <row r="154" spans="2:225">
      <c r="B154" s="1127"/>
      <c r="C154" s="731" t="s">
        <v>234</v>
      </c>
      <c r="D154" s="540">
        <v>0.03</v>
      </c>
      <c r="E154" s="540">
        <v>0.03</v>
      </c>
      <c r="F154" s="657">
        <v>0.03</v>
      </c>
      <c r="G154" s="657">
        <v>2.9600000000000001E-2</v>
      </c>
      <c r="H154" s="657">
        <v>2.9000000000000001E-2</v>
      </c>
      <c r="I154" s="667">
        <v>2.9600000000000001E-2</v>
      </c>
      <c r="J154" s="657">
        <v>2.9600000000000001E-2</v>
      </c>
      <c r="K154" s="657">
        <v>2.9700000000000001E-2</v>
      </c>
      <c r="L154" s="657">
        <v>0.03</v>
      </c>
      <c r="M154" s="657">
        <v>2.9700000000000001E-2</v>
      </c>
      <c r="N154" s="657">
        <v>0.03</v>
      </c>
      <c r="O154" s="657">
        <v>3.04E-2</v>
      </c>
      <c r="P154" s="657">
        <v>3.0499999999999999E-2</v>
      </c>
      <c r="Q154" s="667">
        <v>3.1E-2</v>
      </c>
      <c r="R154" s="657">
        <v>3.1E-2</v>
      </c>
      <c r="S154" s="657">
        <v>3.1200000000000002E-2</v>
      </c>
      <c r="T154" s="583">
        <v>3.2000000000000001E-2</v>
      </c>
      <c r="U154" s="583">
        <v>3.1400000000000004E-2</v>
      </c>
      <c r="V154" s="583">
        <v>3.1500000000000007E-2</v>
      </c>
      <c r="W154" s="503">
        <v>3.0800000000000004E-2</v>
      </c>
      <c r="X154" s="478">
        <v>3.0900000000000004E-2</v>
      </c>
      <c r="Y154" s="478">
        <v>3.1200000000000006E-2</v>
      </c>
      <c r="Z154" s="503">
        <v>3.1700000000000006E-2</v>
      </c>
      <c r="AA154" s="503">
        <v>3.1600000000000003E-2</v>
      </c>
      <c r="AB154" s="503">
        <v>3.2100000000000004E-2</v>
      </c>
      <c r="AC154" s="503">
        <v>3.2300000000000002E-2</v>
      </c>
      <c r="AD154" s="503">
        <v>3.2800000000000003E-2</v>
      </c>
      <c r="AE154" s="503">
        <v>3.39E-2</v>
      </c>
      <c r="AF154" s="503">
        <v>3.4099999999999998E-2</v>
      </c>
      <c r="AG154" s="478">
        <v>3.4200000000000001E-2</v>
      </c>
      <c r="AH154" s="503">
        <v>3.4200000000000001E-2</v>
      </c>
      <c r="AI154" s="503">
        <v>3.4500000000000003E-2</v>
      </c>
      <c r="AJ154" s="503">
        <v>3.4599999999999999E-2</v>
      </c>
      <c r="AK154" s="503">
        <v>3.5900000000000001E-2</v>
      </c>
      <c r="AL154" s="479">
        <v>3.61E-2</v>
      </c>
      <c r="AM154" s="503">
        <v>3.61E-2</v>
      </c>
      <c r="AN154" s="503">
        <v>3.5400000000000001E-2</v>
      </c>
      <c r="AO154" s="503">
        <v>3.5700000000000003E-2</v>
      </c>
      <c r="AP154" s="503">
        <v>3.6200000000000003E-2</v>
      </c>
      <c r="AQ154" s="503">
        <v>3.6400000000000002E-2</v>
      </c>
      <c r="AR154" s="503">
        <v>3.6200000000000003E-2</v>
      </c>
      <c r="AS154" s="478">
        <f t="shared" ref="AS154:BC154" si="55">AS153</f>
        <v>3.6500000000000005E-2</v>
      </c>
      <c r="AT154" s="478">
        <f t="shared" si="55"/>
        <v>3.6500000000000005E-2</v>
      </c>
      <c r="AU154" s="478">
        <f t="shared" si="55"/>
        <v>3.6500000000000005E-2</v>
      </c>
      <c r="AV154" s="503">
        <f t="shared" si="55"/>
        <v>3.5900000000000001E-2</v>
      </c>
      <c r="AW154" s="479">
        <f t="shared" si="55"/>
        <v>3.5400000000000001E-2</v>
      </c>
      <c r="AX154" s="479">
        <f t="shared" si="55"/>
        <v>3.5400000000000001E-2</v>
      </c>
      <c r="AY154" s="479">
        <f t="shared" si="55"/>
        <v>3.5400000000000001E-2</v>
      </c>
      <c r="AZ154" s="479">
        <f t="shared" si="55"/>
        <v>3.5400000000000001E-2</v>
      </c>
      <c r="BA154" s="479">
        <f t="shared" si="55"/>
        <v>3.5400000000000001E-2</v>
      </c>
      <c r="BB154" s="479">
        <f t="shared" si="55"/>
        <v>3.5400000000000001E-2</v>
      </c>
      <c r="BC154" s="479">
        <f t="shared" si="55"/>
        <v>3.5400000000000001E-2</v>
      </c>
      <c r="BD154" s="479">
        <v>3.6600000000000001E-2</v>
      </c>
      <c r="BE154" s="479">
        <v>3.6600000000000001E-2</v>
      </c>
      <c r="BF154" s="479">
        <v>3.6600000000000001E-2</v>
      </c>
      <c r="BG154" s="479">
        <v>3.6200000000000003E-2</v>
      </c>
      <c r="BH154" s="479">
        <v>3.6499999999999998E-2</v>
      </c>
      <c r="BI154" s="479">
        <v>3.6499999999999998E-2</v>
      </c>
      <c r="BJ154" s="479">
        <v>3.6499999999999998E-2</v>
      </c>
      <c r="BK154" s="479">
        <v>3.6499999999999998E-2</v>
      </c>
      <c r="BL154" s="479">
        <v>3.6700000000000003E-2</v>
      </c>
      <c r="BM154" s="479">
        <v>3.73E-2</v>
      </c>
      <c r="BN154" s="479">
        <v>3.73E-2</v>
      </c>
      <c r="BO154" s="479">
        <v>3.6799999999999999E-2</v>
      </c>
      <c r="BP154" s="479">
        <v>3.7699999999999997E-2</v>
      </c>
      <c r="BQ154" s="479">
        <v>3.7699999999999997E-2</v>
      </c>
      <c r="BR154" s="479">
        <v>3.7999999999999999E-2</v>
      </c>
      <c r="BS154" s="479">
        <v>3.7999999999999999E-2</v>
      </c>
      <c r="BT154" s="479">
        <v>3.7999999999999999E-2</v>
      </c>
      <c r="BU154" s="479">
        <v>3.7999999999999999E-2</v>
      </c>
      <c r="BV154" s="479">
        <v>3.7999999999999999E-2</v>
      </c>
      <c r="BW154" s="479">
        <v>3.7999999999999999E-2</v>
      </c>
      <c r="BX154" s="479">
        <v>3.7999999999999999E-2</v>
      </c>
      <c r="BY154" s="479">
        <v>3.6200000000000003E-2</v>
      </c>
      <c r="BZ154" s="479">
        <v>3.6200000000000003E-2</v>
      </c>
      <c r="CA154" s="479">
        <v>3.8199999999999998E-2</v>
      </c>
      <c r="CB154" s="479">
        <v>3.9199999999999999E-2</v>
      </c>
      <c r="CC154" s="479">
        <v>4.0599999999999997E-2</v>
      </c>
      <c r="CD154" s="479">
        <v>4.1200000000000001E-2</v>
      </c>
      <c r="CE154" s="479">
        <v>4.1799999999999997E-2</v>
      </c>
      <c r="CF154" s="479">
        <v>4.1599999999999998E-2</v>
      </c>
      <c r="CG154" s="479">
        <v>4.19E-2</v>
      </c>
      <c r="CH154" s="479">
        <v>4.4699999999999997E-2</v>
      </c>
      <c r="CI154" s="479">
        <v>4.5100000000000001E-2</v>
      </c>
      <c r="CJ154" s="479">
        <v>4.4999999999999998E-2</v>
      </c>
      <c r="CK154" s="479">
        <v>4.5999999999999999E-2</v>
      </c>
      <c r="CL154" s="479">
        <v>4.6300000000000001E-2</v>
      </c>
      <c r="CM154" s="479">
        <v>4.6399999999999997E-2</v>
      </c>
      <c r="CN154" s="479">
        <v>4.6399999999999997E-2</v>
      </c>
      <c r="CO154" s="479">
        <v>4.6699999999999998E-2</v>
      </c>
      <c r="CP154" s="479">
        <v>4.6600000000000003E-2</v>
      </c>
      <c r="CQ154" s="479">
        <v>4.6899999999999997E-2</v>
      </c>
      <c r="CR154" s="479">
        <v>4.6600000000000003E-2</v>
      </c>
      <c r="CS154" s="479">
        <v>4.6600000000000003E-2</v>
      </c>
      <c r="CT154" s="479">
        <v>4.6899999999999997E-2</v>
      </c>
      <c r="CU154" s="479">
        <v>4.6899999999999997E-2</v>
      </c>
      <c r="CV154" s="479">
        <v>4.6899999999999997E-2</v>
      </c>
      <c r="CW154" s="524">
        <v>4.6699999999999998E-2</v>
      </c>
      <c r="CX154" s="472">
        <v>4.6300000000000001E-2</v>
      </c>
      <c r="CY154" s="472">
        <v>4.6300000000000001E-2</v>
      </c>
      <c r="CZ154" s="472">
        <v>4.5999999999999999E-2</v>
      </c>
      <c r="DA154" s="472">
        <v>4.5999999999999999E-2</v>
      </c>
      <c r="DB154" s="472">
        <v>4.5900000000000003E-2</v>
      </c>
      <c r="DC154" s="484">
        <v>4.5900000000000003E-2</v>
      </c>
      <c r="DD154" s="484">
        <v>4.6100000000000002E-2</v>
      </c>
      <c r="DE154" s="472">
        <v>4.6399999999999997E-2</v>
      </c>
      <c r="DF154" s="472">
        <v>4.6399999999999997E-2</v>
      </c>
      <c r="DG154" s="472">
        <v>4.5999999999999999E-2</v>
      </c>
      <c r="DH154" s="472">
        <v>4.5600000000000002E-2</v>
      </c>
      <c r="DI154" s="472">
        <v>4.5900000000000003E-2</v>
      </c>
      <c r="DJ154" s="472">
        <v>4.5400000000000003E-2</v>
      </c>
      <c r="DK154" s="472">
        <v>4.6199999999999998E-2</v>
      </c>
      <c r="DL154" s="472">
        <v>4.6300000000000001E-2</v>
      </c>
      <c r="DM154" s="472">
        <v>4.6399999999999997E-2</v>
      </c>
      <c r="DN154" s="472">
        <v>4.6899999999999997E-2</v>
      </c>
      <c r="DO154" s="472">
        <v>4.82E-2</v>
      </c>
      <c r="DP154" s="472">
        <v>4.8399999999999999E-2</v>
      </c>
      <c r="DQ154" s="472">
        <v>4.9099999999999998E-2</v>
      </c>
      <c r="DR154" s="472">
        <v>4.7600000000000003E-2</v>
      </c>
      <c r="DS154" s="472">
        <v>4.7899999999999998E-2</v>
      </c>
      <c r="DT154" s="472">
        <v>4.8500000000000001E-2</v>
      </c>
      <c r="DU154" s="472">
        <v>4.8899999999999999E-2</v>
      </c>
      <c r="DV154" s="472">
        <v>4.8899999999999999E-2</v>
      </c>
      <c r="DW154" s="472">
        <v>4.9000000000000002E-2</v>
      </c>
      <c r="DX154" s="472">
        <v>4.87E-2</v>
      </c>
      <c r="DY154" s="472">
        <v>4.8899999999999999E-2</v>
      </c>
      <c r="DZ154" s="472">
        <v>4.8800000000000003E-2</v>
      </c>
      <c r="EA154" s="472">
        <v>4.8800000000000003E-2</v>
      </c>
      <c r="EB154" s="472">
        <v>4.8599999999999997E-2</v>
      </c>
      <c r="EC154" s="472">
        <v>4.8599999999999997E-2</v>
      </c>
      <c r="ED154" s="472">
        <v>4.8500000000000001E-2</v>
      </c>
      <c r="EE154" s="472">
        <v>4.8500000000000001E-2</v>
      </c>
      <c r="EF154" s="472">
        <v>4.8500000000000001E-2</v>
      </c>
      <c r="EG154" s="472">
        <v>4.8500000000000001E-2</v>
      </c>
      <c r="EH154" s="472">
        <v>4.8599999999999997E-2</v>
      </c>
      <c r="EI154" s="472">
        <v>3.73E-2</v>
      </c>
      <c r="EJ154" s="472">
        <v>3.7400000000000003E-2</v>
      </c>
      <c r="EK154" s="472">
        <v>3.6499999999999998E-2</v>
      </c>
      <c r="EL154" s="472">
        <v>3.5000000000000003E-2</v>
      </c>
      <c r="EM154" s="472">
        <v>3.1300000000000001E-2</v>
      </c>
      <c r="EN154" s="472">
        <v>4.5400000000000003E-2</v>
      </c>
      <c r="EO154" s="472">
        <v>4.6899999999999997E-2</v>
      </c>
      <c r="EP154" s="472">
        <v>4.6699999999999998E-2</v>
      </c>
      <c r="EQ154" s="472">
        <v>4.6699999999999998E-2</v>
      </c>
      <c r="ER154" s="472">
        <v>4.6699999999999998E-2</v>
      </c>
      <c r="ES154" s="472">
        <v>4.6699999999999998E-2</v>
      </c>
      <c r="ET154" s="472">
        <v>4.5999999999999999E-2</v>
      </c>
      <c r="EU154" s="472">
        <v>4.5900000000000003E-2</v>
      </c>
      <c r="EV154" s="472">
        <v>4.7100000000000003E-2</v>
      </c>
      <c r="EW154" s="472">
        <v>4.6800000000000001E-2</v>
      </c>
      <c r="EX154" s="472">
        <v>4.4200000000000003E-2</v>
      </c>
      <c r="EY154" s="472">
        <v>4.58E-2</v>
      </c>
      <c r="EZ154" s="472">
        <v>4.7600000000000003E-2</v>
      </c>
      <c r="FA154" s="484">
        <v>4.7600000000000003E-2</v>
      </c>
      <c r="FB154" s="484">
        <v>4.7E-2</v>
      </c>
      <c r="FC154" s="479">
        <v>4.6399999999999997E-2</v>
      </c>
      <c r="FD154" s="479">
        <v>4.65E-2</v>
      </c>
      <c r="FE154" s="479">
        <v>4.5600000000000002E-2</v>
      </c>
      <c r="FF154" s="479">
        <v>4.5699999999999998E-2</v>
      </c>
      <c r="FG154" s="479">
        <v>4.58E-2</v>
      </c>
      <c r="FH154" s="479">
        <v>4.65E-2</v>
      </c>
      <c r="FI154" s="479">
        <v>4.6699999999999998E-2</v>
      </c>
      <c r="FJ154" s="479">
        <v>4.6699999999999998E-2</v>
      </c>
      <c r="FK154" s="479">
        <v>4.6399999999999997E-2</v>
      </c>
      <c r="FL154" s="479">
        <v>4.6800000000000001E-2</v>
      </c>
      <c r="FM154" s="479">
        <v>4.53E-2</v>
      </c>
      <c r="FN154" s="479">
        <v>4.5499999999999999E-2</v>
      </c>
      <c r="FO154" s="479">
        <v>4.53E-2</v>
      </c>
      <c r="FP154" s="479">
        <v>4.4999999999999998E-2</v>
      </c>
      <c r="FQ154" s="479">
        <v>4.58E-2</v>
      </c>
      <c r="FR154" s="479">
        <v>4.4999999999999998E-2</v>
      </c>
      <c r="FS154" s="479">
        <v>4.4299999999999999E-2</v>
      </c>
      <c r="FT154" s="479">
        <v>4.3099999999999999E-2</v>
      </c>
      <c r="FU154" s="479">
        <v>4.07E-2</v>
      </c>
      <c r="FV154" s="472">
        <v>4.6899999999999997E-2</v>
      </c>
      <c r="FW154" s="472">
        <v>4.7E-2</v>
      </c>
      <c r="FX154" s="472">
        <v>4.8399999999999999E-2</v>
      </c>
      <c r="FY154" s="472">
        <v>4.8399999999999999E-2</v>
      </c>
      <c r="FZ154" s="472">
        <v>4.6199999999999998E-2</v>
      </c>
      <c r="GA154" s="472">
        <v>4.7399999999999998E-2</v>
      </c>
      <c r="GB154" s="472">
        <v>4.7399999999999998E-2</v>
      </c>
      <c r="GC154" s="472">
        <v>4.7E-2</v>
      </c>
      <c r="GD154" s="479">
        <v>3.6499999999999998E-2</v>
      </c>
      <c r="GE154" s="479">
        <v>3.6499999999999998E-2</v>
      </c>
      <c r="GF154" s="479">
        <v>3.6499999999999998E-2</v>
      </c>
      <c r="GG154" s="479">
        <v>3.6499999999999998E-2</v>
      </c>
      <c r="GH154" s="479">
        <v>3.6499999999999998E-2</v>
      </c>
      <c r="GI154" s="479">
        <v>3.6499999999999998E-2</v>
      </c>
      <c r="GJ154" s="479">
        <v>3.6499999999999998E-2</v>
      </c>
      <c r="GK154" s="479">
        <v>3.6499999999999998E-2</v>
      </c>
      <c r="GL154" s="479">
        <v>3.6499999999999998E-2</v>
      </c>
      <c r="GM154" s="479">
        <v>3.6499999999999998E-2</v>
      </c>
      <c r="GN154" s="479">
        <v>3.6499999999999998E-2</v>
      </c>
      <c r="GO154" s="479">
        <v>3.6499999999999998E-2</v>
      </c>
      <c r="GP154" s="479">
        <v>3.6499999999999998E-2</v>
      </c>
      <c r="GQ154" s="479">
        <v>3.6499999999999998E-2</v>
      </c>
      <c r="GR154" s="479">
        <v>3.6499999999999998E-2</v>
      </c>
      <c r="GS154" s="479">
        <v>3.6499999999999998E-2</v>
      </c>
      <c r="GT154" s="479">
        <v>3.6499999999999998E-2</v>
      </c>
      <c r="GU154" s="479">
        <v>3.6499999999999998E-2</v>
      </c>
      <c r="GV154" s="479">
        <v>3.6499999999999998E-2</v>
      </c>
      <c r="GW154" s="479">
        <v>3.6499999999999998E-2</v>
      </c>
      <c r="GX154" s="479">
        <v>3.6499999999999998E-2</v>
      </c>
      <c r="GY154" s="479">
        <v>3.6499999999999998E-2</v>
      </c>
      <c r="GZ154" s="479">
        <v>3.6499999999999998E-2</v>
      </c>
      <c r="HA154" s="479">
        <v>3.6499999999999998E-2</v>
      </c>
      <c r="HB154" s="479">
        <v>3.6499999999999998E-2</v>
      </c>
      <c r="HC154" s="479">
        <v>3.6499999999999998E-2</v>
      </c>
      <c r="HD154" s="479">
        <v>3.6499999999999998E-2</v>
      </c>
      <c r="HE154" s="479">
        <v>3.6499999999999998E-2</v>
      </c>
      <c r="HF154" s="479">
        <v>3.6499999999999998E-2</v>
      </c>
      <c r="HG154" s="479">
        <v>3.6499999999999998E-2</v>
      </c>
      <c r="HH154" s="479">
        <v>3.6499999999999998E-2</v>
      </c>
      <c r="HI154" s="479">
        <v>3.6499999999999998E-2</v>
      </c>
      <c r="HJ154" s="479">
        <v>3.6499999999999998E-2</v>
      </c>
      <c r="HK154" s="479">
        <v>3.6499999999999998E-2</v>
      </c>
      <c r="HL154" s="479">
        <v>3.6499999999999998E-2</v>
      </c>
      <c r="HM154" s="479">
        <v>3.6499999999999998E-2</v>
      </c>
      <c r="HN154" s="479">
        <v>3.6499999999999998E-2</v>
      </c>
      <c r="HO154" s="479">
        <v>3.6499999999999998E-2</v>
      </c>
      <c r="HP154" s="473">
        <f t="shared" si="49"/>
        <v>0</v>
      </c>
      <c r="HQ154" s="499"/>
    </row>
    <row r="155" spans="2:225">
      <c r="B155" s="1128"/>
      <c r="C155" s="731" t="s">
        <v>233</v>
      </c>
      <c r="D155" s="540">
        <v>0.03</v>
      </c>
      <c r="E155" s="540">
        <v>0.03</v>
      </c>
      <c r="F155" s="657">
        <v>0.03</v>
      </c>
      <c r="G155" s="657">
        <v>2.9600000000000001E-2</v>
      </c>
      <c r="H155" s="657">
        <v>2.9000000000000001E-2</v>
      </c>
      <c r="I155" s="667">
        <v>2.9600000000000001E-2</v>
      </c>
      <c r="J155" s="657">
        <v>2.9600000000000001E-2</v>
      </c>
      <c r="K155" s="657">
        <v>2.9700000000000001E-2</v>
      </c>
      <c r="L155" s="657">
        <v>0.03</v>
      </c>
      <c r="M155" s="657">
        <v>2.9700000000000001E-2</v>
      </c>
      <c r="N155" s="657">
        <v>0.03</v>
      </c>
      <c r="O155" s="657">
        <v>3.04E-2</v>
      </c>
      <c r="P155" s="657">
        <v>3.0499999999999999E-2</v>
      </c>
      <c r="Q155" s="667">
        <v>3.1E-2</v>
      </c>
      <c r="R155" s="657">
        <v>3.1E-2</v>
      </c>
      <c r="S155" s="657">
        <v>3.1200000000000002E-2</v>
      </c>
      <c r="T155" s="583">
        <v>3.2000000000000001E-2</v>
      </c>
      <c r="U155" s="583">
        <v>3.1400000000000004E-2</v>
      </c>
      <c r="V155" s="583">
        <v>3.1500000000000007E-2</v>
      </c>
      <c r="W155" s="503">
        <v>3.0800000000000004E-2</v>
      </c>
      <c r="X155" s="478">
        <v>3.0900000000000004E-2</v>
      </c>
      <c r="Y155" s="478">
        <v>3.1200000000000006E-2</v>
      </c>
      <c r="Z155" s="503">
        <v>3.1700000000000006E-2</v>
      </c>
      <c r="AA155" s="503">
        <v>3.1600000000000003E-2</v>
      </c>
      <c r="AB155" s="503">
        <v>3.2100000000000004E-2</v>
      </c>
      <c r="AC155" s="503">
        <v>3.2300000000000002E-2</v>
      </c>
      <c r="AD155" s="503">
        <v>3.2800000000000003E-2</v>
      </c>
      <c r="AE155" s="503">
        <v>3.39E-2</v>
      </c>
      <c r="AF155" s="503">
        <v>3.4099999999999998E-2</v>
      </c>
      <c r="AG155" s="478">
        <v>3.4200000000000001E-2</v>
      </c>
      <c r="AH155" s="503">
        <v>3.4200000000000001E-2</v>
      </c>
      <c r="AI155" s="503">
        <v>3.4500000000000003E-2</v>
      </c>
      <c r="AJ155" s="503">
        <v>3.4599999999999999E-2</v>
      </c>
      <c r="AK155" s="503">
        <v>3.5900000000000001E-2</v>
      </c>
      <c r="AL155" s="479">
        <v>3.61E-2</v>
      </c>
      <c r="AM155" s="503">
        <v>3.61E-2</v>
      </c>
      <c r="AN155" s="503">
        <v>3.5400000000000001E-2</v>
      </c>
      <c r="AO155" s="503">
        <v>3.5700000000000003E-2</v>
      </c>
      <c r="AP155" s="503">
        <v>3.6200000000000003E-2</v>
      </c>
      <c r="AQ155" s="503">
        <v>3.6400000000000002E-2</v>
      </c>
      <c r="AR155" s="503">
        <v>3.6200000000000003E-2</v>
      </c>
      <c r="AS155" s="478">
        <f t="shared" ref="AS155:BC155" si="56">AS153</f>
        <v>3.6500000000000005E-2</v>
      </c>
      <c r="AT155" s="478">
        <f t="shared" si="56"/>
        <v>3.6500000000000005E-2</v>
      </c>
      <c r="AU155" s="478">
        <f t="shared" si="56"/>
        <v>3.6500000000000005E-2</v>
      </c>
      <c r="AV155" s="503">
        <f t="shared" si="56"/>
        <v>3.5900000000000001E-2</v>
      </c>
      <c r="AW155" s="479">
        <f t="shared" si="56"/>
        <v>3.5400000000000001E-2</v>
      </c>
      <c r="AX155" s="479">
        <f t="shared" si="56"/>
        <v>3.5400000000000001E-2</v>
      </c>
      <c r="AY155" s="479">
        <f t="shared" si="56"/>
        <v>3.5400000000000001E-2</v>
      </c>
      <c r="AZ155" s="479">
        <f t="shared" si="56"/>
        <v>3.5400000000000001E-2</v>
      </c>
      <c r="BA155" s="479">
        <f t="shared" si="56"/>
        <v>3.5400000000000001E-2</v>
      </c>
      <c r="BB155" s="479">
        <f t="shared" si="56"/>
        <v>3.5400000000000001E-2</v>
      </c>
      <c r="BC155" s="479">
        <f t="shared" si="56"/>
        <v>3.5400000000000001E-2</v>
      </c>
      <c r="BD155" s="479">
        <v>3.6600000000000001E-2</v>
      </c>
      <c r="BE155" s="479">
        <v>3.6600000000000001E-2</v>
      </c>
      <c r="BF155" s="479">
        <v>3.6600000000000001E-2</v>
      </c>
      <c r="BG155" s="479">
        <v>3.6200000000000003E-2</v>
      </c>
      <c r="BH155" s="479">
        <v>3.6499999999999998E-2</v>
      </c>
      <c r="BI155" s="479">
        <v>3.6499999999999998E-2</v>
      </c>
      <c r="BJ155" s="479">
        <v>3.6499999999999998E-2</v>
      </c>
      <c r="BK155" s="479">
        <v>3.6499999999999998E-2</v>
      </c>
      <c r="BL155" s="479">
        <v>3.6700000000000003E-2</v>
      </c>
      <c r="BM155" s="479">
        <v>3.73E-2</v>
      </c>
      <c r="BN155" s="479">
        <v>3.73E-2</v>
      </c>
      <c r="BO155" s="479">
        <v>3.6799999999999999E-2</v>
      </c>
      <c r="BP155" s="479">
        <v>3.7699999999999997E-2</v>
      </c>
      <c r="BQ155" s="479">
        <v>3.7699999999999997E-2</v>
      </c>
      <c r="BR155" s="479">
        <v>3.7999999999999999E-2</v>
      </c>
      <c r="BS155" s="479">
        <v>3.7999999999999999E-2</v>
      </c>
      <c r="BT155" s="479">
        <v>3.7999999999999999E-2</v>
      </c>
      <c r="BU155" s="479">
        <v>3.7999999999999999E-2</v>
      </c>
      <c r="BV155" s="479">
        <v>3.7999999999999999E-2</v>
      </c>
      <c r="BW155" s="479">
        <v>3.7999999999999999E-2</v>
      </c>
      <c r="BX155" s="479">
        <v>3.7999999999999999E-2</v>
      </c>
      <c r="BY155" s="479">
        <v>3.6200000000000003E-2</v>
      </c>
      <c r="BZ155" s="479">
        <v>3.6200000000000003E-2</v>
      </c>
      <c r="CA155" s="479">
        <v>3.8199999999999998E-2</v>
      </c>
      <c r="CB155" s="479">
        <v>3.9199999999999999E-2</v>
      </c>
      <c r="CC155" s="479">
        <v>4.0599999999999997E-2</v>
      </c>
      <c r="CD155" s="479">
        <v>4.1200000000000001E-2</v>
      </c>
      <c r="CE155" s="479">
        <v>4.1799999999999997E-2</v>
      </c>
      <c r="CF155" s="479">
        <v>4.1599999999999998E-2</v>
      </c>
      <c r="CG155" s="479">
        <v>4.19E-2</v>
      </c>
      <c r="CH155" s="479">
        <v>4.4699999999999997E-2</v>
      </c>
      <c r="CI155" s="479">
        <v>4.5100000000000001E-2</v>
      </c>
      <c r="CJ155" s="479">
        <v>4.4999999999999998E-2</v>
      </c>
      <c r="CK155" s="479">
        <v>4.5999999999999999E-2</v>
      </c>
      <c r="CL155" s="479">
        <v>4.6300000000000001E-2</v>
      </c>
      <c r="CM155" s="479">
        <v>4.6399999999999997E-2</v>
      </c>
      <c r="CN155" s="479">
        <v>4.6399999999999997E-2</v>
      </c>
      <c r="CO155" s="479">
        <v>4.6699999999999998E-2</v>
      </c>
      <c r="CP155" s="479">
        <v>4.6600000000000003E-2</v>
      </c>
      <c r="CQ155" s="479">
        <v>4.6899999999999997E-2</v>
      </c>
      <c r="CR155" s="479">
        <v>4.6600000000000003E-2</v>
      </c>
      <c r="CS155" s="479">
        <v>4.6600000000000003E-2</v>
      </c>
      <c r="CT155" s="479">
        <v>4.6899999999999997E-2</v>
      </c>
      <c r="CU155" s="479">
        <v>4.6899999999999997E-2</v>
      </c>
      <c r="CV155" s="479">
        <v>4.6899999999999997E-2</v>
      </c>
      <c r="CW155" s="524">
        <v>4.6699999999999998E-2</v>
      </c>
      <c r="CX155" s="472">
        <v>4.6300000000000001E-2</v>
      </c>
      <c r="CY155" s="472">
        <v>4.6300000000000001E-2</v>
      </c>
      <c r="CZ155" s="472">
        <v>4.5999999999999999E-2</v>
      </c>
      <c r="DA155" s="472">
        <v>4.5999999999999999E-2</v>
      </c>
      <c r="DB155" s="472">
        <v>4.5900000000000003E-2</v>
      </c>
      <c r="DC155" s="484">
        <v>4.5900000000000003E-2</v>
      </c>
      <c r="DD155" s="484">
        <v>4.6100000000000002E-2</v>
      </c>
      <c r="DE155" s="472">
        <v>4.6399999999999997E-2</v>
      </c>
      <c r="DF155" s="472">
        <v>4.6399999999999997E-2</v>
      </c>
      <c r="DG155" s="472">
        <v>4.5999999999999999E-2</v>
      </c>
      <c r="DH155" s="472">
        <v>4.5600000000000002E-2</v>
      </c>
      <c r="DI155" s="472">
        <v>4.5900000000000003E-2</v>
      </c>
      <c r="DJ155" s="472">
        <v>4.5400000000000003E-2</v>
      </c>
      <c r="DK155" s="472">
        <v>4.6199999999999998E-2</v>
      </c>
      <c r="DL155" s="472">
        <v>4.6300000000000001E-2</v>
      </c>
      <c r="DM155" s="472">
        <v>4.6399999999999997E-2</v>
      </c>
      <c r="DN155" s="472">
        <v>4.6899999999999997E-2</v>
      </c>
      <c r="DO155" s="472">
        <v>4.82E-2</v>
      </c>
      <c r="DP155" s="472">
        <v>4.8399999999999999E-2</v>
      </c>
      <c r="DQ155" s="472">
        <v>4.9099999999999998E-2</v>
      </c>
      <c r="DR155" s="472">
        <v>4.8000000000000001E-2</v>
      </c>
      <c r="DS155" s="472">
        <v>4.8300000000000003E-2</v>
      </c>
      <c r="DT155" s="472">
        <v>4.8500000000000001E-2</v>
      </c>
      <c r="DU155" s="472">
        <v>4.8899999999999999E-2</v>
      </c>
      <c r="DV155" s="472">
        <v>4.8899999999999999E-2</v>
      </c>
      <c r="DW155" s="472">
        <v>4.9000000000000002E-2</v>
      </c>
      <c r="DX155" s="472">
        <v>4.87E-2</v>
      </c>
      <c r="DY155" s="472">
        <v>4.8899999999999999E-2</v>
      </c>
      <c r="DZ155" s="472">
        <v>4.8800000000000003E-2</v>
      </c>
      <c r="EA155" s="472">
        <v>4.8800000000000003E-2</v>
      </c>
      <c r="EB155" s="472">
        <v>4.8599999999999997E-2</v>
      </c>
      <c r="EC155" s="472">
        <v>4.8599999999999997E-2</v>
      </c>
      <c r="ED155" s="472">
        <v>4.8500000000000001E-2</v>
      </c>
      <c r="EE155" s="472">
        <v>4.8500000000000001E-2</v>
      </c>
      <c r="EF155" s="472">
        <v>4.8500000000000001E-2</v>
      </c>
      <c r="EG155" s="472">
        <v>4.8500000000000001E-2</v>
      </c>
      <c r="EH155" s="472">
        <v>4.8599999999999997E-2</v>
      </c>
      <c r="EI155" s="472">
        <v>3.78E-2</v>
      </c>
      <c r="EJ155" s="472">
        <v>3.8399999999999997E-2</v>
      </c>
      <c r="EK155" s="472">
        <v>3.7499999999999999E-2</v>
      </c>
      <c r="EL155" s="472">
        <v>3.5999999999999997E-2</v>
      </c>
      <c r="EM155" s="472">
        <v>3.2300000000000002E-2</v>
      </c>
      <c r="EN155" s="472">
        <v>4.5400000000000003E-2</v>
      </c>
      <c r="EO155" s="472">
        <v>4.6899999999999997E-2</v>
      </c>
      <c r="EP155" s="472">
        <v>4.6699999999999998E-2</v>
      </c>
      <c r="EQ155" s="472">
        <v>4.6699999999999998E-2</v>
      </c>
      <c r="ER155" s="472">
        <v>4.6699999999999998E-2</v>
      </c>
      <c r="ES155" s="472">
        <v>4.6699999999999998E-2</v>
      </c>
      <c r="ET155" s="472">
        <v>4.5999999999999999E-2</v>
      </c>
      <c r="EU155" s="472">
        <v>4.5900000000000003E-2</v>
      </c>
      <c r="EV155" s="472">
        <v>4.7100000000000003E-2</v>
      </c>
      <c r="EW155" s="472">
        <v>4.6800000000000001E-2</v>
      </c>
      <c r="EX155" s="472">
        <v>4.4200000000000003E-2</v>
      </c>
      <c r="EY155" s="472">
        <v>4.58E-2</v>
      </c>
      <c r="EZ155" s="472">
        <v>4.7600000000000003E-2</v>
      </c>
      <c r="FA155" s="484">
        <v>4.7600000000000003E-2</v>
      </c>
      <c r="FB155" s="484">
        <v>4.7E-2</v>
      </c>
      <c r="FC155" s="479">
        <v>4.6399999999999997E-2</v>
      </c>
      <c r="FD155" s="479">
        <v>4.65E-2</v>
      </c>
      <c r="FE155" s="479">
        <v>4.5600000000000002E-2</v>
      </c>
      <c r="FF155" s="479">
        <v>4.5699999999999998E-2</v>
      </c>
      <c r="FG155" s="479">
        <v>4.58E-2</v>
      </c>
      <c r="FH155" s="479">
        <v>4.65E-2</v>
      </c>
      <c r="FI155" s="479">
        <v>4.6699999999999998E-2</v>
      </c>
      <c r="FJ155" s="479">
        <v>4.6699999999999998E-2</v>
      </c>
      <c r="FK155" s="479">
        <v>4.6399999999999997E-2</v>
      </c>
      <c r="FL155" s="479">
        <v>4.6800000000000001E-2</v>
      </c>
      <c r="FM155" s="479">
        <v>4.58E-2</v>
      </c>
      <c r="FN155" s="479">
        <v>4.5999999999999999E-2</v>
      </c>
      <c r="FO155" s="479">
        <v>4.58E-2</v>
      </c>
      <c r="FP155" s="479">
        <v>4.4999999999999998E-2</v>
      </c>
      <c r="FQ155" s="479">
        <v>4.6300000000000001E-2</v>
      </c>
      <c r="FR155" s="479">
        <v>4.5499999999999999E-2</v>
      </c>
      <c r="FS155" s="479">
        <v>4.48E-2</v>
      </c>
      <c r="FT155" s="479">
        <v>4.36E-2</v>
      </c>
      <c r="FU155" s="479">
        <v>4.1200000000000001E-2</v>
      </c>
      <c r="FV155" s="472">
        <v>4.6899999999999997E-2</v>
      </c>
      <c r="FW155" s="472">
        <v>4.7E-2</v>
      </c>
      <c r="FX155" s="472">
        <v>4.8399999999999999E-2</v>
      </c>
      <c r="FY155" s="472">
        <v>4.8399999999999999E-2</v>
      </c>
      <c r="FZ155" s="472">
        <v>4.6199999999999998E-2</v>
      </c>
      <c r="GA155" s="472">
        <v>4.7399999999999998E-2</v>
      </c>
      <c r="GB155" s="472">
        <v>4.7399999999999998E-2</v>
      </c>
      <c r="GC155" s="472">
        <v>4.7E-2</v>
      </c>
      <c r="GD155" s="479">
        <v>3.7499999999999999E-2</v>
      </c>
      <c r="GE155" s="479">
        <v>3.7499999999999999E-2</v>
      </c>
      <c r="GF155" s="479">
        <v>3.7499999999999999E-2</v>
      </c>
      <c r="GG155" s="479">
        <v>3.7499999999999999E-2</v>
      </c>
      <c r="GH155" s="479">
        <v>3.7499999999999999E-2</v>
      </c>
      <c r="GI155" s="479">
        <v>3.7499999999999999E-2</v>
      </c>
      <c r="GJ155" s="479">
        <v>3.7499999999999999E-2</v>
      </c>
      <c r="GK155" s="479">
        <v>3.7499999999999999E-2</v>
      </c>
      <c r="GL155" s="479">
        <v>3.7499999999999999E-2</v>
      </c>
      <c r="GM155" s="479">
        <v>3.7499999999999999E-2</v>
      </c>
      <c r="GN155" s="479">
        <v>3.7499999999999999E-2</v>
      </c>
      <c r="GO155" s="479">
        <v>3.7499999999999999E-2</v>
      </c>
      <c r="GP155" s="479">
        <v>3.7499999999999999E-2</v>
      </c>
      <c r="GQ155" s="479">
        <v>3.7499999999999999E-2</v>
      </c>
      <c r="GR155" s="479">
        <v>3.7499999999999999E-2</v>
      </c>
      <c r="GS155" s="479">
        <v>3.7499999999999999E-2</v>
      </c>
      <c r="GT155" s="479">
        <v>3.7499999999999999E-2</v>
      </c>
      <c r="GU155" s="479">
        <v>3.7499999999999999E-2</v>
      </c>
      <c r="GV155" s="479">
        <v>3.7499999999999999E-2</v>
      </c>
      <c r="GW155" s="479">
        <v>3.7499999999999999E-2</v>
      </c>
      <c r="GX155" s="479">
        <v>3.7499999999999999E-2</v>
      </c>
      <c r="GY155" s="479">
        <v>3.7499999999999999E-2</v>
      </c>
      <c r="GZ155" s="479">
        <v>3.7499999999999999E-2</v>
      </c>
      <c r="HA155" s="479">
        <v>3.7499999999999999E-2</v>
      </c>
      <c r="HB155" s="479">
        <v>3.7499999999999999E-2</v>
      </c>
      <c r="HC155" s="479">
        <v>3.7499999999999999E-2</v>
      </c>
      <c r="HD155" s="479">
        <v>3.7499999999999999E-2</v>
      </c>
      <c r="HE155" s="479">
        <v>3.7499999999999999E-2</v>
      </c>
      <c r="HF155" s="479">
        <v>3.7499999999999999E-2</v>
      </c>
      <c r="HG155" s="479">
        <v>3.7499999999999999E-2</v>
      </c>
      <c r="HH155" s="479">
        <v>3.7499999999999999E-2</v>
      </c>
      <c r="HI155" s="479">
        <v>3.7499999999999999E-2</v>
      </c>
      <c r="HJ155" s="479">
        <v>3.7499999999999999E-2</v>
      </c>
      <c r="HK155" s="479">
        <v>3.7499999999999999E-2</v>
      </c>
      <c r="HL155" s="479">
        <v>3.7499999999999999E-2</v>
      </c>
      <c r="HM155" s="479">
        <v>3.7499999999999999E-2</v>
      </c>
      <c r="HN155" s="479">
        <v>3.7499999999999999E-2</v>
      </c>
      <c r="HO155" s="479">
        <v>3.7499999999999999E-2</v>
      </c>
      <c r="HP155" s="473">
        <f t="shared" si="49"/>
        <v>0</v>
      </c>
      <c r="HQ155" s="499"/>
    </row>
    <row r="156" spans="2:225">
      <c r="B156" s="1123" t="s">
        <v>46</v>
      </c>
      <c r="C156" s="730" t="s">
        <v>232</v>
      </c>
      <c r="D156" s="502">
        <v>2.4382000000000001E-2</v>
      </c>
      <c r="E156" s="502">
        <v>2.4382000000000001E-2</v>
      </c>
      <c r="F156" s="502">
        <v>2.4176E-2</v>
      </c>
      <c r="G156" s="502">
        <v>2.4253E-2</v>
      </c>
      <c r="H156" s="502">
        <v>2.3730000000000001E-2</v>
      </c>
      <c r="I156" s="500">
        <v>2.4337000000000001E-2</v>
      </c>
      <c r="J156" s="500">
        <v>2.4337000000000001E-2</v>
      </c>
      <c r="K156" s="502">
        <v>2.4337000000000001E-2</v>
      </c>
      <c r="L156" s="502">
        <v>2.4152E-2</v>
      </c>
      <c r="M156" s="502">
        <v>2.3748999999999999E-2</v>
      </c>
      <c r="N156" s="502">
        <v>2.3836E-2</v>
      </c>
      <c r="O156" s="502">
        <v>2.4042999999999998E-2</v>
      </c>
      <c r="P156" s="502">
        <v>2.4278000000000001E-2</v>
      </c>
      <c r="Q156" s="502">
        <v>2.4763E-2</v>
      </c>
      <c r="R156" s="502">
        <v>2.4989999999999998E-2</v>
      </c>
      <c r="S156" s="502">
        <v>2.5297E-2</v>
      </c>
      <c r="T156" s="502">
        <v>2.5843000000000001E-2</v>
      </c>
      <c r="U156" s="502">
        <v>2.5388000000000001E-2</v>
      </c>
      <c r="V156" s="502">
        <v>2.5884000000000001E-2</v>
      </c>
      <c r="W156" s="502">
        <v>2.4937000000000001E-2</v>
      </c>
      <c r="X156" s="502">
        <v>2.4968000000000001E-2</v>
      </c>
      <c r="Y156" s="502">
        <v>2.5513999999999998E-2</v>
      </c>
      <c r="Z156" s="502">
        <v>2.5964999999999998E-2</v>
      </c>
      <c r="AA156" s="502">
        <v>2.6613999999999999E-2</v>
      </c>
      <c r="AB156" s="502">
        <v>2.6457999999999999E-2</v>
      </c>
      <c r="AC156" s="500">
        <v>2.6544999999999999E-2</v>
      </c>
      <c r="AD156" s="502">
        <v>2.6648999999999999E-2</v>
      </c>
      <c r="AE156" s="502">
        <v>2.8205999999999998E-2</v>
      </c>
      <c r="AF156" s="502">
        <v>2.8420000000000001E-2</v>
      </c>
      <c r="AG156" s="502">
        <v>2.8653999999999999E-2</v>
      </c>
      <c r="AH156" s="481">
        <v>2.8667000000000002E-2</v>
      </c>
      <c r="AI156" s="480">
        <v>2.8618999999999999E-2</v>
      </c>
      <c r="AJ156" s="480">
        <v>2.9971000000000001E-2</v>
      </c>
      <c r="AK156" s="480">
        <v>3.0019000000000001E-2</v>
      </c>
      <c r="AL156" s="480">
        <v>2.9996999999999999E-2</v>
      </c>
      <c r="AM156" s="480">
        <v>3.0065999999999999E-2</v>
      </c>
      <c r="AN156" s="480">
        <v>2.9465999999999999E-2</v>
      </c>
      <c r="AO156" s="480">
        <v>2.9867000000000001E-2</v>
      </c>
      <c r="AP156" s="480">
        <v>3.0294999999999999E-2</v>
      </c>
      <c r="AQ156" s="480">
        <v>3.0599999999999999E-2</v>
      </c>
      <c r="AR156" s="480">
        <v>3.0499999999999999E-2</v>
      </c>
      <c r="AS156" s="480">
        <v>3.0679000000000001E-2</v>
      </c>
      <c r="AT156" s="481">
        <v>3.0613999999999999E-2</v>
      </c>
      <c r="AU156" s="481">
        <v>3.0613999999999999E-2</v>
      </c>
      <c r="AV156" s="480">
        <v>2.9694999999999999E-2</v>
      </c>
      <c r="AW156" s="483">
        <v>2.9422E-2</v>
      </c>
      <c r="AX156" s="483">
        <v>3.0165999999999998E-2</v>
      </c>
      <c r="AY156" s="483">
        <v>3.0165999999999998E-2</v>
      </c>
      <c r="AZ156" s="483">
        <v>3.0165999999999998E-2</v>
      </c>
      <c r="BA156" s="483">
        <v>3.0165999999999998E-2</v>
      </c>
      <c r="BB156" s="483">
        <v>3.0165999999999998E-2</v>
      </c>
      <c r="BC156" s="483">
        <v>3.0165999999999998E-2</v>
      </c>
      <c r="BD156" s="482">
        <v>3.0700000000000002E-2</v>
      </c>
      <c r="BE156" s="482">
        <v>3.0700000000000002E-2</v>
      </c>
      <c r="BF156" s="482">
        <v>3.0700000000000002E-2</v>
      </c>
      <c r="BG156" s="482">
        <v>3.0700000000000002E-2</v>
      </c>
      <c r="BH156" s="482">
        <v>3.0700000000000002E-2</v>
      </c>
      <c r="BI156" s="482">
        <v>3.0700000000000002E-2</v>
      </c>
      <c r="BJ156" s="482">
        <v>3.0700000000000002E-2</v>
      </c>
      <c r="BK156" s="482">
        <v>3.0700000000000002E-2</v>
      </c>
      <c r="BL156" s="482">
        <v>3.0700000000000002E-2</v>
      </c>
      <c r="BM156" s="482">
        <v>3.0700000000000002E-2</v>
      </c>
      <c r="BN156" s="482">
        <v>3.0859999999999999E-2</v>
      </c>
      <c r="BO156" s="482">
        <v>3.0859999999999999E-2</v>
      </c>
      <c r="BP156" s="482">
        <v>3.2328999999999997E-2</v>
      </c>
      <c r="BQ156" s="482">
        <v>3.2328999999999997E-2</v>
      </c>
      <c r="BR156" s="482">
        <v>3.2000000000000001E-2</v>
      </c>
      <c r="BS156" s="482">
        <v>3.2000000000000001E-2</v>
      </c>
      <c r="BT156" s="482">
        <v>3.2436E-2</v>
      </c>
      <c r="BU156" s="482">
        <v>3.2436E-2</v>
      </c>
      <c r="BV156" s="482">
        <v>3.2436E-2</v>
      </c>
      <c r="BW156" s="482">
        <v>3.2436E-2</v>
      </c>
      <c r="BX156" s="482">
        <v>3.1095999999999999E-2</v>
      </c>
      <c r="BY156" s="482">
        <v>3.1095999999999999E-2</v>
      </c>
      <c r="BZ156" s="482">
        <v>3.1095999999999999E-2</v>
      </c>
      <c r="CA156" s="482">
        <v>3.2363000000000003E-2</v>
      </c>
      <c r="CB156" s="482">
        <v>3.3789E-2</v>
      </c>
      <c r="CC156" s="482">
        <v>3.5088000000000001E-2</v>
      </c>
      <c r="CD156" s="482">
        <v>3.5478999999999997E-2</v>
      </c>
      <c r="CE156" s="482">
        <v>3.6276999999999997E-2</v>
      </c>
      <c r="CF156" s="482">
        <v>3.6055999999999998E-2</v>
      </c>
      <c r="CG156" s="482">
        <v>3.5857E-2</v>
      </c>
      <c r="CH156" s="482">
        <v>3.8914999999999998E-2</v>
      </c>
      <c r="CI156" s="482">
        <v>3.9392000000000003E-2</v>
      </c>
      <c r="CJ156" s="482">
        <v>3.9505999999999999E-2</v>
      </c>
      <c r="CK156" s="482">
        <v>4.0085000000000003E-2</v>
      </c>
      <c r="CL156" s="482">
        <v>4.0527000000000001E-2</v>
      </c>
      <c r="CM156" s="482">
        <v>4.0689000000000003E-2</v>
      </c>
      <c r="CN156" s="482">
        <v>4.0689000000000003E-2</v>
      </c>
      <c r="CO156" s="482">
        <v>4.1014000000000002E-2</v>
      </c>
      <c r="CP156" s="482">
        <v>4.1072999999999998E-2</v>
      </c>
      <c r="CQ156" s="482">
        <v>4.0662999999999998E-2</v>
      </c>
      <c r="CR156" s="482">
        <v>4.0377999999999997E-2</v>
      </c>
      <c r="CS156" s="482">
        <v>4.0384999999999997E-2</v>
      </c>
      <c r="CT156" s="482">
        <v>4.0325E-2</v>
      </c>
      <c r="CU156" s="482">
        <v>4.0591000000000002E-2</v>
      </c>
      <c r="CV156" s="482">
        <v>4.0318E-2</v>
      </c>
      <c r="CW156" s="509">
        <v>4.0318E-2</v>
      </c>
      <c r="CX156" s="483">
        <v>3.9808999999999997E-2</v>
      </c>
      <c r="CY156" s="483">
        <v>4.0013E-2</v>
      </c>
      <c r="CZ156" s="483">
        <v>3.9716000000000001E-2</v>
      </c>
      <c r="DA156" s="483">
        <v>4.0295999999999998E-2</v>
      </c>
      <c r="DB156" s="483">
        <v>3.9833E-2</v>
      </c>
      <c r="DC156" s="483">
        <v>4.0524999999999999E-2</v>
      </c>
      <c r="DD156" s="483">
        <v>3.9961999999999998E-2</v>
      </c>
      <c r="DE156" s="483">
        <v>3.9961999999999998E-2</v>
      </c>
      <c r="DF156" s="483">
        <v>3.9961999999999998E-2</v>
      </c>
      <c r="DG156" s="483">
        <v>3.9864999999999998E-2</v>
      </c>
      <c r="DH156" s="483">
        <v>3.9461000000000003E-2</v>
      </c>
      <c r="DI156" s="483">
        <v>3.9865999999999999E-2</v>
      </c>
      <c r="DJ156" s="483">
        <v>3.8890000000000001E-2</v>
      </c>
      <c r="DK156" s="483">
        <v>3.9732000000000003E-2</v>
      </c>
      <c r="DL156" s="483">
        <v>3.9530999999999997E-2</v>
      </c>
      <c r="DM156" s="483">
        <v>3.9766999999999997E-2</v>
      </c>
      <c r="DN156" s="483">
        <v>4.0537999999999998E-2</v>
      </c>
      <c r="DO156" s="483">
        <v>4.1465000000000002E-2</v>
      </c>
      <c r="DP156" s="483">
        <v>4.1167000000000002E-2</v>
      </c>
      <c r="DQ156" s="483">
        <v>4.1944000000000002E-2</v>
      </c>
      <c r="DR156" s="483">
        <v>4.1801999999999999E-2</v>
      </c>
      <c r="DS156" s="483">
        <v>4.2983E-2</v>
      </c>
      <c r="DT156" s="483">
        <v>4.1931999999999997E-2</v>
      </c>
      <c r="DU156" s="483">
        <v>4.2426999999999999E-2</v>
      </c>
      <c r="DV156" s="483">
        <v>4.2455E-2</v>
      </c>
      <c r="DW156" s="483">
        <v>4.2548000000000002E-2</v>
      </c>
      <c r="DX156" s="483">
        <v>4.2844E-2</v>
      </c>
      <c r="DY156" s="483">
        <v>4.2795E-2</v>
      </c>
      <c r="DZ156" s="483">
        <v>4.2686000000000002E-2</v>
      </c>
      <c r="EA156" s="483">
        <v>4.2712E-2</v>
      </c>
      <c r="EB156" s="483">
        <v>4.2320999999999998E-2</v>
      </c>
      <c r="EC156" s="483">
        <v>4.2928000000000001E-2</v>
      </c>
      <c r="ED156" s="483">
        <v>4.2290000000000001E-2</v>
      </c>
      <c r="EE156" s="483">
        <v>4.2320000000000003E-2</v>
      </c>
      <c r="EF156" s="483">
        <v>4.2331000000000001E-2</v>
      </c>
      <c r="EG156" s="483">
        <v>4.2331000000000001E-2</v>
      </c>
      <c r="EH156" s="483">
        <v>4.2313000000000003E-2</v>
      </c>
      <c r="EI156" s="483">
        <v>2.8289000000000002E-2</v>
      </c>
      <c r="EJ156" s="483">
        <v>3.0668999999999998E-2</v>
      </c>
      <c r="EK156" s="483">
        <v>2.9840999999999999E-2</v>
      </c>
      <c r="EL156" s="483">
        <v>2.6289E-2</v>
      </c>
      <c r="EM156" s="483">
        <v>2.8122999999999999E-2</v>
      </c>
      <c r="EN156" s="483">
        <v>3.9392000000000003E-2</v>
      </c>
      <c r="EO156" s="483">
        <v>3.8285E-2</v>
      </c>
      <c r="EP156" s="483">
        <v>3.8103999999999999E-2</v>
      </c>
      <c r="EQ156" s="483">
        <v>3.9217000000000002E-2</v>
      </c>
      <c r="ER156" s="483">
        <v>3.8884000000000002E-2</v>
      </c>
      <c r="ES156" s="483">
        <v>3.8211000000000002E-2</v>
      </c>
      <c r="ET156" s="483">
        <v>3.7352000000000003E-2</v>
      </c>
      <c r="EU156" s="483">
        <v>3.6997000000000002E-2</v>
      </c>
      <c r="EV156" s="483">
        <v>3.6586E-2</v>
      </c>
      <c r="EW156" s="483">
        <v>3.6569999999999998E-2</v>
      </c>
      <c r="EX156" s="483">
        <v>3.2989999999999998E-2</v>
      </c>
      <c r="EY156" s="483">
        <v>3.4169999999999999E-2</v>
      </c>
      <c r="EZ156" s="483">
        <v>3.9988000000000003E-2</v>
      </c>
      <c r="FA156" s="485">
        <v>3.9560999999999999E-2</v>
      </c>
      <c r="FB156" s="485">
        <v>3.8351000000000003E-2</v>
      </c>
      <c r="FC156" s="486">
        <v>3.8256999999999999E-2</v>
      </c>
      <c r="FD156" s="486">
        <v>3.7206999999999997E-2</v>
      </c>
      <c r="FE156" s="486">
        <v>3.6766E-2</v>
      </c>
      <c r="FF156" s="486">
        <v>3.6488E-2</v>
      </c>
      <c r="FG156" s="486">
        <v>3.6769000000000003E-2</v>
      </c>
      <c r="FH156" s="486">
        <v>3.6769000000000003E-2</v>
      </c>
      <c r="FI156" s="486">
        <v>3.6312999999999998E-2</v>
      </c>
      <c r="FJ156" s="486">
        <v>3.5854999999999998E-2</v>
      </c>
      <c r="FK156" s="486">
        <v>3.5496E-2</v>
      </c>
      <c r="FL156" s="486">
        <v>3.6138000000000003E-2</v>
      </c>
      <c r="FM156" s="486">
        <v>3.5442000000000001E-2</v>
      </c>
      <c r="FN156" s="486">
        <v>3.5456000000000001E-2</v>
      </c>
      <c r="FO156" s="486">
        <v>3.4764999999999997E-2</v>
      </c>
      <c r="FP156" s="486">
        <v>3.3769E-2</v>
      </c>
      <c r="FQ156" s="486">
        <v>3.4487999999999998E-2</v>
      </c>
      <c r="FR156" s="486">
        <v>3.3652000000000001E-2</v>
      </c>
      <c r="FS156" s="486">
        <v>3.3029999999999997E-2</v>
      </c>
      <c r="FT156" s="486">
        <v>3.2434999999999999E-2</v>
      </c>
      <c r="FU156" s="486">
        <v>2.9475000000000001E-2</v>
      </c>
      <c r="FV156" s="483">
        <v>4.0876999999999997E-2</v>
      </c>
      <c r="FW156" s="483">
        <v>4.0984E-2</v>
      </c>
      <c r="FX156" s="483">
        <v>4.2034000000000002E-2</v>
      </c>
      <c r="FY156" s="483">
        <v>4.2034000000000002E-2</v>
      </c>
      <c r="FZ156" s="483">
        <v>4.1808999999999999E-2</v>
      </c>
      <c r="GA156" s="483">
        <v>4.1291000000000001E-2</v>
      </c>
      <c r="GB156" s="483">
        <v>4.1085999999999998E-2</v>
      </c>
      <c r="GC156" s="483">
        <v>4.0946000000000003E-2</v>
      </c>
      <c r="GD156" s="486">
        <v>2.9840999999999999E-2</v>
      </c>
      <c r="GE156" s="486">
        <v>2.9840999999999999E-2</v>
      </c>
      <c r="GF156" s="486">
        <v>2.9840999999999999E-2</v>
      </c>
      <c r="GG156" s="486">
        <v>2.9840999999999999E-2</v>
      </c>
      <c r="GH156" s="486">
        <v>2.9840999999999999E-2</v>
      </c>
      <c r="GI156" s="486">
        <v>2.9840999999999999E-2</v>
      </c>
      <c r="GJ156" s="486">
        <v>2.9840999999999999E-2</v>
      </c>
      <c r="GK156" s="486">
        <v>2.9840999999999999E-2</v>
      </c>
      <c r="GL156" s="486">
        <v>2.9840999999999999E-2</v>
      </c>
      <c r="GM156" s="486">
        <v>2.9840999999999999E-2</v>
      </c>
      <c r="GN156" s="486">
        <v>2.9840999999999999E-2</v>
      </c>
      <c r="GO156" s="486">
        <v>2.9840999999999999E-2</v>
      </c>
      <c r="GP156" s="486">
        <v>2.9840999999999999E-2</v>
      </c>
      <c r="GQ156" s="486">
        <v>2.9840999999999999E-2</v>
      </c>
      <c r="GR156" s="486">
        <v>2.9840999999999999E-2</v>
      </c>
      <c r="GS156" s="486">
        <v>2.9840999999999999E-2</v>
      </c>
      <c r="GT156" s="486">
        <v>2.9840999999999999E-2</v>
      </c>
      <c r="GU156" s="486">
        <v>2.9840999999999999E-2</v>
      </c>
      <c r="GV156" s="486">
        <v>2.9840999999999999E-2</v>
      </c>
      <c r="GW156" s="486">
        <v>2.9840999999999999E-2</v>
      </c>
      <c r="GX156" s="486">
        <v>2.9840999999999999E-2</v>
      </c>
      <c r="GY156" s="486">
        <v>2.9840999999999999E-2</v>
      </c>
      <c r="GZ156" s="486">
        <v>2.9840999999999999E-2</v>
      </c>
      <c r="HA156" s="486">
        <v>2.9840999999999999E-2</v>
      </c>
      <c r="HB156" s="486">
        <v>2.9840999999999999E-2</v>
      </c>
      <c r="HC156" s="486">
        <v>2.9840999999999999E-2</v>
      </c>
      <c r="HD156" s="486">
        <v>2.9840999999999999E-2</v>
      </c>
      <c r="HE156" s="486">
        <v>2.9840999999999999E-2</v>
      </c>
      <c r="HF156" s="486">
        <v>2.9840999999999999E-2</v>
      </c>
      <c r="HG156" s="486">
        <v>2.9840999999999999E-2</v>
      </c>
      <c r="HH156" s="486">
        <v>2.9840999999999999E-2</v>
      </c>
      <c r="HI156" s="486">
        <v>2.9840999999999999E-2</v>
      </c>
      <c r="HJ156" s="486">
        <v>2.9840999999999999E-2</v>
      </c>
      <c r="HK156" s="486">
        <v>2.9840999999999999E-2</v>
      </c>
      <c r="HL156" s="486">
        <v>2.9840999999999999E-2</v>
      </c>
      <c r="HM156" s="486">
        <v>2.9840999999999999E-2</v>
      </c>
      <c r="HN156" s="486">
        <v>2.9840999999999999E-2</v>
      </c>
      <c r="HO156" s="486">
        <v>2.9840999999999999E-2</v>
      </c>
      <c r="HP156" s="473">
        <f t="shared" si="49"/>
        <v>0</v>
      </c>
      <c r="HQ156" s="510"/>
    </row>
    <row r="157" spans="2:225">
      <c r="B157" s="1124"/>
      <c r="C157" s="730" t="s">
        <v>231</v>
      </c>
      <c r="D157" s="502">
        <v>2.5381999999999998E-2</v>
      </c>
      <c r="E157" s="502">
        <v>2.5381999999999998E-2</v>
      </c>
      <c r="F157" s="502">
        <v>2.5176E-2</v>
      </c>
      <c r="G157" s="502">
        <v>2.5253000000000001E-2</v>
      </c>
      <c r="H157" s="502">
        <v>2.4729999999999999E-2</v>
      </c>
      <c r="I157" s="500">
        <v>2.5336999999999998E-2</v>
      </c>
      <c r="J157" s="500">
        <v>2.5336999999999998E-2</v>
      </c>
      <c r="K157" s="502">
        <v>2.5336999999999998E-2</v>
      </c>
      <c r="L157" s="502">
        <v>2.5152000000000001E-2</v>
      </c>
      <c r="M157" s="502">
        <v>2.4749E-2</v>
      </c>
      <c r="N157" s="502">
        <v>2.4836E-2</v>
      </c>
      <c r="O157" s="502">
        <v>2.5042999999999999E-2</v>
      </c>
      <c r="P157" s="502">
        <v>2.5277999999999998E-2</v>
      </c>
      <c r="Q157" s="502">
        <v>2.5763000000000001E-2</v>
      </c>
      <c r="R157" s="502">
        <v>2.5989999999999999E-2</v>
      </c>
      <c r="S157" s="502">
        <v>2.6297000000000001E-2</v>
      </c>
      <c r="T157" s="502">
        <v>2.6842999999999999E-2</v>
      </c>
      <c r="U157" s="502">
        <v>2.6388000000000002E-2</v>
      </c>
      <c r="V157" s="502">
        <v>2.6884000000000002E-2</v>
      </c>
      <c r="W157" s="502">
        <v>2.5937000000000002E-2</v>
      </c>
      <c r="X157" s="502">
        <v>2.5968000000000001E-2</v>
      </c>
      <c r="Y157" s="502">
        <v>2.6513999999999999E-2</v>
      </c>
      <c r="Z157" s="502">
        <v>2.6964999999999999E-2</v>
      </c>
      <c r="AA157" s="502">
        <v>2.7614E-2</v>
      </c>
      <c r="AB157" s="502">
        <v>2.7458E-2</v>
      </c>
      <c r="AC157" s="500">
        <v>2.7545E-2</v>
      </c>
      <c r="AD157" s="502">
        <v>2.7649E-2</v>
      </c>
      <c r="AE157" s="502">
        <v>2.9205999999999999E-2</v>
      </c>
      <c r="AF157" s="502">
        <v>2.9420000000000002E-2</v>
      </c>
      <c r="AG157" s="502">
        <v>2.9654E-2</v>
      </c>
      <c r="AH157" s="481">
        <v>2.9666999999999999E-2</v>
      </c>
      <c r="AI157" s="480">
        <v>2.9618999999999999E-2</v>
      </c>
      <c r="AJ157" s="480">
        <v>3.0970999999999999E-2</v>
      </c>
      <c r="AK157" s="480">
        <v>3.1019000000000001E-2</v>
      </c>
      <c r="AL157" s="480">
        <v>3.0997E-2</v>
      </c>
      <c r="AM157" s="480">
        <v>3.1066E-2</v>
      </c>
      <c r="AN157" s="480">
        <v>3.0466E-2</v>
      </c>
      <c r="AO157" s="480">
        <v>3.0866999999999999E-2</v>
      </c>
      <c r="AP157" s="480">
        <v>3.1295000000000003E-2</v>
      </c>
      <c r="AQ157" s="480">
        <v>3.1600000000000003E-2</v>
      </c>
      <c r="AR157" s="480">
        <f t="shared" ref="AR157:BC158" si="57">AR156+0.1%</f>
        <v>3.15E-2</v>
      </c>
      <c r="AS157" s="480">
        <f t="shared" si="57"/>
        <v>3.1678999999999999E-2</v>
      </c>
      <c r="AT157" s="481">
        <f t="shared" si="57"/>
        <v>3.1613999999999996E-2</v>
      </c>
      <c r="AU157" s="481">
        <f t="shared" si="57"/>
        <v>3.1613999999999996E-2</v>
      </c>
      <c r="AV157" s="480">
        <f t="shared" si="57"/>
        <v>3.0695E-2</v>
      </c>
      <c r="AW157" s="483">
        <f t="shared" si="57"/>
        <v>3.0422000000000001E-2</v>
      </c>
      <c r="AX157" s="483">
        <f t="shared" si="57"/>
        <v>3.1165999999999999E-2</v>
      </c>
      <c r="AY157" s="483">
        <f t="shared" si="57"/>
        <v>3.1165999999999999E-2</v>
      </c>
      <c r="AZ157" s="483">
        <f t="shared" si="57"/>
        <v>3.1165999999999999E-2</v>
      </c>
      <c r="BA157" s="483">
        <f t="shared" si="57"/>
        <v>3.1165999999999999E-2</v>
      </c>
      <c r="BB157" s="483">
        <f t="shared" si="57"/>
        <v>3.1165999999999999E-2</v>
      </c>
      <c r="BC157" s="483">
        <f t="shared" si="57"/>
        <v>3.1165999999999999E-2</v>
      </c>
      <c r="BD157" s="482">
        <v>3.1699999999999999E-2</v>
      </c>
      <c r="BE157" s="482">
        <v>3.1699999999999999E-2</v>
      </c>
      <c r="BF157" s="482">
        <v>3.1699999999999999E-2</v>
      </c>
      <c r="BG157" s="482">
        <v>3.1699999999999999E-2</v>
      </c>
      <c r="BH157" s="482">
        <v>3.1699999999999999E-2</v>
      </c>
      <c r="BI157" s="482">
        <v>3.1699999999999999E-2</v>
      </c>
      <c r="BJ157" s="482">
        <v>3.1699999999999999E-2</v>
      </c>
      <c r="BK157" s="482">
        <v>3.1699999999999999E-2</v>
      </c>
      <c r="BL157" s="482">
        <v>3.1699999999999999E-2</v>
      </c>
      <c r="BM157" s="482">
        <v>3.1699999999999999E-2</v>
      </c>
      <c r="BN157" s="482">
        <v>3.1859999999999999E-2</v>
      </c>
      <c r="BO157" s="482">
        <v>3.1859999999999999E-2</v>
      </c>
      <c r="BP157" s="482">
        <v>3.3328999999999998E-2</v>
      </c>
      <c r="BQ157" s="482">
        <v>3.3328999999999998E-2</v>
      </c>
      <c r="BR157" s="482">
        <v>3.3000000000000002E-2</v>
      </c>
      <c r="BS157" s="482">
        <v>3.3000000000000002E-2</v>
      </c>
      <c r="BT157" s="482">
        <v>3.3436E-2</v>
      </c>
      <c r="BU157" s="482">
        <v>3.3436E-2</v>
      </c>
      <c r="BV157" s="482">
        <v>3.3436E-2</v>
      </c>
      <c r="BW157" s="482">
        <v>3.3436E-2</v>
      </c>
      <c r="BX157" s="482">
        <v>3.2096E-2</v>
      </c>
      <c r="BY157" s="482">
        <v>3.2096E-2</v>
      </c>
      <c r="BZ157" s="482">
        <v>3.2096E-2</v>
      </c>
      <c r="CA157" s="482">
        <v>3.3362999999999997E-2</v>
      </c>
      <c r="CB157" s="482">
        <v>3.4789E-2</v>
      </c>
      <c r="CC157" s="482">
        <v>3.6088000000000002E-2</v>
      </c>
      <c r="CD157" s="482">
        <v>3.6478999999999998E-2</v>
      </c>
      <c r="CE157" s="482">
        <v>3.7276999999999998E-2</v>
      </c>
      <c r="CF157" s="482">
        <v>3.7055999999999999E-2</v>
      </c>
      <c r="CG157" s="482">
        <v>3.6857000000000001E-2</v>
      </c>
      <c r="CH157" s="482">
        <v>3.9914999999999999E-2</v>
      </c>
      <c r="CI157" s="482">
        <v>4.0391999999999997E-2</v>
      </c>
      <c r="CJ157" s="482">
        <v>4.0506E-2</v>
      </c>
      <c r="CK157" s="482">
        <v>4.1085000000000003E-2</v>
      </c>
      <c r="CL157" s="482">
        <v>4.1527000000000001E-2</v>
      </c>
      <c r="CM157" s="482">
        <v>4.1688999999999997E-2</v>
      </c>
      <c r="CN157" s="482">
        <v>4.1688999999999997E-2</v>
      </c>
      <c r="CO157" s="482">
        <v>4.2014000000000003E-2</v>
      </c>
      <c r="CP157" s="482">
        <v>4.2072999999999999E-2</v>
      </c>
      <c r="CQ157" s="482">
        <v>4.1662999999999999E-2</v>
      </c>
      <c r="CR157" s="482">
        <v>4.1377999999999998E-2</v>
      </c>
      <c r="CS157" s="482">
        <v>4.1384999999999998E-2</v>
      </c>
      <c r="CT157" s="482">
        <v>4.1325000000000001E-2</v>
      </c>
      <c r="CU157" s="482">
        <v>4.1591000000000003E-2</v>
      </c>
      <c r="CV157" s="482">
        <v>4.1318000000000001E-2</v>
      </c>
      <c r="CW157" s="509">
        <v>4.1318000000000001E-2</v>
      </c>
      <c r="CX157" s="483">
        <v>4.0808999999999998E-2</v>
      </c>
      <c r="CY157" s="483">
        <v>4.1013000000000001E-2</v>
      </c>
      <c r="CZ157" s="483">
        <v>4.0716000000000002E-2</v>
      </c>
      <c r="DA157" s="483">
        <v>4.1295999999999999E-2</v>
      </c>
      <c r="DB157" s="483">
        <v>4.0833000000000001E-2</v>
      </c>
      <c r="DC157" s="483">
        <v>4.1524999999999999E-2</v>
      </c>
      <c r="DD157" s="483">
        <v>4.0961999999999998E-2</v>
      </c>
      <c r="DE157" s="483">
        <v>4.0961999999999998E-2</v>
      </c>
      <c r="DF157" s="483">
        <v>4.0961999999999998E-2</v>
      </c>
      <c r="DG157" s="483">
        <v>4.0864999999999999E-2</v>
      </c>
      <c r="DH157" s="483">
        <v>4.0460999999999997E-2</v>
      </c>
      <c r="DI157" s="483">
        <v>4.0866E-2</v>
      </c>
      <c r="DJ157" s="483">
        <v>3.9890000000000002E-2</v>
      </c>
      <c r="DK157" s="483">
        <v>4.0731999999999997E-2</v>
      </c>
      <c r="DL157" s="483">
        <v>4.0530999999999998E-2</v>
      </c>
      <c r="DM157" s="483">
        <v>4.0766999999999998E-2</v>
      </c>
      <c r="DN157" s="483">
        <v>4.1537999999999999E-2</v>
      </c>
      <c r="DO157" s="483">
        <v>4.2465000000000003E-2</v>
      </c>
      <c r="DP157" s="483">
        <v>4.2167000000000003E-2</v>
      </c>
      <c r="DQ157" s="483">
        <v>4.2944000000000003E-2</v>
      </c>
      <c r="DR157" s="483">
        <v>4.2802E-2</v>
      </c>
      <c r="DS157" s="483">
        <v>4.3983000000000001E-2</v>
      </c>
      <c r="DT157" s="483">
        <v>4.2931999999999998E-2</v>
      </c>
      <c r="DU157" s="483">
        <v>4.3427E-2</v>
      </c>
      <c r="DV157" s="483">
        <v>4.3455000000000001E-2</v>
      </c>
      <c r="DW157" s="483">
        <v>4.3548000000000003E-2</v>
      </c>
      <c r="DX157" s="483">
        <v>4.3844000000000001E-2</v>
      </c>
      <c r="DY157" s="483">
        <v>4.3795000000000001E-2</v>
      </c>
      <c r="DZ157" s="483">
        <v>4.3686000000000003E-2</v>
      </c>
      <c r="EA157" s="483">
        <v>4.3712000000000001E-2</v>
      </c>
      <c r="EB157" s="483">
        <v>4.3320999999999998E-2</v>
      </c>
      <c r="EC157" s="483">
        <v>4.3928000000000002E-2</v>
      </c>
      <c r="ED157" s="483">
        <v>4.3290000000000002E-2</v>
      </c>
      <c r="EE157" s="483">
        <v>4.3319999999999997E-2</v>
      </c>
      <c r="EF157" s="483">
        <v>4.3331000000000001E-2</v>
      </c>
      <c r="EG157" s="483">
        <v>4.3331000000000001E-2</v>
      </c>
      <c r="EH157" s="483">
        <v>4.3312999999999997E-2</v>
      </c>
      <c r="EI157" s="483">
        <v>2.9288999999999999E-2</v>
      </c>
      <c r="EJ157" s="483">
        <v>3.1669000000000003E-2</v>
      </c>
      <c r="EK157" s="483">
        <v>3.0841E-2</v>
      </c>
      <c r="EL157" s="483">
        <v>2.7289000000000001E-2</v>
      </c>
      <c r="EM157" s="483">
        <v>3.0123E-2</v>
      </c>
      <c r="EN157" s="483">
        <v>4.0391999999999997E-2</v>
      </c>
      <c r="EO157" s="483">
        <v>3.9285E-2</v>
      </c>
      <c r="EP157" s="483">
        <v>3.9104E-2</v>
      </c>
      <c r="EQ157" s="483">
        <v>4.0217000000000003E-2</v>
      </c>
      <c r="ER157" s="483">
        <v>3.9884000000000003E-2</v>
      </c>
      <c r="ES157" s="483">
        <v>3.9211000000000003E-2</v>
      </c>
      <c r="ET157" s="483">
        <v>3.8351999999999997E-2</v>
      </c>
      <c r="EU157" s="483">
        <v>3.7997000000000003E-2</v>
      </c>
      <c r="EV157" s="483">
        <v>3.7586000000000001E-2</v>
      </c>
      <c r="EW157" s="483">
        <v>3.7569999999999999E-2</v>
      </c>
      <c r="EX157" s="483">
        <v>3.3989999999999999E-2</v>
      </c>
      <c r="EY157" s="483">
        <v>3.517E-2</v>
      </c>
      <c r="EZ157" s="483">
        <v>4.0987999999999997E-2</v>
      </c>
      <c r="FA157" s="485">
        <v>4.0561E-2</v>
      </c>
      <c r="FB157" s="485">
        <v>3.9350999999999997E-2</v>
      </c>
      <c r="FC157" s="486">
        <v>3.9257E-2</v>
      </c>
      <c r="FD157" s="486">
        <v>3.8206999999999998E-2</v>
      </c>
      <c r="FE157" s="486">
        <v>3.7766000000000001E-2</v>
      </c>
      <c r="FF157" s="486">
        <v>3.7488E-2</v>
      </c>
      <c r="FG157" s="486">
        <v>3.7768999999999997E-2</v>
      </c>
      <c r="FH157" s="486">
        <v>3.7768999999999997E-2</v>
      </c>
      <c r="FI157" s="486">
        <v>3.7312999999999999E-2</v>
      </c>
      <c r="FJ157" s="486">
        <v>3.6854999999999999E-2</v>
      </c>
      <c r="FK157" s="486">
        <v>3.6496000000000001E-2</v>
      </c>
      <c r="FL157" s="486">
        <v>3.7137999999999997E-2</v>
      </c>
      <c r="FM157" s="486">
        <v>3.6442000000000002E-2</v>
      </c>
      <c r="FN157" s="486">
        <v>3.6456000000000002E-2</v>
      </c>
      <c r="FO157" s="486">
        <v>3.5764999999999998E-2</v>
      </c>
      <c r="FP157" s="486">
        <v>3.4769000000000001E-2</v>
      </c>
      <c r="FQ157" s="486">
        <v>3.5487999999999999E-2</v>
      </c>
      <c r="FR157" s="486">
        <v>3.4652000000000002E-2</v>
      </c>
      <c r="FS157" s="486">
        <v>3.4029999999999998E-2</v>
      </c>
      <c r="FT157" s="486">
        <v>3.3434999999999999E-2</v>
      </c>
      <c r="FU157" s="486">
        <v>3.0474999999999999E-2</v>
      </c>
      <c r="FV157" s="483">
        <v>4.1876999999999998E-2</v>
      </c>
      <c r="FW157" s="483">
        <v>4.1984E-2</v>
      </c>
      <c r="FX157" s="483">
        <v>4.3034000000000003E-2</v>
      </c>
      <c r="FY157" s="483">
        <v>4.3034000000000003E-2</v>
      </c>
      <c r="FZ157" s="483">
        <v>4.2809E-2</v>
      </c>
      <c r="GA157" s="483">
        <v>4.2291000000000002E-2</v>
      </c>
      <c r="GB157" s="483">
        <v>4.2085999999999998E-2</v>
      </c>
      <c r="GC157" s="483">
        <v>4.1945999999999997E-2</v>
      </c>
      <c r="GD157" s="486">
        <v>3.0841E-2</v>
      </c>
      <c r="GE157" s="486">
        <v>3.0841E-2</v>
      </c>
      <c r="GF157" s="486">
        <v>3.0841E-2</v>
      </c>
      <c r="GG157" s="486">
        <v>3.0841E-2</v>
      </c>
      <c r="GH157" s="486">
        <v>3.0841E-2</v>
      </c>
      <c r="GI157" s="486">
        <v>3.0841E-2</v>
      </c>
      <c r="GJ157" s="486">
        <v>3.0841E-2</v>
      </c>
      <c r="GK157" s="486">
        <v>3.0841E-2</v>
      </c>
      <c r="GL157" s="486">
        <v>3.0841E-2</v>
      </c>
      <c r="GM157" s="486">
        <v>3.0841E-2</v>
      </c>
      <c r="GN157" s="486">
        <v>3.0841E-2</v>
      </c>
      <c r="GO157" s="486">
        <v>3.0841E-2</v>
      </c>
      <c r="GP157" s="486">
        <v>3.0841E-2</v>
      </c>
      <c r="GQ157" s="486">
        <v>3.0841E-2</v>
      </c>
      <c r="GR157" s="486">
        <v>3.0841E-2</v>
      </c>
      <c r="GS157" s="486">
        <v>3.0841E-2</v>
      </c>
      <c r="GT157" s="486">
        <v>3.0841E-2</v>
      </c>
      <c r="GU157" s="486">
        <v>3.0841E-2</v>
      </c>
      <c r="GV157" s="486">
        <v>3.0841E-2</v>
      </c>
      <c r="GW157" s="486">
        <v>3.0841E-2</v>
      </c>
      <c r="GX157" s="486">
        <v>3.0841E-2</v>
      </c>
      <c r="GY157" s="486">
        <v>3.0841E-2</v>
      </c>
      <c r="GZ157" s="486">
        <v>3.0841E-2</v>
      </c>
      <c r="HA157" s="486">
        <v>3.0841E-2</v>
      </c>
      <c r="HB157" s="486">
        <v>3.0841E-2</v>
      </c>
      <c r="HC157" s="486">
        <v>3.0841E-2</v>
      </c>
      <c r="HD157" s="486">
        <v>3.0841E-2</v>
      </c>
      <c r="HE157" s="486">
        <v>3.0841E-2</v>
      </c>
      <c r="HF157" s="486">
        <v>3.0841E-2</v>
      </c>
      <c r="HG157" s="486">
        <v>3.0841E-2</v>
      </c>
      <c r="HH157" s="486">
        <v>3.0841E-2</v>
      </c>
      <c r="HI157" s="486">
        <v>3.0841E-2</v>
      </c>
      <c r="HJ157" s="486">
        <v>3.0841E-2</v>
      </c>
      <c r="HK157" s="486">
        <v>3.0841E-2</v>
      </c>
      <c r="HL157" s="486">
        <v>3.0841E-2</v>
      </c>
      <c r="HM157" s="486">
        <v>3.0841E-2</v>
      </c>
      <c r="HN157" s="486">
        <v>3.0841E-2</v>
      </c>
      <c r="HO157" s="486">
        <v>3.0841E-2</v>
      </c>
      <c r="HP157" s="473">
        <f t="shared" si="49"/>
        <v>0</v>
      </c>
      <c r="HQ157" s="510"/>
    </row>
    <row r="158" spans="2:225">
      <c r="B158" s="1124"/>
      <c r="C158" s="730" t="s">
        <v>62</v>
      </c>
      <c r="D158" s="502">
        <v>2.6381999999999999E-2</v>
      </c>
      <c r="E158" s="502">
        <v>2.6381999999999999E-2</v>
      </c>
      <c r="F158" s="502">
        <v>2.6176000000000001E-2</v>
      </c>
      <c r="G158" s="502">
        <v>2.6252999999999999E-2</v>
      </c>
      <c r="H158" s="502">
        <v>2.5729999999999999E-2</v>
      </c>
      <c r="I158" s="500">
        <v>2.6336999999999999E-2</v>
      </c>
      <c r="J158" s="500">
        <v>2.6336999999999999E-2</v>
      </c>
      <c r="K158" s="502">
        <v>2.6336999999999999E-2</v>
      </c>
      <c r="L158" s="502">
        <v>2.6152000000000002E-2</v>
      </c>
      <c r="M158" s="502">
        <v>2.5749000000000001E-2</v>
      </c>
      <c r="N158" s="502">
        <v>2.5836000000000001E-2</v>
      </c>
      <c r="O158" s="502">
        <v>2.6043E-2</v>
      </c>
      <c r="P158" s="502">
        <v>2.6277999999999999E-2</v>
      </c>
      <c r="Q158" s="502">
        <v>2.6762999999999999E-2</v>
      </c>
      <c r="R158" s="502">
        <v>2.699E-2</v>
      </c>
      <c r="S158" s="502">
        <v>2.7296999999999998E-2</v>
      </c>
      <c r="T158" s="502">
        <v>2.7843E-2</v>
      </c>
      <c r="U158" s="502">
        <v>2.7387999999999999E-2</v>
      </c>
      <c r="V158" s="502">
        <v>2.7883999999999999E-2</v>
      </c>
      <c r="W158" s="502">
        <v>2.6936999999999999E-2</v>
      </c>
      <c r="X158" s="502">
        <v>2.6967999999999999E-2</v>
      </c>
      <c r="Y158" s="502">
        <v>2.7514E-2</v>
      </c>
      <c r="Z158" s="502">
        <v>2.7965E-2</v>
      </c>
      <c r="AA158" s="502">
        <v>2.8614000000000001E-2</v>
      </c>
      <c r="AB158" s="502">
        <v>2.8458000000000001E-2</v>
      </c>
      <c r="AC158" s="500">
        <v>2.8545000000000001E-2</v>
      </c>
      <c r="AD158" s="502">
        <v>2.8649000000000001E-2</v>
      </c>
      <c r="AE158" s="502">
        <v>3.0206E-2</v>
      </c>
      <c r="AF158" s="502">
        <v>3.0419999999999999E-2</v>
      </c>
      <c r="AG158" s="502">
        <v>3.0654000000000001E-2</v>
      </c>
      <c r="AH158" s="481">
        <v>3.0667E-2</v>
      </c>
      <c r="AI158" s="480">
        <v>3.0619E-2</v>
      </c>
      <c r="AJ158" s="480">
        <v>3.1970999999999999E-2</v>
      </c>
      <c r="AK158" s="480">
        <v>3.2018999999999999E-2</v>
      </c>
      <c r="AL158" s="480">
        <v>3.1996999999999998E-2</v>
      </c>
      <c r="AM158" s="480">
        <v>3.2065999999999997E-2</v>
      </c>
      <c r="AN158" s="480">
        <v>3.1466000000000001E-2</v>
      </c>
      <c r="AO158" s="480">
        <v>3.1866999999999999E-2</v>
      </c>
      <c r="AP158" s="480">
        <v>3.2294999999999997E-2</v>
      </c>
      <c r="AQ158" s="480">
        <v>3.2600000000000004E-2</v>
      </c>
      <c r="AR158" s="480">
        <f t="shared" si="57"/>
        <v>3.2500000000000001E-2</v>
      </c>
      <c r="AS158" s="480">
        <f t="shared" si="57"/>
        <v>3.2679E-2</v>
      </c>
      <c r="AT158" s="481">
        <f t="shared" si="57"/>
        <v>3.2613999999999997E-2</v>
      </c>
      <c r="AU158" s="481">
        <f t="shared" si="57"/>
        <v>3.2613999999999997E-2</v>
      </c>
      <c r="AV158" s="480">
        <f t="shared" si="57"/>
        <v>3.1695000000000001E-2</v>
      </c>
      <c r="AW158" s="483">
        <f t="shared" si="57"/>
        <v>3.1421999999999999E-2</v>
      </c>
      <c r="AX158" s="483">
        <f t="shared" si="57"/>
        <v>3.2166E-2</v>
      </c>
      <c r="AY158" s="483">
        <f t="shared" si="57"/>
        <v>3.2166E-2</v>
      </c>
      <c r="AZ158" s="483">
        <f t="shared" si="57"/>
        <v>3.2166E-2</v>
      </c>
      <c r="BA158" s="483">
        <f t="shared" si="57"/>
        <v>3.2166E-2</v>
      </c>
      <c r="BB158" s="483">
        <f t="shared" si="57"/>
        <v>3.2166E-2</v>
      </c>
      <c r="BC158" s="483">
        <f t="shared" si="57"/>
        <v>3.2166E-2</v>
      </c>
      <c r="BD158" s="482">
        <v>3.27E-2</v>
      </c>
      <c r="BE158" s="482">
        <v>3.27E-2</v>
      </c>
      <c r="BF158" s="482">
        <v>3.27E-2</v>
      </c>
      <c r="BG158" s="482">
        <v>3.27E-2</v>
      </c>
      <c r="BH158" s="482">
        <v>3.27E-2</v>
      </c>
      <c r="BI158" s="482">
        <v>3.27E-2</v>
      </c>
      <c r="BJ158" s="482">
        <v>3.27E-2</v>
      </c>
      <c r="BK158" s="482">
        <v>3.27E-2</v>
      </c>
      <c r="BL158" s="482">
        <v>3.27E-2</v>
      </c>
      <c r="BM158" s="482">
        <v>3.27E-2</v>
      </c>
      <c r="BN158" s="482">
        <v>3.286E-2</v>
      </c>
      <c r="BO158" s="482">
        <v>3.286E-2</v>
      </c>
      <c r="BP158" s="482">
        <v>3.4328999999999998E-2</v>
      </c>
      <c r="BQ158" s="482">
        <v>3.4328999999999998E-2</v>
      </c>
      <c r="BR158" s="482">
        <v>3.4000000000000002E-2</v>
      </c>
      <c r="BS158" s="482">
        <v>3.4000000000000002E-2</v>
      </c>
      <c r="BT158" s="482">
        <v>3.4436000000000001E-2</v>
      </c>
      <c r="BU158" s="482">
        <v>3.4436000000000001E-2</v>
      </c>
      <c r="BV158" s="482">
        <v>3.4436000000000001E-2</v>
      </c>
      <c r="BW158" s="482">
        <v>3.4436000000000001E-2</v>
      </c>
      <c r="BX158" s="482">
        <v>3.3096E-2</v>
      </c>
      <c r="BY158" s="482">
        <v>3.3096E-2</v>
      </c>
      <c r="BZ158" s="482">
        <v>3.3096E-2</v>
      </c>
      <c r="CA158" s="482">
        <v>3.4362999999999998E-2</v>
      </c>
      <c r="CB158" s="482">
        <v>3.5789000000000001E-2</v>
      </c>
      <c r="CC158" s="482">
        <v>3.7088000000000003E-2</v>
      </c>
      <c r="CD158" s="482">
        <v>3.7478999999999998E-2</v>
      </c>
      <c r="CE158" s="482">
        <v>3.8276999999999999E-2</v>
      </c>
      <c r="CF158" s="482">
        <v>3.8056E-2</v>
      </c>
      <c r="CG158" s="482">
        <v>3.7857000000000002E-2</v>
      </c>
      <c r="CH158" s="482">
        <v>4.0915E-2</v>
      </c>
      <c r="CI158" s="482">
        <v>4.1391999999999998E-2</v>
      </c>
      <c r="CJ158" s="482">
        <v>4.1506000000000001E-2</v>
      </c>
      <c r="CK158" s="482">
        <v>4.2084999999999997E-2</v>
      </c>
      <c r="CL158" s="482">
        <v>4.2527000000000002E-2</v>
      </c>
      <c r="CM158" s="482">
        <v>4.2688999999999998E-2</v>
      </c>
      <c r="CN158" s="482">
        <v>4.2688999999999998E-2</v>
      </c>
      <c r="CO158" s="482">
        <v>4.3013999999999997E-2</v>
      </c>
      <c r="CP158" s="482">
        <v>4.3073E-2</v>
      </c>
      <c r="CQ158" s="482">
        <v>4.2663E-2</v>
      </c>
      <c r="CR158" s="482">
        <v>4.2377999999999999E-2</v>
      </c>
      <c r="CS158" s="482">
        <v>4.2384999999999999E-2</v>
      </c>
      <c r="CT158" s="482">
        <v>4.2325000000000002E-2</v>
      </c>
      <c r="CU158" s="482">
        <v>4.2590999999999997E-2</v>
      </c>
      <c r="CV158" s="482">
        <v>4.2318000000000001E-2</v>
      </c>
      <c r="CW158" s="509">
        <v>4.2318000000000001E-2</v>
      </c>
      <c r="CX158" s="483">
        <v>4.1808999999999999E-2</v>
      </c>
      <c r="CY158" s="483">
        <v>4.2013000000000002E-2</v>
      </c>
      <c r="CZ158" s="483">
        <v>4.1716000000000003E-2</v>
      </c>
      <c r="DA158" s="483">
        <v>4.2296E-2</v>
      </c>
      <c r="DB158" s="483">
        <v>4.1833000000000002E-2</v>
      </c>
      <c r="DC158" s="483">
        <v>4.2525E-2</v>
      </c>
      <c r="DD158" s="483">
        <v>4.1961999999999999E-2</v>
      </c>
      <c r="DE158" s="483">
        <v>4.1961999999999999E-2</v>
      </c>
      <c r="DF158" s="483">
        <v>4.1961999999999999E-2</v>
      </c>
      <c r="DG158" s="483">
        <v>4.1864999999999999E-2</v>
      </c>
      <c r="DH158" s="483">
        <v>4.1460999999999998E-2</v>
      </c>
      <c r="DI158" s="483">
        <v>4.1866E-2</v>
      </c>
      <c r="DJ158" s="483">
        <v>4.0890000000000003E-2</v>
      </c>
      <c r="DK158" s="483">
        <v>4.1731999999999998E-2</v>
      </c>
      <c r="DL158" s="483">
        <v>4.1530999999999998E-2</v>
      </c>
      <c r="DM158" s="483">
        <v>4.1766999999999999E-2</v>
      </c>
      <c r="DN158" s="483">
        <v>4.2537999999999999E-2</v>
      </c>
      <c r="DO158" s="483">
        <v>4.3464999999999997E-2</v>
      </c>
      <c r="DP158" s="483">
        <v>4.3166999999999997E-2</v>
      </c>
      <c r="DQ158" s="483">
        <v>4.3943999999999997E-2</v>
      </c>
      <c r="DR158" s="483">
        <v>4.3802000000000001E-2</v>
      </c>
      <c r="DS158" s="483">
        <v>4.4983000000000002E-2</v>
      </c>
      <c r="DT158" s="483">
        <v>4.3931999999999999E-2</v>
      </c>
      <c r="DU158" s="483">
        <v>4.4427000000000001E-2</v>
      </c>
      <c r="DV158" s="483">
        <v>4.4455000000000001E-2</v>
      </c>
      <c r="DW158" s="483">
        <v>4.4547999999999997E-2</v>
      </c>
      <c r="DX158" s="483">
        <v>4.4844000000000002E-2</v>
      </c>
      <c r="DY158" s="483">
        <v>4.4795000000000001E-2</v>
      </c>
      <c r="DZ158" s="483">
        <v>4.4685999999999997E-2</v>
      </c>
      <c r="EA158" s="483">
        <v>4.4712000000000002E-2</v>
      </c>
      <c r="EB158" s="483">
        <v>4.4320999999999999E-2</v>
      </c>
      <c r="EC158" s="483">
        <v>4.4928000000000003E-2</v>
      </c>
      <c r="ED158" s="483">
        <v>4.4290000000000003E-2</v>
      </c>
      <c r="EE158" s="483">
        <v>4.4319999999999998E-2</v>
      </c>
      <c r="EF158" s="483">
        <v>4.4331000000000002E-2</v>
      </c>
      <c r="EG158" s="483">
        <v>4.4331000000000002E-2</v>
      </c>
      <c r="EH158" s="483">
        <v>4.4312999999999998E-2</v>
      </c>
      <c r="EI158" s="483">
        <v>3.0289E-2</v>
      </c>
      <c r="EJ158" s="483">
        <v>3.2668999999999997E-2</v>
      </c>
      <c r="EK158" s="483">
        <v>3.1841000000000001E-2</v>
      </c>
      <c r="EL158" s="483">
        <v>2.8289000000000002E-2</v>
      </c>
      <c r="EM158" s="483">
        <v>3.1123000000000001E-2</v>
      </c>
      <c r="EN158" s="483">
        <v>4.1391999999999998E-2</v>
      </c>
      <c r="EO158" s="483">
        <v>4.0285000000000001E-2</v>
      </c>
      <c r="EP158" s="483">
        <v>4.0104000000000001E-2</v>
      </c>
      <c r="EQ158" s="483">
        <v>4.1216999999999997E-2</v>
      </c>
      <c r="ER158" s="483">
        <v>4.0883999999999997E-2</v>
      </c>
      <c r="ES158" s="483">
        <v>4.0210999999999997E-2</v>
      </c>
      <c r="ET158" s="483">
        <v>3.9351999999999998E-2</v>
      </c>
      <c r="EU158" s="483">
        <v>3.8996999999999997E-2</v>
      </c>
      <c r="EV158" s="483">
        <v>3.8586000000000002E-2</v>
      </c>
      <c r="EW158" s="483">
        <v>3.857E-2</v>
      </c>
      <c r="EX158" s="483">
        <v>3.499E-2</v>
      </c>
      <c r="EY158" s="483">
        <v>3.6170000000000001E-2</v>
      </c>
      <c r="EZ158" s="483">
        <v>4.1987999999999998E-2</v>
      </c>
      <c r="FA158" s="485">
        <v>4.1561000000000001E-2</v>
      </c>
      <c r="FB158" s="485">
        <v>4.0350999999999998E-2</v>
      </c>
      <c r="FC158" s="486">
        <v>4.0257000000000001E-2</v>
      </c>
      <c r="FD158" s="486">
        <v>3.9206999999999999E-2</v>
      </c>
      <c r="FE158" s="486">
        <v>3.8766000000000002E-2</v>
      </c>
      <c r="FF158" s="486">
        <v>3.8488000000000001E-2</v>
      </c>
      <c r="FG158" s="486">
        <v>3.8768999999999998E-2</v>
      </c>
      <c r="FH158" s="486">
        <v>3.8768999999999998E-2</v>
      </c>
      <c r="FI158" s="486">
        <v>3.8313E-2</v>
      </c>
      <c r="FJ158" s="486">
        <v>3.7855E-2</v>
      </c>
      <c r="FK158" s="486">
        <v>3.7496000000000002E-2</v>
      </c>
      <c r="FL158" s="486">
        <v>3.8137999999999998E-2</v>
      </c>
      <c r="FM158" s="486">
        <v>3.7442000000000003E-2</v>
      </c>
      <c r="FN158" s="486">
        <v>3.7456000000000003E-2</v>
      </c>
      <c r="FO158" s="486">
        <v>3.6764999999999999E-2</v>
      </c>
      <c r="FP158" s="486">
        <v>3.5769000000000002E-2</v>
      </c>
      <c r="FQ158" s="486">
        <v>3.6488E-2</v>
      </c>
      <c r="FR158" s="486">
        <v>3.5652000000000003E-2</v>
      </c>
      <c r="FS158" s="486">
        <v>3.5029999999999999E-2</v>
      </c>
      <c r="FT158" s="486">
        <v>3.4435E-2</v>
      </c>
      <c r="FU158" s="486">
        <v>3.1475000000000003E-2</v>
      </c>
      <c r="FV158" s="483">
        <v>4.2876999999999998E-2</v>
      </c>
      <c r="FW158" s="483">
        <v>4.2984000000000001E-2</v>
      </c>
      <c r="FX158" s="483">
        <v>4.4033999999999997E-2</v>
      </c>
      <c r="FY158" s="483">
        <v>4.4033999999999997E-2</v>
      </c>
      <c r="FZ158" s="483">
        <v>4.3809000000000001E-2</v>
      </c>
      <c r="GA158" s="483">
        <v>4.3291000000000003E-2</v>
      </c>
      <c r="GB158" s="483">
        <v>4.3085999999999999E-2</v>
      </c>
      <c r="GC158" s="483">
        <v>4.2945999999999998E-2</v>
      </c>
      <c r="GD158" s="486">
        <v>3.1841000000000001E-2</v>
      </c>
      <c r="GE158" s="486">
        <v>3.1841000000000001E-2</v>
      </c>
      <c r="GF158" s="486">
        <v>3.1841000000000001E-2</v>
      </c>
      <c r="GG158" s="486">
        <v>3.1841000000000001E-2</v>
      </c>
      <c r="GH158" s="486">
        <v>3.1841000000000001E-2</v>
      </c>
      <c r="GI158" s="486">
        <v>3.1841000000000001E-2</v>
      </c>
      <c r="GJ158" s="486">
        <v>3.1841000000000001E-2</v>
      </c>
      <c r="GK158" s="486">
        <v>3.1841000000000001E-2</v>
      </c>
      <c r="GL158" s="486">
        <v>3.1841000000000001E-2</v>
      </c>
      <c r="GM158" s="486">
        <v>3.1841000000000001E-2</v>
      </c>
      <c r="GN158" s="486">
        <v>3.1841000000000001E-2</v>
      </c>
      <c r="GO158" s="486">
        <v>3.1841000000000001E-2</v>
      </c>
      <c r="GP158" s="486">
        <v>3.1841000000000001E-2</v>
      </c>
      <c r="GQ158" s="486">
        <v>3.1841000000000001E-2</v>
      </c>
      <c r="GR158" s="486">
        <v>3.1841000000000001E-2</v>
      </c>
      <c r="GS158" s="486">
        <v>3.1841000000000001E-2</v>
      </c>
      <c r="GT158" s="486">
        <v>3.1841000000000001E-2</v>
      </c>
      <c r="GU158" s="486">
        <v>3.1841000000000001E-2</v>
      </c>
      <c r="GV158" s="486">
        <v>3.1841000000000001E-2</v>
      </c>
      <c r="GW158" s="486">
        <v>3.1841000000000001E-2</v>
      </c>
      <c r="GX158" s="486">
        <v>3.1841000000000001E-2</v>
      </c>
      <c r="GY158" s="486">
        <v>3.1841000000000001E-2</v>
      </c>
      <c r="GZ158" s="486">
        <v>3.1841000000000001E-2</v>
      </c>
      <c r="HA158" s="486">
        <v>3.1841000000000001E-2</v>
      </c>
      <c r="HB158" s="486">
        <v>3.1841000000000001E-2</v>
      </c>
      <c r="HC158" s="486">
        <v>3.1841000000000001E-2</v>
      </c>
      <c r="HD158" s="486">
        <v>3.1841000000000001E-2</v>
      </c>
      <c r="HE158" s="486">
        <v>3.1841000000000001E-2</v>
      </c>
      <c r="HF158" s="486">
        <v>3.1841000000000001E-2</v>
      </c>
      <c r="HG158" s="486">
        <v>3.1841000000000001E-2</v>
      </c>
      <c r="HH158" s="486">
        <v>3.1841000000000001E-2</v>
      </c>
      <c r="HI158" s="486">
        <v>3.1841000000000001E-2</v>
      </c>
      <c r="HJ158" s="486">
        <v>3.1841000000000001E-2</v>
      </c>
      <c r="HK158" s="486">
        <v>3.1841000000000001E-2</v>
      </c>
      <c r="HL158" s="486">
        <v>3.1841000000000001E-2</v>
      </c>
      <c r="HM158" s="486">
        <v>3.1841000000000001E-2</v>
      </c>
      <c r="HN158" s="486">
        <v>3.1841000000000001E-2</v>
      </c>
      <c r="HO158" s="486">
        <v>3.1841000000000001E-2</v>
      </c>
      <c r="HP158" s="473">
        <f t="shared" si="49"/>
        <v>0</v>
      </c>
      <c r="HQ158" s="510"/>
    </row>
    <row r="159" spans="2:225">
      <c r="B159" s="1124"/>
      <c r="C159" s="730" t="s">
        <v>230</v>
      </c>
      <c r="D159" s="502">
        <v>2.6882E-2</v>
      </c>
      <c r="E159" s="502">
        <v>2.6882E-2</v>
      </c>
      <c r="F159" s="502">
        <v>2.6675999999999998E-2</v>
      </c>
      <c r="G159" s="502">
        <v>2.6752999999999999E-2</v>
      </c>
      <c r="H159" s="502">
        <v>2.623E-2</v>
      </c>
      <c r="I159" s="500">
        <v>2.6837E-2</v>
      </c>
      <c r="J159" s="500">
        <v>2.6837E-2</v>
      </c>
      <c r="K159" s="502">
        <v>2.6837E-2</v>
      </c>
      <c r="L159" s="502">
        <v>2.6651999999999999E-2</v>
      </c>
      <c r="M159" s="502">
        <v>2.6249000000000001E-2</v>
      </c>
      <c r="N159" s="502">
        <v>2.6335999999999998E-2</v>
      </c>
      <c r="O159" s="502">
        <v>2.6543000000000001E-2</v>
      </c>
      <c r="P159" s="502">
        <v>2.6778E-2</v>
      </c>
      <c r="Q159" s="502">
        <v>2.7262999999999999E-2</v>
      </c>
      <c r="R159" s="502">
        <v>2.7490000000000001E-2</v>
      </c>
      <c r="S159" s="502">
        <v>2.7796999999999999E-2</v>
      </c>
      <c r="T159" s="502">
        <v>2.8343E-2</v>
      </c>
      <c r="U159" s="502">
        <v>2.7888E-2</v>
      </c>
      <c r="V159" s="502">
        <v>2.8384E-2</v>
      </c>
      <c r="W159" s="502">
        <v>2.7437E-2</v>
      </c>
      <c r="X159" s="502">
        <v>2.7467999999999999E-2</v>
      </c>
      <c r="Y159" s="502">
        <v>2.8014000000000001E-2</v>
      </c>
      <c r="Z159" s="502">
        <v>2.8465000000000001E-2</v>
      </c>
      <c r="AA159" s="502">
        <v>2.9114000000000001E-2</v>
      </c>
      <c r="AB159" s="502">
        <v>2.8958000000000001E-2</v>
      </c>
      <c r="AC159" s="500">
        <v>2.9045000000000001E-2</v>
      </c>
      <c r="AD159" s="502">
        <v>2.9149000000000001E-2</v>
      </c>
      <c r="AE159" s="502">
        <v>3.0706000000000001E-2</v>
      </c>
      <c r="AF159" s="502">
        <v>3.092E-2</v>
      </c>
      <c r="AG159" s="502">
        <v>3.1154000000000001E-2</v>
      </c>
      <c r="AH159" s="481">
        <v>3.1167E-2</v>
      </c>
      <c r="AI159" s="480">
        <v>3.1119000000000001E-2</v>
      </c>
      <c r="AJ159" s="480">
        <v>3.2471E-2</v>
      </c>
      <c r="AK159" s="480">
        <v>3.2518999999999999E-2</v>
      </c>
      <c r="AL159" s="480">
        <v>3.2496999999999998E-2</v>
      </c>
      <c r="AM159" s="480">
        <v>3.2565999999999998E-2</v>
      </c>
      <c r="AN159" s="480">
        <v>3.1966000000000001E-2</v>
      </c>
      <c r="AO159" s="480">
        <v>3.2367E-2</v>
      </c>
      <c r="AP159" s="480">
        <v>3.2794999999999998E-2</v>
      </c>
      <c r="AQ159" s="480">
        <v>3.3100000000000004E-2</v>
      </c>
      <c r="AR159" s="480">
        <f t="shared" ref="AR159:BC159" si="58">AR158+0.05%</f>
        <v>3.3000000000000002E-2</v>
      </c>
      <c r="AS159" s="480">
        <f t="shared" si="58"/>
        <v>3.3179E-2</v>
      </c>
      <c r="AT159" s="481">
        <f t="shared" si="58"/>
        <v>3.3113999999999998E-2</v>
      </c>
      <c r="AU159" s="481">
        <f t="shared" si="58"/>
        <v>3.3113999999999998E-2</v>
      </c>
      <c r="AV159" s="480">
        <f t="shared" si="58"/>
        <v>3.2195000000000001E-2</v>
      </c>
      <c r="AW159" s="483">
        <f t="shared" si="58"/>
        <v>3.1921999999999999E-2</v>
      </c>
      <c r="AX159" s="483">
        <f t="shared" si="58"/>
        <v>3.2666000000000001E-2</v>
      </c>
      <c r="AY159" s="483">
        <f t="shared" si="58"/>
        <v>3.2666000000000001E-2</v>
      </c>
      <c r="AZ159" s="483">
        <f t="shared" si="58"/>
        <v>3.2666000000000001E-2</v>
      </c>
      <c r="BA159" s="483">
        <f t="shared" si="58"/>
        <v>3.2666000000000001E-2</v>
      </c>
      <c r="BB159" s="483">
        <f t="shared" si="58"/>
        <v>3.2666000000000001E-2</v>
      </c>
      <c r="BC159" s="483">
        <f t="shared" si="58"/>
        <v>3.2666000000000001E-2</v>
      </c>
      <c r="BD159" s="482">
        <v>3.32E-2</v>
      </c>
      <c r="BE159" s="482">
        <v>3.32E-2</v>
      </c>
      <c r="BF159" s="482">
        <v>3.32E-2</v>
      </c>
      <c r="BG159" s="482">
        <v>3.32E-2</v>
      </c>
      <c r="BH159" s="482">
        <v>3.32E-2</v>
      </c>
      <c r="BI159" s="482">
        <v>3.32E-2</v>
      </c>
      <c r="BJ159" s="482">
        <v>3.32E-2</v>
      </c>
      <c r="BK159" s="482">
        <v>3.32E-2</v>
      </c>
      <c r="BL159" s="482">
        <v>3.32E-2</v>
      </c>
      <c r="BM159" s="482">
        <v>3.32E-2</v>
      </c>
      <c r="BN159" s="482">
        <v>3.3360000000000001E-2</v>
      </c>
      <c r="BO159" s="482">
        <v>3.3360000000000001E-2</v>
      </c>
      <c r="BP159" s="482">
        <v>3.4828999999999999E-2</v>
      </c>
      <c r="BQ159" s="482">
        <v>3.4828999999999999E-2</v>
      </c>
      <c r="BR159" s="482">
        <v>3.4500000000000003E-2</v>
      </c>
      <c r="BS159" s="482">
        <v>3.4500000000000003E-2</v>
      </c>
      <c r="BT159" s="482">
        <v>3.4936000000000002E-2</v>
      </c>
      <c r="BU159" s="482">
        <v>3.4936000000000002E-2</v>
      </c>
      <c r="BV159" s="482">
        <v>3.4936000000000002E-2</v>
      </c>
      <c r="BW159" s="482">
        <v>3.4936000000000002E-2</v>
      </c>
      <c r="BX159" s="482">
        <v>3.3596000000000001E-2</v>
      </c>
      <c r="BY159" s="482">
        <v>3.3596000000000001E-2</v>
      </c>
      <c r="BZ159" s="482">
        <v>3.3596000000000001E-2</v>
      </c>
      <c r="CA159" s="482">
        <v>3.4862999999999998E-2</v>
      </c>
      <c r="CB159" s="482">
        <v>3.6289000000000002E-2</v>
      </c>
      <c r="CC159" s="482">
        <v>3.7588000000000003E-2</v>
      </c>
      <c r="CD159" s="482">
        <v>3.7978999999999999E-2</v>
      </c>
      <c r="CE159" s="482">
        <v>3.8776999999999999E-2</v>
      </c>
      <c r="CF159" s="482">
        <v>3.8556E-2</v>
      </c>
      <c r="CG159" s="482">
        <v>3.8357000000000002E-2</v>
      </c>
      <c r="CH159" s="482">
        <v>4.1415E-2</v>
      </c>
      <c r="CI159" s="482">
        <v>4.1891999999999999E-2</v>
      </c>
      <c r="CJ159" s="482">
        <v>4.2006000000000002E-2</v>
      </c>
      <c r="CK159" s="482">
        <v>4.2584999999999998E-2</v>
      </c>
      <c r="CL159" s="482">
        <v>4.3027000000000003E-2</v>
      </c>
      <c r="CM159" s="482">
        <v>4.3188999999999998E-2</v>
      </c>
      <c r="CN159" s="482">
        <v>4.3188999999999998E-2</v>
      </c>
      <c r="CO159" s="482">
        <v>4.3513999999999997E-2</v>
      </c>
      <c r="CP159" s="482">
        <v>4.3573000000000001E-2</v>
      </c>
      <c r="CQ159" s="482">
        <v>4.3163E-2</v>
      </c>
      <c r="CR159" s="482">
        <v>4.2877999999999999E-2</v>
      </c>
      <c r="CS159" s="482">
        <v>4.2885E-2</v>
      </c>
      <c r="CT159" s="482">
        <v>4.2825000000000002E-2</v>
      </c>
      <c r="CU159" s="482">
        <v>4.3090999999999997E-2</v>
      </c>
      <c r="CV159" s="482">
        <v>4.2818000000000002E-2</v>
      </c>
      <c r="CW159" s="509">
        <v>4.2818000000000002E-2</v>
      </c>
      <c r="CX159" s="483">
        <v>4.2308999999999999E-2</v>
      </c>
      <c r="CY159" s="483">
        <v>4.2513000000000002E-2</v>
      </c>
      <c r="CZ159" s="483">
        <v>4.2215999999999997E-2</v>
      </c>
      <c r="DA159" s="483">
        <v>4.2796000000000001E-2</v>
      </c>
      <c r="DB159" s="483">
        <v>4.2333000000000003E-2</v>
      </c>
      <c r="DC159" s="483">
        <v>4.3025000000000001E-2</v>
      </c>
      <c r="DD159" s="483">
        <v>4.2462E-2</v>
      </c>
      <c r="DE159" s="483">
        <v>4.2462E-2</v>
      </c>
      <c r="DF159" s="483">
        <v>4.2462E-2</v>
      </c>
      <c r="DG159" s="483">
        <v>4.2365E-2</v>
      </c>
      <c r="DH159" s="483">
        <v>4.1960999999999998E-2</v>
      </c>
      <c r="DI159" s="483">
        <v>4.2366000000000001E-2</v>
      </c>
      <c r="DJ159" s="483">
        <v>4.1390000000000003E-2</v>
      </c>
      <c r="DK159" s="483">
        <v>4.2231999999999999E-2</v>
      </c>
      <c r="DL159" s="483">
        <v>4.2030999999999999E-2</v>
      </c>
      <c r="DM159" s="483">
        <v>4.2266999999999999E-2</v>
      </c>
      <c r="DN159" s="483">
        <v>4.3038E-2</v>
      </c>
      <c r="DO159" s="483">
        <v>4.3964999999999997E-2</v>
      </c>
      <c r="DP159" s="483">
        <v>4.3666999999999997E-2</v>
      </c>
      <c r="DQ159" s="483">
        <v>4.4443999999999997E-2</v>
      </c>
      <c r="DR159" s="483">
        <v>4.4302000000000001E-2</v>
      </c>
      <c r="DS159" s="483">
        <v>4.5483000000000003E-2</v>
      </c>
      <c r="DT159" s="483">
        <v>4.4431999999999999E-2</v>
      </c>
      <c r="DU159" s="483">
        <v>4.4927000000000002E-2</v>
      </c>
      <c r="DV159" s="483">
        <v>4.4955000000000002E-2</v>
      </c>
      <c r="DW159" s="483">
        <v>4.5047999999999998E-2</v>
      </c>
      <c r="DX159" s="483">
        <v>4.5344000000000002E-2</v>
      </c>
      <c r="DY159" s="483">
        <v>4.5295000000000002E-2</v>
      </c>
      <c r="DZ159" s="483">
        <v>4.5185999999999997E-2</v>
      </c>
      <c r="EA159" s="483">
        <v>4.5212000000000002E-2</v>
      </c>
      <c r="EB159" s="483">
        <v>4.4821E-2</v>
      </c>
      <c r="EC159" s="483">
        <v>4.5428000000000003E-2</v>
      </c>
      <c r="ED159" s="483">
        <v>4.4790000000000003E-2</v>
      </c>
      <c r="EE159" s="483">
        <v>4.4819999999999999E-2</v>
      </c>
      <c r="EF159" s="483">
        <v>4.4831000000000003E-2</v>
      </c>
      <c r="EG159" s="483">
        <v>4.4831000000000003E-2</v>
      </c>
      <c r="EH159" s="483">
        <v>4.4812999999999999E-2</v>
      </c>
      <c r="EI159" s="483">
        <v>3.0789E-2</v>
      </c>
      <c r="EJ159" s="483">
        <v>3.3168999999999997E-2</v>
      </c>
      <c r="EK159" s="483">
        <v>3.2341000000000002E-2</v>
      </c>
      <c r="EL159" s="483">
        <v>2.8788999999999999E-2</v>
      </c>
      <c r="EM159" s="483">
        <v>3.1622999999999998E-2</v>
      </c>
      <c r="EN159" s="483">
        <v>4.18923E-2</v>
      </c>
      <c r="EO159" s="483">
        <v>4.0785000000000002E-2</v>
      </c>
      <c r="EP159" s="483">
        <v>4.0604000000000001E-2</v>
      </c>
      <c r="EQ159" s="483">
        <v>4.1716999999999997E-2</v>
      </c>
      <c r="ER159" s="483">
        <v>4.1383999999999997E-2</v>
      </c>
      <c r="ES159" s="483">
        <v>4.0710999999999997E-2</v>
      </c>
      <c r="ET159" s="483">
        <v>3.9851999999999999E-2</v>
      </c>
      <c r="EU159" s="483">
        <v>3.9496999999999997E-2</v>
      </c>
      <c r="EV159" s="483">
        <v>3.9086000000000003E-2</v>
      </c>
      <c r="EW159" s="483">
        <v>3.9070000000000001E-2</v>
      </c>
      <c r="EX159" s="483">
        <v>3.5490000000000001E-2</v>
      </c>
      <c r="EY159" s="483">
        <v>3.6670000000000001E-2</v>
      </c>
      <c r="EZ159" s="483">
        <v>4.2487999999999998E-2</v>
      </c>
      <c r="FA159" s="485">
        <v>4.2061000000000001E-2</v>
      </c>
      <c r="FB159" s="485">
        <v>4.0850999999999998E-2</v>
      </c>
      <c r="FC159" s="486">
        <v>4.0757000000000002E-2</v>
      </c>
      <c r="FD159" s="486">
        <v>3.9706999999999999E-2</v>
      </c>
      <c r="FE159" s="486">
        <v>3.9266000000000002E-2</v>
      </c>
      <c r="FF159" s="486">
        <v>3.8988000000000002E-2</v>
      </c>
      <c r="FG159" s="486">
        <v>3.9268999999999998E-2</v>
      </c>
      <c r="FH159" s="486">
        <v>3.9268999999999998E-2</v>
      </c>
      <c r="FI159" s="486">
        <v>3.8813E-2</v>
      </c>
      <c r="FJ159" s="486">
        <v>3.8355E-2</v>
      </c>
      <c r="FK159" s="486">
        <v>3.7996000000000002E-2</v>
      </c>
      <c r="FL159" s="486">
        <v>3.8637999999999999E-2</v>
      </c>
      <c r="FM159" s="486">
        <v>3.7941999999999997E-2</v>
      </c>
      <c r="FN159" s="486">
        <v>3.7955999999999997E-2</v>
      </c>
      <c r="FO159" s="486">
        <v>3.7265E-2</v>
      </c>
      <c r="FP159" s="486">
        <v>3.6269000000000003E-2</v>
      </c>
      <c r="FQ159" s="486">
        <v>3.6988E-2</v>
      </c>
      <c r="FR159" s="486">
        <v>3.6151999999999997E-2</v>
      </c>
      <c r="FS159" s="486">
        <v>3.5529999999999999E-2</v>
      </c>
      <c r="FT159" s="486">
        <v>3.4935000000000001E-2</v>
      </c>
      <c r="FU159" s="486">
        <v>3.1975000000000003E-2</v>
      </c>
      <c r="FV159" s="483">
        <v>4.3376999999999999E-2</v>
      </c>
      <c r="FW159" s="483">
        <v>4.3484000000000002E-2</v>
      </c>
      <c r="FX159" s="483">
        <v>4.4533999999999997E-2</v>
      </c>
      <c r="FY159" s="483">
        <v>4.4533999999999997E-2</v>
      </c>
      <c r="FZ159" s="483">
        <v>4.4309000000000001E-2</v>
      </c>
      <c r="GA159" s="483">
        <v>4.3790999999999997E-2</v>
      </c>
      <c r="GB159" s="483">
        <v>4.3586E-2</v>
      </c>
      <c r="GC159" s="483">
        <v>4.3445999999999999E-2</v>
      </c>
      <c r="GD159" s="486">
        <v>3.2341000000000002E-2</v>
      </c>
      <c r="GE159" s="486">
        <v>3.2341000000000002E-2</v>
      </c>
      <c r="GF159" s="486">
        <v>3.2341000000000002E-2</v>
      </c>
      <c r="GG159" s="486">
        <v>3.2341000000000002E-2</v>
      </c>
      <c r="GH159" s="486">
        <v>3.2341000000000002E-2</v>
      </c>
      <c r="GI159" s="486">
        <v>3.2341000000000002E-2</v>
      </c>
      <c r="GJ159" s="486">
        <v>3.2341000000000002E-2</v>
      </c>
      <c r="GK159" s="486">
        <v>3.2341000000000002E-2</v>
      </c>
      <c r="GL159" s="486">
        <v>3.2341000000000002E-2</v>
      </c>
      <c r="GM159" s="486">
        <v>3.2341000000000002E-2</v>
      </c>
      <c r="GN159" s="486">
        <v>3.2341000000000002E-2</v>
      </c>
      <c r="GO159" s="486">
        <v>3.2341000000000002E-2</v>
      </c>
      <c r="GP159" s="486">
        <v>3.2341000000000002E-2</v>
      </c>
      <c r="GQ159" s="486">
        <v>3.2341000000000002E-2</v>
      </c>
      <c r="GR159" s="486">
        <v>3.2341000000000002E-2</v>
      </c>
      <c r="GS159" s="486">
        <v>3.2341000000000002E-2</v>
      </c>
      <c r="GT159" s="486">
        <v>3.2341000000000002E-2</v>
      </c>
      <c r="GU159" s="486">
        <v>3.2341000000000002E-2</v>
      </c>
      <c r="GV159" s="486">
        <v>3.2341000000000002E-2</v>
      </c>
      <c r="GW159" s="486">
        <v>3.2341000000000002E-2</v>
      </c>
      <c r="GX159" s="486">
        <v>3.2341000000000002E-2</v>
      </c>
      <c r="GY159" s="486">
        <v>3.2341000000000002E-2</v>
      </c>
      <c r="GZ159" s="486">
        <v>3.2341000000000002E-2</v>
      </c>
      <c r="HA159" s="486">
        <v>3.2341000000000002E-2</v>
      </c>
      <c r="HB159" s="486">
        <v>3.2341000000000002E-2</v>
      </c>
      <c r="HC159" s="486">
        <v>3.2341000000000002E-2</v>
      </c>
      <c r="HD159" s="486">
        <v>3.2341000000000002E-2</v>
      </c>
      <c r="HE159" s="486">
        <v>3.2341000000000002E-2</v>
      </c>
      <c r="HF159" s="486">
        <v>3.2341000000000002E-2</v>
      </c>
      <c r="HG159" s="486">
        <v>3.2341000000000002E-2</v>
      </c>
      <c r="HH159" s="486">
        <v>3.2341000000000002E-2</v>
      </c>
      <c r="HI159" s="486">
        <v>3.2341000000000002E-2</v>
      </c>
      <c r="HJ159" s="486">
        <v>3.2341000000000002E-2</v>
      </c>
      <c r="HK159" s="486">
        <v>3.2341000000000002E-2</v>
      </c>
      <c r="HL159" s="486">
        <v>3.2341000000000002E-2</v>
      </c>
      <c r="HM159" s="486">
        <v>3.2341000000000002E-2</v>
      </c>
      <c r="HN159" s="486">
        <v>3.2341000000000002E-2</v>
      </c>
      <c r="HO159" s="486">
        <v>3.2341000000000002E-2</v>
      </c>
      <c r="HP159" s="473">
        <f t="shared" si="49"/>
        <v>0</v>
      </c>
      <c r="HQ159" s="510"/>
    </row>
    <row r="160" spans="2:225">
      <c r="B160" s="1126" t="s">
        <v>42</v>
      </c>
      <c r="C160" s="731" t="s">
        <v>219</v>
      </c>
      <c r="D160" s="478">
        <v>3.1899999999999998E-2</v>
      </c>
      <c r="E160" s="478">
        <v>3.1899999999999998E-2</v>
      </c>
      <c r="F160" s="478">
        <v>3.1899999999999998E-2</v>
      </c>
      <c r="G160" s="478">
        <v>3.1899999999999998E-2</v>
      </c>
      <c r="H160" s="478">
        <v>3.1899999999999998E-2</v>
      </c>
      <c r="I160" s="478">
        <v>3.1899999999999998E-2</v>
      </c>
      <c r="J160" s="478">
        <v>3.1899999999999998E-2</v>
      </c>
      <c r="K160" s="478">
        <v>3.1899999999999998E-2</v>
      </c>
      <c r="L160" s="503">
        <v>3.1899999999999998E-2</v>
      </c>
      <c r="M160" s="478">
        <v>3.5899999999999994E-2</v>
      </c>
      <c r="N160" s="478">
        <v>3.5899999999999994E-2</v>
      </c>
      <c r="O160" s="478">
        <v>3.5899999999999994E-2</v>
      </c>
      <c r="P160" s="478">
        <v>3.5899999999999994E-2</v>
      </c>
      <c r="Q160" s="478">
        <v>3.5899999999999994E-2</v>
      </c>
      <c r="R160" s="478">
        <v>3.5899999999999994E-2</v>
      </c>
      <c r="S160" s="478">
        <v>3.5899999999999994E-2</v>
      </c>
      <c r="T160" s="478">
        <v>3.5899999999999994E-2</v>
      </c>
      <c r="U160" s="478">
        <v>3.5899999999999994E-2</v>
      </c>
      <c r="V160" s="478">
        <v>3.5899999999999994E-2</v>
      </c>
      <c r="W160" s="478">
        <v>3.5899999999999994E-2</v>
      </c>
      <c r="X160" s="478">
        <v>3.5899999999999994E-2</v>
      </c>
      <c r="Y160" s="478">
        <v>3.5899999999999994E-2</v>
      </c>
      <c r="Z160" s="478">
        <v>3.5899999999999994E-2</v>
      </c>
      <c r="AA160" s="503">
        <v>3.5899999999999994E-2</v>
      </c>
      <c r="AB160" s="478">
        <v>3.8399999999999997E-2</v>
      </c>
      <c r="AC160" s="478">
        <v>3.8399999999999997E-2</v>
      </c>
      <c r="AD160" s="478">
        <v>3.8399999999999997E-2</v>
      </c>
      <c r="AE160" s="478">
        <v>3.8399999999999997E-2</v>
      </c>
      <c r="AF160" s="478">
        <v>3.8399999999999997E-2</v>
      </c>
      <c r="AG160" s="478">
        <v>3.8399999999999997E-2</v>
      </c>
      <c r="AH160" s="478">
        <v>3.8399999999999997E-2</v>
      </c>
      <c r="AI160" s="478">
        <v>3.8399999999999997E-2</v>
      </c>
      <c r="AJ160" s="478">
        <v>3.8399999999999997E-2</v>
      </c>
      <c r="AK160" s="478">
        <v>3.8399999999999997E-2</v>
      </c>
      <c r="AL160" s="479">
        <v>3.8399999999999997E-2</v>
      </c>
      <c r="AM160" s="478">
        <v>3.8399999999999997E-2</v>
      </c>
      <c r="AN160" s="478">
        <v>3.8399999999999997E-2</v>
      </c>
      <c r="AO160" s="478">
        <v>3.8399999999999997E-2</v>
      </c>
      <c r="AP160" s="478">
        <v>3.8399999999999997E-2</v>
      </c>
      <c r="AQ160" s="478">
        <v>3.8399999999999997E-2</v>
      </c>
      <c r="AR160" s="503">
        <v>3.8399999999999997E-2</v>
      </c>
      <c r="AS160" s="478">
        <v>3.9399999999999998E-2</v>
      </c>
      <c r="AT160" s="478">
        <v>3.9399999999999998E-2</v>
      </c>
      <c r="AU160" s="478">
        <v>3.9399999999999998E-2</v>
      </c>
      <c r="AV160" s="479">
        <v>3.9399999999999998E-2</v>
      </c>
      <c r="AW160" s="479">
        <v>3.9399999999999998E-2</v>
      </c>
      <c r="AX160" s="479">
        <v>3.9399999999999998E-2</v>
      </c>
      <c r="AY160" s="479">
        <v>3.9399999999999998E-2</v>
      </c>
      <c r="AZ160" s="479">
        <v>3.9399999999999998E-2</v>
      </c>
      <c r="BA160" s="479">
        <v>3.9399999999999998E-2</v>
      </c>
      <c r="BB160" s="479">
        <v>3.9399999999999998E-2</v>
      </c>
      <c r="BC160" s="479">
        <v>3.9399999999999998E-2</v>
      </c>
      <c r="BD160" s="479">
        <v>3.9399999999999998E-2</v>
      </c>
      <c r="BE160" s="479">
        <v>3.9399999999999998E-2</v>
      </c>
      <c r="BF160" s="479">
        <v>3.9399999999999998E-2</v>
      </c>
      <c r="BG160" s="479">
        <v>3.9399999999999998E-2</v>
      </c>
      <c r="BH160" s="479">
        <v>3.9399999999999998E-2</v>
      </c>
      <c r="BI160" s="479">
        <v>3.9399999999999998E-2</v>
      </c>
      <c r="BJ160" s="479">
        <v>3.9399999999999998E-2</v>
      </c>
      <c r="BK160" s="479">
        <v>3.9399999999999998E-2</v>
      </c>
      <c r="BL160" s="479">
        <v>3.9399999999999998E-2</v>
      </c>
      <c r="BM160" s="479">
        <v>3.9399999999999998E-2</v>
      </c>
      <c r="BN160" s="479">
        <v>3.9399999999999998E-2</v>
      </c>
      <c r="BO160" s="479">
        <v>3.9399999999999998E-2</v>
      </c>
      <c r="BP160" s="479">
        <v>3.9399999999999998E-2</v>
      </c>
      <c r="BQ160" s="479">
        <v>3.9399999999999998E-2</v>
      </c>
      <c r="BR160" s="479">
        <v>3.9399999999999998E-2</v>
      </c>
      <c r="BS160" s="479">
        <v>3.9399999999999998E-2</v>
      </c>
      <c r="BT160" s="479">
        <v>3.9399999999999998E-2</v>
      </c>
      <c r="BU160" s="479">
        <v>3.9399999999999998E-2</v>
      </c>
      <c r="BV160" s="479">
        <v>3.9399999999999998E-2</v>
      </c>
      <c r="BW160" s="479">
        <v>3.9399999999999998E-2</v>
      </c>
      <c r="BX160" s="479">
        <v>3.9399999999999998E-2</v>
      </c>
      <c r="BY160" s="479">
        <v>3.9399999999999998E-2</v>
      </c>
      <c r="BZ160" s="479">
        <v>3.9399999999999998E-2</v>
      </c>
      <c r="CA160" s="479">
        <v>4.19E-2</v>
      </c>
      <c r="CB160" s="479">
        <v>4.19E-2</v>
      </c>
      <c r="CC160" s="479">
        <v>4.19E-2</v>
      </c>
      <c r="CD160" s="479">
        <v>4.19E-2</v>
      </c>
      <c r="CE160" s="479">
        <v>4.5900000000000003E-2</v>
      </c>
      <c r="CF160" s="479">
        <v>4.5900000000000003E-2</v>
      </c>
      <c r="CG160" s="479">
        <v>4.5900000000000003E-2</v>
      </c>
      <c r="CH160" s="479">
        <v>4.5900000000000003E-2</v>
      </c>
      <c r="CI160" s="479">
        <v>4.5900000000000003E-2</v>
      </c>
      <c r="CJ160" s="479">
        <v>4.5900000000000003E-2</v>
      </c>
      <c r="CK160" s="479">
        <v>4.5900000000000003E-2</v>
      </c>
      <c r="CL160" s="479">
        <v>4.5900000000000003E-2</v>
      </c>
      <c r="CM160" s="479">
        <v>4.5900000000000003E-2</v>
      </c>
      <c r="CN160" s="479">
        <v>4.5900000000000003E-2</v>
      </c>
      <c r="CO160" s="479">
        <v>4.5900000000000003E-2</v>
      </c>
      <c r="CP160" s="479">
        <v>4.5900000000000003E-2</v>
      </c>
      <c r="CQ160" s="479">
        <v>4.5900000000000003E-2</v>
      </c>
      <c r="CR160" s="479">
        <v>4.5900000000000003E-2</v>
      </c>
      <c r="CS160" s="479">
        <v>4.5900000000000003E-2</v>
      </c>
      <c r="CT160" s="479">
        <v>0.05</v>
      </c>
      <c r="CU160" s="479">
        <v>0.05</v>
      </c>
      <c r="CV160" s="479">
        <v>0.05</v>
      </c>
      <c r="CW160" s="533">
        <v>0.05</v>
      </c>
      <c r="CX160" s="529">
        <v>4.5900000000000003E-2</v>
      </c>
      <c r="CY160" s="529">
        <v>4.5900000000000003E-2</v>
      </c>
      <c r="CZ160" s="529">
        <v>4.5900000000000003E-2</v>
      </c>
      <c r="DA160" s="529">
        <v>4.5900000000000003E-2</v>
      </c>
      <c r="DB160" s="529">
        <v>4.5900000000000003E-2</v>
      </c>
      <c r="DC160" s="529">
        <v>4.5900000000000003E-2</v>
      </c>
      <c r="DD160" s="529">
        <v>4.5900000000000003E-2</v>
      </c>
      <c r="DE160" s="529">
        <v>4.5900000000000003E-2</v>
      </c>
      <c r="DF160" s="529">
        <v>4.5900000000000003E-2</v>
      </c>
      <c r="DG160" s="529">
        <v>4.5900000000000003E-2</v>
      </c>
      <c r="DH160" s="529">
        <v>4.5900000000000003E-2</v>
      </c>
      <c r="DI160" s="529">
        <v>4.5900000000000003E-2</v>
      </c>
      <c r="DJ160" s="529">
        <v>4.5900000000000003E-2</v>
      </c>
      <c r="DK160" s="529">
        <v>4.5900000000000003E-2</v>
      </c>
      <c r="DL160" s="529">
        <v>4.5900000000000003E-2</v>
      </c>
      <c r="DM160" s="529">
        <v>4.5900000000000003E-2</v>
      </c>
      <c r="DN160" s="529">
        <v>4.5900000000000003E-2</v>
      </c>
      <c r="DO160" s="529">
        <v>4.5900000000000003E-2</v>
      </c>
      <c r="DP160" s="529">
        <v>4.5900000000000003E-2</v>
      </c>
      <c r="DQ160" s="529">
        <v>4.5900000000000003E-2</v>
      </c>
      <c r="DR160" s="529">
        <v>4.5900000000000003E-2</v>
      </c>
      <c r="DS160" s="529">
        <v>4.5900000000000003E-2</v>
      </c>
      <c r="DT160" s="529">
        <v>4.5900000000000003E-2</v>
      </c>
      <c r="DU160" s="529">
        <v>4.5900000000000003E-2</v>
      </c>
      <c r="DV160" s="529">
        <v>4.5900000000000003E-2</v>
      </c>
      <c r="DW160" s="529">
        <v>4.5900000000000003E-2</v>
      </c>
      <c r="DX160" s="529">
        <v>4.5900000000000003E-2</v>
      </c>
      <c r="DY160" s="529">
        <v>4.5900000000000003E-2</v>
      </c>
      <c r="DZ160" s="529">
        <v>4.5900000000000003E-2</v>
      </c>
      <c r="EA160" s="529">
        <v>4.5900000000000003E-2</v>
      </c>
      <c r="EB160" s="529">
        <v>4.5900000000000003E-2</v>
      </c>
      <c r="EC160" s="529">
        <v>4.5900000000000003E-2</v>
      </c>
      <c r="ED160" s="529">
        <v>4.5900000000000003E-2</v>
      </c>
      <c r="EE160" s="529">
        <v>4.5900000000000003E-2</v>
      </c>
      <c r="EF160" s="529">
        <v>4.5900000000000003E-2</v>
      </c>
      <c r="EG160" s="529">
        <v>4.5900000000000003E-2</v>
      </c>
      <c r="EH160" s="529">
        <v>4.5900000000000003E-2</v>
      </c>
      <c r="EI160" s="529">
        <v>4.5900000000000003E-2</v>
      </c>
      <c r="EJ160" s="529">
        <v>4.5900000000000003E-2</v>
      </c>
      <c r="EK160" s="529">
        <v>4.5900000000000003E-2</v>
      </c>
      <c r="EL160" s="529">
        <v>4.5900000000000003E-2</v>
      </c>
      <c r="EM160" s="529">
        <v>4.5900000000000003E-2</v>
      </c>
      <c r="EN160" s="529">
        <v>4.5900000000000003E-2</v>
      </c>
      <c r="EO160" s="529">
        <v>4.5900000000000003E-2</v>
      </c>
      <c r="EP160" s="529">
        <v>4.5900000000000003E-2</v>
      </c>
      <c r="EQ160" s="529">
        <v>4.5900000000000003E-2</v>
      </c>
      <c r="ER160" s="529">
        <v>4.5900000000000003E-2</v>
      </c>
      <c r="ES160" s="529">
        <v>4.5900000000000003E-2</v>
      </c>
      <c r="ET160" s="529">
        <v>4.5900000000000003E-2</v>
      </c>
      <c r="EU160" s="529">
        <v>4.5900000000000003E-2</v>
      </c>
      <c r="EV160" s="529">
        <v>4.5900000000000003E-2</v>
      </c>
      <c r="EW160" s="529">
        <v>4.5900000000000003E-2</v>
      </c>
      <c r="EX160" s="529">
        <v>4.5900000000000003E-2</v>
      </c>
      <c r="EY160" s="529">
        <v>4.5900000000000003E-2</v>
      </c>
      <c r="EZ160" s="529">
        <v>4.5900000000000003E-2</v>
      </c>
      <c r="FA160" s="529">
        <v>4.5900000000000003E-2</v>
      </c>
      <c r="FB160" s="529">
        <v>4.5900000000000003E-2</v>
      </c>
      <c r="FC160" s="529">
        <v>4.5900000000000003E-2</v>
      </c>
      <c r="FD160" s="529">
        <v>4.5900000000000003E-2</v>
      </c>
      <c r="FE160" s="529">
        <v>4.5900000000000003E-2</v>
      </c>
      <c r="FF160" s="529">
        <v>4.5900000000000003E-2</v>
      </c>
      <c r="FG160" s="529">
        <v>4.5900000000000003E-2</v>
      </c>
      <c r="FH160" s="529">
        <v>4.5900000000000003E-2</v>
      </c>
      <c r="FI160" s="529">
        <v>4.5900000000000003E-2</v>
      </c>
      <c r="FJ160" s="529">
        <v>4.5900000000000003E-2</v>
      </c>
      <c r="FK160" s="529">
        <v>4.5900000000000003E-2</v>
      </c>
      <c r="FL160" s="529">
        <v>4.5900000000000003E-2</v>
      </c>
      <c r="FM160" s="529">
        <v>4.5900000000000003E-2</v>
      </c>
      <c r="FN160" s="529">
        <v>4.5900000000000003E-2</v>
      </c>
      <c r="FO160" s="529">
        <v>4.5900000000000003E-2</v>
      </c>
      <c r="FP160" s="529">
        <v>4.5900000000000003E-2</v>
      </c>
      <c r="FQ160" s="529">
        <v>4.5900000000000003E-2</v>
      </c>
      <c r="FR160" s="529">
        <v>4.5900000000000003E-2</v>
      </c>
      <c r="FS160" s="529">
        <v>4.5900000000000003E-2</v>
      </c>
      <c r="FT160" s="529">
        <v>4.5900000000000003E-2</v>
      </c>
      <c r="FU160" s="529">
        <v>4.5900000000000003E-2</v>
      </c>
      <c r="FV160" s="529">
        <v>4.5900000000000003E-2</v>
      </c>
      <c r="FW160" s="529">
        <v>4.5900000000000003E-2</v>
      </c>
      <c r="FX160" s="529">
        <v>4.5900000000000003E-2</v>
      </c>
      <c r="FY160" s="529">
        <v>4.5900000000000003E-2</v>
      </c>
      <c r="FZ160" s="529">
        <v>4.5900000000000003E-2</v>
      </c>
      <c r="GA160" s="529">
        <v>4.5900000000000003E-2</v>
      </c>
      <c r="GB160" s="529">
        <v>4.5900000000000003E-2</v>
      </c>
      <c r="GC160" s="529">
        <v>4.5900000000000003E-2</v>
      </c>
      <c r="GD160" s="489">
        <v>3.7400000000000003E-2</v>
      </c>
      <c r="GE160" s="489">
        <v>3.7400000000000003E-2</v>
      </c>
      <c r="GF160" s="489">
        <v>3.7400000000000003E-2</v>
      </c>
      <c r="GG160" s="489">
        <v>3.7400000000000003E-2</v>
      </c>
      <c r="GH160" s="489">
        <v>3.7400000000000003E-2</v>
      </c>
      <c r="GI160" s="489">
        <v>3.7400000000000003E-2</v>
      </c>
      <c r="GJ160" s="489">
        <v>3.7400000000000003E-2</v>
      </c>
      <c r="GK160" s="489">
        <v>3.7400000000000003E-2</v>
      </c>
      <c r="GL160" s="489">
        <v>3.7400000000000003E-2</v>
      </c>
      <c r="GM160" s="489">
        <v>3.7400000000000003E-2</v>
      </c>
      <c r="GN160" s="489">
        <v>3.7400000000000003E-2</v>
      </c>
      <c r="GO160" s="489">
        <v>3.7400000000000003E-2</v>
      </c>
      <c r="GP160" s="489">
        <v>3.7400000000000003E-2</v>
      </c>
      <c r="GQ160" s="489">
        <v>3.7400000000000003E-2</v>
      </c>
      <c r="GR160" s="489">
        <v>3.7400000000000003E-2</v>
      </c>
      <c r="GS160" s="489">
        <v>3.7400000000000003E-2</v>
      </c>
      <c r="GT160" s="489">
        <v>3.7400000000000003E-2</v>
      </c>
      <c r="GU160" s="489">
        <v>3.7400000000000003E-2</v>
      </c>
      <c r="GV160" s="489">
        <v>3.7400000000000003E-2</v>
      </c>
      <c r="GW160" s="489">
        <v>3.7400000000000003E-2</v>
      </c>
      <c r="GX160" s="489">
        <v>3.7400000000000003E-2</v>
      </c>
      <c r="GY160" s="489">
        <v>3.7400000000000003E-2</v>
      </c>
      <c r="GZ160" s="489">
        <v>3.7400000000000003E-2</v>
      </c>
      <c r="HA160" s="489">
        <v>3.7400000000000003E-2</v>
      </c>
      <c r="HB160" s="489">
        <v>3.7400000000000003E-2</v>
      </c>
      <c r="HC160" s="489">
        <v>3.7400000000000003E-2</v>
      </c>
      <c r="HD160" s="489">
        <v>3.7400000000000003E-2</v>
      </c>
      <c r="HE160" s="489">
        <v>3.7400000000000003E-2</v>
      </c>
      <c r="HF160" s="489">
        <v>3.7400000000000003E-2</v>
      </c>
      <c r="HG160" s="489">
        <v>3.7400000000000003E-2</v>
      </c>
      <c r="HH160" s="489">
        <v>3.7400000000000003E-2</v>
      </c>
      <c r="HI160" s="489">
        <v>3.7400000000000003E-2</v>
      </c>
      <c r="HJ160" s="489">
        <v>3.7400000000000003E-2</v>
      </c>
      <c r="HK160" s="489">
        <v>3.7400000000000003E-2</v>
      </c>
      <c r="HL160" s="489">
        <v>3.7400000000000003E-2</v>
      </c>
      <c r="HM160" s="489">
        <v>3.7400000000000003E-2</v>
      </c>
      <c r="HN160" s="489">
        <v>3.7400000000000003E-2</v>
      </c>
      <c r="HO160" s="489">
        <v>3.7400000000000003E-2</v>
      </c>
      <c r="HP160" s="473">
        <f t="shared" si="49"/>
        <v>0</v>
      </c>
      <c r="HQ160" s="1142"/>
    </row>
    <row r="161" spans="2:225">
      <c r="B161" s="1127"/>
      <c r="C161" s="731" t="s">
        <v>218</v>
      </c>
      <c r="D161" s="478">
        <v>3.2099999999999997E-2</v>
      </c>
      <c r="E161" s="478">
        <v>3.2099999999999997E-2</v>
      </c>
      <c r="F161" s="478">
        <v>3.2099999999999997E-2</v>
      </c>
      <c r="G161" s="478">
        <v>3.2099999999999997E-2</v>
      </c>
      <c r="H161" s="478">
        <v>3.2099999999999997E-2</v>
      </c>
      <c r="I161" s="478">
        <v>3.2099999999999997E-2</v>
      </c>
      <c r="J161" s="478">
        <v>3.2099999999999997E-2</v>
      </c>
      <c r="K161" s="478">
        <v>3.2099999999999997E-2</v>
      </c>
      <c r="L161" s="503">
        <v>3.2099999999999997E-2</v>
      </c>
      <c r="M161" s="478">
        <v>3.61E-2</v>
      </c>
      <c r="N161" s="478">
        <v>3.61E-2</v>
      </c>
      <c r="O161" s="478">
        <v>3.61E-2</v>
      </c>
      <c r="P161" s="478">
        <v>3.61E-2</v>
      </c>
      <c r="Q161" s="478">
        <v>3.61E-2</v>
      </c>
      <c r="R161" s="478">
        <v>3.61E-2</v>
      </c>
      <c r="S161" s="478">
        <v>3.61E-2</v>
      </c>
      <c r="T161" s="478">
        <v>3.61E-2</v>
      </c>
      <c r="U161" s="478">
        <v>3.61E-2</v>
      </c>
      <c r="V161" s="478">
        <v>3.61E-2</v>
      </c>
      <c r="W161" s="478">
        <v>3.61E-2</v>
      </c>
      <c r="X161" s="478">
        <v>3.61E-2</v>
      </c>
      <c r="Y161" s="478">
        <v>3.61E-2</v>
      </c>
      <c r="Z161" s="478">
        <v>3.61E-2</v>
      </c>
      <c r="AA161" s="503">
        <v>3.61E-2</v>
      </c>
      <c r="AB161" s="478">
        <v>3.8600000000000002E-2</v>
      </c>
      <c r="AC161" s="478">
        <v>3.8600000000000002E-2</v>
      </c>
      <c r="AD161" s="478">
        <v>3.8600000000000002E-2</v>
      </c>
      <c r="AE161" s="478">
        <v>3.8600000000000002E-2</v>
      </c>
      <c r="AF161" s="478">
        <v>3.8600000000000002E-2</v>
      </c>
      <c r="AG161" s="478">
        <v>3.8600000000000002E-2</v>
      </c>
      <c r="AH161" s="478">
        <v>3.8600000000000002E-2</v>
      </c>
      <c r="AI161" s="478">
        <v>3.8600000000000002E-2</v>
      </c>
      <c r="AJ161" s="478">
        <v>3.8600000000000002E-2</v>
      </c>
      <c r="AK161" s="478">
        <v>3.8600000000000002E-2</v>
      </c>
      <c r="AL161" s="479">
        <v>3.8600000000000002E-2</v>
      </c>
      <c r="AM161" s="478">
        <v>3.8600000000000002E-2</v>
      </c>
      <c r="AN161" s="478">
        <v>3.8600000000000002E-2</v>
      </c>
      <c r="AO161" s="478">
        <v>3.8600000000000002E-2</v>
      </c>
      <c r="AP161" s="478">
        <v>3.8600000000000002E-2</v>
      </c>
      <c r="AQ161" s="478">
        <v>3.8600000000000002E-2</v>
      </c>
      <c r="AR161" s="503">
        <v>3.8600000000000002E-2</v>
      </c>
      <c r="AS161" s="478">
        <v>3.9600000000000003E-2</v>
      </c>
      <c r="AT161" s="478">
        <v>3.9600000000000003E-2</v>
      </c>
      <c r="AU161" s="478">
        <v>3.9600000000000003E-2</v>
      </c>
      <c r="AV161" s="479">
        <v>3.9600000000000003E-2</v>
      </c>
      <c r="AW161" s="479">
        <v>3.9600000000000003E-2</v>
      </c>
      <c r="AX161" s="479">
        <v>3.9600000000000003E-2</v>
      </c>
      <c r="AY161" s="479">
        <v>3.9600000000000003E-2</v>
      </c>
      <c r="AZ161" s="479">
        <v>3.9600000000000003E-2</v>
      </c>
      <c r="BA161" s="479">
        <v>3.9600000000000003E-2</v>
      </c>
      <c r="BB161" s="479">
        <v>3.9600000000000003E-2</v>
      </c>
      <c r="BC161" s="479">
        <v>3.9600000000000003E-2</v>
      </c>
      <c r="BD161" s="479">
        <v>3.9600000000000003E-2</v>
      </c>
      <c r="BE161" s="479">
        <v>3.9600000000000003E-2</v>
      </c>
      <c r="BF161" s="479">
        <v>3.9600000000000003E-2</v>
      </c>
      <c r="BG161" s="479">
        <v>3.9600000000000003E-2</v>
      </c>
      <c r="BH161" s="479">
        <v>3.9600000000000003E-2</v>
      </c>
      <c r="BI161" s="479">
        <v>3.9600000000000003E-2</v>
      </c>
      <c r="BJ161" s="479">
        <v>3.9600000000000003E-2</v>
      </c>
      <c r="BK161" s="479">
        <v>3.9600000000000003E-2</v>
      </c>
      <c r="BL161" s="479">
        <v>3.9600000000000003E-2</v>
      </c>
      <c r="BM161" s="479">
        <v>3.9600000000000003E-2</v>
      </c>
      <c r="BN161" s="479">
        <v>3.9600000000000003E-2</v>
      </c>
      <c r="BO161" s="479">
        <v>3.9600000000000003E-2</v>
      </c>
      <c r="BP161" s="479">
        <v>3.9600000000000003E-2</v>
      </c>
      <c r="BQ161" s="479">
        <v>3.9600000000000003E-2</v>
      </c>
      <c r="BR161" s="479">
        <v>3.9600000000000003E-2</v>
      </c>
      <c r="BS161" s="479">
        <v>3.9600000000000003E-2</v>
      </c>
      <c r="BT161" s="479">
        <v>3.9600000000000003E-2</v>
      </c>
      <c r="BU161" s="479">
        <v>3.9600000000000003E-2</v>
      </c>
      <c r="BV161" s="479">
        <v>3.9600000000000003E-2</v>
      </c>
      <c r="BW161" s="479">
        <v>3.9600000000000003E-2</v>
      </c>
      <c r="BX161" s="479">
        <v>3.9600000000000003E-2</v>
      </c>
      <c r="BY161" s="479">
        <v>3.9600000000000003E-2</v>
      </c>
      <c r="BZ161" s="479">
        <v>3.9600000000000003E-2</v>
      </c>
      <c r="CA161" s="479">
        <v>4.2099999999999999E-2</v>
      </c>
      <c r="CB161" s="479">
        <v>4.2099999999999999E-2</v>
      </c>
      <c r="CC161" s="479">
        <v>4.2099999999999999E-2</v>
      </c>
      <c r="CD161" s="479">
        <v>4.2099999999999999E-2</v>
      </c>
      <c r="CE161" s="479">
        <v>4.6100000000000002E-2</v>
      </c>
      <c r="CF161" s="479">
        <v>4.6100000000000002E-2</v>
      </c>
      <c r="CG161" s="479">
        <v>4.6100000000000002E-2</v>
      </c>
      <c r="CH161" s="479">
        <v>4.6100000000000002E-2</v>
      </c>
      <c r="CI161" s="479">
        <v>4.6100000000000002E-2</v>
      </c>
      <c r="CJ161" s="479">
        <v>4.6100000000000002E-2</v>
      </c>
      <c r="CK161" s="479">
        <v>4.6100000000000002E-2</v>
      </c>
      <c r="CL161" s="479">
        <v>4.6100000000000002E-2</v>
      </c>
      <c r="CM161" s="479">
        <v>4.6100000000000002E-2</v>
      </c>
      <c r="CN161" s="479">
        <v>4.6100000000000002E-2</v>
      </c>
      <c r="CO161" s="479">
        <v>4.6100000000000002E-2</v>
      </c>
      <c r="CP161" s="479">
        <v>4.6100000000000002E-2</v>
      </c>
      <c r="CQ161" s="479">
        <v>4.6100000000000002E-2</v>
      </c>
      <c r="CR161" s="479">
        <v>4.6100000000000002E-2</v>
      </c>
      <c r="CS161" s="479">
        <v>4.6100000000000002E-2</v>
      </c>
      <c r="CT161" s="479">
        <v>0.05</v>
      </c>
      <c r="CU161" s="479">
        <v>0.05</v>
      </c>
      <c r="CV161" s="479">
        <v>0.05</v>
      </c>
      <c r="CW161" s="533">
        <v>0.05</v>
      </c>
      <c r="CX161" s="529">
        <v>4.6100000000000002E-2</v>
      </c>
      <c r="CY161" s="529">
        <v>4.6100000000000002E-2</v>
      </c>
      <c r="CZ161" s="529">
        <v>4.6100000000000002E-2</v>
      </c>
      <c r="DA161" s="529">
        <v>4.6100000000000002E-2</v>
      </c>
      <c r="DB161" s="529">
        <v>4.6100000000000002E-2</v>
      </c>
      <c r="DC161" s="529">
        <v>4.6100000000000002E-2</v>
      </c>
      <c r="DD161" s="529">
        <v>4.6100000000000002E-2</v>
      </c>
      <c r="DE161" s="529">
        <v>4.6100000000000002E-2</v>
      </c>
      <c r="DF161" s="529">
        <v>4.6100000000000002E-2</v>
      </c>
      <c r="DG161" s="529">
        <v>4.6100000000000002E-2</v>
      </c>
      <c r="DH161" s="529">
        <v>4.6100000000000002E-2</v>
      </c>
      <c r="DI161" s="529">
        <v>4.6100000000000002E-2</v>
      </c>
      <c r="DJ161" s="529">
        <v>4.6100000000000002E-2</v>
      </c>
      <c r="DK161" s="529">
        <v>4.6100000000000002E-2</v>
      </c>
      <c r="DL161" s="529">
        <v>4.6100000000000002E-2</v>
      </c>
      <c r="DM161" s="529">
        <v>4.6100000000000002E-2</v>
      </c>
      <c r="DN161" s="529">
        <v>4.6100000000000002E-2</v>
      </c>
      <c r="DO161" s="529">
        <v>4.6100000000000002E-2</v>
      </c>
      <c r="DP161" s="529">
        <v>4.6100000000000002E-2</v>
      </c>
      <c r="DQ161" s="529">
        <v>4.6100000000000002E-2</v>
      </c>
      <c r="DR161" s="529">
        <v>4.6100000000000002E-2</v>
      </c>
      <c r="DS161" s="529">
        <v>4.6100000000000002E-2</v>
      </c>
      <c r="DT161" s="529">
        <v>4.6100000000000002E-2</v>
      </c>
      <c r="DU161" s="529">
        <v>4.6100000000000002E-2</v>
      </c>
      <c r="DV161" s="529">
        <v>4.6100000000000002E-2</v>
      </c>
      <c r="DW161" s="529">
        <v>4.6100000000000002E-2</v>
      </c>
      <c r="DX161" s="529">
        <v>4.6100000000000002E-2</v>
      </c>
      <c r="DY161" s="529">
        <v>4.6100000000000002E-2</v>
      </c>
      <c r="DZ161" s="529">
        <v>4.6100000000000002E-2</v>
      </c>
      <c r="EA161" s="529">
        <v>4.6100000000000002E-2</v>
      </c>
      <c r="EB161" s="529">
        <v>4.6100000000000002E-2</v>
      </c>
      <c r="EC161" s="529">
        <v>4.6100000000000002E-2</v>
      </c>
      <c r="ED161" s="529">
        <v>4.6100000000000002E-2</v>
      </c>
      <c r="EE161" s="529">
        <v>4.6100000000000002E-2</v>
      </c>
      <c r="EF161" s="529">
        <v>4.6100000000000002E-2</v>
      </c>
      <c r="EG161" s="529">
        <v>4.6100000000000002E-2</v>
      </c>
      <c r="EH161" s="529">
        <v>4.6100000000000002E-2</v>
      </c>
      <c r="EI161" s="529">
        <v>4.6100000000000002E-2</v>
      </c>
      <c r="EJ161" s="529">
        <v>4.6100000000000002E-2</v>
      </c>
      <c r="EK161" s="529">
        <v>4.6100000000000002E-2</v>
      </c>
      <c r="EL161" s="529">
        <v>4.6100000000000002E-2</v>
      </c>
      <c r="EM161" s="529">
        <v>4.6100000000000002E-2</v>
      </c>
      <c r="EN161" s="529">
        <v>4.6100000000000002E-2</v>
      </c>
      <c r="EO161" s="529">
        <v>4.6100000000000002E-2</v>
      </c>
      <c r="EP161" s="529">
        <v>4.6100000000000002E-2</v>
      </c>
      <c r="EQ161" s="529">
        <v>4.6100000000000002E-2</v>
      </c>
      <c r="ER161" s="529">
        <v>4.6100000000000002E-2</v>
      </c>
      <c r="ES161" s="529">
        <v>4.6100000000000002E-2</v>
      </c>
      <c r="ET161" s="529">
        <v>4.6100000000000002E-2</v>
      </c>
      <c r="EU161" s="529">
        <v>4.6100000000000002E-2</v>
      </c>
      <c r="EV161" s="529">
        <v>4.6100000000000002E-2</v>
      </c>
      <c r="EW161" s="529">
        <v>4.6100000000000002E-2</v>
      </c>
      <c r="EX161" s="529">
        <v>4.6100000000000002E-2</v>
      </c>
      <c r="EY161" s="529">
        <v>4.6100000000000002E-2</v>
      </c>
      <c r="EZ161" s="529">
        <v>4.6100000000000002E-2</v>
      </c>
      <c r="FA161" s="529">
        <v>4.6100000000000002E-2</v>
      </c>
      <c r="FB161" s="529">
        <v>4.6100000000000002E-2</v>
      </c>
      <c r="FC161" s="529">
        <v>4.6100000000000002E-2</v>
      </c>
      <c r="FD161" s="529">
        <v>4.6100000000000002E-2</v>
      </c>
      <c r="FE161" s="529">
        <v>4.6100000000000002E-2</v>
      </c>
      <c r="FF161" s="529">
        <v>4.6100000000000002E-2</v>
      </c>
      <c r="FG161" s="529">
        <v>4.6100000000000002E-2</v>
      </c>
      <c r="FH161" s="529">
        <v>4.6100000000000002E-2</v>
      </c>
      <c r="FI161" s="529">
        <v>4.6100000000000002E-2</v>
      </c>
      <c r="FJ161" s="529">
        <v>4.6100000000000002E-2</v>
      </c>
      <c r="FK161" s="529">
        <v>4.6100000000000002E-2</v>
      </c>
      <c r="FL161" s="529">
        <v>4.6100000000000002E-2</v>
      </c>
      <c r="FM161" s="529">
        <v>4.6100000000000002E-2</v>
      </c>
      <c r="FN161" s="529">
        <v>4.6100000000000002E-2</v>
      </c>
      <c r="FO161" s="529">
        <v>4.6100000000000002E-2</v>
      </c>
      <c r="FP161" s="529">
        <v>4.6100000000000002E-2</v>
      </c>
      <c r="FQ161" s="529">
        <v>4.6100000000000002E-2</v>
      </c>
      <c r="FR161" s="529">
        <v>4.6100000000000002E-2</v>
      </c>
      <c r="FS161" s="529">
        <v>4.6100000000000002E-2</v>
      </c>
      <c r="FT161" s="529">
        <v>4.6100000000000002E-2</v>
      </c>
      <c r="FU161" s="529">
        <v>4.6100000000000002E-2</v>
      </c>
      <c r="FV161" s="529">
        <v>4.6100000000000002E-2</v>
      </c>
      <c r="FW161" s="529">
        <v>4.6100000000000002E-2</v>
      </c>
      <c r="FX161" s="529">
        <v>4.6100000000000002E-2</v>
      </c>
      <c r="FY161" s="529">
        <v>4.6100000000000002E-2</v>
      </c>
      <c r="FZ161" s="529">
        <v>4.6100000000000002E-2</v>
      </c>
      <c r="GA161" s="529">
        <v>4.6100000000000002E-2</v>
      </c>
      <c r="GB161" s="529">
        <v>4.6100000000000002E-2</v>
      </c>
      <c r="GC161" s="529">
        <v>4.6100000000000002E-2</v>
      </c>
      <c r="GD161" s="489">
        <v>3.7600000000000001E-2</v>
      </c>
      <c r="GE161" s="489">
        <v>3.7600000000000001E-2</v>
      </c>
      <c r="GF161" s="489">
        <v>3.7600000000000001E-2</v>
      </c>
      <c r="GG161" s="489">
        <v>3.7600000000000001E-2</v>
      </c>
      <c r="GH161" s="489">
        <v>3.7600000000000001E-2</v>
      </c>
      <c r="GI161" s="489">
        <v>3.7600000000000001E-2</v>
      </c>
      <c r="GJ161" s="489">
        <v>3.7600000000000001E-2</v>
      </c>
      <c r="GK161" s="489">
        <v>3.7600000000000001E-2</v>
      </c>
      <c r="GL161" s="489">
        <v>3.7600000000000001E-2</v>
      </c>
      <c r="GM161" s="489">
        <v>3.7600000000000001E-2</v>
      </c>
      <c r="GN161" s="489">
        <v>3.7600000000000001E-2</v>
      </c>
      <c r="GO161" s="489">
        <v>3.7600000000000001E-2</v>
      </c>
      <c r="GP161" s="489">
        <v>3.7600000000000001E-2</v>
      </c>
      <c r="GQ161" s="489">
        <v>3.7600000000000001E-2</v>
      </c>
      <c r="GR161" s="489">
        <v>3.7600000000000001E-2</v>
      </c>
      <c r="GS161" s="489">
        <v>3.7600000000000001E-2</v>
      </c>
      <c r="GT161" s="489">
        <v>3.7600000000000001E-2</v>
      </c>
      <c r="GU161" s="489">
        <v>3.7600000000000001E-2</v>
      </c>
      <c r="GV161" s="489">
        <v>3.7600000000000001E-2</v>
      </c>
      <c r="GW161" s="489">
        <v>3.7600000000000001E-2</v>
      </c>
      <c r="GX161" s="489">
        <v>3.7600000000000001E-2</v>
      </c>
      <c r="GY161" s="489">
        <v>3.7600000000000001E-2</v>
      </c>
      <c r="GZ161" s="489">
        <v>3.7600000000000001E-2</v>
      </c>
      <c r="HA161" s="489">
        <v>3.7600000000000001E-2</v>
      </c>
      <c r="HB161" s="489">
        <v>3.7600000000000001E-2</v>
      </c>
      <c r="HC161" s="489">
        <v>3.7600000000000001E-2</v>
      </c>
      <c r="HD161" s="489">
        <v>3.7600000000000001E-2</v>
      </c>
      <c r="HE161" s="489">
        <v>3.7600000000000001E-2</v>
      </c>
      <c r="HF161" s="489">
        <v>3.7600000000000001E-2</v>
      </c>
      <c r="HG161" s="489">
        <v>3.7600000000000001E-2</v>
      </c>
      <c r="HH161" s="489">
        <v>3.7600000000000001E-2</v>
      </c>
      <c r="HI161" s="489">
        <v>3.7600000000000001E-2</v>
      </c>
      <c r="HJ161" s="489">
        <v>3.7600000000000001E-2</v>
      </c>
      <c r="HK161" s="489">
        <v>3.7600000000000001E-2</v>
      </c>
      <c r="HL161" s="489">
        <v>3.7600000000000001E-2</v>
      </c>
      <c r="HM161" s="489">
        <v>3.7600000000000001E-2</v>
      </c>
      <c r="HN161" s="489">
        <v>3.7600000000000001E-2</v>
      </c>
      <c r="HO161" s="489">
        <v>3.7600000000000001E-2</v>
      </c>
      <c r="HP161" s="473">
        <f t="shared" si="49"/>
        <v>0</v>
      </c>
      <c r="HQ161" s="1143"/>
    </row>
    <row r="162" spans="2:225">
      <c r="B162" s="1127"/>
      <c r="C162" s="731" t="s">
        <v>217</v>
      </c>
      <c r="D162" s="478">
        <v>3.2300000000000002E-2</v>
      </c>
      <c r="E162" s="478">
        <v>3.2300000000000002E-2</v>
      </c>
      <c r="F162" s="478">
        <v>3.2300000000000002E-2</v>
      </c>
      <c r="G162" s="478">
        <v>3.2300000000000002E-2</v>
      </c>
      <c r="H162" s="478">
        <v>3.2300000000000002E-2</v>
      </c>
      <c r="I162" s="478">
        <v>3.2300000000000002E-2</v>
      </c>
      <c r="J162" s="478">
        <v>3.2300000000000002E-2</v>
      </c>
      <c r="K162" s="478">
        <v>3.2300000000000002E-2</v>
      </c>
      <c r="L162" s="503">
        <v>3.2300000000000002E-2</v>
      </c>
      <c r="M162" s="478">
        <v>3.6299999999999999E-2</v>
      </c>
      <c r="N162" s="478">
        <v>3.6299999999999999E-2</v>
      </c>
      <c r="O162" s="478">
        <v>3.6299999999999999E-2</v>
      </c>
      <c r="P162" s="478">
        <v>3.6299999999999999E-2</v>
      </c>
      <c r="Q162" s="478">
        <v>3.6299999999999999E-2</v>
      </c>
      <c r="R162" s="478">
        <v>3.6299999999999999E-2</v>
      </c>
      <c r="S162" s="478">
        <v>3.6299999999999999E-2</v>
      </c>
      <c r="T162" s="478">
        <v>3.6299999999999999E-2</v>
      </c>
      <c r="U162" s="478">
        <v>3.6299999999999999E-2</v>
      </c>
      <c r="V162" s="478">
        <v>3.6299999999999999E-2</v>
      </c>
      <c r="W162" s="478">
        <v>3.6299999999999999E-2</v>
      </c>
      <c r="X162" s="478">
        <v>3.6299999999999999E-2</v>
      </c>
      <c r="Y162" s="478">
        <v>3.6299999999999999E-2</v>
      </c>
      <c r="Z162" s="478">
        <v>3.6299999999999999E-2</v>
      </c>
      <c r="AA162" s="503">
        <v>3.6299999999999999E-2</v>
      </c>
      <c r="AB162" s="478">
        <v>3.8800000000000001E-2</v>
      </c>
      <c r="AC162" s="478">
        <v>3.8800000000000001E-2</v>
      </c>
      <c r="AD162" s="478">
        <v>3.8800000000000001E-2</v>
      </c>
      <c r="AE162" s="478">
        <v>3.8800000000000001E-2</v>
      </c>
      <c r="AF162" s="478">
        <v>3.8800000000000001E-2</v>
      </c>
      <c r="AG162" s="478">
        <v>3.8800000000000001E-2</v>
      </c>
      <c r="AH162" s="478">
        <v>3.8800000000000001E-2</v>
      </c>
      <c r="AI162" s="478">
        <v>3.8800000000000001E-2</v>
      </c>
      <c r="AJ162" s="478">
        <v>3.8800000000000001E-2</v>
      </c>
      <c r="AK162" s="478">
        <v>3.8800000000000001E-2</v>
      </c>
      <c r="AL162" s="479">
        <v>3.8800000000000001E-2</v>
      </c>
      <c r="AM162" s="478">
        <v>3.8800000000000001E-2</v>
      </c>
      <c r="AN162" s="478">
        <v>3.8800000000000001E-2</v>
      </c>
      <c r="AO162" s="478">
        <v>3.8800000000000001E-2</v>
      </c>
      <c r="AP162" s="478">
        <v>3.8800000000000001E-2</v>
      </c>
      <c r="AQ162" s="478">
        <v>3.8800000000000001E-2</v>
      </c>
      <c r="AR162" s="503">
        <v>3.8800000000000001E-2</v>
      </c>
      <c r="AS162" s="478">
        <v>3.9800000000000002E-2</v>
      </c>
      <c r="AT162" s="478">
        <v>3.9800000000000002E-2</v>
      </c>
      <c r="AU162" s="478">
        <v>3.9800000000000002E-2</v>
      </c>
      <c r="AV162" s="479">
        <v>3.9800000000000002E-2</v>
      </c>
      <c r="AW162" s="479">
        <v>3.9800000000000002E-2</v>
      </c>
      <c r="AX162" s="479">
        <v>3.9800000000000002E-2</v>
      </c>
      <c r="AY162" s="479">
        <v>3.9800000000000002E-2</v>
      </c>
      <c r="AZ162" s="479">
        <v>3.9800000000000002E-2</v>
      </c>
      <c r="BA162" s="479">
        <v>3.9800000000000002E-2</v>
      </c>
      <c r="BB162" s="479">
        <v>3.9800000000000002E-2</v>
      </c>
      <c r="BC162" s="479">
        <v>3.9800000000000002E-2</v>
      </c>
      <c r="BD162" s="479">
        <v>3.9800000000000002E-2</v>
      </c>
      <c r="BE162" s="479">
        <v>3.9800000000000002E-2</v>
      </c>
      <c r="BF162" s="479">
        <v>3.9800000000000002E-2</v>
      </c>
      <c r="BG162" s="479">
        <v>3.9800000000000002E-2</v>
      </c>
      <c r="BH162" s="479">
        <v>3.9800000000000002E-2</v>
      </c>
      <c r="BI162" s="479">
        <v>3.9800000000000002E-2</v>
      </c>
      <c r="BJ162" s="479">
        <v>3.9800000000000002E-2</v>
      </c>
      <c r="BK162" s="479">
        <v>3.9800000000000002E-2</v>
      </c>
      <c r="BL162" s="479">
        <v>3.9800000000000002E-2</v>
      </c>
      <c r="BM162" s="479">
        <v>3.9800000000000002E-2</v>
      </c>
      <c r="BN162" s="479">
        <v>3.9800000000000002E-2</v>
      </c>
      <c r="BO162" s="479">
        <v>3.9800000000000002E-2</v>
      </c>
      <c r="BP162" s="479">
        <v>3.9800000000000002E-2</v>
      </c>
      <c r="BQ162" s="479">
        <v>3.9800000000000002E-2</v>
      </c>
      <c r="BR162" s="479">
        <v>3.9800000000000002E-2</v>
      </c>
      <c r="BS162" s="479">
        <v>3.9800000000000002E-2</v>
      </c>
      <c r="BT162" s="479">
        <v>3.9800000000000002E-2</v>
      </c>
      <c r="BU162" s="479">
        <v>3.9800000000000002E-2</v>
      </c>
      <c r="BV162" s="479">
        <v>3.9800000000000002E-2</v>
      </c>
      <c r="BW162" s="479">
        <v>3.9800000000000002E-2</v>
      </c>
      <c r="BX162" s="479">
        <v>3.9800000000000002E-2</v>
      </c>
      <c r="BY162" s="479">
        <v>3.9800000000000002E-2</v>
      </c>
      <c r="BZ162" s="479">
        <v>3.9800000000000002E-2</v>
      </c>
      <c r="CA162" s="479">
        <v>4.2299999999999997E-2</v>
      </c>
      <c r="CB162" s="479">
        <v>4.2299999999999997E-2</v>
      </c>
      <c r="CC162" s="479">
        <v>4.2299999999999997E-2</v>
      </c>
      <c r="CD162" s="479">
        <v>4.2299999999999997E-2</v>
      </c>
      <c r="CE162" s="479">
        <v>4.6300000000000001E-2</v>
      </c>
      <c r="CF162" s="479">
        <v>4.6300000000000001E-2</v>
      </c>
      <c r="CG162" s="479">
        <v>4.6300000000000001E-2</v>
      </c>
      <c r="CH162" s="479">
        <v>4.6300000000000001E-2</v>
      </c>
      <c r="CI162" s="479">
        <v>4.6300000000000001E-2</v>
      </c>
      <c r="CJ162" s="479">
        <v>4.6300000000000001E-2</v>
      </c>
      <c r="CK162" s="479">
        <v>4.6300000000000001E-2</v>
      </c>
      <c r="CL162" s="479">
        <v>4.6300000000000001E-2</v>
      </c>
      <c r="CM162" s="479">
        <v>4.6300000000000001E-2</v>
      </c>
      <c r="CN162" s="479">
        <v>4.6300000000000001E-2</v>
      </c>
      <c r="CO162" s="479">
        <v>4.6300000000000001E-2</v>
      </c>
      <c r="CP162" s="479">
        <v>4.6300000000000001E-2</v>
      </c>
      <c r="CQ162" s="479">
        <v>4.6300000000000001E-2</v>
      </c>
      <c r="CR162" s="479">
        <v>4.6300000000000001E-2</v>
      </c>
      <c r="CS162" s="479">
        <v>4.6300000000000001E-2</v>
      </c>
      <c r="CT162" s="479">
        <v>0.05</v>
      </c>
      <c r="CU162" s="479">
        <v>0.05</v>
      </c>
      <c r="CV162" s="479">
        <v>0.05</v>
      </c>
      <c r="CW162" s="533">
        <v>0.05</v>
      </c>
      <c r="CX162" s="529">
        <v>4.6300000000000001E-2</v>
      </c>
      <c r="CY162" s="529">
        <v>4.6300000000000001E-2</v>
      </c>
      <c r="CZ162" s="529">
        <v>4.6300000000000001E-2</v>
      </c>
      <c r="DA162" s="529">
        <v>4.6300000000000001E-2</v>
      </c>
      <c r="DB162" s="529">
        <v>4.6300000000000001E-2</v>
      </c>
      <c r="DC162" s="529">
        <v>4.6300000000000001E-2</v>
      </c>
      <c r="DD162" s="529">
        <v>4.6300000000000001E-2</v>
      </c>
      <c r="DE162" s="529">
        <v>4.6300000000000001E-2</v>
      </c>
      <c r="DF162" s="529">
        <v>4.6300000000000001E-2</v>
      </c>
      <c r="DG162" s="529">
        <v>4.6300000000000001E-2</v>
      </c>
      <c r="DH162" s="529">
        <v>4.6300000000000001E-2</v>
      </c>
      <c r="DI162" s="529">
        <v>4.6300000000000001E-2</v>
      </c>
      <c r="DJ162" s="529">
        <v>4.6300000000000001E-2</v>
      </c>
      <c r="DK162" s="529">
        <v>4.6300000000000001E-2</v>
      </c>
      <c r="DL162" s="529">
        <v>4.6300000000000001E-2</v>
      </c>
      <c r="DM162" s="529">
        <v>4.6300000000000001E-2</v>
      </c>
      <c r="DN162" s="529">
        <v>4.6300000000000001E-2</v>
      </c>
      <c r="DO162" s="529">
        <v>4.6300000000000001E-2</v>
      </c>
      <c r="DP162" s="529">
        <v>4.6300000000000001E-2</v>
      </c>
      <c r="DQ162" s="529">
        <v>4.6300000000000001E-2</v>
      </c>
      <c r="DR162" s="529">
        <v>4.6300000000000001E-2</v>
      </c>
      <c r="DS162" s="529">
        <v>4.6300000000000001E-2</v>
      </c>
      <c r="DT162" s="529">
        <v>4.6300000000000001E-2</v>
      </c>
      <c r="DU162" s="529">
        <v>4.6300000000000001E-2</v>
      </c>
      <c r="DV162" s="529">
        <v>4.6300000000000001E-2</v>
      </c>
      <c r="DW162" s="529">
        <v>4.6300000000000001E-2</v>
      </c>
      <c r="DX162" s="529">
        <v>4.6300000000000001E-2</v>
      </c>
      <c r="DY162" s="529">
        <v>4.6300000000000001E-2</v>
      </c>
      <c r="DZ162" s="529">
        <v>4.6300000000000001E-2</v>
      </c>
      <c r="EA162" s="529">
        <v>4.6300000000000001E-2</v>
      </c>
      <c r="EB162" s="529">
        <v>4.6300000000000001E-2</v>
      </c>
      <c r="EC162" s="529">
        <v>4.6300000000000001E-2</v>
      </c>
      <c r="ED162" s="529">
        <v>4.6300000000000001E-2</v>
      </c>
      <c r="EE162" s="529">
        <v>4.6300000000000001E-2</v>
      </c>
      <c r="EF162" s="529">
        <v>4.6300000000000001E-2</v>
      </c>
      <c r="EG162" s="529">
        <v>4.6300000000000001E-2</v>
      </c>
      <c r="EH162" s="529">
        <v>4.6300000000000001E-2</v>
      </c>
      <c r="EI162" s="529">
        <v>4.6300000000000001E-2</v>
      </c>
      <c r="EJ162" s="529">
        <v>4.6300000000000001E-2</v>
      </c>
      <c r="EK162" s="529">
        <v>4.6300000000000001E-2</v>
      </c>
      <c r="EL162" s="529">
        <v>4.6300000000000001E-2</v>
      </c>
      <c r="EM162" s="529">
        <v>4.6300000000000001E-2</v>
      </c>
      <c r="EN162" s="529">
        <v>4.6300000000000001E-2</v>
      </c>
      <c r="EO162" s="529">
        <v>4.6300000000000001E-2</v>
      </c>
      <c r="EP162" s="529">
        <v>4.6300000000000001E-2</v>
      </c>
      <c r="EQ162" s="529">
        <v>4.6300000000000001E-2</v>
      </c>
      <c r="ER162" s="529">
        <v>4.6300000000000001E-2</v>
      </c>
      <c r="ES162" s="529">
        <v>4.6300000000000001E-2</v>
      </c>
      <c r="ET162" s="529">
        <v>4.6300000000000001E-2</v>
      </c>
      <c r="EU162" s="529">
        <v>4.6300000000000001E-2</v>
      </c>
      <c r="EV162" s="529">
        <v>4.6300000000000001E-2</v>
      </c>
      <c r="EW162" s="529">
        <v>4.6300000000000001E-2</v>
      </c>
      <c r="EX162" s="529">
        <v>4.6300000000000001E-2</v>
      </c>
      <c r="EY162" s="529">
        <v>4.6300000000000001E-2</v>
      </c>
      <c r="EZ162" s="529">
        <v>4.6300000000000001E-2</v>
      </c>
      <c r="FA162" s="529">
        <v>4.6300000000000001E-2</v>
      </c>
      <c r="FB162" s="529">
        <v>4.6300000000000001E-2</v>
      </c>
      <c r="FC162" s="529">
        <v>4.6300000000000001E-2</v>
      </c>
      <c r="FD162" s="529">
        <v>4.6300000000000001E-2</v>
      </c>
      <c r="FE162" s="529">
        <v>4.6300000000000001E-2</v>
      </c>
      <c r="FF162" s="529">
        <v>4.6300000000000001E-2</v>
      </c>
      <c r="FG162" s="529">
        <v>4.6300000000000001E-2</v>
      </c>
      <c r="FH162" s="529">
        <v>4.6300000000000001E-2</v>
      </c>
      <c r="FI162" s="529">
        <v>4.6300000000000001E-2</v>
      </c>
      <c r="FJ162" s="529">
        <v>4.6300000000000001E-2</v>
      </c>
      <c r="FK162" s="529">
        <v>4.6300000000000001E-2</v>
      </c>
      <c r="FL162" s="529">
        <v>4.6300000000000001E-2</v>
      </c>
      <c r="FM162" s="529">
        <v>4.6300000000000001E-2</v>
      </c>
      <c r="FN162" s="529">
        <v>4.6300000000000001E-2</v>
      </c>
      <c r="FO162" s="529">
        <v>4.6300000000000001E-2</v>
      </c>
      <c r="FP162" s="529">
        <v>4.6300000000000001E-2</v>
      </c>
      <c r="FQ162" s="529">
        <v>4.6300000000000001E-2</v>
      </c>
      <c r="FR162" s="529">
        <v>4.6300000000000001E-2</v>
      </c>
      <c r="FS162" s="529">
        <v>4.6300000000000001E-2</v>
      </c>
      <c r="FT162" s="529">
        <v>4.6300000000000001E-2</v>
      </c>
      <c r="FU162" s="529">
        <v>4.6300000000000001E-2</v>
      </c>
      <c r="FV162" s="529">
        <v>4.6300000000000001E-2</v>
      </c>
      <c r="FW162" s="529">
        <v>4.6300000000000001E-2</v>
      </c>
      <c r="FX162" s="529">
        <v>4.6300000000000001E-2</v>
      </c>
      <c r="FY162" s="529">
        <v>4.6300000000000001E-2</v>
      </c>
      <c r="FZ162" s="529">
        <v>4.6300000000000001E-2</v>
      </c>
      <c r="GA162" s="529">
        <v>4.6300000000000001E-2</v>
      </c>
      <c r="GB162" s="529">
        <v>4.6300000000000001E-2</v>
      </c>
      <c r="GC162" s="529">
        <v>4.6300000000000001E-2</v>
      </c>
      <c r="GD162" s="489">
        <v>3.78E-2</v>
      </c>
      <c r="GE162" s="489">
        <v>3.78E-2</v>
      </c>
      <c r="GF162" s="489">
        <v>3.78E-2</v>
      </c>
      <c r="GG162" s="489">
        <v>3.78E-2</v>
      </c>
      <c r="GH162" s="489">
        <v>3.78E-2</v>
      </c>
      <c r="GI162" s="489">
        <v>3.78E-2</v>
      </c>
      <c r="GJ162" s="489">
        <v>3.78E-2</v>
      </c>
      <c r="GK162" s="489">
        <v>3.78E-2</v>
      </c>
      <c r="GL162" s="489">
        <v>3.78E-2</v>
      </c>
      <c r="GM162" s="489">
        <v>3.78E-2</v>
      </c>
      <c r="GN162" s="489">
        <v>3.78E-2</v>
      </c>
      <c r="GO162" s="489">
        <v>3.78E-2</v>
      </c>
      <c r="GP162" s="489">
        <v>3.78E-2</v>
      </c>
      <c r="GQ162" s="489">
        <v>3.78E-2</v>
      </c>
      <c r="GR162" s="489">
        <v>3.78E-2</v>
      </c>
      <c r="GS162" s="489">
        <v>3.78E-2</v>
      </c>
      <c r="GT162" s="489">
        <v>3.78E-2</v>
      </c>
      <c r="GU162" s="489">
        <v>3.78E-2</v>
      </c>
      <c r="GV162" s="489">
        <v>3.78E-2</v>
      </c>
      <c r="GW162" s="489">
        <v>3.78E-2</v>
      </c>
      <c r="GX162" s="489">
        <v>3.78E-2</v>
      </c>
      <c r="GY162" s="489">
        <v>3.78E-2</v>
      </c>
      <c r="GZ162" s="489">
        <v>3.78E-2</v>
      </c>
      <c r="HA162" s="489">
        <v>3.78E-2</v>
      </c>
      <c r="HB162" s="489">
        <v>3.78E-2</v>
      </c>
      <c r="HC162" s="489">
        <v>3.78E-2</v>
      </c>
      <c r="HD162" s="489">
        <v>3.78E-2</v>
      </c>
      <c r="HE162" s="489">
        <v>3.78E-2</v>
      </c>
      <c r="HF162" s="489">
        <v>3.78E-2</v>
      </c>
      <c r="HG162" s="489">
        <v>3.78E-2</v>
      </c>
      <c r="HH162" s="489">
        <v>3.78E-2</v>
      </c>
      <c r="HI162" s="489">
        <v>3.78E-2</v>
      </c>
      <c r="HJ162" s="489">
        <v>3.78E-2</v>
      </c>
      <c r="HK162" s="489">
        <v>3.78E-2</v>
      </c>
      <c r="HL162" s="489">
        <v>3.78E-2</v>
      </c>
      <c r="HM162" s="489">
        <v>3.78E-2</v>
      </c>
      <c r="HN162" s="489">
        <v>3.78E-2</v>
      </c>
      <c r="HO162" s="489">
        <v>3.78E-2</v>
      </c>
      <c r="HP162" s="473">
        <f t="shared" si="49"/>
        <v>0</v>
      </c>
      <c r="HQ162" s="1143"/>
    </row>
    <row r="163" spans="2:225">
      <c r="B163" s="1127"/>
      <c r="C163" s="731" t="s">
        <v>216</v>
      </c>
      <c r="D163" s="478">
        <v>3.2500000000000001E-2</v>
      </c>
      <c r="E163" s="478">
        <v>3.2500000000000001E-2</v>
      </c>
      <c r="F163" s="478">
        <v>3.2500000000000001E-2</v>
      </c>
      <c r="G163" s="478">
        <v>3.2500000000000001E-2</v>
      </c>
      <c r="H163" s="478">
        <v>3.2500000000000001E-2</v>
      </c>
      <c r="I163" s="478">
        <v>3.2500000000000001E-2</v>
      </c>
      <c r="J163" s="478">
        <v>3.2500000000000001E-2</v>
      </c>
      <c r="K163" s="478">
        <v>3.2500000000000001E-2</v>
      </c>
      <c r="L163" s="503">
        <v>3.2500000000000001E-2</v>
      </c>
      <c r="M163" s="478">
        <v>3.6499999999999998E-2</v>
      </c>
      <c r="N163" s="478">
        <v>3.6499999999999998E-2</v>
      </c>
      <c r="O163" s="478">
        <v>3.6499999999999998E-2</v>
      </c>
      <c r="P163" s="478">
        <v>3.6499999999999998E-2</v>
      </c>
      <c r="Q163" s="478">
        <v>3.6499999999999998E-2</v>
      </c>
      <c r="R163" s="478">
        <v>3.6499999999999998E-2</v>
      </c>
      <c r="S163" s="478">
        <v>3.6499999999999998E-2</v>
      </c>
      <c r="T163" s="478">
        <v>3.6499999999999998E-2</v>
      </c>
      <c r="U163" s="478">
        <v>3.6499999999999998E-2</v>
      </c>
      <c r="V163" s="478">
        <v>3.6499999999999998E-2</v>
      </c>
      <c r="W163" s="478">
        <v>3.6499999999999998E-2</v>
      </c>
      <c r="X163" s="478">
        <v>3.6499999999999998E-2</v>
      </c>
      <c r="Y163" s="478">
        <v>3.6499999999999998E-2</v>
      </c>
      <c r="Z163" s="478">
        <v>3.6499999999999998E-2</v>
      </c>
      <c r="AA163" s="503">
        <v>3.6499999999999998E-2</v>
      </c>
      <c r="AB163" s="478">
        <v>3.9E-2</v>
      </c>
      <c r="AC163" s="478">
        <v>3.9E-2</v>
      </c>
      <c r="AD163" s="478">
        <v>3.9E-2</v>
      </c>
      <c r="AE163" s="478">
        <v>3.9E-2</v>
      </c>
      <c r="AF163" s="478">
        <v>3.9E-2</v>
      </c>
      <c r="AG163" s="478">
        <v>3.9E-2</v>
      </c>
      <c r="AH163" s="478">
        <v>3.9E-2</v>
      </c>
      <c r="AI163" s="478">
        <v>3.9E-2</v>
      </c>
      <c r="AJ163" s="478">
        <v>3.9E-2</v>
      </c>
      <c r="AK163" s="478">
        <v>3.9E-2</v>
      </c>
      <c r="AL163" s="479">
        <v>3.9E-2</v>
      </c>
      <c r="AM163" s="478">
        <v>3.9E-2</v>
      </c>
      <c r="AN163" s="478">
        <v>3.9E-2</v>
      </c>
      <c r="AO163" s="478">
        <v>3.9E-2</v>
      </c>
      <c r="AP163" s="478">
        <v>3.9E-2</v>
      </c>
      <c r="AQ163" s="478">
        <v>3.9E-2</v>
      </c>
      <c r="AR163" s="503">
        <v>3.9E-2</v>
      </c>
      <c r="AS163" s="478">
        <v>0.04</v>
      </c>
      <c r="AT163" s="478">
        <v>0.04</v>
      </c>
      <c r="AU163" s="478">
        <v>0.04</v>
      </c>
      <c r="AV163" s="479">
        <v>0.04</v>
      </c>
      <c r="AW163" s="479">
        <v>0.04</v>
      </c>
      <c r="AX163" s="479">
        <v>0.04</v>
      </c>
      <c r="AY163" s="479">
        <v>0.04</v>
      </c>
      <c r="AZ163" s="479">
        <v>0.04</v>
      </c>
      <c r="BA163" s="479">
        <v>0.04</v>
      </c>
      <c r="BB163" s="479">
        <v>0.04</v>
      </c>
      <c r="BC163" s="479">
        <v>0.04</v>
      </c>
      <c r="BD163" s="479">
        <v>0.04</v>
      </c>
      <c r="BE163" s="479">
        <v>0.04</v>
      </c>
      <c r="BF163" s="479">
        <v>0.04</v>
      </c>
      <c r="BG163" s="479">
        <v>0.04</v>
      </c>
      <c r="BH163" s="479">
        <v>0.04</v>
      </c>
      <c r="BI163" s="479">
        <v>0.04</v>
      </c>
      <c r="BJ163" s="479">
        <v>0.04</v>
      </c>
      <c r="BK163" s="479">
        <v>0.04</v>
      </c>
      <c r="BL163" s="479">
        <v>0.04</v>
      </c>
      <c r="BM163" s="479">
        <v>0.04</v>
      </c>
      <c r="BN163" s="479">
        <v>0.04</v>
      </c>
      <c r="BO163" s="479">
        <v>0.04</v>
      </c>
      <c r="BP163" s="479">
        <v>0.04</v>
      </c>
      <c r="BQ163" s="479">
        <v>0.04</v>
      </c>
      <c r="BR163" s="479">
        <v>0.04</v>
      </c>
      <c r="BS163" s="479">
        <v>0.04</v>
      </c>
      <c r="BT163" s="479">
        <v>0.04</v>
      </c>
      <c r="BU163" s="479">
        <v>0.04</v>
      </c>
      <c r="BV163" s="479">
        <v>0.04</v>
      </c>
      <c r="BW163" s="479">
        <v>0.04</v>
      </c>
      <c r="BX163" s="479">
        <v>0.04</v>
      </c>
      <c r="BY163" s="479">
        <v>0.04</v>
      </c>
      <c r="BZ163" s="479">
        <v>0.04</v>
      </c>
      <c r="CA163" s="479">
        <v>4.2500000000000003E-2</v>
      </c>
      <c r="CB163" s="479">
        <v>4.2500000000000003E-2</v>
      </c>
      <c r="CC163" s="479">
        <v>4.2500000000000003E-2</v>
      </c>
      <c r="CD163" s="479">
        <v>4.2500000000000003E-2</v>
      </c>
      <c r="CE163" s="479">
        <v>4.65E-2</v>
      </c>
      <c r="CF163" s="479">
        <v>4.65E-2</v>
      </c>
      <c r="CG163" s="479">
        <v>4.65E-2</v>
      </c>
      <c r="CH163" s="479">
        <v>4.65E-2</v>
      </c>
      <c r="CI163" s="479">
        <v>4.65E-2</v>
      </c>
      <c r="CJ163" s="479">
        <v>4.65E-2</v>
      </c>
      <c r="CK163" s="479">
        <v>4.65E-2</v>
      </c>
      <c r="CL163" s="479">
        <v>4.65E-2</v>
      </c>
      <c r="CM163" s="479">
        <v>4.65E-2</v>
      </c>
      <c r="CN163" s="479">
        <v>4.65E-2</v>
      </c>
      <c r="CO163" s="479">
        <v>4.65E-2</v>
      </c>
      <c r="CP163" s="479">
        <v>4.65E-2</v>
      </c>
      <c r="CQ163" s="479">
        <v>4.65E-2</v>
      </c>
      <c r="CR163" s="479">
        <v>4.65E-2</v>
      </c>
      <c r="CS163" s="479">
        <v>4.65E-2</v>
      </c>
      <c r="CT163" s="479">
        <v>0.05</v>
      </c>
      <c r="CU163" s="479">
        <v>0.05</v>
      </c>
      <c r="CV163" s="479">
        <v>0.05</v>
      </c>
      <c r="CW163" s="533">
        <v>0.05</v>
      </c>
      <c r="CX163" s="529">
        <v>4.65E-2</v>
      </c>
      <c r="CY163" s="529">
        <v>4.65E-2</v>
      </c>
      <c r="CZ163" s="529">
        <v>4.65E-2</v>
      </c>
      <c r="DA163" s="529">
        <v>4.65E-2</v>
      </c>
      <c r="DB163" s="529">
        <v>4.65E-2</v>
      </c>
      <c r="DC163" s="529">
        <v>4.65E-2</v>
      </c>
      <c r="DD163" s="529">
        <v>4.65E-2</v>
      </c>
      <c r="DE163" s="529">
        <v>4.65E-2</v>
      </c>
      <c r="DF163" s="529">
        <v>4.65E-2</v>
      </c>
      <c r="DG163" s="529">
        <v>4.65E-2</v>
      </c>
      <c r="DH163" s="529">
        <v>4.65E-2</v>
      </c>
      <c r="DI163" s="529">
        <v>4.65E-2</v>
      </c>
      <c r="DJ163" s="529">
        <v>4.65E-2</v>
      </c>
      <c r="DK163" s="529">
        <v>4.65E-2</v>
      </c>
      <c r="DL163" s="529">
        <v>4.65E-2</v>
      </c>
      <c r="DM163" s="529">
        <v>4.65E-2</v>
      </c>
      <c r="DN163" s="529">
        <v>4.65E-2</v>
      </c>
      <c r="DO163" s="529">
        <v>4.65E-2</v>
      </c>
      <c r="DP163" s="529">
        <v>4.65E-2</v>
      </c>
      <c r="DQ163" s="529">
        <v>4.65E-2</v>
      </c>
      <c r="DR163" s="529">
        <v>4.65E-2</v>
      </c>
      <c r="DS163" s="529">
        <v>4.65E-2</v>
      </c>
      <c r="DT163" s="529">
        <v>4.65E-2</v>
      </c>
      <c r="DU163" s="529">
        <v>4.65E-2</v>
      </c>
      <c r="DV163" s="529">
        <v>4.65E-2</v>
      </c>
      <c r="DW163" s="529">
        <v>4.65E-2</v>
      </c>
      <c r="DX163" s="529">
        <v>4.65E-2</v>
      </c>
      <c r="DY163" s="529">
        <v>4.65E-2</v>
      </c>
      <c r="DZ163" s="529">
        <v>4.65E-2</v>
      </c>
      <c r="EA163" s="529">
        <v>4.65E-2</v>
      </c>
      <c r="EB163" s="529">
        <v>4.65E-2</v>
      </c>
      <c r="EC163" s="529">
        <v>4.65E-2</v>
      </c>
      <c r="ED163" s="529">
        <v>4.65E-2</v>
      </c>
      <c r="EE163" s="529">
        <v>4.65E-2</v>
      </c>
      <c r="EF163" s="529">
        <v>4.65E-2</v>
      </c>
      <c r="EG163" s="529">
        <v>4.65E-2</v>
      </c>
      <c r="EH163" s="529">
        <v>4.65E-2</v>
      </c>
      <c r="EI163" s="529">
        <v>4.65E-2</v>
      </c>
      <c r="EJ163" s="529">
        <v>4.65E-2</v>
      </c>
      <c r="EK163" s="529">
        <v>4.65E-2</v>
      </c>
      <c r="EL163" s="529">
        <v>4.65E-2</v>
      </c>
      <c r="EM163" s="529">
        <v>4.65E-2</v>
      </c>
      <c r="EN163" s="529">
        <v>4.65E-2</v>
      </c>
      <c r="EO163" s="529">
        <v>4.65E-2</v>
      </c>
      <c r="EP163" s="529">
        <v>4.65E-2</v>
      </c>
      <c r="EQ163" s="529">
        <v>4.65E-2</v>
      </c>
      <c r="ER163" s="529">
        <v>4.65E-2</v>
      </c>
      <c r="ES163" s="529">
        <v>4.65E-2</v>
      </c>
      <c r="ET163" s="529">
        <v>4.65E-2</v>
      </c>
      <c r="EU163" s="529">
        <v>4.65E-2</v>
      </c>
      <c r="EV163" s="529">
        <v>4.65E-2</v>
      </c>
      <c r="EW163" s="529">
        <v>4.65E-2</v>
      </c>
      <c r="EX163" s="529">
        <v>4.65E-2</v>
      </c>
      <c r="EY163" s="529">
        <v>4.65E-2</v>
      </c>
      <c r="EZ163" s="529">
        <v>4.65E-2</v>
      </c>
      <c r="FA163" s="529">
        <v>4.65E-2</v>
      </c>
      <c r="FB163" s="529">
        <v>4.65E-2</v>
      </c>
      <c r="FC163" s="529">
        <v>4.65E-2</v>
      </c>
      <c r="FD163" s="529">
        <v>4.65E-2</v>
      </c>
      <c r="FE163" s="529">
        <v>4.65E-2</v>
      </c>
      <c r="FF163" s="529">
        <v>4.65E-2</v>
      </c>
      <c r="FG163" s="529">
        <v>4.65E-2</v>
      </c>
      <c r="FH163" s="529">
        <v>4.65E-2</v>
      </c>
      <c r="FI163" s="529">
        <v>4.65E-2</v>
      </c>
      <c r="FJ163" s="529">
        <v>4.65E-2</v>
      </c>
      <c r="FK163" s="529">
        <v>4.65E-2</v>
      </c>
      <c r="FL163" s="529">
        <v>4.65E-2</v>
      </c>
      <c r="FM163" s="529">
        <v>4.65E-2</v>
      </c>
      <c r="FN163" s="529">
        <v>4.65E-2</v>
      </c>
      <c r="FO163" s="529">
        <v>4.65E-2</v>
      </c>
      <c r="FP163" s="529">
        <v>4.65E-2</v>
      </c>
      <c r="FQ163" s="529">
        <v>4.65E-2</v>
      </c>
      <c r="FR163" s="529">
        <v>4.65E-2</v>
      </c>
      <c r="FS163" s="529">
        <v>4.65E-2</v>
      </c>
      <c r="FT163" s="529">
        <v>4.65E-2</v>
      </c>
      <c r="FU163" s="529">
        <v>4.65E-2</v>
      </c>
      <c r="FV163" s="529">
        <v>4.65E-2</v>
      </c>
      <c r="FW163" s="529">
        <v>4.65E-2</v>
      </c>
      <c r="FX163" s="529">
        <v>4.65E-2</v>
      </c>
      <c r="FY163" s="529">
        <v>4.65E-2</v>
      </c>
      <c r="FZ163" s="529">
        <v>4.65E-2</v>
      </c>
      <c r="GA163" s="529">
        <v>4.65E-2</v>
      </c>
      <c r="GB163" s="529">
        <v>4.65E-2</v>
      </c>
      <c r="GC163" s="529">
        <v>4.65E-2</v>
      </c>
      <c r="GD163" s="489">
        <v>3.7999999999999999E-2</v>
      </c>
      <c r="GE163" s="489">
        <v>3.7999999999999999E-2</v>
      </c>
      <c r="GF163" s="489">
        <v>3.7999999999999999E-2</v>
      </c>
      <c r="GG163" s="489">
        <v>3.7999999999999999E-2</v>
      </c>
      <c r="GH163" s="489">
        <v>3.7999999999999999E-2</v>
      </c>
      <c r="GI163" s="489">
        <v>3.7999999999999999E-2</v>
      </c>
      <c r="GJ163" s="489">
        <v>3.7999999999999999E-2</v>
      </c>
      <c r="GK163" s="489">
        <v>3.7999999999999999E-2</v>
      </c>
      <c r="GL163" s="489">
        <v>3.7999999999999999E-2</v>
      </c>
      <c r="GM163" s="489">
        <v>3.7999999999999999E-2</v>
      </c>
      <c r="GN163" s="489">
        <v>3.7999999999999999E-2</v>
      </c>
      <c r="GO163" s="489">
        <v>3.7999999999999999E-2</v>
      </c>
      <c r="GP163" s="489">
        <v>3.7999999999999999E-2</v>
      </c>
      <c r="GQ163" s="489">
        <v>3.7999999999999999E-2</v>
      </c>
      <c r="GR163" s="489">
        <v>3.7999999999999999E-2</v>
      </c>
      <c r="GS163" s="489">
        <v>3.7999999999999999E-2</v>
      </c>
      <c r="GT163" s="489">
        <v>3.7999999999999999E-2</v>
      </c>
      <c r="GU163" s="489">
        <v>3.7999999999999999E-2</v>
      </c>
      <c r="GV163" s="489">
        <v>3.7999999999999999E-2</v>
      </c>
      <c r="GW163" s="489">
        <v>3.7999999999999999E-2</v>
      </c>
      <c r="GX163" s="489">
        <v>3.7999999999999999E-2</v>
      </c>
      <c r="GY163" s="489">
        <v>3.7999999999999999E-2</v>
      </c>
      <c r="GZ163" s="489">
        <v>3.7999999999999999E-2</v>
      </c>
      <c r="HA163" s="489">
        <v>3.7999999999999999E-2</v>
      </c>
      <c r="HB163" s="489">
        <v>3.7999999999999999E-2</v>
      </c>
      <c r="HC163" s="489">
        <v>3.7999999999999999E-2</v>
      </c>
      <c r="HD163" s="489">
        <v>3.7999999999999999E-2</v>
      </c>
      <c r="HE163" s="489">
        <v>3.7999999999999999E-2</v>
      </c>
      <c r="HF163" s="489">
        <v>3.7999999999999999E-2</v>
      </c>
      <c r="HG163" s="489">
        <v>3.7999999999999999E-2</v>
      </c>
      <c r="HH163" s="489">
        <v>3.7999999999999999E-2</v>
      </c>
      <c r="HI163" s="489">
        <v>3.7999999999999999E-2</v>
      </c>
      <c r="HJ163" s="489">
        <v>3.7999999999999999E-2</v>
      </c>
      <c r="HK163" s="489">
        <v>3.7999999999999999E-2</v>
      </c>
      <c r="HL163" s="489">
        <v>3.7999999999999999E-2</v>
      </c>
      <c r="HM163" s="489">
        <v>3.7999999999999999E-2</v>
      </c>
      <c r="HN163" s="489">
        <v>3.7999999999999999E-2</v>
      </c>
      <c r="HO163" s="489">
        <v>3.7999999999999999E-2</v>
      </c>
      <c r="HP163" s="473">
        <f t="shared" si="49"/>
        <v>0</v>
      </c>
      <c r="HQ163" s="1144"/>
    </row>
    <row r="164" spans="2:225">
      <c r="B164" s="764" t="s">
        <v>12</v>
      </c>
      <c r="C164" s="730" t="s">
        <v>229</v>
      </c>
      <c r="D164" s="493">
        <v>3.27E-2</v>
      </c>
      <c r="E164" s="493">
        <v>3.27E-2</v>
      </c>
      <c r="F164" s="493">
        <v>3.2199999999999999E-2</v>
      </c>
      <c r="G164" s="500">
        <v>3.2199999999999999E-2</v>
      </c>
      <c r="H164" s="500">
        <v>3.2199999999999999E-2</v>
      </c>
      <c r="I164" s="500">
        <v>3.2199999999999999E-2</v>
      </c>
      <c r="J164" s="502">
        <v>3.2199999999999999E-2</v>
      </c>
      <c r="K164" s="500">
        <v>3.1699999999999999E-2</v>
      </c>
      <c r="L164" s="502">
        <v>3.1699999999999999E-2</v>
      </c>
      <c r="M164" s="502">
        <v>3.2199999999999999E-2</v>
      </c>
      <c r="N164" s="500">
        <v>3.27E-2</v>
      </c>
      <c r="O164" s="500">
        <v>3.27E-2</v>
      </c>
      <c r="P164" s="502">
        <v>3.27E-2</v>
      </c>
      <c r="Q164" s="500">
        <v>3.32E-2</v>
      </c>
      <c r="R164" s="502">
        <v>3.32E-2</v>
      </c>
      <c r="S164" s="500">
        <v>3.3700000000000001E-2</v>
      </c>
      <c r="T164" s="502">
        <v>3.3700000000000001E-2</v>
      </c>
      <c r="U164" s="501">
        <v>3.32E-2</v>
      </c>
      <c r="V164" s="502">
        <v>3.32E-2</v>
      </c>
      <c r="W164" s="480">
        <v>3.3700000000000001E-2</v>
      </c>
      <c r="X164" s="481">
        <v>3.32E-2</v>
      </c>
      <c r="Y164" s="481">
        <v>3.32E-2</v>
      </c>
      <c r="Z164" s="480">
        <v>3.32E-2</v>
      </c>
      <c r="AA164" s="481">
        <v>3.3700000000000001E-2</v>
      </c>
      <c r="AB164" s="480">
        <v>3.3700000000000001E-2</v>
      </c>
      <c r="AC164" s="481">
        <v>3.4700000000000002E-2</v>
      </c>
      <c r="AD164" s="480">
        <v>3.5200000000000002E-2</v>
      </c>
      <c r="AE164" s="480">
        <v>3.6700000000000003E-2</v>
      </c>
      <c r="AF164" s="481">
        <v>3.7699999999999997E-2</v>
      </c>
      <c r="AG164" s="481">
        <v>3.7699999999999997E-2</v>
      </c>
      <c r="AH164" s="480">
        <v>3.7699999999999997E-2</v>
      </c>
      <c r="AI164" s="481">
        <v>3.8199999999999998E-2</v>
      </c>
      <c r="AJ164" s="481">
        <v>3.8199999999999998E-2</v>
      </c>
      <c r="AK164" s="481">
        <v>3.8199999999999998E-2</v>
      </c>
      <c r="AL164" s="482">
        <v>3.8199999999999998E-2</v>
      </c>
      <c r="AM164" s="481">
        <v>3.8199999999999998E-2</v>
      </c>
      <c r="AN164" s="481">
        <v>3.8199999999999998E-2</v>
      </c>
      <c r="AO164" s="481">
        <v>3.8199999999999998E-2</v>
      </c>
      <c r="AP164" s="481">
        <v>3.8199999999999998E-2</v>
      </c>
      <c r="AQ164" s="481">
        <v>3.8199999999999998E-2</v>
      </c>
      <c r="AR164" s="481">
        <v>3.8199999999999998E-2</v>
      </c>
      <c r="AS164" s="481">
        <v>3.8199999999999998E-2</v>
      </c>
      <c r="AT164" s="481">
        <v>3.8199999999999998E-2</v>
      </c>
      <c r="AU164" s="481">
        <v>3.8199999999999998E-2</v>
      </c>
      <c r="AV164" s="480">
        <v>3.8199999999999998E-2</v>
      </c>
      <c r="AW164" s="482">
        <v>3.8699999999999998E-2</v>
      </c>
      <c r="AX164" s="482">
        <v>3.8699999999999998E-2</v>
      </c>
      <c r="AY164" s="482">
        <v>3.8699999999999998E-2</v>
      </c>
      <c r="AZ164" s="482">
        <v>3.8699999999999998E-2</v>
      </c>
      <c r="BA164" s="482">
        <v>3.8699999999999998E-2</v>
      </c>
      <c r="BB164" s="482">
        <v>3.8699999999999998E-2</v>
      </c>
      <c r="BC164" s="482">
        <v>3.8699999999999998E-2</v>
      </c>
      <c r="BD164" s="482">
        <v>3.8699999999999998E-2</v>
      </c>
      <c r="BE164" s="482">
        <v>3.8699999999999998E-2</v>
      </c>
      <c r="BF164" s="482">
        <v>3.8699999999999998E-2</v>
      </c>
      <c r="BG164" s="482">
        <v>3.8699999999999998E-2</v>
      </c>
      <c r="BH164" s="482">
        <v>3.8699999999999998E-2</v>
      </c>
      <c r="BI164" s="482">
        <v>3.8699999999999998E-2</v>
      </c>
      <c r="BJ164" s="482">
        <v>3.8699999999999998E-2</v>
      </c>
      <c r="BK164" s="482">
        <v>3.8699999999999998E-2</v>
      </c>
      <c r="BL164" s="482">
        <v>3.9199999999999999E-2</v>
      </c>
      <c r="BM164" s="482">
        <v>3.9699999999999999E-2</v>
      </c>
      <c r="BN164" s="482">
        <v>4.02E-2</v>
      </c>
      <c r="BO164" s="482">
        <v>4.02E-2</v>
      </c>
      <c r="BP164" s="482">
        <v>4.1500000000000002E-2</v>
      </c>
      <c r="BQ164" s="482">
        <v>4.1500000000000002E-2</v>
      </c>
      <c r="BR164" s="482">
        <v>4.1500000000000002E-2</v>
      </c>
      <c r="BS164" s="482">
        <v>4.1500000000000002E-2</v>
      </c>
      <c r="BT164" s="482">
        <v>4.02E-2</v>
      </c>
      <c r="BU164" s="482">
        <v>4.02E-2</v>
      </c>
      <c r="BV164" s="482">
        <v>4.02E-2</v>
      </c>
      <c r="BW164" s="482">
        <v>4.02E-2</v>
      </c>
      <c r="BX164" s="482">
        <v>4.1700000000000001E-2</v>
      </c>
      <c r="BY164" s="482">
        <v>3.95E-2</v>
      </c>
      <c r="BZ164" s="482">
        <v>3.95E-2</v>
      </c>
      <c r="CA164" s="482">
        <v>4.0500000000000001E-2</v>
      </c>
      <c r="CB164" s="482">
        <v>4.3200000000000002E-2</v>
      </c>
      <c r="CC164" s="482">
        <v>4.36E-2</v>
      </c>
      <c r="CD164" s="482">
        <v>4.2900000000000001E-2</v>
      </c>
      <c r="CE164" s="482">
        <v>4.3700000000000003E-2</v>
      </c>
      <c r="CF164" s="482">
        <v>4.3499999999999997E-2</v>
      </c>
      <c r="CG164" s="482">
        <v>4.3299999999999998E-2</v>
      </c>
      <c r="CH164" s="482">
        <v>4.65E-2</v>
      </c>
      <c r="CI164" s="482">
        <v>4.7E-2</v>
      </c>
      <c r="CJ164" s="482">
        <v>4.7199999999999999E-2</v>
      </c>
      <c r="CK164" s="482">
        <v>4.7699999999999999E-2</v>
      </c>
      <c r="CL164" s="482">
        <v>4.82E-2</v>
      </c>
      <c r="CM164" s="482">
        <v>4.8099999999999997E-2</v>
      </c>
      <c r="CN164" s="482">
        <v>4.8599999999999997E-2</v>
      </c>
      <c r="CO164" s="482">
        <v>4.8599999999999997E-2</v>
      </c>
      <c r="CP164" s="482">
        <v>4.9399999999999999E-2</v>
      </c>
      <c r="CQ164" s="482">
        <v>4.9399999999999999E-2</v>
      </c>
      <c r="CR164" s="482">
        <v>4.9000000000000002E-2</v>
      </c>
      <c r="CS164" s="482">
        <v>4.9099999999999998E-2</v>
      </c>
      <c r="CT164" s="482">
        <v>4.7399999999999998E-2</v>
      </c>
      <c r="CU164" s="482">
        <v>4.7399999999999998E-2</v>
      </c>
      <c r="CV164" s="482">
        <v>4.7399999999999998E-2</v>
      </c>
      <c r="CW164" s="482">
        <v>4.7399999999999998E-2</v>
      </c>
      <c r="CX164" s="482">
        <v>4.7399999999999998E-2</v>
      </c>
      <c r="CY164" s="482">
        <v>4.7600000000000003E-2</v>
      </c>
      <c r="CZ164" s="482">
        <v>4.9200000000000001E-2</v>
      </c>
      <c r="DA164" s="482">
        <v>4.9200000000000001E-2</v>
      </c>
      <c r="DB164" s="482">
        <v>4.7600000000000003E-2</v>
      </c>
      <c r="DC164" s="482">
        <v>4.7600000000000003E-2</v>
      </c>
      <c r="DD164" s="482">
        <v>4.7600000000000003E-2</v>
      </c>
      <c r="DE164" s="484">
        <v>4.7600000000000003E-2</v>
      </c>
      <c r="DF164" s="482">
        <v>4.6600000000000003E-2</v>
      </c>
      <c r="DG164" s="482">
        <v>4.6600000000000003E-2</v>
      </c>
      <c r="DH164" s="482">
        <v>4.6600000000000003E-2</v>
      </c>
      <c r="DI164" s="482">
        <v>4.5999999999999999E-2</v>
      </c>
      <c r="DJ164" s="482">
        <v>4.5999999999999999E-2</v>
      </c>
      <c r="DK164" s="482">
        <v>4.6699999999999998E-2</v>
      </c>
      <c r="DL164" s="482">
        <v>4.6699999999999998E-2</v>
      </c>
      <c r="DM164" s="512" t="s">
        <v>124</v>
      </c>
      <c r="DN164" s="512"/>
      <c r="DO164" s="512"/>
      <c r="DP164" s="512"/>
      <c r="DQ164" s="512"/>
      <c r="DR164" s="512"/>
      <c r="DS164" s="512"/>
      <c r="DT164" s="512"/>
      <c r="DU164" s="512"/>
      <c r="DV164" s="512"/>
      <c r="DW164" s="512"/>
      <c r="DX164" s="512"/>
      <c r="DY164" s="512"/>
      <c r="DZ164" s="512"/>
      <c r="EA164" s="512"/>
      <c r="EB164" s="512"/>
      <c r="EC164" s="512"/>
      <c r="ED164" s="512"/>
      <c r="EE164" s="512"/>
      <c r="EF164" s="512"/>
      <c r="EG164" s="512"/>
      <c r="EH164" s="512"/>
      <c r="EI164" s="512"/>
      <c r="EJ164" s="512"/>
      <c r="EK164" s="512"/>
      <c r="EL164" s="513"/>
      <c r="EM164" s="513"/>
      <c r="EN164" s="512"/>
      <c r="EO164" s="512"/>
      <c r="EP164" s="512"/>
      <c r="EQ164" s="512"/>
      <c r="ER164" s="512"/>
      <c r="ES164" s="512"/>
      <c r="ET164" s="512"/>
      <c r="EU164" s="512"/>
      <c r="EV164" s="512"/>
      <c r="EW164" s="512"/>
      <c r="EX164" s="512"/>
      <c r="EY164" s="512"/>
      <c r="EZ164" s="513"/>
      <c r="FA164" s="514"/>
      <c r="FB164" s="515"/>
      <c r="FC164" s="516"/>
      <c r="FD164" s="516"/>
      <c r="FE164" s="516"/>
      <c r="FF164" s="516"/>
      <c r="FG164" s="516"/>
      <c r="FH164" s="516"/>
      <c r="FI164" s="516"/>
      <c r="FJ164" s="516"/>
      <c r="FK164" s="516"/>
      <c r="FL164" s="516"/>
      <c r="FM164" s="516"/>
      <c r="FN164" s="516"/>
      <c r="FO164" s="516"/>
      <c r="FP164" s="516"/>
      <c r="FQ164" s="516"/>
      <c r="FR164" s="516"/>
      <c r="FS164" s="516"/>
      <c r="FT164" s="516"/>
      <c r="FU164" s="516"/>
      <c r="FV164" s="512"/>
      <c r="FW164" s="512"/>
      <c r="FX164" s="512"/>
      <c r="FY164" s="512"/>
      <c r="FZ164" s="512"/>
      <c r="GA164" s="512"/>
      <c r="GB164" s="512"/>
      <c r="GC164" s="512"/>
      <c r="GD164" s="489"/>
      <c r="GE164" s="489"/>
      <c r="GF164" s="489"/>
      <c r="GG164" s="489"/>
      <c r="GH164" s="489"/>
      <c r="GI164" s="489"/>
      <c r="GJ164" s="489"/>
      <c r="GK164" s="489"/>
      <c r="GL164" s="489"/>
      <c r="GM164" s="489"/>
      <c r="GN164" s="489"/>
      <c r="GO164" s="489"/>
      <c r="GP164" s="489"/>
      <c r="GQ164" s="489"/>
      <c r="GR164" s="489"/>
      <c r="GS164" s="489"/>
      <c r="GT164" s="489"/>
      <c r="GU164" s="489"/>
      <c r="GV164" s="489"/>
      <c r="GW164" s="489"/>
      <c r="GX164" s="489"/>
      <c r="GY164" s="489"/>
      <c r="GZ164" s="489"/>
      <c r="HA164" s="489"/>
      <c r="HB164" s="489"/>
      <c r="HC164" s="489"/>
      <c r="HD164" s="489"/>
      <c r="HE164" s="489"/>
      <c r="HF164" s="489"/>
      <c r="HG164" s="489"/>
      <c r="HH164" s="489"/>
      <c r="HI164" s="489"/>
      <c r="HJ164" s="489"/>
      <c r="HK164" s="489"/>
      <c r="HL164" s="489"/>
      <c r="HM164" s="489"/>
      <c r="HN164" s="489"/>
      <c r="HO164" s="489"/>
      <c r="HP164" s="473">
        <f t="shared" si="49"/>
        <v>0</v>
      </c>
      <c r="HQ164" s="530"/>
    </row>
    <row r="165" spans="2:225">
      <c r="B165" s="763" t="s">
        <v>29</v>
      </c>
      <c r="C165" s="731" t="s">
        <v>74</v>
      </c>
      <c r="D165" s="583">
        <v>2.9656999999999999E-2</v>
      </c>
      <c r="E165" s="583">
        <v>2.9656999999999999E-2</v>
      </c>
      <c r="F165" s="583">
        <v>2.9482999999999999E-2</v>
      </c>
      <c r="G165" s="583">
        <v>2.9440000000000001E-2</v>
      </c>
      <c r="H165" s="583">
        <v>2.8886999999999999E-2</v>
      </c>
      <c r="I165" s="550">
        <v>2.9000000000000001E-2</v>
      </c>
      <c r="J165" s="583">
        <v>2.8799999999999999E-2</v>
      </c>
      <c r="K165" s="583">
        <v>2.8938999999999999E-2</v>
      </c>
      <c r="L165" s="583">
        <v>2.8757999999999999E-2</v>
      </c>
      <c r="M165" s="583">
        <v>2.8816999999999999E-2</v>
      </c>
      <c r="N165" s="583">
        <v>2.8289000000000002E-2</v>
      </c>
      <c r="O165" s="583">
        <v>2.929E-2</v>
      </c>
      <c r="P165" s="583">
        <v>2.9322000000000001E-2</v>
      </c>
      <c r="Q165" s="583">
        <v>3.0313E-2</v>
      </c>
      <c r="R165" s="583">
        <v>3.0379E-2</v>
      </c>
      <c r="S165" s="583">
        <v>3.1319E-2</v>
      </c>
      <c r="T165" s="583">
        <v>3.1043000000000001E-2</v>
      </c>
      <c r="U165" s="583">
        <v>3.0998000000000001E-2</v>
      </c>
      <c r="V165" s="583">
        <v>3.1177E-2</v>
      </c>
      <c r="W165" s="503">
        <v>2.9835E-2</v>
      </c>
      <c r="X165" s="503">
        <v>3.0494E-2</v>
      </c>
      <c r="Y165" s="503">
        <v>3.109E-2</v>
      </c>
      <c r="Z165" s="503">
        <v>3.1203999999999999E-2</v>
      </c>
      <c r="AA165" s="503">
        <v>3.1553999999999999E-2</v>
      </c>
      <c r="AB165" s="503">
        <v>3.1448999999999998E-2</v>
      </c>
      <c r="AC165" s="503">
        <v>3.1669999999999997E-2</v>
      </c>
      <c r="AD165" s="503">
        <v>3.1727999999999999E-2</v>
      </c>
      <c r="AE165" s="503">
        <v>3.2793999999999997E-2</v>
      </c>
      <c r="AF165" s="503">
        <v>3.3086999999999998E-2</v>
      </c>
      <c r="AG165" s="503">
        <v>3.2770000000000001E-2</v>
      </c>
      <c r="AH165" s="494">
        <v>3.3533E-2</v>
      </c>
      <c r="AI165" s="494">
        <v>3.4426999999999999E-2</v>
      </c>
      <c r="AJ165" s="494">
        <v>3.4952999999999998E-2</v>
      </c>
      <c r="AK165" s="494">
        <v>3.5161999999999999E-2</v>
      </c>
      <c r="AL165" s="494">
        <v>3.5374000000000003E-2</v>
      </c>
      <c r="AM165" s="494">
        <v>3.4833999999999997E-2</v>
      </c>
      <c r="AN165" s="494">
        <v>3.5156E-2</v>
      </c>
      <c r="AO165" s="488">
        <v>3.5562999999999997E-2</v>
      </c>
      <c r="AP165" s="494">
        <v>3.5638999999999997E-2</v>
      </c>
      <c r="AQ165" s="494">
        <v>3.5999999999999997E-2</v>
      </c>
      <c r="AR165" s="494">
        <v>3.5867999999999997E-2</v>
      </c>
      <c r="AS165" s="494">
        <v>3.5584999999999999E-2</v>
      </c>
      <c r="AT165" s="488">
        <v>3.5650000000000001E-2</v>
      </c>
      <c r="AU165" s="488">
        <v>3.5650000000000001E-2</v>
      </c>
      <c r="AV165" s="494">
        <v>3.5487999999999999E-2</v>
      </c>
      <c r="AW165" s="489">
        <v>3.7497999999999997E-2</v>
      </c>
      <c r="AX165" s="489">
        <v>3.7497999999999997E-2</v>
      </c>
      <c r="AY165" s="489">
        <v>3.7497999999999997E-2</v>
      </c>
      <c r="AZ165" s="489">
        <v>3.7497999999999997E-2</v>
      </c>
      <c r="BA165" s="489">
        <v>3.7497999999999997E-2</v>
      </c>
      <c r="BB165" s="489">
        <v>3.7497999999999997E-2</v>
      </c>
      <c r="BC165" s="489">
        <v>3.7497999999999997E-2</v>
      </c>
      <c r="BD165" s="489">
        <v>3.7497999999999997E-2</v>
      </c>
      <c r="BE165" s="489">
        <v>3.7497999999999997E-2</v>
      </c>
      <c r="BF165" s="489">
        <v>3.7497999999999997E-2</v>
      </c>
      <c r="BG165" s="489">
        <v>3.7497999999999997E-2</v>
      </c>
      <c r="BH165" s="489">
        <v>3.7497999999999997E-2</v>
      </c>
      <c r="BI165" s="489">
        <v>3.7497999999999997E-2</v>
      </c>
      <c r="BJ165" s="489">
        <v>3.7497999999999997E-2</v>
      </c>
      <c r="BK165" s="489">
        <v>3.7497999999999997E-2</v>
      </c>
      <c r="BL165" s="489">
        <v>3.7497999999999997E-2</v>
      </c>
      <c r="BM165" s="489">
        <v>3.7497999999999997E-2</v>
      </c>
      <c r="BN165" s="489">
        <v>3.7497999999999997E-2</v>
      </c>
      <c r="BO165" s="489">
        <v>3.7497999999999997E-2</v>
      </c>
      <c r="BP165" s="489">
        <v>3.7497999999999997E-2</v>
      </c>
      <c r="BQ165" s="489">
        <v>3.7497999999999997E-2</v>
      </c>
      <c r="BR165" s="489">
        <v>3.7497999999999997E-2</v>
      </c>
      <c r="BS165" s="489">
        <v>3.7497999999999997E-2</v>
      </c>
      <c r="BT165" s="489">
        <v>3.7497999999999997E-2</v>
      </c>
      <c r="BU165" s="489">
        <v>3.7497999999999997E-2</v>
      </c>
      <c r="BV165" s="489">
        <v>3.7497999999999997E-2</v>
      </c>
      <c r="BW165" s="489">
        <v>3.7497999999999997E-2</v>
      </c>
      <c r="BX165" s="489">
        <v>3.6678000000000002E-2</v>
      </c>
      <c r="BY165" s="489">
        <v>3.6678000000000002E-2</v>
      </c>
      <c r="BZ165" s="489">
        <v>3.6678000000000002E-2</v>
      </c>
      <c r="CA165" s="489">
        <v>3.8177999999999997E-2</v>
      </c>
      <c r="CB165" s="489">
        <v>4.0677999999999999E-2</v>
      </c>
      <c r="CC165" s="489">
        <v>4.0677999999999999E-2</v>
      </c>
      <c r="CD165" s="489">
        <v>4.0677999999999999E-2</v>
      </c>
      <c r="CE165" s="489">
        <v>4.1428E-2</v>
      </c>
      <c r="CF165" s="489">
        <v>4.0787999999999998E-2</v>
      </c>
      <c r="CG165" s="489">
        <v>4.4238E-2</v>
      </c>
      <c r="CH165" s="489">
        <v>4.4238E-2</v>
      </c>
      <c r="CI165" s="489">
        <v>4.4757999999999999E-2</v>
      </c>
      <c r="CJ165" s="489">
        <v>4.4757999999999999E-2</v>
      </c>
      <c r="CK165" s="489">
        <v>4.6285E-2</v>
      </c>
      <c r="CL165" s="489">
        <v>4.6285E-2</v>
      </c>
      <c r="CM165" s="489">
        <v>4.6285E-2</v>
      </c>
      <c r="CN165" s="489">
        <v>4.6285E-2</v>
      </c>
      <c r="CO165" s="489">
        <v>4.6608999999999998E-2</v>
      </c>
      <c r="CP165" s="489">
        <v>4.616E-2</v>
      </c>
      <c r="CQ165" s="489">
        <v>4.6306E-2</v>
      </c>
      <c r="CR165" s="489">
        <v>4.6117999999999999E-2</v>
      </c>
      <c r="CS165" s="489">
        <v>4.6124999999999999E-2</v>
      </c>
      <c r="CT165" s="489">
        <v>4.5116999999999997E-2</v>
      </c>
      <c r="CU165" s="489">
        <v>4.5116999999999997E-2</v>
      </c>
      <c r="CV165" s="489">
        <v>4.5116999999999997E-2</v>
      </c>
      <c r="CW165" s="489">
        <v>4.5116999999999997E-2</v>
      </c>
      <c r="CX165" s="489">
        <v>4.5116999999999997E-2</v>
      </c>
      <c r="CY165" s="489">
        <v>4.5116999999999997E-2</v>
      </c>
      <c r="CZ165" s="489">
        <v>4.5061999999999998E-2</v>
      </c>
      <c r="DA165" s="489">
        <v>4.5593000000000002E-2</v>
      </c>
      <c r="DB165" s="489">
        <v>4.5593000000000002E-2</v>
      </c>
      <c r="DC165" s="489" t="s">
        <v>124</v>
      </c>
      <c r="DD165" s="489" t="s">
        <v>124</v>
      </c>
      <c r="DE165" s="489">
        <v>4.4689E-2</v>
      </c>
      <c r="DF165" s="489">
        <v>4.4689E-2</v>
      </c>
      <c r="DG165" s="489">
        <v>4.4689E-2</v>
      </c>
      <c r="DH165" s="489">
        <v>4.4689E-2</v>
      </c>
      <c r="DI165" s="489">
        <v>4.4999999999999998E-2</v>
      </c>
      <c r="DJ165" s="489">
        <v>4.4965999999999999E-2</v>
      </c>
      <c r="DK165" s="489">
        <v>4.5536E-2</v>
      </c>
      <c r="DL165" s="489">
        <v>4.5999999999999999E-2</v>
      </c>
      <c r="DM165" s="489">
        <v>4.6463999999999998E-2</v>
      </c>
      <c r="DN165" s="489">
        <v>4.6937E-2</v>
      </c>
      <c r="DO165" s="489">
        <v>4.8106000000000003E-2</v>
      </c>
      <c r="DP165" s="489">
        <v>4.8059999999999999E-2</v>
      </c>
      <c r="DQ165" s="489">
        <v>4.9023999999999998E-2</v>
      </c>
      <c r="DR165" s="489">
        <v>4.9023999999999998E-2</v>
      </c>
      <c r="DS165" s="489">
        <v>4.8850999999999999E-2</v>
      </c>
      <c r="DT165" s="489">
        <v>4.9161000000000003E-2</v>
      </c>
      <c r="DU165" s="489">
        <v>4.9703999999999998E-2</v>
      </c>
      <c r="DV165" s="489">
        <v>4.9703999999999998E-2</v>
      </c>
      <c r="DW165" s="489">
        <v>4.9631000000000002E-2</v>
      </c>
      <c r="DX165" s="489">
        <v>4.9631000000000002E-2</v>
      </c>
      <c r="DY165" s="489">
        <v>4.9655999999999999E-2</v>
      </c>
      <c r="DZ165" s="489">
        <v>4.8965000000000002E-2</v>
      </c>
      <c r="EA165" s="489">
        <v>4.9127999999999998E-2</v>
      </c>
      <c r="EB165" s="489">
        <v>4.8973999999999997E-2</v>
      </c>
      <c r="EC165" s="489">
        <v>4.9038999999999999E-2</v>
      </c>
      <c r="ED165" s="489">
        <v>4.8849999999999998E-2</v>
      </c>
      <c r="EE165" s="489">
        <v>4.8724000000000003E-2</v>
      </c>
      <c r="EF165" s="489">
        <v>4.8751000000000003E-2</v>
      </c>
      <c r="EG165" s="489" t="s">
        <v>124</v>
      </c>
      <c r="EH165" s="489">
        <v>4.4359999999999997E-2</v>
      </c>
      <c r="EI165" s="489"/>
      <c r="EJ165" s="489"/>
      <c r="EK165" s="489"/>
      <c r="EL165" s="489"/>
      <c r="EM165" s="489"/>
      <c r="EN165" s="489"/>
      <c r="EO165" s="489"/>
      <c r="EP165" s="489"/>
      <c r="EQ165" s="489"/>
      <c r="ER165" s="489"/>
      <c r="ES165" s="489"/>
      <c r="ET165" s="489"/>
      <c r="EU165" s="489"/>
      <c r="EV165" s="489"/>
      <c r="EW165" s="489"/>
      <c r="EX165" s="489"/>
      <c r="EY165" s="489"/>
      <c r="EZ165" s="489"/>
      <c r="FA165" s="489"/>
      <c r="FB165" s="489"/>
      <c r="FC165" s="489"/>
      <c r="FD165" s="489"/>
      <c r="FE165" s="489"/>
      <c r="FF165" s="489"/>
      <c r="FG165" s="489"/>
      <c r="FH165" s="489"/>
      <c r="FI165" s="489"/>
      <c r="FJ165" s="489"/>
      <c r="FK165" s="489"/>
      <c r="FL165" s="489"/>
      <c r="FM165" s="489"/>
      <c r="FN165" s="489"/>
      <c r="FO165" s="489"/>
      <c r="FP165" s="489"/>
      <c r="FQ165" s="489"/>
      <c r="FR165" s="489"/>
      <c r="FS165" s="489"/>
      <c r="FT165" s="489"/>
      <c r="FU165" s="489"/>
      <c r="FV165" s="489"/>
      <c r="FW165" s="489"/>
      <c r="FX165" s="489">
        <v>4.4359999999999997E-2</v>
      </c>
      <c r="FY165" s="489">
        <v>4.4359999999999997E-2</v>
      </c>
      <c r="FZ165" s="489"/>
      <c r="GA165" s="489"/>
      <c r="GB165" s="489"/>
      <c r="GC165" s="489"/>
      <c r="GD165" s="489"/>
      <c r="GE165" s="489"/>
      <c r="GF165" s="489"/>
      <c r="GG165" s="489"/>
      <c r="GH165" s="489"/>
      <c r="GI165" s="489"/>
      <c r="GJ165" s="489"/>
      <c r="GK165" s="489"/>
      <c r="GL165" s="489"/>
      <c r="GM165" s="489"/>
      <c r="GN165" s="489"/>
      <c r="GO165" s="489"/>
      <c r="GP165" s="489"/>
      <c r="GQ165" s="489"/>
      <c r="GR165" s="489"/>
      <c r="GS165" s="489"/>
      <c r="GT165" s="489"/>
      <c r="GU165" s="489"/>
      <c r="GV165" s="489"/>
      <c r="GW165" s="489"/>
      <c r="GX165" s="489"/>
      <c r="GY165" s="489"/>
      <c r="GZ165" s="489"/>
      <c r="HA165" s="489"/>
      <c r="HB165" s="489"/>
      <c r="HC165" s="489"/>
      <c r="HD165" s="489"/>
      <c r="HE165" s="489"/>
      <c r="HF165" s="489"/>
      <c r="HG165" s="489"/>
      <c r="HH165" s="489"/>
      <c r="HI165" s="489"/>
      <c r="HJ165" s="489"/>
      <c r="HK165" s="489"/>
      <c r="HL165" s="489"/>
      <c r="HM165" s="489"/>
      <c r="HN165" s="489"/>
      <c r="HO165" s="489"/>
      <c r="HP165" s="473">
        <f t="shared" si="49"/>
        <v>0</v>
      </c>
      <c r="HQ165" s="511"/>
    </row>
    <row r="166" spans="2:225">
      <c r="B166" s="673" t="s">
        <v>44</v>
      </c>
      <c r="C166" s="735" t="s">
        <v>259</v>
      </c>
      <c r="D166" s="481">
        <v>3.2500000000000001E-2</v>
      </c>
      <c r="E166" s="481">
        <v>3.2500000000000001E-2</v>
      </c>
      <c r="F166" s="481">
        <v>3.2500000000000001E-2</v>
      </c>
      <c r="G166" s="481">
        <v>3.2500000000000001E-2</v>
      </c>
      <c r="H166" s="481">
        <v>3.2500000000000001E-2</v>
      </c>
      <c r="I166" s="481">
        <v>3.2500000000000001E-2</v>
      </c>
      <c r="J166" s="481">
        <v>3.2500000000000001E-2</v>
      </c>
      <c r="K166" s="481">
        <v>3.2500000000000001E-2</v>
      </c>
      <c r="L166" s="481">
        <v>3.2500000000000001E-2</v>
      </c>
      <c r="M166" s="481">
        <v>3.2500000000000001E-2</v>
      </c>
      <c r="N166" s="481">
        <v>3.2500000000000001E-2</v>
      </c>
      <c r="O166" s="481">
        <v>3.2500000000000001E-2</v>
      </c>
      <c r="P166" s="481">
        <v>3.2500000000000001E-2</v>
      </c>
      <c r="Q166" s="481">
        <v>3.2500000000000001E-2</v>
      </c>
      <c r="R166" s="481">
        <v>3.2500000000000001E-2</v>
      </c>
      <c r="S166" s="481">
        <v>3.2500000000000001E-2</v>
      </c>
      <c r="T166" s="481">
        <v>3.2500000000000001E-2</v>
      </c>
      <c r="U166" s="481">
        <v>3.2500000000000001E-2</v>
      </c>
      <c r="V166" s="481">
        <v>3.2500000000000001E-2</v>
      </c>
      <c r="W166" s="481">
        <v>3.2500000000000001E-2</v>
      </c>
      <c r="X166" s="481">
        <v>3.2500000000000001E-2</v>
      </c>
      <c r="Y166" s="481">
        <v>3.2500000000000001E-2</v>
      </c>
      <c r="Z166" s="481">
        <v>3.2500000000000001E-2</v>
      </c>
      <c r="AA166" s="481">
        <v>3.2500000000000001E-2</v>
      </c>
      <c r="AB166" s="481">
        <v>3.2500000000000001E-2</v>
      </c>
      <c r="AC166" s="481">
        <v>3.2500000000000001E-2</v>
      </c>
      <c r="AD166" s="481">
        <v>3.2500000000000001E-2</v>
      </c>
      <c r="AE166" s="481">
        <v>3.2500000000000001E-2</v>
      </c>
      <c r="AF166" s="481">
        <v>3.2500000000000001E-2</v>
      </c>
      <c r="AG166" s="481">
        <v>3.2500000000000001E-2</v>
      </c>
      <c r="AH166" s="481">
        <v>3.2500000000000001E-2</v>
      </c>
      <c r="AI166" s="481">
        <v>3.2500000000000001E-2</v>
      </c>
      <c r="AJ166" s="480">
        <v>3.2500000000000001E-2</v>
      </c>
      <c r="AK166" s="481">
        <v>3.7499999999999999E-2</v>
      </c>
      <c r="AL166" s="482">
        <v>3.7499999999999999E-2</v>
      </c>
      <c r="AM166" s="481">
        <v>3.7499999999999999E-2</v>
      </c>
      <c r="AN166" s="481">
        <v>3.7499999999999999E-2</v>
      </c>
      <c r="AO166" s="481">
        <v>3.7499999999999999E-2</v>
      </c>
      <c r="AP166" s="481">
        <v>3.7499999999999999E-2</v>
      </c>
      <c r="AQ166" s="481">
        <v>3.7499999999999999E-2</v>
      </c>
      <c r="AR166" s="481">
        <v>3.7499999999999999E-2</v>
      </c>
      <c r="AS166" s="481">
        <v>3.7499999999999999E-2</v>
      </c>
      <c r="AT166" s="481">
        <v>3.7499999999999999E-2</v>
      </c>
      <c r="AU166" s="481">
        <v>3.7499999999999999E-2</v>
      </c>
      <c r="AV166" s="482">
        <v>3.7499999999999999E-2</v>
      </c>
      <c r="AW166" s="482">
        <v>3.7499999999999999E-2</v>
      </c>
      <c r="AX166" s="482">
        <v>3.7499999999999999E-2</v>
      </c>
      <c r="AY166" s="482">
        <v>3.7499999999999999E-2</v>
      </c>
      <c r="AZ166" s="482">
        <v>3.7499999999999999E-2</v>
      </c>
      <c r="BA166" s="482">
        <v>3.7499999999999999E-2</v>
      </c>
      <c r="BB166" s="482">
        <v>3.7499999999999999E-2</v>
      </c>
      <c r="BC166" s="482">
        <v>3.7499999999999999E-2</v>
      </c>
      <c r="BD166" s="482">
        <v>3.7499999999999999E-2</v>
      </c>
      <c r="BE166" s="482">
        <v>3.7499999999999999E-2</v>
      </c>
      <c r="BF166" s="482">
        <v>3.7499999999999999E-2</v>
      </c>
      <c r="BG166" s="482">
        <v>3.7499999999999999E-2</v>
      </c>
      <c r="BH166" s="482">
        <v>3.7499999999999999E-2</v>
      </c>
      <c r="BI166" s="482">
        <v>3.7499999999999999E-2</v>
      </c>
      <c r="BJ166" s="482">
        <v>3.7499999999999999E-2</v>
      </c>
      <c r="BK166" s="482">
        <v>3.7499999999999999E-2</v>
      </c>
      <c r="BL166" s="482">
        <v>3.7499999999999999E-2</v>
      </c>
      <c r="BM166" s="482">
        <v>3.7499999999999999E-2</v>
      </c>
      <c r="BN166" s="482">
        <v>3.7499999999999999E-2</v>
      </c>
      <c r="BO166" s="482">
        <v>3.7499999999999999E-2</v>
      </c>
      <c r="BP166" s="482">
        <v>3.7499999999999999E-2</v>
      </c>
      <c r="BQ166" s="482">
        <v>3.7499999999999999E-2</v>
      </c>
      <c r="BR166" s="482">
        <v>3.7499999999999999E-2</v>
      </c>
      <c r="BS166" s="482">
        <v>3.7499999999999999E-2</v>
      </c>
      <c r="BT166" s="482">
        <v>3.7499999999999999E-2</v>
      </c>
      <c r="BU166" s="482">
        <v>3.7499999999999999E-2</v>
      </c>
      <c r="BV166" s="482">
        <v>3.7499999999999999E-2</v>
      </c>
      <c r="BW166" s="482">
        <v>3.7499999999999999E-2</v>
      </c>
      <c r="BX166" s="482">
        <v>4.2500000000000003E-2</v>
      </c>
      <c r="BY166" s="482">
        <v>4.2500000000000003E-2</v>
      </c>
      <c r="BZ166" s="482">
        <v>4.2500000000000003E-2</v>
      </c>
      <c r="CA166" s="482">
        <v>4.2500000000000003E-2</v>
      </c>
      <c r="CB166" s="482">
        <v>4.2500000000000003E-2</v>
      </c>
      <c r="CC166" s="482">
        <v>4.2500000000000003E-2</v>
      </c>
      <c r="CD166" s="482">
        <v>5.2499999999999998E-2</v>
      </c>
      <c r="CE166" s="482">
        <v>5.2499999999999998E-2</v>
      </c>
      <c r="CF166" s="482">
        <v>5.2499999999999998E-2</v>
      </c>
      <c r="CG166" s="482">
        <v>5.2499999999999998E-2</v>
      </c>
      <c r="CH166" s="482">
        <v>5.2499999999999998E-2</v>
      </c>
      <c r="CI166" s="482">
        <v>5.2499999999999998E-2</v>
      </c>
      <c r="CJ166" s="482">
        <v>5.2499999999999998E-2</v>
      </c>
      <c r="CK166" s="482">
        <v>5.2499999999999998E-2</v>
      </c>
      <c r="CL166" s="482">
        <v>5.2499999999999998E-2</v>
      </c>
      <c r="CM166" s="482">
        <v>5.2499999999999998E-2</v>
      </c>
      <c r="CN166" s="482">
        <v>5.2499999999999998E-2</v>
      </c>
      <c r="CO166" s="482">
        <v>5.2499999999999998E-2</v>
      </c>
      <c r="CP166" s="482">
        <v>5.2499999999999998E-2</v>
      </c>
      <c r="CQ166" s="482">
        <v>5.2499999999999998E-2</v>
      </c>
      <c r="CR166" s="482">
        <v>5.2499999999999998E-2</v>
      </c>
      <c r="CS166" s="482">
        <v>5.2499999999999998E-2</v>
      </c>
      <c r="CT166" s="482">
        <v>5.2499999999999998E-2</v>
      </c>
      <c r="CU166" s="482">
        <v>5.2499999999999998E-2</v>
      </c>
      <c r="CV166" s="482">
        <v>5.2499999999999998E-2</v>
      </c>
      <c r="CW166" s="482">
        <v>5.2499999999999998E-2</v>
      </c>
      <c r="CX166" s="482">
        <v>5.2499999999999998E-2</v>
      </c>
      <c r="CY166" s="482">
        <v>5.2499999999999998E-2</v>
      </c>
      <c r="CZ166" s="482">
        <v>4.7500000000000001E-2</v>
      </c>
      <c r="DA166" s="482">
        <v>4.7500000000000001E-2</v>
      </c>
      <c r="DB166" s="477">
        <v>5.2499999999999998E-2</v>
      </c>
      <c r="DC166" s="477">
        <v>5.2499999999999998E-2</v>
      </c>
      <c r="DD166" s="477">
        <v>5.2499999999999998E-2</v>
      </c>
      <c r="DE166" s="477">
        <v>5.2499999999999998E-2</v>
      </c>
      <c r="DF166" s="477">
        <v>5.2499999999999998E-2</v>
      </c>
      <c r="DG166" s="477">
        <v>5.2499999999999998E-2</v>
      </c>
      <c r="DH166" s="477">
        <v>4.7500000000000001E-2</v>
      </c>
      <c r="DI166" s="477">
        <v>0.05</v>
      </c>
      <c r="DJ166" s="477">
        <v>0.05</v>
      </c>
      <c r="DK166" s="477">
        <v>0.05</v>
      </c>
      <c r="DL166" s="477">
        <v>0.05</v>
      </c>
      <c r="DM166" s="477">
        <v>0.05</v>
      </c>
      <c r="DN166" s="477">
        <v>0.05</v>
      </c>
      <c r="DO166" s="477">
        <v>0.05</v>
      </c>
      <c r="DP166" s="477">
        <v>0.05</v>
      </c>
      <c r="DQ166" s="477">
        <v>0.05</v>
      </c>
      <c r="DR166" s="477">
        <v>0.05</v>
      </c>
      <c r="DS166" s="477">
        <v>0.05</v>
      </c>
      <c r="DT166" s="477">
        <v>0.05</v>
      </c>
      <c r="DU166" s="477">
        <v>0.05</v>
      </c>
      <c r="DV166" s="477">
        <v>0.05</v>
      </c>
      <c r="DW166" s="477">
        <v>0.05</v>
      </c>
      <c r="DX166" s="477">
        <v>0.05</v>
      </c>
      <c r="DY166" s="477">
        <v>0.05</v>
      </c>
      <c r="DZ166" s="477">
        <v>0.05</v>
      </c>
      <c r="EA166" s="477">
        <v>0.05</v>
      </c>
      <c r="EB166" s="477">
        <v>0.05</v>
      </c>
      <c r="EC166" s="477">
        <v>0.05</v>
      </c>
      <c r="ED166" s="477">
        <v>0.05</v>
      </c>
      <c r="EE166" s="477">
        <v>0.05</v>
      </c>
      <c r="EF166" s="477">
        <v>0.05</v>
      </c>
      <c r="EG166" s="477">
        <v>0.05</v>
      </c>
      <c r="EH166" s="477">
        <v>0.05</v>
      </c>
      <c r="EI166" s="477">
        <v>3.7499999999999999E-2</v>
      </c>
      <c r="EJ166" s="477">
        <v>0.03</v>
      </c>
      <c r="EK166" s="477">
        <v>0.03</v>
      </c>
      <c r="EL166" s="477">
        <v>0.03</v>
      </c>
      <c r="EM166" s="477">
        <v>0.03</v>
      </c>
      <c r="EN166" s="477">
        <v>4.2500000000000003E-2</v>
      </c>
      <c r="EO166" s="477">
        <v>4.2500000000000003E-2</v>
      </c>
      <c r="EP166" s="477">
        <v>4.2500000000000003E-2</v>
      </c>
      <c r="EQ166" s="477">
        <v>4.2500000000000003E-2</v>
      </c>
      <c r="ER166" s="477">
        <v>4.2500000000000003E-2</v>
      </c>
      <c r="ES166" s="477">
        <v>4.2500000000000003E-2</v>
      </c>
      <c r="ET166" s="477">
        <v>4.2500000000000003E-2</v>
      </c>
      <c r="EU166" s="477">
        <v>4.2500000000000003E-2</v>
      </c>
      <c r="EV166" s="477">
        <v>4.2500000000000003E-2</v>
      </c>
      <c r="EW166" s="477">
        <v>4.2500000000000003E-2</v>
      </c>
      <c r="EX166" s="477">
        <v>4.2500000000000003E-2</v>
      </c>
      <c r="EY166" s="477">
        <v>4.2500000000000003E-2</v>
      </c>
      <c r="EZ166" s="477">
        <v>4.2500000000000003E-2</v>
      </c>
      <c r="FA166" s="477">
        <v>4.2500000000000003E-2</v>
      </c>
      <c r="FB166" s="477">
        <v>4.2500000000000003E-2</v>
      </c>
      <c r="FC166" s="477">
        <v>4.2500000000000003E-2</v>
      </c>
      <c r="FD166" s="477">
        <v>4.4999999999999998E-2</v>
      </c>
      <c r="FE166" s="477">
        <v>4.4999999999999998E-2</v>
      </c>
      <c r="FF166" s="477">
        <v>4.4999999999999998E-2</v>
      </c>
      <c r="FG166" s="477">
        <v>4.4999999999999998E-2</v>
      </c>
      <c r="FH166" s="477">
        <v>4.4999999999999998E-2</v>
      </c>
      <c r="FI166" s="477">
        <v>4.4999999999999998E-2</v>
      </c>
      <c r="FJ166" s="477">
        <v>4.4999999999999998E-2</v>
      </c>
      <c r="FK166" s="477">
        <v>4.2500000000000003E-2</v>
      </c>
      <c r="FL166" s="477">
        <v>4.2500000000000003E-2</v>
      </c>
      <c r="FM166" s="477">
        <v>4.2500000000000003E-2</v>
      </c>
      <c r="FN166" s="477">
        <v>4.2500000000000003E-2</v>
      </c>
      <c r="FO166" s="477">
        <v>4.2500000000000003E-2</v>
      </c>
      <c r="FP166" s="477">
        <v>4.2500000000000003E-2</v>
      </c>
      <c r="FQ166" s="477">
        <v>3.7499999999999999E-2</v>
      </c>
      <c r="FR166" s="477">
        <v>3.7499999999999999E-2</v>
      </c>
      <c r="FS166" s="477">
        <v>3.7499999999999999E-2</v>
      </c>
      <c r="FT166" s="477">
        <v>3.7499999999999999E-2</v>
      </c>
      <c r="FU166" s="477">
        <v>3.7499999999999999E-2</v>
      </c>
      <c r="FV166" s="477">
        <v>4.2500000000000003E-2</v>
      </c>
      <c r="FW166" s="477">
        <v>4.2500000000000003E-2</v>
      </c>
      <c r="FX166" s="477">
        <v>4.2500000000000003E-2</v>
      </c>
      <c r="FY166" s="477">
        <v>4.2500000000000003E-2</v>
      </c>
      <c r="FZ166" s="477">
        <v>4.2500000000000003E-2</v>
      </c>
      <c r="GA166" s="477">
        <v>4.2500000000000003E-2</v>
      </c>
      <c r="GB166" s="477">
        <v>4.2500000000000003E-2</v>
      </c>
      <c r="GC166" s="477">
        <v>4.2500000000000003E-2</v>
      </c>
      <c r="GD166" s="482">
        <v>2.5000000000000001E-2</v>
      </c>
      <c r="GE166" s="482">
        <v>2.5000000000000001E-2</v>
      </c>
      <c r="GF166" s="482">
        <v>2.5000000000000001E-2</v>
      </c>
      <c r="GG166" s="482">
        <v>2.5000000000000001E-2</v>
      </c>
      <c r="GH166" s="482">
        <v>2.5000000000000001E-2</v>
      </c>
      <c r="GI166" s="482">
        <v>2.5000000000000001E-2</v>
      </c>
      <c r="GJ166" s="482">
        <v>2.5000000000000001E-2</v>
      </c>
      <c r="GK166" s="482">
        <v>2.5000000000000001E-2</v>
      </c>
      <c r="GL166" s="482">
        <v>2.5000000000000001E-2</v>
      </c>
      <c r="GM166" s="482">
        <v>2.5000000000000001E-2</v>
      </c>
      <c r="GN166" s="482">
        <v>2.5000000000000001E-2</v>
      </c>
      <c r="GO166" s="482">
        <v>2.5000000000000001E-2</v>
      </c>
      <c r="GP166" s="482">
        <v>2.5000000000000001E-2</v>
      </c>
      <c r="GQ166" s="482">
        <v>2.5000000000000001E-2</v>
      </c>
      <c r="GR166" s="482">
        <v>2.5000000000000001E-2</v>
      </c>
      <c r="GS166" s="482">
        <v>2.5000000000000001E-2</v>
      </c>
      <c r="GT166" s="482">
        <v>2.5000000000000001E-2</v>
      </c>
      <c r="GU166" s="482">
        <v>2.5000000000000001E-2</v>
      </c>
      <c r="GV166" s="482">
        <v>2.5000000000000001E-2</v>
      </c>
      <c r="GW166" s="482">
        <v>2.5000000000000001E-2</v>
      </c>
      <c r="GX166" s="482">
        <v>2.5000000000000001E-2</v>
      </c>
      <c r="GY166" s="482">
        <v>2.5000000000000001E-2</v>
      </c>
      <c r="GZ166" s="482">
        <v>2.5000000000000001E-2</v>
      </c>
      <c r="HA166" s="482">
        <v>2.5000000000000001E-2</v>
      </c>
      <c r="HB166" s="482">
        <v>2.5000000000000001E-2</v>
      </c>
      <c r="HC166" s="482">
        <v>2.5000000000000001E-2</v>
      </c>
      <c r="HD166" s="482">
        <v>2.5000000000000001E-2</v>
      </c>
      <c r="HE166" s="482">
        <v>2.5000000000000001E-2</v>
      </c>
      <c r="HF166" s="482">
        <v>2.5000000000000001E-2</v>
      </c>
      <c r="HG166" s="482">
        <v>2.5000000000000001E-2</v>
      </c>
      <c r="HH166" s="482">
        <v>2.5000000000000001E-2</v>
      </c>
      <c r="HI166" s="482">
        <v>2.5000000000000001E-2</v>
      </c>
      <c r="HJ166" s="482">
        <v>2.5000000000000001E-2</v>
      </c>
      <c r="HK166" s="482">
        <v>2.5000000000000001E-2</v>
      </c>
      <c r="HL166" s="482">
        <v>2.5000000000000001E-2</v>
      </c>
      <c r="HM166" s="482">
        <v>2.5000000000000001E-2</v>
      </c>
      <c r="HN166" s="482">
        <v>2.5000000000000001E-2</v>
      </c>
      <c r="HO166" s="482">
        <v>2.5000000000000001E-2</v>
      </c>
      <c r="HP166" s="473">
        <f t="shared" si="49"/>
        <v>0</v>
      </c>
      <c r="HQ166" s="530"/>
    </row>
    <row r="167" spans="2:225">
      <c r="B167" s="534"/>
      <c r="C167" s="534"/>
      <c r="D167" s="534"/>
      <c r="E167" s="534"/>
      <c r="F167" s="534"/>
      <c r="G167" s="534"/>
      <c r="H167" s="534"/>
      <c r="I167" s="534"/>
      <c r="J167" s="534"/>
      <c r="K167" s="534"/>
      <c r="L167" s="534"/>
      <c r="M167" s="534"/>
      <c r="N167" s="534"/>
      <c r="O167" s="534"/>
      <c r="P167" s="534"/>
      <c r="Q167" s="534"/>
      <c r="R167" s="534"/>
      <c r="S167" s="534"/>
      <c r="T167" s="462"/>
      <c r="U167" s="462"/>
      <c r="V167" s="462"/>
      <c r="W167" s="534"/>
      <c r="X167" s="534"/>
      <c r="Y167" s="534"/>
      <c r="Z167" s="534"/>
      <c r="AA167" s="534"/>
      <c r="AB167" s="534"/>
      <c r="AC167" s="534"/>
      <c r="AD167" s="534"/>
      <c r="AE167" s="534"/>
      <c r="AF167" s="534"/>
      <c r="AG167" s="534"/>
      <c r="AH167" s="534"/>
      <c r="AI167" s="534"/>
      <c r="AJ167" s="534"/>
      <c r="AK167" s="534"/>
      <c r="AL167" s="462"/>
      <c r="AM167" s="534"/>
      <c r="AN167" s="534"/>
      <c r="AO167" s="534"/>
      <c r="AP167" s="534"/>
      <c r="AQ167" s="534"/>
      <c r="AR167" s="534"/>
      <c r="AS167" s="534"/>
      <c r="AT167" s="534"/>
      <c r="AU167" s="534"/>
      <c r="AV167" s="462"/>
      <c r="AW167" s="462"/>
      <c r="AX167" s="462"/>
      <c r="AY167" s="462"/>
      <c r="AZ167" s="462"/>
      <c r="BA167" s="462"/>
      <c r="BB167" s="462"/>
      <c r="BC167" s="462"/>
      <c r="BD167" s="462"/>
      <c r="BE167" s="462"/>
      <c r="BF167" s="462"/>
      <c r="BG167" s="462"/>
      <c r="BH167" s="462"/>
      <c r="BI167" s="462"/>
      <c r="BJ167" s="462"/>
      <c r="BK167" s="462"/>
      <c r="BL167" s="462"/>
      <c r="BM167" s="462"/>
      <c r="BN167" s="462"/>
      <c r="BO167" s="462"/>
      <c r="BP167" s="462"/>
      <c r="BQ167" s="462"/>
      <c r="BR167" s="462"/>
      <c r="BS167" s="462"/>
      <c r="BT167" s="462"/>
      <c r="BU167" s="462"/>
      <c r="BV167" s="462"/>
      <c r="BW167" s="462"/>
      <c r="BX167" s="462"/>
      <c r="BY167" s="462"/>
      <c r="BZ167" s="462"/>
      <c r="CA167" s="462"/>
      <c r="CB167" s="462"/>
      <c r="CC167" s="462"/>
      <c r="CD167" s="462"/>
      <c r="CE167" s="462"/>
      <c r="CF167" s="462"/>
      <c r="CG167" s="462"/>
      <c r="CH167" s="462"/>
      <c r="CI167" s="462"/>
      <c r="CJ167" s="462"/>
      <c r="CK167" s="462"/>
      <c r="CL167" s="462"/>
      <c r="CM167" s="462"/>
      <c r="CN167" s="462"/>
      <c r="CO167" s="462"/>
      <c r="CP167" s="462"/>
      <c r="CQ167" s="462"/>
      <c r="CR167" s="462"/>
      <c r="CS167" s="462"/>
      <c r="CT167" s="462"/>
      <c r="CU167" s="462"/>
      <c r="CV167" s="462"/>
      <c r="CW167" s="462"/>
      <c r="CX167" s="462"/>
      <c r="CY167" s="462"/>
      <c r="CZ167" s="462"/>
      <c r="DA167" s="462"/>
      <c r="DB167" s="462"/>
      <c r="DC167" s="462"/>
      <c r="DD167" s="462"/>
      <c r="DE167" s="462"/>
      <c r="DF167" s="462"/>
      <c r="DG167" s="462"/>
      <c r="DH167" s="462"/>
      <c r="DI167" s="462"/>
      <c r="DJ167" s="462"/>
      <c r="DK167" s="462"/>
      <c r="DL167" s="462"/>
      <c r="DM167" s="462"/>
      <c r="DN167" s="462"/>
      <c r="DO167" s="462"/>
      <c r="DP167" s="462"/>
      <c r="DQ167" s="462"/>
      <c r="DR167" s="462"/>
      <c r="DS167" s="462"/>
      <c r="DT167" s="462"/>
      <c r="DU167" s="462"/>
      <c r="DV167" s="462"/>
      <c r="DW167" s="462"/>
      <c r="DX167" s="462"/>
      <c r="DY167" s="462"/>
      <c r="DZ167" s="462"/>
      <c r="EA167" s="462"/>
      <c r="EB167" s="462"/>
      <c r="EC167" s="462"/>
      <c r="ED167" s="462"/>
      <c r="EE167" s="462"/>
      <c r="EF167" s="462"/>
      <c r="EG167" s="462"/>
      <c r="EH167" s="462"/>
      <c r="EI167" s="462"/>
      <c r="EJ167" s="462"/>
      <c r="EK167" s="462"/>
      <c r="EL167" s="462"/>
      <c r="EM167" s="462"/>
      <c r="EN167" s="462"/>
      <c r="EO167" s="462"/>
      <c r="EP167" s="462"/>
      <c r="EQ167" s="462"/>
      <c r="ER167" s="462"/>
      <c r="ES167" s="462"/>
      <c r="ET167" s="462"/>
      <c r="EU167" s="462"/>
      <c r="EV167" s="462"/>
      <c r="EW167" s="462"/>
      <c r="EX167" s="462"/>
      <c r="EY167" s="462"/>
      <c r="EZ167" s="462"/>
      <c r="FA167" s="462"/>
      <c r="FB167" s="462"/>
      <c r="FC167" s="462"/>
      <c r="FD167" s="462"/>
      <c r="FE167" s="462"/>
      <c r="FF167" s="462"/>
      <c r="FG167" s="462"/>
      <c r="FH167" s="462"/>
      <c r="FI167" s="462"/>
      <c r="FJ167" s="462"/>
      <c r="FK167" s="462"/>
      <c r="FL167" s="462"/>
      <c r="FM167" s="462"/>
      <c r="FN167" s="462"/>
      <c r="FO167" s="462"/>
      <c r="FP167" s="462"/>
      <c r="FQ167" s="462"/>
      <c r="FR167" s="462"/>
      <c r="FS167" s="462"/>
      <c r="FT167" s="462"/>
      <c r="FU167" s="462"/>
      <c r="FV167" s="462"/>
      <c r="FW167" s="462"/>
      <c r="FX167" s="462"/>
      <c r="FY167" s="462"/>
      <c r="FZ167" s="462"/>
      <c r="GA167" s="462"/>
      <c r="GB167" s="462"/>
      <c r="GC167" s="462"/>
      <c r="GD167" s="462"/>
      <c r="GE167" s="462"/>
      <c r="GF167" s="462"/>
      <c r="GG167" s="462"/>
      <c r="GH167" s="462"/>
      <c r="GI167" s="462"/>
      <c r="GJ167" s="462"/>
      <c r="GK167" s="462"/>
      <c r="GL167" s="462"/>
      <c r="GM167" s="462"/>
      <c r="GN167" s="462"/>
      <c r="GO167" s="462"/>
      <c r="GP167" s="462"/>
      <c r="GQ167" s="462"/>
      <c r="GR167" s="462"/>
      <c r="GS167" s="462"/>
      <c r="GT167" s="462"/>
      <c r="GU167" s="462"/>
      <c r="GV167" s="462"/>
      <c r="GW167" s="462"/>
      <c r="GX167" s="462"/>
      <c r="GY167" s="462"/>
      <c r="GZ167" s="462"/>
      <c r="HA167" s="462"/>
      <c r="HB167" s="462"/>
      <c r="HC167" s="462"/>
      <c r="HD167" s="462"/>
      <c r="HE167" s="462"/>
      <c r="HF167" s="462"/>
      <c r="HG167" s="462"/>
      <c r="HH167" s="462"/>
      <c r="HI167" s="462"/>
      <c r="HJ167" s="462"/>
      <c r="HK167" s="462"/>
      <c r="HL167" s="462"/>
      <c r="HM167" s="462"/>
      <c r="HN167" s="462"/>
      <c r="HO167" s="462"/>
      <c r="HP167" s="462"/>
    </row>
    <row r="168" spans="2:225">
      <c r="C168" s="622"/>
      <c r="D168" s="622"/>
      <c r="E168" s="622"/>
      <c r="F168" s="622"/>
      <c r="G168" s="622"/>
      <c r="H168" s="622"/>
      <c r="I168" s="622"/>
      <c r="J168" s="622"/>
      <c r="K168" s="622"/>
      <c r="L168" s="622"/>
      <c r="M168" s="622"/>
      <c r="N168" s="622"/>
      <c r="O168" s="622"/>
      <c r="P168" s="622"/>
      <c r="Q168" s="622"/>
      <c r="R168" s="622"/>
      <c r="S168" s="622"/>
      <c r="T168" s="517"/>
      <c r="U168" s="517"/>
      <c r="V168" s="517"/>
      <c r="W168" s="518"/>
      <c r="X168" s="518"/>
      <c r="Y168" s="518"/>
      <c r="Z168" s="518"/>
      <c r="AA168" s="518"/>
      <c r="AB168" s="518"/>
      <c r="AC168" s="518"/>
      <c r="AD168" s="518"/>
      <c r="AE168" s="518"/>
      <c r="AF168" s="518"/>
      <c r="AG168" s="518"/>
      <c r="AH168" s="518"/>
      <c r="AI168" s="518"/>
      <c r="AJ168" s="518"/>
      <c r="AK168" s="518"/>
      <c r="AL168" s="519"/>
      <c r="AM168" s="518"/>
      <c r="AN168" s="518"/>
      <c r="AO168" s="518"/>
      <c r="AP168" s="518"/>
      <c r="AQ168" s="518"/>
      <c r="AR168" s="518"/>
      <c r="AS168" s="518"/>
      <c r="AT168" s="518"/>
      <c r="AU168" s="518"/>
      <c r="AV168" s="519"/>
      <c r="AW168" s="519"/>
      <c r="AX168" s="519"/>
      <c r="AY168" s="519"/>
      <c r="AZ168" s="519"/>
      <c r="BA168" s="519"/>
      <c r="BB168" s="519"/>
      <c r="BC168" s="519"/>
      <c r="BD168" s="519"/>
      <c r="BE168" s="519"/>
      <c r="BF168" s="519"/>
      <c r="BG168" s="519"/>
      <c r="BH168" s="519"/>
      <c r="BI168" s="519"/>
      <c r="BJ168" s="519"/>
      <c r="BK168" s="519"/>
      <c r="BL168" s="519"/>
      <c r="BM168" s="519"/>
      <c r="BN168" s="519"/>
      <c r="BO168" s="519"/>
      <c r="BP168" s="519"/>
      <c r="BQ168" s="519"/>
      <c r="BR168" s="519"/>
      <c r="BS168" s="519"/>
      <c r="BT168" s="519"/>
      <c r="BU168" s="519"/>
      <c r="BV168" s="519"/>
      <c r="BW168" s="519"/>
      <c r="BX168" s="519"/>
      <c r="BY168" s="519"/>
      <c r="BZ168" s="519"/>
      <c r="CA168" s="519"/>
      <c r="CB168" s="519"/>
      <c r="CC168" s="519"/>
      <c r="CD168" s="519"/>
      <c r="CE168" s="519"/>
      <c r="CF168" s="519"/>
      <c r="CG168" s="519"/>
      <c r="CH168" s="519"/>
      <c r="CI168" s="519"/>
      <c r="CJ168" s="519"/>
      <c r="CK168" s="519"/>
      <c r="CL168" s="519"/>
      <c r="CM168" s="519"/>
      <c r="CN168" s="519"/>
      <c r="CO168" s="519"/>
      <c r="CP168" s="519"/>
      <c r="CQ168" s="519"/>
      <c r="CR168" s="519"/>
      <c r="CS168" s="519"/>
      <c r="CT168" s="519"/>
      <c r="CU168" s="519"/>
      <c r="CV168" s="519"/>
      <c r="CW168" s="519"/>
      <c r="CX168" s="519"/>
      <c r="CY168" s="519"/>
      <c r="CZ168" s="519"/>
      <c r="DA168" s="519"/>
      <c r="DB168" s="519"/>
      <c r="DC168" s="519"/>
      <c r="DD168" s="519"/>
      <c r="DE168" s="519"/>
      <c r="DF168" s="519"/>
      <c r="DG168" s="519"/>
      <c r="DH168" s="519"/>
      <c r="DI168" s="519"/>
      <c r="DJ168" s="519"/>
      <c r="DK168" s="519"/>
      <c r="DL168" s="519"/>
      <c r="DM168" s="519"/>
      <c r="DN168" s="519"/>
      <c r="DO168" s="519"/>
      <c r="DP168" s="519"/>
      <c r="DQ168" s="519"/>
      <c r="DR168" s="519"/>
      <c r="DS168" s="519"/>
      <c r="DT168" s="519"/>
      <c r="DU168" s="519"/>
      <c r="DV168" s="519"/>
      <c r="DW168" s="519"/>
      <c r="DX168" s="519"/>
      <c r="DY168" s="519"/>
      <c r="DZ168" s="519"/>
      <c r="EA168" s="519"/>
      <c r="EB168" s="519"/>
      <c r="EC168" s="519"/>
      <c r="ED168" s="519"/>
      <c r="EE168" s="519"/>
      <c r="EF168" s="519"/>
      <c r="EG168" s="519"/>
      <c r="EH168" s="519"/>
      <c r="EI168" s="519"/>
      <c r="EJ168" s="519"/>
      <c r="EK168" s="519"/>
      <c r="EL168" s="519"/>
      <c r="EM168" s="519"/>
      <c r="EN168" s="519"/>
      <c r="EO168" s="519"/>
      <c r="EP168" s="519"/>
      <c r="EQ168" s="519"/>
      <c r="ER168" s="519"/>
      <c r="ES168" s="519"/>
      <c r="ET168" s="519"/>
      <c r="EU168" s="519"/>
      <c r="EV168" s="519"/>
      <c r="EW168" s="519"/>
      <c r="EX168" s="519"/>
      <c r="EY168" s="519"/>
      <c r="EZ168" s="519"/>
      <c r="FA168" s="519"/>
      <c r="FB168" s="519"/>
      <c r="FC168" s="519"/>
      <c r="FD168" s="519"/>
      <c r="FE168" s="519"/>
      <c r="FF168" s="519"/>
      <c r="FG168" s="519"/>
      <c r="FH168" s="519"/>
      <c r="FI168" s="519"/>
      <c r="FJ168" s="519"/>
      <c r="FK168" s="519"/>
      <c r="FL168" s="519"/>
      <c r="FM168" s="519"/>
      <c r="FN168" s="519"/>
      <c r="FO168" s="519"/>
      <c r="FP168" s="519"/>
      <c r="FQ168" s="519"/>
      <c r="FR168" s="519"/>
      <c r="FS168" s="519"/>
      <c r="FT168" s="519"/>
      <c r="FU168" s="519"/>
      <c r="FV168" s="519"/>
      <c r="FW168" s="519"/>
      <c r="FX168" s="519"/>
      <c r="FY168" s="519"/>
      <c r="FZ168" s="519"/>
      <c r="GA168" s="519"/>
      <c r="GB168" s="519"/>
      <c r="GC168" s="519"/>
      <c r="GD168" s="519"/>
      <c r="GE168" s="519"/>
      <c r="GF168" s="519"/>
      <c r="GG168" s="519"/>
      <c r="GH168" s="519"/>
      <c r="GI168" s="519"/>
      <c r="GJ168" s="519"/>
      <c r="GK168" s="519"/>
      <c r="GL168" s="519"/>
      <c r="GM168" s="519"/>
      <c r="GN168" s="519"/>
      <c r="GO168" s="519"/>
      <c r="GP168" s="519"/>
      <c r="GQ168" s="519"/>
      <c r="GR168" s="519"/>
      <c r="GS168" s="519"/>
      <c r="GT168" s="519"/>
      <c r="GU168" s="519"/>
      <c r="GV168" s="519"/>
      <c r="GW168" s="519"/>
      <c r="GX168" s="519"/>
      <c r="GY168" s="519"/>
      <c r="GZ168" s="519"/>
      <c r="HA168" s="519"/>
      <c r="HB168" s="519"/>
      <c r="HC168" s="519"/>
      <c r="HD168" s="519"/>
      <c r="HE168" s="519"/>
      <c r="HF168" s="519"/>
      <c r="HG168" s="519"/>
      <c r="HH168" s="519"/>
      <c r="HI168" s="519"/>
      <c r="HJ168" s="519"/>
      <c r="HK168" s="519"/>
      <c r="HL168" s="519"/>
      <c r="HM168" s="519"/>
      <c r="HN168" s="519"/>
      <c r="HO168" s="519"/>
      <c r="HP168" s="520"/>
    </row>
    <row r="169" spans="2:225">
      <c r="B169" s="1131" t="s">
        <v>209</v>
      </c>
      <c r="C169" s="1131"/>
      <c r="D169" s="1131"/>
      <c r="E169" s="1131"/>
      <c r="F169" s="1131"/>
      <c r="G169" s="1131"/>
      <c r="H169" s="1131"/>
      <c r="I169" s="1131"/>
      <c r="J169" s="1131"/>
      <c r="K169" s="1131"/>
      <c r="L169" s="1131"/>
      <c r="M169" s="1131"/>
      <c r="N169" s="1131"/>
      <c r="O169" s="1131"/>
      <c r="P169" s="1131"/>
      <c r="Q169" s="1131"/>
      <c r="R169" s="1131"/>
      <c r="S169" s="1131"/>
      <c r="T169" s="1131"/>
      <c r="U169" s="1131"/>
      <c r="V169" s="1131"/>
      <c r="W169" s="1131"/>
      <c r="X169" s="1131"/>
      <c r="Y169" s="1131"/>
      <c r="Z169" s="1131"/>
      <c r="AA169" s="1131"/>
      <c r="AB169" s="1131"/>
      <c r="AC169" s="1131"/>
      <c r="AD169" s="1131"/>
      <c r="AE169" s="1131"/>
      <c r="AF169" s="1131"/>
      <c r="AG169" s="1131"/>
      <c r="AH169" s="1131"/>
      <c r="AI169" s="1131"/>
      <c r="AJ169" s="1131"/>
      <c r="AK169" s="1131"/>
      <c r="AL169" s="1131"/>
      <c r="AM169" s="1131"/>
      <c r="AN169" s="1131"/>
      <c r="AO169" s="1131"/>
      <c r="AP169" s="1131"/>
      <c r="AQ169" s="1131"/>
      <c r="AR169" s="1131"/>
      <c r="AS169" s="1131"/>
      <c r="AT169" s="1131"/>
      <c r="AU169" s="1131"/>
      <c r="AV169" s="1131"/>
      <c r="AW169" s="1131"/>
      <c r="AX169" s="1131"/>
      <c r="AY169" s="1131"/>
      <c r="AZ169" s="1131"/>
      <c r="BA169" s="1131"/>
      <c r="BB169" s="1131"/>
      <c r="BC169" s="1131"/>
      <c r="BD169" s="1131"/>
      <c r="BE169" s="1131"/>
      <c r="BF169" s="1131"/>
      <c r="BG169" s="1131"/>
      <c r="BH169" s="1131"/>
      <c r="BI169" s="1131"/>
      <c r="BJ169" s="1131"/>
      <c r="BK169" s="1131"/>
      <c r="BL169" s="1131"/>
      <c r="BM169" s="1131"/>
      <c r="BN169" s="1131"/>
      <c r="BO169" s="1131"/>
      <c r="BP169" s="1131"/>
      <c r="BQ169" s="1131"/>
      <c r="BR169" s="1131"/>
      <c r="BS169" s="1131"/>
      <c r="BT169" s="1131"/>
      <c r="BU169" s="1131"/>
      <c r="BV169" s="1131"/>
      <c r="BW169" s="1131"/>
      <c r="BX169" s="1131"/>
      <c r="BY169" s="1131"/>
      <c r="BZ169" s="1131"/>
      <c r="CA169" s="1131"/>
      <c r="CB169" s="1131"/>
      <c r="CC169" s="1131"/>
      <c r="CD169" s="1131"/>
      <c r="CE169" s="1131"/>
      <c r="CF169" s="1131"/>
      <c r="CG169" s="1131"/>
      <c r="CH169" s="1131"/>
      <c r="CI169" s="1131"/>
      <c r="CJ169" s="1131"/>
      <c r="CK169" s="1131"/>
      <c r="CL169" s="1131"/>
      <c r="CM169" s="1131"/>
      <c r="CN169" s="1131"/>
      <c r="CO169" s="1131"/>
      <c r="CP169" s="1131"/>
      <c r="CQ169" s="1131"/>
      <c r="CR169" s="1131"/>
      <c r="CS169" s="1131"/>
      <c r="CT169" s="1131"/>
      <c r="CU169" s="1131"/>
      <c r="CV169" s="1131"/>
      <c r="CW169" s="1131"/>
      <c r="CX169" s="1131"/>
      <c r="CY169" s="1131"/>
      <c r="CZ169" s="1131"/>
      <c r="DA169" s="1131"/>
      <c r="DB169" s="1131"/>
      <c r="DC169" s="1131"/>
      <c r="DD169" s="1131"/>
      <c r="DE169" s="1131"/>
      <c r="DF169" s="1131"/>
      <c r="DG169" s="1131"/>
      <c r="DH169" s="1131"/>
      <c r="DI169" s="1131"/>
      <c r="DJ169" s="1131"/>
      <c r="DK169" s="1131"/>
      <c r="DL169" s="1131"/>
      <c r="DM169" s="1131"/>
      <c r="DN169" s="1131"/>
      <c r="DO169" s="1131"/>
      <c r="DP169" s="1131"/>
      <c r="DQ169" s="1131"/>
      <c r="DR169" s="1131"/>
      <c r="DS169" s="1131"/>
      <c r="DT169" s="1131"/>
      <c r="DU169" s="1131"/>
      <c r="DV169" s="1131"/>
      <c r="DW169" s="1131"/>
      <c r="DX169" s="1131"/>
      <c r="DY169" s="1131"/>
      <c r="DZ169" s="1131"/>
      <c r="EA169" s="1131"/>
      <c r="EB169" s="1131"/>
      <c r="EC169" s="1131"/>
      <c r="ED169" s="1131"/>
      <c r="EE169" s="1131"/>
      <c r="EF169" s="1131"/>
      <c r="EG169" s="1131"/>
      <c r="EH169" s="1131"/>
      <c r="EI169" s="1131"/>
      <c r="EJ169" s="1131"/>
      <c r="EK169" s="1131"/>
      <c r="EL169" s="1131"/>
      <c r="EM169" s="1131"/>
      <c r="EN169" s="1131"/>
      <c r="EO169" s="1131"/>
      <c r="EP169" s="1131"/>
      <c r="EQ169" s="1131"/>
      <c r="ER169" s="1131"/>
      <c r="ES169" s="1131"/>
      <c r="ET169" s="1131"/>
      <c r="EU169" s="1131"/>
      <c r="EV169" s="1131"/>
      <c r="EW169" s="1131"/>
      <c r="EX169" s="1131"/>
      <c r="EY169" s="1131"/>
      <c r="EZ169" s="1131"/>
      <c r="FA169" s="1131"/>
      <c r="FB169" s="1131"/>
      <c r="FC169" s="1131"/>
      <c r="FD169" s="1131"/>
      <c r="FE169" s="1131"/>
      <c r="FF169" s="1131"/>
      <c r="FG169" s="1131"/>
      <c r="FH169" s="1131"/>
      <c r="FI169" s="1131"/>
      <c r="FJ169" s="1131"/>
      <c r="FK169" s="1131"/>
      <c r="FL169" s="1131"/>
      <c r="FM169" s="1131"/>
      <c r="FN169" s="1131"/>
      <c r="FO169" s="1131"/>
      <c r="FP169" s="1131"/>
      <c r="FQ169" s="1131"/>
      <c r="FR169" s="1131"/>
      <c r="FS169" s="1131"/>
      <c r="FT169" s="1131"/>
      <c r="FU169" s="1131"/>
      <c r="FV169" s="1131"/>
      <c r="FW169" s="1131"/>
      <c r="FX169" s="1131"/>
      <c r="FY169" s="1131"/>
      <c r="FZ169" s="1131"/>
      <c r="GA169" s="1131"/>
      <c r="GB169" s="1131"/>
      <c r="GC169" s="1131"/>
      <c r="GD169" s="1131"/>
      <c r="GE169" s="1131"/>
      <c r="GF169" s="1131"/>
      <c r="GG169" s="1131"/>
      <c r="GH169" s="1131"/>
      <c r="GI169" s="1131"/>
      <c r="GJ169" s="1131"/>
      <c r="GK169" s="1131"/>
      <c r="GL169" s="1131"/>
      <c r="GM169" s="1131"/>
      <c r="GN169" s="1131"/>
      <c r="GO169" s="1131"/>
      <c r="GP169" s="1131"/>
      <c r="GQ169" s="1131"/>
      <c r="GR169" s="1131"/>
      <c r="GS169" s="1131"/>
      <c r="GT169" s="1131"/>
      <c r="GU169" s="1131"/>
      <c r="GV169" s="1131" t="s">
        <v>225</v>
      </c>
      <c r="GW169" s="1131"/>
      <c r="GX169" s="1131"/>
      <c r="GY169" s="1131"/>
      <c r="GZ169" s="1131"/>
      <c r="HA169" s="1131"/>
      <c r="HB169" s="1131"/>
      <c r="HC169" s="1131"/>
      <c r="HD169" s="1131"/>
      <c r="HE169" s="1131"/>
      <c r="HF169" s="1131"/>
      <c r="HG169" s="1131"/>
      <c r="HH169" s="1131"/>
      <c r="HI169" s="1131"/>
      <c r="HJ169" s="1131"/>
      <c r="HK169" s="1131"/>
      <c r="HL169" s="1131"/>
      <c r="HM169" s="1131"/>
      <c r="HN169" s="1131"/>
      <c r="HO169" s="1131"/>
      <c r="HP169" s="1131"/>
      <c r="HQ169" s="1131"/>
    </row>
    <row r="170" spans="2:225">
      <c r="B170" s="464" t="s">
        <v>121</v>
      </c>
      <c r="C170" s="464" t="s">
        <v>120</v>
      </c>
      <c r="D170" s="465">
        <f t="shared" ref="D170:F170" si="59">D3</f>
        <v>46099</v>
      </c>
      <c r="E170" s="465">
        <f t="shared" ref="E170" si="60">E3</f>
        <v>46092</v>
      </c>
      <c r="F170" s="465">
        <f t="shared" si="59"/>
        <v>46085</v>
      </c>
      <c r="G170" s="465">
        <f t="shared" ref="G170:O170" si="61">G3</f>
        <v>46078</v>
      </c>
      <c r="H170" s="465">
        <f t="shared" ref="H170" si="62">H3</f>
        <v>46071</v>
      </c>
      <c r="I170" s="465">
        <f>I3</f>
        <v>46057</v>
      </c>
      <c r="J170" s="465">
        <f t="shared" si="61"/>
        <v>46050</v>
      </c>
      <c r="K170" s="465">
        <f t="shared" si="61"/>
        <v>46043</v>
      </c>
      <c r="L170" s="465">
        <f t="shared" si="61"/>
        <v>46036</v>
      </c>
      <c r="M170" s="465">
        <f t="shared" si="61"/>
        <v>46029</v>
      </c>
      <c r="N170" s="465">
        <f t="shared" si="61"/>
        <v>46022</v>
      </c>
      <c r="O170" s="465">
        <f t="shared" si="61"/>
        <v>46015</v>
      </c>
      <c r="P170" s="465">
        <f t="shared" ref="P170:V170" si="63">P3</f>
        <v>46008</v>
      </c>
      <c r="Q170" s="465">
        <f>Q3</f>
        <v>46001</v>
      </c>
      <c r="R170" s="465">
        <f t="shared" si="63"/>
        <v>45994</v>
      </c>
      <c r="S170" s="465">
        <f t="shared" si="63"/>
        <v>45987</v>
      </c>
      <c r="T170" s="465">
        <f t="shared" si="63"/>
        <v>45980</v>
      </c>
      <c r="U170" s="465">
        <f t="shared" si="63"/>
        <v>45973</v>
      </c>
      <c r="V170" s="465">
        <f t="shared" si="63"/>
        <v>45966</v>
      </c>
      <c r="W170" s="465">
        <f t="shared" ref="W170:AF170" si="64">W3</f>
        <v>45959</v>
      </c>
      <c r="X170" s="465">
        <f>X3</f>
        <v>45952</v>
      </c>
      <c r="Y170" s="465">
        <f>Y3</f>
        <v>45945</v>
      </c>
      <c r="Z170" s="465">
        <f>Z3</f>
        <v>45938</v>
      </c>
      <c r="AA170" s="465">
        <f>AA3</f>
        <v>45931</v>
      </c>
      <c r="AB170" s="465">
        <f t="shared" si="64"/>
        <v>45924</v>
      </c>
      <c r="AC170" s="465">
        <f t="shared" si="64"/>
        <v>45917</v>
      </c>
      <c r="AD170" s="465">
        <f t="shared" si="64"/>
        <v>45910</v>
      </c>
      <c r="AE170" s="465">
        <f t="shared" si="64"/>
        <v>45903</v>
      </c>
      <c r="AF170" s="465">
        <f t="shared" si="64"/>
        <v>45896</v>
      </c>
      <c r="AG170" s="465">
        <f t="shared" ref="AG170:CR170" si="65">AG3</f>
        <v>45889</v>
      </c>
      <c r="AH170" s="465">
        <f t="shared" si="65"/>
        <v>45882</v>
      </c>
      <c r="AI170" s="465">
        <f t="shared" si="65"/>
        <v>45875</v>
      </c>
      <c r="AJ170" s="465">
        <f t="shared" si="65"/>
        <v>45868</v>
      </c>
      <c r="AK170" s="465">
        <f t="shared" si="65"/>
        <v>45861</v>
      </c>
      <c r="AL170" s="465">
        <f t="shared" si="65"/>
        <v>45854</v>
      </c>
      <c r="AM170" s="465">
        <f t="shared" si="65"/>
        <v>45847</v>
      </c>
      <c r="AN170" s="465">
        <f t="shared" si="65"/>
        <v>45840</v>
      </c>
      <c r="AO170" s="465">
        <f t="shared" si="65"/>
        <v>45833</v>
      </c>
      <c r="AP170" s="465">
        <f t="shared" si="65"/>
        <v>45826</v>
      </c>
      <c r="AQ170" s="465">
        <f t="shared" si="65"/>
        <v>45819</v>
      </c>
      <c r="AR170" s="465">
        <f t="shared" si="65"/>
        <v>45812</v>
      </c>
      <c r="AS170" s="465">
        <f t="shared" si="65"/>
        <v>45805</v>
      </c>
      <c r="AT170" s="465">
        <f t="shared" si="65"/>
        <v>45798</v>
      </c>
      <c r="AU170" s="465">
        <f t="shared" si="65"/>
        <v>45792</v>
      </c>
      <c r="AV170" s="465">
        <f t="shared" si="65"/>
        <v>38480</v>
      </c>
      <c r="AW170" s="465">
        <f t="shared" si="65"/>
        <v>45777</v>
      </c>
      <c r="AX170" s="465">
        <f t="shared" si="65"/>
        <v>45757</v>
      </c>
      <c r="AY170" s="465">
        <f t="shared" si="65"/>
        <v>45750</v>
      </c>
      <c r="AZ170" s="465">
        <f t="shared" si="65"/>
        <v>45742</v>
      </c>
      <c r="BA170" s="465">
        <f t="shared" si="65"/>
        <v>45736</v>
      </c>
      <c r="BB170" s="465">
        <f t="shared" si="65"/>
        <v>45729</v>
      </c>
      <c r="BC170" s="465">
        <f t="shared" si="65"/>
        <v>45722</v>
      </c>
      <c r="BD170" s="465">
        <f t="shared" si="65"/>
        <v>45715</v>
      </c>
      <c r="BE170" s="465">
        <f t="shared" si="65"/>
        <v>45708</v>
      </c>
      <c r="BF170" s="465">
        <f t="shared" si="65"/>
        <v>45701</v>
      </c>
      <c r="BG170" s="465">
        <f t="shared" si="65"/>
        <v>46092</v>
      </c>
      <c r="BH170" s="465">
        <f t="shared" si="65"/>
        <v>45688</v>
      </c>
      <c r="BI170" s="465">
        <f t="shared" si="65"/>
        <v>45681</v>
      </c>
      <c r="BJ170" s="465">
        <f t="shared" si="65"/>
        <v>45673</v>
      </c>
      <c r="BK170" s="465">
        <f t="shared" si="65"/>
        <v>45666</v>
      </c>
      <c r="BL170" s="465">
        <f t="shared" si="65"/>
        <v>45659</v>
      </c>
      <c r="BM170" s="465">
        <f t="shared" si="65"/>
        <v>45652</v>
      </c>
      <c r="BN170" s="465">
        <f t="shared" si="65"/>
        <v>45645</v>
      </c>
      <c r="BO170" s="465">
        <f t="shared" si="65"/>
        <v>45638</v>
      </c>
      <c r="BP170" s="465">
        <f t="shared" si="65"/>
        <v>45631</v>
      </c>
      <c r="BQ170" s="465">
        <f t="shared" si="65"/>
        <v>45625</v>
      </c>
      <c r="BR170" s="465">
        <f t="shared" si="65"/>
        <v>45617</v>
      </c>
      <c r="BS170" s="465">
        <f t="shared" si="65"/>
        <v>45610</v>
      </c>
      <c r="BT170" s="465">
        <f t="shared" si="65"/>
        <v>45603</v>
      </c>
      <c r="BU170" s="465">
        <f t="shared" si="65"/>
        <v>45595</v>
      </c>
      <c r="BV170" s="465">
        <f t="shared" si="65"/>
        <v>45591</v>
      </c>
      <c r="BW170" s="465">
        <f t="shared" si="65"/>
        <v>45582</v>
      </c>
      <c r="BX170" s="465">
        <f t="shared" si="65"/>
        <v>45575</v>
      </c>
      <c r="BY170" s="465">
        <f t="shared" si="65"/>
        <v>45568</v>
      </c>
      <c r="BZ170" s="465">
        <f t="shared" si="65"/>
        <v>45561</v>
      </c>
      <c r="CA170" s="465">
        <f t="shared" si="65"/>
        <v>45554</v>
      </c>
      <c r="CB170" s="465">
        <f t="shared" si="65"/>
        <v>45547</v>
      </c>
      <c r="CC170" s="465">
        <f t="shared" si="65"/>
        <v>45540</v>
      </c>
      <c r="CD170" s="465">
        <f t="shared" si="65"/>
        <v>45533</v>
      </c>
      <c r="CE170" s="465">
        <f t="shared" si="65"/>
        <v>45526</v>
      </c>
      <c r="CF170" s="465">
        <f t="shared" si="65"/>
        <v>45517</v>
      </c>
      <c r="CG170" s="465">
        <f t="shared" si="65"/>
        <v>45511</v>
      </c>
      <c r="CH170" s="465">
        <f t="shared" si="65"/>
        <v>45505</v>
      </c>
      <c r="CI170" s="465">
        <f t="shared" si="65"/>
        <v>45498</v>
      </c>
      <c r="CJ170" s="465">
        <f t="shared" si="65"/>
        <v>45492</v>
      </c>
      <c r="CK170" s="465">
        <f t="shared" si="65"/>
        <v>45484</v>
      </c>
      <c r="CL170" s="465">
        <f t="shared" si="65"/>
        <v>45477</v>
      </c>
      <c r="CM170" s="465">
        <f t="shared" si="65"/>
        <v>45470</v>
      </c>
      <c r="CN170" s="465">
        <f t="shared" si="65"/>
        <v>45463</v>
      </c>
      <c r="CO170" s="465">
        <f t="shared" si="65"/>
        <v>45456</v>
      </c>
      <c r="CP170" s="465">
        <f t="shared" si="65"/>
        <v>45449</v>
      </c>
      <c r="CQ170" s="465">
        <f t="shared" si="65"/>
        <v>45442</v>
      </c>
      <c r="CR170" s="465">
        <f t="shared" si="65"/>
        <v>45435</v>
      </c>
      <c r="CS170" s="465">
        <f t="shared" ref="CS170:FD170" si="66">CS3</f>
        <v>45428</v>
      </c>
      <c r="CT170" s="465">
        <f t="shared" si="66"/>
        <v>45421</v>
      </c>
      <c r="CU170" s="465">
        <f t="shared" si="66"/>
        <v>45414</v>
      </c>
      <c r="CV170" s="465">
        <f t="shared" si="66"/>
        <v>45407</v>
      </c>
      <c r="CW170" s="465">
        <f t="shared" si="66"/>
        <v>45400</v>
      </c>
      <c r="CX170" s="465">
        <f t="shared" si="66"/>
        <v>45393</v>
      </c>
      <c r="CY170" s="465">
        <f t="shared" si="66"/>
        <v>45386</v>
      </c>
      <c r="CZ170" s="465">
        <f t="shared" si="66"/>
        <v>45378</v>
      </c>
      <c r="DA170" s="465">
        <f t="shared" si="66"/>
        <v>45372</v>
      </c>
      <c r="DB170" s="465">
        <f t="shared" si="66"/>
        <v>45365</v>
      </c>
      <c r="DC170" s="465">
        <f t="shared" si="66"/>
        <v>45358</v>
      </c>
      <c r="DD170" s="465">
        <f t="shared" si="66"/>
        <v>45351</v>
      </c>
      <c r="DE170" s="465">
        <f t="shared" si="66"/>
        <v>45343</v>
      </c>
      <c r="DF170" s="465">
        <f t="shared" si="66"/>
        <v>45336</v>
      </c>
      <c r="DG170" s="465">
        <f t="shared" si="66"/>
        <v>45329</v>
      </c>
      <c r="DH170" s="465">
        <f t="shared" si="66"/>
        <v>45323</v>
      </c>
      <c r="DI170" s="465">
        <f t="shared" si="66"/>
        <v>45316</v>
      </c>
      <c r="DJ170" s="465">
        <f t="shared" si="66"/>
        <v>45309</v>
      </c>
      <c r="DK170" s="465">
        <f t="shared" si="66"/>
        <v>45302</v>
      </c>
      <c r="DL170" s="465">
        <f t="shared" si="66"/>
        <v>45295</v>
      </c>
      <c r="DM170" s="465">
        <f t="shared" si="66"/>
        <v>45288</v>
      </c>
      <c r="DN170" s="465">
        <f t="shared" si="66"/>
        <v>45281</v>
      </c>
      <c r="DO170" s="465">
        <f t="shared" si="66"/>
        <v>45274</v>
      </c>
      <c r="DP170" s="465">
        <f t="shared" si="66"/>
        <v>45267</v>
      </c>
      <c r="DQ170" s="465">
        <f t="shared" si="66"/>
        <v>45260</v>
      </c>
      <c r="DR170" s="465">
        <f t="shared" si="66"/>
        <v>45253</v>
      </c>
      <c r="DS170" s="465">
        <f t="shared" si="66"/>
        <v>45246</v>
      </c>
      <c r="DT170" s="465">
        <f t="shared" si="66"/>
        <v>45239</v>
      </c>
      <c r="DU170" s="465">
        <f t="shared" si="66"/>
        <v>45232</v>
      </c>
      <c r="DV170" s="465">
        <f t="shared" si="66"/>
        <v>45225</v>
      </c>
      <c r="DW170" s="465">
        <f t="shared" si="66"/>
        <v>45218</v>
      </c>
      <c r="DX170" s="465">
        <f t="shared" si="66"/>
        <v>45211</v>
      </c>
      <c r="DY170" s="465">
        <f t="shared" si="66"/>
        <v>45197</v>
      </c>
      <c r="DZ170" s="465">
        <f t="shared" si="66"/>
        <v>45190</v>
      </c>
      <c r="EA170" s="465">
        <f t="shared" si="66"/>
        <v>45183</v>
      </c>
      <c r="EB170" s="465">
        <f t="shared" si="66"/>
        <v>45176</v>
      </c>
      <c r="EC170" s="465">
        <f t="shared" si="66"/>
        <v>45168</v>
      </c>
      <c r="ED170" s="465">
        <f t="shared" si="66"/>
        <v>45162</v>
      </c>
      <c r="EE170" s="465">
        <f t="shared" si="66"/>
        <v>45155</v>
      </c>
      <c r="EF170" s="465">
        <f t="shared" si="66"/>
        <v>45148</v>
      </c>
      <c r="EG170" s="465">
        <f t="shared" si="66"/>
        <v>45141</v>
      </c>
      <c r="EH170" s="465">
        <f t="shared" si="66"/>
        <v>45134</v>
      </c>
      <c r="EI170" s="465">
        <f t="shared" si="66"/>
        <v>44839</v>
      </c>
      <c r="EJ170" s="465">
        <f t="shared" si="66"/>
        <v>44831</v>
      </c>
      <c r="EK170" s="465">
        <f t="shared" si="66"/>
        <v>44826</v>
      </c>
      <c r="EL170" s="465">
        <f t="shared" si="66"/>
        <v>44818</v>
      </c>
      <c r="EM170" s="465">
        <f t="shared" si="66"/>
        <v>44811</v>
      </c>
      <c r="EN170" s="465">
        <f t="shared" si="66"/>
        <v>45070</v>
      </c>
      <c r="EO170" s="465">
        <f t="shared" si="66"/>
        <v>45063</v>
      </c>
      <c r="EP170" s="465">
        <f t="shared" si="66"/>
        <v>45056</v>
      </c>
      <c r="EQ170" s="465">
        <f t="shared" si="66"/>
        <v>45050</v>
      </c>
      <c r="ER170" s="465">
        <f t="shared" si="66"/>
        <v>45042</v>
      </c>
      <c r="ES170" s="465">
        <f t="shared" si="66"/>
        <v>45035</v>
      </c>
      <c r="ET170" s="465">
        <f t="shared" si="66"/>
        <v>45028</v>
      </c>
      <c r="EU170" s="465">
        <f t="shared" si="66"/>
        <v>45020</v>
      </c>
      <c r="EV170" s="465">
        <f t="shared" si="66"/>
        <v>45014</v>
      </c>
      <c r="EW170" s="465">
        <f t="shared" si="66"/>
        <v>45008</v>
      </c>
      <c r="EX170" s="465">
        <f t="shared" si="66"/>
        <v>45002</v>
      </c>
      <c r="EY170" s="465">
        <f t="shared" si="66"/>
        <v>45000</v>
      </c>
      <c r="EZ170" s="465">
        <f t="shared" si="66"/>
        <v>44993</v>
      </c>
      <c r="FA170" s="465">
        <f t="shared" si="66"/>
        <v>44986</v>
      </c>
      <c r="FB170" s="465">
        <f t="shared" si="66"/>
        <v>44979</v>
      </c>
      <c r="FC170" s="465">
        <f t="shared" si="66"/>
        <v>44972</v>
      </c>
      <c r="FD170" s="465">
        <f t="shared" si="66"/>
        <v>44965</v>
      </c>
      <c r="FE170" s="465">
        <f t="shared" ref="FE170:HO170" si="67">FE3</f>
        <v>44958</v>
      </c>
      <c r="FF170" s="465">
        <f t="shared" si="67"/>
        <v>44951</v>
      </c>
      <c r="FG170" s="465">
        <f t="shared" si="67"/>
        <v>44944</v>
      </c>
      <c r="FH170" s="465">
        <f t="shared" si="67"/>
        <v>44937</v>
      </c>
      <c r="FI170" s="465">
        <f t="shared" si="67"/>
        <v>44930</v>
      </c>
      <c r="FJ170" s="465">
        <f t="shared" si="67"/>
        <v>44923</v>
      </c>
      <c r="FK170" s="465">
        <f t="shared" si="67"/>
        <v>44916</v>
      </c>
      <c r="FL170" s="465">
        <f t="shared" si="67"/>
        <v>44910</v>
      </c>
      <c r="FM170" s="465">
        <f t="shared" si="67"/>
        <v>44902</v>
      </c>
      <c r="FN170" s="465">
        <f t="shared" si="67"/>
        <v>44896</v>
      </c>
      <c r="FO170" s="465">
        <f t="shared" si="67"/>
        <v>44888</v>
      </c>
      <c r="FP170" s="465">
        <f t="shared" si="67"/>
        <v>44881</v>
      </c>
      <c r="FQ170" s="465">
        <f t="shared" si="67"/>
        <v>44874</v>
      </c>
      <c r="FR170" s="465">
        <f t="shared" si="67"/>
        <v>44868</v>
      </c>
      <c r="FS170" s="465">
        <f t="shared" si="67"/>
        <v>44860</v>
      </c>
      <c r="FT170" s="465">
        <f t="shared" si="67"/>
        <v>44853</v>
      </c>
      <c r="FU170" s="465">
        <f t="shared" si="67"/>
        <v>44846</v>
      </c>
      <c r="FV170" s="465">
        <f t="shared" si="67"/>
        <v>45085</v>
      </c>
      <c r="FW170" s="465">
        <f t="shared" si="67"/>
        <v>45076</v>
      </c>
      <c r="FX170" s="465">
        <f t="shared" si="67"/>
        <v>45127</v>
      </c>
      <c r="FY170" s="465">
        <f t="shared" si="67"/>
        <v>45120</v>
      </c>
      <c r="FZ170" s="465">
        <f t="shared" si="67"/>
        <v>45113</v>
      </c>
      <c r="GA170" s="465">
        <f t="shared" si="67"/>
        <v>45105</v>
      </c>
      <c r="GB170" s="465">
        <f t="shared" si="67"/>
        <v>45099</v>
      </c>
      <c r="GC170" s="465">
        <f t="shared" si="67"/>
        <v>45092</v>
      </c>
      <c r="GD170" s="465">
        <f t="shared" si="67"/>
        <v>44803</v>
      </c>
      <c r="GE170" s="465">
        <f t="shared" si="67"/>
        <v>44797</v>
      </c>
      <c r="GF170" s="465">
        <f t="shared" si="67"/>
        <v>44790</v>
      </c>
      <c r="GG170" s="465">
        <f t="shared" si="67"/>
        <v>44783</v>
      </c>
      <c r="GH170" s="465">
        <f t="shared" si="67"/>
        <v>44776</v>
      </c>
      <c r="GI170" s="465">
        <f t="shared" si="67"/>
        <v>44769</v>
      </c>
      <c r="GJ170" s="465">
        <f t="shared" si="67"/>
        <v>44762</v>
      </c>
      <c r="GK170" s="465">
        <f t="shared" si="67"/>
        <v>44755</v>
      </c>
      <c r="GL170" s="465">
        <f t="shared" si="67"/>
        <v>44748</v>
      </c>
      <c r="GM170" s="465">
        <f t="shared" si="67"/>
        <v>44741</v>
      </c>
      <c r="GN170" s="465">
        <f t="shared" si="67"/>
        <v>44733</v>
      </c>
      <c r="GO170" s="465">
        <f t="shared" si="67"/>
        <v>44727</v>
      </c>
      <c r="GP170" s="465">
        <f t="shared" si="67"/>
        <v>44720</v>
      </c>
      <c r="GQ170" s="465">
        <f t="shared" si="67"/>
        <v>44713</v>
      </c>
      <c r="GR170" s="465">
        <f t="shared" si="67"/>
        <v>44706</v>
      </c>
      <c r="GS170" s="465">
        <f t="shared" si="67"/>
        <v>44699</v>
      </c>
      <c r="GT170" s="465">
        <f t="shared" si="67"/>
        <v>44690</v>
      </c>
      <c r="GU170" s="465">
        <f t="shared" si="67"/>
        <v>44687</v>
      </c>
      <c r="GV170" s="465">
        <f t="shared" si="67"/>
        <v>44685</v>
      </c>
      <c r="GW170" s="465">
        <f t="shared" si="67"/>
        <v>44678</v>
      </c>
      <c r="GX170" s="465">
        <f t="shared" si="67"/>
        <v>44670</v>
      </c>
      <c r="GY170" s="465">
        <f t="shared" si="67"/>
        <v>44663</v>
      </c>
      <c r="GZ170" s="465">
        <f t="shared" si="67"/>
        <v>44662</v>
      </c>
      <c r="HA170" s="465">
        <f t="shared" si="67"/>
        <v>44659</v>
      </c>
      <c r="HB170" s="465">
        <f t="shared" si="67"/>
        <v>44657</v>
      </c>
      <c r="HC170" s="465">
        <f t="shared" si="67"/>
        <v>44656</v>
      </c>
      <c r="HD170" s="465">
        <f t="shared" si="67"/>
        <v>44655</v>
      </c>
      <c r="HE170" s="465">
        <f t="shared" si="67"/>
        <v>44652</v>
      </c>
      <c r="HF170" s="465">
        <f t="shared" si="67"/>
        <v>44650</v>
      </c>
      <c r="HG170" s="465">
        <f t="shared" si="67"/>
        <v>44649</v>
      </c>
      <c r="HH170" s="465">
        <f t="shared" si="67"/>
        <v>44648</v>
      </c>
      <c r="HI170" s="465">
        <f t="shared" si="67"/>
        <v>44645</v>
      </c>
      <c r="HJ170" s="465">
        <f t="shared" si="67"/>
        <v>44644</v>
      </c>
      <c r="HK170" s="465">
        <f t="shared" si="67"/>
        <v>44642</v>
      </c>
      <c r="HL170" s="465">
        <f t="shared" si="67"/>
        <v>44641</v>
      </c>
      <c r="HM170" s="465">
        <f t="shared" si="67"/>
        <v>44638</v>
      </c>
      <c r="HN170" s="465">
        <f t="shared" si="67"/>
        <v>44637</v>
      </c>
      <c r="HO170" s="465">
        <f t="shared" si="67"/>
        <v>44636</v>
      </c>
      <c r="HP170" s="468" t="s">
        <v>113</v>
      </c>
      <c r="HQ170" s="469" t="s">
        <v>223</v>
      </c>
    </row>
    <row r="171" spans="2:225">
      <c r="B171" s="1129" t="s">
        <v>16</v>
      </c>
      <c r="C171" s="730" t="s">
        <v>222</v>
      </c>
      <c r="D171" s="481">
        <v>2.9000000000000001E-2</v>
      </c>
      <c r="E171" s="481">
        <v>2.9000000000000001E-2</v>
      </c>
      <c r="F171" s="481">
        <v>2.9000000000000001E-2</v>
      </c>
      <c r="G171" s="481">
        <v>2.9000000000000001E-2</v>
      </c>
      <c r="H171" s="481">
        <v>2.9000000000000001E-2</v>
      </c>
      <c r="I171" s="481">
        <v>2.9000000000000001E-2</v>
      </c>
      <c r="J171" s="481">
        <v>2.9000000000000001E-2</v>
      </c>
      <c r="K171" s="481">
        <v>2.9000000000000001E-2</v>
      </c>
      <c r="L171" s="481">
        <v>2.9000000000000001E-2</v>
      </c>
      <c r="M171" s="480">
        <v>2.9000000000000001E-2</v>
      </c>
      <c r="N171" s="481">
        <v>3.2000000000000001E-2</v>
      </c>
      <c r="O171" s="481">
        <v>3.2000000000000001E-2</v>
      </c>
      <c r="P171" s="481">
        <v>3.2000000000000001E-2</v>
      </c>
      <c r="Q171" s="481">
        <v>3.2000000000000001E-2</v>
      </c>
      <c r="R171" s="481">
        <v>3.2000000000000001E-2</v>
      </c>
      <c r="S171" s="481">
        <v>3.2000000000000001E-2</v>
      </c>
      <c r="T171" s="481">
        <v>3.2000000000000001E-2</v>
      </c>
      <c r="U171" s="481">
        <v>3.2000000000000001E-2</v>
      </c>
      <c r="V171" s="481">
        <v>3.2000000000000001E-2</v>
      </c>
      <c r="W171" s="481">
        <v>3.2000000000000001E-2</v>
      </c>
      <c r="X171" s="481">
        <v>3.2000000000000001E-2</v>
      </c>
      <c r="Y171" s="481">
        <v>3.2000000000000001E-2</v>
      </c>
      <c r="Z171" s="480">
        <v>3.2000000000000001E-2</v>
      </c>
      <c r="AA171" s="481">
        <v>3.2500000000000001E-2</v>
      </c>
      <c r="AB171" s="481">
        <v>3.2500000000000001E-2</v>
      </c>
      <c r="AC171" s="480">
        <v>3.2500000000000001E-2</v>
      </c>
      <c r="AD171" s="481">
        <v>3.5999999999999997E-2</v>
      </c>
      <c r="AE171" s="481">
        <v>3.5999999999999997E-2</v>
      </c>
      <c r="AF171" s="480">
        <v>3.5999999999999997E-2</v>
      </c>
      <c r="AG171" s="481">
        <v>3.9E-2</v>
      </c>
      <c r="AH171" s="481">
        <v>3.9E-2</v>
      </c>
      <c r="AI171" s="481">
        <v>3.9E-2</v>
      </c>
      <c r="AJ171" s="481">
        <v>3.9E-2</v>
      </c>
      <c r="AK171" s="480">
        <v>3.9E-2</v>
      </c>
      <c r="AL171" s="482">
        <v>4.1500000000000002E-2</v>
      </c>
      <c r="AM171" s="481">
        <v>4.1500000000000002E-2</v>
      </c>
      <c r="AN171" s="481">
        <v>4.1500000000000002E-2</v>
      </c>
      <c r="AO171" s="481">
        <v>4.1500000000000002E-2</v>
      </c>
      <c r="AP171" s="481">
        <v>4.1500000000000002E-2</v>
      </c>
      <c r="AQ171" s="481">
        <v>4.1500000000000002E-2</v>
      </c>
      <c r="AR171" s="481">
        <v>4.1500000000000002E-2</v>
      </c>
      <c r="AS171" s="481">
        <v>4.1500000000000002E-2</v>
      </c>
      <c r="AT171" s="481">
        <v>4.1500000000000002E-2</v>
      </c>
      <c r="AU171" s="481">
        <v>4.1500000000000002E-2</v>
      </c>
      <c r="AV171" s="482">
        <v>4.1500000000000002E-2</v>
      </c>
      <c r="AW171" s="482">
        <v>4.1500000000000002E-2</v>
      </c>
      <c r="AX171" s="482">
        <v>4.1500000000000002E-2</v>
      </c>
      <c r="AY171" s="482">
        <v>4.1500000000000002E-2</v>
      </c>
      <c r="AZ171" s="482">
        <v>4.1500000000000002E-2</v>
      </c>
      <c r="BA171" s="482">
        <v>4.1500000000000002E-2</v>
      </c>
      <c r="BB171" s="482">
        <v>4.1500000000000002E-2</v>
      </c>
      <c r="BC171" s="482">
        <v>4.1500000000000002E-2</v>
      </c>
      <c r="BD171" s="482">
        <v>4.1500000000000002E-2</v>
      </c>
      <c r="BE171" s="482">
        <v>4.1500000000000002E-2</v>
      </c>
      <c r="BF171" s="482">
        <v>4.1500000000000002E-2</v>
      </c>
      <c r="BG171" s="482">
        <v>4.1500000000000002E-2</v>
      </c>
      <c r="BH171" s="482">
        <v>4.1500000000000002E-2</v>
      </c>
      <c r="BI171" s="482">
        <v>4.1500000000000002E-2</v>
      </c>
      <c r="BJ171" s="482">
        <v>4.1500000000000002E-2</v>
      </c>
      <c r="BK171" s="482">
        <v>4.2000000000000003E-2</v>
      </c>
      <c r="BL171" s="482">
        <v>4.2000000000000003E-2</v>
      </c>
      <c r="BM171" s="482">
        <v>4.2000000000000003E-2</v>
      </c>
      <c r="BN171" s="482">
        <v>4.2000000000000003E-2</v>
      </c>
      <c r="BO171" s="482">
        <v>4.2000000000000003E-2</v>
      </c>
      <c r="BP171" s="482">
        <v>4.2000000000000003E-2</v>
      </c>
      <c r="BQ171" s="482">
        <v>4.2000000000000003E-2</v>
      </c>
      <c r="BR171" s="482">
        <v>4.2000000000000003E-2</v>
      </c>
      <c r="BS171" s="482">
        <v>4.2000000000000003E-2</v>
      </c>
      <c r="BT171" s="482">
        <v>4.2000000000000003E-2</v>
      </c>
      <c r="BU171" s="482">
        <v>4.2000000000000003E-2</v>
      </c>
      <c r="BV171" s="482">
        <v>4.2000000000000003E-2</v>
      </c>
      <c r="BW171" s="482">
        <v>4.2000000000000003E-2</v>
      </c>
      <c r="BX171" s="482">
        <v>4.2000000000000003E-2</v>
      </c>
      <c r="BY171" s="482">
        <v>4.3499999999999997E-2</v>
      </c>
      <c r="BZ171" s="482">
        <v>4.3499999999999997E-2</v>
      </c>
      <c r="CA171" s="482">
        <v>4.65E-2</v>
      </c>
      <c r="CB171" s="482">
        <v>4.65E-2</v>
      </c>
      <c r="CC171" s="482">
        <v>4.65E-2</v>
      </c>
      <c r="CD171" s="482">
        <v>4.65E-2</v>
      </c>
      <c r="CE171" s="482">
        <v>4.65E-2</v>
      </c>
      <c r="CF171" s="482">
        <v>4.65E-2</v>
      </c>
      <c r="CG171" s="482">
        <v>4.65E-2</v>
      </c>
      <c r="CH171" s="482">
        <v>4.65E-2</v>
      </c>
      <c r="CI171" s="482">
        <v>4.65E-2</v>
      </c>
      <c r="CJ171" s="482">
        <v>4.65E-2</v>
      </c>
      <c r="CK171" s="482">
        <v>4.65E-2</v>
      </c>
      <c r="CL171" s="482">
        <v>4.65E-2</v>
      </c>
      <c r="CM171" s="482">
        <v>4.65E-2</v>
      </c>
      <c r="CN171" s="482">
        <v>4.65E-2</v>
      </c>
      <c r="CO171" s="482">
        <v>4.65E-2</v>
      </c>
      <c r="CP171" s="482">
        <v>4.65E-2</v>
      </c>
      <c r="CQ171" s="482">
        <v>4.65E-2</v>
      </c>
      <c r="CR171" s="482">
        <v>4.65E-2</v>
      </c>
      <c r="CS171" s="482">
        <v>4.65E-2</v>
      </c>
      <c r="CT171" s="482">
        <v>4.65E-2</v>
      </c>
      <c r="CU171" s="482">
        <v>4.65E-2</v>
      </c>
      <c r="CV171" s="482">
        <v>4.65E-2</v>
      </c>
      <c r="CW171" s="482">
        <v>4.65E-2</v>
      </c>
      <c r="CX171" s="482">
        <v>4.65E-2</v>
      </c>
      <c r="CY171" s="482">
        <v>4.65E-2</v>
      </c>
      <c r="CZ171" s="482">
        <v>4.65E-2</v>
      </c>
      <c r="DA171" s="482">
        <v>4.65E-2</v>
      </c>
      <c r="DB171" s="482">
        <v>4.65E-2</v>
      </c>
      <c r="DC171" s="482">
        <v>4.65E-2</v>
      </c>
      <c r="DD171" s="482">
        <v>4.65E-2</v>
      </c>
      <c r="DE171" s="482">
        <v>4.65E-2</v>
      </c>
      <c r="DF171" s="482">
        <v>4.65E-2</v>
      </c>
      <c r="DG171" s="482">
        <v>4.65E-2</v>
      </c>
      <c r="DH171" s="482">
        <v>4.65E-2</v>
      </c>
      <c r="DI171" s="482">
        <v>4.65E-2</v>
      </c>
      <c r="DJ171" s="482">
        <v>4.65E-2</v>
      </c>
      <c r="DK171" s="482">
        <v>4.65E-2</v>
      </c>
      <c r="DL171" s="482">
        <v>4.65E-2</v>
      </c>
      <c r="DM171" s="482">
        <v>4.65E-2</v>
      </c>
      <c r="DN171" s="482">
        <v>4.65E-2</v>
      </c>
      <c r="DO171" s="482">
        <v>4.65E-2</v>
      </c>
      <c r="DP171" s="482">
        <v>4.65E-2</v>
      </c>
      <c r="DQ171" s="482">
        <v>4.65E-2</v>
      </c>
      <c r="DR171" s="482">
        <v>4.65E-2</v>
      </c>
      <c r="DS171" s="482">
        <v>4.65E-2</v>
      </c>
      <c r="DT171" s="482">
        <v>4.65E-2</v>
      </c>
      <c r="DU171" s="482">
        <v>4.65E-2</v>
      </c>
      <c r="DV171" s="482">
        <v>4.65E-2</v>
      </c>
      <c r="DW171" s="482">
        <v>4.65E-2</v>
      </c>
      <c r="DX171" s="482">
        <v>4.65E-2</v>
      </c>
      <c r="DY171" s="482">
        <v>4.65E-2</v>
      </c>
      <c r="DZ171" s="482">
        <v>4.65E-2</v>
      </c>
      <c r="EA171" s="482">
        <v>4.65E-2</v>
      </c>
      <c r="EB171" s="482">
        <v>4.65E-2</v>
      </c>
      <c r="EC171" s="482">
        <v>4.65E-2</v>
      </c>
      <c r="ED171" s="482">
        <v>4.65E-2</v>
      </c>
      <c r="EE171" s="482">
        <v>4.65E-2</v>
      </c>
      <c r="EF171" s="482">
        <v>4.65E-2</v>
      </c>
      <c r="EG171" s="482">
        <v>4.65E-2</v>
      </c>
      <c r="EH171" s="482">
        <v>4.65E-2</v>
      </c>
      <c r="EI171" s="482">
        <v>4.65E-2</v>
      </c>
      <c r="EJ171" s="482">
        <v>4.65E-2</v>
      </c>
      <c r="EK171" s="482">
        <v>4.65E-2</v>
      </c>
      <c r="EL171" s="482">
        <v>4.65E-2</v>
      </c>
      <c r="EM171" s="482">
        <v>4.65E-2</v>
      </c>
      <c r="EN171" s="482">
        <v>4.65E-2</v>
      </c>
      <c r="EO171" s="482">
        <v>4.65E-2</v>
      </c>
      <c r="EP171" s="482">
        <v>4.65E-2</v>
      </c>
      <c r="EQ171" s="482">
        <v>4.65E-2</v>
      </c>
      <c r="ER171" s="482">
        <v>4.65E-2</v>
      </c>
      <c r="ES171" s="482">
        <v>4.65E-2</v>
      </c>
      <c r="ET171" s="482">
        <v>4.65E-2</v>
      </c>
      <c r="EU171" s="482">
        <v>4.65E-2</v>
      </c>
      <c r="EV171" s="482">
        <v>4.65E-2</v>
      </c>
      <c r="EW171" s="482">
        <v>4.65E-2</v>
      </c>
      <c r="EX171" s="482">
        <v>4.65E-2</v>
      </c>
      <c r="EY171" s="482">
        <v>4.65E-2</v>
      </c>
      <c r="EZ171" s="482">
        <v>4.65E-2</v>
      </c>
      <c r="FA171" s="482">
        <v>4.65E-2</v>
      </c>
      <c r="FB171" s="482">
        <v>4.65E-2</v>
      </c>
      <c r="FC171" s="482">
        <v>4.65E-2</v>
      </c>
      <c r="FD171" s="482">
        <v>4.65E-2</v>
      </c>
      <c r="FE171" s="482">
        <v>4.65E-2</v>
      </c>
      <c r="FF171" s="482">
        <v>4.65E-2</v>
      </c>
      <c r="FG171" s="482">
        <v>4.65E-2</v>
      </c>
      <c r="FH171" s="482">
        <v>4.65E-2</v>
      </c>
      <c r="FI171" s="482">
        <v>4.65E-2</v>
      </c>
      <c r="FJ171" s="482">
        <v>4.65E-2</v>
      </c>
      <c r="FK171" s="482">
        <v>4.65E-2</v>
      </c>
      <c r="FL171" s="482">
        <v>4.65E-2</v>
      </c>
      <c r="FM171" s="482">
        <v>4.65E-2</v>
      </c>
      <c r="FN171" s="482">
        <v>4.65E-2</v>
      </c>
      <c r="FO171" s="482">
        <v>4.65E-2</v>
      </c>
      <c r="FP171" s="482">
        <v>4.65E-2</v>
      </c>
      <c r="FQ171" s="482">
        <v>4.65E-2</v>
      </c>
      <c r="FR171" s="482">
        <v>4.65E-2</v>
      </c>
      <c r="FS171" s="482">
        <v>4.65E-2</v>
      </c>
      <c r="FT171" s="482">
        <v>4.65E-2</v>
      </c>
      <c r="FU171" s="482">
        <v>4.65E-2</v>
      </c>
      <c r="FV171" s="482">
        <v>4.65E-2</v>
      </c>
      <c r="FW171" s="482">
        <v>4.65E-2</v>
      </c>
      <c r="FX171" s="482">
        <v>4.65E-2</v>
      </c>
      <c r="FY171" s="482">
        <v>4.65E-2</v>
      </c>
      <c r="FZ171" s="482">
        <v>4.65E-2</v>
      </c>
      <c r="GA171" s="482">
        <v>4.65E-2</v>
      </c>
      <c r="GB171" s="482">
        <v>4.65E-2</v>
      </c>
      <c r="GC171" s="482">
        <v>4.65E-2</v>
      </c>
      <c r="GD171" s="477">
        <v>3.5000000000000003E-2</v>
      </c>
      <c r="GE171" s="477">
        <v>3.5000000000000003E-2</v>
      </c>
      <c r="GF171" s="477">
        <v>3.5000000000000003E-2</v>
      </c>
      <c r="GG171" s="477">
        <v>3.5000000000000003E-2</v>
      </c>
      <c r="GH171" s="477">
        <v>3.5000000000000003E-2</v>
      </c>
      <c r="GI171" s="477">
        <v>3.5000000000000003E-2</v>
      </c>
      <c r="GJ171" s="477">
        <v>3.5000000000000003E-2</v>
      </c>
      <c r="GK171" s="477">
        <v>3.5000000000000003E-2</v>
      </c>
      <c r="GL171" s="477">
        <v>3.5000000000000003E-2</v>
      </c>
      <c r="GM171" s="477">
        <v>3.5000000000000003E-2</v>
      </c>
      <c r="GN171" s="477">
        <v>3.5000000000000003E-2</v>
      </c>
      <c r="GO171" s="477">
        <v>3.5000000000000003E-2</v>
      </c>
      <c r="GP171" s="477">
        <v>3.5000000000000003E-2</v>
      </c>
      <c r="GQ171" s="477">
        <v>3.5000000000000003E-2</v>
      </c>
      <c r="GR171" s="477">
        <v>3.5000000000000003E-2</v>
      </c>
      <c r="GS171" s="477">
        <v>3.5000000000000003E-2</v>
      </c>
      <c r="GT171" s="477">
        <v>3.5000000000000003E-2</v>
      </c>
      <c r="GU171" s="477">
        <v>3.5000000000000003E-2</v>
      </c>
      <c r="GV171" s="477">
        <v>3.5000000000000003E-2</v>
      </c>
      <c r="GW171" s="477">
        <v>3.5000000000000003E-2</v>
      </c>
      <c r="GX171" s="477">
        <v>3.5000000000000003E-2</v>
      </c>
      <c r="GY171" s="477">
        <v>3.5000000000000003E-2</v>
      </c>
      <c r="GZ171" s="477">
        <v>3.5000000000000003E-2</v>
      </c>
      <c r="HA171" s="477">
        <v>3.5000000000000003E-2</v>
      </c>
      <c r="HB171" s="477">
        <v>3.5000000000000003E-2</v>
      </c>
      <c r="HC171" s="477">
        <v>3.5000000000000003E-2</v>
      </c>
      <c r="HD171" s="477">
        <v>3.5000000000000003E-2</v>
      </c>
      <c r="HE171" s="477">
        <v>3.5000000000000003E-2</v>
      </c>
      <c r="HF171" s="477">
        <v>3.5000000000000003E-2</v>
      </c>
      <c r="HG171" s="477">
        <v>3.5000000000000003E-2</v>
      </c>
      <c r="HH171" s="477">
        <v>3.5000000000000003E-2</v>
      </c>
      <c r="HI171" s="477">
        <v>3.5000000000000003E-2</v>
      </c>
      <c r="HJ171" s="477">
        <v>3.5000000000000003E-2</v>
      </c>
      <c r="HK171" s="477">
        <v>3.5000000000000003E-2</v>
      </c>
      <c r="HL171" s="477">
        <v>3.5000000000000003E-2</v>
      </c>
      <c r="HM171" s="477">
        <v>3.5000000000000003E-2</v>
      </c>
      <c r="HN171" s="477">
        <v>3.5000000000000003E-2</v>
      </c>
      <c r="HO171" s="477">
        <v>3.5000000000000003E-2</v>
      </c>
      <c r="HP171" s="473">
        <f t="shared" ref="HP171:HP182" si="68">D171-E171</f>
        <v>0</v>
      </c>
      <c r="HQ171" s="525"/>
    </row>
    <row r="172" spans="2:225">
      <c r="B172" s="1129"/>
      <c r="C172" s="730" t="s">
        <v>221</v>
      </c>
      <c r="D172" s="481">
        <v>2.9000000000000001E-2</v>
      </c>
      <c r="E172" s="481">
        <v>2.9000000000000001E-2</v>
      </c>
      <c r="F172" s="481">
        <v>2.9000000000000001E-2</v>
      </c>
      <c r="G172" s="481">
        <v>2.9000000000000001E-2</v>
      </c>
      <c r="H172" s="481">
        <v>2.9000000000000001E-2</v>
      </c>
      <c r="I172" s="481">
        <v>2.9000000000000001E-2</v>
      </c>
      <c r="J172" s="481">
        <v>2.9000000000000001E-2</v>
      </c>
      <c r="K172" s="481">
        <v>2.9000000000000001E-2</v>
      </c>
      <c r="L172" s="481">
        <v>2.9000000000000001E-2</v>
      </c>
      <c r="M172" s="480">
        <v>2.9000000000000001E-2</v>
      </c>
      <c r="N172" s="481">
        <v>3.2500000000000001E-2</v>
      </c>
      <c r="O172" s="481">
        <v>3.2500000000000001E-2</v>
      </c>
      <c r="P172" s="481">
        <v>3.2500000000000001E-2</v>
      </c>
      <c r="Q172" s="481">
        <v>3.2500000000000001E-2</v>
      </c>
      <c r="R172" s="481">
        <v>3.2500000000000001E-2</v>
      </c>
      <c r="S172" s="481">
        <v>3.2500000000000001E-2</v>
      </c>
      <c r="T172" s="481">
        <v>3.2500000000000001E-2</v>
      </c>
      <c r="U172" s="481">
        <v>3.2500000000000001E-2</v>
      </c>
      <c r="V172" s="481">
        <v>3.2500000000000001E-2</v>
      </c>
      <c r="W172" s="481">
        <v>3.2500000000000001E-2</v>
      </c>
      <c r="X172" s="481">
        <v>3.2500000000000001E-2</v>
      </c>
      <c r="Y172" s="481">
        <v>3.2500000000000001E-2</v>
      </c>
      <c r="Z172" s="480">
        <v>3.2500000000000001E-2</v>
      </c>
      <c r="AA172" s="481">
        <v>3.3000000000000002E-2</v>
      </c>
      <c r="AB172" s="481">
        <v>3.3000000000000002E-2</v>
      </c>
      <c r="AC172" s="480">
        <v>3.3000000000000002E-2</v>
      </c>
      <c r="AD172" s="481">
        <v>3.6499999999999998E-2</v>
      </c>
      <c r="AE172" s="481">
        <v>3.6499999999999998E-2</v>
      </c>
      <c r="AF172" s="480">
        <v>3.6499999999999998E-2</v>
      </c>
      <c r="AG172" s="481">
        <v>3.95E-2</v>
      </c>
      <c r="AH172" s="481">
        <v>3.95E-2</v>
      </c>
      <c r="AI172" s="481">
        <v>3.95E-2</v>
      </c>
      <c r="AJ172" s="481">
        <v>3.95E-2</v>
      </c>
      <c r="AK172" s="480">
        <v>3.95E-2</v>
      </c>
      <c r="AL172" s="482">
        <v>4.2000000000000003E-2</v>
      </c>
      <c r="AM172" s="481">
        <v>4.2000000000000003E-2</v>
      </c>
      <c r="AN172" s="481">
        <v>4.2000000000000003E-2</v>
      </c>
      <c r="AO172" s="481">
        <v>4.2000000000000003E-2</v>
      </c>
      <c r="AP172" s="481">
        <v>4.2000000000000003E-2</v>
      </c>
      <c r="AQ172" s="481">
        <v>4.2000000000000003E-2</v>
      </c>
      <c r="AR172" s="481">
        <v>4.2000000000000003E-2</v>
      </c>
      <c r="AS172" s="481">
        <v>4.2000000000000003E-2</v>
      </c>
      <c r="AT172" s="481">
        <v>4.2000000000000003E-2</v>
      </c>
      <c r="AU172" s="481">
        <v>4.2000000000000003E-2</v>
      </c>
      <c r="AV172" s="482">
        <v>4.2000000000000003E-2</v>
      </c>
      <c r="AW172" s="482">
        <v>4.2000000000000003E-2</v>
      </c>
      <c r="AX172" s="482">
        <v>4.2000000000000003E-2</v>
      </c>
      <c r="AY172" s="482">
        <v>4.2000000000000003E-2</v>
      </c>
      <c r="AZ172" s="482">
        <v>4.2000000000000003E-2</v>
      </c>
      <c r="BA172" s="482">
        <v>4.2000000000000003E-2</v>
      </c>
      <c r="BB172" s="482">
        <v>4.2000000000000003E-2</v>
      </c>
      <c r="BC172" s="482">
        <v>4.2000000000000003E-2</v>
      </c>
      <c r="BD172" s="482">
        <v>4.2000000000000003E-2</v>
      </c>
      <c r="BE172" s="482">
        <v>4.2000000000000003E-2</v>
      </c>
      <c r="BF172" s="482">
        <v>4.2000000000000003E-2</v>
      </c>
      <c r="BG172" s="482">
        <v>4.2000000000000003E-2</v>
      </c>
      <c r="BH172" s="482">
        <v>4.2000000000000003E-2</v>
      </c>
      <c r="BI172" s="482">
        <v>4.2000000000000003E-2</v>
      </c>
      <c r="BJ172" s="482">
        <v>4.2000000000000003E-2</v>
      </c>
      <c r="BK172" s="482">
        <v>4.2500000000000003E-2</v>
      </c>
      <c r="BL172" s="482">
        <v>4.2500000000000003E-2</v>
      </c>
      <c r="BM172" s="482">
        <v>4.2500000000000003E-2</v>
      </c>
      <c r="BN172" s="482">
        <v>4.2500000000000003E-2</v>
      </c>
      <c r="BO172" s="482">
        <v>4.2500000000000003E-2</v>
      </c>
      <c r="BP172" s="482">
        <v>4.2500000000000003E-2</v>
      </c>
      <c r="BQ172" s="482">
        <v>4.2500000000000003E-2</v>
      </c>
      <c r="BR172" s="482">
        <v>4.2500000000000003E-2</v>
      </c>
      <c r="BS172" s="482">
        <v>4.2500000000000003E-2</v>
      </c>
      <c r="BT172" s="482">
        <v>4.2500000000000003E-2</v>
      </c>
      <c r="BU172" s="482">
        <v>4.2500000000000003E-2</v>
      </c>
      <c r="BV172" s="482">
        <v>4.2500000000000003E-2</v>
      </c>
      <c r="BW172" s="482">
        <v>4.2500000000000003E-2</v>
      </c>
      <c r="BX172" s="482">
        <v>4.2500000000000003E-2</v>
      </c>
      <c r="BY172" s="482">
        <v>4.3999999999999997E-2</v>
      </c>
      <c r="BZ172" s="482">
        <v>4.3999999999999997E-2</v>
      </c>
      <c r="CA172" s="482">
        <v>4.7E-2</v>
      </c>
      <c r="CB172" s="482">
        <v>4.7E-2</v>
      </c>
      <c r="CC172" s="482">
        <v>4.7E-2</v>
      </c>
      <c r="CD172" s="482">
        <v>4.7E-2</v>
      </c>
      <c r="CE172" s="482">
        <v>4.7E-2</v>
      </c>
      <c r="CF172" s="482">
        <v>4.7E-2</v>
      </c>
      <c r="CG172" s="482">
        <v>4.7E-2</v>
      </c>
      <c r="CH172" s="482">
        <v>4.7E-2</v>
      </c>
      <c r="CI172" s="482">
        <v>4.7E-2</v>
      </c>
      <c r="CJ172" s="482">
        <v>4.7E-2</v>
      </c>
      <c r="CK172" s="482">
        <v>4.7E-2</v>
      </c>
      <c r="CL172" s="482">
        <v>4.7E-2</v>
      </c>
      <c r="CM172" s="482">
        <v>4.7E-2</v>
      </c>
      <c r="CN172" s="482">
        <v>4.7E-2</v>
      </c>
      <c r="CO172" s="482">
        <v>4.7E-2</v>
      </c>
      <c r="CP172" s="482">
        <v>4.7E-2</v>
      </c>
      <c r="CQ172" s="482">
        <v>4.7E-2</v>
      </c>
      <c r="CR172" s="482">
        <v>4.7E-2</v>
      </c>
      <c r="CS172" s="482">
        <v>4.7E-2</v>
      </c>
      <c r="CT172" s="482">
        <v>4.7E-2</v>
      </c>
      <c r="CU172" s="482">
        <v>4.7E-2</v>
      </c>
      <c r="CV172" s="482">
        <v>4.7E-2</v>
      </c>
      <c r="CW172" s="482">
        <v>4.7E-2</v>
      </c>
      <c r="CX172" s="482">
        <v>4.7E-2</v>
      </c>
      <c r="CY172" s="482">
        <v>4.7E-2</v>
      </c>
      <c r="CZ172" s="482">
        <v>4.7E-2</v>
      </c>
      <c r="DA172" s="482">
        <v>4.7E-2</v>
      </c>
      <c r="DB172" s="482">
        <v>4.7E-2</v>
      </c>
      <c r="DC172" s="482">
        <v>4.7E-2</v>
      </c>
      <c r="DD172" s="482">
        <v>4.7E-2</v>
      </c>
      <c r="DE172" s="482">
        <v>4.7E-2</v>
      </c>
      <c r="DF172" s="482">
        <v>4.7E-2</v>
      </c>
      <c r="DG172" s="482">
        <v>4.7E-2</v>
      </c>
      <c r="DH172" s="482">
        <v>4.7E-2</v>
      </c>
      <c r="DI172" s="482">
        <v>4.7E-2</v>
      </c>
      <c r="DJ172" s="482">
        <v>4.7E-2</v>
      </c>
      <c r="DK172" s="482">
        <v>4.7E-2</v>
      </c>
      <c r="DL172" s="482">
        <v>4.7E-2</v>
      </c>
      <c r="DM172" s="482">
        <v>4.7E-2</v>
      </c>
      <c r="DN172" s="482">
        <v>4.7E-2</v>
      </c>
      <c r="DO172" s="482">
        <v>4.7E-2</v>
      </c>
      <c r="DP172" s="482">
        <v>4.7E-2</v>
      </c>
      <c r="DQ172" s="482">
        <v>4.7E-2</v>
      </c>
      <c r="DR172" s="482">
        <v>4.7E-2</v>
      </c>
      <c r="DS172" s="482">
        <v>4.7E-2</v>
      </c>
      <c r="DT172" s="482">
        <v>4.7E-2</v>
      </c>
      <c r="DU172" s="482">
        <v>4.7E-2</v>
      </c>
      <c r="DV172" s="482">
        <v>4.7E-2</v>
      </c>
      <c r="DW172" s="482">
        <v>4.7E-2</v>
      </c>
      <c r="DX172" s="482">
        <v>4.7E-2</v>
      </c>
      <c r="DY172" s="482">
        <v>4.7E-2</v>
      </c>
      <c r="DZ172" s="482">
        <v>4.7E-2</v>
      </c>
      <c r="EA172" s="482">
        <v>4.7E-2</v>
      </c>
      <c r="EB172" s="482">
        <v>4.7E-2</v>
      </c>
      <c r="EC172" s="482">
        <v>4.7E-2</v>
      </c>
      <c r="ED172" s="482">
        <v>4.7E-2</v>
      </c>
      <c r="EE172" s="482">
        <v>4.7E-2</v>
      </c>
      <c r="EF172" s="482">
        <v>4.7E-2</v>
      </c>
      <c r="EG172" s="482">
        <v>4.7E-2</v>
      </c>
      <c r="EH172" s="482">
        <v>4.7E-2</v>
      </c>
      <c r="EI172" s="482">
        <v>4.7E-2</v>
      </c>
      <c r="EJ172" s="482">
        <v>4.7E-2</v>
      </c>
      <c r="EK172" s="482">
        <v>4.7E-2</v>
      </c>
      <c r="EL172" s="482">
        <v>4.7E-2</v>
      </c>
      <c r="EM172" s="482">
        <v>4.7E-2</v>
      </c>
      <c r="EN172" s="482">
        <v>4.7E-2</v>
      </c>
      <c r="EO172" s="482">
        <v>4.7E-2</v>
      </c>
      <c r="EP172" s="482">
        <v>4.7E-2</v>
      </c>
      <c r="EQ172" s="482">
        <v>4.7E-2</v>
      </c>
      <c r="ER172" s="482">
        <v>4.7E-2</v>
      </c>
      <c r="ES172" s="482">
        <v>4.7E-2</v>
      </c>
      <c r="ET172" s="482">
        <v>4.7E-2</v>
      </c>
      <c r="EU172" s="482">
        <v>4.7E-2</v>
      </c>
      <c r="EV172" s="482">
        <v>4.7E-2</v>
      </c>
      <c r="EW172" s="482">
        <v>4.7E-2</v>
      </c>
      <c r="EX172" s="482">
        <v>4.7E-2</v>
      </c>
      <c r="EY172" s="482">
        <v>4.7E-2</v>
      </c>
      <c r="EZ172" s="482">
        <v>4.7E-2</v>
      </c>
      <c r="FA172" s="482">
        <v>4.7E-2</v>
      </c>
      <c r="FB172" s="482">
        <v>4.7E-2</v>
      </c>
      <c r="FC172" s="482">
        <v>4.7E-2</v>
      </c>
      <c r="FD172" s="482">
        <v>4.7E-2</v>
      </c>
      <c r="FE172" s="482">
        <v>4.7E-2</v>
      </c>
      <c r="FF172" s="482">
        <v>4.7E-2</v>
      </c>
      <c r="FG172" s="482">
        <v>4.7E-2</v>
      </c>
      <c r="FH172" s="482">
        <v>4.7E-2</v>
      </c>
      <c r="FI172" s="482">
        <v>4.7E-2</v>
      </c>
      <c r="FJ172" s="482">
        <v>4.7E-2</v>
      </c>
      <c r="FK172" s="482">
        <v>4.7E-2</v>
      </c>
      <c r="FL172" s="482">
        <v>4.7E-2</v>
      </c>
      <c r="FM172" s="482">
        <v>4.7E-2</v>
      </c>
      <c r="FN172" s="482">
        <v>4.7E-2</v>
      </c>
      <c r="FO172" s="482">
        <v>4.7E-2</v>
      </c>
      <c r="FP172" s="482">
        <v>4.7E-2</v>
      </c>
      <c r="FQ172" s="482">
        <v>4.7E-2</v>
      </c>
      <c r="FR172" s="482">
        <v>4.7E-2</v>
      </c>
      <c r="FS172" s="482">
        <v>4.7E-2</v>
      </c>
      <c r="FT172" s="482">
        <v>4.7E-2</v>
      </c>
      <c r="FU172" s="482">
        <v>4.7E-2</v>
      </c>
      <c r="FV172" s="482">
        <v>4.7E-2</v>
      </c>
      <c r="FW172" s="482">
        <v>4.7E-2</v>
      </c>
      <c r="FX172" s="482">
        <v>4.7E-2</v>
      </c>
      <c r="FY172" s="482">
        <v>4.7E-2</v>
      </c>
      <c r="FZ172" s="482">
        <v>4.7E-2</v>
      </c>
      <c r="GA172" s="482">
        <v>4.7E-2</v>
      </c>
      <c r="GB172" s="482">
        <v>4.7E-2</v>
      </c>
      <c r="GC172" s="482">
        <v>4.7E-2</v>
      </c>
      <c r="GD172" s="477">
        <v>3.5499999999999997E-2</v>
      </c>
      <c r="GE172" s="477">
        <v>3.5499999999999997E-2</v>
      </c>
      <c r="GF172" s="477">
        <v>3.5499999999999997E-2</v>
      </c>
      <c r="GG172" s="477">
        <v>3.5499999999999997E-2</v>
      </c>
      <c r="GH172" s="477">
        <v>3.5499999999999997E-2</v>
      </c>
      <c r="GI172" s="477">
        <v>3.5499999999999997E-2</v>
      </c>
      <c r="GJ172" s="477">
        <v>3.5499999999999997E-2</v>
      </c>
      <c r="GK172" s="477">
        <v>3.5499999999999997E-2</v>
      </c>
      <c r="GL172" s="477">
        <v>3.5499999999999997E-2</v>
      </c>
      <c r="GM172" s="477">
        <v>3.5499999999999997E-2</v>
      </c>
      <c r="GN172" s="477">
        <v>3.5499999999999997E-2</v>
      </c>
      <c r="GO172" s="477">
        <v>3.5499999999999997E-2</v>
      </c>
      <c r="GP172" s="477">
        <v>3.5499999999999997E-2</v>
      </c>
      <c r="GQ172" s="477">
        <v>3.5499999999999997E-2</v>
      </c>
      <c r="GR172" s="477">
        <v>3.5499999999999997E-2</v>
      </c>
      <c r="GS172" s="477">
        <v>3.5499999999999997E-2</v>
      </c>
      <c r="GT172" s="477">
        <v>3.5499999999999997E-2</v>
      </c>
      <c r="GU172" s="477">
        <v>3.5499999999999997E-2</v>
      </c>
      <c r="GV172" s="477">
        <v>3.5499999999999997E-2</v>
      </c>
      <c r="GW172" s="477">
        <v>3.5499999999999997E-2</v>
      </c>
      <c r="GX172" s="477">
        <v>3.5499999999999997E-2</v>
      </c>
      <c r="GY172" s="477">
        <v>3.5499999999999997E-2</v>
      </c>
      <c r="GZ172" s="477">
        <v>3.5499999999999997E-2</v>
      </c>
      <c r="HA172" s="477">
        <v>3.5499999999999997E-2</v>
      </c>
      <c r="HB172" s="477">
        <v>3.5499999999999997E-2</v>
      </c>
      <c r="HC172" s="477">
        <v>3.5499999999999997E-2</v>
      </c>
      <c r="HD172" s="477">
        <v>3.5499999999999997E-2</v>
      </c>
      <c r="HE172" s="477">
        <v>3.5499999999999997E-2</v>
      </c>
      <c r="HF172" s="477">
        <v>3.5499999999999997E-2</v>
      </c>
      <c r="HG172" s="477">
        <v>3.5499999999999997E-2</v>
      </c>
      <c r="HH172" s="477">
        <v>3.5499999999999997E-2</v>
      </c>
      <c r="HI172" s="477">
        <v>3.5499999999999997E-2</v>
      </c>
      <c r="HJ172" s="477">
        <v>3.5499999999999997E-2</v>
      </c>
      <c r="HK172" s="477">
        <v>3.5499999999999997E-2</v>
      </c>
      <c r="HL172" s="477">
        <v>3.5499999999999997E-2</v>
      </c>
      <c r="HM172" s="477">
        <v>3.5499999999999997E-2</v>
      </c>
      <c r="HN172" s="477">
        <v>3.5499999999999997E-2</v>
      </c>
      <c r="HO172" s="477">
        <v>3.5499999999999997E-2</v>
      </c>
      <c r="HP172" s="473">
        <f t="shared" si="68"/>
        <v>0</v>
      </c>
      <c r="HQ172" s="525"/>
    </row>
    <row r="173" spans="2:225">
      <c r="B173" s="1129"/>
      <c r="C173" s="730" t="s">
        <v>220</v>
      </c>
      <c r="D173" s="481">
        <v>0.03</v>
      </c>
      <c r="E173" s="481">
        <v>0.03</v>
      </c>
      <c r="F173" s="481">
        <v>0.03</v>
      </c>
      <c r="G173" s="481">
        <v>0.03</v>
      </c>
      <c r="H173" s="481">
        <v>0.03</v>
      </c>
      <c r="I173" s="481">
        <v>0.03</v>
      </c>
      <c r="J173" s="481">
        <v>0.03</v>
      </c>
      <c r="K173" s="481">
        <v>0.03</v>
      </c>
      <c r="L173" s="481">
        <v>0.03</v>
      </c>
      <c r="M173" s="480">
        <v>0.03</v>
      </c>
      <c r="N173" s="481">
        <v>3.3000000000000002E-2</v>
      </c>
      <c r="O173" s="481">
        <v>3.3000000000000002E-2</v>
      </c>
      <c r="P173" s="481">
        <v>3.3000000000000002E-2</v>
      </c>
      <c r="Q173" s="481">
        <v>3.3000000000000002E-2</v>
      </c>
      <c r="R173" s="481">
        <v>3.3000000000000002E-2</v>
      </c>
      <c r="S173" s="481">
        <v>3.3000000000000002E-2</v>
      </c>
      <c r="T173" s="481">
        <v>3.3000000000000002E-2</v>
      </c>
      <c r="U173" s="481">
        <v>3.3000000000000002E-2</v>
      </c>
      <c r="V173" s="481">
        <v>3.3000000000000002E-2</v>
      </c>
      <c r="W173" s="481">
        <v>3.3000000000000002E-2</v>
      </c>
      <c r="X173" s="481">
        <v>3.3000000000000002E-2</v>
      </c>
      <c r="Y173" s="481">
        <v>3.3000000000000002E-2</v>
      </c>
      <c r="Z173" s="480">
        <v>3.3000000000000002E-2</v>
      </c>
      <c r="AA173" s="481">
        <v>3.3500000000000002E-2</v>
      </c>
      <c r="AB173" s="481">
        <v>3.3500000000000002E-2</v>
      </c>
      <c r="AC173" s="480">
        <v>3.3500000000000002E-2</v>
      </c>
      <c r="AD173" s="481">
        <v>3.6999999999999998E-2</v>
      </c>
      <c r="AE173" s="481">
        <v>3.6999999999999998E-2</v>
      </c>
      <c r="AF173" s="480">
        <v>3.6999999999999998E-2</v>
      </c>
      <c r="AG173" s="481">
        <v>0.04</v>
      </c>
      <c r="AH173" s="481">
        <v>0.04</v>
      </c>
      <c r="AI173" s="481">
        <v>0.04</v>
      </c>
      <c r="AJ173" s="481">
        <v>0.04</v>
      </c>
      <c r="AK173" s="480">
        <v>0.04</v>
      </c>
      <c r="AL173" s="482">
        <v>4.2500000000000003E-2</v>
      </c>
      <c r="AM173" s="481">
        <v>4.2500000000000003E-2</v>
      </c>
      <c r="AN173" s="481">
        <v>4.2500000000000003E-2</v>
      </c>
      <c r="AO173" s="481">
        <v>4.2500000000000003E-2</v>
      </c>
      <c r="AP173" s="481">
        <v>4.2500000000000003E-2</v>
      </c>
      <c r="AQ173" s="481">
        <v>4.2500000000000003E-2</v>
      </c>
      <c r="AR173" s="481">
        <v>4.2500000000000003E-2</v>
      </c>
      <c r="AS173" s="481">
        <v>4.2500000000000003E-2</v>
      </c>
      <c r="AT173" s="481">
        <v>4.2500000000000003E-2</v>
      </c>
      <c r="AU173" s="481">
        <v>4.2500000000000003E-2</v>
      </c>
      <c r="AV173" s="482">
        <v>4.2500000000000003E-2</v>
      </c>
      <c r="AW173" s="482">
        <v>4.2500000000000003E-2</v>
      </c>
      <c r="AX173" s="482">
        <v>4.2500000000000003E-2</v>
      </c>
      <c r="AY173" s="482">
        <v>4.2500000000000003E-2</v>
      </c>
      <c r="AZ173" s="482">
        <v>4.2500000000000003E-2</v>
      </c>
      <c r="BA173" s="482">
        <v>4.2500000000000003E-2</v>
      </c>
      <c r="BB173" s="482">
        <v>4.2500000000000003E-2</v>
      </c>
      <c r="BC173" s="482">
        <v>4.2500000000000003E-2</v>
      </c>
      <c r="BD173" s="482">
        <v>4.2500000000000003E-2</v>
      </c>
      <c r="BE173" s="482">
        <v>4.2500000000000003E-2</v>
      </c>
      <c r="BF173" s="482">
        <v>4.2500000000000003E-2</v>
      </c>
      <c r="BG173" s="482">
        <v>4.2500000000000003E-2</v>
      </c>
      <c r="BH173" s="482">
        <v>4.2500000000000003E-2</v>
      </c>
      <c r="BI173" s="482">
        <v>4.2500000000000003E-2</v>
      </c>
      <c r="BJ173" s="482">
        <v>4.2500000000000003E-2</v>
      </c>
      <c r="BK173" s="482">
        <v>4.2999999999999997E-2</v>
      </c>
      <c r="BL173" s="482">
        <v>4.2999999999999997E-2</v>
      </c>
      <c r="BM173" s="482">
        <v>4.2999999999999997E-2</v>
      </c>
      <c r="BN173" s="482">
        <v>4.2999999999999997E-2</v>
      </c>
      <c r="BO173" s="482">
        <v>4.2999999999999997E-2</v>
      </c>
      <c r="BP173" s="482">
        <v>4.2999999999999997E-2</v>
      </c>
      <c r="BQ173" s="482">
        <v>4.2999999999999997E-2</v>
      </c>
      <c r="BR173" s="482">
        <v>4.2999999999999997E-2</v>
      </c>
      <c r="BS173" s="482">
        <v>4.2999999999999997E-2</v>
      </c>
      <c r="BT173" s="482">
        <v>4.2999999999999997E-2</v>
      </c>
      <c r="BU173" s="482">
        <v>4.2999999999999997E-2</v>
      </c>
      <c r="BV173" s="482">
        <v>4.2999999999999997E-2</v>
      </c>
      <c r="BW173" s="482">
        <v>4.2999999999999997E-2</v>
      </c>
      <c r="BX173" s="482">
        <v>4.2999999999999997E-2</v>
      </c>
      <c r="BY173" s="482">
        <v>4.4499999999999998E-2</v>
      </c>
      <c r="BZ173" s="482">
        <v>4.4499999999999998E-2</v>
      </c>
      <c r="CA173" s="482">
        <v>4.7E-2</v>
      </c>
      <c r="CB173" s="482">
        <v>4.7E-2</v>
      </c>
      <c r="CC173" s="482">
        <v>4.7E-2</v>
      </c>
      <c r="CD173" s="482">
        <v>4.7E-2</v>
      </c>
      <c r="CE173" s="482">
        <v>4.7E-2</v>
      </c>
      <c r="CF173" s="482">
        <v>4.7E-2</v>
      </c>
      <c r="CG173" s="482">
        <v>4.7E-2</v>
      </c>
      <c r="CH173" s="482">
        <v>4.7E-2</v>
      </c>
      <c r="CI173" s="482">
        <v>4.7E-2</v>
      </c>
      <c r="CJ173" s="482">
        <v>4.7E-2</v>
      </c>
      <c r="CK173" s="482">
        <v>4.7E-2</v>
      </c>
      <c r="CL173" s="482">
        <v>4.7E-2</v>
      </c>
      <c r="CM173" s="482">
        <v>4.7E-2</v>
      </c>
      <c r="CN173" s="482">
        <v>4.7E-2</v>
      </c>
      <c r="CO173" s="482">
        <v>4.7E-2</v>
      </c>
      <c r="CP173" s="482">
        <v>4.7E-2</v>
      </c>
      <c r="CQ173" s="482">
        <v>4.7E-2</v>
      </c>
      <c r="CR173" s="482">
        <v>4.7E-2</v>
      </c>
      <c r="CS173" s="482">
        <v>4.7E-2</v>
      </c>
      <c r="CT173" s="482">
        <v>4.7E-2</v>
      </c>
      <c r="CU173" s="482">
        <v>4.7E-2</v>
      </c>
      <c r="CV173" s="482">
        <v>4.7E-2</v>
      </c>
      <c r="CW173" s="482">
        <v>4.7E-2</v>
      </c>
      <c r="CX173" s="482">
        <v>4.7E-2</v>
      </c>
      <c r="CY173" s="482">
        <v>4.7E-2</v>
      </c>
      <c r="CZ173" s="482">
        <v>4.7E-2</v>
      </c>
      <c r="DA173" s="482">
        <v>4.7E-2</v>
      </c>
      <c r="DB173" s="482">
        <v>4.7E-2</v>
      </c>
      <c r="DC173" s="482">
        <v>4.7E-2</v>
      </c>
      <c r="DD173" s="482">
        <v>4.7E-2</v>
      </c>
      <c r="DE173" s="482">
        <v>4.7E-2</v>
      </c>
      <c r="DF173" s="482">
        <v>4.7E-2</v>
      </c>
      <c r="DG173" s="482">
        <v>4.7E-2</v>
      </c>
      <c r="DH173" s="482">
        <v>4.7E-2</v>
      </c>
      <c r="DI173" s="482">
        <v>4.7E-2</v>
      </c>
      <c r="DJ173" s="482">
        <v>4.7E-2</v>
      </c>
      <c r="DK173" s="482">
        <v>4.7E-2</v>
      </c>
      <c r="DL173" s="482">
        <v>4.7500000000000001E-2</v>
      </c>
      <c r="DM173" s="482">
        <v>4.7500000000000001E-2</v>
      </c>
      <c r="DN173" s="482">
        <v>4.7500000000000001E-2</v>
      </c>
      <c r="DO173" s="482">
        <v>4.7500000000000001E-2</v>
      </c>
      <c r="DP173" s="482">
        <v>4.7500000000000001E-2</v>
      </c>
      <c r="DQ173" s="482">
        <v>4.7500000000000001E-2</v>
      </c>
      <c r="DR173" s="482">
        <v>4.7500000000000001E-2</v>
      </c>
      <c r="DS173" s="482">
        <v>4.7500000000000001E-2</v>
      </c>
      <c r="DT173" s="482">
        <v>4.7500000000000001E-2</v>
      </c>
      <c r="DU173" s="482">
        <v>4.7500000000000001E-2</v>
      </c>
      <c r="DV173" s="482">
        <v>4.7500000000000001E-2</v>
      </c>
      <c r="DW173" s="482">
        <v>4.7500000000000001E-2</v>
      </c>
      <c r="DX173" s="482">
        <v>4.7500000000000001E-2</v>
      </c>
      <c r="DY173" s="482">
        <v>4.7500000000000001E-2</v>
      </c>
      <c r="DZ173" s="482">
        <v>4.7500000000000001E-2</v>
      </c>
      <c r="EA173" s="482">
        <v>4.7500000000000001E-2</v>
      </c>
      <c r="EB173" s="482">
        <v>4.7500000000000001E-2</v>
      </c>
      <c r="EC173" s="482">
        <v>4.7500000000000001E-2</v>
      </c>
      <c r="ED173" s="482">
        <v>4.7500000000000001E-2</v>
      </c>
      <c r="EE173" s="482">
        <v>4.7500000000000001E-2</v>
      </c>
      <c r="EF173" s="482">
        <v>4.7500000000000001E-2</v>
      </c>
      <c r="EG173" s="482">
        <v>4.7500000000000001E-2</v>
      </c>
      <c r="EH173" s="482">
        <v>4.7500000000000001E-2</v>
      </c>
      <c r="EI173" s="482">
        <v>4.7500000000000001E-2</v>
      </c>
      <c r="EJ173" s="482">
        <v>4.7500000000000001E-2</v>
      </c>
      <c r="EK173" s="482">
        <v>4.7500000000000001E-2</v>
      </c>
      <c r="EL173" s="482">
        <v>4.7500000000000001E-2</v>
      </c>
      <c r="EM173" s="482">
        <v>4.7500000000000001E-2</v>
      </c>
      <c r="EN173" s="482">
        <v>4.7500000000000001E-2</v>
      </c>
      <c r="EO173" s="482">
        <v>4.7500000000000001E-2</v>
      </c>
      <c r="EP173" s="482">
        <v>4.7500000000000001E-2</v>
      </c>
      <c r="EQ173" s="482">
        <v>4.7500000000000001E-2</v>
      </c>
      <c r="ER173" s="482">
        <v>4.7500000000000001E-2</v>
      </c>
      <c r="ES173" s="482">
        <v>4.7500000000000001E-2</v>
      </c>
      <c r="ET173" s="482">
        <v>4.7500000000000001E-2</v>
      </c>
      <c r="EU173" s="482">
        <v>4.7500000000000001E-2</v>
      </c>
      <c r="EV173" s="482">
        <v>4.7500000000000001E-2</v>
      </c>
      <c r="EW173" s="482">
        <v>4.7500000000000001E-2</v>
      </c>
      <c r="EX173" s="482">
        <v>4.7500000000000001E-2</v>
      </c>
      <c r="EY173" s="482">
        <v>4.7500000000000001E-2</v>
      </c>
      <c r="EZ173" s="482">
        <v>4.7500000000000001E-2</v>
      </c>
      <c r="FA173" s="482">
        <v>4.7500000000000001E-2</v>
      </c>
      <c r="FB173" s="482">
        <v>4.7500000000000001E-2</v>
      </c>
      <c r="FC173" s="482">
        <v>4.7500000000000001E-2</v>
      </c>
      <c r="FD173" s="482">
        <v>4.7500000000000001E-2</v>
      </c>
      <c r="FE173" s="482">
        <v>4.7500000000000001E-2</v>
      </c>
      <c r="FF173" s="482">
        <v>4.7500000000000001E-2</v>
      </c>
      <c r="FG173" s="482">
        <v>4.7500000000000001E-2</v>
      </c>
      <c r="FH173" s="482">
        <v>4.7500000000000001E-2</v>
      </c>
      <c r="FI173" s="482">
        <v>4.7500000000000001E-2</v>
      </c>
      <c r="FJ173" s="482">
        <v>4.7500000000000001E-2</v>
      </c>
      <c r="FK173" s="482">
        <v>4.7500000000000001E-2</v>
      </c>
      <c r="FL173" s="482">
        <v>4.7500000000000001E-2</v>
      </c>
      <c r="FM173" s="482">
        <v>4.7500000000000001E-2</v>
      </c>
      <c r="FN173" s="482">
        <v>4.7500000000000001E-2</v>
      </c>
      <c r="FO173" s="482">
        <v>4.7500000000000001E-2</v>
      </c>
      <c r="FP173" s="482">
        <v>4.7500000000000001E-2</v>
      </c>
      <c r="FQ173" s="482">
        <v>4.7500000000000001E-2</v>
      </c>
      <c r="FR173" s="482">
        <v>4.7500000000000001E-2</v>
      </c>
      <c r="FS173" s="482">
        <v>4.7500000000000001E-2</v>
      </c>
      <c r="FT173" s="482">
        <v>4.7500000000000001E-2</v>
      </c>
      <c r="FU173" s="482">
        <v>4.7500000000000001E-2</v>
      </c>
      <c r="FV173" s="482">
        <v>4.7500000000000001E-2</v>
      </c>
      <c r="FW173" s="482">
        <v>4.7500000000000001E-2</v>
      </c>
      <c r="FX173" s="482">
        <v>4.7500000000000001E-2</v>
      </c>
      <c r="FY173" s="482">
        <v>4.7500000000000001E-2</v>
      </c>
      <c r="FZ173" s="482">
        <v>4.7500000000000001E-2</v>
      </c>
      <c r="GA173" s="482">
        <v>4.7500000000000001E-2</v>
      </c>
      <c r="GB173" s="482">
        <v>4.7500000000000001E-2</v>
      </c>
      <c r="GC173" s="482">
        <v>4.7500000000000001E-2</v>
      </c>
      <c r="GD173" s="477">
        <v>3.5999999999999997E-2</v>
      </c>
      <c r="GE173" s="477">
        <v>3.5999999999999997E-2</v>
      </c>
      <c r="GF173" s="477">
        <v>3.5999999999999997E-2</v>
      </c>
      <c r="GG173" s="477">
        <v>3.5999999999999997E-2</v>
      </c>
      <c r="GH173" s="477">
        <v>3.5999999999999997E-2</v>
      </c>
      <c r="GI173" s="477">
        <v>3.5999999999999997E-2</v>
      </c>
      <c r="GJ173" s="477">
        <v>3.5999999999999997E-2</v>
      </c>
      <c r="GK173" s="477">
        <v>3.5999999999999997E-2</v>
      </c>
      <c r="GL173" s="477">
        <v>3.5999999999999997E-2</v>
      </c>
      <c r="GM173" s="477">
        <v>3.5999999999999997E-2</v>
      </c>
      <c r="GN173" s="477">
        <v>3.5999999999999997E-2</v>
      </c>
      <c r="GO173" s="477">
        <v>3.5999999999999997E-2</v>
      </c>
      <c r="GP173" s="477">
        <v>3.5999999999999997E-2</v>
      </c>
      <c r="GQ173" s="477">
        <v>3.5999999999999997E-2</v>
      </c>
      <c r="GR173" s="477">
        <v>3.5999999999999997E-2</v>
      </c>
      <c r="GS173" s="477">
        <v>3.5999999999999997E-2</v>
      </c>
      <c r="GT173" s="477">
        <v>3.5999999999999997E-2</v>
      </c>
      <c r="GU173" s="477">
        <v>3.5999999999999997E-2</v>
      </c>
      <c r="GV173" s="477">
        <v>3.5999999999999997E-2</v>
      </c>
      <c r="GW173" s="477">
        <v>3.5999999999999997E-2</v>
      </c>
      <c r="GX173" s="477">
        <v>3.5999999999999997E-2</v>
      </c>
      <c r="GY173" s="477">
        <v>3.5999999999999997E-2</v>
      </c>
      <c r="GZ173" s="477">
        <v>3.5999999999999997E-2</v>
      </c>
      <c r="HA173" s="477">
        <v>3.5999999999999997E-2</v>
      </c>
      <c r="HB173" s="477">
        <v>3.5999999999999997E-2</v>
      </c>
      <c r="HC173" s="477">
        <v>3.5999999999999997E-2</v>
      </c>
      <c r="HD173" s="477">
        <v>3.5999999999999997E-2</v>
      </c>
      <c r="HE173" s="477">
        <v>3.5999999999999997E-2</v>
      </c>
      <c r="HF173" s="477">
        <v>3.5999999999999997E-2</v>
      </c>
      <c r="HG173" s="477">
        <v>3.5999999999999997E-2</v>
      </c>
      <c r="HH173" s="477">
        <v>3.5999999999999997E-2</v>
      </c>
      <c r="HI173" s="477">
        <v>3.5999999999999997E-2</v>
      </c>
      <c r="HJ173" s="477">
        <v>3.5999999999999997E-2</v>
      </c>
      <c r="HK173" s="477">
        <v>3.5999999999999997E-2</v>
      </c>
      <c r="HL173" s="477">
        <v>3.5999999999999997E-2</v>
      </c>
      <c r="HM173" s="477">
        <v>3.5999999999999997E-2</v>
      </c>
      <c r="HN173" s="477">
        <v>3.5999999999999997E-2</v>
      </c>
      <c r="HO173" s="477">
        <v>3.5999999999999997E-2</v>
      </c>
      <c r="HP173" s="473">
        <f t="shared" si="68"/>
        <v>0</v>
      </c>
      <c r="HQ173" s="525"/>
    </row>
    <row r="174" spans="2:225">
      <c r="B174" s="1149" t="s">
        <v>39</v>
      </c>
      <c r="C174" s="731" t="s">
        <v>237</v>
      </c>
      <c r="D174" s="736">
        <v>2.6599999999999999E-2</v>
      </c>
      <c r="E174" s="736">
        <v>2.6599999999999999E-2</v>
      </c>
      <c r="F174" s="658">
        <v>2.6599999999999999E-2</v>
      </c>
      <c r="G174" s="658">
        <v>2.6200000000000001E-2</v>
      </c>
      <c r="H174" s="736">
        <v>2.6200000000000001E-2</v>
      </c>
      <c r="I174" s="736">
        <v>2.6200000000000001E-2</v>
      </c>
      <c r="J174" s="658">
        <v>2.6200000000000001E-2</v>
      </c>
      <c r="K174" s="658">
        <v>2.6499999999999999E-2</v>
      </c>
      <c r="L174" s="658">
        <v>2.6599999999999999E-2</v>
      </c>
      <c r="M174" s="736">
        <v>2.63E-2</v>
      </c>
      <c r="N174" s="658">
        <v>2.63E-2</v>
      </c>
      <c r="O174" s="658">
        <v>2.6700000000000002E-2</v>
      </c>
      <c r="P174" s="658">
        <v>2.6599999999999999E-2</v>
      </c>
      <c r="Q174" s="658">
        <v>2.7400000000000001E-2</v>
      </c>
      <c r="R174" s="658">
        <v>2.7099999999999999E-2</v>
      </c>
      <c r="S174" s="658">
        <v>2.7300000000000001E-2</v>
      </c>
      <c r="T174" s="503">
        <v>2.81E-2</v>
      </c>
      <c r="U174" s="503">
        <v>2.7699999999999999E-2</v>
      </c>
      <c r="V174" s="503">
        <v>2.7799999999999998E-2</v>
      </c>
      <c r="W174" s="503">
        <v>2.6899999999999997E-2</v>
      </c>
      <c r="X174" s="478">
        <v>2.6799999999999997E-2</v>
      </c>
      <c r="Y174" s="503">
        <v>2.7099999999999999E-2</v>
      </c>
      <c r="Z174" s="503">
        <v>2.7799999999999998E-2</v>
      </c>
      <c r="AA174" s="503">
        <v>2.7699999999999999E-2</v>
      </c>
      <c r="AB174" s="503">
        <v>2.8299999999999999E-2</v>
      </c>
      <c r="AC174" s="503">
        <v>2.81E-2</v>
      </c>
      <c r="AD174" s="503">
        <v>2.86E-2</v>
      </c>
      <c r="AE174" s="503">
        <v>2.98E-2</v>
      </c>
      <c r="AF174" s="503">
        <v>3.0099999999999998E-2</v>
      </c>
      <c r="AG174" s="503">
        <v>3.04E-2</v>
      </c>
      <c r="AH174" s="478">
        <v>3.0300000000000001E-2</v>
      </c>
      <c r="AI174" s="503">
        <v>3.0499999999999999E-2</v>
      </c>
      <c r="AJ174" s="503">
        <v>3.1899999999999998E-2</v>
      </c>
      <c r="AK174" s="503">
        <v>3.2000000000000001E-2</v>
      </c>
      <c r="AL174" s="503">
        <v>3.2300000000000002E-2</v>
      </c>
      <c r="AM174" s="503">
        <v>3.3099999999999997E-2</v>
      </c>
      <c r="AN174" s="503">
        <v>3.1300000000000001E-2</v>
      </c>
      <c r="AO174" s="503">
        <v>3.2899999999999999E-2</v>
      </c>
      <c r="AP174" s="503">
        <v>3.3700000000000001E-2</v>
      </c>
      <c r="AQ174" s="503">
        <v>3.3999999999999996E-2</v>
      </c>
      <c r="AR174" s="478">
        <v>3.3599999999999998E-2</v>
      </c>
      <c r="AS174" s="503">
        <v>3.3799999999999997E-2</v>
      </c>
      <c r="AT174" s="478">
        <v>3.4000000000000002E-2</v>
      </c>
      <c r="AU174" s="478">
        <v>3.4000000000000002E-2</v>
      </c>
      <c r="AV174" s="503">
        <v>3.3000000000000002E-2</v>
      </c>
      <c r="AW174" s="479">
        <v>3.4500000000000003E-2</v>
      </c>
      <c r="AX174" s="479">
        <v>3.4500000000000003E-2</v>
      </c>
      <c r="AY174" s="479">
        <v>3.4500000000000003E-2</v>
      </c>
      <c r="AZ174" s="479">
        <v>3.4500000000000003E-2</v>
      </c>
      <c r="BA174" s="479">
        <v>3.4500000000000003E-2</v>
      </c>
      <c r="BB174" s="479">
        <v>3.4500000000000003E-2</v>
      </c>
      <c r="BC174" s="479">
        <v>3.4500000000000003E-2</v>
      </c>
      <c r="BD174" s="479">
        <v>3.4500000000000003E-2</v>
      </c>
      <c r="BE174" s="479">
        <v>3.4500000000000003E-2</v>
      </c>
      <c r="BF174" s="479">
        <v>3.4500000000000003E-2</v>
      </c>
      <c r="BG174" s="479">
        <v>3.4099999999999998E-2</v>
      </c>
      <c r="BH174" s="479">
        <v>3.4500000000000003E-2</v>
      </c>
      <c r="BI174" s="479">
        <v>3.4500000000000003E-2</v>
      </c>
      <c r="BJ174" s="479">
        <v>3.4500000000000003E-2</v>
      </c>
      <c r="BK174" s="479">
        <v>3.4500000000000003E-2</v>
      </c>
      <c r="BL174" s="479">
        <v>3.4500000000000003E-2</v>
      </c>
      <c r="BM174" s="479">
        <v>3.5099999999999999E-2</v>
      </c>
      <c r="BN174" s="479">
        <v>3.5099999999999999E-2</v>
      </c>
      <c r="BO174" s="479">
        <v>3.4099999999999998E-2</v>
      </c>
      <c r="BP174" s="479">
        <v>3.5299999999999998E-2</v>
      </c>
      <c r="BQ174" s="479">
        <v>3.5299999999999998E-2</v>
      </c>
      <c r="BR174" s="479">
        <v>3.5400000000000001E-2</v>
      </c>
      <c r="BS174" s="479">
        <v>3.5400000000000001E-2</v>
      </c>
      <c r="BT174" s="479">
        <v>3.5000000000000003E-2</v>
      </c>
      <c r="BU174" s="479">
        <v>3.5000000000000003E-2</v>
      </c>
      <c r="BV174" s="479">
        <v>3.1699999999999999E-2</v>
      </c>
      <c r="BW174" s="479">
        <v>3.1699999999999999E-2</v>
      </c>
      <c r="BX174" s="479">
        <v>3.1699999999999999E-2</v>
      </c>
      <c r="BY174" s="479">
        <v>3.1699999999999999E-2</v>
      </c>
      <c r="BZ174" s="479">
        <v>3.1699999999999999E-2</v>
      </c>
      <c r="CA174" s="479">
        <v>3.32E-2</v>
      </c>
      <c r="CB174" s="479">
        <v>3.4000000000000002E-2</v>
      </c>
      <c r="CC174" s="479">
        <v>3.61E-2</v>
      </c>
      <c r="CD174" s="479">
        <v>3.6600000000000001E-2</v>
      </c>
      <c r="CE174" s="479">
        <v>3.7600000000000001E-2</v>
      </c>
      <c r="CF174" s="479">
        <v>3.73E-2</v>
      </c>
      <c r="CG174" s="479">
        <v>3.7600000000000001E-2</v>
      </c>
      <c r="CH174" s="479">
        <v>4.1099999999999998E-2</v>
      </c>
      <c r="CI174" s="479">
        <v>4.1799999999999997E-2</v>
      </c>
      <c r="CJ174" s="479">
        <v>4.2799999999999998E-2</v>
      </c>
      <c r="CK174" s="479">
        <v>4.2799999999999998E-2</v>
      </c>
      <c r="CL174" s="479">
        <v>4.3299999999999998E-2</v>
      </c>
      <c r="CM174" s="479">
        <v>4.3499999999999997E-2</v>
      </c>
      <c r="CN174" s="479">
        <v>4.3799999999999999E-2</v>
      </c>
      <c r="CO174" s="479">
        <v>4.4299999999999999E-2</v>
      </c>
      <c r="CP174" s="479">
        <v>4.4299999999999999E-2</v>
      </c>
      <c r="CQ174" s="479">
        <v>4.4600000000000001E-2</v>
      </c>
      <c r="CR174" s="479">
        <v>4.4299999999999999E-2</v>
      </c>
      <c r="CS174" s="479">
        <v>4.4299999999999999E-2</v>
      </c>
      <c r="CT174" s="479">
        <v>4.4900000000000002E-2</v>
      </c>
      <c r="CU174" s="484">
        <v>4.4900000000000002E-2</v>
      </c>
      <c r="CV174" s="479">
        <v>4.48E-2</v>
      </c>
      <c r="CW174" s="524">
        <v>4.4600000000000001E-2</v>
      </c>
      <c r="CX174" s="472">
        <v>4.36E-2</v>
      </c>
      <c r="CY174" s="472">
        <v>4.36E-2</v>
      </c>
      <c r="CZ174" s="472">
        <v>4.2999999999999997E-2</v>
      </c>
      <c r="DA174" s="472">
        <v>4.3099999999999999E-2</v>
      </c>
      <c r="DB174" s="472">
        <v>4.3200000000000002E-2</v>
      </c>
      <c r="DC174" s="472">
        <v>4.3200000000000002E-2</v>
      </c>
      <c r="DD174" s="472">
        <v>4.4999999999999998E-2</v>
      </c>
      <c r="DE174" s="472">
        <v>4.4999999999999998E-2</v>
      </c>
      <c r="DF174" s="472">
        <v>4.4999999999999998E-2</v>
      </c>
      <c r="DG174" s="472">
        <v>4.4299999999999999E-2</v>
      </c>
      <c r="DH174" s="472">
        <v>4.36E-2</v>
      </c>
      <c r="DI174" s="472">
        <v>4.3999999999999997E-2</v>
      </c>
      <c r="DJ174" s="472">
        <v>4.3299999999999998E-2</v>
      </c>
      <c r="DK174" s="472">
        <v>4.4499999999999998E-2</v>
      </c>
      <c r="DL174" s="472">
        <v>4.4699999999999997E-2</v>
      </c>
      <c r="DM174" s="472">
        <v>4.4699999999999997E-2</v>
      </c>
      <c r="DN174" s="472">
        <v>4.5600000000000002E-2</v>
      </c>
      <c r="DO174" s="472">
        <v>4.7100000000000003E-2</v>
      </c>
      <c r="DP174" s="472">
        <v>4.7E-2</v>
      </c>
      <c r="DQ174" s="472">
        <v>4.8399999999999999E-2</v>
      </c>
      <c r="DR174" s="472">
        <v>4.6300000000000001E-2</v>
      </c>
      <c r="DS174" s="472">
        <v>4.6800000000000001E-2</v>
      </c>
      <c r="DT174" s="472">
        <v>4.6199999999999998E-2</v>
      </c>
      <c r="DU174" s="472">
        <v>4.6800000000000001E-2</v>
      </c>
      <c r="DV174" s="472">
        <v>4.6899999999999997E-2</v>
      </c>
      <c r="DW174" s="472">
        <v>4.6800000000000001E-2</v>
      </c>
      <c r="DX174" s="472">
        <v>4.6800000000000001E-2</v>
      </c>
      <c r="DY174" s="472">
        <v>4.7199999999999999E-2</v>
      </c>
      <c r="DZ174" s="472">
        <v>4.7E-2</v>
      </c>
      <c r="EA174" s="472">
        <v>4.6699999999999998E-2</v>
      </c>
      <c r="EB174" s="472">
        <v>4.6300000000000001E-2</v>
      </c>
      <c r="EC174" s="472">
        <v>4.6300000000000001E-2</v>
      </c>
      <c r="ED174" s="472">
        <v>4.6300000000000001E-2</v>
      </c>
      <c r="EE174" s="472">
        <v>4.6300000000000001E-2</v>
      </c>
      <c r="EF174" s="472">
        <v>4.6300000000000001E-2</v>
      </c>
      <c r="EG174" s="472">
        <v>4.6399999999999997E-2</v>
      </c>
      <c r="EH174" s="472">
        <v>4.6699999999999998E-2</v>
      </c>
      <c r="EI174" s="472"/>
      <c r="EJ174" s="472"/>
      <c r="EK174" s="472"/>
      <c r="EL174" s="472"/>
      <c r="EM174" s="472"/>
      <c r="EN174" s="472"/>
      <c r="EO174" s="472"/>
      <c r="EP174" s="472"/>
      <c r="EQ174" s="472"/>
      <c r="ER174" s="472"/>
      <c r="ES174" s="472"/>
      <c r="ET174" s="472"/>
      <c r="EU174" s="472"/>
      <c r="EV174" s="472"/>
      <c r="EW174" s="472"/>
      <c r="EX174" s="472"/>
      <c r="EY174" s="472"/>
      <c r="EZ174" s="472"/>
      <c r="FA174" s="472"/>
      <c r="FB174" s="472"/>
      <c r="FC174" s="472"/>
      <c r="FD174" s="472"/>
      <c r="FE174" s="472"/>
      <c r="FF174" s="472"/>
      <c r="FG174" s="472"/>
      <c r="FH174" s="472"/>
      <c r="FI174" s="472"/>
      <c r="FJ174" s="472"/>
      <c r="FK174" s="472"/>
      <c r="FL174" s="472"/>
      <c r="FM174" s="472"/>
      <c r="FN174" s="472"/>
      <c r="FO174" s="472"/>
      <c r="FP174" s="472"/>
      <c r="FQ174" s="472"/>
      <c r="FR174" s="472"/>
      <c r="FS174" s="472"/>
      <c r="FT174" s="472"/>
      <c r="FU174" s="472"/>
      <c r="FV174" s="472"/>
      <c r="FW174" s="472"/>
      <c r="FX174" s="472">
        <v>4.6699999999999998E-2</v>
      </c>
      <c r="FY174" s="482"/>
      <c r="FZ174" s="482"/>
      <c r="GA174" s="482"/>
      <c r="GB174" s="482"/>
      <c r="GC174" s="482"/>
      <c r="GD174" s="477"/>
      <c r="GE174" s="477"/>
      <c r="GF174" s="477"/>
      <c r="GG174" s="477"/>
      <c r="GH174" s="477"/>
      <c r="GI174" s="477"/>
      <c r="GJ174" s="477"/>
      <c r="GK174" s="477"/>
      <c r="GL174" s="477"/>
      <c r="GM174" s="477"/>
      <c r="GN174" s="477"/>
      <c r="GO174" s="477"/>
      <c r="GP174" s="477"/>
      <c r="GQ174" s="477"/>
      <c r="GR174" s="477"/>
      <c r="GS174" s="477"/>
      <c r="GT174" s="477"/>
      <c r="GU174" s="477"/>
      <c r="GV174" s="477"/>
      <c r="GW174" s="477"/>
      <c r="GX174" s="477"/>
      <c r="GY174" s="477"/>
      <c r="GZ174" s="477"/>
      <c r="HA174" s="477"/>
      <c r="HB174" s="477"/>
      <c r="HC174" s="477"/>
      <c r="HD174" s="477"/>
      <c r="HE174" s="477"/>
      <c r="HF174" s="477"/>
      <c r="HG174" s="477"/>
      <c r="HH174" s="477"/>
      <c r="HI174" s="477"/>
      <c r="HJ174" s="477"/>
      <c r="HK174" s="477"/>
      <c r="HL174" s="477"/>
      <c r="HM174" s="477"/>
      <c r="HN174" s="477"/>
      <c r="HO174" s="477"/>
      <c r="HP174" s="473">
        <f t="shared" si="68"/>
        <v>0</v>
      </c>
      <c r="HQ174" s="525"/>
    </row>
    <row r="175" spans="2:225">
      <c r="B175" s="1150"/>
      <c r="C175" s="731" t="s">
        <v>236</v>
      </c>
      <c r="D175" s="736">
        <v>2.7400000000000001E-2</v>
      </c>
      <c r="E175" s="736">
        <v>2.7400000000000001E-2</v>
      </c>
      <c r="F175" s="658">
        <v>2.7400000000000001E-2</v>
      </c>
      <c r="G175" s="658">
        <v>2.7E-2</v>
      </c>
      <c r="H175" s="736">
        <v>2.7E-2</v>
      </c>
      <c r="I175" s="736">
        <v>2.7E-2</v>
      </c>
      <c r="J175" s="658">
        <v>2.7E-2</v>
      </c>
      <c r="K175" s="658">
        <v>2.7300000000000001E-2</v>
      </c>
      <c r="L175" s="658">
        <v>2.7400000000000001E-2</v>
      </c>
      <c r="M175" s="736">
        <v>2.7099999999999999E-2</v>
      </c>
      <c r="N175" s="658">
        <v>2.7099999999999999E-2</v>
      </c>
      <c r="O175" s="658">
        <v>2.75E-2</v>
      </c>
      <c r="P175" s="658">
        <v>2.7400000000000001E-2</v>
      </c>
      <c r="Q175" s="658">
        <v>2.8199999999999999E-2</v>
      </c>
      <c r="R175" s="658">
        <v>2.7900000000000001E-2</v>
      </c>
      <c r="S175" s="658">
        <v>2.81E-2</v>
      </c>
      <c r="T175" s="503">
        <v>2.8899999999999999E-2</v>
      </c>
      <c r="U175" s="503">
        <v>2.8500000000000001E-2</v>
      </c>
      <c r="V175" s="503">
        <v>2.86E-2</v>
      </c>
      <c r="W175" s="503">
        <v>2.7699999999999999E-2</v>
      </c>
      <c r="X175" s="478">
        <v>2.76E-2</v>
      </c>
      <c r="Y175" s="503">
        <v>2.7900000000000001E-2</v>
      </c>
      <c r="Z175" s="503">
        <v>2.86E-2</v>
      </c>
      <c r="AA175" s="503">
        <v>2.8500000000000001E-2</v>
      </c>
      <c r="AB175" s="503">
        <v>2.9099999999999997E-2</v>
      </c>
      <c r="AC175" s="503">
        <v>2.8899999999999999E-2</v>
      </c>
      <c r="AD175" s="503">
        <v>2.9399999999999999E-2</v>
      </c>
      <c r="AE175" s="503">
        <v>3.0599999999999999E-2</v>
      </c>
      <c r="AF175" s="503">
        <v>3.09E-2</v>
      </c>
      <c r="AG175" s="503">
        <v>3.1199999999999999E-2</v>
      </c>
      <c r="AH175" s="478">
        <v>3.1099999999999999E-2</v>
      </c>
      <c r="AI175" s="503">
        <v>3.1300000000000001E-2</v>
      </c>
      <c r="AJ175" s="503">
        <v>3.27E-2</v>
      </c>
      <c r="AK175" s="503">
        <v>3.2800000000000003E-2</v>
      </c>
      <c r="AL175" s="503">
        <v>3.3099999999999997E-2</v>
      </c>
      <c r="AM175" s="503">
        <v>3.3399999999999999E-2</v>
      </c>
      <c r="AN175" s="503">
        <v>3.2099999999999997E-2</v>
      </c>
      <c r="AO175" s="503">
        <v>3.32E-2</v>
      </c>
      <c r="AP175" s="503">
        <v>3.4000000000000002E-2</v>
      </c>
      <c r="AQ175" s="503">
        <v>3.4299999999999997E-2</v>
      </c>
      <c r="AR175" s="478">
        <v>3.39E-2</v>
      </c>
      <c r="AS175" s="503">
        <v>3.4099999999999998E-2</v>
      </c>
      <c r="AT175" s="478">
        <v>3.4299999999999997E-2</v>
      </c>
      <c r="AU175" s="478">
        <v>3.4299999999999997E-2</v>
      </c>
      <c r="AV175" s="503">
        <v>3.3300000000000003E-2</v>
      </c>
      <c r="AW175" s="479">
        <v>3.4799999999999998E-2</v>
      </c>
      <c r="AX175" s="479">
        <v>3.4799999999999998E-2</v>
      </c>
      <c r="AY175" s="479">
        <v>3.4799999999999998E-2</v>
      </c>
      <c r="AZ175" s="479">
        <v>3.4799999999999998E-2</v>
      </c>
      <c r="BA175" s="479">
        <v>3.4799999999999998E-2</v>
      </c>
      <c r="BB175" s="479">
        <v>3.4799999999999998E-2</v>
      </c>
      <c r="BC175" s="479">
        <v>3.4799999999999998E-2</v>
      </c>
      <c r="BD175" s="479">
        <v>3.4799999999999998E-2</v>
      </c>
      <c r="BE175" s="479">
        <v>3.4799999999999998E-2</v>
      </c>
      <c r="BF175" s="479">
        <v>3.4799999999999998E-2</v>
      </c>
      <c r="BG175" s="479">
        <v>3.44E-2</v>
      </c>
      <c r="BH175" s="479">
        <v>3.4799999999999998E-2</v>
      </c>
      <c r="BI175" s="479">
        <v>3.4799999999999998E-2</v>
      </c>
      <c r="BJ175" s="479">
        <v>3.4799999999999998E-2</v>
      </c>
      <c r="BK175" s="479">
        <v>3.4799999999999998E-2</v>
      </c>
      <c r="BL175" s="479">
        <v>3.4799999999999998E-2</v>
      </c>
      <c r="BM175" s="479">
        <v>3.5400000000000001E-2</v>
      </c>
      <c r="BN175" s="479">
        <v>3.5400000000000001E-2</v>
      </c>
      <c r="BO175" s="479">
        <v>3.44E-2</v>
      </c>
      <c r="BP175" s="479">
        <v>3.56E-2</v>
      </c>
      <c r="BQ175" s="479">
        <v>3.56E-2</v>
      </c>
      <c r="BR175" s="479">
        <v>3.5700000000000003E-2</v>
      </c>
      <c r="BS175" s="479">
        <v>3.5700000000000003E-2</v>
      </c>
      <c r="BT175" s="479">
        <v>3.5299999999999998E-2</v>
      </c>
      <c r="BU175" s="479">
        <v>3.5299999999999998E-2</v>
      </c>
      <c r="BV175" s="479">
        <v>3.2000000000000001E-2</v>
      </c>
      <c r="BW175" s="479">
        <v>3.2000000000000001E-2</v>
      </c>
      <c r="BX175" s="479">
        <v>3.2000000000000001E-2</v>
      </c>
      <c r="BY175" s="479">
        <v>3.2000000000000001E-2</v>
      </c>
      <c r="BZ175" s="479">
        <v>3.2000000000000001E-2</v>
      </c>
      <c r="CA175" s="479">
        <v>3.3500000000000002E-2</v>
      </c>
      <c r="CB175" s="479">
        <v>3.4299999999999997E-2</v>
      </c>
      <c r="CC175" s="479">
        <v>3.6400000000000002E-2</v>
      </c>
      <c r="CD175" s="479">
        <v>3.6900000000000002E-2</v>
      </c>
      <c r="CE175" s="479">
        <v>3.7900000000000003E-2</v>
      </c>
      <c r="CF175" s="479">
        <v>3.7600000000000001E-2</v>
      </c>
      <c r="CG175" s="479">
        <v>3.7900000000000003E-2</v>
      </c>
      <c r="CH175" s="479">
        <v>4.1399999999999999E-2</v>
      </c>
      <c r="CI175" s="479">
        <v>4.2099999999999999E-2</v>
      </c>
      <c r="CJ175" s="479">
        <v>4.3099999999999999E-2</v>
      </c>
      <c r="CK175" s="479">
        <v>4.3099999999999999E-2</v>
      </c>
      <c r="CL175" s="479">
        <v>4.36E-2</v>
      </c>
      <c r="CM175" s="479">
        <v>4.3799999999999999E-2</v>
      </c>
      <c r="CN175" s="479">
        <v>4.41E-2</v>
      </c>
      <c r="CO175" s="479">
        <v>4.4600000000000001E-2</v>
      </c>
      <c r="CP175" s="479">
        <v>4.4600000000000001E-2</v>
      </c>
      <c r="CQ175" s="479">
        <v>4.4900000000000002E-2</v>
      </c>
      <c r="CR175" s="479">
        <v>4.4600000000000001E-2</v>
      </c>
      <c r="CS175" s="479">
        <v>4.4600000000000001E-2</v>
      </c>
      <c r="CT175" s="479">
        <v>4.5199999999999997E-2</v>
      </c>
      <c r="CU175" s="484">
        <v>4.5199999999999997E-2</v>
      </c>
      <c r="CV175" s="479">
        <v>4.5100000000000001E-2</v>
      </c>
      <c r="CW175" s="524">
        <v>4.4900000000000002E-2</v>
      </c>
      <c r="CX175" s="472">
        <v>4.3900000000000002E-2</v>
      </c>
      <c r="CY175" s="472">
        <v>4.3900000000000002E-2</v>
      </c>
      <c r="CZ175" s="472">
        <v>4.3299999999999998E-2</v>
      </c>
      <c r="DA175" s="472">
        <v>4.3400000000000001E-2</v>
      </c>
      <c r="DB175" s="472">
        <v>4.3499999999999997E-2</v>
      </c>
      <c r="DC175" s="472">
        <v>4.3499999999999997E-2</v>
      </c>
      <c r="DD175" s="472">
        <v>4.53E-2</v>
      </c>
      <c r="DE175" s="472">
        <v>4.53E-2</v>
      </c>
      <c r="DF175" s="472">
        <v>4.53E-2</v>
      </c>
      <c r="DG175" s="472">
        <v>4.4600000000000001E-2</v>
      </c>
      <c r="DH175" s="472">
        <v>4.3900000000000002E-2</v>
      </c>
      <c r="DI175" s="472">
        <v>4.4299999999999999E-2</v>
      </c>
      <c r="DJ175" s="472">
        <v>4.36E-2</v>
      </c>
      <c r="DK175" s="472">
        <v>4.48E-2</v>
      </c>
      <c r="DL175" s="472">
        <v>4.4999999999999998E-2</v>
      </c>
      <c r="DM175" s="472">
        <v>4.4999999999999998E-2</v>
      </c>
      <c r="DN175" s="472">
        <v>4.5900000000000003E-2</v>
      </c>
      <c r="DO175" s="472">
        <v>4.7399999999999998E-2</v>
      </c>
      <c r="DP175" s="472">
        <v>4.7300000000000002E-2</v>
      </c>
      <c r="DQ175" s="472">
        <v>4.87E-2</v>
      </c>
      <c r="DR175" s="472">
        <v>4.65E-2</v>
      </c>
      <c r="DS175" s="472">
        <v>4.7E-2</v>
      </c>
      <c r="DT175" s="472">
        <v>4.6199999999999998E-2</v>
      </c>
      <c r="DU175" s="472">
        <v>4.6800000000000001E-2</v>
      </c>
      <c r="DV175" s="472">
        <v>4.6899999999999997E-2</v>
      </c>
      <c r="DW175" s="472">
        <v>4.6800000000000001E-2</v>
      </c>
      <c r="DX175" s="472">
        <v>4.6800000000000001E-2</v>
      </c>
      <c r="DY175" s="472">
        <v>4.7199999999999999E-2</v>
      </c>
      <c r="DZ175" s="472">
        <v>4.7E-2</v>
      </c>
      <c r="EA175" s="472">
        <v>4.6699999999999998E-2</v>
      </c>
      <c r="EB175" s="472">
        <v>4.6300000000000001E-2</v>
      </c>
      <c r="EC175" s="472">
        <v>4.6300000000000001E-2</v>
      </c>
      <c r="ED175" s="472">
        <v>4.6300000000000001E-2</v>
      </c>
      <c r="EE175" s="472">
        <v>4.6300000000000001E-2</v>
      </c>
      <c r="EF175" s="472">
        <v>4.6300000000000001E-2</v>
      </c>
      <c r="EG175" s="472">
        <v>4.6399999999999997E-2</v>
      </c>
      <c r="EH175" s="472">
        <v>4.6699999999999998E-2</v>
      </c>
      <c r="EI175" s="472"/>
      <c r="EJ175" s="472"/>
      <c r="EK175" s="472"/>
      <c r="EL175" s="472"/>
      <c r="EM175" s="472"/>
      <c r="EN175" s="472"/>
      <c r="EO175" s="472"/>
      <c r="EP175" s="472"/>
      <c r="EQ175" s="472"/>
      <c r="ER175" s="472"/>
      <c r="ES175" s="472"/>
      <c r="ET175" s="472"/>
      <c r="EU175" s="472"/>
      <c r="EV175" s="472"/>
      <c r="EW175" s="472"/>
      <c r="EX175" s="472"/>
      <c r="EY175" s="472"/>
      <c r="EZ175" s="472"/>
      <c r="FA175" s="472"/>
      <c r="FB175" s="472"/>
      <c r="FC175" s="472"/>
      <c r="FD175" s="472"/>
      <c r="FE175" s="472"/>
      <c r="FF175" s="472"/>
      <c r="FG175" s="472"/>
      <c r="FH175" s="472"/>
      <c r="FI175" s="472"/>
      <c r="FJ175" s="472"/>
      <c r="FK175" s="472"/>
      <c r="FL175" s="472"/>
      <c r="FM175" s="472"/>
      <c r="FN175" s="472"/>
      <c r="FO175" s="472"/>
      <c r="FP175" s="472"/>
      <c r="FQ175" s="472"/>
      <c r="FR175" s="472"/>
      <c r="FS175" s="472"/>
      <c r="FT175" s="472"/>
      <c r="FU175" s="472"/>
      <c r="FV175" s="472"/>
      <c r="FW175" s="472"/>
      <c r="FX175" s="472">
        <v>4.6699999999999998E-2</v>
      </c>
      <c r="FY175" s="482"/>
      <c r="FZ175" s="482"/>
      <c r="GA175" s="482"/>
      <c r="GB175" s="482"/>
      <c r="GC175" s="482"/>
      <c r="GD175" s="477"/>
      <c r="GE175" s="477"/>
      <c r="GF175" s="477"/>
      <c r="GG175" s="477"/>
      <c r="GH175" s="477"/>
      <c r="GI175" s="477"/>
      <c r="GJ175" s="477"/>
      <c r="GK175" s="477"/>
      <c r="GL175" s="477"/>
      <c r="GM175" s="477"/>
      <c r="GN175" s="477"/>
      <c r="GO175" s="477"/>
      <c r="GP175" s="477"/>
      <c r="GQ175" s="477"/>
      <c r="GR175" s="477"/>
      <c r="GS175" s="477"/>
      <c r="GT175" s="477"/>
      <c r="GU175" s="477"/>
      <c r="GV175" s="477"/>
      <c r="GW175" s="477"/>
      <c r="GX175" s="477"/>
      <c r="GY175" s="477"/>
      <c r="GZ175" s="477"/>
      <c r="HA175" s="477"/>
      <c r="HB175" s="477"/>
      <c r="HC175" s="477"/>
      <c r="HD175" s="477"/>
      <c r="HE175" s="477"/>
      <c r="HF175" s="477"/>
      <c r="HG175" s="477"/>
      <c r="HH175" s="477"/>
      <c r="HI175" s="477"/>
      <c r="HJ175" s="477"/>
      <c r="HK175" s="477"/>
      <c r="HL175" s="477"/>
      <c r="HM175" s="477"/>
      <c r="HN175" s="477"/>
      <c r="HO175" s="477"/>
      <c r="HP175" s="473">
        <f t="shared" si="68"/>
        <v>0</v>
      </c>
      <c r="HQ175" s="525"/>
    </row>
    <row r="176" spans="2:225">
      <c r="B176" s="1150"/>
      <c r="C176" s="731" t="s">
        <v>235</v>
      </c>
      <c r="D176" s="736">
        <v>2.9000000000000001E-2</v>
      </c>
      <c r="E176" s="736">
        <v>2.9000000000000001E-2</v>
      </c>
      <c r="F176" s="658">
        <v>2.9000000000000001E-2</v>
      </c>
      <c r="G176" s="658">
        <v>2.86E-2</v>
      </c>
      <c r="H176" s="736">
        <v>2.86E-2</v>
      </c>
      <c r="I176" s="736">
        <v>2.86E-2</v>
      </c>
      <c r="J176" s="658">
        <v>2.86E-2</v>
      </c>
      <c r="K176" s="658">
        <v>2.8899999999999999E-2</v>
      </c>
      <c r="L176" s="658">
        <v>2.9000000000000001E-2</v>
      </c>
      <c r="M176" s="736">
        <v>2.87E-2</v>
      </c>
      <c r="N176" s="658">
        <v>2.87E-2</v>
      </c>
      <c r="O176" s="658">
        <v>2.9100000000000001E-2</v>
      </c>
      <c r="P176" s="658">
        <v>2.9000000000000001E-2</v>
      </c>
      <c r="Q176" s="658">
        <v>2.98E-2</v>
      </c>
      <c r="R176" s="658">
        <v>2.9499999999999998E-2</v>
      </c>
      <c r="S176" s="658">
        <v>2.9700000000000001E-2</v>
      </c>
      <c r="T176" s="503">
        <v>3.0499999999999999E-2</v>
      </c>
      <c r="U176" s="503">
        <v>3.0099999999999998E-2</v>
      </c>
      <c r="V176" s="503">
        <v>3.0199999999999998E-2</v>
      </c>
      <c r="W176" s="503">
        <v>2.9299999999999996E-2</v>
      </c>
      <c r="X176" s="478">
        <v>2.9199999999999997E-2</v>
      </c>
      <c r="Y176" s="503">
        <v>2.9499999999999998E-2</v>
      </c>
      <c r="Z176" s="503">
        <v>3.0199999999999998E-2</v>
      </c>
      <c r="AA176" s="503">
        <v>3.0099999999999998E-2</v>
      </c>
      <c r="AB176" s="503">
        <v>3.0699999999999998E-2</v>
      </c>
      <c r="AC176" s="503">
        <v>3.0499999999999999E-2</v>
      </c>
      <c r="AD176" s="503">
        <v>3.1E-2</v>
      </c>
      <c r="AE176" s="503">
        <v>3.2199999999999999E-2</v>
      </c>
      <c r="AF176" s="503">
        <v>3.2500000000000001E-2</v>
      </c>
      <c r="AG176" s="503">
        <v>3.2800000000000003E-2</v>
      </c>
      <c r="AH176" s="478">
        <v>3.27E-2</v>
      </c>
      <c r="AI176" s="503">
        <v>3.2899999999999999E-2</v>
      </c>
      <c r="AJ176" s="503">
        <v>3.4299999999999997E-2</v>
      </c>
      <c r="AK176" s="503">
        <v>3.44E-2</v>
      </c>
      <c r="AL176" s="503">
        <v>3.4700000000000002E-2</v>
      </c>
      <c r="AM176" s="503">
        <v>3.4500000000000003E-2</v>
      </c>
      <c r="AN176" s="503">
        <v>3.3700000000000001E-2</v>
      </c>
      <c r="AO176" s="503">
        <v>3.4299999999999997E-2</v>
      </c>
      <c r="AP176" s="503">
        <v>3.5099999999999999E-2</v>
      </c>
      <c r="AQ176" s="503">
        <v>3.5400000000000001E-2</v>
      </c>
      <c r="AR176" s="478">
        <v>3.5000000000000003E-2</v>
      </c>
      <c r="AS176" s="503">
        <v>3.5200000000000002E-2</v>
      </c>
      <c r="AT176" s="478">
        <v>3.5400000000000001E-2</v>
      </c>
      <c r="AU176" s="478">
        <v>3.5400000000000001E-2</v>
      </c>
      <c r="AV176" s="503">
        <v>3.44E-2</v>
      </c>
      <c r="AW176" s="479">
        <v>3.5900000000000001E-2</v>
      </c>
      <c r="AX176" s="479">
        <v>3.5900000000000001E-2</v>
      </c>
      <c r="AY176" s="479">
        <v>3.5900000000000001E-2</v>
      </c>
      <c r="AZ176" s="479">
        <v>3.5900000000000001E-2</v>
      </c>
      <c r="BA176" s="479">
        <v>3.5900000000000001E-2</v>
      </c>
      <c r="BB176" s="479">
        <v>3.5900000000000001E-2</v>
      </c>
      <c r="BC176" s="479">
        <v>3.5900000000000001E-2</v>
      </c>
      <c r="BD176" s="479">
        <v>3.5900000000000001E-2</v>
      </c>
      <c r="BE176" s="479">
        <v>3.5900000000000001E-2</v>
      </c>
      <c r="BF176" s="479">
        <v>3.5900000000000001E-2</v>
      </c>
      <c r="BG176" s="479">
        <v>3.5499999999999997E-2</v>
      </c>
      <c r="BH176" s="479">
        <v>3.5900000000000001E-2</v>
      </c>
      <c r="BI176" s="479">
        <v>3.5900000000000001E-2</v>
      </c>
      <c r="BJ176" s="479">
        <v>3.5900000000000001E-2</v>
      </c>
      <c r="BK176" s="479">
        <v>3.5900000000000001E-2</v>
      </c>
      <c r="BL176" s="479">
        <v>3.5900000000000001E-2</v>
      </c>
      <c r="BM176" s="479">
        <v>3.6499999999999998E-2</v>
      </c>
      <c r="BN176" s="479">
        <v>3.6499999999999998E-2</v>
      </c>
      <c r="BO176" s="479">
        <v>3.5499999999999997E-2</v>
      </c>
      <c r="BP176" s="479">
        <v>3.6700000000000003E-2</v>
      </c>
      <c r="BQ176" s="479">
        <v>3.6700000000000003E-2</v>
      </c>
      <c r="BR176" s="479">
        <v>3.6799999999999999E-2</v>
      </c>
      <c r="BS176" s="479">
        <v>3.6799999999999999E-2</v>
      </c>
      <c r="BT176" s="479">
        <v>3.6400000000000002E-2</v>
      </c>
      <c r="BU176" s="479">
        <v>3.6400000000000002E-2</v>
      </c>
      <c r="BV176" s="479">
        <v>3.3099999999999997E-2</v>
      </c>
      <c r="BW176" s="479">
        <v>3.3099999999999997E-2</v>
      </c>
      <c r="BX176" s="479">
        <v>3.3099999999999997E-2</v>
      </c>
      <c r="BY176" s="479">
        <v>3.3099999999999997E-2</v>
      </c>
      <c r="BZ176" s="479">
        <v>3.3099999999999997E-2</v>
      </c>
      <c r="CA176" s="479">
        <v>3.4599999999999999E-2</v>
      </c>
      <c r="CB176" s="479">
        <v>3.5400000000000001E-2</v>
      </c>
      <c r="CC176" s="479">
        <v>3.7499999999999999E-2</v>
      </c>
      <c r="CD176" s="479">
        <v>3.7999999999999999E-2</v>
      </c>
      <c r="CE176" s="479">
        <v>3.9E-2</v>
      </c>
      <c r="CF176" s="479">
        <v>3.8699999999999998E-2</v>
      </c>
      <c r="CG176" s="479">
        <v>3.9E-2</v>
      </c>
      <c r="CH176" s="479">
        <v>4.2500000000000003E-2</v>
      </c>
      <c r="CI176" s="479">
        <v>4.3200000000000002E-2</v>
      </c>
      <c r="CJ176" s="479">
        <v>4.4200000000000003E-2</v>
      </c>
      <c r="CK176" s="479">
        <v>4.4200000000000003E-2</v>
      </c>
      <c r="CL176" s="479">
        <v>4.4699999999999997E-2</v>
      </c>
      <c r="CM176" s="479">
        <v>4.4900000000000002E-2</v>
      </c>
      <c r="CN176" s="479">
        <v>4.5199999999999997E-2</v>
      </c>
      <c r="CO176" s="479">
        <v>4.5699999999999998E-2</v>
      </c>
      <c r="CP176" s="479">
        <v>4.5699999999999998E-2</v>
      </c>
      <c r="CQ176" s="479">
        <v>4.5999999999999999E-2</v>
      </c>
      <c r="CR176" s="479">
        <v>4.5699999999999998E-2</v>
      </c>
      <c r="CS176" s="479">
        <v>4.5699999999999998E-2</v>
      </c>
      <c r="CT176" s="479">
        <v>4.6300000000000001E-2</v>
      </c>
      <c r="CU176" s="484">
        <v>4.6300000000000001E-2</v>
      </c>
      <c r="CV176" s="479">
        <v>4.6199999999999998E-2</v>
      </c>
      <c r="CW176" s="524">
        <v>4.5999999999999999E-2</v>
      </c>
      <c r="CX176" s="472">
        <v>4.4999999999999998E-2</v>
      </c>
      <c r="CY176" s="472">
        <v>4.4999999999999998E-2</v>
      </c>
      <c r="CZ176" s="472">
        <v>4.4400000000000002E-2</v>
      </c>
      <c r="DA176" s="472">
        <v>4.4499999999999998E-2</v>
      </c>
      <c r="DB176" s="472">
        <v>4.4600000000000001E-2</v>
      </c>
      <c r="DC176" s="472">
        <v>4.4600000000000001E-2</v>
      </c>
      <c r="DD176" s="472">
        <v>4.6399999999999997E-2</v>
      </c>
      <c r="DE176" s="472">
        <v>4.6399999999999997E-2</v>
      </c>
      <c r="DF176" s="472">
        <v>4.6399999999999997E-2</v>
      </c>
      <c r="DG176" s="472">
        <v>4.5699999999999998E-2</v>
      </c>
      <c r="DH176" s="472">
        <v>4.4999999999999998E-2</v>
      </c>
      <c r="DI176" s="472">
        <v>4.5400000000000003E-2</v>
      </c>
      <c r="DJ176" s="472">
        <v>4.4699999999999997E-2</v>
      </c>
      <c r="DK176" s="472">
        <v>4.5900000000000003E-2</v>
      </c>
      <c r="DL176" s="472">
        <v>4.6100000000000002E-2</v>
      </c>
      <c r="DM176" s="472">
        <v>4.6100000000000002E-2</v>
      </c>
      <c r="DN176" s="472">
        <v>4.7E-2</v>
      </c>
      <c r="DO176" s="472">
        <v>4.8500000000000001E-2</v>
      </c>
      <c r="DP176" s="472">
        <v>4.8399999999999999E-2</v>
      </c>
      <c r="DQ176" s="472">
        <v>4.9799999999999997E-2</v>
      </c>
      <c r="DR176" s="472">
        <v>4.6899999999999997E-2</v>
      </c>
      <c r="DS176" s="472">
        <v>4.7399999999999998E-2</v>
      </c>
      <c r="DT176" s="472">
        <v>4.7699999999999999E-2</v>
      </c>
      <c r="DU176" s="472">
        <v>4.7600000000000003E-2</v>
      </c>
      <c r="DV176" s="472">
        <v>4.7699999999999999E-2</v>
      </c>
      <c r="DW176" s="472">
        <v>4.7600000000000003E-2</v>
      </c>
      <c r="DX176" s="472">
        <v>4.7600000000000003E-2</v>
      </c>
      <c r="DY176" s="472">
        <v>4.8000000000000001E-2</v>
      </c>
      <c r="DZ176" s="472">
        <v>4.7800000000000002E-2</v>
      </c>
      <c r="EA176" s="472">
        <v>4.7500000000000001E-2</v>
      </c>
      <c r="EB176" s="472">
        <v>4.7100000000000003E-2</v>
      </c>
      <c r="EC176" s="472">
        <v>4.7100000000000003E-2</v>
      </c>
      <c r="ED176" s="472">
        <v>4.7100000000000003E-2</v>
      </c>
      <c r="EE176" s="472">
        <v>4.7100000000000003E-2</v>
      </c>
      <c r="EF176" s="472">
        <v>4.7100000000000003E-2</v>
      </c>
      <c r="EG176" s="472">
        <v>4.7199999999999999E-2</v>
      </c>
      <c r="EH176" s="472">
        <v>4.7500000000000001E-2</v>
      </c>
      <c r="EI176" s="472"/>
      <c r="EJ176" s="472"/>
      <c r="EK176" s="472"/>
      <c r="EL176" s="472"/>
      <c r="EM176" s="472"/>
      <c r="EN176" s="472"/>
      <c r="EO176" s="472"/>
      <c r="EP176" s="472"/>
      <c r="EQ176" s="472"/>
      <c r="ER176" s="472"/>
      <c r="ES176" s="472"/>
      <c r="ET176" s="472"/>
      <c r="EU176" s="472"/>
      <c r="EV176" s="472"/>
      <c r="EW176" s="472"/>
      <c r="EX176" s="472"/>
      <c r="EY176" s="472"/>
      <c r="EZ176" s="472"/>
      <c r="FA176" s="472"/>
      <c r="FB176" s="472"/>
      <c r="FC176" s="472"/>
      <c r="FD176" s="472"/>
      <c r="FE176" s="472"/>
      <c r="FF176" s="472"/>
      <c r="FG176" s="472"/>
      <c r="FH176" s="472"/>
      <c r="FI176" s="472"/>
      <c r="FJ176" s="472"/>
      <c r="FK176" s="472"/>
      <c r="FL176" s="472"/>
      <c r="FM176" s="472"/>
      <c r="FN176" s="472"/>
      <c r="FO176" s="472"/>
      <c r="FP176" s="472"/>
      <c r="FQ176" s="472"/>
      <c r="FR176" s="472"/>
      <c r="FS176" s="472"/>
      <c r="FT176" s="472"/>
      <c r="FU176" s="472"/>
      <c r="FV176" s="472"/>
      <c r="FW176" s="472"/>
      <c r="FX176" s="472">
        <v>4.7500000000000001E-2</v>
      </c>
      <c r="FY176" s="482"/>
      <c r="FZ176" s="482"/>
      <c r="GA176" s="482"/>
      <c r="GB176" s="482"/>
      <c r="GC176" s="482"/>
      <c r="GD176" s="477"/>
      <c r="GE176" s="477"/>
      <c r="GF176" s="477"/>
      <c r="GG176" s="477"/>
      <c r="GH176" s="477"/>
      <c r="GI176" s="477"/>
      <c r="GJ176" s="477"/>
      <c r="GK176" s="477"/>
      <c r="GL176" s="477"/>
      <c r="GM176" s="477"/>
      <c r="GN176" s="477"/>
      <c r="GO176" s="477"/>
      <c r="GP176" s="477"/>
      <c r="GQ176" s="477"/>
      <c r="GR176" s="477"/>
      <c r="GS176" s="477"/>
      <c r="GT176" s="477"/>
      <c r="GU176" s="477"/>
      <c r="GV176" s="477"/>
      <c r="GW176" s="477"/>
      <c r="GX176" s="477"/>
      <c r="GY176" s="477"/>
      <c r="GZ176" s="477"/>
      <c r="HA176" s="477"/>
      <c r="HB176" s="477"/>
      <c r="HC176" s="477"/>
      <c r="HD176" s="477"/>
      <c r="HE176" s="477"/>
      <c r="HF176" s="477"/>
      <c r="HG176" s="477"/>
      <c r="HH176" s="477"/>
      <c r="HI176" s="477"/>
      <c r="HJ176" s="477"/>
      <c r="HK176" s="477"/>
      <c r="HL176" s="477"/>
      <c r="HM176" s="477"/>
      <c r="HN176" s="477"/>
      <c r="HO176" s="477"/>
      <c r="HP176" s="473">
        <f t="shared" si="68"/>
        <v>0</v>
      </c>
      <c r="HQ176" s="525"/>
    </row>
    <row r="177" spans="2:225">
      <c r="B177" s="1150"/>
      <c r="C177" s="731" t="s">
        <v>234</v>
      </c>
      <c r="D177" s="736">
        <v>2.93E-2</v>
      </c>
      <c r="E177" s="736">
        <v>2.93E-2</v>
      </c>
      <c r="F177" s="658">
        <v>2.93E-2</v>
      </c>
      <c r="G177" s="658">
        <v>2.8899999999999999E-2</v>
      </c>
      <c r="H177" s="736">
        <v>2.8899999999999999E-2</v>
      </c>
      <c r="I177" s="736">
        <v>2.8899999999999999E-2</v>
      </c>
      <c r="J177" s="658">
        <v>2.8899999999999999E-2</v>
      </c>
      <c r="K177" s="658">
        <v>2.92E-2</v>
      </c>
      <c r="L177" s="658">
        <v>2.93E-2</v>
      </c>
      <c r="M177" s="736">
        <v>2.9000000000000001E-2</v>
      </c>
      <c r="N177" s="658">
        <v>2.9000000000000001E-2</v>
      </c>
      <c r="O177" s="658">
        <v>2.9399999999999999E-2</v>
      </c>
      <c r="P177" s="658">
        <v>2.93E-2</v>
      </c>
      <c r="Q177" s="658">
        <v>3.0099999999999998E-2</v>
      </c>
      <c r="R177" s="658">
        <v>2.98E-2</v>
      </c>
      <c r="S177" s="658">
        <v>3.0000000000000002E-2</v>
      </c>
      <c r="T177" s="503">
        <v>3.0800000000000001E-2</v>
      </c>
      <c r="U177" s="503">
        <v>3.04E-2</v>
      </c>
      <c r="V177" s="503">
        <v>3.0499999999999999E-2</v>
      </c>
      <c r="W177" s="503">
        <v>2.9599999999999998E-2</v>
      </c>
      <c r="X177" s="478">
        <v>2.9499999999999998E-2</v>
      </c>
      <c r="Y177" s="503">
        <v>2.98E-2</v>
      </c>
      <c r="Z177" s="503">
        <v>3.0499999999999999E-2</v>
      </c>
      <c r="AA177" s="503">
        <v>3.04E-2</v>
      </c>
      <c r="AB177" s="503">
        <v>3.1E-2</v>
      </c>
      <c r="AC177" s="503">
        <v>3.0800000000000001E-2</v>
      </c>
      <c r="AD177" s="503">
        <v>3.1300000000000001E-2</v>
      </c>
      <c r="AE177" s="503">
        <v>3.2500000000000001E-2</v>
      </c>
      <c r="AF177" s="503">
        <v>3.2800000000000003E-2</v>
      </c>
      <c r="AG177" s="503">
        <v>3.3099999999999997E-2</v>
      </c>
      <c r="AH177" s="478">
        <v>3.3000000000000002E-2</v>
      </c>
      <c r="AI177" s="503">
        <v>3.32E-2</v>
      </c>
      <c r="AJ177" s="503">
        <v>3.4599999999999999E-2</v>
      </c>
      <c r="AK177" s="503">
        <v>3.4700000000000002E-2</v>
      </c>
      <c r="AL177" s="503">
        <v>3.5000000000000003E-2</v>
      </c>
      <c r="AM177" s="503">
        <v>3.4799999999999998E-2</v>
      </c>
      <c r="AN177" s="503">
        <v>3.4000000000000002E-2</v>
      </c>
      <c r="AO177" s="503">
        <v>3.4599999999999999E-2</v>
      </c>
      <c r="AP177" s="503">
        <v>3.5400000000000001E-2</v>
      </c>
      <c r="AQ177" s="503">
        <v>3.5699999999999996E-2</v>
      </c>
      <c r="AR177" s="478">
        <v>3.5299999999999998E-2</v>
      </c>
      <c r="AS177" s="503">
        <v>3.5499999999999997E-2</v>
      </c>
      <c r="AT177" s="478">
        <v>3.5700000000000003E-2</v>
      </c>
      <c r="AU177" s="478">
        <v>3.5700000000000003E-2</v>
      </c>
      <c r="AV177" s="503">
        <v>3.4700000000000002E-2</v>
      </c>
      <c r="AW177" s="479">
        <v>3.6200000000000003E-2</v>
      </c>
      <c r="AX177" s="479">
        <v>3.6200000000000003E-2</v>
      </c>
      <c r="AY177" s="479">
        <v>3.6200000000000003E-2</v>
      </c>
      <c r="AZ177" s="479">
        <v>3.6200000000000003E-2</v>
      </c>
      <c r="BA177" s="479">
        <v>3.6200000000000003E-2</v>
      </c>
      <c r="BB177" s="479">
        <v>3.6200000000000003E-2</v>
      </c>
      <c r="BC177" s="479">
        <v>3.6200000000000003E-2</v>
      </c>
      <c r="BD177" s="479">
        <v>3.6200000000000003E-2</v>
      </c>
      <c r="BE177" s="479">
        <v>3.6200000000000003E-2</v>
      </c>
      <c r="BF177" s="479">
        <v>3.6200000000000003E-2</v>
      </c>
      <c r="BG177" s="479">
        <v>3.5799999999999998E-2</v>
      </c>
      <c r="BH177" s="479">
        <v>3.6200000000000003E-2</v>
      </c>
      <c r="BI177" s="479">
        <v>3.6200000000000003E-2</v>
      </c>
      <c r="BJ177" s="479">
        <v>3.6200000000000003E-2</v>
      </c>
      <c r="BK177" s="479">
        <v>3.6200000000000003E-2</v>
      </c>
      <c r="BL177" s="479">
        <v>3.6200000000000003E-2</v>
      </c>
      <c r="BM177" s="479">
        <v>3.6799999999999999E-2</v>
      </c>
      <c r="BN177" s="479">
        <v>3.6799999999999999E-2</v>
      </c>
      <c r="BO177" s="479">
        <v>3.5799999999999998E-2</v>
      </c>
      <c r="BP177" s="479">
        <v>3.6999999999999998E-2</v>
      </c>
      <c r="BQ177" s="479">
        <v>3.6999999999999998E-2</v>
      </c>
      <c r="BR177" s="479">
        <v>3.7100000000000001E-2</v>
      </c>
      <c r="BS177" s="479">
        <v>3.7100000000000001E-2</v>
      </c>
      <c r="BT177" s="479">
        <v>3.6700000000000003E-2</v>
      </c>
      <c r="BU177" s="479">
        <v>3.6700000000000003E-2</v>
      </c>
      <c r="BV177" s="479">
        <v>3.3399999999999999E-2</v>
      </c>
      <c r="BW177" s="479">
        <v>3.3399999999999999E-2</v>
      </c>
      <c r="BX177" s="479">
        <v>3.3399999999999999E-2</v>
      </c>
      <c r="BY177" s="479">
        <v>3.3399999999999999E-2</v>
      </c>
      <c r="BZ177" s="479">
        <v>3.3399999999999999E-2</v>
      </c>
      <c r="CA177" s="479">
        <v>3.49E-2</v>
      </c>
      <c r="CB177" s="479">
        <v>3.5700000000000003E-2</v>
      </c>
      <c r="CC177" s="479">
        <v>3.78E-2</v>
      </c>
      <c r="CD177" s="479">
        <v>3.8300000000000001E-2</v>
      </c>
      <c r="CE177" s="479">
        <v>3.9300000000000002E-2</v>
      </c>
      <c r="CF177" s="479">
        <v>3.9E-2</v>
      </c>
      <c r="CG177" s="479">
        <v>3.9300000000000002E-2</v>
      </c>
      <c r="CH177" s="479">
        <v>4.2799999999999998E-2</v>
      </c>
      <c r="CI177" s="479">
        <v>4.3499999999999997E-2</v>
      </c>
      <c r="CJ177" s="479">
        <v>4.4499999999999998E-2</v>
      </c>
      <c r="CK177" s="479">
        <v>4.4499999999999998E-2</v>
      </c>
      <c r="CL177" s="479">
        <v>4.4999999999999998E-2</v>
      </c>
      <c r="CM177" s="479">
        <v>4.5199999999999997E-2</v>
      </c>
      <c r="CN177" s="479">
        <v>4.5499999999999999E-2</v>
      </c>
      <c r="CO177" s="479">
        <v>4.5999999999999999E-2</v>
      </c>
      <c r="CP177" s="479">
        <v>4.5999999999999999E-2</v>
      </c>
      <c r="CQ177" s="479">
        <v>4.6300000000000001E-2</v>
      </c>
      <c r="CR177" s="479">
        <v>4.5999999999999999E-2</v>
      </c>
      <c r="CS177" s="479">
        <v>4.5999999999999999E-2</v>
      </c>
      <c r="CT177" s="479">
        <v>4.6600000000000003E-2</v>
      </c>
      <c r="CU177" s="484">
        <v>4.6600000000000003E-2</v>
      </c>
      <c r="CV177" s="479">
        <v>4.65E-2</v>
      </c>
      <c r="CW177" s="524">
        <v>4.6300000000000001E-2</v>
      </c>
      <c r="CX177" s="472">
        <v>4.53E-2</v>
      </c>
      <c r="CY177" s="472">
        <v>4.53E-2</v>
      </c>
      <c r="CZ177" s="472">
        <v>4.4699999999999997E-2</v>
      </c>
      <c r="DA177" s="472">
        <v>4.48E-2</v>
      </c>
      <c r="DB177" s="472">
        <v>4.4900000000000002E-2</v>
      </c>
      <c r="DC177" s="472">
        <v>4.4900000000000002E-2</v>
      </c>
      <c r="DD177" s="472">
        <v>4.6699999999999998E-2</v>
      </c>
      <c r="DE177" s="472">
        <v>4.6699999999999998E-2</v>
      </c>
      <c r="DF177" s="472">
        <v>4.6699999999999998E-2</v>
      </c>
      <c r="DG177" s="472">
        <v>4.5999999999999999E-2</v>
      </c>
      <c r="DH177" s="472">
        <v>4.53E-2</v>
      </c>
      <c r="DI177" s="472">
        <v>4.5699999999999998E-2</v>
      </c>
      <c r="DJ177" s="472">
        <v>4.4999999999999998E-2</v>
      </c>
      <c r="DK177" s="472">
        <v>4.6199999999999998E-2</v>
      </c>
      <c r="DL177" s="472">
        <v>4.6399999999999997E-2</v>
      </c>
      <c r="DM177" s="472">
        <v>4.6399999999999997E-2</v>
      </c>
      <c r="DN177" s="472">
        <v>4.7300000000000002E-2</v>
      </c>
      <c r="DO177" s="472">
        <v>4.8800000000000003E-2</v>
      </c>
      <c r="DP177" s="472">
        <v>4.87E-2</v>
      </c>
      <c r="DQ177" s="472">
        <v>5.0099999999999999E-2</v>
      </c>
      <c r="DR177" s="472">
        <v>4.7399999999999998E-2</v>
      </c>
      <c r="DS177" s="472">
        <v>4.7899999999999998E-2</v>
      </c>
      <c r="DT177" s="472">
        <v>4.7699999999999999E-2</v>
      </c>
      <c r="DU177" s="472">
        <v>4.8300000000000003E-2</v>
      </c>
      <c r="DV177" s="472">
        <v>4.8399999999999999E-2</v>
      </c>
      <c r="DW177" s="472">
        <v>4.8300000000000003E-2</v>
      </c>
      <c r="DX177" s="472">
        <v>4.8300000000000003E-2</v>
      </c>
      <c r="DY177" s="472">
        <v>4.87E-2</v>
      </c>
      <c r="DZ177" s="472">
        <v>4.8500000000000001E-2</v>
      </c>
      <c r="EA177" s="472">
        <v>4.82E-2</v>
      </c>
      <c r="EB177" s="472">
        <v>4.7800000000000002E-2</v>
      </c>
      <c r="EC177" s="472">
        <v>4.7800000000000002E-2</v>
      </c>
      <c r="ED177" s="472">
        <v>4.7800000000000002E-2</v>
      </c>
      <c r="EE177" s="472">
        <v>4.7800000000000002E-2</v>
      </c>
      <c r="EF177" s="472">
        <v>4.7800000000000002E-2</v>
      </c>
      <c r="EG177" s="472">
        <v>4.7899999999999998E-2</v>
      </c>
      <c r="EH177" s="472">
        <v>4.82E-2</v>
      </c>
      <c r="EI177" s="472"/>
      <c r="EJ177" s="472"/>
      <c r="EK177" s="472"/>
      <c r="EL177" s="472"/>
      <c r="EM177" s="472"/>
      <c r="EN177" s="472"/>
      <c r="EO177" s="472"/>
      <c r="EP177" s="472"/>
      <c r="EQ177" s="472"/>
      <c r="ER177" s="472"/>
      <c r="ES177" s="472"/>
      <c r="ET177" s="472"/>
      <c r="EU177" s="472"/>
      <c r="EV177" s="472"/>
      <c r="EW177" s="472"/>
      <c r="EX177" s="472"/>
      <c r="EY177" s="472"/>
      <c r="EZ177" s="472"/>
      <c r="FA177" s="472"/>
      <c r="FB177" s="472"/>
      <c r="FC177" s="472"/>
      <c r="FD177" s="472"/>
      <c r="FE177" s="472"/>
      <c r="FF177" s="472"/>
      <c r="FG177" s="472"/>
      <c r="FH177" s="472"/>
      <c r="FI177" s="472"/>
      <c r="FJ177" s="472"/>
      <c r="FK177" s="472"/>
      <c r="FL177" s="472"/>
      <c r="FM177" s="472"/>
      <c r="FN177" s="472"/>
      <c r="FO177" s="472"/>
      <c r="FP177" s="472"/>
      <c r="FQ177" s="472"/>
      <c r="FR177" s="472"/>
      <c r="FS177" s="472"/>
      <c r="FT177" s="472"/>
      <c r="FU177" s="472"/>
      <c r="FV177" s="472"/>
      <c r="FW177" s="472"/>
      <c r="FX177" s="472">
        <v>4.82E-2</v>
      </c>
      <c r="FY177" s="482"/>
      <c r="FZ177" s="482"/>
      <c r="GA177" s="482"/>
      <c r="GB177" s="482"/>
      <c r="GC177" s="482"/>
      <c r="GD177" s="477"/>
      <c r="GE177" s="477"/>
      <c r="GF177" s="477"/>
      <c r="GG177" s="477"/>
      <c r="GH177" s="477"/>
      <c r="GI177" s="477"/>
      <c r="GJ177" s="477"/>
      <c r="GK177" s="477"/>
      <c r="GL177" s="477"/>
      <c r="GM177" s="477"/>
      <c r="GN177" s="477"/>
      <c r="GO177" s="477"/>
      <c r="GP177" s="477"/>
      <c r="GQ177" s="477"/>
      <c r="GR177" s="477"/>
      <c r="GS177" s="477"/>
      <c r="GT177" s="477"/>
      <c r="GU177" s="477"/>
      <c r="GV177" s="477"/>
      <c r="GW177" s="477"/>
      <c r="GX177" s="477"/>
      <c r="GY177" s="477"/>
      <c r="GZ177" s="477"/>
      <c r="HA177" s="477"/>
      <c r="HB177" s="477"/>
      <c r="HC177" s="477"/>
      <c r="HD177" s="477"/>
      <c r="HE177" s="477"/>
      <c r="HF177" s="477"/>
      <c r="HG177" s="477"/>
      <c r="HH177" s="477"/>
      <c r="HI177" s="477"/>
      <c r="HJ177" s="477"/>
      <c r="HK177" s="477"/>
      <c r="HL177" s="477"/>
      <c r="HM177" s="477"/>
      <c r="HN177" s="477"/>
      <c r="HO177" s="477"/>
      <c r="HP177" s="473">
        <f t="shared" si="68"/>
        <v>0</v>
      </c>
      <c r="HQ177" s="525"/>
    </row>
    <row r="178" spans="2:225">
      <c r="B178" s="1151"/>
      <c r="C178" s="731" t="s">
        <v>233</v>
      </c>
      <c r="D178" s="736">
        <v>2.93E-2</v>
      </c>
      <c r="E178" s="736">
        <v>2.93E-2</v>
      </c>
      <c r="F178" s="658">
        <v>2.93E-2</v>
      </c>
      <c r="G178" s="658">
        <v>2.8899999999999999E-2</v>
      </c>
      <c r="H178" s="736">
        <v>2.8899999999999999E-2</v>
      </c>
      <c r="I178" s="736">
        <v>2.8899999999999999E-2</v>
      </c>
      <c r="J178" s="658">
        <v>2.8899999999999999E-2</v>
      </c>
      <c r="K178" s="658">
        <v>2.92E-2</v>
      </c>
      <c r="L178" s="658">
        <v>2.93E-2</v>
      </c>
      <c r="M178" s="736">
        <v>2.9000000000000001E-2</v>
      </c>
      <c r="N178" s="658">
        <v>2.9000000000000001E-2</v>
      </c>
      <c r="O178" s="658">
        <v>2.9399999999999999E-2</v>
      </c>
      <c r="P178" s="658">
        <v>2.93E-2</v>
      </c>
      <c r="Q178" s="658">
        <v>3.0099999999999998E-2</v>
      </c>
      <c r="R178" s="658">
        <v>2.98E-2</v>
      </c>
      <c r="S178" s="658">
        <v>3.0000000000000002E-2</v>
      </c>
      <c r="T178" s="503">
        <v>3.0800000000000001E-2</v>
      </c>
      <c r="U178" s="503">
        <v>3.04E-2</v>
      </c>
      <c r="V178" s="503">
        <v>3.0499999999999999E-2</v>
      </c>
      <c r="W178" s="503">
        <v>2.9599999999999998E-2</v>
      </c>
      <c r="X178" s="478">
        <v>2.9499999999999998E-2</v>
      </c>
      <c r="Y178" s="503">
        <v>2.98E-2</v>
      </c>
      <c r="Z178" s="503">
        <v>3.0499999999999999E-2</v>
      </c>
      <c r="AA178" s="503">
        <v>3.04E-2</v>
      </c>
      <c r="AB178" s="503">
        <v>3.1E-2</v>
      </c>
      <c r="AC178" s="503">
        <v>3.0800000000000001E-2</v>
      </c>
      <c r="AD178" s="503">
        <v>3.1300000000000001E-2</v>
      </c>
      <c r="AE178" s="503">
        <v>3.2500000000000001E-2</v>
      </c>
      <c r="AF178" s="503">
        <v>3.2800000000000003E-2</v>
      </c>
      <c r="AG178" s="503">
        <v>3.3099999999999997E-2</v>
      </c>
      <c r="AH178" s="478">
        <v>3.3000000000000002E-2</v>
      </c>
      <c r="AI178" s="503">
        <v>3.32E-2</v>
      </c>
      <c r="AJ178" s="503">
        <v>3.4599999999999999E-2</v>
      </c>
      <c r="AK178" s="503">
        <v>3.4700000000000002E-2</v>
      </c>
      <c r="AL178" s="503">
        <v>3.5000000000000003E-2</v>
      </c>
      <c r="AM178" s="503">
        <v>3.4799999999999998E-2</v>
      </c>
      <c r="AN178" s="503">
        <v>3.4000000000000002E-2</v>
      </c>
      <c r="AO178" s="503">
        <v>3.4599999999999999E-2</v>
      </c>
      <c r="AP178" s="503">
        <v>3.5400000000000001E-2</v>
      </c>
      <c r="AQ178" s="503">
        <v>3.5699999999999996E-2</v>
      </c>
      <c r="AR178" s="478">
        <v>3.5299999999999998E-2</v>
      </c>
      <c r="AS178" s="503">
        <v>3.5499999999999997E-2</v>
      </c>
      <c r="AT178" s="478">
        <v>3.5700000000000003E-2</v>
      </c>
      <c r="AU178" s="478">
        <v>3.5700000000000003E-2</v>
      </c>
      <c r="AV178" s="503">
        <v>3.4700000000000002E-2</v>
      </c>
      <c r="AW178" s="479">
        <v>3.6200000000000003E-2</v>
      </c>
      <c r="AX178" s="479">
        <v>3.6200000000000003E-2</v>
      </c>
      <c r="AY178" s="479">
        <v>3.6200000000000003E-2</v>
      </c>
      <c r="AZ178" s="479">
        <v>3.6200000000000003E-2</v>
      </c>
      <c r="BA178" s="479">
        <v>3.6200000000000003E-2</v>
      </c>
      <c r="BB178" s="479">
        <v>3.6200000000000003E-2</v>
      </c>
      <c r="BC178" s="479">
        <v>3.6200000000000003E-2</v>
      </c>
      <c r="BD178" s="479">
        <v>3.6200000000000003E-2</v>
      </c>
      <c r="BE178" s="479">
        <v>3.6200000000000003E-2</v>
      </c>
      <c r="BF178" s="479">
        <v>3.6200000000000003E-2</v>
      </c>
      <c r="BG178" s="479">
        <v>3.5799999999999998E-2</v>
      </c>
      <c r="BH178" s="479">
        <v>3.6200000000000003E-2</v>
      </c>
      <c r="BI178" s="479">
        <v>3.6200000000000003E-2</v>
      </c>
      <c r="BJ178" s="479">
        <v>3.6200000000000003E-2</v>
      </c>
      <c r="BK178" s="479">
        <v>3.6200000000000003E-2</v>
      </c>
      <c r="BL178" s="479">
        <v>3.6200000000000003E-2</v>
      </c>
      <c r="BM178" s="479">
        <v>3.6799999999999999E-2</v>
      </c>
      <c r="BN178" s="479">
        <v>3.6799999999999999E-2</v>
      </c>
      <c r="BO178" s="479">
        <v>3.5799999999999998E-2</v>
      </c>
      <c r="BP178" s="479">
        <v>3.6999999999999998E-2</v>
      </c>
      <c r="BQ178" s="479">
        <v>3.6999999999999998E-2</v>
      </c>
      <c r="BR178" s="479">
        <v>3.7100000000000001E-2</v>
      </c>
      <c r="BS178" s="479">
        <v>3.7100000000000001E-2</v>
      </c>
      <c r="BT178" s="479">
        <v>3.6700000000000003E-2</v>
      </c>
      <c r="BU178" s="479">
        <v>3.6700000000000003E-2</v>
      </c>
      <c r="BV178" s="479">
        <v>3.3399999999999999E-2</v>
      </c>
      <c r="BW178" s="479">
        <v>3.3399999999999999E-2</v>
      </c>
      <c r="BX178" s="479">
        <v>3.3399999999999999E-2</v>
      </c>
      <c r="BY178" s="479">
        <v>3.3399999999999999E-2</v>
      </c>
      <c r="BZ178" s="479">
        <v>3.3399999999999999E-2</v>
      </c>
      <c r="CA178" s="479">
        <v>3.49E-2</v>
      </c>
      <c r="CB178" s="479">
        <v>3.5700000000000003E-2</v>
      </c>
      <c r="CC178" s="479">
        <v>3.78E-2</v>
      </c>
      <c r="CD178" s="479">
        <v>3.8300000000000001E-2</v>
      </c>
      <c r="CE178" s="479">
        <v>3.9300000000000002E-2</v>
      </c>
      <c r="CF178" s="479">
        <v>3.9E-2</v>
      </c>
      <c r="CG178" s="479">
        <v>3.9300000000000002E-2</v>
      </c>
      <c r="CH178" s="479">
        <v>4.2799999999999998E-2</v>
      </c>
      <c r="CI178" s="479">
        <v>4.3499999999999997E-2</v>
      </c>
      <c r="CJ178" s="479">
        <v>4.4499999999999998E-2</v>
      </c>
      <c r="CK178" s="479">
        <v>4.4499999999999998E-2</v>
      </c>
      <c r="CL178" s="479">
        <v>4.4999999999999998E-2</v>
      </c>
      <c r="CM178" s="479">
        <v>4.5199999999999997E-2</v>
      </c>
      <c r="CN178" s="479">
        <v>4.5499999999999999E-2</v>
      </c>
      <c r="CO178" s="479">
        <v>4.5999999999999999E-2</v>
      </c>
      <c r="CP178" s="479">
        <v>4.5999999999999999E-2</v>
      </c>
      <c r="CQ178" s="479">
        <v>4.6300000000000001E-2</v>
      </c>
      <c r="CR178" s="479">
        <v>4.5999999999999999E-2</v>
      </c>
      <c r="CS178" s="479">
        <v>4.5999999999999999E-2</v>
      </c>
      <c r="CT178" s="479">
        <v>4.6600000000000003E-2</v>
      </c>
      <c r="CU178" s="484">
        <v>4.6600000000000003E-2</v>
      </c>
      <c r="CV178" s="479">
        <v>4.65E-2</v>
      </c>
      <c r="CW178" s="524">
        <v>4.6300000000000001E-2</v>
      </c>
      <c r="CX178" s="472">
        <v>4.53E-2</v>
      </c>
      <c r="CY178" s="472">
        <v>4.53E-2</v>
      </c>
      <c r="CZ178" s="472">
        <v>4.4699999999999997E-2</v>
      </c>
      <c r="DA178" s="472">
        <v>4.48E-2</v>
      </c>
      <c r="DB178" s="472">
        <v>4.4900000000000002E-2</v>
      </c>
      <c r="DC178" s="472">
        <v>4.4900000000000002E-2</v>
      </c>
      <c r="DD178" s="472">
        <v>4.6699999999999998E-2</v>
      </c>
      <c r="DE178" s="472">
        <v>4.6699999999999998E-2</v>
      </c>
      <c r="DF178" s="472">
        <v>4.6699999999999998E-2</v>
      </c>
      <c r="DG178" s="472">
        <v>4.5999999999999999E-2</v>
      </c>
      <c r="DH178" s="472">
        <v>4.53E-2</v>
      </c>
      <c r="DI178" s="472">
        <v>4.5699999999999998E-2</v>
      </c>
      <c r="DJ178" s="472">
        <v>4.4999999999999998E-2</v>
      </c>
      <c r="DK178" s="472">
        <v>4.6199999999999998E-2</v>
      </c>
      <c r="DL178" s="472">
        <v>4.6399999999999997E-2</v>
      </c>
      <c r="DM178" s="472">
        <v>4.6399999999999997E-2</v>
      </c>
      <c r="DN178" s="472">
        <v>4.7300000000000002E-2</v>
      </c>
      <c r="DO178" s="472">
        <v>4.8800000000000003E-2</v>
      </c>
      <c r="DP178" s="472">
        <v>4.87E-2</v>
      </c>
      <c r="DQ178" s="472">
        <v>5.0099999999999999E-2</v>
      </c>
      <c r="DR178" s="472">
        <v>4.7699999999999999E-2</v>
      </c>
      <c r="DS178" s="472">
        <v>4.82E-2</v>
      </c>
      <c r="DT178" s="472">
        <v>4.8300000000000003E-2</v>
      </c>
      <c r="DU178" s="472">
        <v>4.8300000000000003E-2</v>
      </c>
      <c r="DV178" s="472">
        <v>4.8399999999999999E-2</v>
      </c>
      <c r="DW178" s="472">
        <v>4.8300000000000003E-2</v>
      </c>
      <c r="DX178" s="472">
        <v>4.8300000000000003E-2</v>
      </c>
      <c r="DY178" s="472">
        <v>4.87E-2</v>
      </c>
      <c r="DZ178" s="472">
        <v>4.8500000000000001E-2</v>
      </c>
      <c r="EA178" s="472">
        <v>4.82E-2</v>
      </c>
      <c r="EB178" s="472">
        <v>4.7800000000000002E-2</v>
      </c>
      <c r="EC178" s="472">
        <v>4.7800000000000002E-2</v>
      </c>
      <c r="ED178" s="472">
        <v>4.7800000000000002E-2</v>
      </c>
      <c r="EE178" s="472">
        <v>4.7800000000000002E-2</v>
      </c>
      <c r="EF178" s="472">
        <v>4.7800000000000002E-2</v>
      </c>
      <c r="EG178" s="472">
        <v>4.7899999999999998E-2</v>
      </c>
      <c r="EH178" s="472">
        <v>4.82E-2</v>
      </c>
      <c r="EI178" s="472"/>
      <c r="EJ178" s="472"/>
      <c r="EK178" s="472"/>
      <c r="EL178" s="472"/>
      <c r="EM178" s="472"/>
      <c r="EN178" s="472"/>
      <c r="EO178" s="472"/>
      <c r="EP178" s="472"/>
      <c r="EQ178" s="472"/>
      <c r="ER178" s="472"/>
      <c r="ES178" s="472"/>
      <c r="ET178" s="472"/>
      <c r="EU178" s="472"/>
      <c r="EV178" s="472"/>
      <c r="EW178" s="472"/>
      <c r="EX178" s="472"/>
      <c r="EY178" s="472"/>
      <c r="EZ178" s="472"/>
      <c r="FA178" s="472"/>
      <c r="FB178" s="472"/>
      <c r="FC178" s="472"/>
      <c r="FD178" s="472"/>
      <c r="FE178" s="472"/>
      <c r="FF178" s="472"/>
      <c r="FG178" s="472"/>
      <c r="FH178" s="472"/>
      <c r="FI178" s="472"/>
      <c r="FJ178" s="472"/>
      <c r="FK178" s="472"/>
      <c r="FL178" s="472"/>
      <c r="FM178" s="472"/>
      <c r="FN178" s="472"/>
      <c r="FO178" s="472"/>
      <c r="FP178" s="472"/>
      <c r="FQ178" s="472"/>
      <c r="FR178" s="472"/>
      <c r="FS178" s="472"/>
      <c r="FT178" s="472"/>
      <c r="FU178" s="472"/>
      <c r="FV178" s="472"/>
      <c r="FW178" s="472"/>
      <c r="FX178" s="472">
        <v>4.82E-2</v>
      </c>
      <c r="FY178" s="482"/>
      <c r="FZ178" s="482"/>
      <c r="GA178" s="482"/>
      <c r="GB178" s="482"/>
      <c r="GC178" s="482"/>
      <c r="GD178" s="477"/>
      <c r="GE178" s="477"/>
      <c r="GF178" s="477"/>
      <c r="GG178" s="477"/>
      <c r="GH178" s="477"/>
      <c r="GI178" s="477"/>
      <c r="GJ178" s="477"/>
      <c r="GK178" s="477"/>
      <c r="GL178" s="477"/>
      <c r="GM178" s="477"/>
      <c r="GN178" s="477"/>
      <c r="GO178" s="477"/>
      <c r="GP178" s="477"/>
      <c r="GQ178" s="477"/>
      <c r="GR178" s="477"/>
      <c r="GS178" s="477"/>
      <c r="GT178" s="477"/>
      <c r="GU178" s="477"/>
      <c r="GV178" s="477"/>
      <c r="GW178" s="477"/>
      <c r="GX178" s="477"/>
      <c r="GY178" s="477"/>
      <c r="GZ178" s="477"/>
      <c r="HA178" s="477"/>
      <c r="HB178" s="477"/>
      <c r="HC178" s="477"/>
      <c r="HD178" s="477"/>
      <c r="HE178" s="477"/>
      <c r="HF178" s="477"/>
      <c r="HG178" s="477"/>
      <c r="HH178" s="477"/>
      <c r="HI178" s="477"/>
      <c r="HJ178" s="477"/>
      <c r="HK178" s="477"/>
      <c r="HL178" s="477"/>
      <c r="HM178" s="477"/>
      <c r="HN178" s="477"/>
      <c r="HO178" s="477"/>
      <c r="HP178" s="473">
        <f t="shared" si="68"/>
        <v>0</v>
      </c>
      <c r="HQ178" s="525"/>
    </row>
    <row r="179" spans="2:225">
      <c r="B179" s="1123" t="s">
        <v>42</v>
      </c>
      <c r="C179" s="734" t="s">
        <v>219</v>
      </c>
      <c r="D179" s="535">
        <v>2.9899999999999999E-2</v>
      </c>
      <c r="E179" s="535">
        <v>2.9899999999999999E-2</v>
      </c>
      <c r="F179" s="535">
        <v>2.9899999999999999E-2</v>
      </c>
      <c r="G179" s="535">
        <v>2.9899999999999999E-2</v>
      </c>
      <c r="H179" s="535">
        <v>2.9899999999999999E-2</v>
      </c>
      <c r="I179" s="535">
        <v>2.9899999999999999E-2</v>
      </c>
      <c r="J179" s="535">
        <v>2.9899999999999999E-2</v>
      </c>
      <c r="K179" s="535">
        <v>2.9899999999999999E-2</v>
      </c>
      <c r="L179" s="537">
        <v>2.9899999999999999E-2</v>
      </c>
      <c r="M179" s="535">
        <v>3.39E-2</v>
      </c>
      <c r="N179" s="535">
        <v>3.39E-2</v>
      </c>
      <c r="O179" s="535">
        <v>3.39E-2</v>
      </c>
      <c r="P179" s="535">
        <v>3.39E-2</v>
      </c>
      <c r="Q179" s="535">
        <v>3.39E-2</v>
      </c>
      <c r="R179" s="535">
        <v>3.39E-2</v>
      </c>
      <c r="S179" s="535">
        <v>3.39E-2</v>
      </c>
      <c r="T179" s="535">
        <v>3.39E-2</v>
      </c>
      <c r="U179" s="535">
        <v>3.39E-2</v>
      </c>
      <c r="V179" s="535">
        <v>3.39E-2</v>
      </c>
      <c r="W179" s="535">
        <v>3.39E-2</v>
      </c>
      <c r="X179" s="535">
        <v>3.39E-2</v>
      </c>
      <c r="Y179" s="535">
        <v>3.39E-2</v>
      </c>
      <c r="Z179" s="535">
        <v>3.39E-2</v>
      </c>
      <c r="AA179" s="537">
        <v>3.39E-2</v>
      </c>
      <c r="AB179" s="535">
        <v>3.6400000000000002E-2</v>
      </c>
      <c r="AC179" s="535">
        <v>3.6400000000000002E-2</v>
      </c>
      <c r="AD179" s="535">
        <v>3.6400000000000002E-2</v>
      </c>
      <c r="AE179" s="535">
        <v>3.6400000000000002E-2</v>
      </c>
      <c r="AF179" s="535">
        <v>3.6400000000000002E-2</v>
      </c>
      <c r="AG179" s="535">
        <v>3.6400000000000002E-2</v>
      </c>
      <c r="AH179" s="535">
        <v>3.6400000000000002E-2</v>
      </c>
      <c r="AI179" s="535">
        <v>3.6400000000000002E-2</v>
      </c>
      <c r="AJ179" s="535">
        <v>3.6400000000000002E-2</v>
      </c>
      <c r="AK179" s="535">
        <v>3.6400000000000002E-2</v>
      </c>
      <c r="AL179" s="536">
        <v>3.6400000000000002E-2</v>
      </c>
      <c r="AM179" s="535">
        <v>3.6400000000000002E-2</v>
      </c>
      <c r="AN179" s="535">
        <v>3.6400000000000002E-2</v>
      </c>
      <c r="AO179" s="535">
        <v>3.6400000000000002E-2</v>
      </c>
      <c r="AP179" s="535">
        <v>3.6400000000000002E-2</v>
      </c>
      <c r="AQ179" s="535">
        <v>3.6400000000000002E-2</v>
      </c>
      <c r="AR179" s="537">
        <v>3.6400000000000002E-2</v>
      </c>
      <c r="AS179" s="535">
        <v>3.7400000000000003E-2</v>
      </c>
      <c r="AT179" s="535">
        <v>3.7400000000000003E-2</v>
      </c>
      <c r="AU179" s="535">
        <v>3.7400000000000003E-2</v>
      </c>
      <c r="AV179" s="536">
        <v>3.7400000000000003E-2</v>
      </c>
      <c r="AW179" s="536">
        <v>3.7400000000000003E-2</v>
      </c>
      <c r="AX179" s="536">
        <v>3.7400000000000003E-2</v>
      </c>
      <c r="AY179" s="536">
        <v>3.7400000000000003E-2</v>
      </c>
      <c r="AZ179" s="536">
        <v>3.7400000000000003E-2</v>
      </c>
      <c r="BA179" s="536">
        <v>3.7400000000000003E-2</v>
      </c>
      <c r="BB179" s="536">
        <v>3.7400000000000003E-2</v>
      </c>
      <c r="BC179" s="536">
        <v>3.7400000000000003E-2</v>
      </c>
      <c r="BD179" s="536">
        <v>3.7400000000000003E-2</v>
      </c>
      <c r="BE179" s="536">
        <v>3.7400000000000003E-2</v>
      </c>
      <c r="BF179" s="536">
        <v>3.7400000000000003E-2</v>
      </c>
      <c r="BG179" s="536">
        <v>3.7400000000000003E-2</v>
      </c>
      <c r="BH179" s="536">
        <v>3.7400000000000003E-2</v>
      </c>
      <c r="BI179" s="536">
        <v>3.7400000000000003E-2</v>
      </c>
      <c r="BJ179" s="536">
        <v>3.7400000000000003E-2</v>
      </c>
      <c r="BK179" s="536">
        <v>3.7400000000000003E-2</v>
      </c>
      <c r="BL179" s="536">
        <v>3.7400000000000003E-2</v>
      </c>
      <c r="BM179" s="536">
        <v>3.7400000000000003E-2</v>
      </c>
      <c r="BN179" s="536">
        <v>3.7400000000000003E-2</v>
      </c>
      <c r="BO179" s="536">
        <v>3.7400000000000003E-2</v>
      </c>
      <c r="BP179" s="536">
        <v>3.7400000000000003E-2</v>
      </c>
      <c r="BQ179" s="536">
        <v>3.7400000000000003E-2</v>
      </c>
      <c r="BR179" s="536">
        <v>3.7400000000000003E-2</v>
      </c>
      <c r="BS179" s="536">
        <v>3.7400000000000003E-2</v>
      </c>
      <c r="BT179" s="536">
        <v>3.7400000000000003E-2</v>
      </c>
      <c r="BU179" s="536">
        <v>3.7400000000000003E-2</v>
      </c>
      <c r="BV179" s="536">
        <v>3.7400000000000003E-2</v>
      </c>
      <c r="BW179" s="536">
        <v>3.7400000000000003E-2</v>
      </c>
      <c r="BX179" s="536">
        <v>3.7400000000000003E-2</v>
      </c>
      <c r="BY179" s="536">
        <v>3.7400000000000003E-2</v>
      </c>
      <c r="BZ179" s="536">
        <v>3.7400000000000003E-2</v>
      </c>
      <c r="CA179" s="536">
        <v>3.9399999999999998E-2</v>
      </c>
      <c r="CB179" s="536">
        <v>3.9399999999999998E-2</v>
      </c>
      <c r="CC179" s="536">
        <v>3.9399999999999998E-2</v>
      </c>
      <c r="CD179" s="536">
        <v>3.9399999999999998E-2</v>
      </c>
      <c r="CE179" s="536">
        <v>4.5400000000000003E-2</v>
      </c>
      <c r="CF179" s="536">
        <v>4.5400000000000003E-2</v>
      </c>
      <c r="CG179" s="536">
        <v>4.5400000000000003E-2</v>
      </c>
      <c r="CH179" s="536">
        <v>4.5400000000000003E-2</v>
      </c>
      <c r="CI179" s="536">
        <v>4.5400000000000003E-2</v>
      </c>
      <c r="CJ179" s="536">
        <v>4.5400000000000003E-2</v>
      </c>
      <c r="CK179" s="536">
        <v>4.5400000000000003E-2</v>
      </c>
      <c r="CL179" s="536">
        <v>4.5400000000000003E-2</v>
      </c>
      <c r="CM179" s="536">
        <v>4.5400000000000003E-2</v>
      </c>
      <c r="CN179" s="536">
        <v>4.5400000000000003E-2</v>
      </c>
      <c r="CO179" s="536">
        <v>4.5400000000000003E-2</v>
      </c>
      <c r="CP179" s="536">
        <v>4.5400000000000003E-2</v>
      </c>
      <c r="CQ179" s="536">
        <v>4.5400000000000003E-2</v>
      </c>
      <c r="CR179" s="536">
        <v>4.5400000000000003E-2</v>
      </c>
      <c r="CS179" s="536">
        <v>4.5400000000000003E-2</v>
      </c>
      <c r="CT179" s="536">
        <v>4.5400000000000003E-2</v>
      </c>
      <c r="CU179" s="536">
        <v>4.5400000000000003E-2</v>
      </c>
      <c r="CV179" s="536">
        <v>4.5400000000000003E-2</v>
      </c>
      <c r="CW179" s="536">
        <v>4.5400000000000003E-2</v>
      </c>
      <c r="CX179" s="536">
        <v>4.5400000000000003E-2</v>
      </c>
      <c r="CY179" s="536">
        <v>4.5400000000000003E-2</v>
      </c>
      <c r="CZ179" s="536">
        <v>4.5400000000000003E-2</v>
      </c>
      <c r="DA179" s="536">
        <v>4.5400000000000003E-2</v>
      </c>
      <c r="DB179" s="536">
        <v>4.5400000000000003E-2</v>
      </c>
      <c r="DC179" s="536">
        <v>4.5400000000000003E-2</v>
      </c>
      <c r="DD179" s="536">
        <v>4.5400000000000003E-2</v>
      </c>
      <c r="DE179" s="536">
        <v>4.5400000000000003E-2</v>
      </c>
      <c r="DF179" s="536">
        <v>4.5400000000000003E-2</v>
      </c>
      <c r="DG179" s="536">
        <v>4.5400000000000003E-2</v>
      </c>
      <c r="DH179" s="536">
        <v>4.5400000000000003E-2</v>
      </c>
      <c r="DI179" s="536">
        <v>4.5400000000000003E-2</v>
      </c>
      <c r="DJ179" s="536">
        <v>4.5400000000000003E-2</v>
      </c>
      <c r="DK179" s="536">
        <v>4.5400000000000003E-2</v>
      </c>
      <c r="DL179" s="536">
        <v>4.5400000000000003E-2</v>
      </c>
      <c r="DM179" s="536">
        <v>4.5400000000000003E-2</v>
      </c>
      <c r="DN179" s="536">
        <v>4.5400000000000003E-2</v>
      </c>
      <c r="DO179" s="536">
        <v>4.5400000000000003E-2</v>
      </c>
      <c r="DP179" s="536">
        <v>4.5400000000000003E-2</v>
      </c>
      <c r="DQ179" s="536">
        <v>4.5400000000000003E-2</v>
      </c>
      <c r="DR179" s="536">
        <v>4.5400000000000003E-2</v>
      </c>
      <c r="DS179" s="536">
        <v>4.5400000000000003E-2</v>
      </c>
      <c r="DT179" s="536">
        <v>4.5400000000000003E-2</v>
      </c>
      <c r="DU179" s="536">
        <v>4.5400000000000003E-2</v>
      </c>
      <c r="DV179" s="536">
        <v>4.5400000000000003E-2</v>
      </c>
      <c r="DW179" s="536">
        <v>4.5400000000000003E-2</v>
      </c>
      <c r="DX179" s="536">
        <v>4.5400000000000003E-2</v>
      </c>
      <c r="DY179" s="536">
        <v>4.5400000000000003E-2</v>
      </c>
      <c r="DZ179" s="536">
        <v>4.5400000000000003E-2</v>
      </c>
      <c r="EA179" s="536">
        <v>4.5400000000000003E-2</v>
      </c>
      <c r="EB179" s="536">
        <v>4.5400000000000003E-2</v>
      </c>
      <c r="EC179" s="536">
        <v>4.5400000000000003E-2</v>
      </c>
      <c r="ED179" s="536">
        <v>4.5400000000000003E-2</v>
      </c>
      <c r="EE179" s="536">
        <v>4.5400000000000003E-2</v>
      </c>
      <c r="EF179" s="536">
        <v>4.5400000000000003E-2</v>
      </c>
      <c r="EG179" s="536">
        <v>4.5400000000000003E-2</v>
      </c>
      <c r="EH179" s="536">
        <v>4.5400000000000003E-2</v>
      </c>
      <c r="EI179" s="536">
        <v>4.5400000000000003E-2</v>
      </c>
      <c r="EJ179" s="536">
        <v>4.5400000000000003E-2</v>
      </c>
      <c r="EK179" s="536">
        <v>4.5400000000000003E-2</v>
      </c>
      <c r="EL179" s="536">
        <v>4.5400000000000003E-2</v>
      </c>
      <c r="EM179" s="536">
        <v>4.5400000000000003E-2</v>
      </c>
      <c r="EN179" s="536">
        <v>4.5400000000000003E-2</v>
      </c>
      <c r="EO179" s="536">
        <v>4.5400000000000003E-2</v>
      </c>
      <c r="EP179" s="536">
        <v>4.5400000000000003E-2</v>
      </c>
      <c r="EQ179" s="536">
        <v>4.5400000000000003E-2</v>
      </c>
      <c r="ER179" s="536">
        <v>4.5400000000000003E-2</v>
      </c>
      <c r="ES179" s="536">
        <v>4.5400000000000003E-2</v>
      </c>
      <c r="ET179" s="536">
        <v>4.5400000000000003E-2</v>
      </c>
      <c r="EU179" s="536">
        <v>4.5400000000000003E-2</v>
      </c>
      <c r="EV179" s="536">
        <v>4.5400000000000003E-2</v>
      </c>
      <c r="EW179" s="536">
        <v>4.5400000000000003E-2</v>
      </c>
      <c r="EX179" s="536">
        <v>4.5400000000000003E-2</v>
      </c>
      <c r="EY179" s="536">
        <v>4.5400000000000003E-2</v>
      </c>
      <c r="EZ179" s="536">
        <v>4.5400000000000003E-2</v>
      </c>
      <c r="FA179" s="536">
        <v>4.5400000000000003E-2</v>
      </c>
      <c r="FB179" s="536">
        <v>4.5400000000000003E-2</v>
      </c>
      <c r="FC179" s="536">
        <v>4.5400000000000003E-2</v>
      </c>
      <c r="FD179" s="536">
        <v>4.5400000000000003E-2</v>
      </c>
      <c r="FE179" s="536">
        <v>4.5400000000000003E-2</v>
      </c>
      <c r="FF179" s="536">
        <v>4.5400000000000003E-2</v>
      </c>
      <c r="FG179" s="536">
        <v>4.5400000000000003E-2</v>
      </c>
      <c r="FH179" s="536">
        <v>4.5400000000000003E-2</v>
      </c>
      <c r="FI179" s="536">
        <v>4.5400000000000003E-2</v>
      </c>
      <c r="FJ179" s="536">
        <v>4.5400000000000003E-2</v>
      </c>
      <c r="FK179" s="536">
        <v>4.5400000000000003E-2</v>
      </c>
      <c r="FL179" s="536">
        <v>4.5400000000000003E-2</v>
      </c>
      <c r="FM179" s="536">
        <v>4.5400000000000003E-2</v>
      </c>
      <c r="FN179" s="536">
        <v>4.5400000000000003E-2</v>
      </c>
      <c r="FO179" s="536">
        <v>4.5400000000000003E-2</v>
      </c>
      <c r="FP179" s="536">
        <v>4.5400000000000003E-2</v>
      </c>
      <c r="FQ179" s="536">
        <v>4.5400000000000003E-2</v>
      </c>
      <c r="FR179" s="536">
        <v>4.5400000000000003E-2</v>
      </c>
      <c r="FS179" s="536">
        <v>4.5400000000000003E-2</v>
      </c>
      <c r="FT179" s="536">
        <v>4.5400000000000003E-2</v>
      </c>
      <c r="FU179" s="536">
        <v>4.5400000000000003E-2</v>
      </c>
      <c r="FV179" s="536">
        <v>4.5400000000000003E-2</v>
      </c>
      <c r="FW179" s="536">
        <v>4.5400000000000003E-2</v>
      </c>
      <c r="FX179" s="536">
        <v>4.5400000000000003E-2</v>
      </c>
      <c r="FY179" s="489">
        <v>4.5400000000000003E-2</v>
      </c>
      <c r="FZ179" s="489">
        <v>4.5400000000000003E-2</v>
      </c>
      <c r="GA179" s="489">
        <v>4.5400000000000003E-2</v>
      </c>
      <c r="GB179" s="489">
        <v>4.5400000000000003E-2</v>
      </c>
      <c r="GC179" s="489">
        <v>4.5400000000000003E-2</v>
      </c>
      <c r="GD179" s="536">
        <v>3.7900000000000003E-2</v>
      </c>
      <c r="GE179" s="536">
        <v>3.7900000000000003E-2</v>
      </c>
      <c r="GF179" s="536">
        <v>3.7900000000000003E-2</v>
      </c>
      <c r="GG179" s="536">
        <v>3.7900000000000003E-2</v>
      </c>
      <c r="GH179" s="536">
        <v>3.7900000000000003E-2</v>
      </c>
      <c r="GI179" s="536">
        <v>3.7900000000000003E-2</v>
      </c>
      <c r="GJ179" s="536">
        <v>3.7900000000000003E-2</v>
      </c>
      <c r="GK179" s="536">
        <v>3.7900000000000003E-2</v>
      </c>
      <c r="GL179" s="536">
        <v>3.7900000000000003E-2</v>
      </c>
      <c r="GM179" s="536">
        <v>3.7900000000000003E-2</v>
      </c>
      <c r="GN179" s="536">
        <v>3.7900000000000003E-2</v>
      </c>
      <c r="GO179" s="536">
        <v>3.7900000000000003E-2</v>
      </c>
      <c r="GP179" s="536">
        <v>3.7900000000000003E-2</v>
      </c>
      <c r="GQ179" s="536">
        <v>3.7900000000000003E-2</v>
      </c>
      <c r="GR179" s="536">
        <v>3.7900000000000003E-2</v>
      </c>
      <c r="GS179" s="536">
        <v>3.7900000000000003E-2</v>
      </c>
      <c r="GT179" s="536">
        <v>3.7900000000000003E-2</v>
      </c>
      <c r="GU179" s="536">
        <v>3.7900000000000003E-2</v>
      </c>
      <c r="GV179" s="536">
        <v>3.7900000000000003E-2</v>
      </c>
      <c r="GW179" s="536">
        <v>3.7900000000000003E-2</v>
      </c>
      <c r="GX179" s="536">
        <v>3.7900000000000003E-2</v>
      </c>
      <c r="GY179" s="536">
        <v>3.7900000000000003E-2</v>
      </c>
      <c r="GZ179" s="536">
        <v>3.7900000000000003E-2</v>
      </c>
      <c r="HA179" s="536">
        <v>3.7900000000000003E-2</v>
      </c>
      <c r="HB179" s="536">
        <v>3.7900000000000003E-2</v>
      </c>
      <c r="HC179" s="536">
        <v>3.7900000000000003E-2</v>
      </c>
      <c r="HD179" s="536">
        <v>3.7900000000000003E-2</v>
      </c>
      <c r="HE179" s="536">
        <v>3.7900000000000003E-2</v>
      </c>
      <c r="HF179" s="536">
        <v>3.7900000000000003E-2</v>
      </c>
      <c r="HG179" s="536">
        <v>3.7900000000000003E-2</v>
      </c>
      <c r="HH179" s="536">
        <v>3.7900000000000003E-2</v>
      </c>
      <c r="HI179" s="536">
        <v>3.7900000000000003E-2</v>
      </c>
      <c r="HJ179" s="536">
        <v>3.7900000000000003E-2</v>
      </c>
      <c r="HK179" s="536">
        <v>3.7900000000000003E-2</v>
      </c>
      <c r="HL179" s="536">
        <v>3.7900000000000003E-2</v>
      </c>
      <c r="HM179" s="536">
        <v>3.7900000000000003E-2</v>
      </c>
      <c r="HN179" s="536">
        <v>3.7900000000000003E-2</v>
      </c>
      <c r="HO179" s="536">
        <v>3.7900000000000003E-2</v>
      </c>
      <c r="HP179" s="473">
        <f t="shared" si="68"/>
        <v>0</v>
      </c>
      <c r="HQ179" s="530"/>
    </row>
    <row r="180" spans="2:225">
      <c r="B180" s="1124"/>
      <c r="C180" s="734" t="s">
        <v>218</v>
      </c>
      <c r="D180" s="535">
        <v>3.0099999999999998E-2</v>
      </c>
      <c r="E180" s="535">
        <v>3.0099999999999998E-2</v>
      </c>
      <c r="F180" s="535">
        <v>3.0099999999999998E-2</v>
      </c>
      <c r="G180" s="535">
        <v>3.0099999999999998E-2</v>
      </c>
      <c r="H180" s="535">
        <v>3.0099999999999998E-2</v>
      </c>
      <c r="I180" s="535">
        <v>3.0099999999999998E-2</v>
      </c>
      <c r="J180" s="535">
        <v>3.0099999999999998E-2</v>
      </c>
      <c r="K180" s="535">
        <v>3.0099999999999998E-2</v>
      </c>
      <c r="L180" s="537">
        <v>3.0099999999999998E-2</v>
      </c>
      <c r="M180" s="535">
        <v>3.4099999999999998E-2</v>
      </c>
      <c r="N180" s="535">
        <v>3.4099999999999998E-2</v>
      </c>
      <c r="O180" s="535">
        <v>3.4099999999999998E-2</v>
      </c>
      <c r="P180" s="535">
        <v>3.4099999999999998E-2</v>
      </c>
      <c r="Q180" s="535">
        <v>3.4099999999999998E-2</v>
      </c>
      <c r="R180" s="535">
        <v>3.4099999999999998E-2</v>
      </c>
      <c r="S180" s="535">
        <v>3.4099999999999998E-2</v>
      </c>
      <c r="T180" s="535">
        <v>3.4099999999999998E-2</v>
      </c>
      <c r="U180" s="535">
        <v>3.4099999999999998E-2</v>
      </c>
      <c r="V180" s="535">
        <v>3.4099999999999998E-2</v>
      </c>
      <c r="W180" s="535">
        <v>3.4099999999999998E-2</v>
      </c>
      <c r="X180" s="535">
        <v>3.4099999999999998E-2</v>
      </c>
      <c r="Y180" s="535">
        <v>3.4099999999999998E-2</v>
      </c>
      <c r="Z180" s="535">
        <v>3.4099999999999998E-2</v>
      </c>
      <c r="AA180" s="537">
        <v>3.4099999999999998E-2</v>
      </c>
      <c r="AB180" s="535">
        <v>3.6600000000000001E-2</v>
      </c>
      <c r="AC180" s="535">
        <v>3.6600000000000001E-2</v>
      </c>
      <c r="AD180" s="535">
        <v>3.6600000000000001E-2</v>
      </c>
      <c r="AE180" s="535">
        <v>3.6600000000000001E-2</v>
      </c>
      <c r="AF180" s="535">
        <v>3.6600000000000001E-2</v>
      </c>
      <c r="AG180" s="535">
        <v>3.6600000000000001E-2</v>
      </c>
      <c r="AH180" s="535">
        <v>3.6600000000000001E-2</v>
      </c>
      <c r="AI180" s="535">
        <v>3.6600000000000001E-2</v>
      </c>
      <c r="AJ180" s="535">
        <v>3.6600000000000001E-2</v>
      </c>
      <c r="AK180" s="535">
        <v>3.6600000000000001E-2</v>
      </c>
      <c r="AL180" s="536">
        <v>3.6600000000000001E-2</v>
      </c>
      <c r="AM180" s="535">
        <v>3.6600000000000001E-2</v>
      </c>
      <c r="AN180" s="535">
        <v>3.6600000000000001E-2</v>
      </c>
      <c r="AO180" s="535">
        <v>3.6600000000000001E-2</v>
      </c>
      <c r="AP180" s="535">
        <v>3.6600000000000001E-2</v>
      </c>
      <c r="AQ180" s="535">
        <v>3.6600000000000001E-2</v>
      </c>
      <c r="AR180" s="537">
        <v>3.6600000000000001E-2</v>
      </c>
      <c r="AS180" s="535">
        <v>3.7600000000000001E-2</v>
      </c>
      <c r="AT180" s="535">
        <v>3.7600000000000001E-2</v>
      </c>
      <c r="AU180" s="535">
        <v>3.7600000000000001E-2</v>
      </c>
      <c r="AV180" s="536">
        <v>3.7600000000000001E-2</v>
      </c>
      <c r="AW180" s="536">
        <v>3.7600000000000001E-2</v>
      </c>
      <c r="AX180" s="536">
        <v>3.7600000000000001E-2</v>
      </c>
      <c r="AY180" s="536">
        <v>3.7600000000000001E-2</v>
      </c>
      <c r="AZ180" s="536">
        <v>3.7600000000000001E-2</v>
      </c>
      <c r="BA180" s="536">
        <v>3.7600000000000001E-2</v>
      </c>
      <c r="BB180" s="536">
        <v>3.7600000000000001E-2</v>
      </c>
      <c r="BC180" s="536">
        <v>3.7600000000000001E-2</v>
      </c>
      <c r="BD180" s="536">
        <v>3.7600000000000001E-2</v>
      </c>
      <c r="BE180" s="536">
        <v>3.7600000000000001E-2</v>
      </c>
      <c r="BF180" s="536">
        <v>3.7600000000000001E-2</v>
      </c>
      <c r="BG180" s="536">
        <v>3.7600000000000001E-2</v>
      </c>
      <c r="BH180" s="536">
        <v>3.7600000000000001E-2</v>
      </c>
      <c r="BI180" s="536">
        <v>3.7600000000000001E-2</v>
      </c>
      <c r="BJ180" s="536">
        <v>3.7600000000000001E-2</v>
      </c>
      <c r="BK180" s="536">
        <v>3.7600000000000001E-2</v>
      </c>
      <c r="BL180" s="536">
        <v>3.7600000000000001E-2</v>
      </c>
      <c r="BM180" s="536">
        <v>3.7600000000000001E-2</v>
      </c>
      <c r="BN180" s="536">
        <v>3.7600000000000001E-2</v>
      </c>
      <c r="BO180" s="536">
        <v>3.7600000000000001E-2</v>
      </c>
      <c r="BP180" s="536">
        <v>3.7600000000000001E-2</v>
      </c>
      <c r="BQ180" s="536">
        <v>3.7600000000000001E-2</v>
      </c>
      <c r="BR180" s="536">
        <v>3.7600000000000001E-2</v>
      </c>
      <c r="BS180" s="536">
        <v>3.7600000000000001E-2</v>
      </c>
      <c r="BT180" s="536">
        <v>3.7600000000000001E-2</v>
      </c>
      <c r="BU180" s="536">
        <v>3.7600000000000001E-2</v>
      </c>
      <c r="BV180" s="536">
        <v>3.7600000000000001E-2</v>
      </c>
      <c r="BW180" s="536">
        <v>3.7600000000000001E-2</v>
      </c>
      <c r="BX180" s="536">
        <v>3.7600000000000001E-2</v>
      </c>
      <c r="BY180" s="536">
        <v>3.7600000000000001E-2</v>
      </c>
      <c r="BZ180" s="536">
        <v>3.7600000000000001E-2</v>
      </c>
      <c r="CA180" s="536">
        <v>3.9600000000000003E-2</v>
      </c>
      <c r="CB180" s="536">
        <v>3.9600000000000003E-2</v>
      </c>
      <c r="CC180" s="536">
        <v>3.9600000000000003E-2</v>
      </c>
      <c r="CD180" s="536">
        <v>3.9600000000000003E-2</v>
      </c>
      <c r="CE180" s="536">
        <v>4.5600000000000002E-2</v>
      </c>
      <c r="CF180" s="536">
        <v>4.5600000000000002E-2</v>
      </c>
      <c r="CG180" s="536">
        <v>4.5600000000000002E-2</v>
      </c>
      <c r="CH180" s="536">
        <v>4.5600000000000002E-2</v>
      </c>
      <c r="CI180" s="536">
        <v>4.5600000000000002E-2</v>
      </c>
      <c r="CJ180" s="536">
        <v>4.5600000000000002E-2</v>
      </c>
      <c r="CK180" s="536">
        <v>4.5600000000000002E-2</v>
      </c>
      <c r="CL180" s="536">
        <v>4.5600000000000002E-2</v>
      </c>
      <c r="CM180" s="536">
        <v>4.5600000000000002E-2</v>
      </c>
      <c r="CN180" s="536">
        <v>4.5600000000000002E-2</v>
      </c>
      <c r="CO180" s="536">
        <v>4.5600000000000002E-2</v>
      </c>
      <c r="CP180" s="536">
        <v>4.5600000000000002E-2</v>
      </c>
      <c r="CQ180" s="536">
        <v>4.5600000000000002E-2</v>
      </c>
      <c r="CR180" s="536">
        <v>4.5600000000000002E-2</v>
      </c>
      <c r="CS180" s="536">
        <v>4.5600000000000002E-2</v>
      </c>
      <c r="CT180" s="536">
        <v>4.5600000000000002E-2</v>
      </c>
      <c r="CU180" s="536">
        <v>4.5600000000000002E-2</v>
      </c>
      <c r="CV180" s="536">
        <v>4.5600000000000002E-2</v>
      </c>
      <c r="CW180" s="536">
        <v>4.5600000000000002E-2</v>
      </c>
      <c r="CX180" s="536">
        <v>4.5600000000000002E-2</v>
      </c>
      <c r="CY180" s="536">
        <v>4.5600000000000002E-2</v>
      </c>
      <c r="CZ180" s="536">
        <v>4.5600000000000002E-2</v>
      </c>
      <c r="DA180" s="536">
        <v>4.5600000000000002E-2</v>
      </c>
      <c r="DB180" s="536">
        <v>4.5600000000000002E-2</v>
      </c>
      <c r="DC180" s="536">
        <v>4.5600000000000002E-2</v>
      </c>
      <c r="DD180" s="536">
        <v>4.5600000000000002E-2</v>
      </c>
      <c r="DE180" s="536">
        <v>4.5600000000000002E-2</v>
      </c>
      <c r="DF180" s="536">
        <v>4.5600000000000002E-2</v>
      </c>
      <c r="DG180" s="536">
        <v>4.5600000000000002E-2</v>
      </c>
      <c r="DH180" s="536">
        <v>4.5600000000000002E-2</v>
      </c>
      <c r="DI180" s="536">
        <v>4.5600000000000002E-2</v>
      </c>
      <c r="DJ180" s="536">
        <v>4.5600000000000002E-2</v>
      </c>
      <c r="DK180" s="536">
        <v>4.5600000000000002E-2</v>
      </c>
      <c r="DL180" s="536">
        <v>4.5600000000000002E-2</v>
      </c>
      <c r="DM180" s="536">
        <v>4.5600000000000002E-2</v>
      </c>
      <c r="DN180" s="536">
        <v>4.5600000000000002E-2</v>
      </c>
      <c r="DO180" s="536">
        <v>4.5600000000000002E-2</v>
      </c>
      <c r="DP180" s="536">
        <v>4.5600000000000002E-2</v>
      </c>
      <c r="DQ180" s="536">
        <v>4.5600000000000002E-2</v>
      </c>
      <c r="DR180" s="536">
        <v>4.5600000000000002E-2</v>
      </c>
      <c r="DS180" s="536">
        <v>4.5600000000000002E-2</v>
      </c>
      <c r="DT180" s="536">
        <v>4.5600000000000002E-2</v>
      </c>
      <c r="DU180" s="536">
        <v>4.5600000000000002E-2</v>
      </c>
      <c r="DV180" s="536">
        <v>4.5600000000000002E-2</v>
      </c>
      <c r="DW180" s="536">
        <v>4.5600000000000002E-2</v>
      </c>
      <c r="DX180" s="536">
        <v>4.5600000000000002E-2</v>
      </c>
      <c r="DY180" s="536">
        <v>4.5600000000000002E-2</v>
      </c>
      <c r="DZ180" s="536">
        <v>4.5600000000000002E-2</v>
      </c>
      <c r="EA180" s="536">
        <v>4.5600000000000002E-2</v>
      </c>
      <c r="EB180" s="536">
        <v>4.5600000000000002E-2</v>
      </c>
      <c r="EC180" s="536">
        <v>4.5600000000000002E-2</v>
      </c>
      <c r="ED180" s="536">
        <v>4.5600000000000002E-2</v>
      </c>
      <c r="EE180" s="536">
        <v>4.5600000000000002E-2</v>
      </c>
      <c r="EF180" s="536">
        <v>4.5600000000000002E-2</v>
      </c>
      <c r="EG180" s="536">
        <v>4.5600000000000002E-2</v>
      </c>
      <c r="EH180" s="536">
        <v>4.5600000000000002E-2</v>
      </c>
      <c r="EI180" s="536">
        <v>4.5600000000000002E-2</v>
      </c>
      <c r="EJ180" s="536">
        <v>4.5600000000000002E-2</v>
      </c>
      <c r="EK180" s="536">
        <v>4.5600000000000002E-2</v>
      </c>
      <c r="EL180" s="536">
        <v>4.5600000000000002E-2</v>
      </c>
      <c r="EM180" s="536">
        <v>4.5600000000000002E-2</v>
      </c>
      <c r="EN180" s="536">
        <v>4.5600000000000002E-2</v>
      </c>
      <c r="EO180" s="536">
        <v>4.5600000000000002E-2</v>
      </c>
      <c r="EP180" s="536">
        <v>4.5600000000000002E-2</v>
      </c>
      <c r="EQ180" s="536">
        <v>4.5600000000000002E-2</v>
      </c>
      <c r="ER180" s="536">
        <v>4.5600000000000002E-2</v>
      </c>
      <c r="ES180" s="536">
        <v>4.5600000000000002E-2</v>
      </c>
      <c r="ET180" s="536">
        <v>4.5600000000000002E-2</v>
      </c>
      <c r="EU180" s="536">
        <v>4.5600000000000002E-2</v>
      </c>
      <c r="EV180" s="536">
        <v>4.5600000000000002E-2</v>
      </c>
      <c r="EW180" s="536">
        <v>4.5600000000000002E-2</v>
      </c>
      <c r="EX180" s="536">
        <v>4.5600000000000002E-2</v>
      </c>
      <c r="EY180" s="536">
        <v>4.5600000000000002E-2</v>
      </c>
      <c r="EZ180" s="536">
        <v>4.5600000000000002E-2</v>
      </c>
      <c r="FA180" s="536">
        <v>4.5600000000000002E-2</v>
      </c>
      <c r="FB180" s="536">
        <v>4.5600000000000002E-2</v>
      </c>
      <c r="FC180" s="536">
        <v>4.5600000000000002E-2</v>
      </c>
      <c r="FD180" s="536">
        <v>4.5600000000000002E-2</v>
      </c>
      <c r="FE180" s="536">
        <v>4.5600000000000002E-2</v>
      </c>
      <c r="FF180" s="536">
        <v>4.5600000000000002E-2</v>
      </c>
      <c r="FG180" s="536">
        <v>4.5600000000000002E-2</v>
      </c>
      <c r="FH180" s="536">
        <v>4.5600000000000002E-2</v>
      </c>
      <c r="FI180" s="536">
        <v>4.5600000000000002E-2</v>
      </c>
      <c r="FJ180" s="536">
        <v>4.5600000000000002E-2</v>
      </c>
      <c r="FK180" s="536">
        <v>4.5600000000000002E-2</v>
      </c>
      <c r="FL180" s="536">
        <v>4.5600000000000002E-2</v>
      </c>
      <c r="FM180" s="536">
        <v>4.5600000000000002E-2</v>
      </c>
      <c r="FN180" s="536">
        <v>4.5600000000000002E-2</v>
      </c>
      <c r="FO180" s="536">
        <v>4.5600000000000002E-2</v>
      </c>
      <c r="FP180" s="536">
        <v>4.5600000000000002E-2</v>
      </c>
      <c r="FQ180" s="536">
        <v>4.5600000000000002E-2</v>
      </c>
      <c r="FR180" s="536">
        <v>4.5600000000000002E-2</v>
      </c>
      <c r="FS180" s="536">
        <v>4.5600000000000002E-2</v>
      </c>
      <c r="FT180" s="536">
        <v>4.5600000000000002E-2</v>
      </c>
      <c r="FU180" s="536">
        <v>4.5600000000000002E-2</v>
      </c>
      <c r="FV180" s="536">
        <v>4.5600000000000002E-2</v>
      </c>
      <c r="FW180" s="536">
        <v>4.5600000000000002E-2</v>
      </c>
      <c r="FX180" s="536">
        <v>4.5600000000000002E-2</v>
      </c>
      <c r="FY180" s="489">
        <v>4.5600000000000002E-2</v>
      </c>
      <c r="FZ180" s="489">
        <v>4.5600000000000002E-2</v>
      </c>
      <c r="GA180" s="489">
        <v>4.5600000000000002E-2</v>
      </c>
      <c r="GB180" s="489">
        <v>4.5600000000000002E-2</v>
      </c>
      <c r="GC180" s="489">
        <v>4.5600000000000002E-2</v>
      </c>
      <c r="GD180" s="536">
        <v>3.8100000000000002E-2</v>
      </c>
      <c r="GE180" s="536">
        <v>3.8100000000000002E-2</v>
      </c>
      <c r="GF180" s="536">
        <v>3.8100000000000002E-2</v>
      </c>
      <c r="GG180" s="536">
        <v>3.8100000000000002E-2</v>
      </c>
      <c r="GH180" s="536">
        <v>3.8100000000000002E-2</v>
      </c>
      <c r="GI180" s="536">
        <v>3.8100000000000002E-2</v>
      </c>
      <c r="GJ180" s="536">
        <v>3.8100000000000002E-2</v>
      </c>
      <c r="GK180" s="536">
        <v>3.8100000000000002E-2</v>
      </c>
      <c r="GL180" s="536">
        <v>3.8100000000000002E-2</v>
      </c>
      <c r="GM180" s="536">
        <v>3.8100000000000002E-2</v>
      </c>
      <c r="GN180" s="536">
        <v>3.8100000000000002E-2</v>
      </c>
      <c r="GO180" s="536">
        <v>3.8100000000000002E-2</v>
      </c>
      <c r="GP180" s="536">
        <v>3.8100000000000002E-2</v>
      </c>
      <c r="GQ180" s="536">
        <v>3.8100000000000002E-2</v>
      </c>
      <c r="GR180" s="536">
        <v>3.8100000000000002E-2</v>
      </c>
      <c r="GS180" s="536">
        <v>3.8100000000000002E-2</v>
      </c>
      <c r="GT180" s="536">
        <v>3.8100000000000002E-2</v>
      </c>
      <c r="GU180" s="536">
        <v>3.8100000000000002E-2</v>
      </c>
      <c r="GV180" s="536">
        <v>3.8100000000000002E-2</v>
      </c>
      <c r="GW180" s="536">
        <v>3.8100000000000002E-2</v>
      </c>
      <c r="GX180" s="536">
        <v>3.8100000000000002E-2</v>
      </c>
      <c r="GY180" s="536">
        <v>3.8100000000000002E-2</v>
      </c>
      <c r="GZ180" s="536">
        <v>3.8100000000000002E-2</v>
      </c>
      <c r="HA180" s="536">
        <v>3.8100000000000002E-2</v>
      </c>
      <c r="HB180" s="536">
        <v>3.8100000000000002E-2</v>
      </c>
      <c r="HC180" s="536">
        <v>3.8100000000000002E-2</v>
      </c>
      <c r="HD180" s="536">
        <v>3.8100000000000002E-2</v>
      </c>
      <c r="HE180" s="536">
        <v>3.8100000000000002E-2</v>
      </c>
      <c r="HF180" s="536">
        <v>3.8100000000000002E-2</v>
      </c>
      <c r="HG180" s="536">
        <v>3.8100000000000002E-2</v>
      </c>
      <c r="HH180" s="536">
        <v>3.8100000000000002E-2</v>
      </c>
      <c r="HI180" s="536">
        <v>3.8100000000000002E-2</v>
      </c>
      <c r="HJ180" s="536">
        <v>3.8100000000000002E-2</v>
      </c>
      <c r="HK180" s="536">
        <v>3.8100000000000002E-2</v>
      </c>
      <c r="HL180" s="536">
        <v>3.8100000000000002E-2</v>
      </c>
      <c r="HM180" s="536">
        <v>3.8100000000000002E-2</v>
      </c>
      <c r="HN180" s="536">
        <v>3.8100000000000002E-2</v>
      </c>
      <c r="HO180" s="536">
        <v>3.8100000000000002E-2</v>
      </c>
      <c r="HP180" s="473">
        <f t="shared" si="68"/>
        <v>0</v>
      </c>
      <c r="HQ180" s="530"/>
    </row>
    <row r="181" spans="2:225">
      <c r="B181" s="1124"/>
      <c r="C181" s="734" t="s">
        <v>217</v>
      </c>
      <c r="D181" s="535">
        <v>3.0300000000000001E-2</v>
      </c>
      <c r="E181" s="535">
        <v>3.0300000000000001E-2</v>
      </c>
      <c r="F181" s="535">
        <v>3.0300000000000001E-2</v>
      </c>
      <c r="G181" s="535">
        <v>3.0300000000000001E-2</v>
      </c>
      <c r="H181" s="535">
        <v>3.0300000000000001E-2</v>
      </c>
      <c r="I181" s="535">
        <v>3.0300000000000001E-2</v>
      </c>
      <c r="J181" s="535">
        <v>3.0300000000000001E-2</v>
      </c>
      <c r="K181" s="535">
        <v>3.0300000000000001E-2</v>
      </c>
      <c r="L181" s="537">
        <v>3.0300000000000001E-2</v>
      </c>
      <c r="M181" s="535">
        <v>3.4299999999999997E-2</v>
      </c>
      <c r="N181" s="535">
        <v>3.4299999999999997E-2</v>
      </c>
      <c r="O181" s="535">
        <v>3.4299999999999997E-2</v>
      </c>
      <c r="P181" s="535">
        <v>3.4299999999999997E-2</v>
      </c>
      <c r="Q181" s="535">
        <v>3.4299999999999997E-2</v>
      </c>
      <c r="R181" s="535">
        <v>3.4299999999999997E-2</v>
      </c>
      <c r="S181" s="535">
        <v>3.4299999999999997E-2</v>
      </c>
      <c r="T181" s="535">
        <v>3.4299999999999997E-2</v>
      </c>
      <c r="U181" s="535">
        <v>3.4299999999999997E-2</v>
      </c>
      <c r="V181" s="535">
        <v>3.4299999999999997E-2</v>
      </c>
      <c r="W181" s="535">
        <v>3.4299999999999997E-2</v>
      </c>
      <c r="X181" s="535">
        <v>3.4299999999999997E-2</v>
      </c>
      <c r="Y181" s="535">
        <v>3.4299999999999997E-2</v>
      </c>
      <c r="Z181" s="535">
        <v>3.4299999999999997E-2</v>
      </c>
      <c r="AA181" s="537">
        <v>3.4299999999999997E-2</v>
      </c>
      <c r="AB181" s="535">
        <v>3.6799999999999999E-2</v>
      </c>
      <c r="AC181" s="535">
        <v>3.6799999999999999E-2</v>
      </c>
      <c r="AD181" s="535">
        <v>3.6799999999999999E-2</v>
      </c>
      <c r="AE181" s="535">
        <v>3.6799999999999999E-2</v>
      </c>
      <c r="AF181" s="535">
        <v>3.6799999999999999E-2</v>
      </c>
      <c r="AG181" s="535">
        <v>3.6799999999999999E-2</v>
      </c>
      <c r="AH181" s="535">
        <v>3.6799999999999999E-2</v>
      </c>
      <c r="AI181" s="535">
        <v>3.6799999999999999E-2</v>
      </c>
      <c r="AJ181" s="535">
        <v>3.6799999999999999E-2</v>
      </c>
      <c r="AK181" s="535">
        <v>3.6799999999999999E-2</v>
      </c>
      <c r="AL181" s="536">
        <v>3.6799999999999999E-2</v>
      </c>
      <c r="AM181" s="535">
        <v>3.6799999999999999E-2</v>
      </c>
      <c r="AN181" s="535">
        <v>3.6799999999999999E-2</v>
      </c>
      <c r="AO181" s="535">
        <v>3.6799999999999999E-2</v>
      </c>
      <c r="AP181" s="535">
        <v>3.6799999999999999E-2</v>
      </c>
      <c r="AQ181" s="535">
        <v>3.6799999999999999E-2</v>
      </c>
      <c r="AR181" s="537">
        <v>3.6799999999999999E-2</v>
      </c>
      <c r="AS181" s="535">
        <v>3.78E-2</v>
      </c>
      <c r="AT181" s="535">
        <v>3.78E-2</v>
      </c>
      <c r="AU181" s="535">
        <v>3.78E-2</v>
      </c>
      <c r="AV181" s="536">
        <v>3.78E-2</v>
      </c>
      <c r="AW181" s="536">
        <v>3.78E-2</v>
      </c>
      <c r="AX181" s="536">
        <v>3.78E-2</v>
      </c>
      <c r="AY181" s="536">
        <v>3.78E-2</v>
      </c>
      <c r="AZ181" s="536">
        <v>3.78E-2</v>
      </c>
      <c r="BA181" s="536">
        <v>3.78E-2</v>
      </c>
      <c r="BB181" s="536">
        <v>3.78E-2</v>
      </c>
      <c r="BC181" s="536">
        <v>3.78E-2</v>
      </c>
      <c r="BD181" s="536">
        <v>3.78E-2</v>
      </c>
      <c r="BE181" s="536">
        <v>3.78E-2</v>
      </c>
      <c r="BF181" s="536">
        <v>3.78E-2</v>
      </c>
      <c r="BG181" s="536">
        <v>3.78E-2</v>
      </c>
      <c r="BH181" s="536">
        <v>3.78E-2</v>
      </c>
      <c r="BI181" s="536">
        <v>3.78E-2</v>
      </c>
      <c r="BJ181" s="536">
        <v>3.78E-2</v>
      </c>
      <c r="BK181" s="536">
        <v>3.78E-2</v>
      </c>
      <c r="BL181" s="536">
        <v>3.78E-2</v>
      </c>
      <c r="BM181" s="536">
        <v>3.78E-2</v>
      </c>
      <c r="BN181" s="536">
        <v>3.78E-2</v>
      </c>
      <c r="BO181" s="536">
        <v>3.78E-2</v>
      </c>
      <c r="BP181" s="536">
        <v>3.78E-2</v>
      </c>
      <c r="BQ181" s="536">
        <v>3.78E-2</v>
      </c>
      <c r="BR181" s="536">
        <v>3.78E-2</v>
      </c>
      <c r="BS181" s="536">
        <v>3.78E-2</v>
      </c>
      <c r="BT181" s="536">
        <v>3.78E-2</v>
      </c>
      <c r="BU181" s="536">
        <v>3.78E-2</v>
      </c>
      <c r="BV181" s="536">
        <v>3.78E-2</v>
      </c>
      <c r="BW181" s="536">
        <v>3.78E-2</v>
      </c>
      <c r="BX181" s="536">
        <v>3.78E-2</v>
      </c>
      <c r="BY181" s="536">
        <v>3.78E-2</v>
      </c>
      <c r="BZ181" s="536">
        <v>3.78E-2</v>
      </c>
      <c r="CA181" s="536">
        <v>3.9800000000000002E-2</v>
      </c>
      <c r="CB181" s="536">
        <v>3.9800000000000002E-2</v>
      </c>
      <c r="CC181" s="536">
        <v>3.9800000000000002E-2</v>
      </c>
      <c r="CD181" s="536">
        <v>3.9800000000000002E-2</v>
      </c>
      <c r="CE181" s="536">
        <v>4.58E-2</v>
      </c>
      <c r="CF181" s="536">
        <v>4.58E-2</v>
      </c>
      <c r="CG181" s="536">
        <v>4.58E-2</v>
      </c>
      <c r="CH181" s="536">
        <v>4.58E-2</v>
      </c>
      <c r="CI181" s="536">
        <v>4.58E-2</v>
      </c>
      <c r="CJ181" s="536">
        <v>4.58E-2</v>
      </c>
      <c r="CK181" s="536">
        <v>4.58E-2</v>
      </c>
      <c r="CL181" s="536">
        <v>4.58E-2</v>
      </c>
      <c r="CM181" s="536">
        <v>4.58E-2</v>
      </c>
      <c r="CN181" s="536">
        <v>4.58E-2</v>
      </c>
      <c r="CO181" s="536">
        <v>4.58E-2</v>
      </c>
      <c r="CP181" s="536">
        <v>4.58E-2</v>
      </c>
      <c r="CQ181" s="536">
        <v>4.58E-2</v>
      </c>
      <c r="CR181" s="536">
        <v>4.58E-2</v>
      </c>
      <c r="CS181" s="536">
        <v>4.58E-2</v>
      </c>
      <c r="CT181" s="536">
        <v>4.58E-2</v>
      </c>
      <c r="CU181" s="536">
        <v>4.58E-2</v>
      </c>
      <c r="CV181" s="536">
        <v>4.58E-2</v>
      </c>
      <c r="CW181" s="536">
        <v>4.58E-2</v>
      </c>
      <c r="CX181" s="536">
        <v>4.58E-2</v>
      </c>
      <c r="CY181" s="536">
        <v>4.58E-2</v>
      </c>
      <c r="CZ181" s="536">
        <v>4.58E-2</v>
      </c>
      <c r="DA181" s="536">
        <v>4.58E-2</v>
      </c>
      <c r="DB181" s="536">
        <v>4.58E-2</v>
      </c>
      <c r="DC181" s="536">
        <v>4.58E-2</v>
      </c>
      <c r="DD181" s="536">
        <v>4.58E-2</v>
      </c>
      <c r="DE181" s="536">
        <v>4.58E-2</v>
      </c>
      <c r="DF181" s="536">
        <v>4.58E-2</v>
      </c>
      <c r="DG181" s="536">
        <v>4.58E-2</v>
      </c>
      <c r="DH181" s="536">
        <v>4.58E-2</v>
      </c>
      <c r="DI181" s="536">
        <v>4.58E-2</v>
      </c>
      <c r="DJ181" s="536">
        <v>4.58E-2</v>
      </c>
      <c r="DK181" s="536">
        <v>4.58E-2</v>
      </c>
      <c r="DL181" s="536">
        <v>4.58E-2</v>
      </c>
      <c r="DM181" s="536">
        <v>4.58E-2</v>
      </c>
      <c r="DN181" s="536">
        <v>4.58E-2</v>
      </c>
      <c r="DO181" s="536">
        <v>4.58E-2</v>
      </c>
      <c r="DP181" s="536">
        <v>4.58E-2</v>
      </c>
      <c r="DQ181" s="536">
        <v>4.58E-2</v>
      </c>
      <c r="DR181" s="536">
        <v>4.58E-2</v>
      </c>
      <c r="DS181" s="536">
        <v>4.58E-2</v>
      </c>
      <c r="DT181" s="536">
        <v>4.58E-2</v>
      </c>
      <c r="DU181" s="536">
        <v>4.58E-2</v>
      </c>
      <c r="DV181" s="536">
        <v>4.58E-2</v>
      </c>
      <c r="DW181" s="536">
        <v>4.58E-2</v>
      </c>
      <c r="DX181" s="536">
        <v>4.58E-2</v>
      </c>
      <c r="DY181" s="536">
        <v>4.58E-2</v>
      </c>
      <c r="DZ181" s="536">
        <v>4.58E-2</v>
      </c>
      <c r="EA181" s="536">
        <v>4.58E-2</v>
      </c>
      <c r="EB181" s="536">
        <v>4.58E-2</v>
      </c>
      <c r="EC181" s="536">
        <v>4.58E-2</v>
      </c>
      <c r="ED181" s="536">
        <v>4.58E-2</v>
      </c>
      <c r="EE181" s="536">
        <v>4.58E-2</v>
      </c>
      <c r="EF181" s="536">
        <v>4.58E-2</v>
      </c>
      <c r="EG181" s="536">
        <v>4.58E-2</v>
      </c>
      <c r="EH181" s="536">
        <v>4.58E-2</v>
      </c>
      <c r="EI181" s="536">
        <v>4.58E-2</v>
      </c>
      <c r="EJ181" s="536">
        <v>4.58E-2</v>
      </c>
      <c r="EK181" s="536">
        <v>4.58E-2</v>
      </c>
      <c r="EL181" s="536">
        <v>4.58E-2</v>
      </c>
      <c r="EM181" s="536">
        <v>4.58E-2</v>
      </c>
      <c r="EN181" s="536">
        <v>4.58E-2</v>
      </c>
      <c r="EO181" s="536">
        <v>4.58E-2</v>
      </c>
      <c r="EP181" s="536">
        <v>4.58E-2</v>
      </c>
      <c r="EQ181" s="536">
        <v>4.58E-2</v>
      </c>
      <c r="ER181" s="536">
        <v>4.58E-2</v>
      </c>
      <c r="ES181" s="536">
        <v>4.58E-2</v>
      </c>
      <c r="ET181" s="536">
        <v>4.58E-2</v>
      </c>
      <c r="EU181" s="536">
        <v>4.58E-2</v>
      </c>
      <c r="EV181" s="536">
        <v>4.58E-2</v>
      </c>
      <c r="EW181" s="536">
        <v>4.58E-2</v>
      </c>
      <c r="EX181" s="536">
        <v>4.58E-2</v>
      </c>
      <c r="EY181" s="536">
        <v>4.58E-2</v>
      </c>
      <c r="EZ181" s="536">
        <v>4.58E-2</v>
      </c>
      <c r="FA181" s="536">
        <v>4.58E-2</v>
      </c>
      <c r="FB181" s="536">
        <v>4.58E-2</v>
      </c>
      <c r="FC181" s="536">
        <v>4.58E-2</v>
      </c>
      <c r="FD181" s="536">
        <v>4.58E-2</v>
      </c>
      <c r="FE181" s="536">
        <v>4.58E-2</v>
      </c>
      <c r="FF181" s="536">
        <v>4.58E-2</v>
      </c>
      <c r="FG181" s="536">
        <v>4.58E-2</v>
      </c>
      <c r="FH181" s="536">
        <v>4.58E-2</v>
      </c>
      <c r="FI181" s="536">
        <v>4.58E-2</v>
      </c>
      <c r="FJ181" s="536">
        <v>4.58E-2</v>
      </c>
      <c r="FK181" s="536">
        <v>4.58E-2</v>
      </c>
      <c r="FL181" s="536">
        <v>4.58E-2</v>
      </c>
      <c r="FM181" s="536">
        <v>4.58E-2</v>
      </c>
      <c r="FN181" s="536">
        <v>4.58E-2</v>
      </c>
      <c r="FO181" s="536">
        <v>4.58E-2</v>
      </c>
      <c r="FP181" s="536">
        <v>4.58E-2</v>
      </c>
      <c r="FQ181" s="536">
        <v>4.58E-2</v>
      </c>
      <c r="FR181" s="536">
        <v>4.58E-2</v>
      </c>
      <c r="FS181" s="536">
        <v>4.58E-2</v>
      </c>
      <c r="FT181" s="536">
        <v>4.58E-2</v>
      </c>
      <c r="FU181" s="536">
        <v>4.58E-2</v>
      </c>
      <c r="FV181" s="536">
        <v>4.58E-2</v>
      </c>
      <c r="FW181" s="536">
        <v>4.58E-2</v>
      </c>
      <c r="FX181" s="536">
        <v>4.58E-2</v>
      </c>
      <c r="FY181" s="489">
        <v>4.58E-2</v>
      </c>
      <c r="FZ181" s="489">
        <v>4.58E-2</v>
      </c>
      <c r="GA181" s="489">
        <v>4.58E-2</v>
      </c>
      <c r="GB181" s="489">
        <v>4.58E-2</v>
      </c>
      <c r="GC181" s="489">
        <v>4.58E-2</v>
      </c>
      <c r="GD181" s="536">
        <v>3.8300000000000001E-2</v>
      </c>
      <c r="GE181" s="536">
        <v>3.8300000000000001E-2</v>
      </c>
      <c r="GF181" s="536">
        <v>3.8300000000000001E-2</v>
      </c>
      <c r="GG181" s="536">
        <v>3.8300000000000001E-2</v>
      </c>
      <c r="GH181" s="536">
        <v>3.8300000000000001E-2</v>
      </c>
      <c r="GI181" s="536">
        <v>3.8300000000000001E-2</v>
      </c>
      <c r="GJ181" s="536">
        <v>3.8300000000000001E-2</v>
      </c>
      <c r="GK181" s="536">
        <v>3.8300000000000001E-2</v>
      </c>
      <c r="GL181" s="536">
        <v>3.8300000000000001E-2</v>
      </c>
      <c r="GM181" s="536">
        <v>3.8300000000000001E-2</v>
      </c>
      <c r="GN181" s="536">
        <v>3.8300000000000001E-2</v>
      </c>
      <c r="GO181" s="536">
        <v>3.8300000000000001E-2</v>
      </c>
      <c r="GP181" s="536">
        <v>3.8300000000000001E-2</v>
      </c>
      <c r="GQ181" s="536">
        <v>3.8300000000000001E-2</v>
      </c>
      <c r="GR181" s="536">
        <v>3.8300000000000001E-2</v>
      </c>
      <c r="GS181" s="536">
        <v>3.8300000000000001E-2</v>
      </c>
      <c r="GT181" s="536">
        <v>3.8300000000000001E-2</v>
      </c>
      <c r="GU181" s="536">
        <v>3.8300000000000001E-2</v>
      </c>
      <c r="GV181" s="536">
        <v>3.8300000000000001E-2</v>
      </c>
      <c r="GW181" s="536">
        <v>3.8300000000000001E-2</v>
      </c>
      <c r="GX181" s="536">
        <v>3.8300000000000001E-2</v>
      </c>
      <c r="GY181" s="536">
        <v>3.8300000000000001E-2</v>
      </c>
      <c r="GZ181" s="536">
        <v>3.8300000000000001E-2</v>
      </c>
      <c r="HA181" s="536">
        <v>3.8300000000000001E-2</v>
      </c>
      <c r="HB181" s="536">
        <v>3.8300000000000001E-2</v>
      </c>
      <c r="HC181" s="536">
        <v>3.8300000000000001E-2</v>
      </c>
      <c r="HD181" s="536">
        <v>3.8300000000000001E-2</v>
      </c>
      <c r="HE181" s="536">
        <v>3.8300000000000001E-2</v>
      </c>
      <c r="HF181" s="536">
        <v>3.8300000000000001E-2</v>
      </c>
      <c r="HG181" s="536">
        <v>3.8300000000000001E-2</v>
      </c>
      <c r="HH181" s="536">
        <v>3.8300000000000001E-2</v>
      </c>
      <c r="HI181" s="536">
        <v>3.8300000000000001E-2</v>
      </c>
      <c r="HJ181" s="536">
        <v>3.8300000000000001E-2</v>
      </c>
      <c r="HK181" s="536">
        <v>3.8300000000000001E-2</v>
      </c>
      <c r="HL181" s="536">
        <v>3.8300000000000001E-2</v>
      </c>
      <c r="HM181" s="536">
        <v>3.8300000000000001E-2</v>
      </c>
      <c r="HN181" s="536">
        <v>3.8300000000000001E-2</v>
      </c>
      <c r="HO181" s="536">
        <v>3.8300000000000001E-2</v>
      </c>
      <c r="HP181" s="473">
        <f t="shared" si="68"/>
        <v>0</v>
      </c>
      <c r="HQ181" s="530"/>
    </row>
    <row r="182" spans="2:225">
      <c r="B182" s="1125"/>
      <c r="C182" s="734" t="s">
        <v>216</v>
      </c>
      <c r="D182" s="535">
        <v>3.0499999999999999E-2</v>
      </c>
      <c r="E182" s="535">
        <v>3.0499999999999999E-2</v>
      </c>
      <c r="F182" s="535">
        <v>3.0499999999999999E-2</v>
      </c>
      <c r="G182" s="535">
        <v>3.0499999999999999E-2</v>
      </c>
      <c r="H182" s="535">
        <v>3.0499999999999999E-2</v>
      </c>
      <c r="I182" s="535">
        <v>3.0499999999999999E-2</v>
      </c>
      <c r="J182" s="535">
        <v>3.0499999999999999E-2</v>
      </c>
      <c r="K182" s="535">
        <v>3.0499999999999999E-2</v>
      </c>
      <c r="L182" s="537">
        <v>3.0499999999999999E-2</v>
      </c>
      <c r="M182" s="535">
        <v>3.4499999999999996E-2</v>
      </c>
      <c r="N182" s="535">
        <v>3.4499999999999996E-2</v>
      </c>
      <c r="O182" s="535">
        <v>3.4499999999999996E-2</v>
      </c>
      <c r="P182" s="535">
        <v>3.4499999999999996E-2</v>
      </c>
      <c r="Q182" s="535">
        <v>3.4499999999999996E-2</v>
      </c>
      <c r="R182" s="535">
        <v>3.4499999999999996E-2</v>
      </c>
      <c r="S182" s="535">
        <v>3.4499999999999996E-2</v>
      </c>
      <c r="T182" s="535">
        <v>3.4499999999999996E-2</v>
      </c>
      <c r="U182" s="535">
        <v>3.4499999999999996E-2</v>
      </c>
      <c r="V182" s="535">
        <v>3.4499999999999996E-2</v>
      </c>
      <c r="W182" s="535">
        <v>3.4499999999999996E-2</v>
      </c>
      <c r="X182" s="535">
        <v>3.4499999999999996E-2</v>
      </c>
      <c r="Y182" s="535">
        <v>3.4499999999999996E-2</v>
      </c>
      <c r="Z182" s="535">
        <v>3.4499999999999996E-2</v>
      </c>
      <c r="AA182" s="537">
        <v>3.4499999999999996E-2</v>
      </c>
      <c r="AB182" s="535">
        <v>3.6999999999999998E-2</v>
      </c>
      <c r="AC182" s="535">
        <v>3.6999999999999998E-2</v>
      </c>
      <c r="AD182" s="535">
        <v>3.6999999999999998E-2</v>
      </c>
      <c r="AE182" s="535">
        <v>3.6999999999999998E-2</v>
      </c>
      <c r="AF182" s="535">
        <v>3.6999999999999998E-2</v>
      </c>
      <c r="AG182" s="535">
        <v>3.6999999999999998E-2</v>
      </c>
      <c r="AH182" s="535">
        <v>3.6999999999999998E-2</v>
      </c>
      <c r="AI182" s="535">
        <v>3.6999999999999998E-2</v>
      </c>
      <c r="AJ182" s="535">
        <v>3.6999999999999998E-2</v>
      </c>
      <c r="AK182" s="535">
        <v>3.6999999999999998E-2</v>
      </c>
      <c r="AL182" s="536">
        <v>3.6999999999999998E-2</v>
      </c>
      <c r="AM182" s="535">
        <v>3.6999999999999998E-2</v>
      </c>
      <c r="AN182" s="535">
        <v>3.6999999999999998E-2</v>
      </c>
      <c r="AO182" s="535">
        <v>3.6999999999999998E-2</v>
      </c>
      <c r="AP182" s="535">
        <v>3.6999999999999998E-2</v>
      </c>
      <c r="AQ182" s="535">
        <v>3.6999999999999998E-2</v>
      </c>
      <c r="AR182" s="537">
        <v>3.6999999999999998E-2</v>
      </c>
      <c r="AS182" s="535">
        <v>3.7999999999999999E-2</v>
      </c>
      <c r="AT182" s="535">
        <v>3.7999999999999999E-2</v>
      </c>
      <c r="AU182" s="535">
        <v>3.7999999999999999E-2</v>
      </c>
      <c r="AV182" s="536">
        <v>3.7999999999999999E-2</v>
      </c>
      <c r="AW182" s="536">
        <v>3.7999999999999999E-2</v>
      </c>
      <c r="AX182" s="536">
        <v>3.7999999999999999E-2</v>
      </c>
      <c r="AY182" s="536">
        <v>3.7999999999999999E-2</v>
      </c>
      <c r="AZ182" s="536">
        <v>3.7999999999999999E-2</v>
      </c>
      <c r="BA182" s="536">
        <v>3.7999999999999999E-2</v>
      </c>
      <c r="BB182" s="536">
        <v>3.7999999999999999E-2</v>
      </c>
      <c r="BC182" s="536">
        <v>3.7999999999999999E-2</v>
      </c>
      <c r="BD182" s="536">
        <v>3.7999999999999999E-2</v>
      </c>
      <c r="BE182" s="536">
        <v>3.7999999999999999E-2</v>
      </c>
      <c r="BF182" s="536">
        <v>3.7999999999999999E-2</v>
      </c>
      <c r="BG182" s="536">
        <v>3.7999999999999999E-2</v>
      </c>
      <c r="BH182" s="536">
        <v>3.7999999999999999E-2</v>
      </c>
      <c r="BI182" s="536">
        <v>3.7999999999999999E-2</v>
      </c>
      <c r="BJ182" s="536">
        <v>3.7999999999999999E-2</v>
      </c>
      <c r="BK182" s="536">
        <v>3.7999999999999999E-2</v>
      </c>
      <c r="BL182" s="536">
        <v>3.7999999999999999E-2</v>
      </c>
      <c r="BM182" s="536">
        <v>3.7999999999999999E-2</v>
      </c>
      <c r="BN182" s="536">
        <v>3.7999999999999999E-2</v>
      </c>
      <c r="BO182" s="536">
        <v>3.7999999999999999E-2</v>
      </c>
      <c r="BP182" s="536">
        <v>3.7999999999999999E-2</v>
      </c>
      <c r="BQ182" s="536">
        <v>3.7999999999999999E-2</v>
      </c>
      <c r="BR182" s="536">
        <v>3.7999999999999999E-2</v>
      </c>
      <c r="BS182" s="536">
        <v>3.7999999999999999E-2</v>
      </c>
      <c r="BT182" s="536">
        <v>3.7999999999999999E-2</v>
      </c>
      <c r="BU182" s="536">
        <v>3.7999999999999999E-2</v>
      </c>
      <c r="BV182" s="536">
        <v>3.7999999999999999E-2</v>
      </c>
      <c r="BW182" s="536">
        <v>3.7999999999999999E-2</v>
      </c>
      <c r="BX182" s="536">
        <v>3.7999999999999999E-2</v>
      </c>
      <c r="BY182" s="536">
        <v>3.7999999999999999E-2</v>
      </c>
      <c r="BZ182" s="536">
        <v>3.7999999999999999E-2</v>
      </c>
      <c r="CA182" s="536">
        <v>0.04</v>
      </c>
      <c r="CB182" s="536">
        <v>0.04</v>
      </c>
      <c r="CC182" s="536">
        <v>0.04</v>
      </c>
      <c r="CD182" s="536">
        <v>0.04</v>
      </c>
      <c r="CE182" s="536">
        <v>4.5999999999999999E-2</v>
      </c>
      <c r="CF182" s="536">
        <v>4.5999999999999999E-2</v>
      </c>
      <c r="CG182" s="536">
        <v>4.5999999999999999E-2</v>
      </c>
      <c r="CH182" s="536">
        <v>4.5999999999999999E-2</v>
      </c>
      <c r="CI182" s="536">
        <v>4.5999999999999999E-2</v>
      </c>
      <c r="CJ182" s="536">
        <v>4.5999999999999999E-2</v>
      </c>
      <c r="CK182" s="536">
        <v>4.5999999999999999E-2</v>
      </c>
      <c r="CL182" s="536">
        <v>4.5999999999999999E-2</v>
      </c>
      <c r="CM182" s="536">
        <v>4.5999999999999999E-2</v>
      </c>
      <c r="CN182" s="536">
        <v>4.5999999999999999E-2</v>
      </c>
      <c r="CO182" s="536">
        <v>4.5999999999999999E-2</v>
      </c>
      <c r="CP182" s="536">
        <v>4.5999999999999999E-2</v>
      </c>
      <c r="CQ182" s="536">
        <v>4.5999999999999999E-2</v>
      </c>
      <c r="CR182" s="536">
        <v>4.5999999999999999E-2</v>
      </c>
      <c r="CS182" s="536">
        <v>4.5999999999999999E-2</v>
      </c>
      <c r="CT182" s="536">
        <v>4.5999999999999999E-2</v>
      </c>
      <c r="CU182" s="536">
        <v>4.5999999999999999E-2</v>
      </c>
      <c r="CV182" s="536">
        <v>4.5999999999999999E-2</v>
      </c>
      <c r="CW182" s="536">
        <v>4.5999999999999999E-2</v>
      </c>
      <c r="CX182" s="536">
        <v>4.5999999999999999E-2</v>
      </c>
      <c r="CY182" s="536">
        <v>4.5999999999999999E-2</v>
      </c>
      <c r="CZ182" s="536">
        <v>4.5999999999999999E-2</v>
      </c>
      <c r="DA182" s="536">
        <v>4.5999999999999999E-2</v>
      </c>
      <c r="DB182" s="536">
        <v>4.5999999999999999E-2</v>
      </c>
      <c r="DC182" s="536">
        <v>4.5999999999999999E-2</v>
      </c>
      <c r="DD182" s="536">
        <v>4.5999999999999999E-2</v>
      </c>
      <c r="DE182" s="536">
        <v>4.5999999999999999E-2</v>
      </c>
      <c r="DF182" s="536">
        <v>4.5999999999999999E-2</v>
      </c>
      <c r="DG182" s="536">
        <v>4.5999999999999999E-2</v>
      </c>
      <c r="DH182" s="536">
        <v>4.5999999999999999E-2</v>
      </c>
      <c r="DI182" s="536">
        <v>4.5999999999999999E-2</v>
      </c>
      <c r="DJ182" s="536">
        <v>4.5999999999999999E-2</v>
      </c>
      <c r="DK182" s="536">
        <v>4.5999999999999999E-2</v>
      </c>
      <c r="DL182" s="536">
        <v>4.5999999999999999E-2</v>
      </c>
      <c r="DM182" s="536">
        <v>4.5999999999999999E-2</v>
      </c>
      <c r="DN182" s="536">
        <v>4.5999999999999999E-2</v>
      </c>
      <c r="DO182" s="536">
        <v>4.5999999999999999E-2</v>
      </c>
      <c r="DP182" s="536">
        <v>4.5999999999999999E-2</v>
      </c>
      <c r="DQ182" s="536">
        <v>4.5999999999999999E-2</v>
      </c>
      <c r="DR182" s="536">
        <v>4.5999999999999999E-2</v>
      </c>
      <c r="DS182" s="536">
        <v>4.5999999999999999E-2</v>
      </c>
      <c r="DT182" s="536">
        <v>4.5999999999999999E-2</v>
      </c>
      <c r="DU182" s="536">
        <v>4.5999999999999999E-2</v>
      </c>
      <c r="DV182" s="536">
        <v>4.5999999999999999E-2</v>
      </c>
      <c r="DW182" s="536">
        <v>4.5999999999999999E-2</v>
      </c>
      <c r="DX182" s="536">
        <v>4.5999999999999999E-2</v>
      </c>
      <c r="DY182" s="536">
        <v>4.5999999999999999E-2</v>
      </c>
      <c r="DZ182" s="536">
        <v>4.5999999999999999E-2</v>
      </c>
      <c r="EA182" s="536">
        <v>4.5999999999999999E-2</v>
      </c>
      <c r="EB182" s="536">
        <v>4.5999999999999999E-2</v>
      </c>
      <c r="EC182" s="536">
        <v>4.5999999999999999E-2</v>
      </c>
      <c r="ED182" s="536">
        <v>4.5999999999999999E-2</v>
      </c>
      <c r="EE182" s="536">
        <v>4.5999999999999999E-2</v>
      </c>
      <c r="EF182" s="536">
        <v>4.5999999999999999E-2</v>
      </c>
      <c r="EG182" s="536">
        <v>4.5999999999999999E-2</v>
      </c>
      <c r="EH182" s="536">
        <v>4.5999999999999999E-2</v>
      </c>
      <c r="EI182" s="536">
        <v>4.5999999999999999E-2</v>
      </c>
      <c r="EJ182" s="536">
        <v>4.5999999999999999E-2</v>
      </c>
      <c r="EK182" s="536">
        <v>4.5999999999999999E-2</v>
      </c>
      <c r="EL182" s="536">
        <v>4.5999999999999999E-2</v>
      </c>
      <c r="EM182" s="536">
        <v>4.5999999999999999E-2</v>
      </c>
      <c r="EN182" s="536">
        <v>4.5999999999999999E-2</v>
      </c>
      <c r="EO182" s="536">
        <v>4.5999999999999999E-2</v>
      </c>
      <c r="EP182" s="536">
        <v>4.5999999999999999E-2</v>
      </c>
      <c r="EQ182" s="536">
        <v>4.5999999999999999E-2</v>
      </c>
      <c r="ER182" s="536">
        <v>4.5999999999999999E-2</v>
      </c>
      <c r="ES182" s="536">
        <v>4.5999999999999999E-2</v>
      </c>
      <c r="ET182" s="536">
        <v>4.5999999999999999E-2</v>
      </c>
      <c r="EU182" s="536">
        <v>4.5999999999999999E-2</v>
      </c>
      <c r="EV182" s="536">
        <v>4.5999999999999999E-2</v>
      </c>
      <c r="EW182" s="536">
        <v>4.5999999999999999E-2</v>
      </c>
      <c r="EX182" s="536">
        <v>4.5999999999999999E-2</v>
      </c>
      <c r="EY182" s="536">
        <v>4.5999999999999999E-2</v>
      </c>
      <c r="EZ182" s="536">
        <v>4.5999999999999999E-2</v>
      </c>
      <c r="FA182" s="536">
        <v>4.5999999999999999E-2</v>
      </c>
      <c r="FB182" s="536">
        <v>4.5999999999999999E-2</v>
      </c>
      <c r="FC182" s="536">
        <v>4.5999999999999999E-2</v>
      </c>
      <c r="FD182" s="536">
        <v>4.5999999999999999E-2</v>
      </c>
      <c r="FE182" s="536">
        <v>4.5999999999999999E-2</v>
      </c>
      <c r="FF182" s="536">
        <v>4.5999999999999999E-2</v>
      </c>
      <c r="FG182" s="536">
        <v>4.5999999999999999E-2</v>
      </c>
      <c r="FH182" s="536">
        <v>4.5999999999999999E-2</v>
      </c>
      <c r="FI182" s="536">
        <v>4.5999999999999999E-2</v>
      </c>
      <c r="FJ182" s="536">
        <v>4.5999999999999999E-2</v>
      </c>
      <c r="FK182" s="536">
        <v>4.5999999999999999E-2</v>
      </c>
      <c r="FL182" s="536">
        <v>4.5999999999999999E-2</v>
      </c>
      <c r="FM182" s="536">
        <v>4.5999999999999999E-2</v>
      </c>
      <c r="FN182" s="536">
        <v>4.5999999999999999E-2</v>
      </c>
      <c r="FO182" s="536">
        <v>4.5999999999999999E-2</v>
      </c>
      <c r="FP182" s="536">
        <v>4.5999999999999999E-2</v>
      </c>
      <c r="FQ182" s="536">
        <v>4.5999999999999999E-2</v>
      </c>
      <c r="FR182" s="536">
        <v>4.5999999999999999E-2</v>
      </c>
      <c r="FS182" s="536">
        <v>4.5999999999999999E-2</v>
      </c>
      <c r="FT182" s="536">
        <v>4.5999999999999999E-2</v>
      </c>
      <c r="FU182" s="536">
        <v>4.5999999999999999E-2</v>
      </c>
      <c r="FV182" s="536">
        <v>4.5999999999999999E-2</v>
      </c>
      <c r="FW182" s="536">
        <v>4.5999999999999999E-2</v>
      </c>
      <c r="FX182" s="536">
        <v>4.5999999999999999E-2</v>
      </c>
      <c r="FY182" s="489">
        <v>4.5999999999999999E-2</v>
      </c>
      <c r="FZ182" s="489">
        <v>4.5999999999999999E-2</v>
      </c>
      <c r="GA182" s="489">
        <v>4.5999999999999999E-2</v>
      </c>
      <c r="GB182" s="489">
        <v>4.5999999999999999E-2</v>
      </c>
      <c r="GC182" s="489">
        <v>4.5999999999999999E-2</v>
      </c>
      <c r="GD182" s="536">
        <v>3.85E-2</v>
      </c>
      <c r="GE182" s="536">
        <v>3.85E-2</v>
      </c>
      <c r="GF182" s="536">
        <v>3.85E-2</v>
      </c>
      <c r="GG182" s="536">
        <v>3.85E-2</v>
      </c>
      <c r="GH182" s="536">
        <v>3.85E-2</v>
      </c>
      <c r="GI182" s="536">
        <v>3.85E-2</v>
      </c>
      <c r="GJ182" s="536">
        <v>3.85E-2</v>
      </c>
      <c r="GK182" s="536">
        <v>3.85E-2</v>
      </c>
      <c r="GL182" s="536">
        <v>3.85E-2</v>
      </c>
      <c r="GM182" s="536">
        <v>3.85E-2</v>
      </c>
      <c r="GN182" s="536">
        <v>3.85E-2</v>
      </c>
      <c r="GO182" s="536">
        <v>3.85E-2</v>
      </c>
      <c r="GP182" s="536">
        <v>3.85E-2</v>
      </c>
      <c r="GQ182" s="536">
        <v>3.85E-2</v>
      </c>
      <c r="GR182" s="536">
        <v>3.85E-2</v>
      </c>
      <c r="GS182" s="536">
        <v>3.85E-2</v>
      </c>
      <c r="GT182" s="536">
        <v>3.85E-2</v>
      </c>
      <c r="GU182" s="536">
        <v>3.85E-2</v>
      </c>
      <c r="GV182" s="536">
        <v>3.85E-2</v>
      </c>
      <c r="GW182" s="536">
        <v>3.85E-2</v>
      </c>
      <c r="GX182" s="536">
        <v>3.85E-2</v>
      </c>
      <c r="GY182" s="536">
        <v>3.85E-2</v>
      </c>
      <c r="GZ182" s="536">
        <v>3.85E-2</v>
      </c>
      <c r="HA182" s="536">
        <v>3.85E-2</v>
      </c>
      <c r="HB182" s="536">
        <v>3.85E-2</v>
      </c>
      <c r="HC182" s="536">
        <v>3.85E-2</v>
      </c>
      <c r="HD182" s="536">
        <v>3.85E-2</v>
      </c>
      <c r="HE182" s="536">
        <v>3.85E-2</v>
      </c>
      <c r="HF182" s="536">
        <v>3.85E-2</v>
      </c>
      <c r="HG182" s="536">
        <v>3.85E-2</v>
      </c>
      <c r="HH182" s="536">
        <v>3.85E-2</v>
      </c>
      <c r="HI182" s="536">
        <v>3.85E-2</v>
      </c>
      <c r="HJ182" s="536">
        <v>3.85E-2</v>
      </c>
      <c r="HK182" s="536">
        <v>3.85E-2</v>
      </c>
      <c r="HL182" s="536">
        <v>3.85E-2</v>
      </c>
      <c r="HM182" s="536">
        <v>3.85E-2</v>
      </c>
      <c r="HN182" s="536">
        <v>3.85E-2</v>
      </c>
      <c r="HO182" s="536">
        <v>3.85E-2</v>
      </c>
      <c r="HP182" s="473">
        <f t="shared" si="68"/>
        <v>0</v>
      </c>
      <c r="HQ182" s="530"/>
    </row>
    <row r="183" spans="2:225">
      <c r="C183" s="622"/>
      <c r="D183" s="622"/>
      <c r="E183" s="622"/>
      <c r="F183" s="622"/>
      <c r="G183" s="622"/>
      <c r="H183" s="622"/>
      <c r="I183" s="622"/>
      <c r="J183" s="622"/>
      <c r="K183" s="622"/>
      <c r="L183" s="622"/>
      <c r="M183" s="622"/>
      <c r="N183" s="622"/>
      <c r="O183" s="622"/>
      <c r="P183" s="622"/>
      <c r="Q183" s="622"/>
      <c r="R183" s="622"/>
      <c r="S183" s="622"/>
      <c r="T183" s="517"/>
      <c r="U183" s="517"/>
      <c r="V183" s="517"/>
      <c r="W183" s="518"/>
      <c r="X183" s="518"/>
      <c r="Y183" s="518"/>
      <c r="Z183" s="518"/>
      <c r="AA183" s="518"/>
      <c r="AB183" s="518"/>
      <c r="AC183" s="518"/>
      <c r="AD183" s="518"/>
      <c r="AE183" s="518"/>
      <c r="AF183" s="518"/>
      <c r="AG183" s="518"/>
      <c r="AH183" s="518"/>
      <c r="AI183" s="518"/>
      <c r="AJ183" s="518"/>
      <c r="AK183" s="518"/>
      <c r="AL183" s="519"/>
      <c r="AM183" s="518"/>
      <c r="AN183" s="518"/>
      <c r="AO183" s="518"/>
      <c r="AP183" s="518"/>
      <c r="AQ183" s="518"/>
      <c r="AR183" s="518"/>
      <c r="AS183" s="518"/>
      <c r="AT183" s="518"/>
      <c r="AU183" s="518"/>
      <c r="AV183" s="519"/>
      <c r="AW183" s="519"/>
      <c r="AX183" s="519"/>
      <c r="AY183" s="519"/>
      <c r="AZ183" s="519"/>
      <c r="BA183" s="519"/>
      <c r="BB183" s="519"/>
      <c r="BC183" s="519"/>
      <c r="BD183" s="519"/>
      <c r="BE183" s="519"/>
      <c r="BF183" s="519"/>
      <c r="BG183" s="519"/>
      <c r="BH183" s="519"/>
      <c r="BI183" s="519"/>
      <c r="BJ183" s="519"/>
      <c r="BK183" s="519"/>
      <c r="BL183" s="519"/>
      <c r="BM183" s="519"/>
      <c r="BN183" s="519"/>
      <c r="BO183" s="519"/>
      <c r="BP183" s="519"/>
      <c r="BQ183" s="519"/>
      <c r="BR183" s="519"/>
      <c r="BS183" s="519"/>
      <c r="BT183" s="519"/>
      <c r="BU183" s="519"/>
      <c r="BV183" s="519"/>
      <c r="BW183" s="519"/>
      <c r="BX183" s="519"/>
      <c r="BY183" s="519"/>
      <c r="BZ183" s="519"/>
      <c r="CA183" s="519"/>
      <c r="CB183" s="519"/>
      <c r="CC183" s="519"/>
      <c r="CD183" s="519"/>
      <c r="CE183" s="519"/>
      <c r="CF183" s="519"/>
      <c r="CG183" s="519"/>
      <c r="CH183" s="519"/>
      <c r="CI183" s="519"/>
      <c r="CJ183" s="519"/>
      <c r="CK183" s="519"/>
      <c r="CL183" s="519"/>
      <c r="CM183" s="519"/>
      <c r="CN183" s="519"/>
      <c r="CO183" s="519"/>
      <c r="CP183" s="519"/>
      <c r="CQ183" s="519"/>
      <c r="CR183" s="519"/>
      <c r="CS183" s="519"/>
      <c r="CT183" s="519"/>
      <c r="CU183" s="519"/>
      <c r="CV183" s="519"/>
      <c r="CW183" s="519"/>
      <c r="CX183" s="519"/>
      <c r="CY183" s="519"/>
      <c r="CZ183" s="519"/>
      <c r="DA183" s="519"/>
      <c r="DB183" s="519"/>
      <c r="DC183" s="519"/>
      <c r="DD183" s="519"/>
      <c r="DE183" s="519"/>
      <c r="DF183" s="519"/>
      <c r="DG183" s="519"/>
      <c r="DH183" s="519"/>
      <c r="DI183" s="519"/>
      <c r="DJ183" s="519"/>
      <c r="DK183" s="519"/>
      <c r="DL183" s="519"/>
      <c r="DM183" s="519"/>
      <c r="DN183" s="519"/>
      <c r="DO183" s="519"/>
      <c r="DP183" s="519"/>
      <c r="DQ183" s="519"/>
      <c r="DR183" s="519"/>
      <c r="DS183" s="519"/>
      <c r="DT183" s="519"/>
      <c r="DU183" s="519"/>
      <c r="DV183" s="519"/>
      <c r="DW183" s="519"/>
      <c r="DX183" s="519"/>
      <c r="DY183" s="519"/>
      <c r="DZ183" s="519"/>
      <c r="EA183" s="519"/>
      <c r="EB183" s="519"/>
      <c r="EC183" s="519"/>
      <c r="ED183" s="519"/>
      <c r="EE183" s="519"/>
      <c r="EF183" s="519"/>
      <c r="EG183" s="519"/>
      <c r="EH183" s="519"/>
      <c r="EI183" s="519"/>
      <c r="EJ183" s="519"/>
      <c r="EK183" s="519"/>
      <c r="EL183" s="519"/>
      <c r="EM183" s="519"/>
      <c r="EN183" s="519"/>
      <c r="EO183" s="519"/>
      <c r="EP183" s="519"/>
      <c r="EQ183" s="519"/>
      <c r="ER183" s="519"/>
      <c r="ES183" s="519"/>
      <c r="ET183" s="519"/>
      <c r="EU183" s="519"/>
      <c r="EV183" s="519"/>
      <c r="EW183" s="519"/>
      <c r="EX183" s="519"/>
      <c r="EY183" s="519"/>
      <c r="EZ183" s="519"/>
      <c r="FA183" s="519"/>
      <c r="FB183" s="519"/>
      <c r="FC183" s="519"/>
      <c r="FD183" s="519"/>
      <c r="FE183" s="519"/>
      <c r="FF183" s="519"/>
      <c r="FG183" s="519"/>
      <c r="FH183" s="519"/>
      <c r="FI183" s="519"/>
      <c r="FJ183" s="519"/>
      <c r="FK183" s="519"/>
      <c r="FL183" s="519"/>
      <c r="FM183" s="519"/>
      <c r="FN183" s="519"/>
      <c r="FO183" s="519"/>
      <c r="FP183" s="519"/>
      <c r="FQ183" s="519"/>
      <c r="FR183" s="519"/>
      <c r="FS183" s="519"/>
      <c r="FT183" s="519"/>
      <c r="FU183" s="519"/>
      <c r="FV183" s="519"/>
      <c r="FW183" s="519"/>
      <c r="FX183" s="519"/>
      <c r="FY183" s="519"/>
      <c r="FZ183" s="519"/>
      <c r="GA183" s="519"/>
      <c r="GB183" s="519"/>
      <c r="GC183" s="519"/>
      <c r="GD183" s="519"/>
      <c r="GE183" s="519"/>
      <c r="GF183" s="519"/>
      <c r="GG183" s="519"/>
      <c r="GH183" s="519"/>
      <c r="GI183" s="519"/>
      <c r="GJ183" s="519"/>
      <c r="GK183" s="519"/>
      <c r="GL183" s="519"/>
      <c r="GM183" s="519"/>
      <c r="GN183" s="519"/>
      <c r="GO183" s="519"/>
      <c r="GP183" s="519"/>
      <c r="GQ183" s="519"/>
      <c r="GR183" s="519"/>
      <c r="GS183" s="519"/>
      <c r="GT183" s="519"/>
      <c r="GU183" s="519"/>
      <c r="GV183" s="519"/>
      <c r="GW183" s="519"/>
      <c r="GX183" s="519"/>
      <c r="GY183" s="519"/>
      <c r="GZ183" s="519"/>
      <c r="HA183" s="519"/>
      <c r="HB183" s="519"/>
      <c r="HC183" s="519"/>
      <c r="HD183" s="519"/>
      <c r="HE183" s="519"/>
      <c r="HF183" s="519"/>
      <c r="HG183" s="519"/>
      <c r="HH183" s="519"/>
      <c r="HI183" s="519"/>
      <c r="HJ183" s="519"/>
      <c r="HK183" s="519"/>
      <c r="HL183" s="519"/>
      <c r="HM183" s="519"/>
      <c r="HN183" s="519"/>
      <c r="HO183" s="519"/>
      <c r="HP183" s="473"/>
      <c r="HQ183" s="521"/>
    </row>
    <row r="184" spans="2:225">
      <c r="C184" s="622"/>
      <c r="D184" s="622"/>
      <c r="E184" s="622"/>
      <c r="F184" s="622"/>
      <c r="G184" s="622"/>
      <c r="H184" s="622"/>
      <c r="I184" s="622"/>
      <c r="J184" s="622"/>
      <c r="K184" s="622"/>
      <c r="L184" s="622"/>
      <c r="M184" s="622"/>
      <c r="N184" s="622"/>
      <c r="O184" s="622"/>
      <c r="P184" s="622"/>
      <c r="Q184" s="622"/>
      <c r="R184" s="622"/>
      <c r="S184" s="622"/>
      <c r="T184" s="517"/>
      <c r="U184" s="517"/>
      <c r="V184" s="517"/>
      <c r="W184" s="518"/>
      <c r="X184" s="518"/>
      <c r="Y184" s="518"/>
      <c r="Z184" s="518"/>
      <c r="AA184" s="518"/>
      <c r="AB184" s="518"/>
      <c r="AC184" s="518"/>
      <c r="AD184" s="518"/>
      <c r="AE184" s="518"/>
      <c r="AF184" s="518"/>
      <c r="AG184" s="518"/>
      <c r="AH184" s="518"/>
      <c r="AI184" s="518"/>
      <c r="AJ184" s="518"/>
      <c r="AK184" s="518"/>
      <c r="AL184" s="519"/>
      <c r="AM184" s="518"/>
      <c r="AN184" s="518"/>
      <c r="AO184" s="518"/>
      <c r="AP184" s="518"/>
      <c r="AQ184" s="518"/>
      <c r="AR184" s="518"/>
      <c r="AS184" s="518"/>
      <c r="AT184" s="518"/>
      <c r="AU184" s="518"/>
      <c r="AV184" s="519"/>
      <c r="AW184" s="519"/>
      <c r="AX184" s="519"/>
      <c r="AY184" s="519"/>
      <c r="AZ184" s="519"/>
      <c r="BA184" s="519"/>
      <c r="BB184" s="519"/>
      <c r="BC184" s="519"/>
      <c r="BD184" s="519"/>
      <c r="BE184" s="519"/>
      <c r="BF184" s="519"/>
      <c r="BG184" s="519"/>
      <c r="BH184" s="519"/>
      <c r="BI184" s="519"/>
      <c r="BJ184" s="519"/>
      <c r="BK184" s="519"/>
      <c r="BL184" s="519"/>
      <c r="BM184" s="519"/>
      <c r="BN184" s="519"/>
      <c r="BO184" s="519"/>
      <c r="BP184" s="519"/>
      <c r="BQ184" s="519"/>
      <c r="BR184" s="519"/>
      <c r="BS184" s="519"/>
      <c r="BT184" s="519"/>
      <c r="BU184" s="519"/>
      <c r="BV184" s="519"/>
      <c r="BW184" s="519"/>
      <c r="BX184" s="519"/>
      <c r="BY184" s="519"/>
      <c r="BZ184" s="519"/>
      <c r="CA184" s="519"/>
      <c r="CB184" s="519"/>
      <c r="CC184" s="519"/>
      <c r="CD184" s="519"/>
      <c r="CE184" s="519"/>
      <c r="CF184" s="519"/>
      <c r="CG184" s="519"/>
      <c r="CH184" s="519"/>
      <c r="CI184" s="519"/>
      <c r="CJ184" s="519"/>
      <c r="CK184" s="519"/>
      <c r="CL184" s="519"/>
      <c r="CM184" s="519"/>
      <c r="CN184" s="519"/>
      <c r="CO184" s="519"/>
      <c r="CP184" s="519"/>
      <c r="CQ184" s="519"/>
      <c r="CR184" s="519"/>
      <c r="CS184" s="519"/>
      <c r="CT184" s="519"/>
      <c r="CU184" s="519"/>
      <c r="CV184" s="519"/>
      <c r="CW184" s="519"/>
      <c r="CX184" s="519"/>
      <c r="CY184" s="519"/>
      <c r="CZ184" s="519"/>
      <c r="DA184" s="519"/>
      <c r="DB184" s="519"/>
      <c r="DC184" s="519"/>
      <c r="DD184" s="519"/>
      <c r="DE184" s="519"/>
      <c r="DF184" s="519"/>
      <c r="DG184" s="519"/>
      <c r="DH184" s="519"/>
      <c r="DI184" s="519"/>
      <c r="DJ184" s="519"/>
      <c r="DK184" s="519"/>
      <c r="DL184" s="519"/>
      <c r="DM184" s="519"/>
      <c r="DN184" s="519"/>
      <c r="DO184" s="519"/>
      <c r="DP184" s="519"/>
      <c r="DQ184" s="519"/>
      <c r="DR184" s="519"/>
      <c r="DS184" s="519"/>
      <c r="DT184" s="519"/>
      <c r="DU184" s="519"/>
      <c r="DV184" s="519"/>
      <c r="DW184" s="519"/>
      <c r="DX184" s="519"/>
      <c r="DY184" s="519"/>
      <c r="DZ184" s="519"/>
      <c r="EA184" s="519"/>
      <c r="EB184" s="519"/>
      <c r="EC184" s="519"/>
      <c r="ED184" s="519"/>
      <c r="EE184" s="519"/>
      <c r="EF184" s="519"/>
      <c r="EG184" s="519"/>
      <c r="EH184" s="519"/>
      <c r="EI184" s="519"/>
      <c r="EJ184" s="519"/>
      <c r="EK184" s="519"/>
      <c r="EL184" s="519"/>
      <c r="EM184" s="519"/>
      <c r="EN184" s="519"/>
      <c r="EO184" s="519"/>
      <c r="EP184" s="519"/>
      <c r="EQ184" s="519"/>
      <c r="ER184" s="519"/>
      <c r="ES184" s="519"/>
      <c r="ET184" s="519"/>
      <c r="EU184" s="519"/>
      <c r="EV184" s="519"/>
      <c r="EW184" s="519"/>
      <c r="EX184" s="519"/>
      <c r="EY184" s="519"/>
      <c r="EZ184" s="519"/>
      <c r="FA184" s="519"/>
      <c r="FB184" s="519"/>
      <c r="FC184" s="519"/>
      <c r="FD184" s="519"/>
      <c r="FE184" s="519"/>
      <c r="FF184" s="519"/>
      <c r="FG184" s="519"/>
      <c r="FH184" s="519"/>
      <c r="FI184" s="519"/>
      <c r="FJ184" s="519"/>
      <c r="FK184" s="519"/>
      <c r="FL184" s="519"/>
      <c r="FM184" s="519"/>
      <c r="FN184" s="519"/>
      <c r="FO184" s="519"/>
      <c r="FP184" s="519"/>
      <c r="FQ184" s="519"/>
      <c r="FR184" s="519"/>
      <c r="FS184" s="519"/>
      <c r="FT184" s="519"/>
      <c r="FU184" s="519"/>
      <c r="FV184" s="519"/>
      <c r="FW184" s="519"/>
      <c r="FX184" s="519"/>
      <c r="FY184" s="519"/>
      <c r="FZ184" s="519"/>
      <c r="GA184" s="519"/>
      <c r="GB184" s="519"/>
      <c r="GC184" s="519"/>
      <c r="GD184" s="519"/>
      <c r="GE184" s="519"/>
      <c r="GF184" s="519"/>
      <c r="GG184" s="519"/>
      <c r="GH184" s="519"/>
      <c r="GI184" s="519"/>
      <c r="GJ184" s="519"/>
      <c r="GK184" s="519"/>
      <c r="GL184" s="519"/>
      <c r="GM184" s="519"/>
      <c r="GN184" s="519"/>
      <c r="GO184" s="519"/>
      <c r="GP184" s="519"/>
      <c r="GQ184" s="519"/>
      <c r="GR184" s="519"/>
      <c r="GS184" s="519"/>
      <c r="GT184" s="519"/>
      <c r="GU184" s="519"/>
      <c r="GV184" s="519"/>
      <c r="GW184" s="519"/>
      <c r="GX184" s="519"/>
      <c r="GY184" s="519"/>
      <c r="GZ184" s="519"/>
      <c r="HA184" s="519"/>
      <c r="HB184" s="519"/>
      <c r="HC184" s="519"/>
      <c r="HD184" s="519"/>
      <c r="HE184" s="519"/>
      <c r="HF184" s="519"/>
      <c r="HG184" s="519"/>
      <c r="HH184" s="519"/>
      <c r="HI184" s="519"/>
      <c r="HJ184" s="519"/>
      <c r="HK184" s="519"/>
      <c r="HL184" s="519"/>
      <c r="HM184" s="519"/>
      <c r="HN184" s="519"/>
      <c r="HO184" s="519"/>
      <c r="HP184" s="473"/>
      <c r="HQ184" s="521"/>
    </row>
    <row r="185" spans="2:225">
      <c r="B185" s="1131" t="s">
        <v>122</v>
      </c>
      <c r="C185" s="1131"/>
      <c r="D185" s="1131"/>
      <c r="E185" s="1131"/>
      <c r="F185" s="1131"/>
      <c r="G185" s="1131"/>
      <c r="H185" s="1131"/>
      <c r="I185" s="1131"/>
      <c r="J185" s="1131"/>
      <c r="K185" s="1131"/>
      <c r="L185" s="1131"/>
      <c r="M185" s="1131"/>
      <c r="N185" s="1131"/>
      <c r="O185" s="1131"/>
      <c r="P185" s="1131"/>
      <c r="Q185" s="1131"/>
      <c r="R185" s="1131"/>
      <c r="S185" s="1131"/>
      <c r="T185" s="1131"/>
      <c r="U185" s="1131"/>
      <c r="V185" s="1131"/>
      <c r="W185" s="1131"/>
      <c r="X185" s="1131"/>
      <c r="Y185" s="1131"/>
      <c r="Z185" s="1131"/>
      <c r="AA185" s="1131"/>
      <c r="AB185" s="1131"/>
      <c r="AC185" s="1131"/>
      <c r="AD185" s="1131"/>
      <c r="AE185" s="1131"/>
      <c r="AF185" s="1131"/>
      <c r="AG185" s="1131"/>
      <c r="AH185" s="1131"/>
      <c r="AI185" s="1131"/>
      <c r="AJ185" s="1131"/>
      <c r="AK185" s="1131"/>
      <c r="AL185" s="1131"/>
      <c r="AM185" s="1131"/>
      <c r="AN185" s="1131"/>
      <c r="AO185" s="1131"/>
      <c r="AP185" s="1131"/>
      <c r="AQ185" s="1131"/>
      <c r="AR185" s="1131"/>
      <c r="AS185" s="1131"/>
      <c r="AT185" s="1131"/>
      <c r="AU185" s="1131"/>
      <c r="AV185" s="1131"/>
      <c r="AW185" s="1131"/>
      <c r="AX185" s="1131"/>
      <c r="AY185" s="1131"/>
      <c r="AZ185" s="1131"/>
      <c r="BA185" s="1131"/>
      <c r="BB185" s="1131"/>
      <c r="BC185" s="1131"/>
      <c r="BD185" s="1131"/>
      <c r="BE185" s="1131"/>
      <c r="BF185" s="1131"/>
      <c r="BG185" s="1131"/>
      <c r="BH185" s="1131"/>
      <c r="BI185" s="1131"/>
      <c r="BJ185" s="1131"/>
      <c r="BK185" s="1131"/>
      <c r="BL185" s="1131"/>
      <c r="BM185" s="1131"/>
      <c r="BN185" s="1131"/>
      <c r="BO185" s="1131"/>
      <c r="BP185" s="1131"/>
      <c r="BQ185" s="1131"/>
      <c r="BR185" s="1131"/>
      <c r="BS185" s="1131"/>
      <c r="BT185" s="1131"/>
      <c r="BU185" s="1131"/>
      <c r="BV185" s="1131"/>
      <c r="BW185" s="1131"/>
      <c r="BX185" s="1131"/>
      <c r="BY185" s="1131"/>
      <c r="BZ185" s="1131"/>
      <c r="CA185" s="1131"/>
      <c r="CB185" s="1131"/>
      <c r="CC185" s="1131"/>
      <c r="CD185" s="1131"/>
      <c r="CE185" s="1131"/>
      <c r="CF185" s="1131"/>
      <c r="CG185" s="1131"/>
      <c r="CH185" s="1131"/>
      <c r="CI185" s="1131"/>
      <c r="CJ185" s="1131"/>
      <c r="CK185" s="1131"/>
      <c r="CL185" s="1131"/>
      <c r="CM185" s="1131"/>
      <c r="CN185" s="1131"/>
      <c r="CO185" s="1131"/>
      <c r="CP185" s="1131"/>
      <c r="CQ185" s="1131"/>
      <c r="CR185" s="1131"/>
      <c r="CS185" s="1131"/>
      <c r="CT185" s="1131"/>
      <c r="CU185" s="1131"/>
      <c r="CV185" s="1131"/>
      <c r="CW185" s="1131"/>
      <c r="CX185" s="1131"/>
      <c r="CY185" s="1131"/>
      <c r="CZ185" s="1131"/>
      <c r="DA185" s="1131"/>
      <c r="DB185" s="1131"/>
      <c r="DC185" s="1131"/>
      <c r="DD185" s="1131"/>
      <c r="DE185" s="1131"/>
      <c r="DF185" s="1131"/>
      <c r="DG185" s="1131"/>
      <c r="DH185" s="1131"/>
      <c r="DI185" s="1131"/>
      <c r="DJ185" s="1131"/>
      <c r="DK185" s="1131"/>
      <c r="DL185" s="1131"/>
      <c r="DM185" s="1131"/>
      <c r="DN185" s="1131"/>
      <c r="DO185" s="1131"/>
      <c r="DP185" s="1131"/>
      <c r="DQ185" s="1131"/>
      <c r="DR185" s="1131"/>
      <c r="DS185" s="1131"/>
      <c r="DT185" s="1131"/>
      <c r="DU185" s="1131"/>
      <c r="DV185" s="1131"/>
      <c r="DW185" s="1131"/>
      <c r="DX185" s="1131"/>
      <c r="DY185" s="1131"/>
      <c r="DZ185" s="1131"/>
      <c r="EA185" s="1131"/>
      <c r="EB185" s="1131"/>
      <c r="EC185" s="1131"/>
      <c r="ED185" s="1131"/>
      <c r="EE185" s="1131"/>
      <c r="EF185" s="1131"/>
      <c r="EG185" s="1131"/>
      <c r="EH185" s="1131"/>
      <c r="EI185" s="1131"/>
      <c r="EJ185" s="1131"/>
      <c r="EK185" s="1131"/>
      <c r="EL185" s="1131"/>
      <c r="EM185" s="1131"/>
      <c r="EN185" s="1131"/>
      <c r="EO185" s="1131"/>
      <c r="EP185" s="1131"/>
      <c r="EQ185" s="1131"/>
      <c r="ER185" s="1131"/>
      <c r="ES185" s="1131"/>
      <c r="ET185" s="1131"/>
      <c r="EU185" s="1131"/>
      <c r="EV185" s="1131"/>
      <c r="EW185" s="1131"/>
      <c r="EX185" s="1131"/>
      <c r="EY185" s="1131"/>
      <c r="EZ185" s="1131"/>
      <c r="FA185" s="1131"/>
      <c r="FB185" s="1131"/>
      <c r="FC185" s="1131"/>
      <c r="FD185" s="1131"/>
      <c r="FE185" s="1131"/>
      <c r="FF185" s="1131"/>
      <c r="FG185" s="1131"/>
      <c r="FH185" s="1131"/>
      <c r="FI185" s="1131"/>
      <c r="FJ185" s="1131"/>
      <c r="FK185" s="1131"/>
      <c r="FL185" s="1131"/>
      <c r="FM185" s="1131"/>
      <c r="FN185" s="1131"/>
      <c r="FO185" s="1131"/>
      <c r="FP185" s="1131"/>
      <c r="FQ185" s="1131"/>
      <c r="FR185" s="1131"/>
      <c r="FS185" s="1131"/>
      <c r="FT185" s="1131"/>
      <c r="FU185" s="1131"/>
      <c r="FV185" s="1131"/>
      <c r="FW185" s="1131"/>
      <c r="FX185" s="1131"/>
      <c r="FY185" s="1131"/>
      <c r="FZ185" s="1131"/>
      <c r="GA185" s="1131"/>
      <c r="GB185" s="1131"/>
      <c r="GC185" s="1131"/>
      <c r="GD185" s="1131"/>
      <c r="GE185" s="1131"/>
      <c r="GF185" s="1131"/>
      <c r="GG185" s="1131"/>
      <c r="GH185" s="1131"/>
      <c r="GI185" s="1131"/>
      <c r="GJ185" s="1131"/>
      <c r="GK185" s="1131"/>
      <c r="GL185" s="1131"/>
      <c r="GM185" s="1131"/>
      <c r="GN185" s="1131"/>
      <c r="GO185" s="1131"/>
      <c r="GP185" s="1131"/>
      <c r="GQ185" s="1131"/>
      <c r="GR185" s="1131"/>
      <c r="GS185" s="1131"/>
      <c r="GT185" s="1131"/>
      <c r="GU185" s="1131"/>
      <c r="GV185" s="1131" t="s">
        <v>225</v>
      </c>
      <c r="GW185" s="1131"/>
      <c r="GX185" s="1131"/>
      <c r="GY185" s="1131"/>
      <c r="GZ185" s="1131"/>
      <c r="HA185" s="1131"/>
      <c r="HB185" s="1131"/>
      <c r="HC185" s="1131"/>
      <c r="HD185" s="1131"/>
      <c r="HE185" s="1131"/>
      <c r="HF185" s="1131"/>
      <c r="HG185" s="1131"/>
      <c r="HH185" s="1131"/>
      <c r="HI185" s="1131"/>
      <c r="HJ185" s="1131"/>
      <c r="HK185" s="1131"/>
      <c r="HL185" s="1131"/>
      <c r="HM185" s="1131"/>
      <c r="HN185" s="1131"/>
      <c r="HO185" s="1131"/>
      <c r="HP185" s="1131"/>
      <c r="HQ185" s="1131"/>
    </row>
    <row r="186" spans="2:225">
      <c r="B186" s="464" t="s">
        <v>121</v>
      </c>
      <c r="C186" s="464" t="s">
        <v>120</v>
      </c>
      <c r="D186" s="465">
        <f t="shared" ref="D186:F186" si="69">D3</f>
        <v>46099</v>
      </c>
      <c r="E186" s="465">
        <f t="shared" ref="E186" si="70">E3</f>
        <v>46092</v>
      </c>
      <c r="F186" s="465">
        <f t="shared" si="69"/>
        <v>46085</v>
      </c>
      <c r="G186" s="465">
        <f t="shared" ref="G186:O186" si="71">G3</f>
        <v>46078</v>
      </c>
      <c r="H186" s="465">
        <f t="shared" ref="H186" si="72">H3</f>
        <v>46071</v>
      </c>
      <c r="I186" s="465">
        <f>I3</f>
        <v>46057</v>
      </c>
      <c r="J186" s="465">
        <f t="shared" si="71"/>
        <v>46050</v>
      </c>
      <c r="K186" s="465">
        <f t="shared" si="71"/>
        <v>46043</v>
      </c>
      <c r="L186" s="465">
        <f t="shared" si="71"/>
        <v>46036</v>
      </c>
      <c r="M186" s="465">
        <f t="shared" si="71"/>
        <v>46029</v>
      </c>
      <c r="N186" s="465">
        <f t="shared" si="71"/>
        <v>46022</v>
      </c>
      <c r="O186" s="465">
        <f t="shared" si="71"/>
        <v>46015</v>
      </c>
      <c r="P186" s="465">
        <f t="shared" ref="P186:V186" si="73">P3</f>
        <v>46008</v>
      </c>
      <c r="Q186" s="465">
        <f>Q3</f>
        <v>46001</v>
      </c>
      <c r="R186" s="465">
        <f t="shared" si="73"/>
        <v>45994</v>
      </c>
      <c r="S186" s="465">
        <f t="shared" si="73"/>
        <v>45987</v>
      </c>
      <c r="T186" s="465">
        <f t="shared" si="73"/>
        <v>45980</v>
      </c>
      <c r="U186" s="465">
        <f t="shared" si="73"/>
        <v>45973</v>
      </c>
      <c r="V186" s="465">
        <f t="shared" si="73"/>
        <v>45966</v>
      </c>
      <c r="W186" s="465">
        <f t="shared" ref="W186:AF186" si="74">W3</f>
        <v>45959</v>
      </c>
      <c r="X186" s="465">
        <f>X3</f>
        <v>45952</v>
      </c>
      <c r="Y186" s="465">
        <f>Y3</f>
        <v>45945</v>
      </c>
      <c r="Z186" s="465">
        <f>Z3</f>
        <v>45938</v>
      </c>
      <c r="AA186" s="465">
        <f>AA3</f>
        <v>45931</v>
      </c>
      <c r="AB186" s="465">
        <f t="shared" si="74"/>
        <v>45924</v>
      </c>
      <c r="AC186" s="465">
        <f t="shared" si="74"/>
        <v>45917</v>
      </c>
      <c r="AD186" s="465">
        <f t="shared" si="74"/>
        <v>45910</v>
      </c>
      <c r="AE186" s="465">
        <f t="shared" si="74"/>
        <v>45903</v>
      </c>
      <c r="AF186" s="465">
        <f t="shared" si="74"/>
        <v>45896</v>
      </c>
      <c r="AG186" s="465">
        <f t="shared" ref="AG186:CR186" si="75">AG3</f>
        <v>45889</v>
      </c>
      <c r="AH186" s="465">
        <f t="shared" si="75"/>
        <v>45882</v>
      </c>
      <c r="AI186" s="465">
        <f t="shared" si="75"/>
        <v>45875</v>
      </c>
      <c r="AJ186" s="465">
        <f t="shared" si="75"/>
        <v>45868</v>
      </c>
      <c r="AK186" s="465">
        <f t="shared" si="75"/>
        <v>45861</v>
      </c>
      <c r="AL186" s="465">
        <f t="shared" si="75"/>
        <v>45854</v>
      </c>
      <c r="AM186" s="465">
        <f t="shared" si="75"/>
        <v>45847</v>
      </c>
      <c r="AN186" s="465">
        <f t="shared" si="75"/>
        <v>45840</v>
      </c>
      <c r="AO186" s="465">
        <f t="shared" si="75"/>
        <v>45833</v>
      </c>
      <c r="AP186" s="465">
        <f t="shared" si="75"/>
        <v>45826</v>
      </c>
      <c r="AQ186" s="465">
        <f t="shared" si="75"/>
        <v>45819</v>
      </c>
      <c r="AR186" s="465">
        <f t="shared" si="75"/>
        <v>45812</v>
      </c>
      <c r="AS186" s="465">
        <f t="shared" si="75"/>
        <v>45805</v>
      </c>
      <c r="AT186" s="465">
        <f t="shared" si="75"/>
        <v>45798</v>
      </c>
      <c r="AU186" s="465">
        <f t="shared" si="75"/>
        <v>45792</v>
      </c>
      <c r="AV186" s="465">
        <f t="shared" si="75"/>
        <v>38480</v>
      </c>
      <c r="AW186" s="465">
        <f t="shared" si="75"/>
        <v>45777</v>
      </c>
      <c r="AX186" s="465">
        <f t="shared" si="75"/>
        <v>45757</v>
      </c>
      <c r="AY186" s="465">
        <f t="shared" si="75"/>
        <v>45750</v>
      </c>
      <c r="AZ186" s="465">
        <f t="shared" si="75"/>
        <v>45742</v>
      </c>
      <c r="BA186" s="465">
        <f t="shared" si="75"/>
        <v>45736</v>
      </c>
      <c r="BB186" s="465">
        <f t="shared" si="75"/>
        <v>45729</v>
      </c>
      <c r="BC186" s="465">
        <f t="shared" si="75"/>
        <v>45722</v>
      </c>
      <c r="BD186" s="465">
        <f t="shared" si="75"/>
        <v>45715</v>
      </c>
      <c r="BE186" s="465">
        <f t="shared" si="75"/>
        <v>45708</v>
      </c>
      <c r="BF186" s="465">
        <f t="shared" si="75"/>
        <v>45701</v>
      </c>
      <c r="BG186" s="465">
        <f t="shared" si="75"/>
        <v>46092</v>
      </c>
      <c r="BH186" s="465">
        <f t="shared" si="75"/>
        <v>45688</v>
      </c>
      <c r="BI186" s="465">
        <f t="shared" si="75"/>
        <v>45681</v>
      </c>
      <c r="BJ186" s="465">
        <f t="shared" si="75"/>
        <v>45673</v>
      </c>
      <c r="BK186" s="465">
        <f t="shared" si="75"/>
        <v>45666</v>
      </c>
      <c r="BL186" s="465">
        <f t="shared" si="75"/>
        <v>45659</v>
      </c>
      <c r="BM186" s="465">
        <f t="shared" si="75"/>
        <v>45652</v>
      </c>
      <c r="BN186" s="465">
        <f t="shared" si="75"/>
        <v>45645</v>
      </c>
      <c r="BO186" s="465">
        <f t="shared" si="75"/>
        <v>45638</v>
      </c>
      <c r="BP186" s="465">
        <f t="shared" si="75"/>
        <v>45631</v>
      </c>
      <c r="BQ186" s="465">
        <f t="shared" si="75"/>
        <v>45625</v>
      </c>
      <c r="BR186" s="465">
        <f t="shared" si="75"/>
        <v>45617</v>
      </c>
      <c r="BS186" s="465">
        <f t="shared" si="75"/>
        <v>45610</v>
      </c>
      <c r="BT186" s="465">
        <f t="shared" si="75"/>
        <v>45603</v>
      </c>
      <c r="BU186" s="465">
        <f t="shared" si="75"/>
        <v>45595</v>
      </c>
      <c r="BV186" s="465">
        <f t="shared" si="75"/>
        <v>45591</v>
      </c>
      <c r="BW186" s="465">
        <f t="shared" si="75"/>
        <v>45582</v>
      </c>
      <c r="BX186" s="465">
        <f t="shared" si="75"/>
        <v>45575</v>
      </c>
      <c r="BY186" s="465">
        <f t="shared" si="75"/>
        <v>45568</v>
      </c>
      <c r="BZ186" s="465">
        <f t="shared" si="75"/>
        <v>45561</v>
      </c>
      <c r="CA186" s="465">
        <f t="shared" si="75"/>
        <v>45554</v>
      </c>
      <c r="CB186" s="465">
        <f t="shared" si="75"/>
        <v>45547</v>
      </c>
      <c r="CC186" s="465">
        <f t="shared" si="75"/>
        <v>45540</v>
      </c>
      <c r="CD186" s="465">
        <f t="shared" si="75"/>
        <v>45533</v>
      </c>
      <c r="CE186" s="465">
        <f t="shared" si="75"/>
        <v>45526</v>
      </c>
      <c r="CF186" s="465">
        <f t="shared" si="75"/>
        <v>45517</v>
      </c>
      <c r="CG186" s="465">
        <f t="shared" si="75"/>
        <v>45511</v>
      </c>
      <c r="CH186" s="465">
        <f t="shared" si="75"/>
        <v>45505</v>
      </c>
      <c r="CI186" s="465">
        <f t="shared" si="75"/>
        <v>45498</v>
      </c>
      <c r="CJ186" s="465">
        <f t="shared" si="75"/>
        <v>45492</v>
      </c>
      <c r="CK186" s="465">
        <f t="shared" si="75"/>
        <v>45484</v>
      </c>
      <c r="CL186" s="465">
        <f t="shared" si="75"/>
        <v>45477</v>
      </c>
      <c r="CM186" s="465">
        <f t="shared" si="75"/>
        <v>45470</v>
      </c>
      <c r="CN186" s="465">
        <f t="shared" si="75"/>
        <v>45463</v>
      </c>
      <c r="CO186" s="465">
        <f t="shared" si="75"/>
        <v>45456</v>
      </c>
      <c r="CP186" s="465">
        <f t="shared" si="75"/>
        <v>45449</v>
      </c>
      <c r="CQ186" s="465">
        <f t="shared" si="75"/>
        <v>45442</v>
      </c>
      <c r="CR186" s="465">
        <f t="shared" si="75"/>
        <v>45435</v>
      </c>
      <c r="CS186" s="465">
        <f t="shared" ref="CS186:FD186" si="76">CS3</f>
        <v>45428</v>
      </c>
      <c r="CT186" s="465">
        <f t="shared" si="76"/>
        <v>45421</v>
      </c>
      <c r="CU186" s="465">
        <f t="shared" si="76"/>
        <v>45414</v>
      </c>
      <c r="CV186" s="465">
        <f t="shared" si="76"/>
        <v>45407</v>
      </c>
      <c r="CW186" s="465">
        <f t="shared" si="76"/>
        <v>45400</v>
      </c>
      <c r="CX186" s="465">
        <f t="shared" si="76"/>
        <v>45393</v>
      </c>
      <c r="CY186" s="465">
        <f t="shared" si="76"/>
        <v>45386</v>
      </c>
      <c r="CZ186" s="465">
        <f t="shared" si="76"/>
        <v>45378</v>
      </c>
      <c r="DA186" s="465">
        <f t="shared" si="76"/>
        <v>45372</v>
      </c>
      <c r="DB186" s="465">
        <f t="shared" si="76"/>
        <v>45365</v>
      </c>
      <c r="DC186" s="465">
        <f t="shared" si="76"/>
        <v>45358</v>
      </c>
      <c r="DD186" s="465">
        <f t="shared" si="76"/>
        <v>45351</v>
      </c>
      <c r="DE186" s="465">
        <f t="shared" si="76"/>
        <v>45343</v>
      </c>
      <c r="DF186" s="465">
        <f t="shared" si="76"/>
        <v>45336</v>
      </c>
      <c r="DG186" s="465">
        <f t="shared" si="76"/>
        <v>45329</v>
      </c>
      <c r="DH186" s="465">
        <f t="shared" si="76"/>
        <v>45323</v>
      </c>
      <c r="DI186" s="465">
        <f t="shared" si="76"/>
        <v>45316</v>
      </c>
      <c r="DJ186" s="465">
        <f t="shared" si="76"/>
        <v>45309</v>
      </c>
      <c r="DK186" s="465">
        <f t="shared" si="76"/>
        <v>45302</v>
      </c>
      <c r="DL186" s="465">
        <f t="shared" si="76"/>
        <v>45295</v>
      </c>
      <c r="DM186" s="465">
        <f t="shared" si="76"/>
        <v>45288</v>
      </c>
      <c r="DN186" s="465">
        <f t="shared" si="76"/>
        <v>45281</v>
      </c>
      <c r="DO186" s="465">
        <f t="shared" si="76"/>
        <v>45274</v>
      </c>
      <c r="DP186" s="465">
        <f t="shared" si="76"/>
        <v>45267</v>
      </c>
      <c r="DQ186" s="465">
        <f t="shared" si="76"/>
        <v>45260</v>
      </c>
      <c r="DR186" s="465">
        <f t="shared" si="76"/>
        <v>45253</v>
      </c>
      <c r="DS186" s="465">
        <f t="shared" si="76"/>
        <v>45246</v>
      </c>
      <c r="DT186" s="465">
        <f t="shared" si="76"/>
        <v>45239</v>
      </c>
      <c r="DU186" s="465">
        <f t="shared" si="76"/>
        <v>45232</v>
      </c>
      <c r="DV186" s="465">
        <f t="shared" si="76"/>
        <v>45225</v>
      </c>
      <c r="DW186" s="465">
        <f t="shared" si="76"/>
        <v>45218</v>
      </c>
      <c r="DX186" s="465">
        <f t="shared" si="76"/>
        <v>45211</v>
      </c>
      <c r="DY186" s="465">
        <f t="shared" si="76"/>
        <v>45197</v>
      </c>
      <c r="DZ186" s="465">
        <f t="shared" si="76"/>
        <v>45190</v>
      </c>
      <c r="EA186" s="465">
        <f t="shared" si="76"/>
        <v>45183</v>
      </c>
      <c r="EB186" s="465">
        <f t="shared" si="76"/>
        <v>45176</v>
      </c>
      <c r="EC186" s="465">
        <f t="shared" si="76"/>
        <v>45168</v>
      </c>
      <c r="ED186" s="465">
        <f t="shared" si="76"/>
        <v>45162</v>
      </c>
      <c r="EE186" s="465">
        <f t="shared" si="76"/>
        <v>45155</v>
      </c>
      <c r="EF186" s="465">
        <f t="shared" si="76"/>
        <v>45148</v>
      </c>
      <c r="EG186" s="465">
        <f t="shared" si="76"/>
        <v>45141</v>
      </c>
      <c r="EH186" s="465">
        <f t="shared" si="76"/>
        <v>45134</v>
      </c>
      <c r="EI186" s="465">
        <f t="shared" si="76"/>
        <v>44839</v>
      </c>
      <c r="EJ186" s="465">
        <f t="shared" si="76"/>
        <v>44831</v>
      </c>
      <c r="EK186" s="465">
        <f t="shared" si="76"/>
        <v>44826</v>
      </c>
      <c r="EL186" s="465">
        <f t="shared" si="76"/>
        <v>44818</v>
      </c>
      <c r="EM186" s="465">
        <f t="shared" si="76"/>
        <v>44811</v>
      </c>
      <c r="EN186" s="465">
        <f t="shared" si="76"/>
        <v>45070</v>
      </c>
      <c r="EO186" s="465">
        <f t="shared" si="76"/>
        <v>45063</v>
      </c>
      <c r="EP186" s="465">
        <f t="shared" si="76"/>
        <v>45056</v>
      </c>
      <c r="EQ186" s="465">
        <f t="shared" si="76"/>
        <v>45050</v>
      </c>
      <c r="ER186" s="465">
        <f t="shared" si="76"/>
        <v>45042</v>
      </c>
      <c r="ES186" s="465">
        <f t="shared" si="76"/>
        <v>45035</v>
      </c>
      <c r="ET186" s="465">
        <f t="shared" si="76"/>
        <v>45028</v>
      </c>
      <c r="EU186" s="465">
        <f t="shared" si="76"/>
        <v>45020</v>
      </c>
      <c r="EV186" s="465">
        <f t="shared" si="76"/>
        <v>45014</v>
      </c>
      <c r="EW186" s="465">
        <f t="shared" si="76"/>
        <v>45008</v>
      </c>
      <c r="EX186" s="465">
        <f t="shared" si="76"/>
        <v>45002</v>
      </c>
      <c r="EY186" s="465">
        <f t="shared" si="76"/>
        <v>45000</v>
      </c>
      <c r="EZ186" s="465">
        <f t="shared" si="76"/>
        <v>44993</v>
      </c>
      <c r="FA186" s="465">
        <f t="shared" si="76"/>
        <v>44986</v>
      </c>
      <c r="FB186" s="465">
        <f t="shared" si="76"/>
        <v>44979</v>
      </c>
      <c r="FC186" s="465">
        <f t="shared" si="76"/>
        <v>44972</v>
      </c>
      <c r="FD186" s="465">
        <f t="shared" si="76"/>
        <v>44965</v>
      </c>
      <c r="FE186" s="465">
        <f t="shared" ref="FE186:HO186" si="77">FE3</f>
        <v>44958</v>
      </c>
      <c r="FF186" s="465">
        <f t="shared" si="77"/>
        <v>44951</v>
      </c>
      <c r="FG186" s="465">
        <f t="shared" si="77"/>
        <v>44944</v>
      </c>
      <c r="FH186" s="465">
        <f t="shared" si="77"/>
        <v>44937</v>
      </c>
      <c r="FI186" s="465">
        <f t="shared" si="77"/>
        <v>44930</v>
      </c>
      <c r="FJ186" s="465">
        <f t="shared" si="77"/>
        <v>44923</v>
      </c>
      <c r="FK186" s="465">
        <f t="shared" si="77"/>
        <v>44916</v>
      </c>
      <c r="FL186" s="465">
        <f t="shared" si="77"/>
        <v>44910</v>
      </c>
      <c r="FM186" s="465">
        <f t="shared" si="77"/>
        <v>44902</v>
      </c>
      <c r="FN186" s="465">
        <f t="shared" si="77"/>
        <v>44896</v>
      </c>
      <c r="FO186" s="465">
        <f t="shared" si="77"/>
        <v>44888</v>
      </c>
      <c r="FP186" s="465">
        <f t="shared" si="77"/>
        <v>44881</v>
      </c>
      <c r="FQ186" s="465">
        <f t="shared" si="77"/>
        <v>44874</v>
      </c>
      <c r="FR186" s="465">
        <f t="shared" si="77"/>
        <v>44868</v>
      </c>
      <c r="FS186" s="465">
        <f t="shared" si="77"/>
        <v>44860</v>
      </c>
      <c r="FT186" s="465">
        <f t="shared" si="77"/>
        <v>44853</v>
      </c>
      <c r="FU186" s="465">
        <f t="shared" si="77"/>
        <v>44846</v>
      </c>
      <c r="FV186" s="465">
        <f t="shared" si="77"/>
        <v>45085</v>
      </c>
      <c r="FW186" s="465">
        <f t="shared" si="77"/>
        <v>45076</v>
      </c>
      <c r="FX186" s="465">
        <f t="shared" si="77"/>
        <v>45127</v>
      </c>
      <c r="FY186" s="465">
        <f t="shared" si="77"/>
        <v>45120</v>
      </c>
      <c r="FZ186" s="465">
        <f t="shared" si="77"/>
        <v>45113</v>
      </c>
      <c r="GA186" s="465">
        <f t="shared" si="77"/>
        <v>45105</v>
      </c>
      <c r="GB186" s="465">
        <f t="shared" si="77"/>
        <v>45099</v>
      </c>
      <c r="GC186" s="465">
        <f t="shared" si="77"/>
        <v>45092</v>
      </c>
      <c r="GD186" s="465">
        <f t="shared" si="77"/>
        <v>44803</v>
      </c>
      <c r="GE186" s="465">
        <f t="shared" si="77"/>
        <v>44797</v>
      </c>
      <c r="GF186" s="465">
        <f t="shared" si="77"/>
        <v>44790</v>
      </c>
      <c r="GG186" s="465">
        <f t="shared" si="77"/>
        <v>44783</v>
      </c>
      <c r="GH186" s="465">
        <f t="shared" si="77"/>
        <v>44776</v>
      </c>
      <c r="GI186" s="465">
        <f t="shared" si="77"/>
        <v>44769</v>
      </c>
      <c r="GJ186" s="465">
        <f t="shared" si="77"/>
        <v>44762</v>
      </c>
      <c r="GK186" s="465">
        <f t="shared" si="77"/>
        <v>44755</v>
      </c>
      <c r="GL186" s="465">
        <f t="shared" si="77"/>
        <v>44748</v>
      </c>
      <c r="GM186" s="465">
        <f t="shared" si="77"/>
        <v>44741</v>
      </c>
      <c r="GN186" s="465">
        <f t="shared" si="77"/>
        <v>44733</v>
      </c>
      <c r="GO186" s="465">
        <f t="shared" si="77"/>
        <v>44727</v>
      </c>
      <c r="GP186" s="465">
        <f t="shared" si="77"/>
        <v>44720</v>
      </c>
      <c r="GQ186" s="465">
        <f t="shared" si="77"/>
        <v>44713</v>
      </c>
      <c r="GR186" s="465">
        <f t="shared" si="77"/>
        <v>44706</v>
      </c>
      <c r="GS186" s="465">
        <f t="shared" si="77"/>
        <v>44699</v>
      </c>
      <c r="GT186" s="465">
        <f t="shared" si="77"/>
        <v>44690</v>
      </c>
      <c r="GU186" s="465">
        <f t="shared" si="77"/>
        <v>44687</v>
      </c>
      <c r="GV186" s="465">
        <f t="shared" si="77"/>
        <v>44685</v>
      </c>
      <c r="GW186" s="465">
        <f t="shared" si="77"/>
        <v>44678</v>
      </c>
      <c r="GX186" s="465">
        <f t="shared" si="77"/>
        <v>44670</v>
      </c>
      <c r="GY186" s="465">
        <f t="shared" si="77"/>
        <v>44663</v>
      </c>
      <c r="GZ186" s="465">
        <f t="shared" si="77"/>
        <v>44662</v>
      </c>
      <c r="HA186" s="465">
        <f t="shared" si="77"/>
        <v>44659</v>
      </c>
      <c r="HB186" s="465">
        <f t="shared" si="77"/>
        <v>44657</v>
      </c>
      <c r="HC186" s="465">
        <f t="shared" si="77"/>
        <v>44656</v>
      </c>
      <c r="HD186" s="465">
        <f t="shared" si="77"/>
        <v>44655</v>
      </c>
      <c r="HE186" s="465">
        <f t="shared" si="77"/>
        <v>44652</v>
      </c>
      <c r="HF186" s="465">
        <f t="shared" si="77"/>
        <v>44650</v>
      </c>
      <c r="HG186" s="465">
        <f t="shared" si="77"/>
        <v>44649</v>
      </c>
      <c r="HH186" s="465">
        <f t="shared" si="77"/>
        <v>44648</v>
      </c>
      <c r="HI186" s="465">
        <f t="shared" si="77"/>
        <v>44645</v>
      </c>
      <c r="HJ186" s="465">
        <f t="shared" si="77"/>
        <v>44644</v>
      </c>
      <c r="HK186" s="465">
        <f t="shared" si="77"/>
        <v>44642</v>
      </c>
      <c r="HL186" s="465">
        <f t="shared" si="77"/>
        <v>44641</v>
      </c>
      <c r="HM186" s="465">
        <f t="shared" si="77"/>
        <v>44638</v>
      </c>
      <c r="HN186" s="465">
        <f t="shared" si="77"/>
        <v>44637</v>
      </c>
      <c r="HO186" s="465">
        <f t="shared" si="77"/>
        <v>44636</v>
      </c>
      <c r="HP186" s="468" t="s">
        <v>113</v>
      </c>
      <c r="HQ186" s="469" t="s">
        <v>223</v>
      </c>
    </row>
    <row r="187" spans="2:225">
      <c r="B187" s="1138" t="s">
        <v>50</v>
      </c>
      <c r="C187" s="729" t="s">
        <v>258</v>
      </c>
      <c r="D187" s="664">
        <v>2.5999999999999999E-2</v>
      </c>
      <c r="E187" s="664">
        <v>2.5999999999999999E-2</v>
      </c>
      <c r="F187" s="664">
        <v>2.46E-2</v>
      </c>
      <c r="G187" s="664">
        <v>2.47E-2</v>
      </c>
      <c r="H187" s="664">
        <v>2.4E-2</v>
      </c>
      <c r="I187" s="666">
        <v>2.5000000000000001E-2</v>
      </c>
      <c r="J187" s="664">
        <v>2.5000000000000001E-2</v>
      </c>
      <c r="K187" s="664">
        <v>2.5100000000000001E-2</v>
      </c>
      <c r="L187" s="664">
        <v>2.4899999999999999E-2</v>
      </c>
      <c r="M187" s="664">
        <v>2.4400000000000002E-2</v>
      </c>
      <c r="N187" s="664">
        <v>2.4199999999999999E-2</v>
      </c>
      <c r="O187" s="664">
        <v>2.4799999999999999E-2</v>
      </c>
      <c r="P187" s="664">
        <v>2.47E-2</v>
      </c>
      <c r="Q187" s="664">
        <v>2.5600000000000001E-2</v>
      </c>
      <c r="R187" s="666">
        <v>2.5000000000000001E-2</v>
      </c>
      <c r="S187" s="664">
        <v>2.5000000000000001E-2</v>
      </c>
      <c r="T187" s="589">
        <v>2.58E-2</v>
      </c>
      <c r="U187" s="589">
        <v>2.5600000000000001E-2</v>
      </c>
      <c r="V187" s="589">
        <v>2.58E-2</v>
      </c>
      <c r="W187" s="503">
        <v>2.4999999999999998E-2</v>
      </c>
      <c r="X187" s="503">
        <v>2.4699999999999996E-2</v>
      </c>
      <c r="Y187" s="503">
        <v>2.4999999999999998E-2</v>
      </c>
      <c r="Z187" s="503">
        <v>2.5899999999999999E-2</v>
      </c>
      <c r="AA187" s="503">
        <v>2.5700000000000001E-2</v>
      </c>
      <c r="AB187" s="503">
        <v>2.6200000000000001E-2</v>
      </c>
      <c r="AC187" s="503">
        <v>2.58E-2</v>
      </c>
      <c r="AD187" s="503">
        <v>2.64E-2</v>
      </c>
      <c r="AE187" s="503">
        <v>2.76E-2</v>
      </c>
      <c r="AF187" s="503">
        <v>2.7799999999999998E-2</v>
      </c>
      <c r="AG187" s="478">
        <v>2.8299999999999999E-2</v>
      </c>
      <c r="AH187" s="478">
        <v>2.81E-2</v>
      </c>
      <c r="AI187" s="503">
        <v>2.8400000000000002E-2</v>
      </c>
      <c r="AJ187" s="503">
        <v>2.9700000000000001E-2</v>
      </c>
      <c r="AK187" s="503">
        <v>2.98E-2</v>
      </c>
      <c r="AL187" s="503">
        <v>3.0300000000000001E-2</v>
      </c>
      <c r="AM187" s="503">
        <v>0.03</v>
      </c>
      <c r="AN187" s="503">
        <v>2.8799999999999999E-2</v>
      </c>
      <c r="AO187" s="503">
        <v>2.9399999999999999E-2</v>
      </c>
      <c r="AP187" s="503">
        <v>3.0599999999999999E-2</v>
      </c>
      <c r="AQ187" s="503">
        <v>3.09E-2</v>
      </c>
      <c r="AR187" s="503">
        <v>3.0499999999999999E-2</v>
      </c>
      <c r="AS187" s="503">
        <v>3.09E-2</v>
      </c>
      <c r="AT187" s="478">
        <v>3.15E-2</v>
      </c>
      <c r="AU187" s="478">
        <v>3.15E-2</v>
      </c>
      <c r="AV187" s="503">
        <v>2.9600000000000001E-2</v>
      </c>
      <c r="AW187" s="479">
        <v>2.9100000000000001E-2</v>
      </c>
      <c r="AX187" s="479">
        <v>0.03</v>
      </c>
      <c r="AY187" s="479">
        <v>0.03</v>
      </c>
      <c r="AZ187" s="479">
        <v>0.03</v>
      </c>
      <c r="BA187" s="479">
        <v>0.03</v>
      </c>
      <c r="BB187" s="479">
        <v>0.03</v>
      </c>
      <c r="BC187" s="479">
        <v>0.03</v>
      </c>
      <c r="BD187" s="479">
        <v>3.1199999999999999E-2</v>
      </c>
      <c r="BE187" s="479">
        <v>3.1199999999999999E-2</v>
      </c>
      <c r="BF187" s="479">
        <v>3.1199999999999999E-2</v>
      </c>
      <c r="BG187" s="479">
        <v>3.1199999999999999E-2</v>
      </c>
      <c r="BH187" s="479">
        <v>3.1899999999999998E-2</v>
      </c>
      <c r="BI187" s="479">
        <v>3.1899999999999998E-2</v>
      </c>
      <c r="BJ187" s="479">
        <v>3.1899999999999998E-2</v>
      </c>
      <c r="BK187" s="479">
        <v>3.1899999999999998E-2</v>
      </c>
      <c r="BL187" s="479">
        <v>3.1800000000000002E-2</v>
      </c>
      <c r="BM187" s="479">
        <v>3.2599999999999997E-2</v>
      </c>
      <c r="BN187" s="479">
        <v>3.2599999999999997E-2</v>
      </c>
      <c r="BO187" s="479">
        <v>3.1300000000000001E-2</v>
      </c>
      <c r="BP187" s="479">
        <v>3.27E-2</v>
      </c>
      <c r="BQ187" s="479">
        <v>3.27E-2</v>
      </c>
      <c r="BR187" s="479">
        <v>3.32E-2</v>
      </c>
      <c r="BS187" s="479">
        <v>3.32E-2</v>
      </c>
      <c r="BT187" s="479">
        <v>3.1699999999999999E-2</v>
      </c>
      <c r="BU187" s="479">
        <v>3.1699999999999999E-2</v>
      </c>
      <c r="BV187" s="479">
        <v>3.1699999999999999E-2</v>
      </c>
      <c r="BW187" s="479">
        <v>2.8400000000000002E-2</v>
      </c>
      <c r="BX187" s="479">
        <v>2.8400000000000002E-2</v>
      </c>
      <c r="BY187" s="479">
        <v>2.8400000000000002E-2</v>
      </c>
      <c r="BZ187" s="479">
        <v>2.76E-2</v>
      </c>
      <c r="CA187" s="479">
        <v>2.87E-2</v>
      </c>
      <c r="CB187" s="479">
        <v>2.93E-2</v>
      </c>
      <c r="CC187" s="479">
        <v>3.1699999999999999E-2</v>
      </c>
      <c r="CD187" s="479">
        <v>3.2300000000000002E-2</v>
      </c>
      <c r="CE187" s="479">
        <v>3.3099999999999997E-2</v>
      </c>
      <c r="CF187" s="479">
        <v>3.27E-2</v>
      </c>
      <c r="CG187" s="479">
        <v>3.3300000000000003E-2</v>
      </c>
      <c r="CH187" s="479">
        <v>3.7600000000000001E-2</v>
      </c>
      <c r="CI187" s="479">
        <v>3.8300000000000001E-2</v>
      </c>
      <c r="CJ187" s="479">
        <v>3.78E-2</v>
      </c>
      <c r="CK187" s="479">
        <v>3.9600000000000003E-2</v>
      </c>
      <c r="CL187" s="479">
        <v>4.0300000000000002E-2</v>
      </c>
      <c r="CM187" s="479">
        <v>4.0399999999999998E-2</v>
      </c>
      <c r="CN187" s="479">
        <v>4.07E-2</v>
      </c>
      <c r="CO187" s="479">
        <v>4.1399999999999999E-2</v>
      </c>
      <c r="CP187" s="479">
        <v>4.1399999999999999E-2</v>
      </c>
      <c r="CQ187" s="479">
        <v>4.24E-2</v>
      </c>
      <c r="CR187" s="479">
        <v>4.1500000000000002E-2</v>
      </c>
      <c r="CS187" s="479">
        <v>4.1500000000000002E-2</v>
      </c>
      <c r="CT187" s="479">
        <v>4.1799999999999997E-2</v>
      </c>
      <c r="CU187" s="484">
        <v>4.1799999999999997E-2</v>
      </c>
      <c r="CV187" s="479">
        <v>4.1599999999999998E-2</v>
      </c>
      <c r="CW187" s="524">
        <v>4.3299999999999998E-2</v>
      </c>
      <c r="CX187" s="472">
        <v>4.2299999999999997E-2</v>
      </c>
      <c r="CY187" s="472">
        <v>4.19E-2</v>
      </c>
      <c r="CZ187" s="472">
        <v>4.1399999999999999E-2</v>
      </c>
      <c r="DA187" s="472">
        <v>4.1099999999999998E-2</v>
      </c>
      <c r="DB187" s="472">
        <v>4.1500000000000002E-2</v>
      </c>
      <c r="DC187" s="484">
        <v>4.1500000000000002E-2</v>
      </c>
      <c r="DD187" s="484">
        <v>4.3299999999999998E-2</v>
      </c>
      <c r="DE187" s="472">
        <v>4.2799999999999998E-2</v>
      </c>
      <c r="DF187" s="472">
        <v>4.2799999999999998E-2</v>
      </c>
      <c r="DG187" s="472">
        <v>4.1399999999999999E-2</v>
      </c>
      <c r="DH187" s="472">
        <v>4.0300000000000002E-2</v>
      </c>
      <c r="DI187" s="472">
        <v>4.07E-2</v>
      </c>
      <c r="DJ187" s="472">
        <v>4.0300000000000002E-2</v>
      </c>
      <c r="DK187" s="472">
        <v>4.2200000000000001E-2</v>
      </c>
      <c r="DL187" s="472">
        <v>4.2200000000000001E-2</v>
      </c>
      <c r="DM187" s="472">
        <v>4.2200000000000001E-2</v>
      </c>
      <c r="DN187" s="472">
        <v>4.2700000000000002E-2</v>
      </c>
      <c r="DO187" s="472">
        <v>4.48E-2</v>
      </c>
      <c r="DP187" s="472">
        <v>4.41E-2</v>
      </c>
      <c r="DQ187" s="472">
        <v>4.6100000000000002E-2</v>
      </c>
      <c r="DR187" s="472">
        <v>4.6100000000000002E-2</v>
      </c>
      <c r="DS187" s="472">
        <v>4.5900000000000003E-2</v>
      </c>
      <c r="DT187" s="472">
        <v>4.65E-2</v>
      </c>
      <c r="DU187" s="472">
        <v>4.7800000000000002E-2</v>
      </c>
      <c r="DV187" s="472">
        <v>4.7699999999999999E-2</v>
      </c>
      <c r="DW187" s="472">
        <v>5.1400000000000001E-2</v>
      </c>
      <c r="DX187" s="472">
        <v>5.04E-2</v>
      </c>
      <c r="DY187" s="472">
        <v>5.1400000000000001E-2</v>
      </c>
      <c r="DZ187" s="472">
        <v>5.1400000000000001E-2</v>
      </c>
      <c r="EA187" s="472">
        <v>5.1200000000000002E-2</v>
      </c>
      <c r="EB187" s="472">
        <v>5.04E-2</v>
      </c>
      <c r="EC187" s="472">
        <v>5.1200000000000002E-2</v>
      </c>
      <c r="ED187" s="472">
        <v>5.1299999999999998E-2</v>
      </c>
      <c r="EE187" s="472">
        <v>5.1299999999999998E-2</v>
      </c>
      <c r="EF187" s="472">
        <v>5.04E-2</v>
      </c>
      <c r="EG187" s="472">
        <v>5.0900000000000001E-2</v>
      </c>
      <c r="EH187" s="472">
        <v>5.11E-2</v>
      </c>
      <c r="EI187" s="472">
        <v>3.9699999999999999E-2</v>
      </c>
      <c r="EJ187" s="472">
        <v>4.1000000000000002E-2</v>
      </c>
      <c r="EK187" s="472">
        <v>3.9399999999999998E-2</v>
      </c>
      <c r="EL187" s="472">
        <v>3.8199999999999998E-2</v>
      </c>
      <c r="EM187" s="472">
        <v>3.3500000000000002E-2</v>
      </c>
      <c r="EN187" s="472">
        <v>4.5900000000000003E-2</v>
      </c>
      <c r="EO187" s="472">
        <v>4.3799999999999999E-2</v>
      </c>
      <c r="EP187" s="472">
        <v>4.3999999999999997E-2</v>
      </c>
      <c r="EQ187" s="472">
        <v>4.4699999999999997E-2</v>
      </c>
      <c r="ER187" s="472">
        <v>4.5100000000000001E-2</v>
      </c>
      <c r="ES187" s="472">
        <v>4.6699999999999998E-2</v>
      </c>
      <c r="ET187" s="472">
        <v>4.5199999999999997E-2</v>
      </c>
      <c r="EU187" s="472">
        <v>4.4999999999999998E-2</v>
      </c>
      <c r="EV187" s="472">
        <v>4.4699999999999997E-2</v>
      </c>
      <c r="EW187" s="472">
        <v>4.2500000000000003E-2</v>
      </c>
      <c r="EX187" s="472">
        <v>3.8100000000000002E-2</v>
      </c>
      <c r="EY187" s="472">
        <v>4.2000000000000003E-2</v>
      </c>
      <c r="EZ187" s="472">
        <v>4.8800000000000003E-2</v>
      </c>
      <c r="FA187" s="484">
        <v>4.82E-2</v>
      </c>
      <c r="FB187" s="484">
        <v>4.7500000000000001E-2</v>
      </c>
      <c r="FC187" s="472">
        <v>4.7100000000000003E-2</v>
      </c>
      <c r="FD187" s="472">
        <v>4.5699999999999998E-2</v>
      </c>
      <c r="FE187" s="484">
        <v>4.3700000000000003E-2</v>
      </c>
      <c r="FF187" s="484">
        <v>4.6300000000000001E-2</v>
      </c>
      <c r="FG187" s="484">
        <v>4.6199999999999998E-2</v>
      </c>
      <c r="FH187" s="484">
        <v>4.6199999999999998E-2</v>
      </c>
      <c r="FI187" s="484">
        <v>4.6600000000000003E-2</v>
      </c>
      <c r="FJ187" s="484">
        <v>4.7600000000000003E-2</v>
      </c>
      <c r="FK187" s="484">
        <v>4.6699999999999998E-2</v>
      </c>
      <c r="FL187" s="484">
        <v>4.6600000000000003E-2</v>
      </c>
      <c r="FM187" s="484">
        <v>4.7600000000000003E-2</v>
      </c>
      <c r="FN187" s="484">
        <v>4.7699999999999999E-2</v>
      </c>
      <c r="FO187" s="484">
        <v>4.7899999999999998E-2</v>
      </c>
      <c r="FP187" s="484">
        <v>4.6399999999999997E-2</v>
      </c>
      <c r="FQ187" s="484">
        <v>4.8000000000000001E-2</v>
      </c>
      <c r="FR187" s="484">
        <v>4.7500000000000001E-2</v>
      </c>
      <c r="FS187" s="484">
        <v>4.4499999999999998E-2</v>
      </c>
      <c r="FT187" s="484">
        <v>4.41E-2</v>
      </c>
      <c r="FU187" s="484">
        <v>4.19E-2</v>
      </c>
      <c r="FV187" s="472">
        <v>4.8099999999999997E-2</v>
      </c>
      <c r="FW187" s="472">
        <v>4.82E-2</v>
      </c>
      <c r="FX187" s="472">
        <v>5.04E-2</v>
      </c>
      <c r="FY187" s="472">
        <v>5.11E-2</v>
      </c>
      <c r="FZ187" s="472">
        <v>5.0999999999999997E-2</v>
      </c>
      <c r="GA187" s="472">
        <v>4.99E-2</v>
      </c>
      <c r="GB187" s="472">
        <v>4.9799999999999997E-2</v>
      </c>
      <c r="GC187" s="472">
        <v>4.9200000000000001E-2</v>
      </c>
      <c r="GD187" s="472">
        <v>3.9399999999999998E-2</v>
      </c>
      <c r="GE187" s="472">
        <v>3.9399999999999998E-2</v>
      </c>
      <c r="GF187" s="472">
        <v>3.9399999999999998E-2</v>
      </c>
      <c r="GG187" s="472">
        <v>3.9399999999999998E-2</v>
      </c>
      <c r="GH187" s="472">
        <v>3.9399999999999998E-2</v>
      </c>
      <c r="GI187" s="472">
        <v>3.9399999999999998E-2</v>
      </c>
      <c r="GJ187" s="472">
        <v>3.9399999999999998E-2</v>
      </c>
      <c r="GK187" s="472">
        <v>3.9399999999999998E-2</v>
      </c>
      <c r="GL187" s="472">
        <v>3.9399999999999998E-2</v>
      </c>
      <c r="GM187" s="472">
        <v>3.9399999999999998E-2</v>
      </c>
      <c r="GN187" s="472">
        <v>3.9399999999999998E-2</v>
      </c>
      <c r="GO187" s="472">
        <v>3.9399999999999998E-2</v>
      </c>
      <c r="GP187" s="472">
        <v>3.9399999999999998E-2</v>
      </c>
      <c r="GQ187" s="472">
        <v>3.9399999999999998E-2</v>
      </c>
      <c r="GR187" s="472">
        <v>3.9399999999999998E-2</v>
      </c>
      <c r="GS187" s="472">
        <v>3.9399999999999998E-2</v>
      </c>
      <c r="GT187" s="472">
        <v>3.9399999999999998E-2</v>
      </c>
      <c r="GU187" s="472">
        <v>3.9399999999999998E-2</v>
      </c>
      <c r="GV187" s="472">
        <v>3.9399999999999998E-2</v>
      </c>
      <c r="GW187" s="472">
        <v>3.9399999999999998E-2</v>
      </c>
      <c r="GX187" s="472">
        <v>3.9399999999999998E-2</v>
      </c>
      <c r="GY187" s="472">
        <v>3.9399999999999998E-2</v>
      </c>
      <c r="GZ187" s="472">
        <v>3.9399999999999998E-2</v>
      </c>
      <c r="HA187" s="472">
        <v>3.9399999999999998E-2</v>
      </c>
      <c r="HB187" s="472">
        <v>3.9399999999999998E-2</v>
      </c>
      <c r="HC187" s="472">
        <v>3.9399999999999998E-2</v>
      </c>
      <c r="HD187" s="472">
        <v>3.9399999999999998E-2</v>
      </c>
      <c r="HE187" s="472">
        <v>3.9399999999999998E-2</v>
      </c>
      <c r="HF187" s="472">
        <v>3.9399999999999998E-2</v>
      </c>
      <c r="HG187" s="472">
        <v>3.9399999999999998E-2</v>
      </c>
      <c r="HH187" s="472">
        <v>3.9399999999999998E-2</v>
      </c>
      <c r="HI187" s="472">
        <v>3.9399999999999998E-2</v>
      </c>
      <c r="HJ187" s="472">
        <v>3.9399999999999998E-2</v>
      </c>
      <c r="HK187" s="472">
        <v>3.9399999999999998E-2</v>
      </c>
      <c r="HL187" s="472">
        <v>3.9399999999999998E-2</v>
      </c>
      <c r="HM187" s="472">
        <v>3.9399999999999998E-2</v>
      </c>
      <c r="HN187" s="472">
        <v>3.9399999999999998E-2</v>
      </c>
      <c r="HO187" s="472">
        <v>3.9399999999999998E-2</v>
      </c>
      <c r="HP187" s="473">
        <f t="shared" ref="HP187:HP227" si="78">D187-E187</f>
        <v>0</v>
      </c>
      <c r="HQ187" s="1145"/>
    </row>
    <row r="188" spans="2:225">
      <c r="B188" s="1139"/>
      <c r="C188" s="729" t="s">
        <v>255</v>
      </c>
      <c r="D188" s="664">
        <v>2.5999999999999999E-2</v>
      </c>
      <c r="E188" s="664">
        <v>2.5999999999999999E-2</v>
      </c>
      <c r="F188" s="664">
        <v>2.46E-2</v>
      </c>
      <c r="G188" s="664">
        <v>2.47E-2</v>
      </c>
      <c r="H188" s="664">
        <v>2.4E-2</v>
      </c>
      <c r="I188" s="666">
        <v>2.5000000000000001E-2</v>
      </c>
      <c r="J188" s="664">
        <v>2.5000000000000001E-2</v>
      </c>
      <c r="K188" s="664">
        <v>2.5100000000000001E-2</v>
      </c>
      <c r="L188" s="664">
        <v>2.4899999999999999E-2</v>
      </c>
      <c r="M188" s="664">
        <v>2.4400000000000002E-2</v>
      </c>
      <c r="N188" s="664">
        <v>2.4199999999999999E-2</v>
      </c>
      <c r="O188" s="664">
        <v>2.4799999999999999E-2</v>
      </c>
      <c r="P188" s="664">
        <v>2.47E-2</v>
      </c>
      <c r="Q188" s="664">
        <v>2.5600000000000001E-2</v>
      </c>
      <c r="R188" s="666">
        <v>2.5000000000000001E-2</v>
      </c>
      <c r="S188" s="664">
        <v>2.5000000000000001E-2</v>
      </c>
      <c r="T188" s="589">
        <v>2.58E-2</v>
      </c>
      <c r="U188" s="589">
        <v>2.5600000000000001E-2</v>
      </c>
      <c r="V188" s="589">
        <v>2.58E-2</v>
      </c>
      <c r="W188" s="503">
        <v>2.4999999999999998E-2</v>
      </c>
      <c r="X188" s="503">
        <v>2.4699999999999996E-2</v>
      </c>
      <c r="Y188" s="503">
        <v>2.4999999999999998E-2</v>
      </c>
      <c r="Z188" s="503">
        <v>2.5899999999999999E-2</v>
      </c>
      <c r="AA188" s="503">
        <v>2.5700000000000001E-2</v>
      </c>
      <c r="AB188" s="503">
        <v>2.6200000000000001E-2</v>
      </c>
      <c r="AC188" s="503">
        <v>2.58E-2</v>
      </c>
      <c r="AD188" s="503">
        <v>2.64E-2</v>
      </c>
      <c r="AE188" s="503">
        <v>2.76E-2</v>
      </c>
      <c r="AF188" s="503">
        <v>2.7799999999999998E-2</v>
      </c>
      <c r="AG188" s="478">
        <v>2.8299999999999999E-2</v>
      </c>
      <c r="AH188" s="478">
        <v>2.81E-2</v>
      </c>
      <c r="AI188" s="503">
        <v>2.8400000000000002E-2</v>
      </c>
      <c r="AJ188" s="503">
        <v>2.9700000000000001E-2</v>
      </c>
      <c r="AK188" s="503">
        <v>2.98E-2</v>
      </c>
      <c r="AL188" s="503">
        <v>3.0300000000000001E-2</v>
      </c>
      <c r="AM188" s="503">
        <v>0.03</v>
      </c>
      <c r="AN188" s="503">
        <v>2.8799999999999999E-2</v>
      </c>
      <c r="AO188" s="503">
        <v>2.9399999999999999E-2</v>
      </c>
      <c r="AP188" s="503">
        <v>3.0599999999999999E-2</v>
      </c>
      <c r="AQ188" s="503">
        <v>3.09E-2</v>
      </c>
      <c r="AR188" s="503">
        <v>3.0499999999999999E-2</v>
      </c>
      <c r="AS188" s="503">
        <v>3.09E-2</v>
      </c>
      <c r="AT188" s="478">
        <v>3.15E-2</v>
      </c>
      <c r="AU188" s="478">
        <v>3.15E-2</v>
      </c>
      <c r="AV188" s="503">
        <v>2.9600000000000001E-2</v>
      </c>
      <c r="AW188" s="479">
        <v>2.9100000000000001E-2</v>
      </c>
      <c r="AX188" s="479">
        <v>0.03</v>
      </c>
      <c r="AY188" s="479">
        <v>0.03</v>
      </c>
      <c r="AZ188" s="479">
        <v>0.03</v>
      </c>
      <c r="BA188" s="479">
        <v>0.03</v>
      </c>
      <c r="BB188" s="479">
        <v>0.03</v>
      </c>
      <c r="BC188" s="479">
        <v>0.03</v>
      </c>
      <c r="BD188" s="479">
        <v>3.1199999999999999E-2</v>
      </c>
      <c r="BE188" s="479">
        <v>3.1199999999999999E-2</v>
      </c>
      <c r="BF188" s="479">
        <v>3.1199999999999999E-2</v>
      </c>
      <c r="BG188" s="479">
        <v>3.1199999999999999E-2</v>
      </c>
      <c r="BH188" s="479">
        <v>3.1899999999999998E-2</v>
      </c>
      <c r="BI188" s="479">
        <v>3.1899999999999998E-2</v>
      </c>
      <c r="BJ188" s="479">
        <v>3.1899999999999998E-2</v>
      </c>
      <c r="BK188" s="479">
        <v>3.1899999999999998E-2</v>
      </c>
      <c r="BL188" s="479">
        <v>3.1800000000000002E-2</v>
      </c>
      <c r="BM188" s="479">
        <v>3.2599999999999997E-2</v>
      </c>
      <c r="BN188" s="479">
        <v>3.2599999999999997E-2</v>
      </c>
      <c r="BO188" s="479">
        <v>3.1300000000000001E-2</v>
      </c>
      <c r="BP188" s="479">
        <v>3.27E-2</v>
      </c>
      <c r="BQ188" s="479">
        <v>3.27E-2</v>
      </c>
      <c r="BR188" s="479">
        <v>3.32E-2</v>
      </c>
      <c r="BS188" s="479">
        <v>3.32E-2</v>
      </c>
      <c r="BT188" s="479">
        <v>3.1699999999999999E-2</v>
      </c>
      <c r="BU188" s="479">
        <v>3.1699999999999999E-2</v>
      </c>
      <c r="BV188" s="479">
        <v>3.1699999999999999E-2</v>
      </c>
      <c r="BW188" s="479">
        <v>2.8400000000000002E-2</v>
      </c>
      <c r="BX188" s="479">
        <v>2.8400000000000002E-2</v>
      </c>
      <c r="BY188" s="479">
        <v>2.8400000000000002E-2</v>
      </c>
      <c r="BZ188" s="479">
        <v>2.76E-2</v>
      </c>
      <c r="CA188" s="479">
        <v>2.87E-2</v>
      </c>
      <c r="CB188" s="479">
        <v>2.93E-2</v>
      </c>
      <c r="CC188" s="479">
        <v>3.1699999999999999E-2</v>
      </c>
      <c r="CD188" s="479">
        <v>3.2300000000000002E-2</v>
      </c>
      <c r="CE188" s="479">
        <v>3.3099999999999997E-2</v>
      </c>
      <c r="CF188" s="479">
        <v>3.27E-2</v>
      </c>
      <c r="CG188" s="479">
        <v>3.3300000000000003E-2</v>
      </c>
      <c r="CH188" s="479">
        <v>3.7600000000000001E-2</v>
      </c>
      <c r="CI188" s="479">
        <v>3.8300000000000001E-2</v>
      </c>
      <c r="CJ188" s="479">
        <v>3.78E-2</v>
      </c>
      <c r="CK188" s="479">
        <v>3.9600000000000003E-2</v>
      </c>
      <c r="CL188" s="479">
        <v>4.0300000000000002E-2</v>
      </c>
      <c r="CM188" s="479">
        <v>4.0399999999999998E-2</v>
      </c>
      <c r="CN188" s="479">
        <v>4.07E-2</v>
      </c>
      <c r="CO188" s="479">
        <v>4.1399999999999999E-2</v>
      </c>
      <c r="CP188" s="479">
        <v>4.1399999999999999E-2</v>
      </c>
      <c r="CQ188" s="479">
        <v>4.24E-2</v>
      </c>
      <c r="CR188" s="479">
        <v>4.1500000000000002E-2</v>
      </c>
      <c r="CS188" s="479">
        <v>4.1500000000000002E-2</v>
      </c>
      <c r="CT188" s="479">
        <v>4.1799999999999997E-2</v>
      </c>
      <c r="CU188" s="484">
        <v>4.1799999999999997E-2</v>
      </c>
      <c r="CV188" s="479">
        <v>4.1599999999999998E-2</v>
      </c>
      <c r="CW188" s="524">
        <v>4.3299999999999998E-2</v>
      </c>
      <c r="CX188" s="472">
        <v>4.2299999999999997E-2</v>
      </c>
      <c r="CY188" s="472">
        <v>4.19E-2</v>
      </c>
      <c r="CZ188" s="472">
        <v>4.1399999999999999E-2</v>
      </c>
      <c r="DA188" s="472">
        <v>4.1099999999999998E-2</v>
      </c>
      <c r="DB188" s="472">
        <v>4.1500000000000002E-2</v>
      </c>
      <c r="DC188" s="484">
        <v>4.1500000000000002E-2</v>
      </c>
      <c r="DD188" s="484">
        <v>4.3299999999999998E-2</v>
      </c>
      <c r="DE188" s="472">
        <v>4.2799999999999998E-2</v>
      </c>
      <c r="DF188" s="472">
        <v>4.2799999999999998E-2</v>
      </c>
      <c r="DG188" s="472">
        <v>4.1399999999999999E-2</v>
      </c>
      <c r="DH188" s="472">
        <v>4.0300000000000002E-2</v>
      </c>
      <c r="DI188" s="472">
        <v>4.07E-2</v>
      </c>
      <c r="DJ188" s="472">
        <v>4.0300000000000002E-2</v>
      </c>
      <c r="DK188" s="472">
        <v>4.2200000000000001E-2</v>
      </c>
      <c r="DL188" s="472">
        <v>4.2200000000000001E-2</v>
      </c>
      <c r="DM188" s="472">
        <v>4.2200000000000001E-2</v>
      </c>
      <c r="DN188" s="472">
        <v>4.2700000000000002E-2</v>
      </c>
      <c r="DO188" s="472">
        <v>4.48E-2</v>
      </c>
      <c r="DP188" s="472">
        <v>4.41E-2</v>
      </c>
      <c r="DQ188" s="472">
        <v>4.6100000000000002E-2</v>
      </c>
      <c r="DR188" s="472">
        <v>4.6100000000000002E-2</v>
      </c>
      <c r="DS188" s="472">
        <v>4.5900000000000003E-2</v>
      </c>
      <c r="DT188" s="472">
        <v>4.65E-2</v>
      </c>
      <c r="DU188" s="472">
        <v>4.7800000000000002E-2</v>
      </c>
      <c r="DV188" s="472">
        <v>4.7699999999999999E-2</v>
      </c>
      <c r="DW188" s="472">
        <v>5.2400000000000002E-2</v>
      </c>
      <c r="DX188" s="472">
        <v>5.1400000000000001E-2</v>
      </c>
      <c r="DY188" s="472">
        <v>5.2400000000000002E-2</v>
      </c>
      <c r="DZ188" s="472">
        <v>5.2400000000000002E-2</v>
      </c>
      <c r="EA188" s="472">
        <v>5.2200000000000003E-2</v>
      </c>
      <c r="EB188" s="472">
        <v>5.1400000000000001E-2</v>
      </c>
      <c r="EC188" s="472">
        <v>5.2200000000000003E-2</v>
      </c>
      <c r="ED188" s="472">
        <v>5.2299999999999999E-2</v>
      </c>
      <c r="EE188" s="472">
        <v>5.2299999999999999E-2</v>
      </c>
      <c r="EF188" s="472">
        <v>5.1400000000000001E-2</v>
      </c>
      <c r="EG188" s="472">
        <v>5.1900000000000002E-2</v>
      </c>
      <c r="EH188" s="472">
        <v>5.21E-2</v>
      </c>
      <c r="EI188" s="472">
        <v>4.07E-2</v>
      </c>
      <c r="EJ188" s="472">
        <v>4.2000000000000003E-2</v>
      </c>
      <c r="EK188" s="472">
        <v>4.0399999999999998E-2</v>
      </c>
      <c r="EL188" s="472">
        <v>3.9199999999999999E-2</v>
      </c>
      <c r="EM188" s="472">
        <v>3.4500000000000003E-2</v>
      </c>
      <c r="EN188" s="472">
        <v>4.6899999999999997E-2</v>
      </c>
      <c r="EO188" s="472">
        <v>4.48E-2</v>
      </c>
      <c r="EP188" s="472">
        <v>4.4999999999999998E-2</v>
      </c>
      <c r="EQ188" s="472">
        <v>4.5699999999999998E-2</v>
      </c>
      <c r="ER188" s="472">
        <v>4.6100000000000002E-2</v>
      </c>
      <c r="ES188" s="472">
        <v>4.7699999999999999E-2</v>
      </c>
      <c r="ET188" s="472">
        <v>4.6199999999999998E-2</v>
      </c>
      <c r="EU188" s="472">
        <v>4.5999999999999999E-2</v>
      </c>
      <c r="EV188" s="472">
        <v>4.5699999999999998E-2</v>
      </c>
      <c r="EW188" s="472">
        <v>4.3499999999999997E-2</v>
      </c>
      <c r="EX188" s="472">
        <v>3.9100000000000003E-2</v>
      </c>
      <c r="EY188" s="472">
        <v>4.2999999999999997E-2</v>
      </c>
      <c r="EZ188" s="472">
        <v>4.9799999999999997E-2</v>
      </c>
      <c r="FA188" s="484">
        <v>4.9200000000000001E-2</v>
      </c>
      <c r="FB188" s="484">
        <v>4.8500000000000001E-2</v>
      </c>
      <c r="FC188" s="472">
        <v>4.8099999999999997E-2</v>
      </c>
      <c r="FD188" s="472">
        <v>4.6699999999999998E-2</v>
      </c>
      <c r="FE188" s="484">
        <v>4.4699999999999997E-2</v>
      </c>
      <c r="FF188" s="484">
        <v>4.7300000000000002E-2</v>
      </c>
      <c r="FG188" s="484">
        <v>4.7199999999999999E-2</v>
      </c>
      <c r="FH188" s="484">
        <v>4.7199999999999999E-2</v>
      </c>
      <c r="FI188" s="484">
        <v>4.7600000000000003E-2</v>
      </c>
      <c r="FJ188" s="484">
        <v>4.8599999999999997E-2</v>
      </c>
      <c r="FK188" s="484">
        <v>4.7699999999999999E-2</v>
      </c>
      <c r="FL188" s="484">
        <v>4.7600000000000003E-2</v>
      </c>
      <c r="FM188" s="484">
        <v>4.8599999999999997E-2</v>
      </c>
      <c r="FN188" s="484">
        <v>4.87E-2</v>
      </c>
      <c r="FO188" s="484">
        <v>4.8899999999999999E-2</v>
      </c>
      <c r="FP188" s="484">
        <v>4.7399999999999998E-2</v>
      </c>
      <c r="FQ188" s="484">
        <v>4.9000000000000002E-2</v>
      </c>
      <c r="FR188" s="484">
        <v>4.8500000000000001E-2</v>
      </c>
      <c r="FS188" s="484">
        <v>4.5499999999999999E-2</v>
      </c>
      <c r="FT188" s="484">
        <v>4.5100000000000001E-2</v>
      </c>
      <c r="FU188" s="484">
        <v>4.2900000000000001E-2</v>
      </c>
      <c r="FV188" s="472">
        <v>4.9099999999999998E-2</v>
      </c>
      <c r="FW188" s="472">
        <v>4.9200000000000001E-2</v>
      </c>
      <c r="FX188" s="472">
        <v>5.1400000000000001E-2</v>
      </c>
      <c r="FY188" s="472">
        <v>5.21E-2</v>
      </c>
      <c r="FZ188" s="472">
        <v>5.1999999999999998E-2</v>
      </c>
      <c r="GA188" s="472">
        <v>5.0900000000000001E-2</v>
      </c>
      <c r="GB188" s="472">
        <v>5.0799999999999998E-2</v>
      </c>
      <c r="GC188" s="472">
        <v>5.0200000000000002E-2</v>
      </c>
      <c r="GD188" s="472">
        <v>4.0399999999999998E-2</v>
      </c>
      <c r="GE188" s="472">
        <v>4.0399999999999998E-2</v>
      </c>
      <c r="GF188" s="472">
        <v>4.0399999999999998E-2</v>
      </c>
      <c r="GG188" s="472">
        <v>4.0399999999999998E-2</v>
      </c>
      <c r="GH188" s="472">
        <v>4.0399999999999998E-2</v>
      </c>
      <c r="GI188" s="472">
        <v>4.0399999999999998E-2</v>
      </c>
      <c r="GJ188" s="472">
        <v>4.0399999999999998E-2</v>
      </c>
      <c r="GK188" s="472">
        <v>4.0399999999999998E-2</v>
      </c>
      <c r="GL188" s="472">
        <v>4.0399999999999998E-2</v>
      </c>
      <c r="GM188" s="472">
        <v>4.0399999999999998E-2</v>
      </c>
      <c r="GN188" s="472">
        <v>4.0399999999999998E-2</v>
      </c>
      <c r="GO188" s="472">
        <v>4.0399999999999998E-2</v>
      </c>
      <c r="GP188" s="472">
        <v>4.0399999999999998E-2</v>
      </c>
      <c r="GQ188" s="472">
        <v>4.0399999999999998E-2</v>
      </c>
      <c r="GR188" s="472">
        <v>4.0399999999999998E-2</v>
      </c>
      <c r="GS188" s="472">
        <v>4.0399999999999998E-2</v>
      </c>
      <c r="GT188" s="472">
        <v>4.0399999999999998E-2</v>
      </c>
      <c r="GU188" s="472">
        <v>4.0399999999999998E-2</v>
      </c>
      <c r="GV188" s="472">
        <v>4.0399999999999998E-2</v>
      </c>
      <c r="GW188" s="472">
        <v>4.0399999999999998E-2</v>
      </c>
      <c r="GX188" s="472">
        <v>4.0399999999999998E-2</v>
      </c>
      <c r="GY188" s="472">
        <v>4.0399999999999998E-2</v>
      </c>
      <c r="GZ188" s="472">
        <v>4.0399999999999998E-2</v>
      </c>
      <c r="HA188" s="472">
        <v>4.0399999999999998E-2</v>
      </c>
      <c r="HB188" s="472">
        <v>4.0399999999999998E-2</v>
      </c>
      <c r="HC188" s="472">
        <v>4.0399999999999998E-2</v>
      </c>
      <c r="HD188" s="472">
        <v>4.0399999999999998E-2</v>
      </c>
      <c r="HE188" s="472">
        <v>4.0399999999999998E-2</v>
      </c>
      <c r="HF188" s="472">
        <v>4.0399999999999998E-2</v>
      </c>
      <c r="HG188" s="472">
        <v>4.0399999999999998E-2</v>
      </c>
      <c r="HH188" s="472">
        <v>4.0399999999999998E-2</v>
      </c>
      <c r="HI188" s="472">
        <v>4.0399999999999998E-2</v>
      </c>
      <c r="HJ188" s="472">
        <v>4.0399999999999998E-2</v>
      </c>
      <c r="HK188" s="472">
        <v>4.0399999999999998E-2</v>
      </c>
      <c r="HL188" s="472">
        <v>4.0399999999999998E-2</v>
      </c>
      <c r="HM188" s="472">
        <v>4.0399999999999998E-2</v>
      </c>
      <c r="HN188" s="472">
        <v>4.0399999999999998E-2</v>
      </c>
      <c r="HO188" s="472">
        <v>4.0399999999999998E-2</v>
      </c>
      <c r="HP188" s="473">
        <f t="shared" si="78"/>
        <v>0</v>
      </c>
      <c r="HQ188" s="1146"/>
    </row>
    <row r="189" spans="2:225">
      <c r="B189" s="1139"/>
      <c r="C189" s="729" t="s">
        <v>254</v>
      </c>
      <c r="D189" s="664">
        <v>2.9000000000000001E-2</v>
      </c>
      <c r="E189" s="664">
        <v>2.9000000000000001E-2</v>
      </c>
      <c r="F189" s="664">
        <v>2.76E-2</v>
      </c>
      <c r="G189" s="664">
        <v>2.7699999999999999E-2</v>
      </c>
      <c r="H189" s="664">
        <v>2.7E-2</v>
      </c>
      <c r="I189" s="666">
        <v>2.8000000000000001E-2</v>
      </c>
      <c r="J189" s="664">
        <v>2.8000000000000001E-2</v>
      </c>
      <c r="K189" s="664">
        <v>2.81E-2</v>
      </c>
      <c r="L189" s="664">
        <v>2.7900000000000001E-2</v>
      </c>
      <c r="M189" s="664">
        <v>2.7400000000000001E-2</v>
      </c>
      <c r="N189" s="664">
        <v>2.7199999999999998E-2</v>
      </c>
      <c r="O189" s="664">
        <v>2.7799999999999998E-2</v>
      </c>
      <c r="P189" s="664">
        <v>2.7699999999999999E-2</v>
      </c>
      <c r="Q189" s="664">
        <v>2.86E-2</v>
      </c>
      <c r="R189" s="666">
        <v>2.8000000000000001E-2</v>
      </c>
      <c r="S189" s="664">
        <v>2.8000000000000001E-2</v>
      </c>
      <c r="T189" s="589">
        <v>2.8799999999999999E-2</v>
      </c>
      <c r="U189" s="589">
        <v>2.86E-2</v>
      </c>
      <c r="V189" s="589">
        <v>2.8799999999999999E-2</v>
      </c>
      <c r="W189" s="503">
        <v>2.7999999999999997E-2</v>
      </c>
      <c r="X189" s="503">
        <v>2.7699999999999995E-2</v>
      </c>
      <c r="Y189" s="503">
        <v>2.7999999999999997E-2</v>
      </c>
      <c r="Z189" s="503">
        <v>2.8899999999999999E-2</v>
      </c>
      <c r="AA189" s="503">
        <v>2.87E-2</v>
      </c>
      <c r="AB189" s="503">
        <v>2.92E-2</v>
      </c>
      <c r="AC189" s="503">
        <v>2.8800000000000003E-2</v>
      </c>
      <c r="AD189" s="503">
        <v>2.9400000000000003E-2</v>
      </c>
      <c r="AE189" s="503">
        <v>3.0600000000000002E-2</v>
      </c>
      <c r="AF189" s="503">
        <v>3.0800000000000001E-2</v>
      </c>
      <c r="AG189" s="478">
        <v>3.1300000000000001E-2</v>
      </c>
      <c r="AH189" s="478">
        <v>3.1099999999999999E-2</v>
      </c>
      <c r="AI189" s="503">
        <v>3.1399999999999997E-2</v>
      </c>
      <c r="AJ189" s="503">
        <v>3.27E-2</v>
      </c>
      <c r="AK189" s="503">
        <v>3.2800000000000003E-2</v>
      </c>
      <c r="AL189" s="503">
        <v>3.3300000000000003E-2</v>
      </c>
      <c r="AM189" s="503">
        <v>3.3000000000000002E-2</v>
      </c>
      <c r="AN189" s="503">
        <v>3.1800000000000002E-2</v>
      </c>
      <c r="AO189" s="503">
        <v>3.2399999999999998E-2</v>
      </c>
      <c r="AP189" s="503">
        <v>3.3599999999999998E-2</v>
      </c>
      <c r="AQ189" s="503">
        <v>3.39E-2</v>
      </c>
      <c r="AR189" s="503">
        <v>3.3500000000000002E-2</v>
      </c>
      <c r="AS189" s="503">
        <v>3.39E-2</v>
      </c>
      <c r="AT189" s="478">
        <v>3.4500000000000003E-2</v>
      </c>
      <c r="AU189" s="478">
        <v>3.4500000000000003E-2</v>
      </c>
      <c r="AV189" s="503">
        <v>3.2599999999999997E-2</v>
      </c>
      <c r="AW189" s="479">
        <v>3.2099999999999997E-2</v>
      </c>
      <c r="AX189" s="479">
        <v>3.3000000000000002E-2</v>
      </c>
      <c r="AY189" s="479">
        <v>3.3000000000000002E-2</v>
      </c>
      <c r="AZ189" s="479">
        <v>3.3000000000000002E-2</v>
      </c>
      <c r="BA189" s="479">
        <v>3.3000000000000002E-2</v>
      </c>
      <c r="BB189" s="479">
        <v>3.3000000000000002E-2</v>
      </c>
      <c r="BC189" s="479">
        <v>3.3000000000000002E-2</v>
      </c>
      <c r="BD189" s="479">
        <v>3.4200000000000001E-2</v>
      </c>
      <c r="BE189" s="479">
        <v>3.4200000000000001E-2</v>
      </c>
      <c r="BF189" s="479">
        <v>3.4200000000000001E-2</v>
      </c>
      <c r="BG189" s="479">
        <v>3.4200000000000001E-2</v>
      </c>
      <c r="BH189" s="479">
        <v>3.49E-2</v>
      </c>
      <c r="BI189" s="479">
        <v>3.49E-2</v>
      </c>
      <c r="BJ189" s="479">
        <v>3.49E-2</v>
      </c>
      <c r="BK189" s="479">
        <v>3.49E-2</v>
      </c>
      <c r="BL189" s="479">
        <v>3.4799999999999998E-2</v>
      </c>
      <c r="BM189" s="479">
        <v>3.56E-2</v>
      </c>
      <c r="BN189" s="479">
        <v>3.56E-2</v>
      </c>
      <c r="BO189" s="479">
        <v>3.4299999999999997E-2</v>
      </c>
      <c r="BP189" s="479">
        <v>3.5700000000000003E-2</v>
      </c>
      <c r="BQ189" s="479">
        <v>3.5700000000000003E-2</v>
      </c>
      <c r="BR189" s="479">
        <v>3.6200000000000003E-2</v>
      </c>
      <c r="BS189" s="479">
        <v>3.6200000000000003E-2</v>
      </c>
      <c r="BT189" s="479">
        <v>3.4700000000000002E-2</v>
      </c>
      <c r="BU189" s="479">
        <v>3.4700000000000002E-2</v>
      </c>
      <c r="BV189" s="479">
        <v>3.4700000000000002E-2</v>
      </c>
      <c r="BW189" s="479">
        <v>3.1399999999999997E-2</v>
      </c>
      <c r="BX189" s="479">
        <v>3.1399999999999997E-2</v>
      </c>
      <c r="BY189" s="479">
        <v>3.1399999999999997E-2</v>
      </c>
      <c r="BZ189" s="479">
        <v>3.0599999999999999E-2</v>
      </c>
      <c r="CA189" s="479">
        <v>3.1699999999999999E-2</v>
      </c>
      <c r="CB189" s="479">
        <v>3.2300000000000002E-2</v>
      </c>
      <c r="CC189" s="479">
        <v>3.4700000000000002E-2</v>
      </c>
      <c r="CD189" s="479">
        <v>3.5299999999999998E-2</v>
      </c>
      <c r="CE189" s="479">
        <v>3.61E-2</v>
      </c>
      <c r="CF189" s="479">
        <v>3.5700000000000003E-2</v>
      </c>
      <c r="CG189" s="479">
        <v>3.6299999999999999E-2</v>
      </c>
      <c r="CH189" s="479">
        <v>4.0599999999999997E-2</v>
      </c>
      <c r="CI189" s="479">
        <v>4.1300000000000003E-2</v>
      </c>
      <c r="CJ189" s="479">
        <v>4.0800000000000003E-2</v>
      </c>
      <c r="CK189" s="479">
        <v>4.2599999999999999E-2</v>
      </c>
      <c r="CL189" s="479">
        <v>4.3299999999999998E-2</v>
      </c>
      <c r="CM189" s="479">
        <v>4.3400000000000001E-2</v>
      </c>
      <c r="CN189" s="479">
        <v>4.3700000000000003E-2</v>
      </c>
      <c r="CO189" s="479">
        <v>4.4400000000000002E-2</v>
      </c>
      <c r="CP189" s="479">
        <v>4.4400000000000002E-2</v>
      </c>
      <c r="CQ189" s="479">
        <v>4.5400000000000003E-2</v>
      </c>
      <c r="CR189" s="479">
        <v>4.4499999999999998E-2</v>
      </c>
      <c r="CS189" s="479">
        <v>4.4499999999999998E-2</v>
      </c>
      <c r="CT189" s="479">
        <v>4.48E-2</v>
      </c>
      <c r="CU189" s="484">
        <v>4.48E-2</v>
      </c>
      <c r="CV189" s="479">
        <v>4.4600000000000001E-2</v>
      </c>
      <c r="CW189" s="524">
        <v>4.6300000000000001E-2</v>
      </c>
      <c r="CX189" s="472">
        <v>4.53E-2</v>
      </c>
      <c r="CY189" s="472">
        <v>4.4900000000000002E-2</v>
      </c>
      <c r="CZ189" s="472">
        <v>4.4400000000000002E-2</v>
      </c>
      <c r="DA189" s="472">
        <v>4.41E-2</v>
      </c>
      <c r="DB189" s="472">
        <v>4.4499999999999998E-2</v>
      </c>
      <c r="DC189" s="484">
        <v>4.4499999999999998E-2</v>
      </c>
      <c r="DD189" s="484">
        <v>4.6300000000000001E-2</v>
      </c>
      <c r="DE189" s="472">
        <v>4.58E-2</v>
      </c>
      <c r="DF189" s="472">
        <v>4.58E-2</v>
      </c>
      <c r="DG189" s="472">
        <v>4.4400000000000002E-2</v>
      </c>
      <c r="DH189" s="472">
        <v>4.3299999999999998E-2</v>
      </c>
      <c r="DI189" s="472">
        <v>4.3700000000000003E-2</v>
      </c>
      <c r="DJ189" s="472">
        <v>4.3299999999999998E-2</v>
      </c>
      <c r="DK189" s="472">
        <v>4.5199999999999997E-2</v>
      </c>
      <c r="DL189" s="472">
        <v>4.5199999999999997E-2</v>
      </c>
      <c r="DM189" s="472">
        <v>4.5199999999999997E-2</v>
      </c>
      <c r="DN189" s="472">
        <v>4.5699999999999998E-2</v>
      </c>
      <c r="DO189" s="472">
        <v>4.7800000000000002E-2</v>
      </c>
      <c r="DP189" s="472">
        <v>4.7100000000000003E-2</v>
      </c>
      <c r="DQ189" s="472">
        <v>4.9099999999999998E-2</v>
      </c>
      <c r="DR189" s="472">
        <v>4.9099999999999998E-2</v>
      </c>
      <c r="DS189" s="472">
        <v>4.8899999999999999E-2</v>
      </c>
      <c r="DT189" s="472">
        <v>4.9500000000000002E-2</v>
      </c>
      <c r="DU189" s="472">
        <v>5.0799999999999998E-2</v>
      </c>
      <c r="DV189" s="472">
        <v>5.0700000000000002E-2</v>
      </c>
      <c r="DW189" s="472">
        <v>5.2900000000000003E-2</v>
      </c>
      <c r="DX189" s="472">
        <v>5.1900000000000002E-2</v>
      </c>
      <c r="DY189" s="472">
        <v>5.2900000000000003E-2</v>
      </c>
      <c r="DZ189" s="472">
        <v>5.2900000000000003E-2</v>
      </c>
      <c r="EA189" s="472">
        <v>5.2699999999999997E-2</v>
      </c>
      <c r="EB189" s="472">
        <v>5.1900000000000002E-2</v>
      </c>
      <c r="EC189" s="472">
        <v>5.2699999999999997E-2</v>
      </c>
      <c r="ED189" s="472">
        <v>5.28E-2</v>
      </c>
      <c r="EE189" s="472">
        <v>5.28E-2</v>
      </c>
      <c r="EF189" s="472">
        <v>5.1900000000000002E-2</v>
      </c>
      <c r="EG189" s="472">
        <v>5.2400000000000002E-2</v>
      </c>
      <c r="EH189" s="472">
        <v>5.2600000000000001E-2</v>
      </c>
      <c r="EI189" s="472">
        <v>4.1200000000000001E-2</v>
      </c>
      <c r="EJ189" s="472">
        <v>4.2500000000000003E-2</v>
      </c>
      <c r="EK189" s="472">
        <v>4.0899999999999999E-2</v>
      </c>
      <c r="EL189" s="472">
        <v>3.9699999999999999E-2</v>
      </c>
      <c r="EM189" s="472">
        <v>3.5000000000000003E-2</v>
      </c>
      <c r="EN189" s="472">
        <v>4.7399999999999998E-2</v>
      </c>
      <c r="EO189" s="472">
        <v>4.53E-2</v>
      </c>
      <c r="EP189" s="472">
        <v>4.5499999999999999E-2</v>
      </c>
      <c r="EQ189" s="472">
        <v>4.6199999999999998E-2</v>
      </c>
      <c r="ER189" s="472">
        <v>4.6600000000000003E-2</v>
      </c>
      <c r="ES189" s="472">
        <v>4.82E-2</v>
      </c>
      <c r="ET189" s="472">
        <v>4.6699999999999998E-2</v>
      </c>
      <c r="EU189" s="472">
        <v>4.65E-2</v>
      </c>
      <c r="EV189" s="472">
        <v>4.6199999999999998E-2</v>
      </c>
      <c r="EW189" s="472">
        <v>4.3999999999999997E-2</v>
      </c>
      <c r="EX189" s="472">
        <v>3.9600000000000003E-2</v>
      </c>
      <c r="EY189" s="472">
        <v>4.3499999999999997E-2</v>
      </c>
      <c r="EZ189" s="472">
        <v>5.0299999999999997E-2</v>
      </c>
      <c r="FA189" s="484">
        <v>4.9700000000000001E-2</v>
      </c>
      <c r="FB189" s="484">
        <v>4.9000000000000002E-2</v>
      </c>
      <c r="FC189" s="472">
        <v>4.8599999999999997E-2</v>
      </c>
      <c r="FD189" s="472">
        <v>4.7199999999999999E-2</v>
      </c>
      <c r="FE189" s="484">
        <v>4.5199999999999997E-2</v>
      </c>
      <c r="FF189" s="484">
        <v>4.7800000000000002E-2</v>
      </c>
      <c r="FG189" s="484">
        <v>4.7699999999999999E-2</v>
      </c>
      <c r="FH189" s="484">
        <v>4.7699999999999999E-2</v>
      </c>
      <c r="FI189" s="484">
        <v>4.8099999999999997E-2</v>
      </c>
      <c r="FJ189" s="484">
        <v>4.9099999999999998E-2</v>
      </c>
      <c r="FK189" s="484">
        <v>4.82E-2</v>
      </c>
      <c r="FL189" s="484">
        <v>4.8099999999999997E-2</v>
      </c>
      <c r="FM189" s="484">
        <v>4.9099999999999998E-2</v>
      </c>
      <c r="FN189" s="484">
        <v>4.9200000000000001E-2</v>
      </c>
      <c r="FO189" s="484">
        <v>4.9399999999999999E-2</v>
      </c>
      <c r="FP189" s="484">
        <v>4.7899999999999998E-2</v>
      </c>
      <c r="FQ189" s="484">
        <v>4.9500000000000002E-2</v>
      </c>
      <c r="FR189" s="484">
        <v>4.9000000000000002E-2</v>
      </c>
      <c r="FS189" s="484">
        <v>4.5999999999999999E-2</v>
      </c>
      <c r="FT189" s="484">
        <v>4.5600000000000002E-2</v>
      </c>
      <c r="FU189" s="484">
        <v>4.3400000000000001E-2</v>
      </c>
      <c r="FV189" s="472">
        <v>4.9599999999999998E-2</v>
      </c>
      <c r="FW189" s="472">
        <v>4.9700000000000001E-2</v>
      </c>
      <c r="FX189" s="472">
        <v>5.1900000000000002E-2</v>
      </c>
      <c r="FY189" s="472">
        <v>5.2600000000000001E-2</v>
      </c>
      <c r="FZ189" s="472">
        <v>5.2499999999999998E-2</v>
      </c>
      <c r="GA189" s="472">
        <v>5.1400000000000001E-2</v>
      </c>
      <c r="GB189" s="472">
        <v>5.1299999999999998E-2</v>
      </c>
      <c r="GC189" s="472">
        <v>5.0700000000000002E-2</v>
      </c>
      <c r="GD189" s="472">
        <v>4.0899999999999999E-2</v>
      </c>
      <c r="GE189" s="472">
        <v>4.0899999999999999E-2</v>
      </c>
      <c r="GF189" s="472">
        <v>4.0899999999999999E-2</v>
      </c>
      <c r="GG189" s="472">
        <v>4.0899999999999999E-2</v>
      </c>
      <c r="GH189" s="472">
        <v>4.0899999999999999E-2</v>
      </c>
      <c r="GI189" s="472">
        <v>4.0899999999999999E-2</v>
      </c>
      <c r="GJ189" s="472">
        <v>4.0899999999999999E-2</v>
      </c>
      <c r="GK189" s="472">
        <v>4.0899999999999999E-2</v>
      </c>
      <c r="GL189" s="472">
        <v>4.0899999999999999E-2</v>
      </c>
      <c r="GM189" s="472">
        <v>4.0899999999999999E-2</v>
      </c>
      <c r="GN189" s="472">
        <v>4.0899999999999999E-2</v>
      </c>
      <c r="GO189" s="472">
        <v>4.0899999999999999E-2</v>
      </c>
      <c r="GP189" s="472">
        <v>4.0899999999999999E-2</v>
      </c>
      <c r="GQ189" s="472">
        <v>4.0899999999999999E-2</v>
      </c>
      <c r="GR189" s="472">
        <v>4.0899999999999999E-2</v>
      </c>
      <c r="GS189" s="472">
        <v>4.0899999999999999E-2</v>
      </c>
      <c r="GT189" s="472">
        <v>4.0899999999999999E-2</v>
      </c>
      <c r="GU189" s="472">
        <v>4.0899999999999999E-2</v>
      </c>
      <c r="GV189" s="472">
        <v>4.0899999999999999E-2</v>
      </c>
      <c r="GW189" s="472">
        <v>4.0899999999999999E-2</v>
      </c>
      <c r="GX189" s="472">
        <v>4.0899999999999999E-2</v>
      </c>
      <c r="GY189" s="472">
        <v>4.0899999999999999E-2</v>
      </c>
      <c r="GZ189" s="472">
        <v>4.0899999999999999E-2</v>
      </c>
      <c r="HA189" s="472">
        <v>4.0899999999999999E-2</v>
      </c>
      <c r="HB189" s="472">
        <v>4.0899999999999999E-2</v>
      </c>
      <c r="HC189" s="472">
        <v>4.0899999999999999E-2</v>
      </c>
      <c r="HD189" s="472">
        <v>4.0899999999999999E-2</v>
      </c>
      <c r="HE189" s="472">
        <v>4.0899999999999999E-2</v>
      </c>
      <c r="HF189" s="472">
        <v>4.0899999999999999E-2</v>
      </c>
      <c r="HG189" s="472">
        <v>4.0899999999999999E-2</v>
      </c>
      <c r="HH189" s="472">
        <v>4.0899999999999999E-2</v>
      </c>
      <c r="HI189" s="472">
        <v>4.0899999999999999E-2</v>
      </c>
      <c r="HJ189" s="472">
        <v>4.0899999999999999E-2</v>
      </c>
      <c r="HK189" s="472">
        <v>4.0899999999999999E-2</v>
      </c>
      <c r="HL189" s="472">
        <v>4.0899999999999999E-2</v>
      </c>
      <c r="HM189" s="472">
        <v>4.0899999999999999E-2</v>
      </c>
      <c r="HN189" s="472">
        <v>4.0899999999999999E-2</v>
      </c>
      <c r="HO189" s="472">
        <v>4.0899999999999999E-2</v>
      </c>
      <c r="HP189" s="473">
        <f t="shared" si="78"/>
        <v>0</v>
      </c>
      <c r="HQ189" s="1146"/>
    </row>
    <row r="190" spans="2:225">
      <c r="B190" s="1140"/>
      <c r="C190" s="729" t="s">
        <v>253</v>
      </c>
      <c r="D190" s="664">
        <v>2.9000000000000001E-2</v>
      </c>
      <c r="E190" s="664">
        <v>2.9000000000000001E-2</v>
      </c>
      <c r="F190" s="664">
        <v>2.76E-2</v>
      </c>
      <c r="G190" s="664">
        <v>2.7699999999999999E-2</v>
      </c>
      <c r="H190" s="664">
        <v>2.7E-2</v>
      </c>
      <c r="I190" s="666">
        <v>2.8000000000000001E-2</v>
      </c>
      <c r="J190" s="664">
        <v>2.8000000000000001E-2</v>
      </c>
      <c r="K190" s="664">
        <v>2.81E-2</v>
      </c>
      <c r="L190" s="664">
        <v>2.7900000000000001E-2</v>
      </c>
      <c r="M190" s="664">
        <v>2.7400000000000001E-2</v>
      </c>
      <c r="N190" s="664">
        <v>2.7199999999999998E-2</v>
      </c>
      <c r="O190" s="664">
        <v>2.7799999999999998E-2</v>
      </c>
      <c r="P190" s="664">
        <v>2.7699999999999999E-2</v>
      </c>
      <c r="Q190" s="664">
        <v>2.86E-2</v>
      </c>
      <c r="R190" s="666">
        <v>2.8000000000000001E-2</v>
      </c>
      <c r="S190" s="664">
        <v>2.8000000000000001E-2</v>
      </c>
      <c r="T190" s="589">
        <v>2.8799999999999999E-2</v>
      </c>
      <c r="U190" s="589">
        <v>2.86E-2</v>
      </c>
      <c r="V190" s="589">
        <v>2.8799999999999999E-2</v>
      </c>
      <c r="W190" s="503">
        <v>2.7999999999999997E-2</v>
      </c>
      <c r="X190" s="503">
        <v>2.7699999999999995E-2</v>
      </c>
      <c r="Y190" s="503">
        <v>2.7999999999999997E-2</v>
      </c>
      <c r="Z190" s="503">
        <v>2.8899999999999999E-2</v>
      </c>
      <c r="AA190" s="503">
        <v>2.87E-2</v>
      </c>
      <c r="AB190" s="503">
        <v>2.92E-2</v>
      </c>
      <c r="AC190" s="503">
        <v>2.8800000000000003E-2</v>
      </c>
      <c r="AD190" s="503">
        <v>2.9400000000000003E-2</v>
      </c>
      <c r="AE190" s="503">
        <v>3.0600000000000002E-2</v>
      </c>
      <c r="AF190" s="503">
        <v>3.0800000000000001E-2</v>
      </c>
      <c r="AG190" s="478">
        <v>3.1300000000000001E-2</v>
      </c>
      <c r="AH190" s="478">
        <v>3.1099999999999999E-2</v>
      </c>
      <c r="AI190" s="503">
        <v>3.1399999999999997E-2</v>
      </c>
      <c r="AJ190" s="503">
        <v>3.27E-2</v>
      </c>
      <c r="AK190" s="503">
        <v>3.2800000000000003E-2</v>
      </c>
      <c r="AL190" s="503">
        <v>3.3300000000000003E-2</v>
      </c>
      <c r="AM190" s="503">
        <v>3.3000000000000002E-2</v>
      </c>
      <c r="AN190" s="503">
        <v>3.1800000000000002E-2</v>
      </c>
      <c r="AO190" s="503">
        <v>3.2399999999999998E-2</v>
      </c>
      <c r="AP190" s="503">
        <v>3.3599999999999998E-2</v>
      </c>
      <c r="AQ190" s="503">
        <v>3.39E-2</v>
      </c>
      <c r="AR190" s="503">
        <v>3.3500000000000002E-2</v>
      </c>
      <c r="AS190" s="503">
        <v>3.39E-2</v>
      </c>
      <c r="AT190" s="478">
        <v>3.4500000000000003E-2</v>
      </c>
      <c r="AU190" s="478">
        <v>3.4500000000000003E-2</v>
      </c>
      <c r="AV190" s="503">
        <v>3.2599999999999997E-2</v>
      </c>
      <c r="AW190" s="479">
        <v>3.2099999999999997E-2</v>
      </c>
      <c r="AX190" s="479">
        <v>3.3000000000000002E-2</v>
      </c>
      <c r="AY190" s="479">
        <v>3.3000000000000002E-2</v>
      </c>
      <c r="AZ190" s="479">
        <v>3.3000000000000002E-2</v>
      </c>
      <c r="BA190" s="479">
        <v>3.3000000000000002E-2</v>
      </c>
      <c r="BB190" s="479">
        <v>3.3000000000000002E-2</v>
      </c>
      <c r="BC190" s="479">
        <v>3.3000000000000002E-2</v>
      </c>
      <c r="BD190" s="479">
        <v>3.4200000000000001E-2</v>
      </c>
      <c r="BE190" s="479">
        <v>3.4200000000000001E-2</v>
      </c>
      <c r="BF190" s="479">
        <v>3.4200000000000001E-2</v>
      </c>
      <c r="BG190" s="479">
        <v>3.4200000000000001E-2</v>
      </c>
      <c r="BH190" s="479">
        <v>3.49E-2</v>
      </c>
      <c r="BI190" s="479">
        <v>3.49E-2</v>
      </c>
      <c r="BJ190" s="479">
        <v>3.49E-2</v>
      </c>
      <c r="BK190" s="479">
        <v>3.49E-2</v>
      </c>
      <c r="BL190" s="479">
        <v>3.4799999999999998E-2</v>
      </c>
      <c r="BM190" s="479">
        <v>3.56E-2</v>
      </c>
      <c r="BN190" s="479">
        <v>3.56E-2</v>
      </c>
      <c r="BO190" s="479">
        <v>3.4299999999999997E-2</v>
      </c>
      <c r="BP190" s="479">
        <v>3.5700000000000003E-2</v>
      </c>
      <c r="BQ190" s="479">
        <v>3.5700000000000003E-2</v>
      </c>
      <c r="BR190" s="479">
        <v>3.6200000000000003E-2</v>
      </c>
      <c r="BS190" s="479">
        <v>3.6200000000000003E-2</v>
      </c>
      <c r="BT190" s="479">
        <v>3.4700000000000002E-2</v>
      </c>
      <c r="BU190" s="479">
        <v>3.4700000000000002E-2</v>
      </c>
      <c r="BV190" s="479">
        <v>3.4700000000000002E-2</v>
      </c>
      <c r="BW190" s="479">
        <v>3.1399999999999997E-2</v>
      </c>
      <c r="BX190" s="479">
        <v>3.1399999999999997E-2</v>
      </c>
      <c r="BY190" s="479">
        <v>3.1399999999999997E-2</v>
      </c>
      <c r="BZ190" s="479">
        <v>3.0599999999999999E-2</v>
      </c>
      <c r="CA190" s="479">
        <v>3.1699999999999999E-2</v>
      </c>
      <c r="CB190" s="479">
        <v>3.2300000000000002E-2</v>
      </c>
      <c r="CC190" s="479">
        <v>3.4700000000000002E-2</v>
      </c>
      <c r="CD190" s="479">
        <v>3.5299999999999998E-2</v>
      </c>
      <c r="CE190" s="479">
        <v>3.61E-2</v>
      </c>
      <c r="CF190" s="479">
        <v>3.5700000000000003E-2</v>
      </c>
      <c r="CG190" s="479">
        <v>3.6299999999999999E-2</v>
      </c>
      <c r="CH190" s="479">
        <v>4.0599999999999997E-2</v>
      </c>
      <c r="CI190" s="479">
        <v>4.1300000000000003E-2</v>
      </c>
      <c r="CJ190" s="479">
        <v>4.0800000000000003E-2</v>
      </c>
      <c r="CK190" s="479">
        <v>4.2599999999999999E-2</v>
      </c>
      <c r="CL190" s="479">
        <v>4.3299999999999998E-2</v>
      </c>
      <c r="CM190" s="479">
        <v>4.3400000000000001E-2</v>
      </c>
      <c r="CN190" s="479">
        <v>4.3700000000000003E-2</v>
      </c>
      <c r="CO190" s="479">
        <v>4.4400000000000002E-2</v>
      </c>
      <c r="CP190" s="479">
        <v>4.4400000000000002E-2</v>
      </c>
      <c r="CQ190" s="479">
        <v>4.5400000000000003E-2</v>
      </c>
      <c r="CR190" s="479">
        <v>4.4499999999999998E-2</v>
      </c>
      <c r="CS190" s="479">
        <v>4.4499999999999998E-2</v>
      </c>
      <c r="CT190" s="479">
        <v>4.48E-2</v>
      </c>
      <c r="CU190" s="484">
        <v>4.48E-2</v>
      </c>
      <c r="CV190" s="479">
        <v>4.4600000000000001E-2</v>
      </c>
      <c r="CW190" s="524">
        <v>4.6300000000000001E-2</v>
      </c>
      <c r="CX190" s="472">
        <v>4.53E-2</v>
      </c>
      <c r="CY190" s="472">
        <v>4.4900000000000002E-2</v>
      </c>
      <c r="CZ190" s="472">
        <v>4.4400000000000002E-2</v>
      </c>
      <c r="DA190" s="472">
        <v>4.41E-2</v>
      </c>
      <c r="DB190" s="472">
        <v>4.4499999999999998E-2</v>
      </c>
      <c r="DC190" s="484">
        <v>4.4499999999999998E-2</v>
      </c>
      <c r="DD190" s="484">
        <v>4.6300000000000001E-2</v>
      </c>
      <c r="DE190" s="472">
        <v>4.58E-2</v>
      </c>
      <c r="DF190" s="472">
        <v>4.58E-2</v>
      </c>
      <c r="DG190" s="472">
        <v>4.4400000000000002E-2</v>
      </c>
      <c r="DH190" s="472">
        <v>4.3299999999999998E-2</v>
      </c>
      <c r="DI190" s="472">
        <v>4.3700000000000003E-2</v>
      </c>
      <c r="DJ190" s="472">
        <v>4.3299999999999998E-2</v>
      </c>
      <c r="DK190" s="472">
        <v>4.5199999999999997E-2</v>
      </c>
      <c r="DL190" s="472">
        <v>4.5199999999999997E-2</v>
      </c>
      <c r="DM190" s="472">
        <v>4.5199999999999997E-2</v>
      </c>
      <c r="DN190" s="472">
        <v>4.5699999999999998E-2</v>
      </c>
      <c r="DO190" s="472">
        <v>4.7800000000000002E-2</v>
      </c>
      <c r="DP190" s="472">
        <v>4.7100000000000003E-2</v>
      </c>
      <c r="DQ190" s="472">
        <v>4.9099999999999998E-2</v>
      </c>
      <c r="DR190" s="472">
        <v>4.9099999999999998E-2</v>
      </c>
      <c r="DS190" s="472">
        <v>4.8899999999999999E-2</v>
      </c>
      <c r="DT190" s="472">
        <v>4.9500000000000002E-2</v>
      </c>
      <c r="DU190" s="472">
        <v>5.0799999999999998E-2</v>
      </c>
      <c r="DV190" s="472">
        <v>5.0700000000000002E-2</v>
      </c>
      <c r="DW190" s="472">
        <v>5.3900000000000003E-2</v>
      </c>
      <c r="DX190" s="472">
        <v>5.2900000000000003E-2</v>
      </c>
      <c r="DY190" s="472">
        <v>5.3900000000000003E-2</v>
      </c>
      <c r="DZ190" s="472">
        <v>5.3900000000000003E-2</v>
      </c>
      <c r="EA190" s="472">
        <v>5.3699999999999998E-2</v>
      </c>
      <c r="EB190" s="472">
        <v>5.2900000000000003E-2</v>
      </c>
      <c r="EC190" s="472">
        <v>5.3699999999999998E-2</v>
      </c>
      <c r="ED190" s="472">
        <v>5.3800000000000001E-2</v>
      </c>
      <c r="EE190" s="472">
        <v>5.3800000000000001E-2</v>
      </c>
      <c r="EF190" s="472">
        <v>5.2900000000000003E-2</v>
      </c>
      <c r="EG190" s="472">
        <v>5.3400000000000003E-2</v>
      </c>
      <c r="EH190" s="472">
        <v>5.3600000000000002E-2</v>
      </c>
      <c r="EI190" s="472">
        <v>4.2200000000000001E-2</v>
      </c>
      <c r="EJ190" s="472">
        <v>4.3499999999999997E-2</v>
      </c>
      <c r="EK190" s="472">
        <v>4.19E-2</v>
      </c>
      <c r="EL190" s="472">
        <v>4.0730000000000002E-2</v>
      </c>
      <c r="EM190" s="472">
        <v>3.5999999999999997E-2</v>
      </c>
      <c r="EN190" s="472">
        <v>4.8399999999999999E-2</v>
      </c>
      <c r="EO190" s="472">
        <v>4.6300000000000001E-2</v>
      </c>
      <c r="EP190" s="472">
        <v>4.65E-2</v>
      </c>
      <c r="EQ190" s="472">
        <v>4.7199999999999999E-2</v>
      </c>
      <c r="ER190" s="472">
        <v>4.7600000000000003E-2</v>
      </c>
      <c r="ES190" s="472">
        <v>4.9200000000000001E-2</v>
      </c>
      <c r="ET190" s="472">
        <v>4.7699999999999999E-2</v>
      </c>
      <c r="EU190" s="472">
        <v>4.7500000000000001E-2</v>
      </c>
      <c r="EV190" s="472">
        <v>4.7199999999999999E-2</v>
      </c>
      <c r="EW190" s="472">
        <v>4.4999999999999998E-2</v>
      </c>
      <c r="EX190" s="472">
        <v>4.0599999999999997E-2</v>
      </c>
      <c r="EY190" s="472">
        <v>4.4499999999999998E-2</v>
      </c>
      <c r="EZ190" s="472">
        <v>5.1299999999999998E-2</v>
      </c>
      <c r="FA190" s="484">
        <v>5.0700000000000002E-2</v>
      </c>
      <c r="FB190" s="484">
        <v>0.05</v>
      </c>
      <c r="FC190" s="472">
        <v>4.9599999999999998E-2</v>
      </c>
      <c r="FD190" s="472">
        <v>4.82E-2</v>
      </c>
      <c r="FE190" s="484">
        <v>4.6199999999999998E-2</v>
      </c>
      <c r="FF190" s="484">
        <v>4.8800000000000003E-2</v>
      </c>
      <c r="FG190" s="484">
        <v>4.87E-2</v>
      </c>
      <c r="FH190" s="484">
        <v>4.87E-2</v>
      </c>
      <c r="FI190" s="484">
        <v>4.9099999999999998E-2</v>
      </c>
      <c r="FJ190" s="484">
        <v>5.0099999999999999E-2</v>
      </c>
      <c r="FK190" s="484">
        <v>4.9200000000000001E-2</v>
      </c>
      <c r="FL190" s="484">
        <v>4.9099999999999998E-2</v>
      </c>
      <c r="FM190" s="484">
        <v>5.0099999999999999E-2</v>
      </c>
      <c r="FN190" s="484">
        <v>5.0200000000000002E-2</v>
      </c>
      <c r="FO190" s="484">
        <v>5.04E-2</v>
      </c>
      <c r="FP190" s="484">
        <v>4.8899999999999999E-2</v>
      </c>
      <c r="FQ190" s="484">
        <v>5.0500000000000003E-2</v>
      </c>
      <c r="FR190" s="484">
        <v>0.05</v>
      </c>
      <c r="FS190" s="484">
        <v>4.7E-2</v>
      </c>
      <c r="FT190" s="484">
        <v>4.6600000000000003E-2</v>
      </c>
      <c r="FU190" s="484">
        <v>4.4400000000000002E-2</v>
      </c>
      <c r="FV190" s="472">
        <v>5.0599999999999999E-2</v>
      </c>
      <c r="FW190" s="472">
        <v>5.0700000000000002E-2</v>
      </c>
      <c r="FX190" s="472">
        <v>5.2900000000000003E-2</v>
      </c>
      <c r="FY190" s="472">
        <v>5.3600000000000002E-2</v>
      </c>
      <c r="FZ190" s="472">
        <v>5.3499999999999999E-2</v>
      </c>
      <c r="GA190" s="472">
        <v>5.2400000000000002E-2</v>
      </c>
      <c r="GB190" s="472">
        <v>5.2299999999999999E-2</v>
      </c>
      <c r="GC190" s="472">
        <v>5.1700000000000003E-2</v>
      </c>
      <c r="GD190" s="472">
        <v>4.19E-2</v>
      </c>
      <c r="GE190" s="472">
        <v>4.19E-2</v>
      </c>
      <c r="GF190" s="472">
        <v>4.19E-2</v>
      </c>
      <c r="GG190" s="472">
        <v>4.19E-2</v>
      </c>
      <c r="GH190" s="472">
        <v>4.19E-2</v>
      </c>
      <c r="GI190" s="472">
        <v>4.19E-2</v>
      </c>
      <c r="GJ190" s="472">
        <v>4.19E-2</v>
      </c>
      <c r="GK190" s="472">
        <v>4.19E-2</v>
      </c>
      <c r="GL190" s="472">
        <v>4.19E-2</v>
      </c>
      <c r="GM190" s="472">
        <v>4.19E-2</v>
      </c>
      <c r="GN190" s="472">
        <v>4.19E-2</v>
      </c>
      <c r="GO190" s="472">
        <v>4.19E-2</v>
      </c>
      <c r="GP190" s="472">
        <v>4.19E-2</v>
      </c>
      <c r="GQ190" s="472">
        <v>4.19E-2</v>
      </c>
      <c r="GR190" s="472">
        <v>4.19E-2</v>
      </c>
      <c r="GS190" s="472">
        <v>4.19E-2</v>
      </c>
      <c r="GT190" s="472">
        <v>4.19E-2</v>
      </c>
      <c r="GU190" s="472">
        <v>4.19E-2</v>
      </c>
      <c r="GV190" s="472">
        <v>4.19E-2</v>
      </c>
      <c r="GW190" s="472">
        <v>4.19E-2</v>
      </c>
      <c r="GX190" s="472">
        <v>4.19E-2</v>
      </c>
      <c r="GY190" s="472">
        <v>4.19E-2</v>
      </c>
      <c r="GZ190" s="472">
        <v>4.19E-2</v>
      </c>
      <c r="HA190" s="472">
        <v>4.19E-2</v>
      </c>
      <c r="HB190" s="472">
        <v>4.19E-2</v>
      </c>
      <c r="HC190" s="472">
        <v>4.19E-2</v>
      </c>
      <c r="HD190" s="472">
        <v>4.19E-2</v>
      </c>
      <c r="HE190" s="472">
        <v>4.19E-2</v>
      </c>
      <c r="HF190" s="472">
        <v>4.19E-2</v>
      </c>
      <c r="HG190" s="472">
        <v>4.19E-2</v>
      </c>
      <c r="HH190" s="472">
        <v>4.19E-2</v>
      </c>
      <c r="HI190" s="472">
        <v>4.19E-2</v>
      </c>
      <c r="HJ190" s="472">
        <v>4.19E-2</v>
      </c>
      <c r="HK190" s="472">
        <v>4.19E-2</v>
      </c>
      <c r="HL190" s="472">
        <v>4.19E-2</v>
      </c>
      <c r="HM190" s="472">
        <v>4.19E-2</v>
      </c>
      <c r="HN190" s="472">
        <v>4.19E-2</v>
      </c>
      <c r="HO190" s="472">
        <v>4.19E-2</v>
      </c>
      <c r="HP190" s="473">
        <f t="shared" si="78"/>
        <v>0</v>
      </c>
      <c r="HQ190" s="1147"/>
    </row>
    <row r="191" spans="2:225">
      <c r="B191" s="1123" t="s">
        <v>16</v>
      </c>
      <c r="C191" s="730" t="s">
        <v>258</v>
      </c>
      <c r="D191" s="481">
        <v>2.8000000000000001E-2</v>
      </c>
      <c r="E191" s="481">
        <v>2.8000000000000001E-2</v>
      </c>
      <c r="F191" s="481">
        <v>2.8000000000000001E-2</v>
      </c>
      <c r="G191" s="481">
        <v>2.8000000000000001E-2</v>
      </c>
      <c r="H191" s="481">
        <v>2.8000000000000001E-2</v>
      </c>
      <c r="I191" s="481">
        <v>2.8000000000000001E-2</v>
      </c>
      <c r="J191" s="481">
        <v>2.8000000000000001E-2</v>
      </c>
      <c r="K191" s="481">
        <v>2.8000000000000001E-2</v>
      </c>
      <c r="L191" s="481">
        <v>2.8000000000000001E-2</v>
      </c>
      <c r="M191" s="480">
        <v>2.8000000000000001E-2</v>
      </c>
      <c r="N191" s="481">
        <v>2.9499999999999998E-2</v>
      </c>
      <c r="O191" s="481">
        <v>2.9499999999999998E-2</v>
      </c>
      <c r="P191" s="481">
        <v>2.9499999999999998E-2</v>
      </c>
      <c r="Q191" s="481">
        <v>2.9499999999999998E-2</v>
      </c>
      <c r="R191" s="481">
        <v>2.9499999999999998E-2</v>
      </c>
      <c r="S191" s="481">
        <v>2.9499999999999998E-2</v>
      </c>
      <c r="T191" s="481">
        <v>2.9499999999999998E-2</v>
      </c>
      <c r="U191" s="481">
        <v>2.9499999999999998E-2</v>
      </c>
      <c r="V191" s="481">
        <v>2.9500000000000002E-2</v>
      </c>
      <c r="W191" s="481">
        <v>2.9500000000000002E-2</v>
      </c>
      <c r="X191" s="481">
        <v>2.9500000000000002E-2</v>
      </c>
      <c r="Y191" s="481">
        <v>2.9500000000000002E-2</v>
      </c>
      <c r="Z191" s="480">
        <v>2.9500000000000002E-2</v>
      </c>
      <c r="AA191" s="481">
        <v>3.2000000000000001E-2</v>
      </c>
      <c r="AB191" s="481">
        <v>3.2000000000000001E-2</v>
      </c>
      <c r="AC191" s="480">
        <v>3.2000000000000001E-2</v>
      </c>
      <c r="AD191" s="481">
        <v>3.4000000000000002E-2</v>
      </c>
      <c r="AE191" s="481">
        <v>3.4000000000000002E-2</v>
      </c>
      <c r="AF191" s="480">
        <v>3.4000000000000002E-2</v>
      </c>
      <c r="AG191" s="481">
        <v>3.5499999999999997E-2</v>
      </c>
      <c r="AH191" s="481">
        <v>3.5499999999999997E-2</v>
      </c>
      <c r="AI191" s="481">
        <v>3.5499999999999997E-2</v>
      </c>
      <c r="AJ191" s="481">
        <v>3.5499999999999997E-2</v>
      </c>
      <c r="AK191" s="480">
        <v>3.5499999999999997E-2</v>
      </c>
      <c r="AL191" s="482">
        <v>0.04</v>
      </c>
      <c r="AM191" s="481">
        <v>0.04</v>
      </c>
      <c r="AN191" s="481">
        <v>0.04</v>
      </c>
      <c r="AO191" s="481">
        <v>0.04</v>
      </c>
      <c r="AP191" s="481">
        <v>0.04</v>
      </c>
      <c r="AQ191" s="481">
        <v>0.04</v>
      </c>
      <c r="AR191" s="481">
        <v>0.04</v>
      </c>
      <c r="AS191" s="481">
        <v>0.04</v>
      </c>
      <c r="AT191" s="481">
        <v>0.04</v>
      </c>
      <c r="AU191" s="481">
        <v>0.04</v>
      </c>
      <c r="AV191" s="482">
        <v>0.04</v>
      </c>
      <c r="AW191" s="482">
        <v>0.04</v>
      </c>
      <c r="AX191" s="482">
        <v>0.04</v>
      </c>
      <c r="AY191" s="482">
        <v>0.04</v>
      </c>
      <c r="AZ191" s="482">
        <v>0.04</v>
      </c>
      <c r="BA191" s="482">
        <v>0.04</v>
      </c>
      <c r="BB191" s="482">
        <v>0.04</v>
      </c>
      <c r="BC191" s="482">
        <v>0.04</v>
      </c>
      <c r="BD191" s="482">
        <v>0.04</v>
      </c>
      <c r="BE191" s="482">
        <v>0.04</v>
      </c>
      <c r="BF191" s="482">
        <v>0.04</v>
      </c>
      <c r="BG191" s="482">
        <v>0.04</v>
      </c>
      <c r="BH191" s="482">
        <v>0.04</v>
      </c>
      <c r="BI191" s="482">
        <v>0.04</v>
      </c>
      <c r="BJ191" s="482">
        <v>0.04</v>
      </c>
      <c r="BK191" s="482">
        <v>0.04</v>
      </c>
      <c r="BL191" s="482">
        <v>0.04</v>
      </c>
      <c r="BM191" s="482">
        <v>0.04</v>
      </c>
      <c r="BN191" s="482">
        <v>0.04</v>
      </c>
      <c r="BO191" s="482">
        <v>0.04</v>
      </c>
      <c r="BP191" s="482">
        <v>0.04</v>
      </c>
      <c r="BQ191" s="482">
        <v>0.04</v>
      </c>
      <c r="BR191" s="482">
        <v>0.04</v>
      </c>
      <c r="BS191" s="482">
        <v>0.04</v>
      </c>
      <c r="BT191" s="482">
        <v>0.04</v>
      </c>
      <c r="BU191" s="482">
        <v>0.04</v>
      </c>
      <c r="BV191" s="482">
        <v>0.04</v>
      </c>
      <c r="BW191" s="482">
        <v>0.04</v>
      </c>
      <c r="BX191" s="482">
        <v>0.04</v>
      </c>
      <c r="BY191" s="482">
        <v>4.0500000000000001E-2</v>
      </c>
      <c r="BZ191" s="482">
        <v>4.0500000000000001E-2</v>
      </c>
      <c r="CA191" s="482">
        <v>4.5499999999999999E-2</v>
      </c>
      <c r="CB191" s="482">
        <v>4.5499999999999999E-2</v>
      </c>
      <c r="CC191" s="482">
        <v>4.5499999999999999E-2</v>
      </c>
      <c r="CD191" s="482">
        <v>4.5499999999999999E-2</v>
      </c>
      <c r="CE191" s="482">
        <v>4.5499999999999999E-2</v>
      </c>
      <c r="CF191" s="482">
        <v>4.5499999999999999E-2</v>
      </c>
      <c r="CG191" s="482">
        <v>4.5499999999999999E-2</v>
      </c>
      <c r="CH191" s="482">
        <v>4.5499999999999999E-2</v>
      </c>
      <c r="CI191" s="482">
        <v>4.5499999999999999E-2</v>
      </c>
      <c r="CJ191" s="482">
        <v>4.5499999999999999E-2</v>
      </c>
      <c r="CK191" s="482">
        <v>4.5499999999999999E-2</v>
      </c>
      <c r="CL191" s="482">
        <v>4.5499999999999999E-2</v>
      </c>
      <c r="CM191" s="482">
        <v>4.5499999999999999E-2</v>
      </c>
      <c r="CN191" s="482">
        <v>4.5499999999999999E-2</v>
      </c>
      <c r="CO191" s="482">
        <v>4.5499999999999999E-2</v>
      </c>
      <c r="CP191" s="482">
        <v>4.5499999999999999E-2</v>
      </c>
      <c r="CQ191" s="482">
        <v>4.5499999999999999E-2</v>
      </c>
      <c r="CR191" s="482">
        <v>4.5499999999999999E-2</v>
      </c>
      <c r="CS191" s="482">
        <v>4.5499999999999999E-2</v>
      </c>
      <c r="CT191" s="482">
        <v>4.5499999999999999E-2</v>
      </c>
      <c r="CU191" s="482">
        <v>4.5499999999999999E-2</v>
      </c>
      <c r="CV191" s="482">
        <v>4.5499999999999999E-2</v>
      </c>
      <c r="CW191" s="482">
        <v>4.5499999999999999E-2</v>
      </c>
      <c r="CX191" s="482">
        <v>4.5499999999999999E-2</v>
      </c>
      <c r="CY191" s="482">
        <v>4.5499999999999999E-2</v>
      </c>
      <c r="CZ191" s="482">
        <v>4.5499999999999999E-2</v>
      </c>
      <c r="DA191" s="482">
        <v>4.5499999999999999E-2</v>
      </c>
      <c r="DB191" s="482">
        <v>4.5499999999999999E-2</v>
      </c>
      <c r="DC191" s="482">
        <v>4.5499999999999999E-2</v>
      </c>
      <c r="DD191" s="482">
        <v>4.5499999999999999E-2</v>
      </c>
      <c r="DE191" s="482">
        <v>4.5499999999999999E-2</v>
      </c>
      <c r="DF191" s="482">
        <v>4.5499999999999999E-2</v>
      </c>
      <c r="DG191" s="482">
        <v>4.5499999999999999E-2</v>
      </c>
      <c r="DH191" s="482">
        <v>4.5499999999999999E-2</v>
      </c>
      <c r="DI191" s="482">
        <v>4.5499999999999999E-2</v>
      </c>
      <c r="DJ191" s="482">
        <v>4.5499999999999999E-2</v>
      </c>
      <c r="DK191" s="482">
        <v>4.5499999999999999E-2</v>
      </c>
      <c r="DL191" s="482">
        <v>4.5499999999999999E-2</v>
      </c>
      <c r="DM191" s="482">
        <v>4.5499999999999999E-2</v>
      </c>
      <c r="DN191" s="482">
        <v>4.5499999999999999E-2</v>
      </c>
      <c r="DO191" s="482">
        <v>4.5499999999999999E-2</v>
      </c>
      <c r="DP191" s="482">
        <v>4.5499999999999999E-2</v>
      </c>
      <c r="DQ191" s="482">
        <v>4.5499999999999999E-2</v>
      </c>
      <c r="DR191" s="482">
        <v>4.5499999999999999E-2</v>
      </c>
      <c r="DS191" s="482">
        <v>4.5499999999999999E-2</v>
      </c>
      <c r="DT191" s="482">
        <v>4.5499999999999999E-2</v>
      </c>
      <c r="DU191" s="482">
        <v>4.5499999999999999E-2</v>
      </c>
      <c r="DV191" s="482">
        <v>4.5499999999999999E-2</v>
      </c>
      <c r="DW191" s="482">
        <v>4.5499999999999999E-2</v>
      </c>
      <c r="DX191" s="482">
        <v>4.5499999999999999E-2</v>
      </c>
      <c r="DY191" s="482">
        <v>4.5499999999999999E-2</v>
      </c>
      <c r="DZ191" s="482">
        <v>4.5499999999999999E-2</v>
      </c>
      <c r="EA191" s="482">
        <v>4.5499999999999999E-2</v>
      </c>
      <c r="EB191" s="482">
        <v>4.5499999999999999E-2</v>
      </c>
      <c r="EC191" s="482">
        <v>4.5499999999999999E-2</v>
      </c>
      <c r="ED191" s="482">
        <v>4.5499999999999999E-2</v>
      </c>
      <c r="EE191" s="482">
        <v>4.5499999999999999E-2</v>
      </c>
      <c r="EF191" s="482">
        <v>4.5499999999999999E-2</v>
      </c>
      <c r="EG191" s="482">
        <v>4.5499999999999999E-2</v>
      </c>
      <c r="EH191" s="482">
        <v>4.5499999999999999E-2</v>
      </c>
      <c r="EI191" s="482">
        <v>4.5499999999999999E-2</v>
      </c>
      <c r="EJ191" s="482">
        <v>4.5499999999999999E-2</v>
      </c>
      <c r="EK191" s="482">
        <v>4.5499999999999999E-2</v>
      </c>
      <c r="EL191" s="482">
        <v>4.5499999999999999E-2</v>
      </c>
      <c r="EM191" s="482">
        <v>4.5499999999999999E-2</v>
      </c>
      <c r="EN191" s="482">
        <v>4.5499999999999999E-2</v>
      </c>
      <c r="EO191" s="482">
        <v>4.5499999999999999E-2</v>
      </c>
      <c r="EP191" s="482">
        <v>4.5499999999999999E-2</v>
      </c>
      <c r="EQ191" s="482">
        <v>4.5499999999999999E-2</v>
      </c>
      <c r="ER191" s="482">
        <v>4.5499999999999999E-2</v>
      </c>
      <c r="ES191" s="482">
        <v>4.5499999999999999E-2</v>
      </c>
      <c r="ET191" s="482">
        <v>4.5499999999999999E-2</v>
      </c>
      <c r="EU191" s="482">
        <v>4.5499999999999999E-2</v>
      </c>
      <c r="EV191" s="482">
        <v>4.5499999999999999E-2</v>
      </c>
      <c r="EW191" s="482">
        <v>4.5499999999999999E-2</v>
      </c>
      <c r="EX191" s="482">
        <v>4.5499999999999999E-2</v>
      </c>
      <c r="EY191" s="482">
        <v>4.5499999999999999E-2</v>
      </c>
      <c r="EZ191" s="482">
        <v>4.5499999999999999E-2</v>
      </c>
      <c r="FA191" s="482">
        <v>4.5499999999999999E-2</v>
      </c>
      <c r="FB191" s="482">
        <v>4.5499999999999999E-2</v>
      </c>
      <c r="FC191" s="482">
        <v>4.5499999999999999E-2</v>
      </c>
      <c r="FD191" s="482">
        <v>4.5499999999999999E-2</v>
      </c>
      <c r="FE191" s="482">
        <v>4.5499999999999999E-2</v>
      </c>
      <c r="FF191" s="482">
        <v>4.5499999999999999E-2</v>
      </c>
      <c r="FG191" s="482">
        <v>4.5499999999999999E-2</v>
      </c>
      <c r="FH191" s="482">
        <v>4.5499999999999999E-2</v>
      </c>
      <c r="FI191" s="482">
        <v>4.5499999999999999E-2</v>
      </c>
      <c r="FJ191" s="482">
        <v>4.5499999999999999E-2</v>
      </c>
      <c r="FK191" s="482">
        <v>4.5499999999999999E-2</v>
      </c>
      <c r="FL191" s="482">
        <v>4.5499999999999999E-2</v>
      </c>
      <c r="FM191" s="482">
        <v>4.5499999999999999E-2</v>
      </c>
      <c r="FN191" s="482">
        <v>4.5499999999999999E-2</v>
      </c>
      <c r="FO191" s="482">
        <v>4.5499999999999999E-2</v>
      </c>
      <c r="FP191" s="482">
        <v>4.5499999999999999E-2</v>
      </c>
      <c r="FQ191" s="482">
        <v>4.5499999999999999E-2</v>
      </c>
      <c r="FR191" s="482">
        <v>4.5499999999999999E-2</v>
      </c>
      <c r="FS191" s="482">
        <v>4.5499999999999999E-2</v>
      </c>
      <c r="FT191" s="482">
        <v>4.5499999999999999E-2</v>
      </c>
      <c r="FU191" s="482">
        <v>4.5499999999999999E-2</v>
      </c>
      <c r="FV191" s="482">
        <v>4.5499999999999999E-2</v>
      </c>
      <c r="FW191" s="482">
        <v>4.5499999999999999E-2</v>
      </c>
      <c r="FX191" s="482">
        <v>4.5499999999999999E-2</v>
      </c>
      <c r="FY191" s="482">
        <v>4.5499999999999999E-2</v>
      </c>
      <c r="FZ191" s="482">
        <v>4.5499999999999999E-2</v>
      </c>
      <c r="GA191" s="482">
        <v>4.5499999999999999E-2</v>
      </c>
      <c r="GB191" s="482">
        <v>4.5499999999999999E-2</v>
      </c>
      <c r="GC191" s="482">
        <v>4.5499999999999999E-2</v>
      </c>
      <c r="GD191" s="477">
        <v>3.6999999999999998E-2</v>
      </c>
      <c r="GE191" s="477">
        <v>3.6999999999999998E-2</v>
      </c>
      <c r="GF191" s="477">
        <v>3.6999999999999998E-2</v>
      </c>
      <c r="GG191" s="477">
        <v>3.6999999999999998E-2</v>
      </c>
      <c r="GH191" s="477">
        <v>3.6999999999999998E-2</v>
      </c>
      <c r="GI191" s="477">
        <v>3.6999999999999998E-2</v>
      </c>
      <c r="GJ191" s="477">
        <v>3.6999999999999998E-2</v>
      </c>
      <c r="GK191" s="477">
        <v>3.6999999999999998E-2</v>
      </c>
      <c r="GL191" s="477">
        <v>3.6999999999999998E-2</v>
      </c>
      <c r="GM191" s="477">
        <v>3.6999999999999998E-2</v>
      </c>
      <c r="GN191" s="477">
        <v>3.6999999999999998E-2</v>
      </c>
      <c r="GO191" s="477">
        <v>3.6999999999999998E-2</v>
      </c>
      <c r="GP191" s="477">
        <v>3.6999999999999998E-2</v>
      </c>
      <c r="GQ191" s="477">
        <v>3.6999999999999998E-2</v>
      </c>
      <c r="GR191" s="477">
        <v>3.6999999999999998E-2</v>
      </c>
      <c r="GS191" s="477">
        <v>3.6999999999999998E-2</v>
      </c>
      <c r="GT191" s="477">
        <v>3.6999999999999998E-2</v>
      </c>
      <c r="GU191" s="477">
        <v>3.6999999999999998E-2</v>
      </c>
      <c r="GV191" s="477">
        <v>3.6999999999999998E-2</v>
      </c>
      <c r="GW191" s="477">
        <v>3.6999999999999998E-2</v>
      </c>
      <c r="GX191" s="477">
        <v>3.6999999999999998E-2</v>
      </c>
      <c r="GY191" s="477">
        <v>3.6999999999999998E-2</v>
      </c>
      <c r="GZ191" s="477">
        <v>3.6999999999999998E-2</v>
      </c>
      <c r="HA191" s="477">
        <v>3.6999999999999998E-2</v>
      </c>
      <c r="HB191" s="477">
        <v>3.6999999999999998E-2</v>
      </c>
      <c r="HC191" s="477">
        <v>3.6999999999999998E-2</v>
      </c>
      <c r="HD191" s="477">
        <v>3.6999999999999998E-2</v>
      </c>
      <c r="HE191" s="477">
        <v>3.6999999999999998E-2</v>
      </c>
      <c r="HF191" s="477">
        <v>3.6999999999999998E-2</v>
      </c>
      <c r="HG191" s="477">
        <v>3.6999999999999998E-2</v>
      </c>
      <c r="HH191" s="477">
        <v>3.6999999999999998E-2</v>
      </c>
      <c r="HI191" s="477">
        <v>3.6999999999999998E-2</v>
      </c>
      <c r="HJ191" s="477">
        <v>3.6999999999999998E-2</v>
      </c>
      <c r="HK191" s="477">
        <v>3.6999999999999998E-2</v>
      </c>
      <c r="HL191" s="477">
        <v>3.6999999999999998E-2</v>
      </c>
      <c r="HM191" s="477">
        <v>3.6999999999999998E-2</v>
      </c>
      <c r="HN191" s="477">
        <v>3.6999999999999998E-2</v>
      </c>
      <c r="HO191" s="477">
        <v>3.6999999999999998E-2</v>
      </c>
      <c r="HP191" s="473">
        <f t="shared" si="78"/>
        <v>0</v>
      </c>
      <c r="HQ191" s="1135"/>
    </row>
    <row r="192" spans="2:225">
      <c r="B192" s="1124"/>
      <c r="C192" s="730" t="s">
        <v>221</v>
      </c>
      <c r="D192" s="481">
        <v>2.8000000000000001E-2</v>
      </c>
      <c r="E192" s="481">
        <v>2.8000000000000001E-2</v>
      </c>
      <c r="F192" s="481">
        <v>2.8000000000000001E-2</v>
      </c>
      <c r="G192" s="481">
        <v>2.8000000000000001E-2</v>
      </c>
      <c r="H192" s="481">
        <v>2.8000000000000001E-2</v>
      </c>
      <c r="I192" s="481">
        <v>2.8000000000000001E-2</v>
      </c>
      <c r="J192" s="481">
        <v>2.8000000000000001E-2</v>
      </c>
      <c r="K192" s="481">
        <v>2.8000000000000001E-2</v>
      </c>
      <c r="L192" s="481">
        <v>2.8000000000000001E-2</v>
      </c>
      <c r="M192" s="480">
        <v>2.8000000000000001E-2</v>
      </c>
      <c r="N192" s="481">
        <v>0.03</v>
      </c>
      <c r="O192" s="481">
        <v>0.03</v>
      </c>
      <c r="P192" s="481">
        <v>0.03</v>
      </c>
      <c r="Q192" s="481">
        <v>0.03</v>
      </c>
      <c r="R192" s="481">
        <v>0.03</v>
      </c>
      <c r="S192" s="481">
        <v>0.03</v>
      </c>
      <c r="T192" s="481">
        <v>0.03</v>
      </c>
      <c r="U192" s="481">
        <v>0.03</v>
      </c>
      <c r="V192" s="481">
        <v>3.0000000000000002E-2</v>
      </c>
      <c r="W192" s="481">
        <v>3.0000000000000002E-2</v>
      </c>
      <c r="X192" s="481">
        <v>3.0000000000000002E-2</v>
      </c>
      <c r="Y192" s="481">
        <v>3.0000000000000002E-2</v>
      </c>
      <c r="Z192" s="480">
        <v>3.0000000000000002E-2</v>
      </c>
      <c r="AA192" s="481">
        <v>3.2500000000000001E-2</v>
      </c>
      <c r="AB192" s="481">
        <v>3.2500000000000001E-2</v>
      </c>
      <c r="AC192" s="480">
        <v>3.2500000000000001E-2</v>
      </c>
      <c r="AD192" s="481">
        <v>3.4500000000000003E-2</v>
      </c>
      <c r="AE192" s="481">
        <v>3.4500000000000003E-2</v>
      </c>
      <c r="AF192" s="480">
        <v>3.4500000000000003E-2</v>
      </c>
      <c r="AG192" s="481">
        <v>3.5999999999999997E-2</v>
      </c>
      <c r="AH192" s="481">
        <v>3.5999999999999997E-2</v>
      </c>
      <c r="AI192" s="481">
        <v>3.5999999999999997E-2</v>
      </c>
      <c r="AJ192" s="481">
        <v>3.5999999999999997E-2</v>
      </c>
      <c r="AK192" s="480">
        <v>3.5999999999999997E-2</v>
      </c>
      <c r="AL192" s="482">
        <v>4.0500000000000001E-2</v>
      </c>
      <c r="AM192" s="481">
        <v>4.0500000000000001E-2</v>
      </c>
      <c r="AN192" s="481">
        <v>4.0500000000000001E-2</v>
      </c>
      <c r="AO192" s="481">
        <v>4.0500000000000001E-2</v>
      </c>
      <c r="AP192" s="481">
        <v>4.0500000000000001E-2</v>
      </c>
      <c r="AQ192" s="481">
        <v>4.0500000000000001E-2</v>
      </c>
      <c r="AR192" s="481">
        <v>4.0500000000000001E-2</v>
      </c>
      <c r="AS192" s="481">
        <v>4.0500000000000001E-2</v>
      </c>
      <c r="AT192" s="481">
        <v>4.0500000000000001E-2</v>
      </c>
      <c r="AU192" s="481">
        <v>4.0500000000000001E-2</v>
      </c>
      <c r="AV192" s="482">
        <v>4.0500000000000001E-2</v>
      </c>
      <c r="AW192" s="482">
        <v>4.0500000000000001E-2</v>
      </c>
      <c r="AX192" s="482">
        <v>4.0500000000000001E-2</v>
      </c>
      <c r="AY192" s="482">
        <v>4.0500000000000001E-2</v>
      </c>
      <c r="AZ192" s="482">
        <v>4.0500000000000001E-2</v>
      </c>
      <c r="BA192" s="482">
        <v>4.0500000000000001E-2</v>
      </c>
      <c r="BB192" s="482">
        <v>4.0500000000000001E-2</v>
      </c>
      <c r="BC192" s="482">
        <v>4.0500000000000001E-2</v>
      </c>
      <c r="BD192" s="482">
        <v>4.0500000000000001E-2</v>
      </c>
      <c r="BE192" s="482">
        <v>4.0500000000000001E-2</v>
      </c>
      <c r="BF192" s="482">
        <v>4.0500000000000001E-2</v>
      </c>
      <c r="BG192" s="482">
        <v>4.0500000000000001E-2</v>
      </c>
      <c r="BH192" s="482">
        <v>4.0500000000000001E-2</v>
      </c>
      <c r="BI192" s="482">
        <v>4.0500000000000001E-2</v>
      </c>
      <c r="BJ192" s="482">
        <v>4.0500000000000001E-2</v>
      </c>
      <c r="BK192" s="482">
        <v>4.0500000000000001E-2</v>
      </c>
      <c r="BL192" s="482">
        <v>4.0500000000000001E-2</v>
      </c>
      <c r="BM192" s="482">
        <v>4.0500000000000001E-2</v>
      </c>
      <c r="BN192" s="482">
        <v>4.0500000000000001E-2</v>
      </c>
      <c r="BO192" s="482">
        <v>4.0500000000000001E-2</v>
      </c>
      <c r="BP192" s="482">
        <v>4.0500000000000001E-2</v>
      </c>
      <c r="BQ192" s="482">
        <v>4.0500000000000001E-2</v>
      </c>
      <c r="BR192" s="482">
        <v>4.0500000000000001E-2</v>
      </c>
      <c r="BS192" s="482">
        <v>4.0500000000000001E-2</v>
      </c>
      <c r="BT192" s="482">
        <v>4.0500000000000001E-2</v>
      </c>
      <c r="BU192" s="482">
        <v>4.0500000000000001E-2</v>
      </c>
      <c r="BV192" s="482">
        <v>4.0500000000000001E-2</v>
      </c>
      <c r="BW192" s="482">
        <v>4.0500000000000001E-2</v>
      </c>
      <c r="BX192" s="482">
        <v>4.0500000000000001E-2</v>
      </c>
      <c r="BY192" s="482">
        <v>4.1000000000000002E-2</v>
      </c>
      <c r="BZ192" s="482">
        <v>4.1000000000000002E-2</v>
      </c>
      <c r="CA192" s="482">
        <v>4.5999999999999999E-2</v>
      </c>
      <c r="CB192" s="482">
        <v>4.5999999999999999E-2</v>
      </c>
      <c r="CC192" s="482">
        <v>4.5999999999999999E-2</v>
      </c>
      <c r="CD192" s="482">
        <v>4.5999999999999999E-2</v>
      </c>
      <c r="CE192" s="482">
        <v>4.5999999999999999E-2</v>
      </c>
      <c r="CF192" s="482">
        <v>4.5999999999999999E-2</v>
      </c>
      <c r="CG192" s="482">
        <v>4.5999999999999999E-2</v>
      </c>
      <c r="CH192" s="482">
        <v>4.5999999999999999E-2</v>
      </c>
      <c r="CI192" s="482">
        <v>4.5999999999999999E-2</v>
      </c>
      <c r="CJ192" s="482">
        <v>4.5999999999999999E-2</v>
      </c>
      <c r="CK192" s="482">
        <v>4.5999999999999999E-2</v>
      </c>
      <c r="CL192" s="482">
        <v>4.5999999999999999E-2</v>
      </c>
      <c r="CM192" s="482">
        <v>4.5999999999999999E-2</v>
      </c>
      <c r="CN192" s="482">
        <v>4.5999999999999999E-2</v>
      </c>
      <c r="CO192" s="482">
        <v>4.5999999999999999E-2</v>
      </c>
      <c r="CP192" s="482">
        <v>4.5999999999999999E-2</v>
      </c>
      <c r="CQ192" s="482">
        <v>4.5999999999999999E-2</v>
      </c>
      <c r="CR192" s="482">
        <v>4.5999999999999999E-2</v>
      </c>
      <c r="CS192" s="482">
        <v>4.5999999999999999E-2</v>
      </c>
      <c r="CT192" s="482">
        <v>4.5999999999999999E-2</v>
      </c>
      <c r="CU192" s="482">
        <v>4.5999999999999999E-2</v>
      </c>
      <c r="CV192" s="482">
        <v>4.5999999999999999E-2</v>
      </c>
      <c r="CW192" s="482">
        <v>4.5999999999999999E-2</v>
      </c>
      <c r="CX192" s="482">
        <v>4.5999999999999999E-2</v>
      </c>
      <c r="CY192" s="482">
        <v>4.5999999999999999E-2</v>
      </c>
      <c r="CZ192" s="482">
        <v>4.5999999999999999E-2</v>
      </c>
      <c r="DA192" s="482">
        <v>4.5999999999999999E-2</v>
      </c>
      <c r="DB192" s="482">
        <v>4.5999999999999999E-2</v>
      </c>
      <c r="DC192" s="482">
        <v>4.5999999999999999E-2</v>
      </c>
      <c r="DD192" s="482">
        <v>4.5999999999999999E-2</v>
      </c>
      <c r="DE192" s="482">
        <v>4.5999999999999999E-2</v>
      </c>
      <c r="DF192" s="482">
        <v>4.5999999999999999E-2</v>
      </c>
      <c r="DG192" s="482">
        <v>4.5999999999999999E-2</v>
      </c>
      <c r="DH192" s="482">
        <v>4.5999999999999999E-2</v>
      </c>
      <c r="DI192" s="482">
        <v>4.5999999999999999E-2</v>
      </c>
      <c r="DJ192" s="482">
        <v>4.5999999999999999E-2</v>
      </c>
      <c r="DK192" s="482">
        <v>4.5999999999999999E-2</v>
      </c>
      <c r="DL192" s="482">
        <v>4.5999999999999999E-2</v>
      </c>
      <c r="DM192" s="482">
        <v>4.5999999999999999E-2</v>
      </c>
      <c r="DN192" s="482">
        <v>4.5999999999999999E-2</v>
      </c>
      <c r="DO192" s="482">
        <v>4.5999999999999999E-2</v>
      </c>
      <c r="DP192" s="482">
        <v>4.5999999999999999E-2</v>
      </c>
      <c r="DQ192" s="482">
        <v>4.5999999999999999E-2</v>
      </c>
      <c r="DR192" s="482">
        <v>4.5999999999999999E-2</v>
      </c>
      <c r="DS192" s="482">
        <v>4.5999999999999999E-2</v>
      </c>
      <c r="DT192" s="482">
        <v>4.5999999999999999E-2</v>
      </c>
      <c r="DU192" s="482">
        <v>4.5999999999999999E-2</v>
      </c>
      <c r="DV192" s="482">
        <v>4.5999999999999999E-2</v>
      </c>
      <c r="DW192" s="482">
        <v>4.5999999999999999E-2</v>
      </c>
      <c r="DX192" s="482">
        <v>4.5999999999999999E-2</v>
      </c>
      <c r="DY192" s="482">
        <v>4.5999999999999999E-2</v>
      </c>
      <c r="DZ192" s="482">
        <v>4.5999999999999999E-2</v>
      </c>
      <c r="EA192" s="482">
        <v>4.5999999999999999E-2</v>
      </c>
      <c r="EB192" s="482">
        <v>4.5999999999999999E-2</v>
      </c>
      <c r="EC192" s="482">
        <v>4.5999999999999999E-2</v>
      </c>
      <c r="ED192" s="482">
        <v>4.5999999999999999E-2</v>
      </c>
      <c r="EE192" s="482">
        <v>4.5999999999999999E-2</v>
      </c>
      <c r="EF192" s="482">
        <v>4.5999999999999999E-2</v>
      </c>
      <c r="EG192" s="482">
        <v>4.5999999999999999E-2</v>
      </c>
      <c r="EH192" s="482">
        <v>4.5999999999999999E-2</v>
      </c>
      <c r="EI192" s="482">
        <v>4.5999999999999999E-2</v>
      </c>
      <c r="EJ192" s="482">
        <v>4.5999999999999999E-2</v>
      </c>
      <c r="EK192" s="482">
        <v>4.5999999999999999E-2</v>
      </c>
      <c r="EL192" s="482">
        <v>4.5999999999999999E-2</v>
      </c>
      <c r="EM192" s="482">
        <v>4.5999999999999999E-2</v>
      </c>
      <c r="EN192" s="482">
        <v>4.5999999999999999E-2</v>
      </c>
      <c r="EO192" s="482">
        <v>4.5999999999999999E-2</v>
      </c>
      <c r="EP192" s="482">
        <v>4.5999999999999999E-2</v>
      </c>
      <c r="EQ192" s="482">
        <v>4.5999999999999999E-2</v>
      </c>
      <c r="ER192" s="482">
        <v>4.5999999999999999E-2</v>
      </c>
      <c r="ES192" s="482">
        <v>4.5999999999999999E-2</v>
      </c>
      <c r="ET192" s="482">
        <v>4.5999999999999999E-2</v>
      </c>
      <c r="EU192" s="482">
        <v>4.5999999999999999E-2</v>
      </c>
      <c r="EV192" s="482">
        <v>4.5999999999999999E-2</v>
      </c>
      <c r="EW192" s="482">
        <v>4.5999999999999999E-2</v>
      </c>
      <c r="EX192" s="482">
        <v>4.5999999999999999E-2</v>
      </c>
      <c r="EY192" s="482">
        <v>4.5999999999999999E-2</v>
      </c>
      <c r="EZ192" s="482">
        <v>4.5999999999999999E-2</v>
      </c>
      <c r="FA192" s="482">
        <v>4.5999999999999999E-2</v>
      </c>
      <c r="FB192" s="482">
        <v>4.5999999999999999E-2</v>
      </c>
      <c r="FC192" s="482">
        <v>4.5999999999999999E-2</v>
      </c>
      <c r="FD192" s="482">
        <v>4.5999999999999999E-2</v>
      </c>
      <c r="FE192" s="482">
        <v>4.5999999999999999E-2</v>
      </c>
      <c r="FF192" s="482">
        <v>4.5999999999999999E-2</v>
      </c>
      <c r="FG192" s="482">
        <v>4.5999999999999999E-2</v>
      </c>
      <c r="FH192" s="482">
        <v>4.5999999999999999E-2</v>
      </c>
      <c r="FI192" s="482">
        <v>4.5999999999999999E-2</v>
      </c>
      <c r="FJ192" s="482">
        <v>4.5999999999999999E-2</v>
      </c>
      <c r="FK192" s="482">
        <v>4.5999999999999999E-2</v>
      </c>
      <c r="FL192" s="482">
        <v>4.5999999999999999E-2</v>
      </c>
      <c r="FM192" s="482">
        <v>4.5999999999999999E-2</v>
      </c>
      <c r="FN192" s="482">
        <v>4.5999999999999999E-2</v>
      </c>
      <c r="FO192" s="482">
        <v>4.5999999999999999E-2</v>
      </c>
      <c r="FP192" s="482">
        <v>4.5999999999999999E-2</v>
      </c>
      <c r="FQ192" s="482">
        <v>4.5999999999999999E-2</v>
      </c>
      <c r="FR192" s="482">
        <v>4.5999999999999999E-2</v>
      </c>
      <c r="FS192" s="482">
        <v>4.5999999999999999E-2</v>
      </c>
      <c r="FT192" s="482">
        <v>4.5999999999999999E-2</v>
      </c>
      <c r="FU192" s="482">
        <v>4.5999999999999999E-2</v>
      </c>
      <c r="FV192" s="482">
        <v>4.5999999999999999E-2</v>
      </c>
      <c r="FW192" s="482">
        <v>4.5999999999999999E-2</v>
      </c>
      <c r="FX192" s="482">
        <v>4.5999999999999999E-2</v>
      </c>
      <c r="FY192" s="482">
        <v>4.5999999999999999E-2</v>
      </c>
      <c r="FZ192" s="482">
        <v>4.5999999999999999E-2</v>
      </c>
      <c r="GA192" s="482">
        <v>4.5999999999999999E-2</v>
      </c>
      <c r="GB192" s="482">
        <v>4.5999999999999999E-2</v>
      </c>
      <c r="GC192" s="482">
        <v>4.5999999999999999E-2</v>
      </c>
      <c r="GD192" s="477">
        <v>3.7499999999999999E-2</v>
      </c>
      <c r="GE192" s="477">
        <v>3.7499999999999999E-2</v>
      </c>
      <c r="GF192" s="477">
        <v>3.7499999999999999E-2</v>
      </c>
      <c r="GG192" s="477">
        <v>3.7499999999999999E-2</v>
      </c>
      <c r="GH192" s="477">
        <v>3.7499999999999999E-2</v>
      </c>
      <c r="GI192" s="477">
        <v>3.7499999999999999E-2</v>
      </c>
      <c r="GJ192" s="477">
        <v>3.7499999999999999E-2</v>
      </c>
      <c r="GK192" s="477">
        <v>3.7499999999999999E-2</v>
      </c>
      <c r="GL192" s="477">
        <v>3.7499999999999999E-2</v>
      </c>
      <c r="GM192" s="477">
        <v>3.7499999999999999E-2</v>
      </c>
      <c r="GN192" s="477">
        <v>3.7499999999999999E-2</v>
      </c>
      <c r="GO192" s="477">
        <v>3.7499999999999999E-2</v>
      </c>
      <c r="GP192" s="477">
        <v>3.7499999999999999E-2</v>
      </c>
      <c r="GQ192" s="477">
        <v>3.7499999999999999E-2</v>
      </c>
      <c r="GR192" s="477">
        <v>3.7499999999999999E-2</v>
      </c>
      <c r="GS192" s="477">
        <v>3.7499999999999999E-2</v>
      </c>
      <c r="GT192" s="477">
        <v>3.7499999999999999E-2</v>
      </c>
      <c r="GU192" s="477">
        <v>3.7499999999999999E-2</v>
      </c>
      <c r="GV192" s="477">
        <v>3.7499999999999999E-2</v>
      </c>
      <c r="GW192" s="477">
        <v>3.7499999999999999E-2</v>
      </c>
      <c r="GX192" s="477">
        <v>3.7499999999999999E-2</v>
      </c>
      <c r="GY192" s="477">
        <v>3.7499999999999999E-2</v>
      </c>
      <c r="GZ192" s="477">
        <v>3.7499999999999999E-2</v>
      </c>
      <c r="HA192" s="477">
        <v>3.7499999999999999E-2</v>
      </c>
      <c r="HB192" s="477">
        <v>3.7499999999999999E-2</v>
      </c>
      <c r="HC192" s="477">
        <v>3.7499999999999999E-2</v>
      </c>
      <c r="HD192" s="477">
        <v>3.7499999999999999E-2</v>
      </c>
      <c r="HE192" s="477">
        <v>3.7499999999999999E-2</v>
      </c>
      <c r="HF192" s="477">
        <v>3.7499999999999999E-2</v>
      </c>
      <c r="HG192" s="477">
        <v>3.7499999999999999E-2</v>
      </c>
      <c r="HH192" s="477">
        <v>3.7499999999999999E-2</v>
      </c>
      <c r="HI192" s="477">
        <v>3.7499999999999999E-2</v>
      </c>
      <c r="HJ192" s="477">
        <v>3.7499999999999999E-2</v>
      </c>
      <c r="HK192" s="477">
        <v>3.7499999999999999E-2</v>
      </c>
      <c r="HL192" s="477">
        <v>3.7499999999999999E-2</v>
      </c>
      <c r="HM192" s="477">
        <v>3.7499999999999999E-2</v>
      </c>
      <c r="HN192" s="477">
        <v>3.7499999999999999E-2</v>
      </c>
      <c r="HO192" s="477">
        <v>3.7499999999999999E-2</v>
      </c>
      <c r="HP192" s="473">
        <f t="shared" si="78"/>
        <v>0</v>
      </c>
      <c r="HQ192" s="1136"/>
    </row>
    <row r="193" spans="2:225">
      <c r="B193" s="1125"/>
      <c r="C193" s="730" t="s">
        <v>257</v>
      </c>
      <c r="D193" s="481">
        <v>2.9000000000000001E-2</v>
      </c>
      <c r="E193" s="481">
        <v>2.9000000000000001E-2</v>
      </c>
      <c r="F193" s="481">
        <v>2.9000000000000001E-2</v>
      </c>
      <c r="G193" s="481">
        <v>2.9000000000000001E-2</v>
      </c>
      <c r="H193" s="481">
        <v>2.9000000000000001E-2</v>
      </c>
      <c r="I193" s="481">
        <v>2.9000000000000001E-2</v>
      </c>
      <c r="J193" s="481">
        <v>2.9000000000000001E-2</v>
      </c>
      <c r="K193" s="481">
        <v>2.9000000000000001E-2</v>
      </c>
      <c r="L193" s="481">
        <v>2.9000000000000001E-2</v>
      </c>
      <c r="M193" s="480">
        <v>2.9000000000000001E-2</v>
      </c>
      <c r="N193" s="481">
        <v>3.0499999999999999E-2</v>
      </c>
      <c r="O193" s="481">
        <v>3.0499999999999999E-2</v>
      </c>
      <c r="P193" s="481">
        <v>3.0499999999999999E-2</v>
      </c>
      <c r="Q193" s="481">
        <v>3.0499999999999999E-2</v>
      </c>
      <c r="R193" s="481">
        <v>3.0499999999999999E-2</v>
      </c>
      <c r="S193" s="481">
        <v>3.0499999999999999E-2</v>
      </c>
      <c r="T193" s="481">
        <v>3.0499999999999999E-2</v>
      </c>
      <c r="U193" s="481">
        <v>3.0499999999999999E-2</v>
      </c>
      <c r="V193" s="481">
        <v>3.0500000000000003E-2</v>
      </c>
      <c r="W193" s="481">
        <v>3.0500000000000003E-2</v>
      </c>
      <c r="X193" s="481">
        <v>3.0500000000000003E-2</v>
      </c>
      <c r="Y193" s="481">
        <v>3.0500000000000003E-2</v>
      </c>
      <c r="Z193" s="480">
        <v>3.0500000000000003E-2</v>
      </c>
      <c r="AA193" s="481">
        <v>3.3000000000000002E-2</v>
      </c>
      <c r="AB193" s="481">
        <v>3.3000000000000002E-2</v>
      </c>
      <c r="AC193" s="480">
        <v>3.3000000000000002E-2</v>
      </c>
      <c r="AD193" s="481">
        <v>3.5000000000000003E-2</v>
      </c>
      <c r="AE193" s="481">
        <v>3.5000000000000003E-2</v>
      </c>
      <c r="AF193" s="480">
        <v>3.5000000000000003E-2</v>
      </c>
      <c r="AG193" s="481">
        <v>3.6499999999999998E-2</v>
      </c>
      <c r="AH193" s="481">
        <v>3.6499999999999998E-2</v>
      </c>
      <c r="AI193" s="481">
        <v>3.6499999999999998E-2</v>
      </c>
      <c r="AJ193" s="481">
        <v>3.6499999999999998E-2</v>
      </c>
      <c r="AK193" s="480">
        <v>3.6499999999999998E-2</v>
      </c>
      <c r="AL193" s="482">
        <v>4.1000000000000002E-2</v>
      </c>
      <c r="AM193" s="481">
        <v>4.1000000000000002E-2</v>
      </c>
      <c r="AN193" s="481">
        <v>4.1000000000000002E-2</v>
      </c>
      <c r="AO193" s="481">
        <v>4.1000000000000002E-2</v>
      </c>
      <c r="AP193" s="481">
        <v>4.1000000000000002E-2</v>
      </c>
      <c r="AQ193" s="481">
        <v>4.1000000000000002E-2</v>
      </c>
      <c r="AR193" s="481">
        <v>4.1000000000000002E-2</v>
      </c>
      <c r="AS193" s="481">
        <v>4.1000000000000002E-2</v>
      </c>
      <c r="AT193" s="481">
        <v>4.1000000000000002E-2</v>
      </c>
      <c r="AU193" s="481">
        <v>4.1000000000000002E-2</v>
      </c>
      <c r="AV193" s="482">
        <v>4.1000000000000002E-2</v>
      </c>
      <c r="AW193" s="482">
        <v>4.1000000000000002E-2</v>
      </c>
      <c r="AX193" s="482">
        <v>4.1000000000000002E-2</v>
      </c>
      <c r="AY193" s="482">
        <v>4.1000000000000002E-2</v>
      </c>
      <c r="AZ193" s="482">
        <v>4.1000000000000002E-2</v>
      </c>
      <c r="BA193" s="482">
        <v>4.1000000000000002E-2</v>
      </c>
      <c r="BB193" s="482">
        <v>4.1000000000000002E-2</v>
      </c>
      <c r="BC193" s="482">
        <v>4.1000000000000002E-2</v>
      </c>
      <c r="BD193" s="482">
        <v>4.1000000000000002E-2</v>
      </c>
      <c r="BE193" s="482">
        <v>4.1000000000000002E-2</v>
      </c>
      <c r="BF193" s="482">
        <v>4.1000000000000002E-2</v>
      </c>
      <c r="BG193" s="482">
        <v>4.1000000000000002E-2</v>
      </c>
      <c r="BH193" s="482">
        <v>4.1000000000000002E-2</v>
      </c>
      <c r="BI193" s="482">
        <v>4.1000000000000002E-2</v>
      </c>
      <c r="BJ193" s="482">
        <v>4.1000000000000002E-2</v>
      </c>
      <c r="BK193" s="482">
        <v>4.1000000000000002E-2</v>
      </c>
      <c r="BL193" s="482">
        <v>4.1000000000000002E-2</v>
      </c>
      <c r="BM193" s="482">
        <v>4.1000000000000002E-2</v>
      </c>
      <c r="BN193" s="482">
        <v>4.1000000000000002E-2</v>
      </c>
      <c r="BO193" s="482">
        <v>4.1000000000000002E-2</v>
      </c>
      <c r="BP193" s="482">
        <v>4.1000000000000002E-2</v>
      </c>
      <c r="BQ193" s="482">
        <v>4.1000000000000002E-2</v>
      </c>
      <c r="BR193" s="482">
        <v>4.1000000000000002E-2</v>
      </c>
      <c r="BS193" s="482">
        <v>4.1000000000000002E-2</v>
      </c>
      <c r="BT193" s="482">
        <v>4.1000000000000002E-2</v>
      </c>
      <c r="BU193" s="482">
        <v>4.1000000000000002E-2</v>
      </c>
      <c r="BV193" s="482">
        <v>4.1000000000000002E-2</v>
      </c>
      <c r="BW193" s="482">
        <v>4.1000000000000002E-2</v>
      </c>
      <c r="BX193" s="482">
        <v>4.1000000000000002E-2</v>
      </c>
      <c r="BY193" s="482">
        <v>4.1500000000000002E-2</v>
      </c>
      <c r="BZ193" s="482">
        <v>4.1500000000000002E-2</v>
      </c>
      <c r="CA193" s="482">
        <v>4.5999999999999999E-2</v>
      </c>
      <c r="CB193" s="482">
        <v>4.5999999999999999E-2</v>
      </c>
      <c r="CC193" s="482">
        <v>4.5999999999999999E-2</v>
      </c>
      <c r="CD193" s="482">
        <v>4.5999999999999999E-2</v>
      </c>
      <c r="CE193" s="482">
        <v>4.5999999999999999E-2</v>
      </c>
      <c r="CF193" s="482">
        <v>4.5999999999999999E-2</v>
      </c>
      <c r="CG193" s="482">
        <v>4.5999999999999999E-2</v>
      </c>
      <c r="CH193" s="482">
        <v>4.5999999999999999E-2</v>
      </c>
      <c r="CI193" s="482">
        <v>4.5999999999999999E-2</v>
      </c>
      <c r="CJ193" s="482">
        <v>4.5999999999999999E-2</v>
      </c>
      <c r="CK193" s="482">
        <v>4.5999999999999999E-2</v>
      </c>
      <c r="CL193" s="482">
        <v>4.5999999999999999E-2</v>
      </c>
      <c r="CM193" s="482">
        <v>4.5999999999999999E-2</v>
      </c>
      <c r="CN193" s="482">
        <v>4.5999999999999999E-2</v>
      </c>
      <c r="CO193" s="482">
        <v>4.5999999999999999E-2</v>
      </c>
      <c r="CP193" s="482">
        <v>4.5999999999999999E-2</v>
      </c>
      <c r="CQ193" s="482">
        <v>4.5999999999999999E-2</v>
      </c>
      <c r="CR193" s="482">
        <v>4.5999999999999999E-2</v>
      </c>
      <c r="CS193" s="482">
        <v>4.5999999999999999E-2</v>
      </c>
      <c r="CT193" s="482">
        <v>4.5999999999999999E-2</v>
      </c>
      <c r="CU193" s="482">
        <v>4.5999999999999999E-2</v>
      </c>
      <c r="CV193" s="482">
        <v>4.5999999999999999E-2</v>
      </c>
      <c r="CW193" s="482">
        <v>4.5999999999999999E-2</v>
      </c>
      <c r="CX193" s="482">
        <v>4.5999999999999999E-2</v>
      </c>
      <c r="CY193" s="482">
        <v>4.5999999999999999E-2</v>
      </c>
      <c r="CZ193" s="482">
        <v>4.5999999999999999E-2</v>
      </c>
      <c r="DA193" s="482">
        <v>4.5999999999999999E-2</v>
      </c>
      <c r="DB193" s="482">
        <v>4.5999999999999999E-2</v>
      </c>
      <c r="DC193" s="482">
        <v>4.5999999999999999E-2</v>
      </c>
      <c r="DD193" s="482">
        <v>4.5999999999999999E-2</v>
      </c>
      <c r="DE193" s="482">
        <v>4.5999999999999999E-2</v>
      </c>
      <c r="DF193" s="482">
        <v>4.5999999999999999E-2</v>
      </c>
      <c r="DG193" s="482">
        <v>4.5999999999999999E-2</v>
      </c>
      <c r="DH193" s="482">
        <v>4.5999999999999999E-2</v>
      </c>
      <c r="DI193" s="482">
        <v>4.5999999999999999E-2</v>
      </c>
      <c r="DJ193" s="482">
        <v>4.5999999999999999E-2</v>
      </c>
      <c r="DK193" s="482">
        <v>4.5999999999999999E-2</v>
      </c>
      <c r="DL193" s="482">
        <v>4.65E-2</v>
      </c>
      <c r="DM193" s="482">
        <v>4.65E-2</v>
      </c>
      <c r="DN193" s="482">
        <v>4.65E-2</v>
      </c>
      <c r="DO193" s="482">
        <v>4.65E-2</v>
      </c>
      <c r="DP193" s="482">
        <v>4.65E-2</v>
      </c>
      <c r="DQ193" s="482">
        <v>4.65E-2</v>
      </c>
      <c r="DR193" s="482">
        <v>4.65E-2</v>
      </c>
      <c r="DS193" s="482">
        <v>4.65E-2</v>
      </c>
      <c r="DT193" s="482">
        <v>4.65E-2</v>
      </c>
      <c r="DU193" s="482">
        <v>4.65E-2</v>
      </c>
      <c r="DV193" s="482">
        <v>4.65E-2</v>
      </c>
      <c r="DW193" s="482">
        <v>4.65E-2</v>
      </c>
      <c r="DX193" s="482">
        <v>4.65E-2</v>
      </c>
      <c r="DY193" s="482">
        <v>4.65E-2</v>
      </c>
      <c r="DZ193" s="482">
        <v>4.65E-2</v>
      </c>
      <c r="EA193" s="482">
        <v>4.65E-2</v>
      </c>
      <c r="EB193" s="482">
        <v>4.65E-2</v>
      </c>
      <c r="EC193" s="482">
        <v>4.65E-2</v>
      </c>
      <c r="ED193" s="482">
        <v>4.65E-2</v>
      </c>
      <c r="EE193" s="482">
        <v>4.65E-2</v>
      </c>
      <c r="EF193" s="482">
        <v>4.65E-2</v>
      </c>
      <c r="EG193" s="482">
        <v>4.65E-2</v>
      </c>
      <c r="EH193" s="482">
        <v>4.65E-2</v>
      </c>
      <c r="EI193" s="482">
        <v>4.65E-2</v>
      </c>
      <c r="EJ193" s="482">
        <v>4.65E-2</v>
      </c>
      <c r="EK193" s="482">
        <v>4.65E-2</v>
      </c>
      <c r="EL193" s="482">
        <v>4.65E-2</v>
      </c>
      <c r="EM193" s="482">
        <v>4.65E-2</v>
      </c>
      <c r="EN193" s="482">
        <v>4.65E-2</v>
      </c>
      <c r="EO193" s="482">
        <v>4.65E-2</v>
      </c>
      <c r="EP193" s="482">
        <v>4.65E-2</v>
      </c>
      <c r="EQ193" s="482">
        <v>4.65E-2</v>
      </c>
      <c r="ER193" s="482">
        <v>4.65E-2</v>
      </c>
      <c r="ES193" s="482">
        <v>4.65E-2</v>
      </c>
      <c r="ET193" s="482">
        <v>4.65E-2</v>
      </c>
      <c r="EU193" s="482">
        <v>4.65E-2</v>
      </c>
      <c r="EV193" s="482">
        <v>4.65E-2</v>
      </c>
      <c r="EW193" s="482">
        <v>4.65E-2</v>
      </c>
      <c r="EX193" s="482">
        <v>4.65E-2</v>
      </c>
      <c r="EY193" s="482">
        <v>4.65E-2</v>
      </c>
      <c r="EZ193" s="482">
        <v>4.65E-2</v>
      </c>
      <c r="FA193" s="482">
        <v>4.65E-2</v>
      </c>
      <c r="FB193" s="482">
        <v>4.65E-2</v>
      </c>
      <c r="FC193" s="482">
        <v>4.65E-2</v>
      </c>
      <c r="FD193" s="482">
        <v>4.65E-2</v>
      </c>
      <c r="FE193" s="482">
        <v>4.65E-2</v>
      </c>
      <c r="FF193" s="482">
        <v>4.65E-2</v>
      </c>
      <c r="FG193" s="482">
        <v>4.65E-2</v>
      </c>
      <c r="FH193" s="482">
        <v>4.65E-2</v>
      </c>
      <c r="FI193" s="482">
        <v>4.65E-2</v>
      </c>
      <c r="FJ193" s="482">
        <v>4.65E-2</v>
      </c>
      <c r="FK193" s="482">
        <v>4.65E-2</v>
      </c>
      <c r="FL193" s="482">
        <v>4.65E-2</v>
      </c>
      <c r="FM193" s="482">
        <v>4.65E-2</v>
      </c>
      <c r="FN193" s="482">
        <v>4.65E-2</v>
      </c>
      <c r="FO193" s="482">
        <v>4.65E-2</v>
      </c>
      <c r="FP193" s="482">
        <v>4.65E-2</v>
      </c>
      <c r="FQ193" s="482">
        <v>4.65E-2</v>
      </c>
      <c r="FR193" s="482">
        <v>4.65E-2</v>
      </c>
      <c r="FS193" s="482">
        <v>4.65E-2</v>
      </c>
      <c r="FT193" s="482">
        <v>4.65E-2</v>
      </c>
      <c r="FU193" s="482">
        <v>4.65E-2</v>
      </c>
      <c r="FV193" s="482">
        <v>4.65E-2</v>
      </c>
      <c r="FW193" s="482">
        <v>4.65E-2</v>
      </c>
      <c r="FX193" s="482">
        <v>4.65E-2</v>
      </c>
      <c r="FY193" s="482">
        <v>4.65E-2</v>
      </c>
      <c r="FZ193" s="482">
        <v>4.65E-2</v>
      </c>
      <c r="GA193" s="482">
        <v>4.65E-2</v>
      </c>
      <c r="GB193" s="482">
        <v>4.65E-2</v>
      </c>
      <c r="GC193" s="482">
        <v>4.65E-2</v>
      </c>
      <c r="GD193" s="477">
        <v>3.7999999999999999E-2</v>
      </c>
      <c r="GE193" s="477">
        <v>3.7999999999999999E-2</v>
      </c>
      <c r="GF193" s="477">
        <v>3.7999999999999999E-2</v>
      </c>
      <c r="GG193" s="477">
        <v>3.7999999999999999E-2</v>
      </c>
      <c r="GH193" s="477">
        <v>3.7999999999999999E-2</v>
      </c>
      <c r="GI193" s="477">
        <v>3.7999999999999999E-2</v>
      </c>
      <c r="GJ193" s="477">
        <v>3.7999999999999999E-2</v>
      </c>
      <c r="GK193" s="477">
        <v>3.7999999999999999E-2</v>
      </c>
      <c r="GL193" s="477">
        <v>3.7999999999999999E-2</v>
      </c>
      <c r="GM193" s="477">
        <v>3.7999999999999999E-2</v>
      </c>
      <c r="GN193" s="477">
        <v>3.7999999999999999E-2</v>
      </c>
      <c r="GO193" s="477">
        <v>3.7999999999999999E-2</v>
      </c>
      <c r="GP193" s="477">
        <v>3.7999999999999999E-2</v>
      </c>
      <c r="GQ193" s="477">
        <v>3.7999999999999999E-2</v>
      </c>
      <c r="GR193" s="477">
        <v>3.7999999999999999E-2</v>
      </c>
      <c r="GS193" s="477">
        <v>3.7999999999999999E-2</v>
      </c>
      <c r="GT193" s="477">
        <v>3.7999999999999999E-2</v>
      </c>
      <c r="GU193" s="477">
        <v>3.7999999999999999E-2</v>
      </c>
      <c r="GV193" s="477">
        <v>3.7999999999999999E-2</v>
      </c>
      <c r="GW193" s="477">
        <v>3.7999999999999999E-2</v>
      </c>
      <c r="GX193" s="477">
        <v>3.7999999999999999E-2</v>
      </c>
      <c r="GY193" s="477">
        <v>3.7999999999999999E-2</v>
      </c>
      <c r="GZ193" s="477">
        <v>3.7999999999999999E-2</v>
      </c>
      <c r="HA193" s="477">
        <v>3.7999999999999999E-2</v>
      </c>
      <c r="HB193" s="477">
        <v>3.7999999999999999E-2</v>
      </c>
      <c r="HC193" s="477">
        <v>3.7999999999999999E-2</v>
      </c>
      <c r="HD193" s="477">
        <v>3.7999999999999999E-2</v>
      </c>
      <c r="HE193" s="477">
        <v>3.7999999999999999E-2</v>
      </c>
      <c r="HF193" s="477">
        <v>3.7999999999999999E-2</v>
      </c>
      <c r="HG193" s="477">
        <v>3.7999999999999999E-2</v>
      </c>
      <c r="HH193" s="477">
        <v>3.7999999999999999E-2</v>
      </c>
      <c r="HI193" s="477">
        <v>3.7999999999999999E-2</v>
      </c>
      <c r="HJ193" s="477">
        <v>3.7999999999999999E-2</v>
      </c>
      <c r="HK193" s="477">
        <v>3.7999999999999999E-2</v>
      </c>
      <c r="HL193" s="477">
        <v>3.7999999999999999E-2</v>
      </c>
      <c r="HM193" s="477">
        <v>3.7999999999999999E-2</v>
      </c>
      <c r="HN193" s="477">
        <v>3.7999999999999999E-2</v>
      </c>
      <c r="HO193" s="477">
        <v>3.7999999999999999E-2</v>
      </c>
      <c r="HP193" s="473">
        <f t="shared" si="78"/>
        <v>0</v>
      </c>
      <c r="HQ193" s="1137"/>
    </row>
    <row r="194" spans="2:225">
      <c r="B194" s="1126" t="s">
        <v>20</v>
      </c>
      <c r="C194" s="732" t="s">
        <v>256</v>
      </c>
      <c r="D194" s="588">
        <v>2.5499999999999998E-2</v>
      </c>
      <c r="E194" s="588">
        <v>2.5499999999999998E-2</v>
      </c>
      <c r="F194" s="588">
        <v>2.5000000000000001E-2</v>
      </c>
      <c r="G194" s="624">
        <v>2.4500000000000001E-2</v>
      </c>
      <c r="H194" s="588">
        <v>2.4500000000000001E-2</v>
      </c>
      <c r="I194" s="588">
        <v>3.2500000000000001E-2</v>
      </c>
      <c r="J194" s="624">
        <v>2.5000000000000001E-2</v>
      </c>
      <c r="K194" s="624">
        <v>2.5000000000000001E-2</v>
      </c>
      <c r="L194" s="588">
        <v>2.5000000000000001E-2</v>
      </c>
      <c r="M194" s="588">
        <v>2.5499999999999998E-2</v>
      </c>
      <c r="N194" s="588">
        <v>2.5999999999999999E-2</v>
      </c>
      <c r="O194" s="624">
        <v>2.7E-2</v>
      </c>
      <c r="P194" s="588">
        <v>2.7E-2</v>
      </c>
      <c r="Q194" s="588">
        <v>2.7300000000000001E-2</v>
      </c>
      <c r="R194" s="624">
        <v>2.75E-2</v>
      </c>
      <c r="S194" s="624">
        <v>2.75E-2</v>
      </c>
      <c r="T194" s="587">
        <v>2.75E-2</v>
      </c>
      <c r="U194" s="587">
        <v>2.75E-2</v>
      </c>
      <c r="V194" s="588">
        <v>2.75E-2</v>
      </c>
      <c r="W194" s="470">
        <v>2.7E-2</v>
      </c>
      <c r="X194" s="471">
        <v>2.75E-2</v>
      </c>
      <c r="Y194" s="470">
        <v>2.75E-2</v>
      </c>
      <c r="Z194" s="471">
        <v>2.8000000000000001E-2</v>
      </c>
      <c r="AA194" s="471">
        <v>2.8000000000000001E-2</v>
      </c>
      <c r="AB194" s="471">
        <v>2.8000000000000001E-2</v>
      </c>
      <c r="AC194" s="470">
        <v>2.8000000000000001E-2</v>
      </c>
      <c r="AD194" s="471">
        <v>2.9499999999999998E-2</v>
      </c>
      <c r="AE194" s="471">
        <v>2.9499999999999998E-2</v>
      </c>
      <c r="AF194" s="471">
        <v>2.9499999999999998E-2</v>
      </c>
      <c r="AG194" s="471">
        <v>2.9499999999999998E-2</v>
      </c>
      <c r="AH194" s="471">
        <v>2.9499999999999998E-2</v>
      </c>
      <c r="AI194" s="470">
        <v>2.9499999999999998E-2</v>
      </c>
      <c r="AJ194" s="471">
        <v>3.0499999999999999E-2</v>
      </c>
      <c r="AK194" s="470">
        <v>3.0499999999999999E-2</v>
      </c>
      <c r="AL194" s="472">
        <v>3.15E-2</v>
      </c>
      <c r="AM194" s="470">
        <v>3.15E-2</v>
      </c>
      <c r="AN194" s="471">
        <v>3.2500000000000001E-2</v>
      </c>
      <c r="AO194" s="471">
        <v>3.2500000000000001E-2</v>
      </c>
      <c r="AP194" s="471">
        <v>3.2500000000000001E-2</v>
      </c>
      <c r="AQ194" s="471">
        <v>3.2500000000000001E-2</v>
      </c>
      <c r="AR194" s="471">
        <v>3.2500000000000001E-2</v>
      </c>
      <c r="AS194" s="471">
        <v>3.2500000000000001E-2</v>
      </c>
      <c r="AT194" s="470">
        <v>3.2500000000000001E-2</v>
      </c>
      <c r="AU194" s="471">
        <v>3.2399999999999998E-2</v>
      </c>
      <c r="AV194" s="470">
        <v>3.2000000000000001E-2</v>
      </c>
      <c r="AW194" s="472">
        <v>3.3000000000000002E-2</v>
      </c>
      <c r="AX194" s="472">
        <v>3.3000000000000002E-2</v>
      </c>
      <c r="AY194" s="472">
        <v>3.3000000000000002E-2</v>
      </c>
      <c r="AZ194" s="472">
        <v>3.3000000000000002E-2</v>
      </c>
      <c r="BA194" s="472">
        <v>3.3000000000000002E-2</v>
      </c>
      <c r="BB194" s="472">
        <v>3.3000000000000002E-2</v>
      </c>
      <c r="BC194" s="472">
        <v>3.3000000000000002E-2</v>
      </c>
      <c r="BD194" s="472">
        <v>3.3000000000000002E-2</v>
      </c>
      <c r="BE194" s="472">
        <v>3.3000000000000002E-2</v>
      </c>
      <c r="BF194" s="472">
        <v>3.3000000000000002E-2</v>
      </c>
      <c r="BG194" s="472">
        <v>3.3000000000000002E-2</v>
      </c>
      <c r="BH194" s="472">
        <v>3.4500000000000003E-2</v>
      </c>
      <c r="BI194" s="472">
        <v>3.4500000000000003E-2</v>
      </c>
      <c r="BJ194" s="472">
        <v>3.4500000000000003E-2</v>
      </c>
      <c r="BK194" s="472">
        <v>3.4500000000000003E-2</v>
      </c>
      <c r="BL194" s="472">
        <v>3.4500000000000003E-2</v>
      </c>
      <c r="BM194" s="472">
        <v>3.4500000000000003E-2</v>
      </c>
      <c r="BN194" s="472">
        <v>3.4500000000000003E-2</v>
      </c>
      <c r="BO194" s="472">
        <v>3.4500000000000003E-2</v>
      </c>
      <c r="BP194" s="472">
        <v>3.4500000000000003E-2</v>
      </c>
      <c r="BQ194" s="472">
        <v>3.4500000000000003E-2</v>
      </c>
      <c r="BR194" s="472">
        <v>3.3000000000000002E-2</v>
      </c>
      <c r="BS194" s="472">
        <v>3.3000000000000002E-2</v>
      </c>
      <c r="BT194" s="472">
        <v>3.3000000000000002E-2</v>
      </c>
      <c r="BU194" s="472">
        <v>3.3000000000000002E-2</v>
      </c>
      <c r="BV194" s="472">
        <v>3.3000000000000002E-2</v>
      </c>
      <c r="BW194" s="472">
        <v>3.3000000000000002E-2</v>
      </c>
      <c r="BX194" s="472">
        <v>3.2000000000000001E-2</v>
      </c>
      <c r="BY194" s="472">
        <v>3.0800000000000001E-2</v>
      </c>
      <c r="BZ194" s="472">
        <v>3.0499999999999999E-2</v>
      </c>
      <c r="CA194" s="472">
        <v>3.1600000000000003E-2</v>
      </c>
      <c r="CB194" s="472">
        <v>3.2000000000000001E-2</v>
      </c>
      <c r="CC194" s="472">
        <v>3.4000000000000002E-2</v>
      </c>
      <c r="CD194" s="472">
        <v>3.4000000000000002E-2</v>
      </c>
      <c r="CE194" s="472">
        <v>3.4700000000000002E-2</v>
      </c>
      <c r="CF194" s="472">
        <v>3.4700000000000002E-2</v>
      </c>
      <c r="CG194" s="472">
        <v>3.4700000000000002E-2</v>
      </c>
      <c r="CH194" s="482"/>
      <c r="CI194" s="482"/>
      <c r="CJ194" s="482"/>
      <c r="CK194" s="482"/>
      <c r="CL194" s="482"/>
      <c r="CM194" s="482"/>
      <c r="CN194" s="482"/>
      <c r="CO194" s="482"/>
      <c r="CP194" s="482"/>
      <c r="CQ194" s="482"/>
      <c r="CR194" s="482"/>
      <c r="CS194" s="482"/>
      <c r="CT194" s="482"/>
      <c r="CU194" s="482"/>
      <c r="CV194" s="482"/>
      <c r="CW194" s="482"/>
      <c r="CX194" s="482"/>
      <c r="CY194" s="482"/>
      <c r="CZ194" s="482"/>
      <c r="DA194" s="482"/>
      <c r="DB194" s="482"/>
      <c r="DC194" s="482"/>
      <c r="DD194" s="482"/>
      <c r="DE194" s="482"/>
      <c r="DF194" s="482"/>
      <c r="DG194" s="482"/>
      <c r="DH194" s="482"/>
      <c r="DI194" s="482"/>
      <c r="DJ194" s="482"/>
      <c r="DK194" s="482"/>
      <c r="DL194" s="482"/>
      <c r="DM194" s="482"/>
      <c r="DN194" s="482"/>
      <c r="DO194" s="482"/>
      <c r="DP194" s="482"/>
      <c r="DQ194" s="482"/>
      <c r="DR194" s="482"/>
      <c r="DS194" s="482"/>
      <c r="DT194" s="482"/>
      <c r="DU194" s="482"/>
      <c r="DV194" s="482"/>
      <c r="DW194" s="482"/>
      <c r="DX194" s="482"/>
      <c r="DY194" s="482"/>
      <c r="DZ194" s="482"/>
      <c r="EA194" s="482"/>
      <c r="EB194" s="482"/>
      <c r="EC194" s="482"/>
      <c r="ED194" s="482"/>
      <c r="EE194" s="482"/>
      <c r="EF194" s="482"/>
      <c r="EG194" s="482"/>
      <c r="EH194" s="482"/>
      <c r="EI194" s="482"/>
      <c r="EJ194" s="482"/>
      <c r="EK194" s="482"/>
      <c r="EL194" s="482"/>
      <c r="EM194" s="482"/>
      <c r="EN194" s="482"/>
      <c r="EO194" s="482"/>
      <c r="EP194" s="482"/>
      <c r="EQ194" s="482"/>
      <c r="ER194" s="482"/>
      <c r="ES194" s="482"/>
      <c r="ET194" s="482"/>
      <c r="EU194" s="482"/>
      <c r="EV194" s="482"/>
      <c r="EW194" s="482"/>
      <c r="EX194" s="482"/>
      <c r="EY194" s="482"/>
      <c r="EZ194" s="482"/>
      <c r="FA194" s="482"/>
      <c r="FB194" s="482"/>
      <c r="FC194" s="482"/>
      <c r="FD194" s="482"/>
      <c r="FE194" s="482"/>
      <c r="FF194" s="482"/>
      <c r="FG194" s="482"/>
      <c r="FH194" s="482"/>
      <c r="FI194" s="482"/>
      <c r="FJ194" s="482"/>
      <c r="FK194" s="482"/>
      <c r="FL194" s="482"/>
      <c r="FM194" s="482"/>
      <c r="FN194" s="482"/>
      <c r="FO194" s="482"/>
      <c r="FP194" s="482"/>
      <c r="FQ194" s="482"/>
      <c r="FR194" s="482"/>
      <c r="FS194" s="482"/>
      <c r="FT194" s="482"/>
      <c r="FU194" s="482"/>
      <c r="FV194" s="482"/>
      <c r="FW194" s="482"/>
      <c r="FX194" s="482"/>
      <c r="FY194" s="482"/>
      <c r="FZ194" s="482"/>
      <c r="GA194" s="482"/>
      <c r="GB194" s="482"/>
      <c r="GC194" s="482"/>
      <c r="GD194" s="477"/>
      <c r="GE194" s="477"/>
      <c r="GF194" s="477"/>
      <c r="GG194" s="477"/>
      <c r="GH194" s="477"/>
      <c r="GI194" s="477"/>
      <c r="GJ194" s="477"/>
      <c r="GK194" s="477"/>
      <c r="GL194" s="477"/>
      <c r="GM194" s="477"/>
      <c r="GN194" s="477"/>
      <c r="GO194" s="477"/>
      <c r="GP194" s="477"/>
      <c r="GQ194" s="477"/>
      <c r="GR194" s="477"/>
      <c r="GS194" s="477"/>
      <c r="GT194" s="477"/>
      <c r="GU194" s="477"/>
      <c r="GV194" s="477"/>
      <c r="GW194" s="477"/>
      <c r="GX194" s="477"/>
      <c r="GY194" s="477"/>
      <c r="GZ194" s="477"/>
      <c r="HA194" s="477"/>
      <c r="HB194" s="477"/>
      <c r="HC194" s="477"/>
      <c r="HD194" s="477"/>
      <c r="HE194" s="477"/>
      <c r="HF194" s="477"/>
      <c r="HG194" s="477"/>
      <c r="HH194" s="477"/>
      <c r="HI194" s="477"/>
      <c r="HJ194" s="477"/>
      <c r="HK194" s="477"/>
      <c r="HL194" s="477"/>
      <c r="HM194" s="477"/>
      <c r="HN194" s="477"/>
      <c r="HO194" s="477"/>
      <c r="HP194" s="473">
        <f t="shared" si="78"/>
        <v>0</v>
      </c>
      <c r="HQ194" s="498"/>
    </row>
    <row r="195" spans="2:225">
      <c r="B195" s="1127"/>
      <c r="C195" s="732" t="s">
        <v>255</v>
      </c>
      <c r="D195" s="588">
        <v>2.5499999999999998E-2</v>
      </c>
      <c r="E195" s="588">
        <v>2.5499999999999998E-2</v>
      </c>
      <c r="F195" s="588">
        <v>2.5000000000000001E-2</v>
      </c>
      <c r="G195" s="624">
        <v>2.4500000000000001E-2</v>
      </c>
      <c r="H195" s="588">
        <v>2.4500000000000001E-2</v>
      </c>
      <c r="I195" s="588">
        <v>3.2500000000000001E-2</v>
      </c>
      <c r="J195" s="624">
        <v>2.5000000000000001E-2</v>
      </c>
      <c r="K195" s="624">
        <v>2.5000000000000001E-2</v>
      </c>
      <c r="L195" s="588">
        <v>2.5000000000000001E-2</v>
      </c>
      <c r="M195" s="588">
        <v>2.5499999999999998E-2</v>
      </c>
      <c r="N195" s="588">
        <v>2.5999999999999999E-2</v>
      </c>
      <c r="O195" s="624">
        <v>2.7E-2</v>
      </c>
      <c r="P195" s="588">
        <v>2.7E-2</v>
      </c>
      <c r="Q195" s="588">
        <v>2.7300000000000001E-2</v>
      </c>
      <c r="R195" s="624">
        <v>2.75E-2</v>
      </c>
      <c r="S195" s="624">
        <v>2.75E-2</v>
      </c>
      <c r="T195" s="587">
        <v>2.75E-2</v>
      </c>
      <c r="U195" s="587">
        <v>2.75E-2</v>
      </c>
      <c r="V195" s="588">
        <v>2.75E-2</v>
      </c>
      <c r="W195" s="470">
        <v>2.7E-2</v>
      </c>
      <c r="X195" s="471">
        <v>2.75E-2</v>
      </c>
      <c r="Y195" s="470">
        <v>2.75E-2</v>
      </c>
      <c r="Z195" s="471">
        <v>2.8000000000000001E-2</v>
      </c>
      <c r="AA195" s="471">
        <v>2.8000000000000001E-2</v>
      </c>
      <c r="AB195" s="471">
        <v>2.8000000000000001E-2</v>
      </c>
      <c r="AC195" s="470">
        <v>2.8000000000000001E-2</v>
      </c>
      <c r="AD195" s="471">
        <v>2.9499999999999998E-2</v>
      </c>
      <c r="AE195" s="471">
        <v>2.9499999999999998E-2</v>
      </c>
      <c r="AF195" s="471">
        <v>2.9499999999999998E-2</v>
      </c>
      <c r="AG195" s="471">
        <v>2.9499999999999998E-2</v>
      </c>
      <c r="AH195" s="471">
        <v>2.9499999999999998E-2</v>
      </c>
      <c r="AI195" s="470">
        <v>2.9499999999999998E-2</v>
      </c>
      <c r="AJ195" s="471">
        <v>3.0499999999999999E-2</v>
      </c>
      <c r="AK195" s="470">
        <v>3.0499999999999999E-2</v>
      </c>
      <c r="AL195" s="472">
        <v>3.15E-2</v>
      </c>
      <c r="AM195" s="470">
        <v>3.15E-2</v>
      </c>
      <c r="AN195" s="471">
        <v>3.2500000000000001E-2</v>
      </c>
      <c r="AO195" s="471">
        <v>3.2500000000000001E-2</v>
      </c>
      <c r="AP195" s="471">
        <v>3.2500000000000001E-2</v>
      </c>
      <c r="AQ195" s="471">
        <v>3.2500000000000001E-2</v>
      </c>
      <c r="AR195" s="471">
        <v>3.2500000000000001E-2</v>
      </c>
      <c r="AS195" s="471">
        <v>3.2500000000000001E-2</v>
      </c>
      <c r="AT195" s="470">
        <v>3.2500000000000001E-2</v>
      </c>
      <c r="AU195" s="471">
        <v>3.2399999999999998E-2</v>
      </c>
      <c r="AV195" s="470">
        <v>3.2000000000000001E-2</v>
      </c>
      <c r="AW195" s="472">
        <v>3.3000000000000002E-2</v>
      </c>
      <c r="AX195" s="472">
        <v>3.3000000000000002E-2</v>
      </c>
      <c r="AY195" s="472">
        <v>3.3000000000000002E-2</v>
      </c>
      <c r="AZ195" s="472">
        <v>3.3000000000000002E-2</v>
      </c>
      <c r="BA195" s="472">
        <v>3.3000000000000002E-2</v>
      </c>
      <c r="BB195" s="472">
        <v>3.3000000000000002E-2</v>
      </c>
      <c r="BC195" s="472">
        <v>3.3000000000000002E-2</v>
      </c>
      <c r="BD195" s="472">
        <v>3.3000000000000002E-2</v>
      </c>
      <c r="BE195" s="472">
        <v>3.3000000000000002E-2</v>
      </c>
      <c r="BF195" s="472">
        <v>3.3000000000000002E-2</v>
      </c>
      <c r="BG195" s="472">
        <v>3.3000000000000002E-2</v>
      </c>
      <c r="BH195" s="472">
        <v>3.4500000000000003E-2</v>
      </c>
      <c r="BI195" s="472">
        <v>3.4500000000000003E-2</v>
      </c>
      <c r="BJ195" s="472">
        <v>3.4500000000000003E-2</v>
      </c>
      <c r="BK195" s="472">
        <v>3.4500000000000003E-2</v>
      </c>
      <c r="BL195" s="472">
        <v>3.4500000000000003E-2</v>
      </c>
      <c r="BM195" s="472">
        <v>3.4500000000000003E-2</v>
      </c>
      <c r="BN195" s="472">
        <v>3.4500000000000003E-2</v>
      </c>
      <c r="BO195" s="472">
        <v>3.4500000000000003E-2</v>
      </c>
      <c r="BP195" s="472">
        <v>3.4500000000000003E-2</v>
      </c>
      <c r="BQ195" s="472">
        <v>3.4500000000000003E-2</v>
      </c>
      <c r="BR195" s="472">
        <v>3.3000000000000002E-2</v>
      </c>
      <c r="BS195" s="472">
        <v>3.3000000000000002E-2</v>
      </c>
      <c r="BT195" s="472">
        <v>3.3000000000000002E-2</v>
      </c>
      <c r="BU195" s="472">
        <v>3.3000000000000002E-2</v>
      </c>
      <c r="BV195" s="472">
        <v>3.3000000000000002E-2</v>
      </c>
      <c r="BW195" s="472">
        <v>3.3000000000000002E-2</v>
      </c>
      <c r="BX195" s="472">
        <v>3.2000000000000001E-2</v>
      </c>
      <c r="BY195" s="472">
        <v>3.0800000000000001E-2</v>
      </c>
      <c r="BZ195" s="472">
        <v>3.0499999999999999E-2</v>
      </c>
      <c r="CA195" s="472">
        <v>3.1600000000000003E-2</v>
      </c>
      <c r="CB195" s="472">
        <v>3.2000000000000001E-2</v>
      </c>
      <c r="CC195" s="472">
        <v>3.4000000000000002E-2</v>
      </c>
      <c r="CD195" s="472">
        <v>3.4000000000000002E-2</v>
      </c>
      <c r="CE195" s="472">
        <v>3.4700000000000002E-2</v>
      </c>
      <c r="CF195" s="472">
        <v>3.4700000000000002E-2</v>
      </c>
      <c r="CG195" s="472">
        <v>3.4700000000000002E-2</v>
      </c>
      <c r="CH195" s="482"/>
      <c r="CI195" s="482"/>
      <c r="CJ195" s="482"/>
      <c r="CK195" s="482"/>
      <c r="CL195" s="482"/>
      <c r="CM195" s="482"/>
      <c r="CN195" s="482"/>
      <c r="CO195" s="482"/>
      <c r="CP195" s="482"/>
      <c r="CQ195" s="482"/>
      <c r="CR195" s="482"/>
      <c r="CS195" s="482"/>
      <c r="CT195" s="482"/>
      <c r="CU195" s="482"/>
      <c r="CV195" s="482"/>
      <c r="CW195" s="482"/>
      <c r="CX195" s="482"/>
      <c r="CY195" s="482"/>
      <c r="CZ195" s="482"/>
      <c r="DA195" s="482"/>
      <c r="DB195" s="482"/>
      <c r="DC195" s="482"/>
      <c r="DD195" s="482"/>
      <c r="DE195" s="482"/>
      <c r="DF195" s="482"/>
      <c r="DG195" s="482"/>
      <c r="DH195" s="482"/>
      <c r="DI195" s="482"/>
      <c r="DJ195" s="482"/>
      <c r="DK195" s="482"/>
      <c r="DL195" s="482"/>
      <c r="DM195" s="482"/>
      <c r="DN195" s="482"/>
      <c r="DO195" s="482"/>
      <c r="DP195" s="482"/>
      <c r="DQ195" s="482"/>
      <c r="DR195" s="482"/>
      <c r="DS195" s="482"/>
      <c r="DT195" s="482"/>
      <c r="DU195" s="482"/>
      <c r="DV195" s="482"/>
      <c r="DW195" s="482"/>
      <c r="DX195" s="482"/>
      <c r="DY195" s="482"/>
      <c r="DZ195" s="482"/>
      <c r="EA195" s="482"/>
      <c r="EB195" s="482"/>
      <c r="EC195" s="482"/>
      <c r="ED195" s="482"/>
      <c r="EE195" s="482"/>
      <c r="EF195" s="482"/>
      <c r="EG195" s="482"/>
      <c r="EH195" s="482"/>
      <c r="EI195" s="482"/>
      <c r="EJ195" s="482"/>
      <c r="EK195" s="482"/>
      <c r="EL195" s="482"/>
      <c r="EM195" s="482"/>
      <c r="EN195" s="482"/>
      <c r="EO195" s="482"/>
      <c r="EP195" s="482"/>
      <c r="EQ195" s="482"/>
      <c r="ER195" s="482"/>
      <c r="ES195" s="482"/>
      <c r="ET195" s="482"/>
      <c r="EU195" s="482"/>
      <c r="EV195" s="482"/>
      <c r="EW195" s="482"/>
      <c r="EX195" s="482"/>
      <c r="EY195" s="482"/>
      <c r="EZ195" s="482"/>
      <c r="FA195" s="482"/>
      <c r="FB195" s="482"/>
      <c r="FC195" s="482"/>
      <c r="FD195" s="482"/>
      <c r="FE195" s="482"/>
      <c r="FF195" s="482"/>
      <c r="FG195" s="482"/>
      <c r="FH195" s="482"/>
      <c r="FI195" s="482"/>
      <c r="FJ195" s="482"/>
      <c r="FK195" s="482"/>
      <c r="FL195" s="482"/>
      <c r="FM195" s="482"/>
      <c r="FN195" s="482"/>
      <c r="FO195" s="482"/>
      <c r="FP195" s="482"/>
      <c r="FQ195" s="482"/>
      <c r="FR195" s="482"/>
      <c r="FS195" s="482"/>
      <c r="FT195" s="482"/>
      <c r="FU195" s="482"/>
      <c r="FV195" s="482"/>
      <c r="FW195" s="482"/>
      <c r="FX195" s="482"/>
      <c r="FY195" s="482"/>
      <c r="FZ195" s="482"/>
      <c r="GA195" s="482"/>
      <c r="GB195" s="482"/>
      <c r="GC195" s="482"/>
      <c r="GD195" s="477"/>
      <c r="GE195" s="477"/>
      <c r="GF195" s="477"/>
      <c r="GG195" s="477"/>
      <c r="GH195" s="477"/>
      <c r="GI195" s="477"/>
      <c r="GJ195" s="477"/>
      <c r="GK195" s="477"/>
      <c r="GL195" s="477"/>
      <c r="GM195" s="477"/>
      <c r="GN195" s="477"/>
      <c r="GO195" s="477"/>
      <c r="GP195" s="477"/>
      <c r="GQ195" s="477"/>
      <c r="GR195" s="477"/>
      <c r="GS195" s="477"/>
      <c r="GT195" s="477"/>
      <c r="GU195" s="477"/>
      <c r="GV195" s="477"/>
      <c r="GW195" s="477"/>
      <c r="GX195" s="477"/>
      <c r="GY195" s="477"/>
      <c r="GZ195" s="477"/>
      <c r="HA195" s="477"/>
      <c r="HB195" s="477"/>
      <c r="HC195" s="477"/>
      <c r="HD195" s="477"/>
      <c r="HE195" s="477"/>
      <c r="HF195" s="477"/>
      <c r="HG195" s="477"/>
      <c r="HH195" s="477"/>
      <c r="HI195" s="477"/>
      <c r="HJ195" s="477"/>
      <c r="HK195" s="477"/>
      <c r="HL195" s="477"/>
      <c r="HM195" s="477"/>
      <c r="HN195" s="477"/>
      <c r="HO195" s="477"/>
      <c r="HP195" s="473">
        <f t="shared" si="78"/>
        <v>0</v>
      </c>
      <c r="HQ195" s="498"/>
    </row>
    <row r="196" spans="2:225">
      <c r="B196" s="1127"/>
      <c r="C196" s="732" t="s">
        <v>254</v>
      </c>
      <c r="D196" s="588">
        <v>2.5999999999999999E-2</v>
      </c>
      <c r="E196" s="588">
        <v>2.5999999999999999E-2</v>
      </c>
      <c r="F196" s="588">
        <v>2.5499999999999998E-2</v>
      </c>
      <c r="G196" s="624">
        <v>2.5000000000000001E-2</v>
      </c>
      <c r="H196" s="588">
        <v>2.5000000000000001E-2</v>
      </c>
      <c r="I196" s="588">
        <v>3.3000000000000002E-2</v>
      </c>
      <c r="J196" s="624">
        <v>2.5499999999999998E-2</v>
      </c>
      <c r="K196" s="624">
        <v>2.5499999999999998E-2</v>
      </c>
      <c r="L196" s="588">
        <v>2.5499999999999998E-2</v>
      </c>
      <c r="M196" s="588">
        <v>2.5999999999999999E-2</v>
      </c>
      <c r="N196" s="588">
        <v>2.6499999999999999E-2</v>
      </c>
      <c r="O196" s="624">
        <v>2.75E-2</v>
      </c>
      <c r="P196" s="588">
        <v>2.75E-2</v>
      </c>
      <c r="Q196" s="588">
        <v>2.7799999999999998E-2</v>
      </c>
      <c r="R196" s="624">
        <v>2.8000000000000001E-2</v>
      </c>
      <c r="S196" s="624">
        <v>2.8000000000000001E-2</v>
      </c>
      <c r="T196" s="587">
        <v>2.8000000000000001E-2</v>
      </c>
      <c r="U196" s="587">
        <v>2.8000000000000001E-2</v>
      </c>
      <c r="V196" s="588">
        <v>2.8000000000000001E-2</v>
      </c>
      <c r="W196" s="470">
        <v>2.75E-2</v>
      </c>
      <c r="X196" s="471">
        <v>2.8000000000000001E-2</v>
      </c>
      <c r="Y196" s="470">
        <v>2.8000000000000001E-2</v>
      </c>
      <c r="Z196" s="471">
        <v>2.8500000000000001E-2</v>
      </c>
      <c r="AA196" s="471">
        <v>2.8500000000000001E-2</v>
      </c>
      <c r="AB196" s="471">
        <v>2.8500000000000001E-2</v>
      </c>
      <c r="AC196" s="470">
        <v>2.8500000000000001E-2</v>
      </c>
      <c r="AD196" s="471">
        <v>0.03</v>
      </c>
      <c r="AE196" s="471">
        <v>0.03</v>
      </c>
      <c r="AF196" s="471">
        <v>0.03</v>
      </c>
      <c r="AG196" s="471">
        <v>0.03</v>
      </c>
      <c r="AH196" s="471">
        <v>0.03</v>
      </c>
      <c r="AI196" s="470">
        <v>0.03</v>
      </c>
      <c r="AJ196" s="471">
        <v>3.1E-2</v>
      </c>
      <c r="AK196" s="470">
        <v>3.1E-2</v>
      </c>
      <c r="AL196" s="472">
        <v>3.2000000000000001E-2</v>
      </c>
      <c r="AM196" s="470">
        <v>3.2000000000000001E-2</v>
      </c>
      <c r="AN196" s="471">
        <v>3.3000000000000002E-2</v>
      </c>
      <c r="AO196" s="471">
        <v>3.3000000000000002E-2</v>
      </c>
      <c r="AP196" s="471">
        <v>3.3000000000000002E-2</v>
      </c>
      <c r="AQ196" s="471">
        <v>3.3000000000000002E-2</v>
      </c>
      <c r="AR196" s="471">
        <v>3.3000000000000002E-2</v>
      </c>
      <c r="AS196" s="471">
        <v>3.3000000000000002E-2</v>
      </c>
      <c r="AT196" s="470">
        <v>3.3000000000000002E-2</v>
      </c>
      <c r="AU196" s="471">
        <v>3.2899999999999999E-2</v>
      </c>
      <c r="AV196" s="470">
        <v>3.2500000000000001E-2</v>
      </c>
      <c r="AW196" s="472">
        <v>3.3500000000000002E-2</v>
      </c>
      <c r="AX196" s="472">
        <v>3.3500000000000002E-2</v>
      </c>
      <c r="AY196" s="472">
        <v>3.3500000000000002E-2</v>
      </c>
      <c r="AZ196" s="472">
        <v>3.3500000000000002E-2</v>
      </c>
      <c r="BA196" s="472">
        <v>3.3500000000000002E-2</v>
      </c>
      <c r="BB196" s="472">
        <v>3.3500000000000002E-2</v>
      </c>
      <c r="BC196" s="472">
        <v>3.3500000000000002E-2</v>
      </c>
      <c r="BD196" s="472">
        <v>3.3500000000000002E-2</v>
      </c>
      <c r="BE196" s="472">
        <v>3.3500000000000002E-2</v>
      </c>
      <c r="BF196" s="472">
        <v>3.3500000000000002E-2</v>
      </c>
      <c r="BG196" s="472">
        <v>3.3500000000000002E-2</v>
      </c>
      <c r="BH196" s="472">
        <v>3.5000000000000003E-2</v>
      </c>
      <c r="BI196" s="472">
        <v>3.5000000000000003E-2</v>
      </c>
      <c r="BJ196" s="472">
        <v>3.5000000000000003E-2</v>
      </c>
      <c r="BK196" s="472">
        <v>3.5000000000000003E-2</v>
      </c>
      <c r="BL196" s="472">
        <v>3.5000000000000003E-2</v>
      </c>
      <c r="BM196" s="472">
        <v>3.5000000000000003E-2</v>
      </c>
      <c r="BN196" s="472">
        <v>3.5000000000000003E-2</v>
      </c>
      <c r="BO196" s="472">
        <v>3.5000000000000003E-2</v>
      </c>
      <c r="BP196" s="472">
        <v>3.5000000000000003E-2</v>
      </c>
      <c r="BQ196" s="472">
        <v>3.5000000000000003E-2</v>
      </c>
      <c r="BR196" s="472">
        <v>3.3500000000000002E-2</v>
      </c>
      <c r="BS196" s="472">
        <v>3.3500000000000002E-2</v>
      </c>
      <c r="BT196" s="472">
        <v>3.3500000000000002E-2</v>
      </c>
      <c r="BU196" s="472">
        <v>3.3500000000000002E-2</v>
      </c>
      <c r="BV196" s="472">
        <v>3.3500000000000002E-2</v>
      </c>
      <c r="BW196" s="472">
        <v>3.3500000000000002E-2</v>
      </c>
      <c r="BX196" s="472">
        <v>3.2500000000000001E-2</v>
      </c>
      <c r="BY196" s="472">
        <v>3.1300000000000001E-2</v>
      </c>
      <c r="BZ196" s="472">
        <v>3.1E-2</v>
      </c>
      <c r="CA196" s="472">
        <v>3.2099999999999997E-2</v>
      </c>
      <c r="CB196" s="472">
        <v>3.2500000000000001E-2</v>
      </c>
      <c r="CC196" s="472">
        <v>3.4500000000000003E-2</v>
      </c>
      <c r="CD196" s="472">
        <v>3.4500000000000003E-2</v>
      </c>
      <c r="CE196" s="472">
        <v>3.5200000000000002E-2</v>
      </c>
      <c r="CF196" s="472">
        <v>3.5200000000000002E-2</v>
      </c>
      <c r="CG196" s="472">
        <v>3.5200000000000002E-2</v>
      </c>
      <c r="CH196" s="482"/>
      <c r="CI196" s="482"/>
      <c r="CJ196" s="482"/>
      <c r="CK196" s="482"/>
      <c r="CL196" s="482"/>
      <c r="CM196" s="482"/>
      <c r="CN196" s="482"/>
      <c r="CO196" s="482"/>
      <c r="CP196" s="482"/>
      <c r="CQ196" s="482"/>
      <c r="CR196" s="482"/>
      <c r="CS196" s="482"/>
      <c r="CT196" s="482"/>
      <c r="CU196" s="482"/>
      <c r="CV196" s="482"/>
      <c r="CW196" s="482"/>
      <c r="CX196" s="482"/>
      <c r="CY196" s="482"/>
      <c r="CZ196" s="482"/>
      <c r="DA196" s="482"/>
      <c r="DB196" s="482"/>
      <c r="DC196" s="482"/>
      <c r="DD196" s="482"/>
      <c r="DE196" s="482"/>
      <c r="DF196" s="482"/>
      <c r="DG196" s="482"/>
      <c r="DH196" s="482"/>
      <c r="DI196" s="482"/>
      <c r="DJ196" s="482"/>
      <c r="DK196" s="482"/>
      <c r="DL196" s="482"/>
      <c r="DM196" s="482"/>
      <c r="DN196" s="482"/>
      <c r="DO196" s="482"/>
      <c r="DP196" s="482"/>
      <c r="DQ196" s="482"/>
      <c r="DR196" s="482"/>
      <c r="DS196" s="482"/>
      <c r="DT196" s="482"/>
      <c r="DU196" s="482"/>
      <c r="DV196" s="482"/>
      <c r="DW196" s="482"/>
      <c r="DX196" s="482"/>
      <c r="DY196" s="482"/>
      <c r="DZ196" s="482"/>
      <c r="EA196" s="482"/>
      <c r="EB196" s="482"/>
      <c r="EC196" s="482"/>
      <c r="ED196" s="482"/>
      <c r="EE196" s="482"/>
      <c r="EF196" s="482"/>
      <c r="EG196" s="482"/>
      <c r="EH196" s="482"/>
      <c r="EI196" s="482"/>
      <c r="EJ196" s="482"/>
      <c r="EK196" s="482"/>
      <c r="EL196" s="482"/>
      <c r="EM196" s="482"/>
      <c r="EN196" s="482"/>
      <c r="EO196" s="482"/>
      <c r="EP196" s="482"/>
      <c r="EQ196" s="482"/>
      <c r="ER196" s="482"/>
      <c r="ES196" s="482"/>
      <c r="ET196" s="482"/>
      <c r="EU196" s="482"/>
      <c r="EV196" s="482"/>
      <c r="EW196" s="482"/>
      <c r="EX196" s="482"/>
      <c r="EY196" s="482"/>
      <c r="EZ196" s="482"/>
      <c r="FA196" s="482"/>
      <c r="FB196" s="482"/>
      <c r="FC196" s="482"/>
      <c r="FD196" s="482"/>
      <c r="FE196" s="482"/>
      <c r="FF196" s="482"/>
      <c r="FG196" s="482"/>
      <c r="FH196" s="482"/>
      <c r="FI196" s="482"/>
      <c r="FJ196" s="482"/>
      <c r="FK196" s="482"/>
      <c r="FL196" s="482"/>
      <c r="FM196" s="482"/>
      <c r="FN196" s="482"/>
      <c r="FO196" s="482"/>
      <c r="FP196" s="482"/>
      <c r="FQ196" s="482"/>
      <c r="FR196" s="482"/>
      <c r="FS196" s="482"/>
      <c r="FT196" s="482"/>
      <c r="FU196" s="482"/>
      <c r="FV196" s="482"/>
      <c r="FW196" s="482"/>
      <c r="FX196" s="482"/>
      <c r="FY196" s="482"/>
      <c r="FZ196" s="482"/>
      <c r="GA196" s="482"/>
      <c r="GB196" s="482"/>
      <c r="GC196" s="482"/>
      <c r="GD196" s="477"/>
      <c r="GE196" s="477"/>
      <c r="GF196" s="477"/>
      <c r="GG196" s="477"/>
      <c r="GH196" s="477"/>
      <c r="GI196" s="477"/>
      <c r="GJ196" s="477"/>
      <c r="GK196" s="477"/>
      <c r="GL196" s="477"/>
      <c r="GM196" s="477"/>
      <c r="GN196" s="477"/>
      <c r="GO196" s="477"/>
      <c r="GP196" s="477"/>
      <c r="GQ196" s="477"/>
      <c r="GR196" s="477"/>
      <c r="GS196" s="477"/>
      <c r="GT196" s="477"/>
      <c r="GU196" s="477"/>
      <c r="GV196" s="477"/>
      <c r="GW196" s="477"/>
      <c r="GX196" s="477"/>
      <c r="GY196" s="477"/>
      <c r="GZ196" s="477"/>
      <c r="HA196" s="477"/>
      <c r="HB196" s="477"/>
      <c r="HC196" s="477"/>
      <c r="HD196" s="477"/>
      <c r="HE196" s="477"/>
      <c r="HF196" s="477"/>
      <c r="HG196" s="477"/>
      <c r="HH196" s="477"/>
      <c r="HI196" s="477"/>
      <c r="HJ196" s="477"/>
      <c r="HK196" s="477"/>
      <c r="HL196" s="477"/>
      <c r="HM196" s="477"/>
      <c r="HN196" s="477"/>
      <c r="HO196" s="477"/>
      <c r="HP196" s="473">
        <f t="shared" si="78"/>
        <v>0</v>
      </c>
      <c r="HQ196" s="498"/>
    </row>
    <row r="197" spans="2:225">
      <c r="B197" s="1128"/>
      <c r="C197" s="729" t="s">
        <v>253</v>
      </c>
      <c r="D197" s="589">
        <v>2.5999999999999999E-2</v>
      </c>
      <c r="E197" s="589">
        <v>2.5999999999999999E-2</v>
      </c>
      <c r="F197" s="589">
        <v>2.5499999999999998E-2</v>
      </c>
      <c r="G197" s="623">
        <v>2.5000000000000001E-2</v>
      </c>
      <c r="H197" s="589">
        <v>2.5000000000000001E-2</v>
      </c>
      <c r="I197" s="589">
        <v>3.3000000000000002E-2</v>
      </c>
      <c r="J197" s="623">
        <v>2.5499999999999998E-2</v>
      </c>
      <c r="K197" s="623">
        <v>2.5499999999999998E-2</v>
      </c>
      <c r="L197" s="589">
        <v>2.5499999999999998E-2</v>
      </c>
      <c r="M197" s="589">
        <v>2.5999999999999999E-2</v>
      </c>
      <c r="N197" s="589">
        <v>2.6499999999999999E-2</v>
      </c>
      <c r="O197" s="623">
        <v>2.75E-2</v>
      </c>
      <c r="P197" s="589">
        <v>2.75E-2</v>
      </c>
      <c r="Q197" s="589">
        <v>2.7799999999999998E-2</v>
      </c>
      <c r="R197" s="623">
        <v>2.8000000000000001E-2</v>
      </c>
      <c r="S197" s="623">
        <v>2.8000000000000001E-2</v>
      </c>
      <c r="T197" s="586">
        <v>2.8000000000000001E-2</v>
      </c>
      <c r="U197" s="586">
        <v>2.8000000000000001E-2</v>
      </c>
      <c r="V197" s="589">
        <v>2.8000000000000001E-2</v>
      </c>
      <c r="W197" s="470">
        <v>2.75E-2</v>
      </c>
      <c r="X197" s="471">
        <v>2.8000000000000001E-2</v>
      </c>
      <c r="Y197" s="470">
        <v>2.8000000000000001E-2</v>
      </c>
      <c r="Z197" s="471">
        <v>2.8500000000000001E-2</v>
      </c>
      <c r="AA197" s="471">
        <v>2.8500000000000001E-2</v>
      </c>
      <c r="AB197" s="471">
        <v>2.8500000000000001E-2</v>
      </c>
      <c r="AC197" s="470">
        <v>2.8500000000000001E-2</v>
      </c>
      <c r="AD197" s="471">
        <v>0.03</v>
      </c>
      <c r="AE197" s="471">
        <v>0.03</v>
      </c>
      <c r="AF197" s="471">
        <v>0.03</v>
      </c>
      <c r="AG197" s="471">
        <v>0.03</v>
      </c>
      <c r="AH197" s="471">
        <v>0.03</v>
      </c>
      <c r="AI197" s="470">
        <v>0.03</v>
      </c>
      <c r="AJ197" s="471">
        <v>3.1E-2</v>
      </c>
      <c r="AK197" s="470">
        <v>3.1E-2</v>
      </c>
      <c r="AL197" s="472">
        <v>3.2000000000000001E-2</v>
      </c>
      <c r="AM197" s="470">
        <v>3.2000000000000001E-2</v>
      </c>
      <c r="AN197" s="471">
        <v>3.3000000000000002E-2</v>
      </c>
      <c r="AO197" s="471">
        <v>3.3000000000000002E-2</v>
      </c>
      <c r="AP197" s="471">
        <v>3.3000000000000002E-2</v>
      </c>
      <c r="AQ197" s="471">
        <v>3.3000000000000002E-2</v>
      </c>
      <c r="AR197" s="471">
        <v>3.3000000000000002E-2</v>
      </c>
      <c r="AS197" s="471">
        <v>3.3000000000000002E-2</v>
      </c>
      <c r="AT197" s="470">
        <v>3.3000000000000002E-2</v>
      </c>
      <c r="AU197" s="471">
        <v>3.2899999999999999E-2</v>
      </c>
      <c r="AV197" s="538">
        <v>3.2500000000000001E-2</v>
      </c>
      <c r="AW197" s="539">
        <v>3.3500000000000002E-2</v>
      </c>
      <c r="AX197" s="539">
        <v>3.3500000000000002E-2</v>
      </c>
      <c r="AY197" s="539">
        <v>3.3500000000000002E-2</v>
      </c>
      <c r="AZ197" s="539">
        <v>3.3500000000000002E-2</v>
      </c>
      <c r="BA197" s="539">
        <v>3.3500000000000002E-2</v>
      </c>
      <c r="BB197" s="539">
        <v>3.3500000000000002E-2</v>
      </c>
      <c r="BC197" s="539">
        <v>3.3500000000000002E-2</v>
      </c>
      <c r="BD197" s="539">
        <v>3.3500000000000002E-2</v>
      </c>
      <c r="BE197" s="539">
        <v>3.3500000000000002E-2</v>
      </c>
      <c r="BF197" s="539">
        <v>3.3500000000000002E-2</v>
      </c>
      <c r="BG197" s="539">
        <v>3.3500000000000002E-2</v>
      </c>
      <c r="BH197" s="539">
        <v>3.5000000000000003E-2</v>
      </c>
      <c r="BI197" s="539">
        <v>3.5000000000000003E-2</v>
      </c>
      <c r="BJ197" s="539">
        <v>3.5000000000000003E-2</v>
      </c>
      <c r="BK197" s="539">
        <v>3.5000000000000003E-2</v>
      </c>
      <c r="BL197" s="539">
        <v>3.5000000000000003E-2</v>
      </c>
      <c r="BM197" s="539">
        <v>3.5000000000000003E-2</v>
      </c>
      <c r="BN197" s="539">
        <v>3.5000000000000003E-2</v>
      </c>
      <c r="BO197" s="539">
        <v>3.5000000000000003E-2</v>
      </c>
      <c r="BP197" s="539">
        <v>3.5000000000000003E-2</v>
      </c>
      <c r="BQ197" s="539">
        <v>3.5000000000000003E-2</v>
      </c>
      <c r="BR197" s="539">
        <v>3.3500000000000002E-2</v>
      </c>
      <c r="BS197" s="539">
        <v>3.3500000000000002E-2</v>
      </c>
      <c r="BT197" s="539">
        <v>3.3500000000000002E-2</v>
      </c>
      <c r="BU197" s="539">
        <v>3.3500000000000002E-2</v>
      </c>
      <c r="BV197" s="539">
        <v>3.3500000000000002E-2</v>
      </c>
      <c r="BW197" s="539">
        <v>3.3500000000000002E-2</v>
      </c>
      <c r="BX197" s="539">
        <v>3.2500000000000001E-2</v>
      </c>
      <c r="BY197" s="539">
        <v>3.1300000000000001E-2</v>
      </c>
      <c r="BZ197" s="539">
        <v>3.1E-2</v>
      </c>
      <c r="CA197" s="539">
        <v>3.2099999999999997E-2</v>
      </c>
      <c r="CB197" s="539">
        <v>3.2500000000000001E-2</v>
      </c>
      <c r="CC197" s="539">
        <v>3.4500000000000003E-2</v>
      </c>
      <c r="CD197" s="539">
        <v>3.4500000000000003E-2</v>
      </c>
      <c r="CE197" s="539">
        <v>3.5200000000000002E-2</v>
      </c>
      <c r="CF197" s="539">
        <v>3.5200000000000002E-2</v>
      </c>
      <c r="CG197" s="539">
        <v>3.5200000000000002E-2</v>
      </c>
      <c r="CH197" s="496">
        <v>4.8000000000000001E-2</v>
      </c>
      <c r="CI197" s="496">
        <v>4.8000000000000001E-2</v>
      </c>
      <c r="CJ197" s="496">
        <v>4.8000000000000001E-2</v>
      </c>
      <c r="CK197" s="496">
        <v>4.8000000000000001E-2</v>
      </c>
      <c r="CL197" s="496">
        <v>4.8000000000000001E-2</v>
      </c>
      <c r="CM197" s="496">
        <v>4.8000000000000001E-2</v>
      </c>
      <c r="CN197" s="496">
        <v>4.8000000000000001E-2</v>
      </c>
      <c r="CO197" s="496">
        <v>4.8000000000000001E-2</v>
      </c>
      <c r="CP197" s="496">
        <v>4.8000000000000001E-2</v>
      </c>
      <c r="CQ197" s="496">
        <v>4.8000000000000001E-2</v>
      </c>
      <c r="CR197" s="496">
        <v>4.8000000000000001E-2</v>
      </c>
      <c r="CS197" s="496">
        <v>4.8000000000000001E-2</v>
      </c>
      <c r="CT197" s="496">
        <v>4.8000000000000001E-2</v>
      </c>
      <c r="CU197" s="496">
        <v>4.5999999999999999E-2</v>
      </c>
      <c r="CV197" s="496">
        <v>4.5999999999999999E-2</v>
      </c>
      <c r="CW197" s="496">
        <v>4.5999999999999999E-2</v>
      </c>
      <c r="CX197" s="496">
        <v>4.5999999999999999E-2</v>
      </c>
      <c r="CY197" s="496">
        <v>4.5999999999999999E-2</v>
      </c>
      <c r="CZ197" s="496">
        <v>4.5999999999999999E-2</v>
      </c>
      <c r="DA197" s="496">
        <v>4.5999999999999999E-2</v>
      </c>
      <c r="DB197" s="496">
        <v>4.5999999999999999E-2</v>
      </c>
      <c r="DC197" s="496">
        <v>4.5999999999999999E-2</v>
      </c>
      <c r="DD197" s="496">
        <v>4.5999999999999999E-2</v>
      </c>
      <c r="DE197" s="496">
        <v>4.5999999999999999E-2</v>
      </c>
      <c r="DF197" s="496">
        <v>4.5999999999999999E-2</v>
      </c>
      <c r="DG197" s="496">
        <v>4.5999999999999999E-2</v>
      </c>
      <c r="DH197" s="496">
        <v>4.9000000000000002E-2</v>
      </c>
      <c r="DI197" s="496">
        <v>4.9000000000000002E-2</v>
      </c>
      <c r="DJ197" s="496">
        <v>4.9000000000000002E-2</v>
      </c>
      <c r="DK197" s="496">
        <v>4.9000000000000002E-2</v>
      </c>
      <c r="DL197" s="496">
        <v>4.9000000000000002E-2</v>
      </c>
      <c r="DM197" s="496">
        <v>4.9000000000000002E-2</v>
      </c>
      <c r="DN197" s="496">
        <v>4.9000000000000002E-2</v>
      </c>
      <c r="DO197" s="496">
        <v>4.9000000000000002E-2</v>
      </c>
      <c r="DP197" s="496">
        <v>4.9000000000000002E-2</v>
      </c>
      <c r="DQ197" s="496">
        <v>5.2999999999999999E-2</v>
      </c>
      <c r="DR197" s="496">
        <v>5.2999999999999999E-2</v>
      </c>
      <c r="DS197" s="496">
        <v>5.2999999999999999E-2</v>
      </c>
      <c r="DT197" s="496">
        <v>5.2999999999999999E-2</v>
      </c>
      <c r="DU197" s="496">
        <v>5.2999999999999999E-2</v>
      </c>
      <c r="DV197" s="496">
        <v>5.2999999999999999E-2</v>
      </c>
      <c r="DW197" s="496">
        <v>5.2999999999999999E-2</v>
      </c>
      <c r="DX197" s="496">
        <v>5.2999999999999999E-2</v>
      </c>
      <c r="DY197" s="496">
        <v>5.0999999999999997E-2</v>
      </c>
      <c r="DZ197" s="496">
        <v>5.0999999999999997E-2</v>
      </c>
      <c r="EA197" s="496">
        <v>5.0999999999999997E-2</v>
      </c>
      <c r="EB197" s="496">
        <v>5.0999999999999997E-2</v>
      </c>
      <c r="EC197" s="496">
        <v>5.1999999999999998E-2</v>
      </c>
      <c r="ED197" s="496">
        <v>5.1999999999999998E-2</v>
      </c>
      <c r="EE197" s="496">
        <v>5.1999999999999998E-2</v>
      </c>
      <c r="EF197" s="496">
        <v>5.1999999999999998E-2</v>
      </c>
      <c r="EG197" s="496">
        <v>5.1999999999999998E-2</v>
      </c>
      <c r="EH197" s="496">
        <v>0.05</v>
      </c>
      <c r="EI197" s="496">
        <v>3.6999999999999998E-2</v>
      </c>
      <c r="EJ197" s="496">
        <v>3.5000000000000003E-2</v>
      </c>
      <c r="EK197" s="496">
        <v>3.5000000000000003E-2</v>
      </c>
      <c r="EL197" s="496">
        <v>3.5000000000000003E-2</v>
      </c>
      <c r="EM197" s="496">
        <v>3.5000000000000003E-2</v>
      </c>
      <c r="EN197" s="496">
        <v>4.8000000000000001E-2</v>
      </c>
      <c r="EO197" s="496">
        <v>4.8000000000000001E-2</v>
      </c>
      <c r="EP197" s="496">
        <v>4.8000000000000001E-2</v>
      </c>
      <c r="EQ197" s="496">
        <v>4.8000000000000001E-2</v>
      </c>
      <c r="ER197" s="496">
        <v>4.7E-2</v>
      </c>
      <c r="ES197" s="496">
        <v>4.7E-2</v>
      </c>
      <c r="ET197" s="496">
        <v>4.7E-2</v>
      </c>
      <c r="EU197" s="496">
        <v>4.7E-2</v>
      </c>
      <c r="EV197" s="496">
        <v>0.05</v>
      </c>
      <c r="EW197" s="496">
        <v>0.05</v>
      </c>
      <c r="EX197" s="496">
        <v>0.05</v>
      </c>
      <c r="EY197" s="496">
        <v>0.05</v>
      </c>
      <c r="EZ197" s="496">
        <v>0.05</v>
      </c>
      <c r="FA197" s="496">
        <v>0.05</v>
      </c>
      <c r="FB197" s="496">
        <v>4.8000000000000001E-2</v>
      </c>
      <c r="FC197" s="496">
        <v>4.8000000000000001E-2</v>
      </c>
      <c r="FD197" s="496">
        <v>4.8000000000000001E-2</v>
      </c>
      <c r="FE197" s="496">
        <v>4.8000000000000001E-2</v>
      </c>
      <c r="FF197" s="496">
        <v>0.05</v>
      </c>
      <c r="FG197" s="496">
        <v>0.05</v>
      </c>
      <c r="FH197" s="496">
        <v>0.05</v>
      </c>
      <c r="FI197" s="496">
        <v>0.05</v>
      </c>
      <c r="FJ197" s="496">
        <v>5.0999999999999997E-2</v>
      </c>
      <c r="FK197" s="496">
        <v>5.0999999999999997E-2</v>
      </c>
      <c r="FL197" s="496">
        <v>5.0999999999999997E-2</v>
      </c>
      <c r="FM197" s="496">
        <v>5.0999999999999997E-2</v>
      </c>
      <c r="FN197" s="496">
        <v>5.0999999999999997E-2</v>
      </c>
      <c r="FO197" s="496">
        <v>4.4999999999999998E-2</v>
      </c>
      <c r="FP197" s="496">
        <v>4.4999999999999998E-2</v>
      </c>
      <c r="FQ197" s="496">
        <v>4.4999999999999998E-2</v>
      </c>
      <c r="FR197" s="496">
        <v>4.4999999999999998E-2</v>
      </c>
      <c r="FS197" s="496">
        <v>3.6999999999999998E-2</v>
      </c>
      <c r="FT197" s="496">
        <v>3.6999999999999998E-2</v>
      </c>
      <c r="FU197" s="496">
        <v>3.6999999999999998E-2</v>
      </c>
      <c r="FV197" s="496">
        <v>4.8000000000000001E-2</v>
      </c>
      <c r="FW197" s="496">
        <v>4.8000000000000001E-2</v>
      </c>
      <c r="FX197" s="496">
        <v>0.05</v>
      </c>
      <c r="FY197" s="496">
        <v>0.05</v>
      </c>
      <c r="FZ197" s="496">
        <v>0.05</v>
      </c>
      <c r="GA197" s="496">
        <v>4.8000000000000001E-2</v>
      </c>
      <c r="GB197" s="496">
        <v>4.8000000000000001E-2</v>
      </c>
      <c r="GC197" s="496">
        <v>4.8000000000000001E-2</v>
      </c>
      <c r="GD197" s="496">
        <v>3.5000000000000003E-2</v>
      </c>
      <c r="GE197" s="496">
        <v>3.5000000000000003E-2</v>
      </c>
      <c r="GF197" s="496">
        <v>3.5000000000000003E-2</v>
      </c>
      <c r="GG197" s="496">
        <v>3.5000000000000003E-2</v>
      </c>
      <c r="GH197" s="496">
        <v>3.5000000000000003E-2</v>
      </c>
      <c r="GI197" s="496">
        <v>3.5000000000000003E-2</v>
      </c>
      <c r="GJ197" s="496">
        <v>3.5000000000000003E-2</v>
      </c>
      <c r="GK197" s="496">
        <v>3.5000000000000003E-2</v>
      </c>
      <c r="GL197" s="496">
        <v>3.5000000000000003E-2</v>
      </c>
      <c r="GM197" s="496">
        <v>3.5000000000000003E-2</v>
      </c>
      <c r="GN197" s="496">
        <v>3.5000000000000003E-2</v>
      </c>
      <c r="GO197" s="496">
        <v>3.5000000000000003E-2</v>
      </c>
      <c r="GP197" s="496">
        <v>3.5000000000000003E-2</v>
      </c>
      <c r="GQ197" s="496">
        <v>3.5000000000000003E-2</v>
      </c>
      <c r="GR197" s="496">
        <v>3.5000000000000003E-2</v>
      </c>
      <c r="GS197" s="496">
        <v>3.5000000000000003E-2</v>
      </c>
      <c r="GT197" s="496">
        <v>3.5000000000000003E-2</v>
      </c>
      <c r="GU197" s="496">
        <v>3.5000000000000003E-2</v>
      </c>
      <c r="GV197" s="496">
        <v>3.5000000000000003E-2</v>
      </c>
      <c r="GW197" s="496">
        <v>3.5000000000000003E-2</v>
      </c>
      <c r="GX197" s="496">
        <v>3.5000000000000003E-2</v>
      </c>
      <c r="GY197" s="496">
        <v>3.5000000000000003E-2</v>
      </c>
      <c r="GZ197" s="496">
        <v>3.5000000000000003E-2</v>
      </c>
      <c r="HA197" s="496">
        <v>3.5000000000000003E-2</v>
      </c>
      <c r="HB197" s="496">
        <v>3.5000000000000003E-2</v>
      </c>
      <c r="HC197" s="496">
        <v>3.5000000000000003E-2</v>
      </c>
      <c r="HD197" s="496">
        <v>3.5000000000000003E-2</v>
      </c>
      <c r="HE197" s="496">
        <v>3.5000000000000003E-2</v>
      </c>
      <c r="HF197" s="496">
        <v>3.5000000000000003E-2</v>
      </c>
      <c r="HG197" s="496">
        <v>3.5000000000000003E-2</v>
      </c>
      <c r="HH197" s="496">
        <v>3.5000000000000003E-2</v>
      </c>
      <c r="HI197" s="496">
        <v>3.5000000000000003E-2</v>
      </c>
      <c r="HJ197" s="496">
        <v>3.5000000000000003E-2</v>
      </c>
      <c r="HK197" s="496">
        <v>3.5000000000000003E-2</v>
      </c>
      <c r="HL197" s="496">
        <v>3.5000000000000003E-2</v>
      </c>
      <c r="HM197" s="496">
        <v>3.5000000000000003E-2</v>
      </c>
      <c r="HN197" s="496">
        <v>3.5000000000000003E-2</v>
      </c>
      <c r="HO197" s="496">
        <v>3.5000000000000003E-2</v>
      </c>
      <c r="HP197" s="473">
        <f t="shared" si="78"/>
        <v>0</v>
      </c>
      <c r="HQ197" s="499"/>
    </row>
    <row r="198" spans="2:225">
      <c r="B198" s="1123" t="s">
        <v>33</v>
      </c>
      <c r="C198" s="730" t="s">
        <v>252</v>
      </c>
      <c r="D198" s="500">
        <v>1.7500000000000002E-2</v>
      </c>
      <c r="E198" s="500">
        <v>1.7500000000000002E-2</v>
      </c>
      <c r="F198" s="500">
        <v>1.7500000000000002E-2</v>
      </c>
      <c r="G198" s="500">
        <v>1.7500000000000002E-2</v>
      </c>
      <c r="H198" s="500">
        <v>1.7500000000000002E-2</v>
      </c>
      <c r="I198" s="500">
        <v>1.7500000000000002E-2</v>
      </c>
      <c r="J198" s="500">
        <v>1.7500000000000002E-2</v>
      </c>
      <c r="K198" s="500">
        <v>1.7500000000000002E-2</v>
      </c>
      <c r="L198" s="500">
        <v>1.7500000000000002E-2</v>
      </c>
      <c r="M198" s="500">
        <v>1.7500000000000002E-2</v>
      </c>
      <c r="N198" s="500">
        <v>1.7500000000000002E-2</v>
      </c>
      <c r="O198" s="500">
        <v>1.7500000000000002E-2</v>
      </c>
      <c r="P198" s="500">
        <v>1.7500000000000002E-2</v>
      </c>
      <c r="Q198" s="500">
        <v>1.7500000000000002E-2</v>
      </c>
      <c r="R198" s="500">
        <v>1.7500000000000002E-2</v>
      </c>
      <c r="S198" s="500">
        <v>1.7500000000000002E-2</v>
      </c>
      <c r="T198" s="500">
        <v>1.7500000000000002E-2</v>
      </c>
      <c r="U198" s="500">
        <v>1.7500000000000002E-2</v>
      </c>
      <c r="V198" s="500">
        <v>1.7500000000000002E-2</v>
      </c>
      <c r="W198" s="500">
        <v>1.7500000000000002E-2</v>
      </c>
      <c r="X198" s="500">
        <v>1.7500000000000002E-2</v>
      </c>
      <c r="Y198" s="502">
        <v>1.7500000000000002E-2</v>
      </c>
      <c r="Z198" s="500">
        <v>2.1000000000000001E-2</v>
      </c>
      <c r="AA198" s="500">
        <v>2.1000000000000001E-2</v>
      </c>
      <c r="AB198" s="500">
        <v>2.1000000000000001E-2</v>
      </c>
      <c r="AC198" s="500">
        <v>2.1000000000000001E-2</v>
      </c>
      <c r="AD198" s="500">
        <v>2.1000000000000001E-2</v>
      </c>
      <c r="AE198" s="500">
        <v>2.1000000000000001E-2</v>
      </c>
      <c r="AF198" s="501">
        <v>2.1000000000000001E-2</v>
      </c>
      <c r="AG198" s="501">
        <v>2.1000000000000001E-2</v>
      </c>
      <c r="AH198" s="501">
        <v>2.1000000000000001E-2</v>
      </c>
      <c r="AI198" s="501">
        <v>2.1000000000000001E-2</v>
      </c>
      <c r="AJ198" s="501">
        <v>2.1000000000000001E-2</v>
      </c>
      <c r="AK198" s="501">
        <v>2.1000000000000001E-2</v>
      </c>
      <c r="AL198" s="501">
        <v>2.1000000000000001E-2</v>
      </c>
      <c r="AM198" s="500">
        <v>2.1000000000000001E-2</v>
      </c>
      <c r="AN198" s="500">
        <v>2.1000000000000001E-2</v>
      </c>
      <c r="AO198" s="500">
        <v>2.1000000000000001E-2</v>
      </c>
      <c r="AP198" s="500">
        <v>2.1000000000000001E-2</v>
      </c>
      <c r="AQ198" s="500">
        <v>2.1000000000000001E-2</v>
      </c>
      <c r="AR198" s="500">
        <v>2.1000000000000001E-2</v>
      </c>
      <c r="AS198" s="500">
        <v>2.1000000000000001E-2</v>
      </c>
      <c r="AT198" s="500">
        <v>2.1000000000000001E-2</v>
      </c>
      <c r="AU198" s="500">
        <v>2.1000000000000001E-2</v>
      </c>
      <c r="AV198" s="502">
        <v>2.4E-2</v>
      </c>
      <c r="AW198" s="501">
        <v>2.5499999999999998E-2</v>
      </c>
      <c r="AX198" s="501">
        <v>2.5499999999999998E-2</v>
      </c>
      <c r="AY198" s="501">
        <v>2.5499999999999998E-2</v>
      </c>
      <c r="AZ198" s="501">
        <v>2.5499999999999998E-2</v>
      </c>
      <c r="BA198" s="501">
        <v>2.5499999999999998E-2</v>
      </c>
      <c r="BB198" s="501">
        <v>2.5499999999999998E-2</v>
      </c>
      <c r="BC198" s="501">
        <v>2.5499999999999998E-2</v>
      </c>
      <c r="BD198" s="501">
        <v>2.5499999999999998E-2</v>
      </c>
      <c r="BE198" s="501">
        <v>2.5499999999999998E-2</v>
      </c>
      <c r="BF198" s="501">
        <v>2.5499999999999998E-2</v>
      </c>
      <c r="BG198" s="501">
        <v>2.5499999999999998E-2</v>
      </c>
      <c r="BH198" s="501">
        <v>2.5499999999999998E-2</v>
      </c>
      <c r="BI198" s="501">
        <v>2.5499999999999998E-2</v>
      </c>
      <c r="BJ198" s="501">
        <v>2.5499999999999998E-2</v>
      </c>
      <c r="BK198" s="501">
        <v>2.5499999999999998E-2</v>
      </c>
      <c r="BL198" s="501">
        <v>2.5499999999999998E-2</v>
      </c>
      <c r="BM198" s="501">
        <v>2.5499999999999998E-2</v>
      </c>
      <c r="BN198" s="501">
        <v>2.5499999999999998E-2</v>
      </c>
      <c r="BO198" s="501">
        <v>2.5499999999999998E-2</v>
      </c>
      <c r="BP198" s="501">
        <v>2.5499999999999998E-2</v>
      </c>
      <c r="BQ198" s="501">
        <v>2.5499999999999998E-2</v>
      </c>
      <c r="BR198" s="501">
        <v>2.5499999999999998E-2</v>
      </c>
      <c r="BS198" s="501">
        <v>2.5499999999999998E-2</v>
      </c>
      <c r="BT198" s="501">
        <v>2.5499999999999998E-2</v>
      </c>
      <c r="BU198" s="501">
        <v>2.5499999999999998E-2</v>
      </c>
      <c r="BV198" s="501">
        <v>2.5499999999999998E-2</v>
      </c>
      <c r="BW198" s="501">
        <v>2.5499999999999998E-2</v>
      </c>
      <c r="BX198" s="501">
        <v>2.4E-2</v>
      </c>
      <c r="BY198" s="501">
        <v>2.4E-2</v>
      </c>
      <c r="BZ198" s="501">
        <v>2.9499999999999998E-2</v>
      </c>
      <c r="CA198" s="501">
        <v>2.9499999999999998E-2</v>
      </c>
      <c r="CB198" s="501">
        <v>2.9499999999999998E-2</v>
      </c>
      <c r="CC198" s="501">
        <v>3.5999999999999997E-2</v>
      </c>
      <c r="CD198" s="501">
        <v>3.5999999999999997E-2</v>
      </c>
      <c r="CE198" s="501">
        <v>3.5999999999999997E-2</v>
      </c>
      <c r="CF198" s="501">
        <v>3.5999999999999997E-2</v>
      </c>
      <c r="CG198" s="501">
        <v>3.5999999999999997E-2</v>
      </c>
      <c r="CH198" s="501">
        <v>3.5999999999999997E-2</v>
      </c>
      <c r="CI198" s="501">
        <v>3.5999999999999997E-2</v>
      </c>
      <c r="CJ198" s="501">
        <v>3.5999999999999997E-2</v>
      </c>
      <c r="CK198" s="501">
        <v>3.5999999999999997E-2</v>
      </c>
      <c r="CL198" s="501">
        <v>3.5999999999999997E-2</v>
      </c>
      <c r="CM198" s="501">
        <v>3.5999999999999997E-2</v>
      </c>
      <c r="CN198" s="501">
        <v>3.5999999999999997E-2</v>
      </c>
      <c r="CO198" s="501">
        <v>3.5999999999999997E-2</v>
      </c>
      <c r="CP198" s="501">
        <v>3.5999999999999997E-2</v>
      </c>
      <c r="CQ198" s="501">
        <v>3.5999999999999997E-2</v>
      </c>
      <c r="CR198" s="501">
        <v>3.5999999999999997E-2</v>
      </c>
      <c r="CS198" s="501">
        <v>3.5999999999999997E-2</v>
      </c>
      <c r="CT198" s="501">
        <v>3.5999999999999997E-2</v>
      </c>
      <c r="CU198" s="501">
        <v>3.5999999999999997E-2</v>
      </c>
      <c r="CV198" s="501">
        <v>3.5999999999999997E-2</v>
      </c>
      <c r="CW198" s="501">
        <v>3.5999999999999997E-2</v>
      </c>
      <c r="CX198" s="501">
        <v>3.5999999999999997E-2</v>
      </c>
      <c r="CY198" s="501">
        <v>3.5999999999999997E-2</v>
      </c>
      <c r="CZ198" s="501">
        <v>3.6999999999999998E-2</v>
      </c>
      <c r="DA198" s="501">
        <v>3.6999999999999998E-2</v>
      </c>
      <c r="DB198" s="501">
        <v>3.6999999999999998E-2</v>
      </c>
      <c r="DC198" s="501">
        <v>3.6999999999999998E-2</v>
      </c>
      <c r="DD198" s="501">
        <v>3.6999999999999998E-2</v>
      </c>
      <c r="DE198" s="501">
        <v>3.6999999999999998E-2</v>
      </c>
      <c r="DF198" s="501">
        <v>3.6999999999999998E-2</v>
      </c>
      <c r="DG198" s="501">
        <v>3.6999999999999998E-2</v>
      </c>
      <c r="DH198" s="501">
        <v>3.6999999999999998E-2</v>
      </c>
      <c r="DI198" s="501">
        <v>3.7499999999999999E-2</v>
      </c>
      <c r="DJ198" s="501">
        <v>3.7499999999999999E-2</v>
      </c>
      <c r="DK198" s="501">
        <v>3.7499999999999999E-2</v>
      </c>
      <c r="DL198" s="501">
        <v>3.7499999999999999E-2</v>
      </c>
      <c r="DM198" s="501">
        <v>3.7499999999999999E-2</v>
      </c>
      <c r="DN198" s="501">
        <v>3.7499999999999999E-2</v>
      </c>
      <c r="DO198" s="501">
        <v>3.7499999999999999E-2</v>
      </c>
      <c r="DP198" s="501">
        <v>3.7499999999999999E-2</v>
      </c>
      <c r="DQ198" s="501">
        <v>3.7499999999999999E-2</v>
      </c>
      <c r="DR198" s="501">
        <v>3.7499999999999999E-2</v>
      </c>
      <c r="DS198" s="501">
        <v>3.7499999999999999E-2</v>
      </c>
      <c r="DT198" s="501">
        <v>3.7499999999999999E-2</v>
      </c>
      <c r="DU198" s="501">
        <v>3.7499999999999999E-2</v>
      </c>
      <c r="DV198" s="501">
        <v>3.7499999999999999E-2</v>
      </c>
      <c r="DW198" s="501">
        <v>3.5999999999999997E-2</v>
      </c>
      <c r="DX198" s="501">
        <v>3.5999999999999997E-2</v>
      </c>
      <c r="DY198" s="501">
        <v>3.5999999999999997E-2</v>
      </c>
      <c r="DZ198" s="501">
        <v>3.5999999999999997E-2</v>
      </c>
      <c r="EA198" s="501">
        <v>3.5999999999999997E-2</v>
      </c>
      <c r="EB198" s="501">
        <v>3.5999999999999997E-2</v>
      </c>
      <c r="EC198" s="501">
        <v>3.5999999999999997E-2</v>
      </c>
      <c r="ED198" s="501">
        <v>3.5999999999999997E-2</v>
      </c>
      <c r="EE198" s="501">
        <v>3.5999999999999997E-2</v>
      </c>
      <c r="EF198" s="501">
        <v>3.5999999999999997E-2</v>
      </c>
      <c r="EG198" s="501">
        <v>3.5999999999999997E-2</v>
      </c>
      <c r="EH198" s="501">
        <v>3.5999999999999997E-2</v>
      </c>
      <c r="EI198" s="501">
        <v>3.5999999999999997E-2</v>
      </c>
      <c r="EJ198" s="501">
        <v>3.5999999999999997E-2</v>
      </c>
      <c r="EK198" s="501">
        <v>3.5999999999999997E-2</v>
      </c>
      <c r="EL198" s="501">
        <v>3.5999999999999997E-2</v>
      </c>
      <c r="EM198" s="501">
        <v>3.5999999999999997E-2</v>
      </c>
      <c r="EN198" s="501">
        <v>3.5999999999999997E-2</v>
      </c>
      <c r="EO198" s="501">
        <v>3.5999999999999997E-2</v>
      </c>
      <c r="EP198" s="501">
        <v>3.5999999999999997E-2</v>
      </c>
      <c r="EQ198" s="501">
        <v>3.5999999999999997E-2</v>
      </c>
      <c r="ER198" s="501">
        <v>3.5999999999999997E-2</v>
      </c>
      <c r="ES198" s="501">
        <v>3.5999999999999997E-2</v>
      </c>
      <c r="ET198" s="501">
        <v>3.5999999999999997E-2</v>
      </c>
      <c r="EU198" s="501">
        <v>3.5999999999999997E-2</v>
      </c>
      <c r="EV198" s="501">
        <v>3.5999999999999997E-2</v>
      </c>
      <c r="EW198" s="501">
        <v>3.5999999999999997E-2</v>
      </c>
      <c r="EX198" s="501">
        <v>3.5999999999999997E-2</v>
      </c>
      <c r="EY198" s="501">
        <v>3.5999999999999997E-2</v>
      </c>
      <c r="EZ198" s="501">
        <v>3.5999999999999997E-2</v>
      </c>
      <c r="FA198" s="501">
        <v>3.5999999999999997E-2</v>
      </c>
      <c r="FB198" s="501">
        <v>3.5999999999999997E-2</v>
      </c>
      <c r="FC198" s="501">
        <v>3.5999999999999997E-2</v>
      </c>
      <c r="FD198" s="501">
        <v>3.5999999999999997E-2</v>
      </c>
      <c r="FE198" s="501">
        <v>3.5999999999999997E-2</v>
      </c>
      <c r="FF198" s="501">
        <v>3.5999999999999997E-2</v>
      </c>
      <c r="FG198" s="501">
        <v>3.5999999999999997E-2</v>
      </c>
      <c r="FH198" s="501">
        <v>3.5999999999999997E-2</v>
      </c>
      <c r="FI198" s="501">
        <v>3.5999999999999997E-2</v>
      </c>
      <c r="FJ198" s="501">
        <v>3.5999999999999997E-2</v>
      </c>
      <c r="FK198" s="501">
        <v>3.5999999999999997E-2</v>
      </c>
      <c r="FL198" s="501">
        <v>3.5999999999999997E-2</v>
      </c>
      <c r="FM198" s="501">
        <v>3.5999999999999997E-2</v>
      </c>
      <c r="FN198" s="501">
        <v>3.5999999999999997E-2</v>
      </c>
      <c r="FO198" s="501">
        <v>3.5999999999999997E-2</v>
      </c>
      <c r="FP198" s="501">
        <v>3.5999999999999997E-2</v>
      </c>
      <c r="FQ198" s="501">
        <v>3.5999999999999997E-2</v>
      </c>
      <c r="FR198" s="501">
        <v>3.5999999999999997E-2</v>
      </c>
      <c r="FS198" s="501">
        <v>3.5999999999999997E-2</v>
      </c>
      <c r="FT198" s="501">
        <v>3.5999999999999997E-2</v>
      </c>
      <c r="FU198" s="501">
        <v>3.5999999999999997E-2</v>
      </c>
      <c r="FV198" s="501">
        <v>3.5999999999999997E-2</v>
      </c>
      <c r="FW198" s="501">
        <v>3.5999999999999997E-2</v>
      </c>
      <c r="FX198" s="501">
        <v>3.5999999999999997E-2</v>
      </c>
      <c r="FY198" s="501">
        <v>3.5999999999999997E-2</v>
      </c>
      <c r="FZ198" s="501">
        <v>3.5999999999999997E-2</v>
      </c>
      <c r="GA198" s="501">
        <v>3.5999999999999997E-2</v>
      </c>
      <c r="GB198" s="501">
        <v>3.5999999999999997E-2</v>
      </c>
      <c r="GC198" s="501">
        <v>3.5999999999999997E-2</v>
      </c>
      <c r="GD198" s="501">
        <v>8.0000000000000002E-3</v>
      </c>
      <c r="GE198" s="501">
        <v>8.0000000000000002E-3</v>
      </c>
      <c r="GF198" s="501">
        <v>8.0000000000000002E-3</v>
      </c>
      <c r="GG198" s="501">
        <v>8.0000000000000002E-3</v>
      </c>
      <c r="GH198" s="501">
        <v>8.0000000000000002E-3</v>
      </c>
      <c r="GI198" s="501">
        <v>8.0000000000000002E-3</v>
      </c>
      <c r="GJ198" s="501">
        <v>8.0000000000000002E-3</v>
      </c>
      <c r="GK198" s="501">
        <v>8.0000000000000002E-3</v>
      </c>
      <c r="GL198" s="501">
        <v>8.0000000000000002E-3</v>
      </c>
      <c r="GM198" s="501">
        <v>8.0000000000000002E-3</v>
      </c>
      <c r="GN198" s="501">
        <v>8.0000000000000002E-3</v>
      </c>
      <c r="GO198" s="501">
        <v>8.0000000000000002E-3</v>
      </c>
      <c r="GP198" s="501">
        <v>8.0000000000000002E-3</v>
      </c>
      <c r="GQ198" s="501">
        <v>8.0000000000000002E-3</v>
      </c>
      <c r="GR198" s="501">
        <v>8.0000000000000002E-3</v>
      </c>
      <c r="GS198" s="501">
        <v>8.0000000000000002E-3</v>
      </c>
      <c r="GT198" s="501">
        <v>8.0000000000000002E-3</v>
      </c>
      <c r="GU198" s="501">
        <v>8.0000000000000002E-3</v>
      </c>
      <c r="GV198" s="501">
        <v>8.0000000000000002E-3</v>
      </c>
      <c r="GW198" s="501">
        <v>8.0000000000000002E-3</v>
      </c>
      <c r="GX198" s="501">
        <v>8.0000000000000002E-3</v>
      </c>
      <c r="GY198" s="501">
        <v>8.0000000000000002E-3</v>
      </c>
      <c r="GZ198" s="501">
        <v>8.0000000000000002E-3</v>
      </c>
      <c r="HA198" s="501">
        <v>8.0000000000000002E-3</v>
      </c>
      <c r="HB198" s="501">
        <v>8.0000000000000002E-3</v>
      </c>
      <c r="HC198" s="501">
        <v>8.0000000000000002E-3</v>
      </c>
      <c r="HD198" s="501">
        <v>8.0000000000000002E-3</v>
      </c>
      <c r="HE198" s="501">
        <v>8.0000000000000002E-3</v>
      </c>
      <c r="HF198" s="501">
        <v>8.0000000000000002E-3</v>
      </c>
      <c r="HG198" s="501">
        <v>8.0000000000000002E-3</v>
      </c>
      <c r="HH198" s="501">
        <v>8.0000000000000002E-3</v>
      </c>
      <c r="HI198" s="501">
        <v>8.0000000000000002E-3</v>
      </c>
      <c r="HJ198" s="501">
        <v>8.0000000000000002E-3</v>
      </c>
      <c r="HK198" s="501">
        <v>8.0000000000000002E-3</v>
      </c>
      <c r="HL198" s="501">
        <v>8.0000000000000002E-3</v>
      </c>
      <c r="HM198" s="501">
        <v>8.0000000000000002E-3</v>
      </c>
      <c r="HN198" s="501">
        <v>8.0000000000000002E-3</v>
      </c>
      <c r="HO198" s="501">
        <v>8.0000000000000002E-3</v>
      </c>
      <c r="HP198" s="473">
        <f t="shared" si="78"/>
        <v>0</v>
      </c>
      <c r="HQ198" s="1132" t="s">
        <v>251</v>
      </c>
    </row>
    <row r="199" spans="2:225">
      <c r="B199" s="1124"/>
      <c r="C199" s="730" t="s">
        <v>250</v>
      </c>
      <c r="D199" s="500">
        <v>1.7500000000000002E-2</v>
      </c>
      <c r="E199" s="500">
        <v>1.7500000000000002E-2</v>
      </c>
      <c r="F199" s="500">
        <v>1.7500000000000002E-2</v>
      </c>
      <c r="G199" s="500">
        <v>1.7500000000000002E-2</v>
      </c>
      <c r="H199" s="500">
        <v>1.7500000000000002E-2</v>
      </c>
      <c r="I199" s="500">
        <v>1.7500000000000002E-2</v>
      </c>
      <c r="J199" s="500">
        <v>1.7500000000000002E-2</v>
      </c>
      <c r="K199" s="500">
        <v>1.7500000000000002E-2</v>
      </c>
      <c r="L199" s="500">
        <v>1.7500000000000002E-2</v>
      </c>
      <c r="M199" s="500">
        <v>1.7500000000000002E-2</v>
      </c>
      <c r="N199" s="500">
        <v>1.7500000000000002E-2</v>
      </c>
      <c r="O199" s="500">
        <v>1.7500000000000002E-2</v>
      </c>
      <c r="P199" s="500">
        <v>1.7500000000000002E-2</v>
      </c>
      <c r="Q199" s="500">
        <v>1.7500000000000002E-2</v>
      </c>
      <c r="R199" s="500">
        <v>1.7500000000000002E-2</v>
      </c>
      <c r="S199" s="500">
        <v>1.7500000000000002E-2</v>
      </c>
      <c r="T199" s="500">
        <v>1.7500000000000002E-2</v>
      </c>
      <c r="U199" s="500">
        <v>1.7500000000000002E-2</v>
      </c>
      <c r="V199" s="500">
        <v>1.7500000000000002E-2</v>
      </c>
      <c r="W199" s="500">
        <v>1.7500000000000002E-2</v>
      </c>
      <c r="X199" s="500">
        <v>1.7500000000000002E-2</v>
      </c>
      <c r="Y199" s="502">
        <v>1.7500000000000002E-2</v>
      </c>
      <c r="Z199" s="500">
        <v>2.1000000000000001E-2</v>
      </c>
      <c r="AA199" s="500">
        <v>2.1000000000000001E-2</v>
      </c>
      <c r="AB199" s="500">
        <v>2.1000000000000001E-2</v>
      </c>
      <c r="AC199" s="500">
        <v>2.1000000000000001E-2</v>
      </c>
      <c r="AD199" s="500">
        <v>2.1000000000000001E-2</v>
      </c>
      <c r="AE199" s="500">
        <v>2.1000000000000001E-2</v>
      </c>
      <c r="AF199" s="501">
        <v>2.1000000000000001E-2</v>
      </c>
      <c r="AG199" s="501">
        <v>2.1000000000000001E-2</v>
      </c>
      <c r="AH199" s="501">
        <v>2.1000000000000001E-2</v>
      </c>
      <c r="AI199" s="501">
        <v>2.1000000000000001E-2</v>
      </c>
      <c r="AJ199" s="501">
        <v>2.1000000000000001E-2</v>
      </c>
      <c r="AK199" s="501">
        <v>2.1000000000000001E-2</v>
      </c>
      <c r="AL199" s="501">
        <v>2.1000000000000001E-2</v>
      </c>
      <c r="AM199" s="500">
        <v>2.1000000000000001E-2</v>
      </c>
      <c r="AN199" s="500">
        <v>2.1000000000000001E-2</v>
      </c>
      <c r="AO199" s="500">
        <v>2.1000000000000001E-2</v>
      </c>
      <c r="AP199" s="500">
        <v>2.1000000000000001E-2</v>
      </c>
      <c r="AQ199" s="500">
        <v>2.1000000000000001E-2</v>
      </c>
      <c r="AR199" s="500">
        <v>2.1000000000000001E-2</v>
      </c>
      <c r="AS199" s="500">
        <v>2.1000000000000001E-2</v>
      </c>
      <c r="AT199" s="500">
        <v>2.1000000000000001E-2</v>
      </c>
      <c r="AU199" s="500">
        <v>2.1000000000000001E-2</v>
      </c>
      <c r="AV199" s="502">
        <v>2.4E-2</v>
      </c>
      <c r="AW199" s="501">
        <v>2.5499999999999998E-2</v>
      </c>
      <c r="AX199" s="501">
        <v>2.5499999999999998E-2</v>
      </c>
      <c r="AY199" s="501">
        <v>2.5499999999999998E-2</v>
      </c>
      <c r="AZ199" s="501">
        <v>2.5499999999999998E-2</v>
      </c>
      <c r="BA199" s="501">
        <v>2.5499999999999998E-2</v>
      </c>
      <c r="BB199" s="501">
        <v>2.5499999999999998E-2</v>
      </c>
      <c r="BC199" s="501">
        <v>2.5499999999999998E-2</v>
      </c>
      <c r="BD199" s="501">
        <v>2.5499999999999998E-2</v>
      </c>
      <c r="BE199" s="501">
        <v>2.5499999999999998E-2</v>
      </c>
      <c r="BF199" s="501">
        <v>2.5499999999999998E-2</v>
      </c>
      <c r="BG199" s="501">
        <v>2.5499999999999998E-2</v>
      </c>
      <c r="BH199" s="501">
        <v>2.5499999999999998E-2</v>
      </c>
      <c r="BI199" s="501">
        <v>2.5499999999999998E-2</v>
      </c>
      <c r="BJ199" s="501">
        <v>2.5499999999999998E-2</v>
      </c>
      <c r="BK199" s="501">
        <v>2.5499999999999998E-2</v>
      </c>
      <c r="BL199" s="501">
        <v>2.5499999999999998E-2</v>
      </c>
      <c r="BM199" s="501">
        <v>2.5499999999999998E-2</v>
      </c>
      <c r="BN199" s="501">
        <v>2.5499999999999998E-2</v>
      </c>
      <c r="BO199" s="501">
        <v>2.5499999999999998E-2</v>
      </c>
      <c r="BP199" s="501">
        <v>2.5499999999999998E-2</v>
      </c>
      <c r="BQ199" s="501">
        <v>2.5499999999999998E-2</v>
      </c>
      <c r="BR199" s="501">
        <v>2.5499999999999998E-2</v>
      </c>
      <c r="BS199" s="501">
        <v>2.5499999999999998E-2</v>
      </c>
      <c r="BT199" s="501">
        <v>2.5499999999999998E-2</v>
      </c>
      <c r="BU199" s="501">
        <v>2.5499999999999998E-2</v>
      </c>
      <c r="BV199" s="501">
        <v>2.5499999999999998E-2</v>
      </c>
      <c r="BW199" s="501">
        <v>2.5499999999999998E-2</v>
      </c>
      <c r="BX199" s="501">
        <v>2.4E-2</v>
      </c>
      <c r="BY199" s="501">
        <v>2.4E-2</v>
      </c>
      <c r="BZ199" s="501">
        <v>2.9499999999999998E-2</v>
      </c>
      <c r="CA199" s="501">
        <v>2.9499999999999998E-2</v>
      </c>
      <c r="CB199" s="501">
        <v>2.9499999999999998E-2</v>
      </c>
      <c r="CC199" s="501">
        <v>3.5999999999999997E-2</v>
      </c>
      <c r="CD199" s="501">
        <v>3.5999999999999997E-2</v>
      </c>
      <c r="CE199" s="501">
        <v>3.5999999999999997E-2</v>
      </c>
      <c r="CF199" s="501">
        <v>3.5999999999999997E-2</v>
      </c>
      <c r="CG199" s="501">
        <v>3.5999999999999997E-2</v>
      </c>
      <c r="CH199" s="501">
        <v>3.5999999999999997E-2</v>
      </c>
      <c r="CI199" s="501">
        <v>3.5999999999999997E-2</v>
      </c>
      <c r="CJ199" s="501">
        <v>3.5999999999999997E-2</v>
      </c>
      <c r="CK199" s="501">
        <v>3.5999999999999997E-2</v>
      </c>
      <c r="CL199" s="501">
        <v>3.5999999999999997E-2</v>
      </c>
      <c r="CM199" s="501">
        <v>3.5999999999999997E-2</v>
      </c>
      <c r="CN199" s="501">
        <v>3.5999999999999997E-2</v>
      </c>
      <c r="CO199" s="501">
        <v>3.5999999999999997E-2</v>
      </c>
      <c r="CP199" s="501">
        <v>3.5999999999999997E-2</v>
      </c>
      <c r="CQ199" s="501">
        <v>3.5999999999999997E-2</v>
      </c>
      <c r="CR199" s="501">
        <v>3.5999999999999997E-2</v>
      </c>
      <c r="CS199" s="501">
        <v>3.5999999999999997E-2</v>
      </c>
      <c r="CT199" s="501">
        <v>3.5999999999999997E-2</v>
      </c>
      <c r="CU199" s="501">
        <v>3.5999999999999997E-2</v>
      </c>
      <c r="CV199" s="501">
        <v>3.5999999999999997E-2</v>
      </c>
      <c r="CW199" s="501">
        <v>3.5999999999999997E-2</v>
      </c>
      <c r="CX199" s="501">
        <v>3.5999999999999997E-2</v>
      </c>
      <c r="CY199" s="501">
        <v>3.5999999999999997E-2</v>
      </c>
      <c r="CZ199" s="501">
        <v>3.6999999999999998E-2</v>
      </c>
      <c r="DA199" s="501">
        <v>3.6999999999999998E-2</v>
      </c>
      <c r="DB199" s="501">
        <v>3.6999999999999998E-2</v>
      </c>
      <c r="DC199" s="501">
        <v>3.6999999999999998E-2</v>
      </c>
      <c r="DD199" s="501">
        <v>3.6999999999999998E-2</v>
      </c>
      <c r="DE199" s="501">
        <v>3.6999999999999998E-2</v>
      </c>
      <c r="DF199" s="501">
        <v>3.6999999999999998E-2</v>
      </c>
      <c r="DG199" s="501">
        <v>3.6999999999999998E-2</v>
      </c>
      <c r="DH199" s="501">
        <v>3.6999999999999998E-2</v>
      </c>
      <c r="DI199" s="501">
        <v>3.7499999999999999E-2</v>
      </c>
      <c r="DJ199" s="501">
        <v>3.7499999999999999E-2</v>
      </c>
      <c r="DK199" s="501">
        <v>3.7499999999999999E-2</v>
      </c>
      <c r="DL199" s="501">
        <v>3.7499999999999999E-2</v>
      </c>
      <c r="DM199" s="501">
        <v>3.7499999999999999E-2</v>
      </c>
      <c r="DN199" s="501">
        <v>3.7499999999999999E-2</v>
      </c>
      <c r="DO199" s="501">
        <v>3.7499999999999999E-2</v>
      </c>
      <c r="DP199" s="501">
        <v>3.7499999999999999E-2</v>
      </c>
      <c r="DQ199" s="501">
        <v>3.7499999999999999E-2</v>
      </c>
      <c r="DR199" s="501">
        <v>3.7499999999999999E-2</v>
      </c>
      <c r="DS199" s="501">
        <v>3.7499999999999999E-2</v>
      </c>
      <c r="DT199" s="501">
        <v>3.7499999999999999E-2</v>
      </c>
      <c r="DU199" s="501">
        <v>3.7499999999999999E-2</v>
      </c>
      <c r="DV199" s="501">
        <v>3.7499999999999999E-2</v>
      </c>
      <c r="DW199" s="501">
        <v>3.5999999999999997E-2</v>
      </c>
      <c r="DX199" s="501">
        <v>3.5999999999999997E-2</v>
      </c>
      <c r="DY199" s="501">
        <v>3.5999999999999997E-2</v>
      </c>
      <c r="DZ199" s="501">
        <v>3.5999999999999997E-2</v>
      </c>
      <c r="EA199" s="501">
        <v>3.5999999999999997E-2</v>
      </c>
      <c r="EB199" s="501">
        <v>3.5999999999999997E-2</v>
      </c>
      <c r="EC199" s="501">
        <v>3.5999999999999997E-2</v>
      </c>
      <c r="ED199" s="501">
        <v>3.5999999999999997E-2</v>
      </c>
      <c r="EE199" s="501">
        <v>3.5999999999999997E-2</v>
      </c>
      <c r="EF199" s="501">
        <v>3.5999999999999997E-2</v>
      </c>
      <c r="EG199" s="501">
        <v>3.5999999999999997E-2</v>
      </c>
      <c r="EH199" s="501">
        <v>3.5999999999999997E-2</v>
      </c>
      <c r="EI199" s="501">
        <v>3.5999999999999997E-2</v>
      </c>
      <c r="EJ199" s="501">
        <v>3.5999999999999997E-2</v>
      </c>
      <c r="EK199" s="501">
        <v>3.5999999999999997E-2</v>
      </c>
      <c r="EL199" s="501">
        <v>3.5999999999999997E-2</v>
      </c>
      <c r="EM199" s="501">
        <v>3.5999999999999997E-2</v>
      </c>
      <c r="EN199" s="501">
        <v>3.5999999999999997E-2</v>
      </c>
      <c r="EO199" s="501">
        <v>3.5999999999999997E-2</v>
      </c>
      <c r="EP199" s="501">
        <v>3.5999999999999997E-2</v>
      </c>
      <c r="EQ199" s="501">
        <v>3.5999999999999997E-2</v>
      </c>
      <c r="ER199" s="501">
        <v>3.5999999999999997E-2</v>
      </c>
      <c r="ES199" s="501">
        <v>3.5999999999999997E-2</v>
      </c>
      <c r="ET199" s="501">
        <v>3.5999999999999997E-2</v>
      </c>
      <c r="EU199" s="501">
        <v>3.5999999999999997E-2</v>
      </c>
      <c r="EV199" s="501">
        <v>3.5999999999999997E-2</v>
      </c>
      <c r="EW199" s="501">
        <v>3.5999999999999997E-2</v>
      </c>
      <c r="EX199" s="501">
        <v>3.5999999999999997E-2</v>
      </c>
      <c r="EY199" s="501">
        <v>3.5999999999999997E-2</v>
      </c>
      <c r="EZ199" s="501">
        <v>3.5999999999999997E-2</v>
      </c>
      <c r="FA199" s="501">
        <v>3.5999999999999997E-2</v>
      </c>
      <c r="FB199" s="501">
        <v>3.5999999999999997E-2</v>
      </c>
      <c r="FC199" s="501">
        <v>3.5999999999999997E-2</v>
      </c>
      <c r="FD199" s="501">
        <v>3.5999999999999997E-2</v>
      </c>
      <c r="FE199" s="501">
        <v>3.5999999999999997E-2</v>
      </c>
      <c r="FF199" s="501">
        <v>3.5999999999999997E-2</v>
      </c>
      <c r="FG199" s="501">
        <v>3.5999999999999997E-2</v>
      </c>
      <c r="FH199" s="501">
        <v>3.5999999999999997E-2</v>
      </c>
      <c r="FI199" s="501">
        <v>3.5999999999999997E-2</v>
      </c>
      <c r="FJ199" s="501">
        <v>3.5999999999999997E-2</v>
      </c>
      <c r="FK199" s="501">
        <v>3.5999999999999997E-2</v>
      </c>
      <c r="FL199" s="501">
        <v>3.5999999999999997E-2</v>
      </c>
      <c r="FM199" s="501">
        <v>3.5999999999999997E-2</v>
      </c>
      <c r="FN199" s="501">
        <v>3.5999999999999997E-2</v>
      </c>
      <c r="FO199" s="501">
        <v>3.5999999999999997E-2</v>
      </c>
      <c r="FP199" s="501">
        <v>3.5999999999999997E-2</v>
      </c>
      <c r="FQ199" s="501">
        <v>3.5999999999999997E-2</v>
      </c>
      <c r="FR199" s="501">
        <v>3.5999999999999997E-2</v>
      </c>
      <c r="FS199" s="501">
        <v>3.5999999999999997E-2</v>
      </c>
      <c r="FT199" s="501">
        <v>3.5999999999999997E-2</v>
      </c>
      <c r="FU199" s="501">
        <v>3.5999999999999997E-2</v>
      </c>
      <c r="FV199" s="501">
        <v>3.5999999999999997E-2</v>
      </c>
      <c r="FW199" s="501">
        <v>3.5999999999999997E-2</v>
      </c>
      <c r="FX199" s="501">
        <v>3.5999999999999997E-2</v>
      </c>
      <c r="FY199" s="501">
        <v>3.5999999999999997E-2</v>
      </c>
      <c r="FZ199" s="501">
        <v>3.5999999999999997E-2</v>
      </c>
      <c r="GA199" s="501">
        <v>3.5999999999999997E-2</v>
      </c>
      <c r="GB199" s="501">
        <v>3.5999999999999997E-2</v>
      </c>
      <c r="GC199" s="501">
        <v>3.5999999999999997E-2</v>
      </c>
      <c r="GD199" s="501">
        <v>8.0000000000000002E-3</v>
      </c>
      <c r="GE199" s="501">
        <v>8.0000000000000002E-3</v>
      </c>
      <c r="GF199" s="501">
        <v>8.0000000000000002E-3</v>
      </c>
      <c r="GG199" s="501">
        <v>8.0000000000000002E-3</v>
      </c>
      <c r="GH199" s="501">
        <v>8.0000000000000002E-3</v>
      </c>
      <c r="GI199" s="501">
        <v>8.0000000000000002E-3</v>
      </c>
      <c r="GJ199" s="501">
        <v>8.0000000000000002E-3</v>
      </c>
      <c r="GK199" s="501">
        <v>8.0000000000000002E-3</v>
      </c>
      <c r="GL199" s="501">
        <v>8.0000000000000002E-3</v>
      </c>
      <c r="GM199" s="501">
        <v>8.0000000000000002E-3</v>
      </c>
      <c r="GN199" s="501">
        <v>8.0000000000000002E-3</v>
      </c>
      <c r="GO199" s="501">
        <v>8.0000000000000002E-3</v>
      </c>
      <c r="GP199" s="501">
        <v>8.0000000000000002E-3</v>
      </c>
      <c r="GQ199" s="501">
        <v>8.0000000000000002E-3</v>
      </c>
      <c r="GR199" s="501">
        <v>8.0000000000000002E-3</v>
      </c>
      <c r="GS199" s="501">
        <v>8.0000000000000002E-3</v>
      </c>
      <c r="GT199" s="501">
        <v>8.0000000000000002E-3</v>
      </c>
      <c r="GU199" s="501">
        <v>8.0000000000000002E-3</v>
      </c>
      <c r="GV199" s="501">
        <v>8.0000000000000002E-3</v>
      </c>
      <c r="GW199" s="501">
        <v>8.0000000000000002E-3</v>
      </c>
      <c r="GX199" s="501">
        <v>8.0000000000000002E-3</v>
      </c>
      <c r="GY199" s="501">
        <v>8.0000000000000002E-3</v>
      </c>
      <c r="GZ199" s="501">
        <v>8.0000000000000002E-3</v>
      </c>
      <c r="HA199" s="501">
        <v>8.0000000000000002E-3</v>
      </c>
      <c r="HB199" s="501">
        <v>8.0000000000000002E-3</v>
      </c>
      <c r="HC199" s="501">
        <v>8.0000000000000002E-3</v>
      </c>
      <c r="HD199" s="501">
        <v>8.0000000000000002E-3</v>
      </c>
      <c r="HE199" s="501">
        <v>8.0000000000000002E-3</v>
      </c>
      <c r="HF199" s="501">
        <v>8.0000000000000002E-3</v>
      </c>
      <c r="HG199" s="501">
        <v>8.0000000000000002E-3</v>
      </c>
      <c r="HH199" s="501">
        <v>8.0000000000000002E-3</v>
      </c>
      <c r="HI199" s="501">
        <v>8.0000000000000002E-3</v>
      </c>
      <c r="HJ199" s="501">
        <v>8.0000000000000002E-3</v>
      </c>
      <c r="HK199" s="501">
        <v>8.0000000000000002E-3</v>
      </c>
      <c r="HL199" s="501">
        <v>8.0000000000000002E-3</v>
      </c>
      <c r="HM199" s="501">
        <v>8.0000000000000002E-3</v>
      </c>
      <c r="HN199" s="501">
        <v>8.0000000000000002E-3</v>
      </c>
      <c r="HO199" s="501">
        <v>8.0000000000000002E-3</v>
      </c>
      <c r="HP199" s="473">
        <f t="shared" si="78"/>
        <v>0</v>
      </c>
      <c r="HQ199" s="1133"/>
    </row>
    <row r="200" spans="2:225">
      <c r="B200" s="1124"/>
      <c r="C200" s="730" t="s">
        <v>249</v>
      </c>
      <c r="D200" s="500">
        <v>2.0500000000000001E-2</v>
      </c>
      <c r="E200" s="500">
        <v>2.0500000000000001E-2</v>
      </c>
      <c r="F200" s="500">
        <v>2.0500000000000001E-2</v>
      </c>
      <c r="G200" s="500">
        <v>2.0500000000000001E-2</v>
      </c>
      <c r="H200" s="500">
        <v>2.0500000000000001E-2</v>
      </c>
      <c r="I200" s="500">
        <v>2.0500000000000001E-2</v>
      </c>
      <c r="J200" s="500">
        <v>2.0500000000000001E-2</v>
      </c>
      <c r="K200" s="500">
        <v>2.0500000000000001E-2</v>
      </c>
      <c r="L200" s="500">
        <v>2.0500000000000001E-2</v>
      </c>
      <c r="M200" s="500">
        <v>2.0500000000000001E-2</v>
      </c>
      <c r="N200" s="500">
        <v>2.0500000000000001E-2</v>
      </c>
      <c r="O200" s="500">
        <v>2.0500000000000001E-2</v>
      </c>
      <c r="P200" s="500">
        <v>2.0500000000000001E-2</v>
      </c>
      <c r="Q200" s="500">
        <v>2.0500000000000001E-2</v>
      </c>
      <c r="R200" s="500">
        <v>2.0500000000000001E-2</v>
      </c>
      <c r="S200" s="500">
        <v>2.0500000000000001E-2</v>
      </c>
      <c r="T200" s="500">
        <v>2.0500000000000001E-2</v>
      </c>
      <c r="U200" s="500">
        <v>2.0500000000000001E-2</v>
      </c>
      <c r="V200" s="500">
        <v>2.0500000000000001E-2</v>
      </c>
      <c r="W200" s="500">
        <v>2.0500000000000001E-2</v>
      </c>
      <c r="X200" s="500">
        <v>2.0500000000000001E-2</v>
      </c>
      <c r="Y200" s="502">
        <v>2.0500000000000001E-2</v>
      </c>
      <c r="Z200" s="500">
        <v>2.4E-2</v>
      </c>
      <c r="AA200" s="500">
        <v>2.4E-2</v>
      </c>
      <c r="AB200" s="500">
        <v>2.4E-2</v>
      </c>
      <c r="AC200" s="500">
        <v>2.4E-2</v>
      </c>
      <c r="AD200" s="500">
        <v>2.4E-2</v>
      </c>
      <c r="AE200" s="500">
        <v>2.4E-2</v>
      </c>
      <c r="AF200" s="501">
        <v>2.4E-2</v>
      </c>
      <c r="AG200" s="501">
        <v>2.4E-2</v>
      </c>
      <c r="AH200" s="501">
        <v>2.4E-2</v>
      </c>
      <c r="AI200" s="501">
        <v>2.4E-2</v>
      </c>
      <c r="AJ200" s="501">
        <v>2.4E-2</v>
      </c>
      <c r="AK200" s="501">
        <v>2.4E-2</v>
      </c>
      <c r="AL200" s="501">
        <v>2.4E-2</v>
      </c>
      <c r="AM200" s="500">
        <v>2.4E-2</v>
      </c>
      <c r="AN200" s="500">
        <v>2.4E-2</v>
      </c>
      <c r="AO200" s="500">
        <v>2.4E-2</v>
      </c>
      <c r="AP200" s="500">
        <v>2.4E-2</v>
      </c>
      <c r="AQ200" s="500">
        <v>2.4E-2</v>
      </c>
      <c r="AR200" s="500">
        <v>2.4E-2</v>
      </c>
      <c r="AS200" s="500">
        <v>2.4E-2</v>
      </c>
      <c r="AT200" s="500">
        <v>2.4E-2</v>
      </c>
      <c r="AU200" s="500">
        <v>2.4E-2</v>
      </c>
      <c r="AV200" s="502">
        <v>2.7E-2</v>
      </c>
      <c r="AW200" s="501">
        <v>2.8500000000000001E-2</v>
      </c>
      <c r="AX200" s="501">
        <v>2.8500000000000001E-2</v>
      </c>
      <c r="AY200" s="501">
        <v>2.8500000000000001E-2</v>
      </c>
      <c r="AZ200" s="501">
        <v>2.8500000000000001E-2</v>
      </c>
      <c r="BA200" s="501">
        <v>2.8500000000000001E-2</v>
      </c>
      <c r="BB200" s="501">
        <v>2.8500000000000001E-2</v>
      </c>
      <c r="BC200" s="501">
        <v>2.8500000000000001E-2</v>
      </c>
      <c r="BD200" s="501">
        <v>2.8500000000000001E-2</v>
      </c>
      <c r="BE200" s="501">
        <v>2.8500000000000001E-2</v>
      </c>
      <c r="BF200" s="501">
        <v>2.8500000000000001E-2</v>
      </c>
      <c r="BG200" s="501">
        <v>2.8500000000000001E-2</v>
      </c>
      <c r="BH200" s="501">
        <v>2.8500000000000001E-2</v>
      </c>
      <c r="BI200" s="501">
        <v>2.8500000000000001E-2</v>
      </c>
      <c r="BJ200" s="501">
        <v>2.8500000000000001E-2</v>
      </c>
      <c r="BK200" s="501">
        <v>2.8500000000000001E-2</v>
      </c>
      <c r="BL200" s="501">
        <v>2.8500000000000001E-2</v>
      </c>
      <c r="BM200" s="501">
        <v>2.8500000000000001E-2</v>
      </c>
      <c r="BN200" s="501">
        <v>2.8500000000000001E-2</v>
      </c>
      <c r="BO200" s="501">
        <v>2.8500000000000001E-2</v>
      </c>
      <c r="BP200" s="501">
        <v>2.8500000000000001E-2</v>
      </c>
      <c r="BQ200" s="501">
        <v>2.8500000000000001E-2</v>
      </c>
      <c r="BR200" s="501">
        <v>2.8500000000000001E-2</v>
      </c>
      <c r="BS200" s="501">
        <v>2.8500000000000001E-2</v>
      </c>
      <c r="BT200" s="501">
        <v>2.8500000000000001E-2</v>
      </c>
      <c r="BU200" s="501">
        <v>2.8500000000000001E-2</v>
      </c>
      <c r="BV200" s="501">
        <v>2.8500000000000001E-2</v>
      </c>
      <c r="BW200" s="501">
        <v>2.8500000000000001E-2</v>
      </c>
      <c r="BX200" s="501">
        <v>2.7E-2</v>
      </c>
      <c r="BY200" s="501">
        <v>2.7E-2</v>
      </c>
      <c r="BZ200" s="501">
        <v>3.1E-2</v>
      </c>
      <c r="CA200" s="501">
        <v>3.1E-2</v>
      </c>
      <c r="CB200" s="501">
        <v>3.1E-2</v>
      </c>
      <c r="CC200" s="501">
        <v>3.6999999999999998E-2</v>
      </c>
      <c r="CD200" s="501">
        <v>3.6999999999999998E-2</v>
      </c>
      <c r="CE200" s="501">
        <v>3.6999999999999998E-2</v>
      </c>
      <c r="CF200" s="501">
        <v>3.6999999999999998E-2</v>
      </c>
      <c r="CG200" s="501">
        <v>3.6999999999999998E-2</v>
      </c>
      <c r="CH200" s="501">
        <v>3.6999999999999998E-2</v>
      </c>
      <c r="CI200" s="501">
        <v>3.6999999999999998E-2</v>
      </c>
      <c r="CJ200" s="501">
        <v>3.6999999999999998E-2</v>
      </c>
      <c r="CK200" s="501">
        <v>3.6999999999999998E-2</v>
      </c>
      <c r="CL200" s="501">
        <v>3.6999999999999998E-2</v>
      </c>
      <c r="CM200" s="501">
        <v>3.6999999999999998E-2</v>
      </c>
      <c r="CN200" s="501">
        <v>3.6999999999999998E-2</v>
      </c>
      <c r="CO200" s="501">
        <v>3.6999999999999998E-2</v>
      </c>
      <c r="CP200" s="501">
        <v>3.6999999999999998E-2</v>
      </c>
      <c r="CQ200" s="501">
        <v>3.6999999999999998E-2</v>
      </c>
      <c r="CR200" s="501">
        <v>3.6999999999999998E-2</v>
      </c>
      <c r="CS200" s="501">
        <v>3.6999999999999998E-2</v>
      </c>
      <c r="CT200" s="501">
        <v>3.6999999999999998E-2</v>
      </c>
      <c r="CU200" s="501">
        <v>3.6999999999999998E-2</v>
      </c>
      <c r="CV200" s="501">
        <v>3.6999999999999998E-2</v>
      </c>
      <c r="CW200" s="501">
        <v>3.6999999999999998E-2</v>
      </c>
      <c r="CX200" s="501">
        <v>3.6999999999999998E-2</v>
      </c>
      <c r="CY200" s="501">
        <v>3.6999999999999998E-2</v>
      </c>
      <c r="CZ200" s="501">
        <v>3.7999999999999999E-2</v>
      </c>
      <c r="DA200" s="501">
        <v>3.7999999999999999E-2</v>
      </c>
      <c r="DB200" s="501">
        <v>3.7999999999999999E-2</v>
      </c>
      <c r="DC200" s="501">
        <v>3.7999999999999999E-2</v>
      </c>
      <c r="DD200" s="501">
        <v>3.7999999999999999E-2</v>
      </c>
      <c r="DE200" s="501">
        <v>3.7999999999999999E-2</v>
      </c>
      <c r="DF200" s="501">
        <v>3.7999999999999999E-2</v>
      </c>
      <c r="DG200" s="501">
        <v>3.7999999999999999E-2</v>
      </c>
      <c r="DH200" s="501">
        <v>3.7999999999999999E-2</v>
      </c>
      <c r="DI200" s="501">
        <v>3.85E-2</v>
      </c>
      <c r="DJ200" s="501">
        <v>3.85E-2</v>
      </c>
      <c r="DK200" s="501">
        <v>3.85E-2</v>
      </c>
      <c r="DL200" s="501">
        <v>3.85E-2</v>
      </c>
      <c r="DM200" s="501">
        <v>3.85E-2</v>
      </c>
      <c r="DN200" s="501">
        <v>3.85E-2</v>
      </c>
      <c r="DO200" s="501">
        <v>3.85E-2</v>
      </c>
      <c r="DP200" s="501">
        <v>3.85E-2</v>
      </c>
      <c r="DQ200" s="501">
        <v>3.85E-2</v>
      </c>
      <c r="DR200" s="501">
        <v>3.85E-2</v>
      </c>
      <c r="DS200" s="501">
        <v>3.85E-2</v>
      </c>
      <c r="DT200" s="501">
        <v>3.85E-2</v>
      </c>
      <c r="DU200" s="501">
        <v>3.85E-2</v>
      </c>
      <c r="DV200" s="501">
        <v>3.85E-2</v>
      </c>
      <c r="DW200" s="501">
        <v>3.6999999999999998E-2</v>
      </c>
      <c r="DX200" s="501">
        <v>3.6999999999999998E-2</v>
      </c>
      <c r="DY200" s="501">
        <v>3.6999999999999998E-2</v>
      </c>
      <c r="DZ200" s="501">
        <v>3.6999999999999998E-2</v>
      </c>
      <c r="EA200" s="501">
        <v>3.6999999999999998E-2</v>
      </c>
      <c r="EB200" s="501">
        <v>3.6999999999999998E-2</v>
      </c>
      <c r="EC200" s="501">
        <v>3.6999999999999998E-2</v>
      </c>
      <c r="ED200" s="501">
        <v>3.6999999999999998E-2</v>
      </c>
      <c r="EE200" s="501">
        <v>3.6999999999999998E-2</v>
      </c>
      <c r="EF200" s="501">
        <v>3.6999999999999998E-2</v>
      </c>
      <c r="EG200" s="501">
        <v>3.6999999999999998E-2</v>
      </c>
      <c r="EH200" s="501">
        <v>3.6999999999999998E-2</v>
      </c>
      <c r="EI200" s="501">
        <v>3.6999999999999998E-2</v>
      </c>
      <c r="EJ200" s="501">
        <v>3.6999999999999998E-2</v>
      </c>
      <c r="EK200" s="501">
        <v>3.6999999999999998E-2</v>
      </c>
      <c r="EL200" s="501">
        <v>3.6999999999999998E-2</v>
      </c>
      <c r="EM200" s="501">
        <v>3.6999999999999998E-2</v>
      </c>
      <c r="EN200" s="501">
        <v>3.6999999999999998E-2</v>
      </c>
      <c r="EO200" s="501">
        <v>3.6999999999999998E-2</v>
      </c>
      <c r="EP200" s="501">
        <v>3.6999999999999998E-2</v>
      </c>
      <c r="EQ200" s="501">
        <v>3.6999999999999998E-2</v>
      </c>
      <c r="ER200" s="501">
        <v>3.6999999999999998E-2</v>
      </c>
      <c r="ES200" s="501">
        <v>3.6999999999999998E-2</v>
      </c>
      <c r="ET200" s="501">
        <v>3.6999999999999998E-2</v>
      </c>
      <c r="EU200" s="501">
        <v>3.6999999999999998E-2</v>
      </c>
      <c r="EV200" s="501">
        <v>3.6999999999999998E-2</v>
      </c>
      <c r="EW200" s="501">
        <v>3.6999999999999998E-2</v>
      </c>
      <c r="EX200" s="501">
        <v>3.6999999999999998E-2</v>
      </c>
      <c r="EY200" s="501">
        <v>3.6999999999999998E-2</v>
      </c>
      <c r="EZ200" s="501">
        <v>3.6999999999999998E-2</v>
      </c>
      <c r="FA200" s="501">
        <v>3.6999999999999998E-2</v>
      </c>
      <c r="FB200" s="501">
        <v>3.6999999999999998E-2</v>
      </c>
      <c r="FC200" s="501">
        <v>3.6999999999999998E-2</v>
      </c>
      <c r="FD200" s="501">
        <v>3.6999999999999998E-2</v>
      </c>
      <c r="FE200" s="501">
        <v>3.6999999999999998E-2</v>
      </c>
      <c r="FF200" s="501">
        <v>3.6999999999999998E-2</v>
      </c>
      <c r="FG200" s="501">
        <v>3.6999999999999998E-2</v>
      </c>
      <c r="FH200" s="501">
        <v>3.6999999999999998E-2</v>
      </c>
      <c r="FI200" s="501">
        <v>3.6999999999999998E-2</v>
      </c>
      <c r="FJ200" s="501">
        <v>3.6999999999999998E-2</v>
      </c>
      <c r="FK200" s="501">
        <v>3.6999999999999998E-2</v>
      </c>
      <c r="FL200" s="501">
        <v>3.6999999999999998E-2</v>
      </c>
      <c r="FM200" s="501">
        <v>3.6999999999999998E-2</v>
      </c>
      <c r="FN200" s="501">
        <v>3.6999999999999998E-2</v>
      </c>
      <c r="FO200" s="501">
        <v>3.6999999999999998E-2</v>
      </c>
      <c r="FP200" s="501">
        <v>3.6999999999999998E-2</v>
      </c>
      <c r="FQ200" s="501">
        <v>3.6999999999999998E-2</v>
      </c>
      <c r="FR200" s="501">
        <v>3.6999999999999998E-2</v>
      </c>
      <c r="FS200" s="501">
        <v>3.6999999999999998E-2</v>
      </c>
      <c r="FT200" s="501">
        <v>3.6999999999999998E-2</v>
      </c>
      <c r="FU200" s="501">
        <v>3.6999999999999998E-2</v>
      </c>
      <c r="FV200" s="501">
        <v>3.6999999999999998E-2</v>
      </c>
      <c r="FW200" s="501">
        <v>3.6999999999999998E-2</v>
      </c>
      <c r="FX200" s="501">
        <v>3.6999999999999998E-2</v>
      </c>
      <c r="FY200" s="501">
        <v>3.6999999999999998E-2</v>
      </c>
      <c r="FZ200" s="501">
        <v>3.6999999999999998E-2</v>
      </c>
      <c r="GA200" s="501">
        <v>3.6999999999999998E-2</v>
      </c>
      <c r="GB200" s="501">
        <v>3.7999999999999999E-2</v>
      </c>
      <c r="GC200" s="501">
        <v>3.7999999999999999E-2</v>
      </c>
      <c r="GD200" s="501">
        <v>1.2500000000000001E-2</v>
      </c>
      <c r="GE200" s="501">
        <v>1.2500000000000001E-2</v>
      </c>
      <c r="GF200" s="501">
        <v>1.2500000000000001E-2</v>
      </c>
      <c r="GG200" s="501">
        <v>1.2500000000000001E-2</v>
      </c>
      <c r="GH200" s="501">
        <v>1.2500000000000001E-2</v>
      </c>
      <c r="GI200" s="501">
        <v>1.2500000000000001E-2</v>
      </c>
      <c r="GJ200" s="501">
        <v>1.2500000000000001E-2</v>
      </c>
      <c r="GK200" s="501">
        <v>1.2500000000000001E-2</v>
      </c>
      <c r="GL200" s="501">
        <v>1.2500000000000001E-2</v>
      </c>
      <c r="GM200" s="501">
        <v>1.2500000000000001E-2</v>
      </c>
      <c r="GN200" s="501">
        <v>1.2500000000000001E-2</v>
      </c>
      <c r="GO200" s="501">
        <v>1.2500000000000001E-2</v>
      </c>
      <c r="GP200" s="501">
        <v>1.2500000000000001E-2</v>
      </c>
      <c r="GQ200" s="501">
        <v>1.2500000000000001E-2</v>
      </c>
      <c r="GR200" s="501">
        <v>1.2500000000000001E-2</v>
      </c>
      <c r="GS200" s="501">
        <v>1.2500000000000001E-2</v>
      </c>
      <c r="GT200" s="501">
        <v>1.2500000000000001E-2</v>
      </c>
      <c r="GU200" s="501">
        <v>1.2500000000000001E-2</v>
      </c>
      <c r="GV200" s="501">
        <v>1.2500000000000001E-2</v>
      </c>
      <c r="GW200" s="501">
        <v>1.2500000000000001E-2</v>
      </c>
      <c r="GX200" s="501">
        <v>1.2500000000000001E-2</v>
      </c>
      <c r="GY200" s="501">
        <v>1.2500000000000001E-2</v>
      </c>
      <c r="GZ200" s="501">
        <v>1.2500000000000001E-2</v>
      </c>
      <c r="HA200" s="501">
        <v>1.2500000000000001E-2</v>
      </c>
      <c r="HB200" s="501">
        <v>1.2500000000000001E-2</v>
      </c>
      <c r="HC200" s="501">
        <v>1.2500000000000001E-2</v>
      </c>
      <c r="HD200" s="501">
        <v>1.2500000000000001E-2</v>
      </c>
      <c r="HE200" s="501">
        <v>1.2500000000000001E-2</v>
      </c>
      <c r="HF200" s="501">
        <v>1.2500000000000001E-2</v>
      </c>
      <c r="HG200" s="501">
        <v>1.2500000000000001E-2</v>
      </c>
      <c r="HH200" s="501">
        <v>1.2500000000000001E-2</v>
      </c>
      <c r="HI200" s="501">
        <v>1.2500000000000001E-2</v>
      </c>
      <c r="HJ200" s="501">
        <v>1.2500000000000001E-2</v>
      </c>
      <c r="HK200" s="501">
        <v>1.2500000000000001E-2</v>
      </c>
      <c r="HL200" s="501">
        <v>1.2500000000000001E-2</v>
      </c>
      <c r="HM200" s="501">
        <v>1.2500000000000001E-2</v>
      </c>
      <c r="HN200" s="501">
        <v>1.2500000000000001E-2</v>
      </c>
      <c r="HO200" s="501">
        <v>1.2500000000000001E-2</v>
      </c>
      <c r="HP200" s="473">
        <f t="shared" si="78"/>
        <v>0</v>
      </c>
      <c r="HQ200" s="1133"/>
    </row>
    <row r="201" spans="2:225">
      <c r="B201" s="1124"/>
      <c r="C201" s="730" t="s">
        <v>248</v>
      </c>
      <c r="D201" s="500">
        <v>2.0500000000000001E-2</v>
      </c>
      <c r="E201" s="500">
        <v>2.0500000000000001E-2</v>
      </c>
      <c r="F201" s="500">
        <v>2.0500000000000001E-2</v>
      </c>
      <c r="G201" s="500">
        <v>2.0500000000000001E-2</v>
      </c>
      <c r="H201" s="500">
        <v>2.0500000000000001E-2</v>
      </c>
      <c r="I201" s="500">
        <v>2.0500000000000001E-2</v>
      </c>
      <c r="J201" s="500">
        <v>2.0500000000000001E-2</v>
      </c>
      <c r="K201" s="500">
        <v>2.0500000000000001E-2</v>
      </c>
      <c r="L201" s="500">
        <v>2.0500000000000001E-2</v>
      </c>
      <c r="M201" s="500">
        <v>2.0500000000000001E-2</v>
      </c>
      <c r="N201" s="500">
        <v>2.0500000000000001E-2</v>
      </c>
      <c r="O201" s="500">
        <v>2.0500000000000001E-2</v>
      </c>
      <c r="P201" s="500">
        <v>2.0500000000000001E-2</v>
      </c>
      <c r="Q201" s="500">
        <v>2.0500000000000001E-2</v>
      </c>
      <c r="R201" s="500">
        <v>2.0500000000000001E-2</v>
      </c>
      <c r="S201" s="500">
        <v>2.0500000000000001E-2</v>
      </c>
      <c r="T201" s="500">
        <v>2.0500000000000001E-2</v>
      </c>
      <c r="U201" s="500">
        <v>2.0500000000000001E-2</v>
      </c>
      <c r="V201" s="500">
        <v>2.0500000000000001E-2</v>
      </c>
      <c r="W201" s="500">
        <v>2.0500000000000001E-2</v>
      </c>
      <c r="X201" s="500">
        <v>2.0500000000000001E-2</v>
      </c>
      <c r="Y201" s="502">
        <v>2.0500000000000001E-2</v>
      </c>
      <c r="Z201" s="500">
        <v>2.4E-2</v>
      </c>
      <c r="AA201" s="500">
        <v>2.4E-2</v>
      </c>
      <c r="AB201" s="500">
        <v>2.4E-2</v>
      </c>
      <c r="AC201" s="500">
        <v>2.4E-2</v>
      </c>
      <c r="AD201" s="500">
        <v>2.4E-2</v>
      </c>
      <c r="AE201" s="500">
        <v>2.4E-2</v>
      </c>
      <c r="AF201" s="501">
        <v>2.4E-2</v>
      </c>
      <c r="AG201" s="501">
        <v>2.4E-2</v>
      </c>
      <c r="AH201" s="501">
        <v>2.4E-2</v>
      </c>
      <c r="AI201" s="501">
        <v>2.4E-2</v>
      </c>
      <c r="AJ201" s="501">
        <v>2.4E-2</v>
      </c>
      <c r="AK201" s="501">
        <v>2.4E-2</v>
      </c>
      <c r="AL201" s="501">
        <v>2.4E-2</v>
      </c>
      <c r="AM201" s="500">
        <v>2.4E-2</v>
      </c>
      <c r="AN201" s="500">
        <v>2.4E-2</v>
      </c>
      <c r="AO201" s="500">
        <v>2.4E-2</v>
      </c>
      <c r="AP201" s="500">
        <v>2.4E-2</v>
      </c>
      <c r="AQ201" s="500">
        <v>2.4E-2</v>
      </c>
      <c r="AR201" s="500">
        <v>2.4E-2</v>
      </c>
      <c r="AS201" s="500">
        <v>2.4E-2</v>
      </c>
      <c r="AT201" s="500">
        <v>2.4E-2</v>
      </c>
      <c r="AU201" s="500">
        <v>2.4E-2</v>
      </c>
      <c r="AV201" s="502">
        <v>2.7E-2</v>
      </c>
      <c r="AW201" s="501">
        <v>2.8500000000000001E-2</v>
      </c>
      <c r="AX201" s="501">
        <v>2.8500000000000001E-2</v>
      </c>
      <c r="AY201" s="501">
        <v>2.8500000000000001E-2</v>
      </c>
      <c r="AZ201" s="501">
        <v>2.8500000000000001E-2</v>
      </c>
      <c r="BA201" s="501">
        <v>2.8500000000000001E-2</v>
      </c>
      <c r="BB201" s="501">
        <v>2.8500000000000001E-2</v>
      </c>
      <c r="BC201" s="501">
        <v>2.8500000000000001E-2</v>
      </c>
      <c r="BD201" s="501">
        <v>2.8500000000000001E-2</v>
      </c>
      <c r="BE201" s="501">
        <v>2.8500000000000001E-2</v>
      </c>
      <c r="BF201" s="501">
        <v>2.8500000000000001E-2</v>
      </c>
      <c r="BG201" s="501">
        <v>2.8500000000000001E-2</v>
      </c>
      <c r="BH201" s="501">
        <v>2.8500000000000001E-2</v>
      </c>
      <c r="BI201" s="501">
        <v>2.8500000000000001E-2</v>
      </c>
      <c r="BJ201" s="501">
        <v>2.8500000000000001E-2</v>
      </c>
      <c r="BK201" s="501">
        <v>2.8500000000000001E-2</v>
      </c>
      <c r="BL201" s="501">
        <v>2.8500000000000001E-2</v>
      </c>
      <c r="BM201" s="501">
        <v>2.8500000000000001E-2</v>
      </c>
      <c r="BN201" s="501">
        <v>2.8500000000000001E-2</v>
      </c>
      <c r="BO201" s="501">
        <v>2.8500000000000001E-2</v>
      </c>
      <c r="BP201" s="501">
        <v>2.8500000000000001E-2</v>
      </c>
      <c r="BQ201" s="501">
        <v>2.8500000000000001E-2</v>
      </c>
      <c r="BR201" s="501">
        <v>2.8500000000000001E-2</v>
      </c>
      <c r="BS201" s="501">
        <v>2.8500000000000001E-2</v>
      </c>
      <c r="BT201" s="501">
        <v>2.8500000000000001E-2</v>
      </c>
      <c r="BU201" s="501">
        <v>2.8500000000000001E-2</v>
      </c>
      <c r="BV201" s="501">
        <v>2.8500000000000001E-2</v>
      </c>
      <c r="BW201" s="501">
        <v>2.8500000000000001E-2</v>
      </c>
      <c r="BX201" s="501">
        <v>2.7E-2</v>
      </c>
      <c r="BY201" s="501">
        <v>2.7E-2</v>
      </c>
      <c r="BZ201" s="501">
        <v>3.2000000000000001E-2</v>
      </c>
      <c r="CA201" s="501">
        <v>3.2000000000000001E-2</v>
      </c>
      <c r="CB201" s="501">
        <v>3.2000000000000001E-2</v>
      </c>
      <c r="CC201" s="501">
        <v>3.7999999999999999E-2</v>
      </c>
      <c r="CD201" s="501">
        <v>3.7999999999999999E-2</v>
      </c>
      <c r="CE201" s="501">
        <v>3.7999999999999999E-2</v>
      </c>
      <c r="CF201" s="501">
        <v>3.7999999999999999E-2</v>
      </c>
      <c r="CG201" s="501">
        <v>3.7999999999999999E-2</v>
      </c>
      <c r="CH201" s="501">
        <v>3.7999999999999999E-2</v>
      </c>
      <c r="CI201" s="501">
        <v>3.7999999999999999E-2</v>
      </c>
      <c r="CJ201" s="501">
        <v>3.7999999999999999E-2</v>
      </c>
      <c r="CK201" s="501">
        <v>3.7999999999999999E-2</v>
      </c>
      <c r="CL201" s="501">
        <v>3.7999999999999999E-2</v>
      </c>
      <c r="CM201" s="501">
        <v>3.7999999999999999E-2</v>
      </c>
      <c r="CN201" s="501">
        <v>3.7999999999999999E-2</v>
      </c>
      <c r="CO201" s="501">
        <v>3.7999999999999999E-2</v>
      </c>
      <c r="CP201" s="501">
        <v>3.7999999999999999E-2</v>
      </c>
      <c r="CQ201" s="501">
        <v>3.7999999999999999E-2</v>
      </c>
      <c r="CR201" s="501">
        <v>3.7999999999999999E-2</v>
      </c>
      <c r="CS201" s="501">
        <v>3.7999999999999999E-2</v>
      </c>
      <c r="CT201" s="501">
        <v>3.7999999999999999E-2</v>
      </c>
      <c r="CU201" s="501">
        <v>3.7999999999999999E-2</v>
      </c>
      <c r="CV201" s="501">
        <v>3.7999999999999999E-2</v>
      </c>
      <c r="CW201" s="501">
        <v>3.7999999999999999E-2</v>
      </c>
      <c r="CX201" s="501">
        <v>3.7999999999999999E-2</v>
      </c>
      <c r="CY201" s="501">
        <v>3.7999999999999999E-2</v>
      </c>
      <c r="CZ201" s="501">
        <v>3.9E-2</v>
      </c>
      <c r="DA201" s="501">
        <v>3.9E-2</v>
      </c>
      <c r="DB201" s="501">
        <v>3.9E-2</v>
      </c>
      <c r="DC201" s="501">
        <v>3.9E-2</v>
      </c>
      <c r="DD201" s="501">
        <v>3.9E-2</v>
      </c>
      <c r="DE201" s="501">
        <v>3.9E-2</v>
      </c>
      <c r="DF201" s="501">
        <v>3.9E-2</v>
      </c>
      <c r="DG201" s="501">
        <v>3.9E-2</v>
      </c>
      <c r="DH201" s="501">
        <v>3.9E-2</v>
      </c>
      <c r="DI201" s="501">
        <v>3.95E-2</v>
      </c>
      <c r="DJ201" s="501">
        <v>3.95E-2</v>
      </c>
      <c r="DK201" s="501">
        <v>3.95E-2</v>
      </c>
      <c r="DL201" s="501">
        <v>3.95E-2</v>
      </c>
      <c r="DM201" s="501">
        <v>3.95E-2</v>
      </c>
      <c r="DN201" s="501">
        <v>3.95E-2</v>
      </c>
      <c r="DO201" s="501">
        <v>3.95E-2</v>
      </c>
      <c r="DP201" s="501">
        <v>3.95E-2</v>
      </c>
      <c r="DQ201" s="501">
        <v>3.95E-2</v>
      </c>
      <c r="DR201" s="501">
        <v>3.95E-2</v>
      </c>
      <c r="DS201" s="501">
        <v>3.95E-2</v>
      </c>
      <c r="DT201" s="501">
        <v>3.95E-2</v>
      </c>
      <c r="DU201" s="501">
        <v>3.95E-2</v>
      </c>
      <c r="DV201" s="501">
        <v>3.95E-2</v>
      </c>
      <c r="DW201" s="501">
        <v>3.7999999999999999E-2</v>
      </c>
      <c r="DX201" s="501">
        <v>3.7999999999999999E-2</v>
      </c>
      <c r="DY201" s="501">
        <v>3.7999999999999999E-2</v>
      </c>
      <c r="DZ201" s="501">
        <v>3.7999999999999999E-2</v>
      </c>
      <c r="EA201" s="501">
        <v>3.7999999999999999E-2</v>
      </c>
      <c r="EB201" s="501">
        <v>3.7999999999999999E-2</v>
      </c>
      <c r="EC201" s="501">
        <v>3.7999999999999999E-2</v>
      </c>
      <c r="ED201" s="501">
        <v>3.7999999999999999E-2</v>
      </c>
      <c r="EE201" s="501">
        <v>3.7999999999999999E-2</v>
      </c>
      <c r="EF201" s="501">
        <v>3.7999999999999999E-2</v>
      </c>
      <c r="EG201" s="501">
        <v>3.7999999999999999E-2</v>
      </c>
      <c r="EH201" s="501">
        <v>3.7999999999999999E-2</v>
      </c>
      <c r="EI201" s="501">
        <v>3.7999999999999999E-2</v>
      </c>
      <c r="EJ201" s="501">
        <v>3.7999999999999999E-2</v>
      </c>
      <c r="EK201" s="501">
        <v>3.7999999999999999E-2</v>
      </c>
      <c r="EL201" s="501">
        <v>3.7999999999999999E-2</v>
      </c>
      <c r="EM201" s="501">
        <v>3.7999999999999999E-2</v>
      </c>
      <c r="EN201" s="501">
        <v>3.7999999999999999E-2</v>
      </c>
      <c r="EO201" s="501">
        <v>3.7999999999999999E-2</v>
      </c>
      <c r="EP201" s="501">
        <v>3.7999999999999999E-2</v>
      </c>
      <c r="EQ201" s="501">
        <v>3.7999999999999999E-2</v>
      </c>
      <c r="ER201" s="501">
        <v>3.7999999999999999E-2</v>
      </c>
      <c r="ES201" s="501">
        <v>3.7999999999999999E-2</v>
      </c>
      <c r="ET201" s="501">
        <v>3.7999999999999999E-2</v>
      </c>
      <c r="EU201" s="501">
        <v>3.7999999999999999E-2</v>
      </c>
      <c r="EV201" s="501">
        <v>3.7999999999999999E-2</v>
      </c>
      <c r="EW201" s="501">
        <v>3.7999999999999999E-2</v>
      </c>
      <c r="EX201" s="501">
        <v>3.7999999999999999E-2</v>
      </c>
      <c r="EY201" s="501">
        <v>3.7999999999999999E-2</v>
      </c>
      <c r="EZ201" s="501">
        <v>3.7999999999999999E-2</v>
      </c>
      <c r="FA201" s="501">
        <v>3.7999999999999999E-2</v>
      </c>
      <c r="FB201" s="501">
        <v>3.7999999999999999E-2</v>
      </c>
      <c r="FC201" s="501">
        <v>3.7999999999999999E-2</v>
      </c>
      <c r="FD201" s="501">
        <v>3.7999999999999999E-2</v>
      </c>
      <c r="FE201" s="501">
        <v>3.7999999999999999E-2</v>
      </c>
      <c r="FF201" s="501">
        <v>3.7999999999999999E-2</v>
      </c>
      <c r="FG201" s="501">
        <v>3.7999999999999999E-2</v>
      </c>
      <c r="FH201" s="501">
        <v>3.7999999999999999E-2</v>
      </c>
      <c r="FI201" s="501">
        <v>3.7999999999999999E-2</v>
      </c>
      <c r="FJ201" s="501">
        <v>3.7999999999999999E-2</v>
      </c>
      <c r="FK201" s="501">
        <v>3.7999999999999999E-2</v>
      </c>
      <c r="FL201" s="501">
        <v>3.7999999999999999E-2</v>
      </c>
      <c r="FM201" s="501">
        <v>3.7999999999999999E-2</v>
      </c>
      <c r="FN201" s="501">
        <v>3.7999999999999999E-2</v>
      </c>
      <c r="FO201" s="501">
        <v>3.7999999999999999E-2</v>
      </c>
      <c r="FP201" s="501">
        <v>3.7999999999999999E-2</v>
      </c>
      <c r="FQ201" s="501">
        <v>3.7999999999999999E-2</v>
      </c>
      <c r="FR201" s="501">
        <v>3.7999999999999999E-2</v>
      </c>
      <c r="FS201" s="501">
        <v>3.7999999999999999E-2</v>
      </c>
      <c r="FT201" s="501">
        <v>3.7999999999999999E-2</v>
      </c>
      <c r="FU201" s="501">
        <v>3.7999999999999999E-2</v>
      </c>
      <c r="FV201" s="501">
        <v>3.7999999999999999E-2</v>
      </c>
      <c r="FW201" s="501">
        <v>3.7999999999999999E-2</v>
      </c>
      <c r="FX201" s="501">
        <v>3.7999999999999999E-2</v>
      </c>
      <c r="FY201" s="501">
        <v>3.7999999999999999E-2</v>
      </c>
      <c r="FZ201" s="501">
        <v>3.7999999999999999E-2</v>
      </c>
      <c r="GA201" s="501">
        <v>3.7999999999999999E-2</v>
      </c>
      <c r="GB201" s="501">
        <v>3.7999999999999999E-2</v>
      </c>
      <c r="GC201" s="501">
        <v>3.7999999999999999E-2</v>
      </c>
      <c r="GD201" s="501">
        <v>1.35E-2</v>
      </c>
      <c r="GE201" s="501">
        <v>1.35E-2</v>
      </c>
      <c r="GF201" s="501">
        <v>1.35E-2</v>
      </c>
      <c r="GG201" s="501">
        <v>1.35E-2</v>
      </c>
      <c r="GH201" s="501">
        <v>1.35E-2</v>
      </c>
      <c r="GI201" s="501">
        <v>1.35E-2</v>
      </c>
      <c r="GJ201" s="501">
        <v>1.35E-2</v>
      </c>
      <c r="GK201" s="501">
        <v>1.35E-2</v>
      </c>
      <c r="GL201" s="501">
        <v>1.35E-2</v>
      </c>
      <c r="GM201" s="501">
        <v>1.35E-2</v>
      </c>
      <c r="GN201" s="501">
        <v>1.35E-2</v>
      </c>
      <c r="GO201" s="501">
        <v>1.35E-2</v>
      </c>
      <c r="GP201" s="501">
        <v>1.35E-2</v>
      </c>
      <c r="GQ201" s="501">
        <v>1.35E-2</v>
      </c>
      <c r="GR201" s="501">
        <v>1.35E-2</v>
      </c>
      <c r="GS201" s="501">
        <v>1.35E-2</v>
      </c>
      <c r="GT201" s="501">
        <v>1.35E-2</v>
      </c>
      <c r="GU201" s="501">
        <v>1.35E-2</v>
      </c>
      <c r="GV201" s="501">
        <v>1.35E-2</v>
      </c>
      <c r="GW201" s="501">
        <v>1.35E-2</v>
      </c>
      <c r="GX201" s="501">
        <v>1.35E-2</v>
      </c>
      <c r="GY201" s="501">
        <v>1.35E-2</v>
      </c>
      <c r="GZ201" s="501">
        <v>1.35E-2</v>
      </c>
      <c r="HA201" s="501">
        <v>1.35E-2</v>
      </c>
      <c r="HB201" s="501">
        <v>1.35E-2</v>
      </c>
      <c r="HC201" s="501">
        <v>1.35E-2</v>
      </c>
      <c r="HD201" s="501">
        <v>1.35E-2</v>
      </c>
      <c r="HE201" s="501">
        <v>1.35E-2</v>
      </c>
      <c r="HF201" s="501">
        <v>1.35E-2</v>
      </c>
      <c r="HG201" s="501">
        <v>1.35E-2</v>
      </c>
      <c r="HH201" s="501">
        <v>1.35E-2</v>
      </c>
      <c r="HI201" s="501">
        <v>1.35E-2</v>
      </c>
      <c r="HJ201" s="501">
        <v>1.35E-2</v>
      </c>
      <c r="HK201" s="501">
        <v>1.35E-2</v>
      </c>
      <c r="HL201" s="501">
        <v>1.35E-2</v>
      </c>
      <c r="HM201" s="501">
        <v>1.35E-2</v>
      </c>
      <c r="HN201" s="501">
        <v>1.35E-2</v>
      </c>
      <c r="HO201" s="501">
        <v>1.35E-2</v>
      </c>
      <c r="HP201" s="473">
        <f t="shared" si="78"/>
        <v>0</v>
      </c>
      <c r="HQ201" s="1133"/>
    </row>
    <row r="202" spans="2:225">
      <c r="B202" s="1124"/>
      <c r="C202" s="730" t="s">
        <v>247</v>
      </c>
      <c r="D202" s="500">
        <v>2.0500000000000001E-2</v>
      </c>
      <c r="E202" s="500">
        <v>2.0500000000000001E-2</v>
      </c>
      <c r="F202" s="500">
        <v>2.0500000000000001E-2</v>
      </c>
      <c r="G202" s="500">
        <v>2.0500000000000001E-2</v>
      </c>
      <c r="H202" s="500">
        <v>2.0500000000000001E-2</v>
      </c>
      <c r="I202" s="500">
        <v>2.0500000000000001E-2</v>
      </c>
      <c r="J202" s="500">
        <v>2.0500000000000001E-2</v>
      </c>
      <c r="K202" s="500">
        <v>2.0500000000000001E-2</v>
      </c>
      <c r="L202" s="500">
        <v>2.0500000000000001E-2</v>
      </c>
      <c r="M202" s="500">
        <v>2.0500000000000001E-2</v>
      </c>
      <c r="N202" s="500">
        <v>2.0500000000000001E-2</v>
      </c>
      <c r="O202" s="500">
        <v>2.0500000000000001E-2</v>
      </c>
      <c r="P202" s="500">
        <v>2.0500000000000001E-2</v>
      </c>
      <c r="Q202" s="500">
        <v>2.0500000000000001E-2</v>
      </c>
      <c r="R202" s="500">
        <v>2.0500000000000001E-2</v>
      </c>
      <c r="S202" s="500">
        <v>2.0500000000000001E-2</v>
      </c>
      <c r="T202" s="500">
        <v>2.0500000000000001E-2</v>
      </c>
      <c r="U202" s="500">
        <v>2.0500000000000001E-2</v>
      </c>
      <c r="V202" s="500">
        <v>2.0500000000000001E-2</v>
      </c>
      <c r="W202" s="500">
        <v>2.0500000000000001E-2</v>
      </c>
      <c r="X202" s="500">
        <v>2.0500000000000001E-2</v>
      </c>
      <c r="Y202" s="502">
        <v>2.0500000000000001E-2</v>
      </c>
      <c r="Z202" s="500">
        <v>2.4E-2</v>
      </c>
      <c r="AA202" s="500">
        <v>2.4E-2</v>
      </c>
      <c r="AB202" s="500">
        <v>2.4E-2</v>
      </c>
      <c r="AC202" s="500">
        <v>2.4E-2</v>
      </c>
      <c r="AD202" s="500">
        <v>2.4E-2</v>
      </c>
      <c r="AE202" s="500">
        <v>2.4E-2</v>
      </c>
      <c r="AF202" s="501">
        <v>2.4E-2</v>
      </c>
      <c r="AG202" s="501">
        <v>2.4E-2</v>
      </c>
      <c r="AH202" s="501">
        <v>2.4E-2</v>
      </c>
      <c r="AI202" s="501">
        <v>2.4E-2</v>
      </c>
      <c r="AJ202" s="501">
        <v>2.4E-2</v>
      </c>
      <c r="AK202" s="501">
        <v>2.4E-2</v>
      </c>
      <c r="AL202" s="501">
        <v>2.4E-2</v>
      </c>
      <c r="AM202" s="500">
        <v>2.4E-2</v>
      </c>
      <c r="AN202" s="500">
        <v>2.4E-2</v>
      </c>
      <c r="AO202" s="500">
        <v>2.4E-2</v>
      </c>
      <c r="AP202" s="500">
        <v>2.4E-2</v>
      </c>
      <c r="AQ202" s="500">
        <v>2.4E-2</v>
      </c>
      <c r="AR202" s="500">
        <v>2.4E-2</v>
      </c>
      <c r="AS202" s="500">
        <v>2.4E-2</v>
      </c>
      <c r="AT202" s="500">
        <v>2.4E-2</v>
      </c>
      <c r="AU202" s="500">
        <v>2.4E-2</v>
      </c>
      <c r="AV202" s="502">
        <v>2.7E-2</v>
      </c>
      <c r="AW202" s="501">
        <v>2.8500000000000001E-2</v>
      </c>
      <c r="AX202" s="501">
        <v>2.8500000000000001E-2</v>
      </c>
      <c r="AY202" s="501">
        <v>2.8500000000000001E-2</v>
      </c>
      <c r="AZ202" s="501">
        <v>2.8500000000000001E-2</v>
      </c>
      <c r="BA202" s="501">
        <v>2.8500000000000001E-2</v>
      </c>
      <c r="BB202" s="501">
        <v>2.8500000000000001E-2</v>
      </c>
      <c r="BC202" s="501">
        <v>2.8500000000000001E-2</v>
      </c>
      <c r="BD202" s="501">
        <v>2.8500000000000001E-2</v>
      </c>
      <c r="BE202" s="501">
        <v>2.8500000000000001E-2</v>
      </c>
      <c r="BF202" s="501">
        <v>2.8500000000000001E-2</v>
      </c>
      <c r="BG202" s="501">
        <v>2.8500000000000001E-2</v>
      </c>
      <c r="BH202" s="501">
        <v>2.8500000000000001E-2</v>
      </c>
      <c r="BI202" s="501">
        <v>2.8500000000000001E-2</v>
      </c>
      <c r="BJ202" s="501">
        <v>2.8500000000000001E-2</v>
      </c>
      <c r="BK202" s="501">
        <v>2.8500000000000001E-2</v>
      </c>
      <c r="BL202" s="501">
        <v>2.8500000000000001E-2</v>
      </c>
      <c r="BM202" s="501">
        <v>2.8500000000000001E-2</v>
      </c>
      <c r="BN202" s="501">
        <v>2.8500000000000001E-2</v>
      </c>
      <c r="BO202" s="501">
        <v>2.8500000000000001E-2</v>
      </c>
      <c r="BP202" s="501">
        <v>2.8500000000000001E-2</v>
      </c>
      <c r="BQ202" s="501">
        <v>2.8500000000000001E-2</v>
      </c>
      <c r="BR202" s="501">
        <v>2.8500000000000001E-2</v>
      </c>
      <c r="BS202" s="501">
        <v>2.8500000000000001E-2</v>
      </c>
      <c r="BT202" s="501">
        <v>2.8500000000000001E-2</v>
      </c>
      <c r="BU202" s="501">
        <v>2.8500000000000001E-2</v>
      </c>
      <c r="BV202" s="501">
        <v>2.8500000000000001E-2</v>
      </c>
      <c r="BW202" s="501">
        <v>2.8500000000000001E-2</v>
      </c>
      <c r="BX202" s="501">
        <v>2.7E-2</v>
      </c>
      <c r="BY202" s="501">
        <v>2.7E-2</v>
      </c>
      <c r="BZ202" s="501">
        <v>3.2000000000000001E-2</v>
      </c>
      <c r="CA202" s="501">
        <v>3.2000000000000001E-2</v>
      </c>
      <c r="CB202" s="501">
        <v>3.2000000000000001E-2</v>
      </c>
      <c r="CC202" s="501">
        <v>3.7999999999999999E-2</v>
      </c>
      <c r="CD202" s="501">
        <v>3.7999999999999999E-2</v>
      </c>
      <c r="CE202" s="501">
        <v>3.7999999999999999E-2</v>
      </c>
      <c r="CF202" s="501">
        <v>3.7999999999999999E-2</v>
      </c>
      <c r="CG202" s="501">
        <v>3.7999999999999999E-2</v>
      </c>
      <c r="CH202" s="501">
        <v>3.7999999999999999E-2</v>
      </c>
      <c r="CI202" s="501">
        <v>3.7999999999999999E-2</v>
      </c>
      <c r="CJ202" s="501">
        <v>3.7999999999999999E-2</v>
      </c>
      <c r="CK202" s="501">
        <v>3.7999999999999999E-2</v>
      </c>
      <c r="CL202" s="501">
        <v>3.7999999999999999E-2</v>
      </c>
      <c r="CM202" s="501">
        <v>3.7999999999999999E-2</v>
      </c>
      <c r="CN202" s="501">
        <v>3.7999999999999999E-2</v>
      </c>
      <c r="CO202" s="501">
        <v>3.7999999999999999E-2</v>
      </c>
      <c r="CP202" s="501">
        <v>3.7999999999999999E-2</v>
      </c>
      <c r="CQ202" s="501">
        <v>3.7999999999999999E-2</v>
      </c>
      <c r="CR202" s="501">
        <v>3.7999999999999999E-2</v>
      </c>
      <c r="CS202" s="501">
        <v>3.7999999999999999E-2</v>
      </c>
      <c r="CT202" s="501">
        <v>3.7999999999999999E-2</v>
      </c>
      <c r="CU202" s="501">
        <v>3.7999999999999999E-2</v>
      </c>
      <c r="CV202" s="501">
        <v>3.7999999999999999E-2</v>
      </c>
      <c r="CW202" s="501">
        <v>3.7999999999999999E-2</v>
      </c>
      <c r="CX202" s="501">
        <v>3.7999999999999999E-2</v>
      </c>
      <c r="CY202" s="501">
        <v>3.7999999999999999E-2</v>
      </c>
      <c r="CZ202" s="501">
        <v>3.9E-2</v>
      </c>
      <c r="DA202" s="501">
        <v>3.9E-2</v>
      </c>
      <c r="DB202" s="501">
        <v>3.9E-2</v>
      </c>
      <c r="DC202" s="501">
        <v>3.9E-2</v>
      </c>
      <c r="DD202" s="501">
        <v>3.9E-2</v>
      </c>
      <c r="DE202" s="501">
        <v>3.9E-2</v>
      </c>
      <c r="DF202" s="501">
        <v>3.9E-2</v>
      </c>
      <c r="DG202" s="501">
        <v>3.9E-2</v>
      </c>
      <c r="DH202" s="501">
        <v>3.9E-2</v>
      </c>
      <c r="DI202" s="501">
        <v>3.95E-2</v>
      </c>
      <c r="DJ202" s="501">
        <v>3.95E-2</v>
      </c>
      <c r="DK202" s="501">
        <v>3.95E-2</v>
      </c>
      <c r="DL202" s="501">
        <v>3.95E-2</v>
      </c>
      <c r="DM202" s="501">
        <v>3.95E-2</v>
      </c>
      <c r="DN202" s="501">
        <v>3.95E-2</v>
      </c>
      <c r="DO202" s="501">
        <v>3.95E-2</v>
      </c>
      <c r="DP202" s="501">
        <v>3.95E-2</v>
      </c>
      <c r="DQ202" s="501">
        <v>3.95E-2</v>
      </c>
      <c r="DR202" s="501">
        <v>3.95E-2</v>
      </c>
      <c r="DS202" s="501">
        <v>3.95E-2</v>
      </c>
      <c r="DT202" s="501">
        <v>3.95E-2</v>
      </c>
      <c r="DU202" s="501">
        <v>3.95E-2</v>
      </c>
      <c r="DV202" s="501">
        <v>3.95E-2</v>
      </c>
      <c r="DW202" s="501">
        <v>3.7999999999999999E-2</v>
      </c>
      <c r="DX202" s="501">
        <v>3.7999999999999999E-2</v>
      </c>
      <c r="DY202" s="501">
        <v>3.7999999999999999E-2</v>
      </c>
      <c r="DZ202" s="501">
        <v>3.7999999999999999E-2</v>
      </c>
      <c r="EA202" s="501">
        <v>3.7999999999999999E-2</v>
      </c>
      <c r="EB202" s="501">
        <v>3.7999999999999999E-2</v>
      </c>
      <c r="EC202" s="501">
        <v>3.7999999999999999E-2</v>
      </c>
      <c r="ED202" s="501">
        <v>3.7999999999999999E-2</v>
      </c>
      <c r="EE202" s="501">
        <v>3.7999999999999999E-2</v>
      </c>
      <c r="EF202" s="501">
        <v>3.7999999999999999E-2</v>
      </c>
      <c r="EG202" s="501">
        <v>3.7999999999999999E-2</v>
      </c>
      <c r="EH202" s="501">
        <v>3.7999999999999999E-2</v>
      </c>
      <c r="EI202" s="501">
        <v>3.7999999999999999E-2</v>
      </c>
      <c r="EJ202" s="501">
        <v>3.7999999999999999E-2</v>
      </c>
      <c r="EK202" s="501">
        <v>3.7999999999999999E-2</v>
      </c>
      <c r="EL202" s="501">
        <v>3.7999999999999999E-2</v>
      </c>
      <c r="EM202" s="501">
        <v>3.7999999999999999E-2</v>
      </c>
      <c r="EN202" s="501">
        <v>3.7999999999999999E-2</v>
      </c>
      <c r="EO202" s="501">
        <v>3.7999999999999999E-2</v>
      </c>
      <c r="EP202" s="501">
        <v>3.7999999999999999E-2</v>
      </c>
      <c r="EQ202" s="501">
        <v>3.7999999999999999E-2</v>
      </c>
      <c r="ER202" s="501">
        <v>3.7999999999999999E-2</v>
      </c>
      <c r="ES202" s="501">
        <v>3.7999999999999999E-2</v>
      </c>
      <c r="ET202" s="501">
        <v>3.7999999999999999E-2</v>
      </c>
      <c r="EU202" s="501">
        <v>3.7999999999999999E-2</v>
      </c>
      <c r="EV202" s="501">
        <v>3.7999999999999999E-2</v>
      </c>
      <c r="EW202" s="501">
        <v>3.7999999999999999E-2</v>
      </c>
      <c r="EX202" s="501">
        <v>3.7999999999999999E-2</v>
      </c>
      <c r="EY202" s="501">
        <v>3.7999999999999999E-2</v>
      </c>
      <c r="EZ202" s="501">
        <v>3.7999999999999999E-2</v>
      </c>
      <c r="FA202" s="501">
        <v>3.7999999999999999E-2</v>
      </c>
      <c r="FB202" s="501">
        <v>3.7999999999999999E-2</v>
      </c>
      <c r="FC202" s="501">
        <v>3.7999999999999999E-2</v>
      </c>
      <c r="FD202" s="501">
        <v>3.7999999999999999E-2</v>
      </c>
      <c r="FE202" s="501">
        <v>3.7999999999999999E-2</v>
      </c>
      <c r="FF202" s="501">
        <v>3.7999999999999999E-2</v>
      </c>
      <c r="FG202" s="501">
        <v>3.7999999999999999E-2</v>
      </c>
      <c r="FH202" s="501">
        <v>3.7999999999999999E-2</v>
      </c>
      <c r="FI202" s="501">
        <v>3.7999999999999999E-2</v>
      </c>
      <c r="FJ202" s="501">
        <v>3.7999999999999999E-2</v>
      </c>
      <c r="FK202" s="501">
        <v>3.7999999999999999E-2</v>
      </c>
      <c r="FL202" s="501">
        <v>3.7999999999999999E-2</v>
      </c>
      <c r="FM202" s="501">
        <v>3.7999999999999999E-2</v>
      </c>
      <c r="FN202" s="501">
        <v>3.7999999999999999E-2</v>
      </c>
      <c r="FO202" s="501">
        <v>3.7999999999999999E-2</v>
      </c>
      <c r="FP202" s="501">
        <v>3.7999999999999999E-2</v>
      </c>
      <c r="FQ202" s="501">
        <v>3.7999999999999999E-2</v>
      </c>
      <c r="FR202" s="501">
        <v>3.7999999999999999E-2</v>
      </c>
      <c r="FS202" s="501">
        <v>3.7999999999999999E-2</v>
      </c>
      <c r="FT202" s="501">
        <v>3.7999999999999999E-2</v>
      </c>
      <c r="FU202" s="501">
        <v>3.7999999999999999E-2</v>
      </c>
      <c r="FV202" s="501">
        <v>3.7999999999999999E-2</v>
      </c>
      <c r="FW202" s="501">
        <v>3.7999999999999999E-2</v>
      </c>
      <c r="FX202" s="501">
        <v>3.7999999999999999E-2</v>
      </c>
      <c r="FY202" s="501">
        <v>3.7999999999999999E-2</v>
      </c>
      <c r="FZ202" s="501">
        <v>3.7999999999999999E-2</v>
      </c>
      <c r="GA202" s="501">
        <v>3.7999999999999999E-2</v>
      </c>
      <c r="GB202" s="501">
        <v>3.7999999999999999E-2</v>
      </c>
      <c r="GC202" s="501">
        <v>3.7999999999999999E-2</v>
      </c>
      <c r="GD202" s="501">
        <v>1.4E-2</v>
      </c>
      <c r="GE202" s="501">
        <v>1.4E-2</v>
      </c>
      <c r="GF202" s="501">
        <v>1.4E-2</v>
      </c>
      <c r="GG202" s="501">
        <v>1.4E-2</v>
      </c>
      <c r="GH202" s="501">
        <v>1.4E-2</v>
      </c>
      <c r="GI202" s="501">
        <v>1.4E-2</v>
      </c>
      <c r="GJ202" s="501">
        <v>1.4E-2</v>
      </c>
      <c r="GK202" s="501">
        <v>1.4E-2</v>
      </c>
      <c r="GL202" s="501">
        <v>1.4E-2</v>
      </c>
      <c r="GM202" s="501">
        <v>1.4E-2</v>
      </c>
      <c r="GN202" s="501">
        <v>1.4E-2</v>
      </c>
      <c r="GO202" s="501">
        <v>1.4E-2</v>
      </c>
      <c r="GP202" s="501">
        <v>1.4E-2</v>
      </c>
      <c r="GQ202" s="501">
        <v>1.4E-2</v>
      </c>
      <c r="GR202" s="501">
        <v>1.4E-2</v>
      </c>
      <c r="GS202" s="501">
        <v>1.4E-2</v>
      </c>
      <c r="GT202" s="501">
        <v>1.4E-2</v>
      </c>
      <c r="GU202" s="501">
        <v>1.4E-2</v>
      </c>
      <c r="GV202" s="501">
        <v>1.4E-2</v>
      </c>
      <c r="GW202" s="501">
        <v>1.4E-2</v>
      </c>
      <c r="GX202" s="501">
        <v>1.4E-2</v>
      </c>
      <c r="GY202" s="501">
        <v>1.4E-2</v>
      </c>
      <c r="GZ202" s="501">
        <v>1.4E-2</v>
      </c>
      <c r="HA202" s="501">
        <v>1.4E-2</v>
      </c>
      <c r="HB202" s="501">
        <v>1.4E-2</v>
      </c>
      <c r="HC202" s="501">
        <v>1.4E-2</v>
      </c>
      <c r="HD202" s="501">
        <v>1.4E-2</v>
      </c>
      <c r="HE202" s="501">
        <v>1.4E-2</v>
      </c>
      <c r="HF202" s="501">
        <v>1.4E-2</v>
      </c>
      <c r="HG202" s="501">
        <v>1.4E-2</v>
      </c>
      <c r="HH202" s="501">
        <v>1.4E-2</v>
      </c>
      <c r="HI202" s="501">
        <v>1.4E-2</v>
      </c>
      <c r="HJ202" s="501">
        <v>1.4E-2</v>
      </c>
      <c r="HK202" s="501">
        <v>1.4E-2</v>
      </c>
      <c r="HL202" s="501">
        <v>1.4E-2</v>
      </c>
      <c r="HM202" s="501">
        <v>1.4E-2</v>
      </c>
      <c r="HN202" s="501">
        <v>1.4E-2</v>
      </c>
      <c r="HO202" s="501">
        <v>1.4E-2</v>
      </c>
      <c r="HP202" s="473">
        <f t="shared" si="78"/>
        <v>0</v>
      </c>
      <c r="HQ202" s="1133"/>
    </row>
    <row r="203" spans="2:225">
      <c r="B203" s="1124"/>
      <c r="C203" s="730" t="s">
        <v>246</v>
      </c>
      <c r="D203" s="500">
        <v>2.0500000000000001E-2</v>
      </c>
      <c r="E203" s="500">
        <v>2.0500000000000001E-2</v>
      </c>
      <c r="F203" s="500">
        <v>2.0500000000000001E-2</v>
      </c>
      <c r="G203" s="500">
        <v>2.0500000000000001E-2</v>
      </c>
      <c r="H203" s="500">
        <v>2.0500000000000001E-2</v>
      </c>
      <c r="I203" s="500">
        <v>2.0500000000000001E-2</v>
      </c>
      <c r="J203" s="500">
        <v>2.0500000000000001E-2</v>
      </c>
      <c r="K203" s="500">
        <v>2.0500000000000001E-2</v>
      </c>
      <c r="L203" s="500">
        <v>2.0500000000000001E-2</v>
      </c>
      <c r="M203" s="500">
        <v>2.0500000000000001E-2</v>
      </c>
      <c r="N203" s="500">
        <v>2.0500000000000001E-2</v>
      </c>
      <c r="O203" s="500">
        <v>2.0500000000000001E-2</v>
      </c>
      <c r="P203" s="500">
        <v>2.0500000000000001E-2</v>
      </c>
      <c r="Q203" s="500">
        <v>2.0500000000000001E-2</v>
      </c>
      <c r="R203" s="500">
        <v>2.0500000000000001E-2</v>
      </c>
      <c r="S203" s="500">
        <v>2.0500000000000001E-2</v>
      </c>
      <c r="T203" s="500">
        <v>2.0500000000000001E-2</v>
      </c>
      <c r="U203" s="500">
        <v>2.0500000000000001E-2</v>
      </c>
      <c r="V203" s="500">
        <v>2.0500000000000001E-2</v>
      </c>
      <c r="W203" s="500">
        <v>2.0500000000000001E-2</v>
      </c>
      <c r="X203" s="500">
        <v>2.0500000000000001E-2</v>
      </c>
      <c r="Y203" s="502">
        <v>2.0500000000000001E-2</v>
      </c>
      <c r="Z203" s="500">
        <v>2.4E-2</v>
      </c>
      <c r="AA203" s="500">
        <v>2.4E-2</v>
      </c>
      <c r="AB203" s="500">
        <v>2.4E-2</v>
      </c>
      <c r="AC203" s="500">
        <v>2.4E-2</v>
      </c>
      <c r="AD203" s="500">
        <v>2.4E-2</v>
      </c>
      <c r="AE203" s="500">
        <v>2.4E-2</v>
      </c>
      <c r="AF203" s="501">
        <v>2.4E-2</v>
      </c>
      <c r="AG203" s="501">
        <v>2.4E-2</v>
      </c>
      <c r="AH203" s="501">
        <v>2.4E-2</v>
      </c>
      <c r="AI203" s="501">
        <v>2.4E-2</v>
      </c>
      <c r="AJ203" s="501">
        <v>2.4E-2</v>
      </c>
      <c r="AK203" s="501">
        <v>2.4E-2</v>
      </c>
      <c r="AL203" s="501">
        <v>2.4E-2</v>
      </c>
      <c r="AM203" s="500">
        <v>2.4E-2</v>
      </c>
      <c r="AN203" s="500">
        <v>2.4E-2</v>
      </c>
      <c r="AO203" s="500">
        <v>2.4E-2</v>
      </c>
      <c r="AP203" s="500">
        <v>2.4E-2</v>
      </c>
      <c r="AQ203" s="500">
        <v>2.4E-2</v>
      </c>
      <c r="AR203" s="500">
        <v>2.4E-2</v>
      </c>
      <c r="AS203" s="500">
        <v>2.4E-2</v>
      </c>
      <c r="AT203" s="500">
        <v>2.4E-2</v>
      </c>
      <c r="AU203" s="500">
        <v>2.4E-2</v>
      </c>
      <c r="AV203" s="502">
        <v>2.7E-2</v>
      </c>
      <c r="AW203" s="501">
        <v>2.8500000000000001E-2</v>
      </c>
      <c r="AX203" s="501">
        <v>2.8500000000000001E-2</v>
      </c>
      <c r="AY203" s="501">
        <v>2.8500000000000001E-2</v>
      </c>
      <c r="AZ203" s="501">
        <v>2.8500000000000001E-2</v>
      </c>
      <c r="BA203" s="501">
        <v>2.8500000000000001E-2</v>
      </c>
      <c r="BB203" s="501">
        <v>2.8500000000000001E-2</v>
      </c>
      <c r="BC203" s="501">
        <v>2.8500000000000001E-2</v>
      </c>
      <c r="BD203" s="501">
        <v>2.8500000000000001E-2</v>
      </c>
      <c r="BE203" s="501">
        <v>2.8500000000000001E-2</v>
      </c>
      <c r="BF203" s="501">
        <v>2.8500000000000001E-2</v>
      </c>
      <c r="BG203" s="501">
        <v>2.8500000000000001E-2</v>
      </c>
      <c r="BH203" s="501">
        <v>2.8500000000000001E-2</v>
      </c>
      <c r="BI203" s="501">
        <v>2.8500000000000001E-2</v>
      </c>
      <c r="BJ203" s="501">
        <v>2.8500000000000001E-2</v>
      </c>
      <c r="BK203" s="501">
        <v>2.8500000000000001E-2</v>
      </c>
      <c r="BL203" s="501">
        <v>2.8500000000000001E-2</v>
      </c>
      <c r="BM203" s="501">
        <v>2.8500000000000001E-2</v>
      </c>
      <c r="BN203" s="501">
        <v>2.8500000000000001E-2</v>
      </c>
      <c r="BO203" s="501">
        <v>2.8500000000000001E-2</v>
      </c>
      <c r="BP203" s="501">
        <v>2.8500000000000001E-2</v>
      </c>
      <c r="BQ203" s="501">
        <v>2.8500000000000001E-2</v>
      </c>
      <c r="BR203" s="501">
        <v>2.8500000000000001E-2</v>
      </c>
      <c r="BS203" s="501">
        <v>2.8500000000000001E-2</v>
      </c>
      <c r="BT203" s="501">
        <v>2.8500000000000001E-2</v>
      </c>
      <c r="BU203" s="501">
        <v>2.8500000000000001E-2</v>
      </c>
      <c r="BV203" s="501">
        <v>2.8500000000000001E-2</v>
      </c>
      <c r="BW203" s="501">
        <v>2.8500000000000001E-2</v>
      </c>
      <c r="BX203" s="501">
        <v>2.7E-2</v>
      </c>
      <c r="BY203" s="501">
        <v>2.7E-2</v>
      </c>
      <c r="BZ203" s="501">
        <v>3.2000000000000001E-2</v>
      </c>
      <c r="CA203" s="501">
        <v>3.2000000000000001E-2</v>
      </c>
      <c r="CB203" s="501">
        <v>3.2000000000000001E-2</v>
      </c>
      <c r="CC203" s="501">
        <v>3.7999999999999999E-2</v>
      </c>
      <c r="CD203" s="501">
        <v>3.7999999999999999E-2</v>
      </c>
      <c r="CE203" s="501">
        <v>3.7999999999999999E-2</v>
      </c>
      <c r="CF203" s="501">
        <v>3.7999999999999999E-2</v>
      </c>
      <c r="CG203" s="501">
        <v>3.7999999999999999E-2</v>
      </c>
      <c r="CH203" s="501">
        <v>3.7999999999999999E-2</v>
      </c>
      <c r="CI203" s="501">
        <v>3.7999999999999999E-2</v>
      </c>
      <c r="CJ203" s="501">
        <v>3.7999999999999999E-2</v>
      </c>
      <c r="CK203" s="501">
        <v>3.7999999999999999E-2</v>
      </c>
      <c r="CL203" s="501">
        <v>3.7999999999999999E-2</v>
      </c>
      <c r="CM203" s="501">
        <v>3.7999999999999999E-2</v>
      </c>
      <c r="CN203" s="501">
        <v>3.7999999999999999E-2</v>
      </c>
      <c r="CO203" s="501">
        <v>3.7999999999999999E-2</v>
      </c>
      <c r="CP203" s="501">
        <v>3.7999999999999999E-2</v>
      </c>
      <c r="CQ203" s="501">
        <v>3.7999999999999999E-2</v>
      </c>
      <c r="CR203" s="501">
        <v>3.7999999999999999E-2</v>
      </c>
      <c r="CS203" s="501">
        <v>3.7999999999999999E-2</v>
      </c>
      <c r="CT203" s="501">
        <v>3.7999999999999999E-2</v>
      </c>
      <c r="CU203" s="501">
        <v>3.7999999999999999E-2</v>
      </c>
      <c r="CV203" s="501">
        <v>3.7999999999999999E-2</v>
      </c>
      <c r="CW203" s="501">
        <v>3.7999999999999999E-2</v>
      </c>
      <c r="CX203" s="501">
        <v>3.7999999999999999E-2</v>
      </c>
      <c r="CY203" s="501">
        <v>3.7999999999999999E-2</v>
      </c>
      <c r="CZ203" s="501">
        <v>3.9E-2</v>
      </c>
      <c r="DA203" s="501">
        <v>3.9E-2</v>
      </c>
      <c r="DB203" s="501">
        <v>3.9E-2</v>
      </c>
      <c r="DC203" s="501">
        <v>3.9E-2</v>
      </c>
      <c r="DD203" s="501">
        <v>3.9E-2</v>
      </c>
      <c r="DE203" s="501">
        <v>3.9E-2</v>
      </c>
      <c r="DF203" s="501">
        <v>3.9E-2</v>
      </c>
      <c r="DG203" s="501">
        <v>3.9E-2</v>
      </c>
      <c r="DH203" s="501">
        <v>3.9E-2</v>
      </c>
      <c r="DI203" s="501">
        <v>3.95E-2</v>
      </c>
      <c r="DJ203" s="501">
        <v>3.95E-2</v>
      </c>
      <c r="DK203" s="501">
        <v>3.95E-2</v>
      </c>
      <c r="DL203" s="501">
        <v>3.95E-2</v>
      </c>
      <c r="DM203" s="501">
        <v>3.95E-2</v>
      </c>
      <c r="DN203" s="501">
        <v>3.95E-2</v>
      </c>
      <c r="DO203" s="501">
        <v>3.95E-2</v>
      </c>
      <c r="DP203" s="501">
        <v>3.95E-2</v>
      </c>
      <c r="DQ203" s="501">
        <v>3.95E-2</v>
      </c>
      <c r="DR203" s="501">
        <v>3.95E-2</v>
      </c>
      <c r="DS203" s="501">
        <v>3.95E-2</v>
      </c>
      <c r="DT203" s="501">
        <v>3.95E-2</v>
      </c>
      <c r="DU203" s="501">
        <v>3.95E-2</v>
      </c>
      <c r="DV203" s="501">
        <v>3.95E-2</v>
      </c>
      <c r="DW203" s="501">
        <v>3.7999999999999999E-2</v>
      </c>
      <c r="DX203" s="501">
        <v>3.7999999999999999E-2</v>
      </c>
      <c r="DY203" s="501">
        <v>3.7999999999999999E-2</v>
      </c>
      <c r="DZ203" s="501">
        <v>3.7999999999999999E-2</v>
      </c>
      <c r="EA203" s="501">
        <v>3.7999999999999999E-2</v>
      </c>
      <c r="EB203" s="501">
        <v>3.7999999999999999E-2</v>
      </c>
      <c r="EC203" s="501">
        <v>3.7999999999999999E-2</v>
      </c>
      <c r="ED203" s="501">
        <v>3.7999999999999999E-2</v>
      </c>
      <c r="EE203" s="501">
        <v>3.7999999999999999E-2</v>
      </c>
      <c r="EF203" s="501">
        <v>3.7999999999999999E-2</v>
      </c>
      <c r="EG203" s="501">
        <v>3.7999999999999999E-2</v>
      </c>
      <c r="EH203" s="501">
        <v>3.7999999999999999E-2</v>
      </c>
      <c r="EI203" s="501">
        <v>3.7999999999999999E-2</v>
      </c>
      <c r="EJ203" s="501">
        <v>3.7999999999999999E-2</v>
      </c>
      <c r="EK203" s="501">
        <v>3.7999999999999999E-2</v>
      </c>
      <c r="EL203" s="501">
        <v>3.7999999999999999E-2</v>
      </c>
      <c r="EM203" s="501">
        <v>3.7999999999999999E-2</v>
      </c>
      <c r="EN203" s="501">
        <v>3.7999999999999999E-2</v>
      </c>
      <c r="EO203" s="501">
        <v>3.7999999999999999E-2</v>
      </c>
      <c r="EP203" s="501">
        <v>3.7999999999999999E-2</v>
      </c>
      <c r="EQ203" s="501">
        <v>3.7999999999999999E-2</v>
      </c>
      <c r="ER203" s="501">
        <v>3.7999999999999999E-2</v>
      </c>
      <c r="ES203" s="501">
        <v>3.7999999999999999E-2</v>
      </c>
      <c r="ET203" s="501">
        <v>3.7999999999999999E-2</v>
      </c>
      <c r="EU203" s="501">
        <v>3.7999999999999999E-2</v>
      </c>
      <c r="EV203" s="501">
        <v>3.7999999999999999E-2</v>
      </c>
      <c r="EW203" s="501">
        <v>3.7999999999999999E-2</v>
      </c>
      <c r="EX203" s="501">
        <v>3.7999999999999999E-2</v>
      </c>
      <c r="EY203" s="501">
        <v>3.7999999999999999E-2</v>
      </c>
      <c r="EZ203" s="501">
        <v>3.7999999999999999E-2</v>
      </c>
      <c r="FA203" s="501">
        <v>3.7999999999999999E-2</v>
      </c>
      <c r="FB203" s="501">
        <v>3.7999999999999999E-2</v>
      </c>
      <c r="FC203" s="501">
        <v>3.7999999999999999E-2</v>
      </c>
      <c r="FD203" s="501">
        <v>3.7999999999999999E-2</v>
      </c>
      <c r="FE203" s="501">
        <v>3.7999999999999999E-2</v>
      </c>
      <c r="FF203" s="501">
        <v>3.7999999999999999E-2</v>
      </c>
      <c r="FG203" s="501">
        <v>3.7999999999999999E-2</v>
      </c>
      <c r="FH203" s="501">
        <v>3.7999999999999999E-2</v>
      </c>
      <c r="FI203" s="501">
        <v>3.7999999999999999E-2</v>
      </c>
      <c r="FJ203" s="501">
        <v>3.7999999999999999E-2</v>
      </c>
      <c r="FK203" s="501">
        <v>3.7999999999999999E-2</v>
      </c>
      <c r="FL203" s="501">
        <v>3.7999999999999999E-2</v>
      </c>
      <c r="FM203" s="501">
        <v>3.7999999999999999E-2</v>
      </c>
      <c r="FN203" s="501">
        <v>3.7999999999999999E-2</v>
      </c>
      <c r="FO203" s="501">
        <v>3.7999999999999999E-2</v>
      </c>
      <c r="FP203" s="501">
        <v>3.7999999999999999E-2</v>
      </c>
      <c r="FQ203" s="501">
        <v>3.7999999999999999E-2</v>
      </c>
      <c r="FR203" s="501">
        <v>3.7999999999999999E-2</v>
      </c>
      <c r="FS203" s="501">
        <v>3.7999999999999999E-2</v>
      </c>
      <c r="FT203" s="501">
        <v>3.7999999999999999E-2</v>
      </c>
      <c r="FU203" s="501">
        <v>3.7999999999999999E-2</v>
      </c>
      <c r="FV203" s="501">
        <v>3.7999999999999999E-2</v>
      </c>
      <c r="FW203" s="501">
        <v>3.7999999999999999E-2</v>
      </c>
      <c r="FX203" s="501">
        <v>3.7999999999999999E-2</v>
      </c>
      <c r="FY203" s="501">
        <v>3.7999999999999999E-2</v>
      </c>
      <c r="FZ203" s="501">
        <v>3.7999999999999999E-2</v>
      </c>
      <c r="GA203" s="501">
        <v>3.7999999999999999E-2</v>
      </c>
      <c r="GB203" s="501">
        <v>3.7999999999999999E-2</v>
      </c>
      <c r="GC203" s="501">
        <v>3.7999999999999999E-2</v>
      </c>
      <c r="GD203" s="501">
        <v>1.4E-2</v>
      </c>
      <c r="GE203" s="501">
        <v>1.4E-2</v>
      </c>
      <c r="GF203" s="501">
        <v>1.4E-2</v>
      </c>
      <c r="GG203" s="501">
        <v>1.4E-2</v>
      </c>
      <c r="GH203" s="501">
        <v>1.4E-2</v>
      </c>
      <c r="GI203" s="501">
        <v>1.4E-2</v>
      </c>
      <c r="GJ203" s="501">
        <v>1.4E-2</v>
      </c>
      <c r="GK203" s="501">
        <v>1.4E-2</v>
      </c>
      <c r="GL203" s="501">
        <v>1.4E-2</v>
      </c>
      <c r="GM203" s="501">
        <v>1.4E-2</v>
      </c>
      <c r="GN203" s="501">
        <v>1.4E-2</v>
      </c>
      <c r="GO203" s="501">
        <v>1.4E-2</v>
      </c>
      <c r="GP203" s="501">
        <v>1.4E-2</v>
      </c>
      <c r="GQ203" s="501">
        <v>1.4E-2</v>
      </c>
      <c r="GR203" s="501">
        <v>1.4E-2</v>
      </c>
      <c r="GS203" s="501">
        <v>1.4E-2</v>
      </c>
      <c r="GT203" s="501">
        <v>1.4E-2</v>
      </c>
      <c r="GU203" s="501">
        <v>1.4E-2</v>
      </c>
      <c r="GV203" s="501">
        <v>1.4E-2</v>
      </c>
      <c r="GW203" s="501">
        <v>1.4E-2</v>
      </c>
      <c r="GX203" s="501">
        <v>1.4E-2</v>
      </c>
      <c r="GY203" s="501">
        <v>1.4E-2</v>
      </c>
      <c r="GZ203" s="501">
        <v>1.4E-2</v>
      </c>
      <c r="HA203" s="501">
        <v>1.4E-2</v>
      </c>
      <c r="HB203" s="501">
        <v>1.4E-2</v>
      </c>
      <c r="HC203" s="501">
        <v>1.4E-2</v>
      </c>
      <c r="HD203" s="501">
        <v>1.4E-2</v>
      </c>
      <c r="HE203" s="501">
        <v>1.4E-2</v>
      </c>
      <c r="HF203" s="501">
        <v>1.4E-2</v>
      </c>
      <c r="HG203" s="501">
        <v>1.4E-2</v>
      </c>
      <c r="HH203" s="501">
        <v>1.4E-2</v>
      </c>
      <c r="HI203" s="501">
        <v>1.4E-2</v>
      </c>
      <c r="HJ203" s="501">
        <v>1.4E-2</v>
      </c>
      <c r="HK203" s="501">
        <v>1.4E-2</v>
      </c>
      <c r="HL203" s="501">
        <v>1.4E-2</v>
      </c>
      <c r="HM203" s="501">
        <v>1.4E-2</v>
      </c>
      <c r="HN203" s="501">
        <v>1.4E-2</v>
      </c>
      <c r="HO203" s="501">
        <v>1.4E-2</v>
      </c>
      <c r="HP203" s="473">
        <f t="shared" si="78"/>
        <v>0</v>
      </c>
      <c r="HQ203" s="1134"/>
    </row>
    <row r="204" spans="2:225">
      <c r="B204" s="1126" t="s">
        <v>35</v>
      </c>
      <c r="C204" s="733" t="s">
        <v>245</v>
      </c>
      <c r="D204" s="625">
        <v>3.2000000000000001E-2</v>
      </c>
      <c r="E204" s="625">
        <v>3.2000000000000001E-2</v>
      </c>
      <c r="F204" s="625">
        <v>3.2000000000000001E-2</v>
      </c>
      <c r="G204" s="625">
        <v>3.2000000000000001E-2</v>
      </c>
      <c r="H204" s="625">
        <v>3.2000000000000001E-2</v>
      </c>
      <c r="I204" s="625">
        <v>3.2000000000000001E-2</v>
      </c>
      <c r="J204" s="625">
        <v>3.2000000000000001E-2</v>
      </c>
      <c r="K204" s="625">
        <v>3.2000000000000001E-2</v>
      </c>
      <c r="L204" s="625">
        <v>3.2000000000000001E-2</v>
      </c>
      <c r="M204" s="625">
        <v>3.3000000000000002E-2</v>
      </c>
      <c r="N204" s="625">
        <v>3.3000000000000002E-2</v>
      </c>
      <c r="O204" s="617">
        <v>3.3000000000000002E-2</v>
      </c>
      <c r="P204" s="625">
        <v>3.4000000000000002E-2</v>
      </c>
      <c r="Q204" s="625">
        <v>3.4000000000000002E-2</v>
      </c>
      <c r="R204" s="625">
        <v>3.4000000000000002E-2</v>
      </c>
      <c r="S204" s="625">
        <v>3.4000000000000002E-2</v>
      </c>
      <c r="T204" s="617">
        <v>3.4000000000000002E-2</v>
      </c>
      <c r="U204" s="505">
        <v>3.5000000000000003E-2</v>
      </c>
      <c r="V204" s="505">
        <v>3.5000000000000003E-2</v>
      </c>
      <c r="W204" s="503">
        <v>3.5000000000000003E-2</v>
      </c>
      <c r="X204" s="478">
        <v>3.5499999999999997E-2</v>
      </c>
      <c r="Y204" s="478">
        <v>3.5499999999999997E-2</v>
      </c>
      <c r="Z204" s="478">
        <v>3.5499999999999997E-2</v>
      </c>
      <c r="AA204" s="478">
        <v>3.5499999999999997E-2</v>
      </c>
      <c r="AB204" s="478">
        <v>3.5499999999999997E-2</v>
      </c>
      <c r="AC204" s="478">
        <v>3.5499999999999997E-2</v>
      </c>
      <c r="AD204" s="478">
        <v>3.5499999999999997E-2</v>
      </c>
      <c r="AE204" s="478">
        <v>3.5499999999999997E-2</v>
      </c>
      <c r="AF204" s="478">
        <v>3.5499999999999997E-2</v>
      </c>
      <c r="AG204" s="478">
        <v>3.5499999999999997E-2</v>
      </c>
      <c r="AH204" s="478">
        <v>3.5499999999999997E-2</v>
      </c>
      <c r="AI204" s="478">
        <v>3.5499999999999997E-2</v>
      </c>
      <c r="AJ204" s="478">
        <v>3.5499999999999997E-2</v>
      </c>
      <c r="AK204" s="478">
        <v>3.5499999999999997E-2</v>
      </c>
      <c r="AL204" s="479">
        <v>3.5499999999999997E-2</v>
      </c>
      <c r="AM204" s="478">
        <v>3.5499999999999997E-2</v>
      </c>
      <c r="AN204" s="478">
        <v>3.5499999999999997E-2</v>
      </c>
      <c r="AO204" s="478">
        <v>3.5499999999999997E-2</v>
      </c>
      <c r="AP204" s="478">
        <v>3.5499999999999997E-2</v>
      </c>
      <c r="AQ204" s="478">
        <v>3.5499999999999997E-2</v>
      </c>
      <c r="AR204" s="478">
        <v>3.5499999999999997E-2</v>
      </c>
      <c r="AS204" s="478">
        <v>3.5499999999999997E-2</v>
      </c>
      <c r="AT204" s="478">
        <v>3.5499999999999997E-2</v>
      </c>
      <c r="AU204" s="478">
        <v>3.5499999999999997E-2</v>
      </c>
      <c r="AV204" s="479">
        <v>3.5499999999999997E-2</v>
      </c>
      <c r="AW204" s="479">
        <v>3.5499999999999997E-2</v>
      </c>
      <c r="AX204" s="479">
        <v>3.5499999999999997E-2</v>
      </c>
      <c r="AY204" s="479">
        <v>3.5499999999999997E-2</v>
      </c>
      <c r="AZ204" s="479">
        <v>3.5499999999999997E-2</v>
      </c>
      <c r="BA204" s="479">
        <v>3.5499999999999997E-2</v>
      </c>
      <c r="BB204" s="479">
        <v>3.5499999999999997E-2</v>
      </c>
      <c r="BC204" s="479">
        <v>3.5499999999999997E-2</v>
      </c>
      <c r="BD204" s="479">
        <v>3.5499999999999997E-2</v>
      </c>
      <c r="BE204" s="479">
        <v>3.5499999999999997E-2</v>
      </c>
      <c r="BF204" s="479">
        <v>3.5499999999999997E-2</v>
      </c>
      <c r="BG204" s="479">
        <v>3.5499999999999997E-2</v>
      </c>
      <c r="BH204" s="479">
        <v>3.5499999999999997E-2</v>
      </c>
      <c r="BI204" s="479">
        <v>3.5499999999999997E-2</v>
      </c>
      <c r="BJ204" s="479">
        <v>3.5499999999999997E-2</v>
      </c>
      <c r="BK204" s="479">
        <v>3.5499999999999997E-2</v>
      </c>
      <c r="BL204" s="479">
        <v>3.5499999999999997E-2</v>
      </c>
      <c r="BM204" s="479">
        <v>3.5499999999999997E-2</v>
      </c>
      <c r="BN204" s="479">
        <v>3.95E-2</v>
      </c>
      <c r="BO204" s="479">
        <v>3.95E-2</v>
      </c>
      <c r="BP204" s="479">
        <v>3.95E-2</v>
      </c>
      <c r="BQ204" s="479">
        <v>3.95E-2</v>
      </c>
      <c r="BR204" s="479">
        <v>3.95E-2</v>
      </c>
      <c r="BS204" s="479">
        <v>3.95E-2</v>
      </c>
      <c r="BT204" s="479">
        <v>3.95E-2</v>
      </c>
      <c r="BU204" s="479">
        <v>3.95E-2</v>
      </c>
      <c r="BV204" s="479">
        <v>3.95E-2</v>
      </c>
      <c r="BW204" s="479">
        <v>3.95E-2</v>
      </c>
      <c r="BX204" s="479">
        <v>3.95E-2</v>
      </c>
      <c r="BY204" s="479">
        <v>3.95E-2</v>
      </c>
      <c r="BZ204" s="479">
        <v>3.95E-2</v>
      </c>
      <c r="CA204" s="479">
        <v>4.4499999999999998E-2</v>
      </c>
      <c r="CB204" s="479">
        <v>4.4499999999999998E-2</v>
      </c>
      <c r="CC204" s="479">
        <v>4.4499999999999998E-2</v>
      </c>
      <c r="CD204" s="479">
        <v>4.4499999999999998E-2</v>
      </c>
      <c r="CE204" s="479">
        <v>4.4499999999999998E-2</v>
      </c>
      <c r="CF204" s="479">
        <v>4.4499999999999998E-2</v>
      </c>
      <c r="CG204" s="479">
        <v>4.4499999999999998E-2</v>
      </c>
      <c r="CH204" s="479">
        <v>4.4499999999999998E-2</v>
      </c>
      <c r="CI204" s="479">
        <v>4.4499999999999998E-2</v>
      </c>
      <c r="CJ204" s="479">
        <v>4.4499999999999998E-2</v>
      </c>
      <c r="CK204" s="479">
        <v>4.4499999999999998E-2</v>
      </c>
      <c r="CL204" s="479">
        <v>4.4499999999999998E-2</v>
      </c>
      <c r="CM204" s="479">
        <v>4.4499999999999998E-2</v>
      </c>
      <c r="CN204" s="479">
        <v>4.4499999999999998E-2</v>
      </c>
      <c r="CO204" s="479">
        <v>4.4499999999999998E-2</v>
      </c>
      <c r="CP204" s="479">
        <v>4.4499999999999998E-2</v>
      </c>
      <c r="CQ204" s="479">
        <v>4.4499999999999998E-2</v>
      </c>
      <c r="CR204" s="479">
        <v>4.4499999999999998E-2</v>
      </c>
      <c r="CS204" s="479">
        <v>4.4499999999999998E-2</v>
      </c>
      <c r="CT204" s="479">
        <v>4.4499999999999998E-2</v>
      </c>
      <c r="CU204" s="540">
        <v>4.4499999999999998E-2</v>
      </c>
      <c r="CV204" s="540">
        <v>4.4499999999999998E-2</v>
      </c>
      <c r="CW204" s="540">
        <v>4.4499999999999998E-2</v>
      </c>
      <c r="CX204" s="540">
        <v>4.4499999999999998E-2</v>
      </c>
      <c r="CY204" s="540">
        <v>4.4499999999999998E-2</v>
      </c>
      <c r="CZ204" s="540">
        <v>4.4499999999999998E-2</v>
      </c>
      <c r="DA204" s="540">
        <v>4.4499999999999998E-2</v>
      </c>
      <c r="DB204" s="540">
        <v>4.4999999999999998E-2</v>
      </c>
      <c r="DC204" s="540">
        <v>4.4999999999999998E-2</v>
      </c>
      <c r="DD204" s="540">
        <v>4.4999999999999998E-2</v>
      </c>
      <c r="DE204" s="540">
        <v>4.4999999999999998E-2</v>
      </c>
      <c r="DF204" s="540">
        <v>4.4999999999999998E-2</v>
      </c>
      <c r="DG204" s="540">
        <v>4.4999999999999998E-2</v>
      </c>
      <c r="DH204" s="540">
        <v>4.4999999999999998E-2</v>
      </c>
      <c r="DI204" s="540">
        <v>4.4999999999999998E-2</v>
      </c>
      <c r="DJ204" s="540">
        <v>4.4999999999999998E-2</v>
      </c>
      <c r="DK204" s="540">
        <v>4.4999999999999998E-2</v>
      </c>
      <c r="DL204" s="540">
        <v>4.4999999999999998E-2</v>
      </c>
      <c r="DM204" s="540">
        <v>4.4999999999999998E-2</v>
      </c>
      <c r="DN204" s="540">
        <v>4.7E-2</v>
      </c>
      <c r="DO204" s="540">
        <v>4.7E-2</v>
      </c>
      <c r="DP204" s="540">
        <v>4.7E-2</v>
      </c>
      <c r="DQ204" s="540">
        <v>4.7E-2</v>
      </c>
      <c r="DR204" s="540">
        <v>4.7E-2</v>
      </c>
      <c r="DS204" s="540">
        <v>4.7E-2</v>
      </c>
      <c r="DT204" s="540">
        <v>4.7E-2</v>
      </c>
      <c r="DU204" s="540">
        <v>4.7E-2</v>
      </c>
      <c r="DV204" s="540">
        <v>4.7E-2</v>
      </c>
      <c r="DW204" s="540">
        <v>4.7E-2</v>
      </c>
      <c r="DX204" s="540">
        <v>4.7E-2</v>
      </c>
      <c r="DY204" s="540">
        <v>4.7E-2</v>
      </c>
      <c r="DZ204" s="540">
        <v>4.7E-2</v>
      </c>
      <c r="EA204" s="540">
        <v>4.7E-2</v>
      </c>
      <c r="EB204" s="540">
        <v>4.7E-2</v>
      </c>
      <c r="EC204" s="540">
        <v>4.7E-2</v>
      </c>
      <c r="ED204" s="540">
        <v>4.7E-2</v>
      </c>
      <c r="EE204" s="540">
        <v>4.7E-2</v>
      </c>
      <c r="EF204" s="540">
        <v>4.7E-2</v>
      </c>
      <c r="EG204" s="540">
        <v>4.7E-2</v>
      </c>
      <c r="EH204" s="540">
        <v>4.7E-2</v>
      </c>
      <c r="EI204" s="540">
        <v>4.7E-2</v>
      </c>
      <c r="EJ204" s="540">
        <v>4.7E-2</v>
      </c>
      <c r="EK204" s="540">
        <v>4.7E-2</v>
      </c>
      <c r="EL204" s="540">
        <v>4.7E-2</v>
      </c>
      <c r="EM204" s="540">
        <v>4.7E-2</v>
      </c>
      <c r="EN204" s="540">
        <v>4.7E-2</v>
      </c>
      <c r="EO204" s="540">
        <v>4.7E-2</v>
      </c>
      <c r="EP204" s="540">
        <v>4.7E-2</v>
      </c>
      <c r="EQ204" s="540">
        <v>4.7E-2</v>
      </c>
      <c r="ER204" s="540">
        <v>4.7E-2</v>
      </c>
      <c r="ES204" s="540">
        <v>4.7E-2</v>
      </c>
      <c r="ET204" s="540">
        <v>4.7E-2</v>
      </c>
      <c r="EU204" s="540">
        <v>4.7E-2</v>
      </c>
      <c r="EV204" s="540">
        <v>4.7E-2</v>
      </c>
      <c r="EW204" s="540">
        <v>4.7E-2</v>
      </c>
      <c r="EX204" s="540">
        <v>4.7E-2</v>
      </c>
      <c r="EY204" s="540">
        <v>4.7E-2</v>
      </c>
      <c r="EZ204" s="540">
        <v>4.7E-2</v>
      </c>
      <c r="FA204" s="540">
        <v>4.7E-2</v>
      </c>
      <c r="FB204" s="540">
        <v>4.7E-2</v>
      </c>
      <c r="FC204" s="540">
        <v>4.7E-2</v>
      </c>
      <c r="FD204" s="540">
        <v>4.7E-2</v>
      </c>
      <c r="FE204" s="540">
        <v>4.7E-2</v>
      </c>
      <c r="FF204" s="540">
        <v>4.7E-2</v>
      </c>
      <c r="FG204" s="540">
        <v>4.7E-2</v>
      </c>
      <c r="FH204" s="540">
        <v>4.7E-2</v>
      </c>
      <c r="FI204" s="540">
        <v>4.7E-2</v>
      </c>
      <c r="FJ204" s="540">
        <v>4.7E-2</v>
      </c>
      <c r="FK204" s="540">
        <v>4.7E-2</v>
      </c>
      <c r="FL204" s="540">
        <v>4.7E-2</v>
      </c>
      <c r="FM204" s="540">
        <v>4.7E-2</v>
      </c>
      <c r="FN204" s="540">
        <v>4.7E-2</v>
      </c>
      <c r="FO204" s="540">
        <v>4.7E-2</v>
      </c>
      <c r="FP204" s="540">
        <v>4.7E-2</v>
      </c>
      <c r="FQ204" s="540">
        <v>4.7E-2</v>
      </c>
      <c r="FR204" s="540">
        <v>4.7E-2</v>
      </c>
      <c r="FS204" s="540">
        <v>4.7E-2</v>
      </c>
      <c r="FT204" s="540">
        <v>4.7E-2</v>
      </c>
      <c r="FU204" s="540">
        <v>4.7E-2</v>
      </c>
      <c r="FV204" s="540">
        <v>4.7E-2</v>
      </c>
      <c r="FW204" s="540">
        <v>4.7E-2</v>
      </c>
      <c r="FX204" s="540">
        <v>4.7E-2</v>
      </c>
      <c r="FY204" s="540">
        <v>4.7E-2</v>
      </c>
      <c r="FZ204" s="540">
        <v>4.7E-2</v>
      </c>
      <c r="GA204" s="540">
        <v>4.7E-2</v>
      </c>
      <c r="GB204" s="540">
        <v>4.7E-2</v>
      </c>
      <c r="GC204" s="540">
        <v>4.7E-2</v>
      </c>
      <c r="GD204" s="505">
        <v>3.15E-2</v>
      </c>
      <c r="GE204" s="505">
        <v>3.15E-2</v>
      </c>
      <c r="GF204" s="505">
        <v>3.15E-2</v>
      </c>
      <c r="GG204" s="505">
        <v>3.15E-2</v>
      </c>
      <c r="GH204" s="505">
        <v>3.15E-2</v>
      </c>
      <c r="GI204" s="505">
        <v>3.15E-2</v>
      </c>
      <c r="GJ204" s="505">
        <v>3.15E-2</v>
      </c>
      <c r="GK204" s="505">
        <v>3.15E-2</v>
      </c>
      <c r="GL204" s="505">
        <v>3.15E-2</v>
      </c>
      <c r="GM204" s="505">
        <v>3.15E-2</v>
      </c>
      <c r="GN204" s="505">
        <v>3.15E-2</v>
      </c>
      <c r="GO204" s="505">
        <v>3.15E-2</v>
      </c>
      <c r="GP204" s="505">
        <v>3.15E-2</v>
      </c>
      <c r="GQ204" s="505">
        <v>3.15E-2</v>
      </c>
      <c r="GR204" s="505">
        <v>3.15E-2</v>
      </c>
      <c r="GS204" s="505">
        <v>3.15E-2</v>
      </c>
      <c r="GT204" s="505">
        <v>3.15E-2</v>
      </c>
      <c r="GU204" s="505">
        <v>3.15E-2</v>
      </c>
      <c r="GV204" s="505">
        <v>3.15E-2</v>
      </c>
      <c r="GW204" s="505">
        <v>3.15E-2</v>
      </c>
      <c r="GX204" s="505">
        <v>3.15E-2</v>
      </c>
      <c r="GY204" s="505">
        <v>3.15E-2</v>
      </c>
      <c r="GZ204" s="505">
        <v>3.15E-2</v>
      </c>
      <c r="HA204" s="505">
        <v>3.15E-2</v>
      </c>
      <c r="HB204" s="505">
        <v>3.15E-2</v>
      </c>
      <c r="HC204" s="505">
        <v>3.15E-2</v>
      </c>
      <c r="HD204" s="505">
        <v>3.15E-2</v>
      </c>
      <c r="HE204" s="505">
        <v>3.15E-2</v>
      </c>
      <c r="HF204" s="505">
        <v>3.15E-2</v>
      </c>
      <c r="HG204" s="505">
        <v>3.15E-2</v>
      </c>
      <c r="HH204" s="505">
        <v>3.15E-2</v>
      </c>
      <c r="HI204" s="505">
        <v>3.15E-2</v>
      </c>
      <c r="HJ204" s="505">
        <v>3.15E-2</v>
      </c>
      <c r="HK204" s="505">
        <v>3.15E-2</v>
      </c>
      <c r="HL204" s="505">
        <v>3.15E-2</v>
      </c>
      <c r="HM204" s="505">
        <v>3.15E-2</v>
      </c>
      <c r="HN204" s="505">
        <v>3.15E-2</v>
      </c>
      <c r="HO204" s="505">
        <v>3.15E-2</v>
      </c>
      <c r="HP204" s="473">
        <f t="shared" si="78"/>
        <v>0</v>
      </c>
      <c r="HQ204" s="499"/>
    </row>
    <row r="205" spans="2:225">
      <c r="B205" s="1127"/>
      <c r="C205" s="733" t="s">
        <v>244</v>
      </c>
      <c r="D205" s="625">
        <v>3.3000000000000002E-2</v>
      </c>
      <c r="E205" s="625">
        <v>3.3000000000000002E-2</v>
      </c>
      <c r="F205" s="625">
        <v>3.3000000000000002E-2</v>
      </c>
      <c r="G205" s="625">
        <v>3.3000000000000002E-2</v>
      </c>
      <c r="H205" s="625">
        <v>3.3000000000000002E-2</v>
      </c>
      <c r="I205" s="625">
        <v>3.3000000000000002E-2</v>
      </c>
      <c r="J205" s="625">
        <v>3.3000000000000002E-2</v>
      </c>
      <c r="K205" s="625">
        <v>3.3000000000000002E-2</v>
      </c>
      <c r="L205" s="625">
        <v>3.3000000000000002E-2</v>
      </c>
      <c r="M205" s="625">
        <v>3.4000000000000002E-2</v>
      </c>
      <c r="N205" s="625">
        <v>3.4000000000000002E-2</v>
      </c>
      <c r="O205" s="617">
        <v>3.4000000000000002E-2</v>
      </c>
      <c r="P205" s="625">
        <v>3.5000000000000003E-2</v>
      </c>
      <c r="Q205" s="625">
        <v>3.5000000000000003E-2</v>
      </c>
      <c r="R205" s="625">
        <v>3.5000000000000003E-2</v>
      </c>
      <c r="S205" s="625">
        <v>3.5000000000000003E-2</v>
      </c>
      <c r="T205" s="617">
        <v>3.5000000000000003E-2</v>
      </c>
      <c r="U205" s="505">
        <v>3.5999999999999997E-2</v>
      </c>
      <c r="V205" s="505">
        <v>3.5999999999999997E-2</v>
      </c>
      <c r="W205" s="503">
        <v>3.5999999999999997E-2</v>
      </c>
      <c r="X205" s="478">
        <v>3.6499999999999998E-2</v>
      </c>
      <c r="Y205" s="478">
        <v>3.6499999999999998E-2</v>
      </c>
      <c r="Z205" s="478">
        <v>3.6499999999999998E-2</v>
      </c>
      <c r="AA205" s="478">
        <v>3.6499999999999998E-2</v>
      </c>
      <c r="AB205" s="478">
        <v>3.6499999999999998E-2</v>
      </c>
      <c r="AC205" s="478">
        <v>3.6499999999999998E-2</v>
      </c>
      <c r="AD205" s="478">
        <v>3.6499999999999998E-2</v>
      </c>
      <c r="AE205" s="478">
        <v>3.6499999999999998E-2</v>
      </c>
      <c r="AF205" s="478">
        <v>3.6499999999999998E-2</v>
      </c>
      <c r="AG205" s="478">
        <v>3.6499999999999998E-2</v>
      </c>
      <c r="AH205" s="478">
        <v>3.6499999999999998E-2</v>
      </c>
      <c r="AI205" s="478">
        <v>3.6499999999999998E-2</v>
      </c>
      <c r="AJ205" s="478">
        <v>3.6499999999999998E-2</v>
      </c>
      <c r="AK205" s="478">
        <v>3.6499999999999998E-2</v>
      </c>
      <c r="AL205" s="479">
        <v>3.6499999999999998E-2</v>
      </c>
      <c r="AM205" s="478">
        <v>3.6499999999999998E-2</v>
      </c>
      <c r="AN205" s="478">
        <v>3.6499999999999998E-2</v>
      </c>
      <c r="AO205" s="478">
        <v>3.6499999999999998E-2</v>
      </c>
      <c r="AP205" s="478">
        <v>3.6499999999999998E-2</v>
      </c>
      <c r="AQ205" s="478">
        <v>3.6499999999999998E-2</v>
      </c>
      <c r="AR205" s="478">
        <v>3.6499999999999998E-2</v>
      </c>
      <c r="AS205" s="478">
        <v>3.6499999999999998E-2</v>
      </c>
      <c r="AT205" s="478">
        <v>3.6499999999999998E-2</v>
      </c>
      <c r="AU205" s="478">
        <v>3.6499999999999998E-2</v>
      </c>
      <c r="AV205" s="479">
        <v>3.6499999999999998E-2</v>
      </c>
      <c r="AW205" s="479">
        <v>3.6499999999999998E-2</v>
      </c>
      <c r="AX205" s="479">
        <v>3.6499999999999998E-2</v>
      </c>
      <c r="AY205" s="479">
        <v>3.6499999999999998E-2</v>
      </c>
      <c r="AZ205" s="479">
        <v>3.6499999999999998E-2</v>
      </c>
      <c r="BA205" s="479">
        <v>3.6499999999999998E-2</v>
      </c>
      <c r="BB205" s="479">
        <v>3.6499999999999998E-2</v>
      </c>
      <c r="BC205" s="479">
        <v>3.6499999999999998E-2</v>
      </c>
      <c r="BD205" s="479">
        <v>3.6499999999999998E-2</v>
      </c>
      <c r="BE205" s="479">
        <v>3.6499999999999998E-2</v>
      </c>
      <c r="BF205" s="479">
        <v>3.6499999999999998E-2</v>
      </c>
      <c r="BG205" s="479">
        <v>3.6499999999999998E-2</v>
      </c>
      <c r="BH205" s="479">
        <v>3.6499999999999998E-2</v>
      </c>
      <c r="BI205" s="479">
        <v>3.6499999999999998E-2</v>
      </c>
      <c r="BJ205" s="479">
        <v>3.6499999999999998E-2</v>
      </c>
      <c r="BK205" s="479">
        <v>3.6499999999999998E-2</v>
      </c>
      <c r="BL205" s="479">
        <v>3.6499999999999998E-2</v>
      </c>
      <c r="BM205" s="479">
        <v>3.6499999999999998E-2</v>
      </c>
      <c r="BN205" s="479">
        <v>4.0500000000000001E-2</v>
      </c>
      <c r="BO205" s="479">
        <v>4.0500000000000001E-2</v>
      </c>
      <c r="BP205" s="479">
        <v>4.0500000000000001E-2</v>
      </c>
      <c r="BQ205" s="479">
        <v>4.0500000000000001E-2</v>
      </c>
      <c r="BR205" s="479">
        <v>4.0500000000000001E-2</v>
      </c>
      <c r="BS205" s="479">
        <v>4.0500000000000001E-2</v>
      </c>
      <c r="BT205" s="479">
        <v>4.0500000000000001E-2</v>
      </c>
      <c r="BU205" s="479">
        <v>4.0500000000000001E-2</v>
      </c>
      <c r="BV205" s="479">
        <v>4.0500000000000001E-2</v>
      </c>
      <c r="BW205" s="479">
        <v>4.0500000000000001E-2</v>
      </c>
      <c r="BX205" s="479">
        <v>4.0500000000000001E-2</v>
      </c>
      <c r="BY205" s="479">
        <v>4.0500000000000001E-2</v>
      </c>
      <c r="BZ205" s="479">
        <v>4.0500000000000001E-2</v>
      </c>
      <c r="CA205" s="479">
        <v>4.5499999999999999E-2</v>
      </c>
      <c r="CB205" s="479">
        <v>4.5499999999999999E-2</v>
      </c>
      <c r="CC205" s="479">
        <v>4.5499999999999999E-2</v>
      </c>
      <c r="CD205" s="479">
        <v>4.5499999999999999E-2</v>
      </c>
      <c r="CE205" s="479">
        <v>4.5499999999999999E-2</v>
      </c>
      <c r="CF205" s="479">
        <v>4.5499999999999999E-2</v>
      </c>
      <c r="CG205" s="479">
        <v>4.5499999999999999E-2</v>
      </c>
      <c r="CH205" s="479">
        <v>4.5499999999999999E-2</v>
      </c>
      <c r="CI205" s="479">
        <v>4.5499999999999999E-2</v>
      </c>
      <c r="CJ205" s="479">
        <v>4.5499999999999999E-2</v>
      </c>
      <c r="CK205" s="479">
        <v>4.5499999999999999E-2</v>
      </c>
      <c r="CL205" s="479">
        <v>4.5499999999999999E-2</v>
      </c>
      <c r="CM205" s="479">
        <v>4.5499999999999999E-2</v>
      </c>
      <c r="CN205" s="479">
        <v>4.5499999999999999E-2</v>
      </c>
      <c r="CO205" s="479">
        <v>4.5499999999999999E-2</v>
      </c>
      <c r="CP205" s="479">
        <v>4.5499999999999999E-2</v>
      </c>
      <c r="CQ205" s="479">
        <v>4.5499999999999999E-2</v>
      </c>
      <c r="CR205" s="479">
        <v>4.5499999999999999E-2</v>
      </c>
      <c r="CS205" s="479">
        <v>4.5499999999999999E-2</v>
      </c>
      <c r="CT205" s="479">
        <v>4.5499999999999999E-2</v>
      </c>
      <c r="CU205" s="540">
        <v>4.5499999999999999E-2</v>
      </c>
      <c r="CV205" s="540">
        <v>4.5499999999999999E-2</v>
      </c>
      <c r="CW205" s="540">
        <v>4.5499999999999999E-2</v>
      </c>
      <c r="CX205" s="540">
        <v>4.5499999999999999E-2</v>
      </c>
      <c r="CY205" s="540">
        <v>4.5499999999999999E-2</v>
      </c>
      <c r="CZ205" s="540">
        <v>4.5499999999999999E-2</v>
      </c>
      <c r="DA205" s="540">
        <v>4.5499999999999999E-2</v>
      </c>
      <c r="DB205" s="540">
        <v>4.5999999999999999E-2</v>
      </c>
      <c r="DC205" s="540">
        <v>4.5999999999999999E-2</v>
      </c>
      <c r="DD205" s="540">
        <v>4.5999999999999999E-2</v>
      </c>
      <c r="DE205" s="540">
        <v>4.5999999999999999E-2</v>
      </c>
      <c r="DF205" s="540">
        <v>4.5999999999999999E-2</v>
      </c>
      <c r="DG205" s="540">
        <v>4.5999999999999999E-2</v>
      </c>
      <c r="DH205" s="540">
        <v>4.5999999999999999E-2</v>
      </c>
      <c r="DI205" s="540">
        <v>4.5999999999999999E-2</v>
      </c>
      <c r="DJ205" s="540">
        <v>4.5999999999999999E-2</v>
      </c>
      <c r="DK205" s="540">
        <v>4.5999999999999999E-2</v>
      </c>
      <c r="DL205" s="540">
        <v>4.5999999999999999E-2</v>
      </c>
      <c r="DM205" s="540">
        <v>4.5999999999999999E-2</v>
      </c>
      <c r="DN205" s="540">
        <v>4.8000000000000001E-2</v>
      </c>
      <c r="DO205" s="540">
        <v>4.8000000000000001E-2</v>
      </c>
      <c r="DP205" s="540">
        <v>4.8000000000000001E-2</v>
      </c>
      <c r="DQ205" s="540">
        <v>4.8000000000000001E-2</v>
      </c>
      <c r="DR205" s="540">
        <v>4.8000000000000001E-2</v>
      </c>
      <c r="DS205" s="540">
        <v>4.8000000000000001E-2</v>
      </c>
      <c r="DT205" s="540">
        <v>4.8000000000000001E-2</v>
      </c>
      <c r="DU205" s="540">
        <v>4.8000000000000001E-2</v>
      </c>
      <c r="DV205" s="540">
        <v>4.8000000000000001E-2</v>
      </c>
      <c r="DW205" s="540">
        <v>4.8000000000000001E-2</v>
      </c>
      <c r="DX205" s="540">
        <v>4.8000000000000001E-2</v>
      </c>
      <c r="DY205" s="540">
        <v>4.8000000000000001E-2</v>
      </c>
      <c r="DZ205" s="540">
        <v>4.8000000000000001E-2</v>
      </c>
      <c r="EA205" s="540">
        <v>4.8000000000000001E-2</v>
      </c>
      <c r="EB205" s="540">
        <v>4.8000000000000001E-2</v>
      </c>
      <c r="EC205" s="540">
        <v>4.8000000000000001E-2</v>
      </c>
      <c r="ED205" s="540">
        <v>4.8000000000000001E-2</v>
      </c>
      <c r="EE205" s="540">
        <v>4.8000000000000001E-2</v>
      </c>
      <c r="EF205" s="540">
        <v>4.8000000000000001E-2</v>
      </c>
      <c r="EG205" s="540">
        <v>4.8000000000000001E-2</v>
      </c>
      <c r="EH205" s="540">
        <v>4.8000000000000001E-2</v>
      </c>
      <c r="EI205" s="540">
        <v>4.8000000000000001E-2</v>
      </c>
      <c r="EJ205" s="540">
        <v>4.8000000000000001E-2</v>
      </c>
      <c r="EK205" s="540">
        <v>4.8000000000000001E-2</v>
      </c>
      <c r="EL205" s="540">
        <v>4.8000000000000001E-2</v>
      </c>
      <c r="EM205" s="540">
        <v>4.8000000000000001E-2</v>
      </c>
      <c r="EN205" s="540">
        <v>4.8000000000000001E-2</v>
      </c>
      <c r="EO205" s="540">
        <v>4.8000000000000001E-2</v>
      </c>
      <c r="EP205" s="540">
        <v>4.8000000000000001E-2</v>
      </c>
      <c r="EQ205" s="540">
        <v>4.8000000000000001E-2</v>
      </c>
      <c r="ER205" s="540">
        <v>4.8000000000000001E-2</v>
      </c>
      <c r="ES205" s="540">
        <v>4.8000000000000001E-2</v>
      </c>
      <c r="ET205" s="540">
        <v>4.8000000000000001E-2</v>
      </c>
      <c r="EU205" s="540">
        <v>4.8000000000000001E-2</v>
      </c>
      <c r="EV205" s="540">
        <v>4.8000000000000001E-2</v>
      </c>
      <c r="EW205" s="540">
        <v>4.8000000000000001E-2</v>
      </c>
      <c r="EX205" s="540">
        <v>4.8000000000000001E-2</v>
      </c>
      <c r="EY205" s="540">
        <v>4.8000000000000001E-2</v>
      </c>
      <c r="EZ205" s="540">
        <v>4.8000000000000001E-2</v>
      </c>
      <c r="FA205" s="540">
        <v>4.8000000000000001E-2</v>
      </c>
      <c r="FB205" s="540">
        <v>4.8000000000000001E-2</v>
      </c>
      <c r="FC205" s="540">
        <v>4.8000000000000001E-2</v>
      </c>
      <c r="FD205" s="540">
        <v>4.8000000000000001E-2</v>
      </c>
      <c r="FE205" s="540">
        <v>4.8000000000000001E-2</v>
      </c>
      <c r="FF205" s="540">
        <v>4.8000000000000001E-2</v>
      </c>
      <c r="FG205" s="540">
        <v>4.8000000000000001E-2</v>
      </c>
      <c r="FH205" s="540">
        <v>4.8000000000000001E-2</v>
      </c>
      <c r="FI205" s="540">
        <v>4.8000000000000001E-2</v>
      </c>
      <c r="FJ205" s="540">
        <v>4.8000000000000001E-2</v>
      </c>
      <c r="FK205" s="540">
        <v>4.8000000000000001E-2</v>
      </c>
      <c r="FL205" s="540">
        <v>4.8000000000000001E-2</v>
      </c>
      <c r="FM205" s="540">
        <v>4.8000000000000001E-2</v>
      </c>
      <c r="FN205" s="540">
        <v>4.8000000000000001E-2</v>
      </c>
      <c r="FO205" s="540">
        <v>4.8000000000000001E-2</v>
      </c>
      <c r="FP205" s="540">
        <v>4.8000000000000001E-2</v>
      </c>
      <c r="FQ205" s="540">
        <v>4.8000000000000001E-2</v>
      </c>
      <c r="FR205" s="540">
        <v>4.8000000000000001E-2</v>
      </c>
      <c r="FS205" s="540">
        <v>4.8000000000000001E-2</v>
      </c>
      <c r="FT205" s="540">
        <v>4.8000000000000001E-2</v>
      </c>
      <c r="FU205" s="540">
        <v>4.8000000000000001E-2</v>
      </c>
      <c r="FV205" s="540">
        <v>4.8000000000000001E-2</v>
      </c>
      <c r="FW205" s="540">
        <v>4.8000000000000001E-2</v>
      </c>
      <c r="FX205" s="540">
        <v>4.8000000000000001E-2</v>
      </c>
      <c r="FY205" s="540">
        <v>4.8000000000000001E-2</v>
      </c>
      <c r="FZ205" s="540">
        <v>4.8000000000000001E-2</v>
      </c>
      <c r="GA205" s="540">
        <v>4.8000000000000001E-2</v>
      </c>
      <c r="GB205" s="540">
        <v>4.8000000000000001E-2</v>
      </c>
      <c r="GC205" s="540">
        <v>4.8000000000000001E-2</v>
      </c>
      <c r="GD205" s="505">
        <v>3.2000000000000001E-2</v>
      </c>
      <c r="GE205" s="505">
        <v>3.2000000000000001E-2</v>
      </c>
      <c r="GF205" s="505">
        <v>3.2000000000000001E-2</v>
      </c>
      <c r="GG205" s="505">
        <v>3.2000000000000001E-2</v>
      </c>
      <c r="GH205" s="505">
        <v>3.2000000000000001E-2</v>
      </c>
      <c r="GI205" s="505">
        <v>3.2000000000000001E-2</v>
      </c>
      <c r="GJ205" s="505">
        <v>3.2000000000000001E-2</v>
      </c>
      <c r="GK205" s="505">
        <v>3.2000000000000001E-2</v>
      </c>
      <c r="GL205" s="505">
        <v>3.2000000000000001E-2</v>
      </c>
      <c r="GM205" s="505">
        <v>3.2000000000000001E-2</v>
      </c>
      <c r="GN205" s="505">
        <v>3.2000000000000001E-2</v>
      </c>
      <c r="GO205" s="505">
        <v>3.2000000000000001E-2</v>
      </c>
      <c r="GP205" s="505">
        <v>3.2000000000000001E-2</v>
      </c>
      <c r="GQ205" s="505">
        <v>3.2000000000000001E-2</v>
      </c>
      <c r="GR205" s="505">
        <v>3.2000000000000001E-2</v>
      </c>
      <c r="GS205" s="505">
        <v>3.2000000000000001E-2</v>
      </c>
      <c r="GT205" s="505">
        <v>3.2000000000000001E-2</v>
      </c>
      <c r="GU205" s="505">
        <v>3.2000000000000001E-2</v>
      </c>
      <c r="GV205" s="505">
        <v>3.2000000000000001E-2</v>
      </c>
      <c r="GW205" s="505">
        <v>3.2000000000000001E-2</v>
      </c>
      <c r="GX205" s="505">
        <v>3.2000000000000001E-2</v>
      </c>
      <c r="GY205" s="505">
        <v>3.2000000000000001E-2</v>
      </c>
      <c r="GZ205" s="505">
        <v>3.2000000000000001E-2</v>
      </c>
      <c r="HA205" s="505">
        <v>3.2000000000000001E-2</v>
      </c>
      <c r="HB205" s="505">
        <v>3.2000000000000001E-2</v>
      </c>
      <c r="HC205" s="505">
        <v>3.2000000000000001E-2</v>
      </c>
      <c r="HD205" s="505">
        <v>3.2000000000000001E-2</v>
      </c>
      <c r="HE205" s="505">
        <v>3.2000000000000001E-2</v>
      </c>
      <c r="HF205" s="505">
        <v>3.2000000000000001E-2</v>
      </c>
      <c r="HG205" s="505">
        <v>3.2000000000000001E-2</v>
      </c>
      <c r="HH205" s="505">
        <v>3.2000000000000001E-2</v>
      </c>
      <c r="HI205" s="505">
        <v>3.2000000000000001E-2</v>
      </c>
      <c r="HJ205" s="505">
        <v>3.2000000000000001E-2</v>
      </c>
      <c r="HK205" s="505">
        <v>3.2000000000000001E-2</v>
      </c>
      <c r="HL205" s="505">
        <v>3.2000000000000001E-2</v>
      </c>
      <c r="HM205" s="505">
        <v>3.2000000000000001E-2</v>
      </c>
      <c r="HN205" s="505">
        <v>3.2000000000000001E-2</v>
      </c>
      <c r="HO205" s="505">
        <v>3.2000000000000001E-2</v>
      </c>
      <c r="HP205" s="473">
        <f t="shared" si="78"/>
        <v>0</v>
      </c>
      <c r="HQ205" s="499"/>
    </row>
    <row r="206" spans="2:225">
      <c r="B206" s="1123" t="s">
        <v>26</v>
      </c>
      <c r="C206" s="730" t="s">
        <v>243</v>
      </c>
      <c r="D206" s="659">
        <v>2.69E-2</v>
      </c>
      <c r="E206" s="659">
        <v>2.69E-2</v>
      </c>
      <c r="F206" s="659">
        <v>2.6599999999999999E-2</v>
      </c>
      <c r="G206" s="659">
        <v>2.5899999999999999E-2</v>
      </c>
      <c r="H206" s="659">
        <v>2.5499999999999998E-2</v>
      </c>
      <c r="I206" s="668">
        <v>2.6499999999999999E-2</v>
      </c>
      <c r="J206" s="659">
        <v>2.6499999999999999E-2</v>
      </c>
      <c r="K206" s="659">
        <v>2.6599999999999999E-2</v>
      </c>
      <c r="L206" s="659">
        <v>2.64E-2</v>
      </c>
      <c r="M206" s="659">
        <v>2.5899999999999999E-2</v>
      </c>
      <c r="N206" s="659">
        <v>2.5700000000000001E-2</v>
      </c>
      <c r="O206" s="659">
        <v>2.63E-2</v>
      </c>
      <c r="P206" s="659">
        <v>2.6200000000000001E-2</v>
      </c>
      <c r="Q206" s="659">
        <v>2.7E-2</v>
      </c>
      <c r="R206" s="668">
        <v>2.6499999999999999E-2</v>
      </c>
      <c r="S206" s="659">
        <v>2.6499999999999999E-2</v>
      </c>
      <c r="T206" s="502">
        <v>2.7199999999999998E-2</v>
      </c>
      <c r="U206" s="502">
        <v>2.7099999999999999E-2</v>
      </c>
      <c r="V206" s="502">
        <v>2.7299999999999998E-2</v>
      </c>
      <c r="W206" s="502">
        <v>2.6399999999999996E-2</v>
      </c>
      <c r="X206" s="502">
        <v>2.6099999999999995E-2</v>
      </c>
      <c r="Y206" s="502">
        <v>2.6499999999999996E-2</v>
      </c>
      <c r="Z206" s="502">
        <v>2.7399999999999997E-2</v>
      </c>
      <c r="AA206" s="502">
        <v>2.7199999999999998E-2</v>
      </c>
      <c r="AB206" s="502">
        <v>2.7699999999999999E-2</v>
      </c>
      <c r="AC206" s="502">
        <v>2.7300000000000001E-2</v>
      </c>
      <c r="AD206" s="502">
        <v>2.7900000000000001E-2</v>
      </c>
      <c r="AE206" s="502">
        <v>2.9100000000000001E-2</v>
      </c>
      <c r="AF206" s="502">
        <v>2.93E-2</v>
      </c>
      <c r="AG206" s="500">
        <v>2.8799999999999999E-2</v>
      </c>
      <c r="AH206" s="500">
        <v>2.8799999999999999E-2</v>
      </c>
      <c r="AI206" s="502">
        <v>2.8799999999999999E-2</v>
      </c>
      <c r="AJ206" s="500">
        <v>3.0200000000000001E-2</v>
      </c>
      <c r="AK206" s="502">
        <v>3.0200000000000001E-2</v>
      </c>
      <c r="AL206" s="502">
        <v>3.0700000000000002E-2</v>
      </c>
      <c r="AM206" s="502">
        <v>3.04E-2</v>
      </c>
      <c r="AN206" s="502">
        <v>2.92E-2</v>
      </c>
      <c r="AO206" s="502">
        <v>2.98E-2</v>
      </c>
      <c r="AP206" s="502">
        <v>3.3099999999999997E-2</v>
      </c>
      <c r="AQ206" s="502">
        <v>3.3399999999999999E-2</v>
      </c>
      <c r="AR206" s="502">
        <v>3.3000000000000002E-2</v>
      </c>
      <c r="AS206" s="500">
        <v>3.3399999999999999E-2</v>
      </c>
      <c r="AT206" s="500">
        <v>3.3399999999999999E-2</v>
      </c>
      <c r="AU206" s="500">
        <v>3.3399999999999999E-2</v>
      </c>
      <c r="AV206" s="502">
        <v>3.15E-2</v>
      </c>
      <c r="AW206" s="501">
        <v>3.39E-2</v>
      </c>
      <c r="AX206" s="501">
        <v>3.27E-2</v>
      </c>
      <c r="AY206" s="501">
        <v>3.27E-2</v>
      </c>
      <c r="AZ206" s="501">
        <v>3.27E-2</v>
      </c>
      <c r="BA206" s="501">
        <v>3.27E-2</v>
      </c>
      <c r="BB206" s="501">
        <v>3.27E-2</v>
      </c>
      <c r="BC206" s="501">
        <v>3.27E-2</v>
      </c>
      <c r="BD206" s="501">
        <v>3.4700000000000002E-2</v>
      </c>
      <c r="BE206" s="501">
        <v>3.4700000000000002E-2</v>
      </c>
      <c r="BF206" s="501">
        <v>3.4700000000000002E-2</v>
      </c>
      <c r="BG206" s="501">
        <v>3.32E-2</v>
      </c>
      <c r="BH206" s="501">
        <v>3.1300000000000001E-2</v>
      </c>
      <c r="BI206" s="501">
        <v>3.1300000000000001E-2</v>
      </c>
      <c r="BJ206" s="501">
        <v>3.1300000000000001E-2</v>
      </c>
      <c r="BK206" s="501">
        <v>3.1300000000000001E-2</v>
      </c>
      <c r="BL206" s="501">
        <v>3.1300000000000001E-2</v>
      </c>
      <c r="BM206" s="501">
        <v>3.2199999999999999E-2</v>
      </c>
      <c r="BN206" s="501">
        <v>3.2199999999999999E-2</v>
      </c>
      <c r="BO206" s="501">
        <v>3.0800000000000001E-2</v>
      </c>
      <c r="BP206" s="501">
        <v>3.2300000000000002E-2</v>
      </c>
      <c r="BQ206" s="501">
        <v>3.2300000000000002E-2</v>
      </c>
      <c r="BR206" s="501">
        <v>3.2599999999999997E-2</v>
      </c>
      <c r="BS206" s="501">
        <v>3.2599999999999997E-2</v>
      </c>
      <c r="BT206" s="501">
        <v>3.0700000000000002E-2</v>
      </c>
      <c r="BU206" s="501">
        <v>3.0700000000000002E-2</v>
      </c>
      <c r="BV206" s="501">
        <v>3.0700000000000002E-2</v>
      </c>
      <c r="BW206" s="501">
        <v>3.0700000000000002E-2</v>
      </c>
      <c r="BX206" s="501">
        <v>3.0700000000000002E-2</v>
      </c>
      <c r="BY206" s="501">
        <v>2.7099999999999999E-2</v>
      </c>
      <c r="BZ206" s="501">
        <v>2.7099999999999999E-2</v>
      </c>
      <c r="CA206" s="501">
        <v>2.8199999999999999E-2</v>
      </c>
      <c r="CB206" s="501">
        <v>2.87E-2</v>
      </c>
      <c r="CC206" s="501">
        <v>3.1300000000000001E-2</v>
      </c>
      <c r="CD206" s="501">
        <v>3.1699999999999999E-2</v>
      </c>
      <c r="CE206" s="501">
        <v>3.2500000000000001E-2</v>
      </c>
      <c r="CF206" s="501">
        <v>3.2199999999999999E-2</v>
      </c>
      <c r="CG206" s="501">
        <v>3.2500000000000001E-2</v>
      </c>
      <c r="CH206" s="501">
        <v>3.7100000000000001E-2</v>
      </c>
      <c r="CI206" s="501">
        <v>3.78E-2</v>
      </c>
      <c r="CJ206" s="501">
        <v>3.9E-2</v>
      </c>
      <c r="CK206" s="501">
        <v>3.9E-2</v>
      </c>
      <c r="CL206" s="501">
        <v>3.9699999999999999E-2</v>
      </c>
      <c r="CM206" s="501">
        <v>3.9899999999999998E-2</v>
      </c>
      <c r="CN206" s="501">
        <v>4.0300000000000002E-2</v>
      </c>
      <c r="CO206" s="501">
        <v>4.0899999999999999E-2</v>
      </c>
      <c r="CP206" s="501">
        <v>4.0899999999999999E-2</v>
      </c>
      <c r="CQ206" s="501">
        <v>4.1799999999999997E-2</v>
      </c>
      <c r="CR206" s="501">
        <v>4.1099999999999998E-2</v>
      </c>
      <c r="CS206" s="501">
        <v>4.1000000000000002E-2</v>
      </c>
      <c r="CT206" s="501">
        <v>4.1099999999999998E-2</v>
      </c>
      <c r="CU206" s="484">
        <v>4.1799999999999997E-2</v>
      </c>
      <c r="CV206" s="482">
        <v>4.1500000000000002E-2</v>
      </c>
      <c r="CW206" s="524">
        <v>4.2000000000000003E-2</v>
      </c>
      <c r="CX206" s="482">
        <v>4.1000000000000002E-2</v>
      </c>
      <c r="CY206" s="482">
        <v>4.0599999999999997E-2</v>
      </c>
      <c r="CZ206" s="482">
        <v>4.0099999999999997E-2</v>
      </c>
      <c r="DA206" s="482">
        <v>4.2700000000000002E-2</v>
      </c>
      <c r="DB206" s="482">
        <v>4.2099999999999999E-2</v>
      </c>
      <c r="DC206" s="484">
        <v>4.2099999999999999E-2</v>
      </c>
      <c r="DD206" s="484">
        <v>4.2999999999999997E-2</v>
      </c>
      <c r="DE206" s="484">
        <v>4.2099999999999999E-2</v>
      </c>
      <c r="DF206" s="482">
        <v>4.2500000000000003E-2</v>
      </c>
      <c r="DG206" s="482">
        <v>4.1000000000000002E-2</v>
      </c>
      <c r="DH206" s="482">
        <v>3.85E-2</v>
      </c>
      <c r="DI206" s="482">
        <v>3.9399999999999998E-2</v>
      </c>
      <c r="DJ206" s="482">
        <v>3.8199999999999998E-2</v>
      </c>
      <c r="DK206" s="482">
        <v>4.0599999999999997E-2</v>
      </c>
      <c r="DL206" s="482">
        <v>4.0399999999999998E-2</v>
      </c>
      <c r="DM206" s="482">
        <v>4.0399999999999998E-2</v>
      </c>
      <c r="DN206" s="482">
        <v>4.3499999999999997E-2</v>
      </c>
      <c r="DO206" s="482">
        <v>4.3499999999999997E-2</v>
      </c>
      <c r="DP206" s="482">
        <v>4.2599999999999999E-2</v>
      </c>
      <c r="DQ206" s="482">
        <v>4.4600000000000001E-2</v>
      </c>
      <c r="DR206" s="482">
        <v>4.5199999999999997E-2</v>
      </c>
      <c r="DS206" s="482">
        <v>4.4999999999999998E-2</v>
      </c>
      <c r="DT206" s="482">
        <v>4.5499999999999999E-2</v>
      </c>
      <c r="DU206" s="482">
        <v>4.6800000000000001E-2</v>
      </c>
      <c r="DV206" s="482">
        <v>4.6699999999999998E-2</v>
      </c>
      <c r="DW206" s="482">
        <v>4.7500000000000001E-2</v>
      </c>
      <c r="DX206" s="482">
        <v>4.6399999999999997E-2</v>
      </c>
      <c r="DY206" s="482">
        <v>4.7500000000000001E-2</v>
      </c>
      <c r="DZ206" s="482">
        <v>4.7600000000000003E-2</v>
      </c>
      <c r="EA206" s="482">
        <v>4.7399999999999998E-2</v>
      </c>
      <c r="EB206" s="482">
        <v>4.7E-2</v>
      </c>
      <c r="EC206" s="482">
        <v>4.7E-2</v>
      </c>
      <c r="ED206" s="482">
        <v>4.7100000000000003E-2</v>
      </c>
      <c r="EE206" s="482">
        <v>4.6699999999999998E-2</v>
      </c>
      <c r="EF206" s="482">
        <v>4.6199999999999998E-2</v>
      </c>
      <c r="EG206" s="482">
        <v>4.6399999999999997E-2</v>
      </c>
      <c r="EH206" s="482">
        <v>4.6600000000000003E-2</v>
      </c>
      <c r="EI206" s="482">
        <v>3.6999999999999998E-2</v>
      </c>
      <c r="EJ206" s="482">
        <v>3.7199999999999997E-2</v>
      </c>
      <c r="EK206" s="482">
        <v>3.5200000000000002E-2</v>
      </c>
      <c r="EL206" s="482">
        <v>3.5200000000000002E-2</v>
      </c>
      <c r="EM206" s="482">
        <v>3.1800000000000002E-2</v>
      </c>
      <c r="EN206" s="482">
        <v>4.19E-2</v>
      </c>
      <c r="EO206" s="482">
        <v>3.9800000000000002E-2</v>
      </c>
      <c r="EP206" s="482">
        <v>3.9899999999999998E-2</v>
      </c>
      <c r="EQ206" s="482">
        <v>3.9399999999999998E-2</v>
      </c>
      <c r="ER206" s="482">
        <v>3.9300000000000002E-2</v>
      </c>
      <c r="ES206" s="482">
        <v>4.0800000000000003E-2</v>
      </c>
      <c r="ET206" s="482">
        <v>3.8100000000000002E-2</v>
      </c>
      <c r="EU206" s="487">
        <v>3.78E-2</v>
      </c>
      <c r="EV206" s="487">
        <v>3.78E-2</v>
      </c>
      <c r="EW206" s="487">
        <v>3.7499999999999999E-2</v>
      </c>
      <c r="EX206" s="487">
        <v>3.7499999999999999E-2</v>
      </c>
      <c r="EY206" s="482">
        <v>4.24E-2</v>
      </c>
      <c r="EZ206" s="482">
        <v>4.8800000000000003E-2</v>
      </c>
      <c r="FA206" s="484">
        <v>4.8599999999999997E-2</v>
      </c>
      <c r="FB206" s="484">
        <v>4.7500000000000001E-2</v>
      </c>
      <c r="FC206" s="477">
        <v>4.6699999999999998E-2</v>
      </c>
      <c r="FD206" s="477">
        <v>4.6399999999999997E-2</v>
      </c>
      <c r="FE206" s="477">
        <v>4.4400000000000002E-2</v>
      </c>
      <c r="FF206" s="477">
        <v>4.58E-2</v>
      </c>
      <c r="FG206" s="477">
        <v>4.5999999999999999E-2</v>
      </c>
      <c r="FH206" s="477">
        <v>4.58E-2</v>
      </c>
      <c r="FI206" s="477">
        <v>4.6100000000000002E-2</v>
      </c>
      <c r="FJ206" s="477">
        <v>4.6199999999999998E-2</v>
      </c>
      <c r="FK206" s="477">
        <v>4.53E-2</v>
      </c>
      <c r="FL206" s="477">
        <v>4.4699999999999997E-2</v>
      </c>
      <c r="FM206" s="477">
        <v>4.6800000000000001E-2</v>
      </c>
      <c r="FN206" s="477">
        <v>4.5999999999999999E-2</v>
      </c>
      <c r="FO206" s="477">
        <v>4.5900000000000003E-2</v>
      </c>
      <c r="FP206" s="477">
        <v>4.2999999999999997E-2</v>
      </c>
      <c r="FQ206" s="477">
        <v>4.4200000000000003E-2</v>
      </c>
      <c r="FR206" s="477">
        <v>4.4200000000000003E-2</v>
      </c>
      <c r="FS206" s="477">
        <v>4.2599999999999999E-2</v>
      </c>
      <c r="FT206" s="477">
        <v>4.2099999999999999E-2</v>
      </c>
      <c r="FU206" s="477">
        <v>3.9E-2</v>
      </c>
      <c r="FV206" s="482">
        <v>4.36E-2</v>
      </c>
      <c r="FW206" s="482">
        <v>4.4299999999999999E-2</v>
      </c>
      <c r="FX206" s="482">
        <v>4.58E-2</v>
      </c>
      <c r="FY206" s="482">
        <v>4.6600000000000003E-2</v>
      </c>
      <c r="FZ206" s="482">
        <v>4.6399999999999997E-2</v>
      </c>
      <c r="GA206" s="482">
        <v>4.5400000000000003E-2</v>
      </c>
      <c r="GB206" s="482">
        <v>4.5199999999999997E-2</v>
      </c>
      <c r="GC206" s="482">
        <v>4.4600000000000001E-2</v>
      </c>
      <c r="GD206" s="477">
        <v>3.5200000000000002E-2</v>
      </c>
      <c r="GE206" s="477">
        <v>3.5200000000000002E-2</v>
      </c>
      <c r="GF206" s="477">
        <v>3.5200000000000002E-2</v>
      </c>
      <c r="GG206" s="477">
        <v>3.5200000000000002E-2</v>
      </c>
      <c r="GH206" s="477">
        <v>3.5200000000000002E-2</v>
      </c>
      <c r="GI206" s="477">
        <v>3.5200000000000002E-2</v>
      </c>
      <c r="GJ206" s="477">
        <v>3.5200000000000002E-2</v>
      </c>
      <c r="GK206" s="477">
        <v>3.5200000000000002E-2</v>
      </c>
      <c r="GL206" s="477">
        <v>3.5200000000000002E-2</v>
      </c>
      <c r="GM206" s="477">
        <v>3.5200000000000002E-2</v>
      </c>
      <c r="GN206" s="477">
        <v>3.5200000000000002E-2</v>
      </c>
      <c r="GO206" s="477">
        <v>3.5200000000000002E-2</v>
      </c>
      <c r="GP206" s="477">
        <v>3.5200000000000002E-2</v>
      </c>
      <c r="GQ206" s="477">
        <v>3.5200000000000002E-2</v>
      </c>
      <c r="GR206" s="477">
        <v>3.5200000000000002E-2</v>
      </c>
      <c r="GS206" s="477">
        <v>3.5200000000000002E-2</v>
      </c>
      <c r="GT206" s="477">
        <v>3.5200000000000002E-2</v>
      </c>
      <c r="GU206" s="477">
        <v>3.5200000000000002E-2</v>
      </c>
      <c r="GV206" s="477">
        <v>3.5200000000000002E-2</v>
      </c>
      <c r="GW206" s="477">
        <v>3.5200000000000002E-2</v>
      </c>
      <c r="GX206" s="477">
        <v>3.5200000000000002E-2</v>
      </c>
      <c r="GY206" s="477">
        <v>3.5200000000000002E-2</v>
      </c>
      <c r="GZ206" s="477">
        <v>3.5200000000000002E-2</v>
      </c>
      <c r="HA206" s="477">
        <v>3.5200000000000002E-2</v>
      </c>
      <c r="HB206" s="477">
        <v>3.5200000000000002E-2</v>
      </c>
      <c r="HC206" s="477">
        <v>3.5200000000000002E-2</v>
      </c>
      <c r="HD206" s="477">
        <v>3.5200000000000002E-2</v>
      </c>
      <c r="HE206" s="477">
        <v>3.5200000000000002E-2</v>
      </c>
      <c r="HF206" s="477">
        <v>3.5200000000000002E-2</v>
      </c>
      <c r="HG206" s="477">
        <v>3.5200000000000002E-2</v>
      </c>
      <c r="HH206" s="477">
        <v>3.5200000000000002E-2</v>
      </c>
      <c r="HI206" s="477">
        <v>3.5200000000000002E-2</v>
      </c>
      <c r="HJ206" s="477">
        <v>3.5200000000000002E-2</v>
      </c>
      <c r="HK206" s="477">
        <v>3.5200000000000002E-2</v>
      </c>
      <c r="HL206" s="477">
        <v>3.5200000000000002E-2</v>
      </c>
      <c r="HM206" s="477">
        <v>3.5200000000000002E-2</v>
      </c>
      <c r="HN206" s="477">
        <v>3.5200000000000002E-2</v>
      </c>
      <c r="HO206" s="477">
        <v>3.5200000000000002E-2</v>
      </c>
      <c r="HP206" s="473">
        <f t="shared" si="78"/>
        <v>0</v>
      </c>
      <c r="HQ206" s="1135"/>
    </row>
    <row r="207" spans="2:225">
      <c r="B207" s="1124"/>
      <c r="C207" s="730" t="s">
        <v>242</v>
      </c>
      <c r="D207" s="659">
        <v>2.69E-2</v>
      </c>
      <c r="E207" s="659">
        <v>2.69E-2</v>
      </c>
      <c r="F207" s="659">
        <v>2.6599999999999999E-2</v>
      </c>
      <c r="G207" s="659">
        <v>2.5899999999999999E-2</v>
      </c>
      <c r="H207" s="659">
        <v>2.5499999999999998E-2</v>
      </c>
      <c r="I207" s="668">
        <v>2.6499999999999999E-2</v>
      </c>
      <c r="J207" s="659">
        <v>2.6499999999999999E-2</v>
      </c>
      <c r="K207" s="659">
        <v>2.6599999999999999E-2</v>
      </c>
      <c r="L207" s="659">
        <v>2.64E-2</v>
      </c>
      <c r="M207" s="659">
        <v>2.5899999999999999E-2</v>
      </c>
      <c r="N207" s="659">
        <v>2.5700000000000001E-2</v>
      </c>
      <c r="O207" s="659">
        <v>2.63E-2</v>
      </c>
      <c r="P207" s="659">
        <v>2.6200000000000001E-2</v>
      </c>
      <c r="Q207" s="659">
        <v>2.7E-2</v>
      </c>
      <c r="R207" s="668">
        <v>2.6499999999999999E-2</v>
      </c>
      <c r="S207" s="659">
        <v>2.6499999999999999E-2</v>
      </c>
      <c r="T207" s="502">
        <v>2.7199999999999998E-2</v>
      </c>
      <c r="U207" s="502">
        <v>2.7099999999999999E-2</v>
      </c>
      <c r="V207" s="502">
        <v>2.7299999999999998E-2</v>
      </c>
      <c r="W207" s="502">
        <v>2.6399999999999996E-2</v>
      </c>
      <c r="X207" s="502">
        <v>2.6099999999999995E-2</v>
      </c>
      <c r="Y207" s="502">
        <v>2.6499999999999996E-2</v>
      </c>
      <c r="Z207" s="502">
        <v>2.7399999999999997E-2</v>
      </c>
      <c r="AA207" s="502">
        <v>2.7199999999999998E-2</v>
      </c>
      <c r="AB207" s="502">
        <v>2.7699999999999999E-2</v>
      </c>
      <c r="AC207" s="502">
        <v>2.7300000000000001E-2</v>
      </c>
      <c r="AD207" s="502">
        <v>2.7900000000000001E-2</v>
      </c>
      <c r="AE207" s="502">
        <v>2.9100000000000001E-2</v>
      </c>
      <c r="AF207" s="502">
        <v>2.93E-2</v>
      </c>
      <c r="AG207" s="500">
        <v>2.8799999999999999E-2</v>
      </c>
      <c r="AH207" s="500">
        <v>2.8799999999999999E-2</v>
      </c>
      <c r="AI207" s="502">
        <v>2.8799999999999999E-2</v>
      </c>
      <c r="AJ207" s="500">
        <v>3.0200000000000001E-2</v>
      </c>
      <c r="AK207" s="502">
        <v>3.0200000000000001E-2</v>
      </c>
      <c r="AL207" s="502">
        <v>3.0700000000000002E-2</v>
      </c>
      <c r="AM207" s="502">
        <v>3.04E-2</v>
      </c>
      <c r="AN207" s="502">
        <v>2.92E-2</v>
      </c>
      <c r="AO207" s="502">
        <v>2.98E-2</v>
      </c>
      <c r="AP207" s="502">
        <v>3.3099999999999997E-2</v>
      </c>
      <c r="AQ207" s="502">
        <v>3.3399999999999999E-2</v>
      </c>
      <c r="AR207" s="502">
        <v>3.3000000000000002E-2</v>
      </c>
      <c r="AS207" s="500">
        <v>3.3399999999999999E-2</v>
      </c>
      <c r="AT207" s="500">
        <f t="shared" ref="AT207:BC209" si="79">$W$206</f>
        <v>2.6399999999999996E-2</v>
      </c>
      <c r="AU207" s="500">
        <f t="shared" si="79"/>
        <v>2.6399999999999996E-2</v>
      </c>
      <c r="AV207" s="502">
        <f t="shared" si="79"/>
        <v>2.6399999999999996E-2</v>
      </c>
      <c r="AW207" s="501">
        <f t="shared" si="79"/>
        <v>2.6399999999999996E-2</v>
      </c>
      <c r="AX207" s="501">
        <f t="shared" si="79"/>
        <v>2.6399999999999996E-2</v>
      </c>
      <c r="AY207" s="501">
        <f t="shared" si="79"/>
        <v>2.6399999999999996E-2</v>
      </c>
      <c r="AZ207" s="501">
        <f t="shared" si="79"/>
        <v>2.6399999999999996E-2</v>
      </c>
      <c r="BA207" s="501">
        <f t="shared" si="79"/>
        <v>2.6399999999999996E-2</v>
      </c>
      <c r="BB207" s="501">
        <f t="shared" si="79"/>
        <v>2.6399999999999996E-2</v>
      </c>
      <c r="BC207" s="501">
        <f t="shared" si="79"/>
        <v>2.6399999999999996E-2</v>
      </c>
      <c r="BD207" s="501">
        <v>3.4700000000000002E-2</v>
      </c>
      <c r="BE207" s="501">
        <v>3.4700000000000002E-2</v>
      </c>
      <c r="BF207" s="501">
        <v>3.4700000000000002E-2</v>
      </c>
      <c r="BG207" s="501">
        <v>3.32E-2</v>
      </c>
      <c r="BH207" s="501">
        <v>3.1300000000000001E-2</v>
      </c>
      <c r="BI207" s="501">
        <v>3.1300000000000001E-2</v>
      </c>
      <c r="BJ207" s="501">
        <v>3.1300000000000001E-2</v>
      </c>
      <c r="BK207" s="501">
        <v>3.1300000000000001E-2</v>
      </c>
      <c r="BL207" s="501">
        <v>3.1300000000000001E-2</v>
      </c>
      <c r="BM207" s="501">
        <v>3.2199999999999999E-2</v>
      </c>
      <c r="BN207" s="501">
        <v>3.2199999999999999E-2</v>
      </c>
      <c r="BO207" s="501">
        <v>3.0800000000000001E-2</v>
      </c>
      <c r="BP207" s="501">
        <v>3.2300000000000002E-2</v>
      </c>
      <c r="BQ207" s="501">
        <v>3.2300000000000002E-2</v>
      </c>
      <c r="BR207" s="501">
        <v>3.2599999999999997E-2</v>
      </c>
      <c r="BS207" s="501">
        <v>3.2599999999999997E-2</v>
      </c>
      <c r="BT207" s="501">
        <v>3.0700000000000002E-2</v>
      </c>
      <c r="BU207" s="501">
        <v>3.0700000000000002E-2</v>
      </c>
      <c r="BV207" s="501">
        <v>3.0700000000000002E-2</v>
      </c>
      <c r="BW207" s="501">
        <v>3.0700000000000002E-2</v>
      </c>
      <c r="BX207" s="501">
        <v>3.0700000000000002E-2</v>
      </c>
      <c r="BY207" s="501">
        <v>2.7099999999999999E-2</v>
      </c>
      <c r="BZ207" s="501">
        <v>2.7099999999999999E-2</v>
      </c>
      <c r="CA207" s="501">
        <v>2.8199999999999999E-2</v>
      </c>
      <c r="CB207" s="501">
        <v>2.87E-2</v>
      </c>
      <c r="CC207" s="501">
        <v>3.1300000000000001E-2</v>
      </c>
      <c r="CD207" s="501">
        <v>3.1699999999999999E-2</v>
      </c>
      <c r="CE207" s="501">
        <v>3.2500000000000001E-2</v>
      </c>
      <c r="CF207" s="501">
        <v>3.2199999999999999E-2</v>
      </c>
      <c r="CG207" s="501">
        <v>3.2500000000000001E-2</v>
      </c>
      <c r="CH207" s="501">
        <v>3.7100000000000001E-2</v>
      </c>
      <c r="CI207" s="501">
        <v>3.78E-2</v>
      </c>
      <c r="CJ207" s="501">
        <v>3.9E-2</v>
      </c>
      <c r="CK207" s="501">
        <v>3.9E-2</v>
      </c>
      <c r="CL207" s="501">
        <v>3.9699999999999999E-2</v>
      </c>
      <c r="CM207" s="501">
        <v>3.9899999999999998E-2</v>
      </c>
      <c r="CN207" s="501">
        <v>4.0300000000000002E-2</v>
      </c>
      <c r="CO207" s="501">
        <v>4.0899999999999999E-2</v>
      </c>
      <c r="CP207" s="501">
        <v>4.0899999999999999E-2</v>
      </c>
      <c r="CQ207" s="501">
        <v>4.1799999999999997E-2</v>
      </c>
      <c r="CR207" s="501">
        <v>4.1099999999999998E-2</v>
      </c>
      <c r="CS207" s="501">
        <v>4.1000000000000002E-2</v>
      </c>
      <c r="CT207" s="501">
        <v>4.1099999999999998E-2</v>
      </c>
      <c r="CU207" s="484">
        <v>4.1799999999999997E-2</v>
      </c>
      <c r="CV207" s="482">
        <v>4.1500000000000002E-2</v>
      </c>
      <c r="CW207" s="524">
        <v>4.2000000000000003E-2</v>
      </c>
      <c r="CX207" s="482">
        <v>4.1000000000000002E-2</v>
      </c>
      <c r="CY207" s="482">
        <v>4.0599999999999997E-2</v>
      </c>
      <c r="CZ207" s="482">
        <v>4.0099999999999997E-2</v>
      </c>
      <c r="DA207" s="482">
        <v>4.2700000000000002E-2</v>
      </c>
      <c r="DB207" s="482">
        <v>4.2099999999999999E-2</v>
      </c>
      <c r="DC207" s="484">
        <v>4.2099999999999999E-2</v>
      </c>
      <c r="DD207" s="484">
        <v>4.2999999999999997E-2</v>
      </c>
      <c r="DE207" s="484">
        <v>4.2099999999999999E-2</v>
      </c>
      <c r="DF207" s="482">
        <v>4.2500000000000003E-2</v>
      </c>
      <c r="DG207" s="482">
        <v>4.1000000000000002E-2</v>
      </c>
      <c r="DH207" s="482">
        <v>3.85E-2</v>
      </c>
      <c r="DI207" s="482">
        <v>3.9399999999999998E-2</v>
      </c>
      <c r="DJ207" s="482">
        <v>3.8199999999999998E-2</v>
      </c>
      <c r="DK207" s="482">
        <v>4.0599999999999997E-2</v>
      </c>
      <c r="DL207" s="482">
        <v>4.0399999999999998E-2</v>
      </c>
      <c r="DM207" s="482">
        <v>4.0399999999999998E-2</v>
      </c>
      <c r="DN207" s="482">
        <v>4.3499999999999997E-2</v>
      </c>
      <c r="DO207" s="482">
        <v>4.3499999999999997E-2</v>
      </c>
      <c r="DP207" s="482">
        <v>4.2599999999999999E-2</v>
      </c>
      <c r="DQ207" s="482">
        <v>4.4600000000000001E-2</v>
      </c>
      <c r="DR207" s="482">
        <v>4.5199999999999997E-2</v>
      </c>
      <c r="DS207" s="482">
        <v>4.4999999999999998E-2</v>
      </c>
      <c r="DT207" s="482">
        <v>4.5499999999999999E-2</v>
      </c>
      <c r="DU207" s="482">
        <v>4.6800000000000001E-2</v>
      </c>
      <c r="DV207" s="482">
        <v>4.6699999999999998E-2</v>
      </c>
      <c r="DW207" s="482">
        <v>4.7500000000000001E-2</v>
      </c>
      <c r="DX207" s="482">
        <v>4.6399999999999997E-2</v>
      </c>
      <c r="DY207" s="482">
        <v>4.7500000000000001E-2</v>
      </c>
      <c r="DZ207" s="482">
        <v>4.7600000000000003E-2</v>
      </c>
      <c r="EA207" s="482">
        <v>4.7399999999999998E-2</v>
      </c>
      <c r="EB207" s="482">
        <v>4.7E-2</v>
      </c>
      <c r="EC207" s="482">
        <v>4.7E-2</v>
      </c>
      <c r="ED207" s="482">
        <v>4.7100000000000003E-2</v>
      </c>
      <c r="EE207" s="482">
        <v>4.6699999999999998E-2</v>
      </c>
      <c r="EF207" s="482">
        <v>4.6199999999999998E-2</v>
      </c>
      <c r="EG207" s="482">
        <v>4.6399999999999997E-2</v>
      </c>
      <c r="EH207" s="482">
        <v>4.6600000000000003E-2</v>
      </c>
      <c r="EI207" s="482">
        <v>3.6999999999999998E-2</v>
      </c>
      <c r="EJ207" s="482">
        <v>3.7199999999999997E-2</v>
      </c>
      <c r="EK207" s="482">
        <v>3.5200000000000002E-2</v>
      </c>
      <c r="EL207" s="482">
        <v>3.5200000000000002E-2</v>
      </c>
      <c r="EM207" s="482">
        <v>3.1800000000000002E-2</v>
      </c>
      <c r="EN207" s="482">
        <v>4.19E-2</v>
      </c>
      <c r="EO207" s="482">
        <v>3.9800000000000002E-2</v>
      </c>
      <c r="EP207" s="482">
        <v>3.9899999999999998E-2</v>
      </c>
      <c r="EQ207" s="482">
        <v>3.9399999999999998E-2</v>
      </c>
      <c r="ER207" s="482">
        <v>3.9300000000000002E-2</v>
      </c>
      <c r="ES207" s="482">
        <v>4.0800000000000003E-2</v>
      </c>
      <c r="ET207" s="482">
        <v>3.8100000000000002E-2</v>
      </c>
      <c r="EU207" s="487">
        <v>3.78E-2</v>
      </c>
      <c r="EV207" s="487">
        <v>3.78E-2</v>
      </c>
      <c r="EW207" s="487">
        <v>3.7499999999999999E-2</v>
      </c>
      <c r="EX207" s="487">
        <v>3.7499999999999999E-2</v>
      </c>
      <c r="EY207" s="482">
        <v>4.24E-2</v>
      </c>
      <c r="EZ207" s="482">
        <v>4.8800000000000003E-2</v>
      </c>
      <c r="FA207" s="484">
        <v>4.8599999999999997E-2</v>
      </c>
      <c r="FB207" s="484">
        <v>4.7500000000000001E-2</v>
      </c>
      <c r="FC207" s="477">
        <v>4.6699999999999998E-2</v>
      </c>
      <c r="FD207" s="477">
        <v>4.6399999999999997E-2</v>
      </c>
      <c r="FE207" s="477">
        <v>4.4400000000000002E-2</v>
      </c>
      <c r="FF207" s="477">
        <v>4.58E-2</v>
      </c>
      <c r="FG207" s="477">
        <v>4.5999999999999999E-2</v>
      </c>
      <c r="FH207" s="477">
        <v>4.58E-2</v>
      </c>
      <c r="FI207" s="477">
        <v>4.6100000000000002E-2</v>
      </c>
      <c r="FJ207" s="477">
        <v>4.6199999999999998E-2</v>
      </c>
      <c r="FK207" s="477">
        <v>4.53E-2</v>
      </c>
      <c r="FL207" s="477">
        <v>4.4699999999999997E-2</v>
      </c>
      <c r="FM207" s="477">
        <v>4.6800000000000001E-2</v>
      </c>
      <c r="FN207" s="477">
        <v>4.5999999999999999E-2</v>
      </c>
      <c r="FO207" s="477">
        <v>4.5900000000000003E-2</v>
      </c>
      <c r="FP207" s="477">
        <v>4.2999999999999997E-2</v>
      </c>
      <c r="FQ207" s="477">
        <v>4.4200000000000003E-2</v>
      </c>
      <c r="FR207" s="477">
        <v>4.4200000000000003E-2</v>
      </c>
      <c r="FS207" s="477">
        <v>4.2599999999999999E-2</v>
      </c>
      <c r="FT207" s="477">
        <v>4.2099999999999999E-2</v>
      </c>
      <c r="FU207" s="477">
        <v>3.9E-2</v>
      </c>
      <c r="FV207" s="482">
        <v>4.36E-2</v>
      </c>
      <c r="FW207" s="482">
        <v>4.4299999999999999E-2</v>
      </c>
      <c r="FX207" s="482">
        <v>4.58E-2</v>
      </c>
      <c r="FY207" s="482">
        <v>4.6600000000000003E-2</v>
      </c>
      <c r="FZ207" s="482">
        <v>4.6399999999999997E-2</v>
      </c>
      <c r="GA207" s="482">
        <v>4.5400000000000003E-2</v>
      </c>
      <c r="GB207" s="482">
        <v>4.5199999999999997E-2</v>
      </c>
      <c r="GC207" s="482">
        <v>4.4600000000000001E-2</v>
      </c>
      <c r="GD207" s="477">
        <v>3.5200000000000002E-2</v>
      </c>
      <c r="GE207" s="477">
        <v>3.5200000000000002E-2</v>
      </c>
      <c r="GF207" s="477">
        <v>3.5200000000000002E-2</v>
      </c>
      <c r="GG207" s="477">
        <v>3.5200000000000002E-2</v>
      </c>
      <c r="GH207" s="477">
        <v>3.5200000000000002E-2</v>
      </c>
      <c r="GI207" s="477">
        <v>3.5200000000000002E-2</v>
      </c>
      <c r="GJ207" s="477">
        <v>3.5200000000000002E-2</v>
      </c>
      <c r="GK207" s="477">
        <v>3.5200000000000002E-2</v>
      </c>
      <c r="GL207" s="477">
        <v>3.5200000000000002E-2</v>
      </c>
      <c r="GM207" s="477">
        <v>3.5200000000000002E-2</v>
      </c>
      <c r="GN207" s="477">
        <v>3.5200000000000002E-2</v>
      </c>
      <c r="GO207" s="477">
        <v>3.5200000000000002E-2</v>
      </c>
      <c r="GP207" s="477">
        <v>3.5200000000000002E-2</v>
      </c>
      <c r="GQ207" s="477">
        <v>3.5200000000000002E-2</v>
      </c>
      <c r="GR207" s="477">
        <v>3.5200000000000002E-2</v>
      </c>
      <c r="GS207" s="477">
        <v>3.5200000000000002E-2</v>
      </c>
      <c r="GT207" s="477">
        <v>3.5200000000000002E-2</v>
      </c>
      <c r="GU207" s="477">
        <v>3.5200000000000002E-2</v>
      </c>
      <c r="GV207" s="477">
        <v>3.5200000000000002E-2</v>
      </c>
      <c r="GW207" s="477">
        <v>3.5200000000000002E-2</v>
      </c>
      <c r="GX207" s="477">
        <v>3.5200000000000002E-2</v>
      </c>
      <c r="GY207" s="477">
        <v>3.5200000000000002E-2</v>
      </c>
      <c r="GZ207" s="477">
        <v>3.5200000000000002E-2</v>
      </c>
      <c r="HA207" s="477">
        <v>3.5200000000000002E-2</v>
      </c>
      <c r="HB207" s="477">
        <v>3.5200000000000002E-2</v>
      </c>
      <c r="HC207" s="477">
        <v>3.5200000000000002E-2</v>
      </c>
      <c r="HD207" s="477">
        <v>3.5200000000000002E-2</v>
      </c>
      <c r="HE207" s="477">
        <v>3.5200000000000002E-2</v>
      </c>
      <c r="HF207" s="477">
        <v>3.5200000000000002E-2</v>
      </c>
      <c r="HG207" s="477">
        <v>3.5200000000000002E-2</v>
      </c>
      <c r="HH207" s="477">
        <v>3.5200000000000002E-2</v>
      </c>
      <c r="HI207" s="477">
        <v>3.5200000000000002E-2</v>
      </c>
      <c r="HJ207" s="477">
        <v>3.5200000000000002E-2</v>
      </c>
      <c r="HK207" s="477">
        <v>3.5200000000000002E-2</v>
      </c>
      <c r="HL207" s="477">
        <v>3.5200000000000002E-2</v>
      </c>
      <c r="HM207" s="477">
        <v>3.5200000000000002E-2</v>
      </c>
      <c r="HN207" s="477">
        <v>3.5200000000000002E-2</v>
      </c>
      <c r="HO207" s="477">
        <v>3.5200000000000002E-2</v>
      </c>
      <c r="HP207" s="473">
        <f t="shared" si="78"/>
        <v>0</v>
      </c>
      <c r="HQ207" s="1136"/>
    </row>
    <row r="208" spans="2:225">
      <c r="B208" s="1124"/>
      <c r="C208" s="730" t="s">
        <v>241</v>
      </c>
      <c r="D208" s="659">
        <v>2.69E-2</v>
      </c>
      <c r="E208" s="659">
        <v>2.69E-2</v>
      </c>
      <c r="F208" s="659">
        <v>2.6599999999999999E-2</v>
      </c>
      <c r="G208" s="659">
        <v>2.5899999999999999E-2</v>
      </c>
      <c r="H208" s="659">
        <v>2.5499999999999998E-2</v>
      </c>
      <c r="I208" s="668">
        <v>2.6499999999999999E-2</v>
      </c>
      <c r="J208" s="659">
        <v>2.6499999999999999E-2</v>
      </c>
      <c r="K208" s="659">
        <v>2.6599999999999999E-2</v>
      </c>
      <c r="L208" s="659">
        <v>2.64E-2</v>
      </c>
      <c r="M208" s="659">
        <v>2.5899999999999999E-2</v>
      </c>
      <c r="N208" s="659">
        <v>2.5700000000000001E-2</v>
      </c>
      <c r="O208" s="659">
        <v>2.63E-2</v>
      </c>
      <c r="P208" s="659">
        <v>2.6200000000000001E-2</v>
      </c>
      <c r="Q208" s="659">
        <v>2.7E-2</v>
      </c>
      <c r="R208" s="668">
        <v>2.6499999999999999E-2</v>
      </c>
      <c r="S208" s="659">
        <v>2.6499999999999999E-2</v>
      </c>
      <c r="T208" s="502">
        <v>2.7199999999999998E-2</v>
      </c>
      <c r="U208" s="502">
        <v>2.7099999999999999E-2</v>
      </c>
      <c r="V208" s="502">
        <v>2.7299999999999998E-2</v>
      </c>
      <c r="W208" s="502">
        <v>2.6399999999999996E-2</v>
      </c>
      <c r="X208" s="502">
        <v>2.6099999999999995E-2</v>
      </c>
      <c r="Y208" s="502">
        <v>2.6499999999999996E-2</v>
      </c>
      <c r="Z208" s="502">
        <v>2.7399999999999997E-2</v>
      </c>
      <c r="AA208" s="502">
        <v>2.7199999999999998E-2</v>
      </c>
      <c r="AB208" s="502">
        <v>2.7699999999999999E-2</v>
      </c>
      <c r="AC208" s="502">
        <v>2.7300000000000001E-2</v>
      </c>
      <c r="AD208" s="502">
        <v>2.7900000000000001E-2</v>
      </c>
      <c r="AE208" s="502">
        <v>2.9100000000000001E-2</v>
      </c>
      <c r="AF208" s="502">
        <v>2.93E-2</v>
      </c>
      <c r="AG208" s="500">
        <v>2.8799999999999999E-2</v>
      </c>
      <c r="AH208" s="500">
        <v>2.8799999999999999E-2</v>
      </c>
      <c r="AI208" s="502">
        <v>2.8799999999999999E-2</v>
      </c>
      <c r="AJ208" s="500">
        <v>3.0200000000000001E-2</v>
      </c>
      <c r="AK208" s="502">
        <v>3.0200000000000001E-2</v>
      </c>
      <c r="AL208" s="502">
        <v>3.0700000000000002E-2</v>
      </c>
      <c r="AM208" s="502">
        <v>3.04E-2</v>
      </c>
      <c r="AN208" s="502">
        <v>2.92E-2</v>
      </c>
      <c r="AO208" s="502">
        <v>2.98E-2</v>
      </c>
      <c r="AP208" s="502">
        <v>3.3099999999999997E-2</v>
      </c>
      <c r="AQ208" s="502">
        <v>3.3399999999999999E-2</v>
      </c>
      <c r="AR208" s="502">
        <v>3.3000000000000002E-2</v>
      </c>
      <c r="AS208" s="500">
        <v>3.3399999999999999E-2</v>
      </c>
      <c r="AT208" s="500">
        <f t="shared" si="79"/>
        <v>2.6399999999999996E-2</v>
      </c>
      <c r="AU208" s="500">
        <f t="shared" si="79"/>
        <v>2.6399999999999996E-2</v>
      </c>
      <c r="AV208" s="502">
        <f t="shared" si="79"/>
        <v>2.6399999999999996E-2</v>
      </c>
      <c r="AW208" s="501">
        <f t="shared" si="79"/>
        <v>2.6399999999999996E-2</v>
      </c>
      <c r="AX208" s="501">
        <f t="shared" si="79"/>
        <v>2.6399999999999996E-2</v>
      </c>
      <c r="AY208" s="501">
        <f t="shared" si="79"/>
        <v>2.6399999999999996E-2</v>
      </c>
      <c r="AZ208" s="501">
        <f t="shared" si="79"/>
        <v>2.6399999999999996E-2</v>
      </c>
      <c r="BA208" s="501">
        <f t="shared" si="79"/>
        <v>2.6399999999999996E-2</v>
      </c>
      <c r="BB208" s="501">
        <f t="shared" si="79"/>
        <v>2.6399999999999996E-2</v>
      </c>
      <c r="BC208" s="501">
        <f t="shared" si="79"/>
        <v>2.6399999999999996E-2</v>
      </c>
      <c r="BD208" s="501">
        <v>3.4700000000000002E-2</v>
      </c>
      <c r="BE208" s="501">
        <v>3.4700000000000002E-2</v>
      </c>
      <c r="BF208" s="501">
        <v>3.4700000000000002E-2</v>
      </c>
      <c r="BG208" s="501">
        <v>3.32E-2</v>
      </c>
      <c r="BH208" s="501">
        <v>3.1300000000000001E-2</v>
      </c>
      <c r="BI208" s="501">
        <v>3.1300000000000001E-2</v>
      </c>
      <c r="BJ208" s="501">
        <v>3.1300000000000001E-2</v>
      </c>
      <c r="BK208" s="501">
        <v>3.1300000000000001E-2</v>
      </c>
      <c r="BL208" s="501">
        <v>3.1300000000000001E-2</v>
      </c>
      <c r="BM208" s="501">
        <v>3.2199999999999999E-2</v>
      </c>
      <c r="BN208" s="501">
        <v>3.2199999999999999E-2</v>
      </c>
      <c r="BO208" s="501">
        <v>3.0800000000000001E-2</v>
      </c>
      <c r="BP208" s="501">
        <v>3.2300000000000002E-2</v>
      </c>
      <c r="BQ208" s="501">
        <v>3.2300000000000002E-2</v>
      </c>
      <c r="BR208" s="501">
        <v>3.2599999999999997E-2</v>
      </c>
      <c r="BS208" s="501">
        <v>3.2599999999999997E-2</v>
      </c>
      <c r="BT208" s="501">
        <v>3.0700000000000002E-2</v>
      </c>
      <c r="BU208" s="501">
        <v>3.0700000000000002E-2</v>
      </c>
      <c r="BV208" s="501">
        <v>3.0700000000000002E-2</v>
      </c>
      <c r="BW208" s="501">
        <v>3.0700000000000002E-2</v>
      </c>
      <c r="BX208" s="501">
        <v>3.0700000000000002E-2</v>
      </c>
      <c r="BY208" s="501">
        <v>2.7099999999999999E-2</v>
      </c>
      <c r="BZ208" s="501">
        <v>2.7099999999999999E-2</v>
      </c>
      <c r="CA208" s="501">
        <v>2.8199999999999999E-2</v>
      </c>
      <c r="CB208" s="501">
        <v>2.87E-2</v>
      </c>
      <c r="CC208" s="501">
        <v>3.1300000000000001E-2</v>
      </c>
      <c r="CD208" s="501">
        <v>3.1699999999999999E-2</v>
      </c>
      <c r="CE208" s="501">
        <v>3.2500000000000001E-2</v>
      </c>
      <c r="CF208" s="501">
        <v>3.2199999999999999E-2</v>
      </c>
      <c r="CG208" s="501">
        <v>3.2500000000000001E-2</v>
      </c>
      <c r="CH208" s="501">
        <v>3.7100000000000001E-2</v>
      </c>
      <c r="CI208" s="501">
        <v>3.78E-2</v>
      </c>
      <c r="CJ208" s="501">
        <v>3.9E-2</v>
      </c>
      <c r="CK208" s="501">
        <v>3.9E-2</v>
      </c>
      <c r="CL208" s="501">
        <v>3.9699999999999999E-2</v>
      </c>
      <c r="CM208" s="501">
        <v>3.9899999999999998E-2</v>
      </c>
      <c r="CN208" s="501">
        <v>4.0300000000000002E-2</v>
      </c>
      <c r="CO208" s="501">
        <v>4.0899999999999999E-2</v>
      </c>
      <c r="CP208" s="501">
        <v>4.0899999999999999E-2</v>
      </c>
      <c r="CQ208" s="501">
        <v>4.1799999999999997E-2</v>
      </c>
      <c r="CR208" s="501">
        <v>4.1099999999999998E-2</v>
      </c>
      <c r="CS208" s="501">
        <v>4.1000000000000002E-2</v>
      </c>
      <c r="CT208" s="501">
        <v>4.1099999999999998E-2</v>
      </c>
      <c r="CU208" s="484">
        <v>4.1799999999999997E-2</v>
      </c>
      <c r="CV208" s="482">
        <v>4.1500000000000002E-2</v>
      </c>
      <c r="CW208" s="524">
        <v>4.2000000000000003E-2</v>
      </c>
      <c r="CX208" s="482">
        <v>4.1000000000000002E-2</v>
      </c>
      <c r="CY208" s="482">
        <v>4.0599999999999997E-2</v>
      </c>
      <c r="CZ208" s="482">
        <v>4.0099999999999997E-2</v>
      </c>
      <c r="DA208" s="482">
        <v>4.2700000000000002E-2</v>
      </c>
      <c r="DB208" s="482">
        <v>4.2099999999999999E-2</v>
      </c>
      <c r="DC208" s="484">
        <v>4.2099999999999999E-2</v>
      </c>
      <c r="DD208" s="484">
        <v>4.2999999999999997E-2</v>
      </c>
      <c r="DE208" s="484">
        <v>4.2099999999999999E-2</v>
      </c>
      <c r="DF208" s="482">
        <v>4.2500000000000003E-2</v>
      </c>
      <c r="DG208" s="482">
        <v>4.1000000000000002E-2</v>
      </c>
      <c r="DH208" s="482">
        <v>3.85E-2</v>
      </c>
      <c r="DI208" s="482">
        <v>3.9399999999999998E-2</v>
      </c>
      <c r="DJ208" s="482">
        <v>3.8199999999999998E-2</v>
      </c>
      <c r="DK208" s="482">
        <v>4.0599999999999997E-2</v>
      </c>
      <c r="DL208" s="482">
        <v>4.0399999999999998E-2</v>
      </c>
      <c r="DM208" s="482">
        <v>4.0399999999999998E-2</v>
      </c>
      <c r="DN208" s="482">
        <v>4.3499999999999997E-2</v>
      </c>
      <c r="DO208" s="482">
        <v>4.3499999999999997E-2</v>
      </c>
      <c r="DP208" s="482">
        <v>4.2599999999999999E-2</v>
      </c>
      <c r="DQ208" s="482">
        <v>4.4600000000000001E-2</v>
      </c>
      <c r="DR208" s="482">
        <v>4.5199999999999997E-2</v>
      </c>
      <c r="DS208" s="482">
        <v>4.4999999999999998E-2</v>
      </c>
      <c r="DT208" s="482">
        <v>4.5499999999999999E-2</v>
      </c>
      <c r="DU208" s="482">
        <v>4.6800000000000001E-2</v>
      </c>
      <c r="DV208" s="482">
        <v>4.6699999999999998E-2</v>
      </c>
      <c r="DW208" s="482">
        <v>4.7500000000000001E-2</v>
      </c>
      <c r="DX208" s="482">
        <v>4.6399999999999997E-2</v>
      </c>
      <c r="DY208" s="482">
        <v>4.7500000000000001E-2</v>
      </c>
      <c r="DZ208" s="482">
        <v>4.7600000000000003E-2</v>
      </c>
      <c r="EA208" s="482">
        <v>4.7399999999999998E-2</v>
      </c>
      <c r="EB208" s="482">
        <v>4.7E-2</v>
      </c>
      <c r="EC208" s="482">
        <v>4.7E-2</v>
      </c>
      <c r="ED208" s="482">
        <v>4.7100000000000003E-2</v>
      </c>
      <c r="EE208" s="482">
        <v>4.6699999999999998E-2</v>
      </c>
      <c r="EF208" s="482">
        <v>4.6199999999999998E-2</v>
      </c>
      <c r="EG208" s="482">
        <v>4.6399999999999997E-2</v>
      </c>
      <c r="EH208" s="482">
        <v>4.6600000000000003E-2</v>
      </c>
      <c r="EI208" s="482">
        <v>3.6999999999999998E-2</v>
      </c>
      <c r="EJ208" s="482">
        <v>3.7199999999999997E-2</v>
      </c>
      <c r="EK208" s="482">
        <v>3.5200000000000002E-2</v>
      </c>
      <c r="EL208" s="482">
        <v>3.5200000000000002E-2</v>
      </c>
      <c r="EM208" s="482">
        <v>3.1800000000000002E-2</v>
      </c>
      <c r="EN208" s="482">
        <v>4.19E-2</v>
      </c>
      <c r="EO208" s="482">
        <v>3.9800000000000002E-2</v>
      </c>
      <c r="EP208" s="482">
        <v>3.9899999999999998E-2</v>
      </c>
      <c r="EQ208" s="482">
        <v>3.9399999999999998E-2</v>
      </c>
      <c r="ER208" s="482">
        <v>3.9300000000000002E-2</v>
      </c>
      <c r="ES208" s="482">
        <v>4.0800000000000003E-2</v>
      </c>
      <c r="ET208" s="482">
        <v>3.8100000000000002E-2</v>
      </c>
      <c r="EU208" s="487">
        <v>3.78E-2</v>
      </c>
      <c r="EV208" s="487">
        <v>3.78E-2</v>
      </c>
      <c r="EW208" s="487">
        <v>3.7499999999999999E-2</v>
      </c>
      <c r="EX208" s="487">
        <v>3.7499999999999999E-2</v>
      </c>
      <c r="EY208" s="482">
        <v>4.24E-2</v>
      </c>
      <c r="EZ208" s="482">
        <v>4.8800000000000003E-2</v>
      </c>
      <c r="FA208" s="484">
        <v>4.8599999999999997E-2</v>
      </c>
      <c r="FB208" s="484">
        <v>4.7500000000000001E-2</v>
      </c>
      <c r="FC208" s="477">
        <v>4.6699999999999998E-2</v>
      </c>
      <c r="FD208" s="477">
        <v>4.6399999999999997E-2</v>
      </c>
      <c r="FE208" s="477">
        <v>4.4400000000000002E-2</v>
      </c>
      <c r="FF208" s="477">
        <v>4.58E-2</v>
      </c>
      <c r="FG208" s="477">
        <v>4.5999999999999999E-2</v>
      </c>
      <c r="FH208" s="477">
        <v>4.58E-2</v>
      </c>
      <c r="FI208" s="477">
        <v>4.6100000000000002E-2</v>
      </c>
      <c r="FJ208" s="477">
        <v>4.6199999999999998E-2</v>
      </c>
      <c r="FK208" s="477">
        <v>4.53E-2</v>
      </c>
      <c r="FL208" s="477">
        <v>4.4699999999999997E-2</v>
      </c>
      <c r="FM208" s="477">
        <v>4.6800000000000001E-2</v>
      </c>
      <c r="FN208" s="477">
        <v>4.5999999999999999E-2</v>
      </c>
      <c r="FO208" s="477">
        <v>4.5900000000000003E-2</v>
      </c>
      <c r="FP208" s="477">
        <v>4.2999999999999997E-2</v>
      </c>
      <c r="FQ208" s="477">
        <v>4.4200000000000003E-2</v>
      </c>
      <c r="FR208" s="477">
        <v>4.4200000000000003E-2</v>
      </c>
      <c r="FS208" s="477">
        <v>4.2599999999999999E-2</v>
      </c>
      <c r="FT208" s="477">
        <v>4.2099999999999999E-2</v>
      </c>
      <c r="FU208" s="477">
        <v>3.9E-2</v>
      </c>
      <c r="FV208" s="482">
        <v>4.36E-2</v>
      </c>
      <c r="FW208" s="482">
        <v>4.4299999999999999E-2</v>
      </c>
      <c r="FX208" s="482">
        <v>4.58E-2</v>
      </c>
      <c r="FY208" s="482">
        <v>4.6600000000000003E-2</v>
      </c>
      <c r="FZ208" s="482">
        <v>4.6399999999999997E-2</v>
      </c>
      <c r="GA208" s="482">
        <v>4.5400000000000003E-2</v>
      </c>
      <c r="GB208" s="482">
        <v>4.5199999999999997E-2</v>
      </c>
      <c r="GC208" s="482">
        <v>4.4600000000000001E-2</v>
      </c>
      <c r="GD208" s="477">
        <v>3.5200000000000002E-2</v>
      </c>
      <c r="GE208" s="477">
        <v>3.5200000000000002E-2</v>
      </c>
      <c r="GF208" s="477">
        <v>3.5200000000000002E-2</v>
      </c>
      <c r="GG208" s="477">
        <v>3.5200000000000002E-2</v>
      </c>
      <c r="GH208" s="477">
        <v>3.5200000000000002E-2</v>
      </c>
      <c r="GI208" s="477">
        <v>3.5200000000000002E-2</v>
      </c>
      <c r="GJ208" s="477">
        <v>3.5200000000000002E-2</v>
      </c>
      <c r="GK208" s="477">
        <v>3.5200000000000002E-2</v>
      </c>
      <c r="GL208" s="477">
        <v>3.5200000000000002E-2</v>
      </c>
      <c r="GM208" s="477">
        <v>3.5200000000000002E-2</v>
      </c>
      <c r="GN208" s="477">
        <v>3.5200000000000002E-2</v>
      </c>
      <c r="GO208" s="477">
        <v>3.5200000000000002E-2</v>
      </c>
      <c r="GP208" s="477">
        <v>3.5200000000000002E-2</v>
      </c>
      <c r="GQ208" s="477">
        <v>3.5200000000000002E-2</v>
      </c>
      <c r="GR208" s="477">
        <v>3.5200000000000002E-2</v>
      </c>
      <c r="GS208" s="477">
        <v>3.5200000000000002E-2</v>
      </c>
      <c r="GT208" s="477">
        <v>3.5200000000000002E-2</v>
      </c>
      <c r="GU208" s="477">
        <v>3.5200000000000002E-2</v>
      </c>
      <c r="GV208" s="477">
        <v>3.5200000000000002E-2</v>
      </c>
      <c r="GW208" s="477">
        <v>3.5200000000000002E-2</v>
      </c>
      <c r="GX208" s="477">
        <v>3.5200000000000002E-2</v>
      </c>
      <c r="GY208" s="477">
        <v>3.5200000000000002E-2</v>
      </c>
      <c r="GZ208" s="477">
        <v>3.5200000000000002E-2</v>
      </c>
      <c r="HA208" s="477">
        <v>3.5200000000000002E-2</v>
      </c>
      <c r="HB208" s="477">
        <v>3.5200000000000002E-2</v>
      </c>
      <c r="HC208" s="477">
        <v>3.5200000000000002E-2</v>
      </c>
      <c r="HD208" s="477">
        <v>3.5200000000000002E-2</v>
      </c>
      <c r="HE208" s="477">
        <v>3.5200000000000002E-2</v>
      </c>
      <c r="HF208" s="477">
        <v>3.5200000000000002E-2</v>
      </c>
      <c r="HG208" s="477">
        <v>3.5200000000000002E-2</v>
      </c>
      <c r="HH208" s="477">
        <v>3.5200000000000002E-2</v>
      </c>
      <c r="HI208" s="477">
        <v>3.5200000000000002E-2</v>
      </c>
      <c r="HJ208" s="477">
        <v>3.5200000000000002E-2</v>
      </c>
      <c r="HK208" s="477">
        <v>3.5200000000000002E-2</v>
      </c>
      <c r="HL208" s="477">
        <v>3.5200000000000002E-2</v>
      </c>
      <c r="HM208" s="477">
        <v>3.5200000000000002E-2</v>
      </c>
      <c r="HN208" s="477">
        <v>3.5200000000000002E-2</v>
      </c>
      <c r="HO208" s="477">
        <v>3.5200000000000002E-2</v>
      </c>
      <c r="HP208" s="473">
        <f t="shared" si="78"/>
        <v>0</v>
      </c>
      <c r="HQ208" s="1136"/>
    </row>
    <row r="209" spans="2:225">
      <c r="B209" s="1124"/>
      <c r="C209" s="730" t="s">
        <v>219</v>
      </c>
      <c r="D209" s="659">
        <v>2.69E-2</v>
      </c>
      <c r="E209" s="659">
        <v>2.69E-2</v>
      </c>
      <c r="F209" s="659">
        <v>2.6599999999999999E-2</v>
      </c>
      <c r="G209" s="659">
        <v>2.5899999999999999E-2</v>
      </c>
      <c r="H209" s="659">
        <v>2.5499999999999998E-2</v>
      </c>
      <c r="I209" s="668">
        <v>2.6499999999999999E-2</v>
      </c>
      <c r="J209" s="659">
        <v>2.6499999999999999E-2</v>
      </c>
      <c r="K209" s="659">
        <v>2.6599999999999999E-2</v>
      </c>
      <c r="L209" s="659">
        <v>2.64E-2</v>
      </c>
      <c r="M209" s="659">
        <v>2.5899999999999999E-2</v>
      </c>
      <c r="N209" s="659">
        <v>2.5700000000000001E-2</v>
      </c>
      <c r="O209" s="659">
        <v>2.63E-2</v>
      </c>
      <c r="P209" s="659">
        <v>2.6200000000000001E-2</v>
      </c>
      <c r="Q209" s="659">
        <v>2.7E-2</v>
      </c>
      <c r="R209" s="668">
        <v>2.6499999999999999E-2</v>
      </c>
      <c r="S209" s="659">
        <v>2.6499999999999999E-2</v>
      </c>
      <c r="T209" s="502">
        <v>2.7199999999999998E-2</v>
      </c>
      <c r="U209" s="502">
        <v>2.7099999999999999E-2</v>
      </c>
      <c r="V209" s="502">
        <v>2.7299999999999998E-2</v>
      </c>
      <c r="W209" s="502">
        <v>2.6399999999999996E-2</v>
      </c>
      <c r="X209" s="502">
        <v>2.6099999999999995E-2</v>
      </c>
      <c r="Y209" s="502">
        <v>2.6499999999999996E-2</v>
      </c>
      <c r="Z209" s="502">
        <v>2.7399999999999997E-2</v>
      </c>
      <c r="AA209" s="502">
        <v>2.7199999999999998E-2</v>
      </c>
      <c r="AB209" s="502">
        <v>2.7699999999999999E-2</v>
      </c>
      <c r="AC209" s="502">
        <v>2.7300000000000001E-2</v>
      </c>
      <c r="AD209" s="502">
        <v>2.7900000000000001E-2</v>
      </c>
      <c r="AE209" s="502">
        <v>2.9100000000000001E-2</v>
      </c>
      <c r="AF209" s="502">
        <v>2.93E-2</v>
      </c>
      <c r="AG209" s="500">
        <v>2.8799999999999999E-2</v>
      </c>
      <c r="AH209" s="500">
        <v>2.8799999999999999E-2</v>
      </c>
      <c r="AI209" s="502">
        <v>2.8799999999999999E-2</v>
      </c>
      <c r="AJ209" s="500">
        <v>3.0200000000000001E-2</v>
      </c>
      <c r="AK209" s="502">
        <v>3.0200000000000001E-2</v>
      </c>
      <c r="AL209" s="502">
        <v>3.0700000000000002E-2</v>
      </c>
      <c r="AM209" s="502">
        <v>3.04E-2</v>
      </c>
      <c r="AN209" s="502">
        <v>2.92E-2</v>
      </c>
      <c r="AO209" s="502">
        <v>2.98E-2</v>
      </c>
      <c r="AP209" s="502">
        <v>3.3099999999999997E-2</v>
      </c>
      <c r="AQ209" s="502">
        <v>3.3399999999999999E-2</v>
      </c>
      <c r="AR209" s="502">
        <v>3.3000000000000002E-2</v>
      </c>
      <c r="AS209" s="500">
        <v>3.3399999999999999E-2</v>
      </c>
      <c r="AT209" s="500">
        <f t="shared" si="79"/>
        <v>2.6399999999999996E-2</v>
      </c>
      <c r="AU209" s="500">
        <f t="shared" si="79"/>
        <v>2.6399999999999996E-2</v>
      </c>
      <c r="AV209" s="502">
        <f t="shared" si="79"/>
        <v>2.6399999999999996E-2</v>
      </c>
      <c r="AW209" s="501">
        <f t="shared" si="79"/>
        <v>2.6399999999999996E-2</v>
      </c>
      <c r="AX209" s="501">
        <f t="shared" si="79"/>
        <v>2.6399999999999996E-2</v>
      </c>
      <c r="AY209" s="501">
        <f t="shared" si="79"/>
        <v>2.6399999999999996E-2</v>
      </c>
      <c r="AZ209" s="501">
        <f t="shared" si="79"/>
        <v>2.6399999999999996E-2</v>
      </c>
      <c r="BA209" s="501">
        <f t="shared" si="79"/>
        <v>2.6399999999999996E-2</v>
      </c>
      <c r="BB209" s="501">
        <f t="shared" si="79"/>
        <v>2.6399999999999996E-2</v>
      </c>
      <c r="BC209" s="501">
        <f t="shared" si="79"/>
        <v>2.6399999999999996E-2</v>
      </c>
      <c r="BD209" s="501">
        <v>3.4700000000000002E-2</v>
      </c>
      <c r="BE209" s="501">
        <v>3.4700000000000002E-2</v>
      </c>
      <c r="BF209" s="501">
        <v>3.4700000000000002E-2</v>
      </c>
      <c r="BG209" s="501">
        <v>3.32E-2</v>
      </c>
      <c r="BH209" s="501">
        <v>3.1300000000000001E-2</v>
      </c>
      <c r="BI209" s="501">
        <v>3.1300000000000001E-2</v>
      </c>
      <c r="BJ209" s="501">
        <v>3.1300000000000001E-2</v>
      </c>
      <c r="BK209" s="501">
        <v>3.1300000000000001E-2</v>
      </c>
      <c r="BL209" s="501">
        <v>3.1300000000000001E-2</v>
      </c>
      <c r="BM209" s="501">
        <v>3.2199999999999999E-2</v>
      </c>
      <c r="BN209" s="501">
        <v>3.2199999999999999E-2</v>
      </c>
      <c r="BO209" s="501">
        <v>3.0800000000000001E-2</v>
      </c>
      <c r="BP209" s="501">
        <v>3.2300000000000002E-2</v>
      </c>
      <c r="BQ209" s="501">
        <v>3.2300000000000002E-2</v>
      </c>
      <c r="BR209" s="501">
        <v>3.2599999999999997E-2</v>
      </c>
      <c r="BS209" s="501">
        <v>3.2599999999999997E-2</v>
      </c>
      <c r="BT209" s="501">
        <v>3.0700000000000002E-2</v>
      </c>
      <c r="BU209" s="501">
        <v>3.0700000000000002E-2</v>
      </c>
      <c r="BV209" s="501">
        <v>3.0700000000000002E-2</v>
      </c>
      <c r="BW209" s="501">
        <v>3.0700000000000002E-2</v>
      </c>
      <c r="BX209" s="501">
        <v>3.0700000000000002E-2</v>
      </c>
      <c r="BY209" s="501">
        <v>2.7099999999999999E-2</v>
      </c>
      <c r="BZ209" s="501">
        <v>2.7099999999999999E-2</v>
      </c>
      <c r="CA209" s="501">
        <v>2.8199999999999999E-2</v>
      </c>
      <c r="CB209" s="501">
        <v>2.87E-2</v>
      </c>
      <c r="CC209" s="501">
        <v>3.1300000000000001E-2</v>
      </c>
      <c r="CD209" s="501">
        <v>3.1699999999999999E-2</v>
      </c>
      <c r="CE209" s="501">
        <v>3.2500000000000001E-2</v>
      </c>
      <c r="CF209" s="501">
        <v>3.2199999999999999E-2</v>
      </c>
      <c r="CG209" s="501">
        <v>3.2500000000000001E-2</v>
      </c>
      <c r="CH209" s="501">
        <v>3.7100000000000001E-2</v>
      </c>
      <c r="CI209" s="501">
        <v>3.78E-2</v>
      </c>
      <c r="CJ209" s="501">
        <v>3.9E-2</v>
      </c>
      <c r="CK209" s="501">
        <v>3.9E-2</v>
      </c>
      <c r="CL209" s="501">
        <v>3.9699999999999999E-2</v>
      </c>
      <c r="CM209" s="501">
        <v>3.9899999999999998E-2</v>
      </c>
      <c r="CN209" s="501">
        <v>4.0300000000000002E-2</v>
      </c>
      <c r="CO209" s="501">
        <v>4.0899999999999999E-2</v>
      </c>
      <c r="CP209" s="501">
        <v>4.0899999999999999E-2</v>
      </c>
      <c r="CQ209" s="501">
        <v>4.1799999999999997E-2</v>
      </c>
      <c r="CR209" s="501">
        <v>4.1099999999999998E-2</v>
      </c>
      <c r="CS209" s="501">
        <v>4.1000000000000002E-2</v>
      </c>
      <c r="CT209" s="501">
        <v>4.1099999999999998E-2</v>
      </c>
      <c r="CU209" s="484">
        <v>4.1799999999999997E-2</v>
      </c>
      <c r="CV209" s="482">
        <v>4.1500000000000002E-2</v>
      </c>
      <c r="CW209" s="524">
        <v>4.2000000000000003E-2</v>
      </c>
      <c r="CX209" s="482">
        <v>4.1000000000000002E-2</v>
      </c>
      <c r="CY209" s="482">
        <v>4.0599999999999997E-2</v>
      </c>
      <c r="CZ209" s="482">
        <v>4.0099999999999997E-2</v>
      </c>
      <c r="DA209" s="482">
        <v>4.2700000000000002E-2</v>
      </c>
      <c r="DB209" s="482">
        <v>4.2099999999999999E-2</v>
      </c>
      <c r="DC209" s="484">
        <v>4.2099999999999999E-2</v>
      </c>
      <c r="DD209" s="484">
        <v>4.2999999999999997E-2</v>
      </c>
      <c r="DE209" s="484">
        <v>4.2099999999999999E-2</v>
      </c>
      <c r="DF209" s="482">
        <v>4.2500000000000003E-2</v>
      </c>
      <c r="DG209" s="482">
        <v>4.1000000000000002E-2</v>
      </c>
      <c r="DH209" s="482">
        <v>3.85E-2</v>
      </c>
      <c r="DI209" s="482">
        <v>3.9399999999999998E-2</v>
      </c>
      <c r="DJ209" s="482">
        <v>3.8199999999999998E-2</v>
      </c>
      <c r="DK209" s="482">
        <v>4.0599999999999997E-2</v>
      </c>
      <c r="DL209" s="482">
        <v>4.0399999999999998E-2</v>
      </c>
      <c r="DM209" s="482">
        <v>4.0399999999999998E-2</v>
      </c>
      <c r="DN209" s="482">
        <v>4.3499999999999997E-2</v>
      </c>
      <c r="DO209" s="482">
        <v>4.3499999999999997E-2</v>
      </c>
      <c r="DP209" s="482">
        <v>4.2599999999999999E-2</v>
      </c>
      <c r="DQ209" s="482">
        <v>4.4600000000000001E-2</v>
      </c>
      <c r="DR209" s="482">
        <v>4.5199999999999997E-2</v>
      </c>
      <c r="DS209" s="482">
        <v>4.4999999999999998E-2</v>
      </c>
      <c r="DT209" s="482">
        <v>4.5499999999999999E-2</v>
      </c>
      <c r="DU209" s="482">
        <v>4.6800000000000001E-2</v>
      </c>
      <c r="DV209" s="482">
        <v>4.6699999999999998E-2</v>
      </c>
      <c r="DW209" s="482">
        <v>4.7500000000000001E-2</v>
      </c>
      <c r="DX209" s="482">
        <v>4.6399999999999997E-2</v>
      </c>
      <c r="DY209" s="482">
        <v>4.7500000000000001E-2</v>
      </c>
      <c r="DZ209" s="482">
        <v>4.7600000000000003E-2</v>
      </c>
      <c r="EA209" s="482">
        <v>4.7399999999999998E-2</v>
      </c>
      <c r="EB209" s="482">
        <v>4.7E-2</v>
      </c>
      <c r="EC209" s="482">
        <v>4.7E-2</v>
      </c>
      <c r="ED209" s="482">
        <v>4.7100000000000003E-2</v>
      </c>
      <c r="EE209" s="482">
        <v>4.6699999999999998E-2</v>
      </c>
      <c r="EF209" s="482">
        <v>4.6199999999999998E-2</v>
      </c>
      <c r="EG209" s="482">
        <v>4.6399999999999997E-2</v>
      </c>
      <c r="EH209" s="482">
        <v>4.6600000000000003E-2</v>
      </c>
      <c r="EI209" s="482">
        <v>3.6999999999999998E-2</v>
      </c>
      <c r="EJ209" s="482">
        <v>3.7199999999999997E-2</v>
      </c>
      <c r="EK209" s="482">
        <v>3.5200000000000002E-2</v>
      </c>
      <c r="EL209" s="482">
        <v>3.5200000000000002E-2</v>
      </c>
      <c r="EM209" s="482">
        <v>3.1800000000000002E-2</v>
      </c>
      <c r="EN209" s="482">
        <v>4.19E-2</v>
      </c>
      <c r="EO209" s="482">
        <v>3.9800000000000002E-2</v>
      </c>
      <c r="EP209" s="482">
        <v>3.9899999999999998E-2</v>
      </c>
      <c r="EQ209" s="482">
        <v>3.9399999999999998E-2</v>
      </c>
      <c r="ER209" s="482">
        <v>3.9300000000000002E-2</v>
      </c>
      <c r="ES209" s="482">
        <v>4.0800000000000003E-2</v>
      </c>
      <c r="ET209" s="482">
        <v>3.8100000000000002E-2</v>
      </c>
      <c r="EU209" s="487">
        <v>3.78E-2</v>
      </c>
      <c r="EV209" s="487">
        <v>3.78E-2</v>
      </c>
      <c r="EW209" s="487">
        <v>3.7499999999999999E-2</v>
      </c>
      <c r="EX209" s="487">
        <v>3.7499999999999999E-2</v>
      </c>
      <c r="EY209" s="482">
        <v>4.24E-2</v>
      </c>
      <c r="EZ209" s="482">
        <v>4.8800000000000003E-2</v>
      </c>
      <c r="FA209" s="484">
        <v>4.8599999999999997E-2</v>
      </c>
      <c r="FB209" s="484">
        <v>4.7500000000000001E-2</v>
      </c>
      <c r="FC209" s="477">
        <v>4.6699999999999998E-2</v>
      </c>
      <c r="FD209" s="477">
        <v>4.6399999999999997E-2</v>
      </c>
      <c r="FE209" s="477">
        <v>4.4400000000000002E-2</v>
      </c>
      <c r="FF209" s="477">
        <v>4.58E-2</v>
      </c>
      <c r="FG209" s="477">
        <v>4.5999999999999999E-2</v>
      </c>
      <c r="FH209" s="477">
        <v>4.58E-2</v>
      </c>
      <c r="FI209" s="477">
        <v>4.6100000000000002E-2</v>
      </c>
      <c r="FJ209" s="477">
        <v>4.6199999999999998E-2</v>
      </c>
      <c r="FK209" s="477">
        <v>4.53E-2</v>
      </c>
      <c r="FL209" s="477">
        <v>4.4699999999999997E-2</v>
      </c>
      <c r="FM209" s="477">
        <v>4.6800000000000001E-2</v>
      </c>
      <c r="FN209" s="477">
        <v>4.5999999999999999E-2</v>
      </c>
      <c r="FO209" s="477">
        <v>4.5900000000000003E-2</v>
      </c>
      <c r="FP209" s="477">
        <v>4.2999999999999997E-2</v>
      </c>
      <c r="FQ209" s="477">
        <v>4.4200000000000003E-2</v>
      </c>
      <c r="FR209" s="477">
        <v>4.4200000000000003E-2</v>
      </c>
      <c r="FS209" s="477">
        <v>4.2599999999999999E-2</v>
      </c>
      <c r="FT209" s="477">
        <v>4.2099999999999999E-2</v>
      </c>
      <c r="FU209" s="477">
        <v>3.9E-2</v>
      </c>
      <c r="FV209" s="482">
        <v>4.36E-2</v>
      </c>
      <c r="FW209" s="482">
        <v>4.4299999999999999E-2</v>
      </c>
      <c r="FX209" s="482">
        <v>4.58E-2</v>
      </c>
      <c r="FY209" s="482">
        <v>4.6600000000000003E-2</v>
      </c>
      <c r="FZ209" s="482">
        <v>4.6399999999999997E-2</v>
      </c>
      <c r="GA209" s="482">
        <v>4.5400000000000003E-2</v>
      </c>
      <c r="GB209" s="482">
        <v>4.5199999999999997E-2</v>
      </c>
      <c r="GC209" s="482">
        <v>4.4600000000000001E-2</v>
      </c>
      <c r="GD209" s="477">
        <v>3.5200000000000002E-2</v>
      </c>
      <c r="GE209" s="477">
        <v>3.5200000000000002E-2</v>
      </c>
      <c r="GF209" s="477">
        <v>3.5200000000000002E-2</v>
      </c>
      <c r="GG209" s="477">
        <v>3.5200000000000002E-2</v>
      </c>
      <c r="GH209" s="477">
        <v>3.5200000000000002E-2</v>
      </c>
      <c r="GI209" s="477">
        <v>3.5200000000000002E-2</v>
      </c>
      <c r="GJ209" s="477">
        <v>3.5200000000000002E-2</v>
      </c>
      <c r="GK209" s="477">
        <v>3.5200000000000002E-2</v>
      </c>
      <c r="GL209" s="477">
        <v>3.5200000000000002E-2</v>
      </c>
      <c r="GM209" s="477">
        <v>3.5200000000000002E-2</v>
      </c>
      <c r="GN209" s="477">
        <v>3.5200000000000002E-2</v>
      </c>
      <c r="GO209" s="477">
        <v>3.5200000000000002E-2</v>
      </c>
      <c r="GP209" s="477">
        <v>3.5200000000000002E-2</v>
      </c>
      <c r="GQ209" s="477">
        <v>3.5200000000000002E-2</v>
      </c>
      <c r="GR209" s="477">
        <v>3.5200000000000002E-2</v>
      </c>
      <c r="GS209" s="477">
        <v>3.5200000000000002E-2</v>
      </c>
      <c r="GT209" s="477">
        <v>3.5200000000000002E-2</v>
      </c>
      <c r="GU209" s="477">
        <v>3.5200000000000002E-2</v>
      </c>
      <c r="GV209" s="477">
        <v>3.5200000000000002E-2</v>
      </c>
      <c r="GW209" s="477">
        <v>3.5200000000000002E-2</v>
      </c>
      <c r="GX209" s="477">
        <v>3.5200000000000002E-2</v>
      </c>
      <c r="GY209" s="477">
        <v>3.5200000000000002E-2</v>
      </c>
      <c r="GZ209" s="477">
        <v>3.5200000000000002E-2</v>
      </c>
      <c r="HA209" s="477">
        <v>3.5200000000000002E-2</v>
      </c>
      <c r="HB209" s="477">
        <v>3.5200000000000002E-2</v>
      </c>
      <c r="HC209" s="477">
        <v>3.5200000000000002E-2</v>
      </c>
      <c r="HD209" s="477">
        <v>3.5200000000000002E-2</v>
      </c>
      <c r="HE209" s="477">
        <v>3.5200000000000002E-2</v>
      </c>
      <c r="HF209" s="477">
        <v>3.5200000000000002E-2</v>
      </c>
      <c r="HG209" s="477">
        <v>3.5200000000000002E-2</v>
      </c>
      <c r="HH209" s="477">
        <v>3.5200000000000002E-2</v>
      </c>
      <c r="HI209" s="477">
        <v>3.5200000000000002E-2</v>
      </c>
      <c r="HJ209" s="477">
        <v>3.5200000000000002E-2</v>
      </c>
      <c r="HK209" s="477">
        <v>3.5200000000000002E-2</v>
      </c>
      <c r="HL209" s="477">
        <v>3.5200000000000002E-2</v>
      </c>
      <c r="HM209" s="477">
        <v>3.5200000000000002E-2</v>
      </c>
      <c r="HN209" s="477">
        <v>3.5200000000000002E-2</v>
      </c>
      <c r="HO209" s="477">
        <v>3.5200000000000002E-2</v>
      </c>
      <c r="HP209" s="473">
        <f t="shared" si="78"/>
        <v>0</v>
      </c>
      <c r="HQ209" s="1136"/>
    </row>
    <row r="210" spans="2:225">
      <c r="B210" s="1124"/>
      <c r="C210" s="730" t="s">
        <v>240</v>
      </c>
      <c r="D210" s="659">
        <v>2.9899999999999999E-2</v>
      </c>
      <c r="E210" s="659">
        <v>2.9899999999999999E-2</v>
      </c>
      <c r="F210" s="659">
        <v>2.9600000000000001E-2</v>
      </c>
      <c r="G210" s="659">
        <v>2.8899999999999999E-2</v>
      </c>
      <c r="H210" s="659">
        <v>2.8500000000000001E-2</v>
      </c>
      <c r="I210" s="668">
        <v>2.9500000000000002E-2</v>
      </c>
      <c r="J210" s="659">
        <v>2.9500000000000002E-2</v>
      </c>
      <c r="K210" s="659">
        <v>2.9600000000000001E-2</v>
      </c>
      <c r="L210" s="659">
        <v>2.9399999999999999E-2</v>
      </c>
      <c r="M210" s="659">
        <v>2.8899999999999999E-2</v>
      </c>
      <c r="N210" s="659">
        <v>2.87E-2</v>
      </c>
      <c r="O210" s="659">
        <v>2.93E-2</v>
      </c>
      <c r="P210" s="659">
        <v>2.92E-2</v>
      </c>
      <c r="Q210" s="659">
        <v>0.03</v>
      </c>
      <c r="R210" s="668">
        <v>2.9500000000000002E-2</v>
      </c>
      <c r="S210" s="659">
        <v>2.9500000000000002E-2</v>
      </c>
      <c r="T210" s="502">
        <v>3.0200000000000001E-2</v>
      </c>
      <c r="U210" s="502">
        <v>3.0099999999999998E-2</v>
      </c>
      <c r="V210" s="502">
        <v>3.0300000000000001E-2</v>
      </c>
      <c r="W210" s="502">
        <v>2.9399999999999999E-2</v>
      </c>
      <c r="X210" s="502">
        <v>2.9099999999999997E-2</v>
      </c>
      <c r="Y210" s="502">
        <v>2.9499999999999998E-2</v>
      </c>
      <c r="Z210" s="502">
        <v>3.04E-2</v>
      </c>
      <c r="AA210" s="502">
        <v>3.0200000000000001E-2</v>
      </c>
      <c r="AB210" s="502">
        <v>3.0700000000000002E-2</v>
      </c>
      <c r="AC210" s="502">
        <v>3.0300000000000001E-2</v>
      </c>
      <c r="AD210" s="502">
        <v>3.09E-2</v>
      </c>
      <c r="AE210" s="502">
        <v>3.2099999999999997E-2</v>
      </c>
      <c r="AF210" s="502">
        <v>3.2300000000000002E-2</v>
      </c>
      <c r="AG210" s="500">
        <v>3.1800000000000002E-2</v>
      </c>
      <c r="AH210" s="500">
        <v>3.1800000000000002E-2</v>
      </c>
      <c r="AI210" s="502">
        <v>3.1800000000000002E-2</v>
      </c>
      <c r="AJ210" s="500">
        <v>3.32E-2</v>
      </c>
      <c r="AK210" s="502">
        <v>3.32E-2</v>
      </c>
      <c r="AL210" s="502">
        <v>3.3700000000000001E-2</v>
      </c>
      <c r="AM210" s="502">
        <v>3.3399999999999999E-2</v>
      </c>
      <c r="AN210" s="502">
        <v>3.2199999999999999E-2</v>
      </c>
      <c r="AO210" s="502">
        <v>3.2800000000000003E-2</v>
      </c>
      <c r="AP210" s="502">
        <v>3.61E-2</v>
      </c>
      <c r="AQ210" s="502">
        <v>3.6400000000000002E-2</v>
      </c>
      <c r="AR210" s="502">
        <v>3.6000000000000004E-2</v>
      </c>
      <c r="AS210" s="500">
        <v>3.6400000000000002E-2</v>
      </c>
      <c r="AT210" s="500">
        <f t="shared" ref="AT210:BC210" si="80">0.3%+AT209</f>
        <v>2.9399999999999996E-2</v>
      </c>
      <c r="AU210" s="500">
        <f t="shared" si="80"/>
        <v>2.9399999999999996E-2</v>
      </c>
      <c r="AV210" s="502">
        <f t="shared" si="80"/>
        <v>2.9399999999999996E-2</v>
      </c>
      <c r="AW210" s="501">
        <f t="shared" si="80"/>
        <v>2.9399999999999996E-2</v>
      </c>
      <c r="AX210" s="501">
        <f t="shared" si="80"/>
        <v>2.9399999999999996E-2</v>
      </c>
      <c r="AY210" s="501">
        <f t="shared" si="80"/>
        <v>2.9399999999999996E-2</v>
      </c>
      <c r="AZ210" s="501">
        <f t="shared" si="80"/>
        <v>2.9399999999999996E-2</v>
      </c>
      <c r="BA210" s="541">
        <f t="shared" si="80"/>
        <v>2.9399999999999996E-2</v>
      </c>
      <c r="BB210" s="541">
        <f t="shared" si="80"/>
        <v>2.9399999999999996E-2</v>
      </c>
      <c r="BC210" s="541">
        <f t="shared" si="80"/>
        <v>2.9399999999999996E-2</v>
      </c>
      <c r="BD210" s="501">
        <v>3.7699999999999997E-2</v>
      </c>
      <c r="BE210" s="501">
        <v>3.7699999999999997E-2</v>
      </c>
      <c r="BF210" s="501">
        <v>3.7699999999999997E-2</v>
      </c>
      <c r="BG210" s="501">
        <v>3.6200000000000003E-2</v>
      </c>
      <c r="BH210" s="501">
        <v>3.4299999999999997E-2</v>
      </c>
      <c r="BI210" s="501">
        <v>3.4299999999999997E-2</v>
      </c>
      <c r="BJ210" s="501">
        <v>3.4299999999999997E-2</v>
      </c>
      <c r="BK210" s="501">
        <v>3.4299999999999997E-2</v>
      </c>
      <c r="BL210" s="501">
        <v>3.4299999999999997E-2</v>
      </c>
      <c r="BM210" s="501">
        <v>3.5200000000000002E-2</v>
      </c>
      <c r="BN210" s="501">
        <v>3.5200000000000002E-2</v>
      </c>
      <c r="BO210" s="501">
        <v>3.3799999999999997E-2</v>
      </c>
      <c r="BP210" s="501">
        <v>3.5299999999999998E-2</v>
      </c>
      <c r="BQ210" s="501">
        <v>3.5299999999999998E-2</v>
      </c>
      <c r="BR210" s="501">
        <v>3.56E-2</v>
      </c>
      <c r="BS210" s="501">
        <v>3.56E-2</v>
      </c>
      <c r="BT210" s="501">
        <v>3.3700000000000001E-2</v>
      </c>
      <c r="BU210" s="501">
        <v>3.3700000000000001E-2</v>
      </c>
      <c r="BV210" s="501">
        <v>3.3700000000000001E-2</v>
      </c>
      <c r="BW210" s="501">
        <v>3.3700000000000001E-2</v>
      </c>
      <c r="BX210" s="501">
        <v>3.3700000000000001E-2</v>
      </c>
      <c r="BY210" s="501">
        <v>3.0099999999999998E-2</v>
      </c>
      <c r="BZ210" s="501">
        <v>3.0099999999999998E-2</v>
      </c>
      <c r="CA210" s="501">
        <v>3.1199999999999999E-2</v>
      </c>
      <c r="CB210" s="501">
        <v>3.1699999999999999E-2</v>
      </c>
      <c r="CC210" s="501">
        <v>3.4299999999999997E-2</v>
      </c>
      <c r="CD210" s="501">
        <v>3.4700000000000002E-2</v>
      </c>
      <c r="CE210" s="501">
        <v>3.5499999999999997E-2</v>
      </c>
      <c r="CF210" s="501">
        <v>3.5200000000000002E-2</v>
      </c>
      <c r="CG210" s="501">
        <v>3.5499999999999997E-2</v>
      </c>
      <c r="CH210" s="501">
        <v>4.0099999999999997E-2</v>
      </c>
      <c r="CI210" s="501">
        <v>4.0800000000000003E-2</v>
      </c>
      <c r="CJ210" s="501">
        <v>4.2000000000000003E-2</v>
      </c>
      <c r="CK210" s="501">
        <v>4.2000000000000003E-2</v>
      </c>
      <c r="CL210" s="501">
        <v>4.2700000000000002E-2</v>
      </c>
      <c r="CM210" s="501">
        <v>4.2900000000000001E-2</v>
      </c>
      <c r="CN210" s="501">
        <v>4.3299999999999998E-2</v>
      </c>
      <c r="CO210" s="501">
        <v>4.3900000000000002E-2</v>
      </c>
      <c r="CP210" s="501">
        <v>4.3900000000000002E-2</v>
      </c>
      <c r="CQ210" s="501">
        <v>4.48E-2</v>
      </c>
      <c r="CR210" s="501">
        <v>4.41E-2</v>
      </c>
      <c r="CS210" s="501">
        <v>4.3999999999999997E-2</v>
      </c>
      <c r="CT210" s="501">
        <v>4.41E-2</v>
      </c>
      <c r="CU210" s="484">
        <v>4.48E-2</v>
      </c>
      <c r="CV210" s="482">
        <v>4.4499999999999998E-2</v>
      </c>
      <c r="CW210" s="524">
        <v>4.4999999999999998E-2</v>
      </c>
      <c r="CX210" s="482">
        <v>4.3999999999999997E-2</v>
      </c>
      <c r="CY210" s="482">
        <v>4.36E-2</v>
      </c>
      <c r="CZ210" s="482">
        <v>4.3099999999999999E-2</v>
      </c>
      <c r="DA210" s="482">
        <v>4.5699999999999998E-2</v>
      </c>
      <c r="DB210" s="482">
        <v>4.5100000000000001E-2</v>
      </c>
      <c r="DC210" s="484">
        <v>4.5100000000000001E-2</v>
      </c>
      <c r="DD210" s="484">
        <v>4.5999999999999999E-2</v>
      </c>
      <c r="DE210" s="484">
        <v>4.5100000000000001E-2</v>
      </c>
      <c r="DF210" s="482">
        <v>4.5499999999999999E-2</v>
      </c>
      <c r="DG210" s="482">
        <v>4.3999999999999997E-2</v>
      </c>
      <c r="DH210" s="482">
        <v>4.1500000000000002E-2</v>
      </c>
      <c r="DI210" s="482">
        <v>4.24E-2</v>
      </c>
      <c r="DJ210" s="482">
        <v>4.1200000000000001E-2</v>
      </c>
      <c r="DK210" s="482">
        <v>4.36E-2</v>
      </c>
      <c r="DL210" s="482">
        <v>4.3400000000000001E-2</v>
      </c>
      <c r="DM210" s="482">
        <v>4.3400000000000001E-2</v>
      </c>
      <c r="DN210" s="482">
        <v>4.65E-2</v>
      </c>
      <c r="DO210" s="482">
        <v>4.65E-2</v>
      </c>
      <c r="DP210" s="482">
        <v>4.5600000000000002E-2</v>
      </c>
      <c r="DQ210" s="482">
        <v>4.7600000000000003E-2</v>
      </c>
      <c r="DR210" s="482">
        <v>4.82E-2</v>
      </c>
      <c r="DS210" s="482">
        <v>4.8000000000000001E-2</v>
      </c>
      <c r="DT210" s="482">
        <v>4.8500000000000001E-2</v>
      </c>
      <c r="DU210" s="482">
        <v>4.9799999999999997E-2</v>
      </c>
      <c r="DV210" s="482">
        <v>4.9700000000000001E-2</v>
      </c>
      <c r="DW210" s="482">
        <v>5.0500000000000003E-2</v>
      </c>
      <c r="DX210" s="482">
        <v>4.9399999999999999E-2</v>
      </c>
      <c r="DY210" s="482">
        <v>5.0500000000000003E-2</v>
      </c>
      <c r="DZ210" s="482">
        <v>5.0599999999999999E-2</v>
      </c>
      <c r="EA210" s="482">
        <v>5.04E-2</v>
      </c>
      <c r="EB210" s="482">
        <v>0.05</v>
      </c>
      <c r="EC210" s="482">
        <v>0.05</v>
      </c>
      <c r="ED210" s="482">
        <v>5.0099999999999999E-2</v>
      </c>
      <c r="EE210" s="482">
        <v>4.9700000000000001E-2</v>
      </c>
      <c r="EF210" s="482">
        <v>4.9200000000000001E-2</v>
      </c>
      <c r="EG210" s="482">
        <v>4.9399999999999999E-2</v>
      </c>
      <c r="EH210" s="482">
        <v>4.9599999999999998E-2</v>
      </c>
      <c r="EI210" s="482">
        <v>3.95E-2</v>
      </c>
      <c r="EJ210" s="482">
        <v>3.9699999999999999E-2</v>
      </c>
      <c r="EK210" s="482">
        <v>3.7699999999999997E-2</v>
      </c>
      <c r="EL210" s="482">
        <v>3.5200000000000002E-2</v>
      </c>
      <c r="EM210" s="482">
        <v>3.1800000000000002E-2</v>
      </c>
      <c r="EN210" s="482">
        <v>4.4900000000000002E-2</v>
      </c>
      <c r="EO210" s="482">
        <v>4.2799999999999998E-2</v>
      </c>
      <c r="EP210" s="482">
        <v>4.2900000000000001E-2</v>
      </c>
      <c r="EQ210" s="482">
        <v>4.24E-2</v>
      </c>
      <c r="ER210" s="482">
        <v>4.2299999999999997E-2</v>
      </c>
      <c r="ES210" s="482">
        <v>4.3799999999999999E-2</v>
      </c>
      <c r="ET210" s="482">
        <v>4.1099999999999998E-2</v>
      </c>
      <c r="EU210" s="487">
        <v>4.0800000000000003E-2</v>
      </c>
      <c r="EV210" s="487">
        <v>4.0800000000000003E-2</v>
      </c>
      <c r="EW210" s="487">
        <v>4.0500000000000001E-2</v>
      </c>
      <c r="EX210" s="487">
        <v>0.04</v>
      </c>
      <c r="EY210" s="482">
        <v>4.4900000000000002E-2</v>
      </c>
      <c r="EZ210" s="482">
        <v>5.1299999999999998E-2</v>
      </c>
      <c r="FA210" s="484">
        <v>5.11E-2</v>
      </c>
      <c r="FB210" s="484">
        <v>0.05</v>
      </c>
      <c r="FC210" s="477">
        <v>4.9200000000000001E-2</v>
      </c>
      <c r="FD210" s="477">
        <v>4.8899999999999999E-2</v>
      </c>
      <c r="FE210" s="477">
        <v>4.6899999999999997E-2</v>
      </c>
      <c r="FF210" s="477">
        <v>4.8300000000000003E-2</v>
      </c>
      <c r="FG210" s="477">
        <v>4.8500000000000001E-2</v>
      </c>
      <c r="FH210" s="477">
        <v>4.8300000000000003E-2</v>
      </c>
      <c r="FI210" s="477">
        <v>4.8599999999999997E-2</v>
      </c>
      <c r="FJ210" s="477">
        <v>4.87E-2</v>
      </c>
      <c r="FK210" s="477">
        <v>4.7800000000000002E-2</v>
      </c>
      <c r="FL210" s="477">
        <v>4.7199999999999999E-2</v>
      </c>
      <c r="FM210" s="477">
        <v>4.9299999999999997E-2</v>
      </c>
      <c r="FN210" s="477">
        <v>4.8500000000000001E-2</v>
      </c>
      <c r="FO210" s="477">
        <v>4.8399999999999999E-2</v>
      </c>
      <c r="FP210" s="477">
        <v>4.5499999999999999E-2</v>
      </c>
      <c r="FQ210" s="477">
        <v>4.6699999999999998E-2</v>
      </c>
      <c r="FR210" s="477">
        <v>4.6699999999999998E-2</v>
      </c>
      <c r="FS210" s="477">
        <v>4.5100000000000001E-2</v>
      </c>
      <c r="FT210" s="477">
        <v>4.4600000000000001E-2</v>
      </c>
      <c r="FU210" s="477">
        <v>4.1500000000000002E-2</v>
      </c>
      <c r="FV210" s="482">
        <v>4.6600000000000003E-2</v>
      </c>
      <c r="FW210" s="482">
        <v>4.7300000000000002E-2</v>
      </c>
      <c r="FX210" s="482">
        <v>4.8800000000000003E-2</v>
      </c>
      <c r="FY210" s="482">
        <v>4.9599999999999998E-2</v>
      </c>
      <c r="FZ210" s="482">
        <v>4.9399999999999999E-2</v>
      </c>
      <c r="GA210" s="482">
        <v>4.8399999999999999E-2</v>
      </c>
      <c r="GB210" s="482">
        <v>4.82E-2</v>
      </c>
      <c r="GC210" s="482">
        <v>4.7600000000000003E-2</v>
      </c>
      <c r="GD210" s="477">
        <v>3.7699999999999997E-2</v>
      </c>
      <c r="GE210" s="477">
        <v>3.7699999999999997E-2</v>
      </c>
      <c r="GF210" s="477">
        <v>3.7699999999999997E-2</v>
      </c>
      <c r="GG210" s="477">
        <v>3.7699999999999997E-2</v>
      </c>
      <c r="GH210" s="477">
        <v>3.7699999999999997E-2</v>
      </c>
      <c r="GI210" s="477">
        <v>3.7699999999999997E-2</v>
      </c>
      <c r="GJ210" s="477">
        <v>3.7699999999999997E-2</v>
      </c>
      <c r="GK210" s="477">
        <v>3.7699999999999997E-2</v>
      </c>
      <c r="GL210" s="477">
        <v>3.7699999999999997E-2</v>
      </c>
      <c r="GM210" s="477">
        <v>3.7699999999999997E-2</v>
      </c>
      <c r="GN210" s="477">
        <v>3.7699999999999997E-2</v>
      </c>
      <c r="GO210" s="477">
        <v>3.7699999999999997E-2</v>
      </c>
      <c r="GP210" s="477">
        <v>3.7699999999999997E-2</v>
      </c>
      <c r="GQ210" s="477">
        <v>3.7699999999999997E-2</v>
      </c>
      <c r="GR210" s="477">
        <v>3.7699999999999997E-2</v>
      </c>
      <c r="GS210" s="477">
        <v>3.7699999999999997E-2</v>
      </c>
      <c r="GT210" s="477">
        <v>3.7699999999999997E-2</v>
      </c>
      <c r="GU210" s="477">
        <v>3.7699999999999997E-2</v>
      </c>
      <c r="GV210" s="477">
        <v>3.7699999999999997E-2</v>
      </c>
      <c r="GW210" s="477">
        <v>3.7699999999999997E-2</v>
      </c>
      <c r="GX210" s="477">
        <v>3.7699999999999997E-2</v>
      </c>
      <c r="GY210" s="477">
        <v>3.7699999999999997E-2</v>
      </c>
      <c r="GZ210" s="477">
        <v>3.7699999999999997E-2</v>
      </c>
      <c r="HA210" s="477">
        <v>3.7699999999999997E-2</v>
      </c>
      <c r="HB210" s="477">
        <v>3.7699999999999997E-2</v>
      </c>
      <c r="HC210" s="477">
        <v>3.7699999999999997E-2</v>
      </c>
      <c r="HD210" s="477">
        <v>3.7699999999999997E-2</v>
      </c>
      <c r="HE210" s="477">
        <v>3.7699999999999997E-2</v>
      </c>
      <c r="HF210" s="477">
        <v>3.7699999999999997E-2</v>
      </c>
      <c r="HG210" s="477">
        <v>3.7699999999999997E-2</v>
      </c>
      <c r="HH210" s="477">
        <v>3.7699999999999997E-2</v>
      </c>
      <c r="HI210" s="477">
        <v>3.7699999999999997E-2</v>
      </c>
      <c r="HJ210" s="477">
        <v>3.7699999999999997E-2</v>
      </c>
      <c r="HK210" s="477">
        <v>3.7699999999999997E-2</v>
      </c>
      <c r="HL210" s="477">
        <v>3.7699999999999997E-2</v>
      </c>
      <c r="HM210" s="477">
        <v>3.7699999999999997E-2</v>
      </c>
      <c r="HN210" s="477">
        <v>3.7699999999999997E-2</v>
      </c>
      <c r="HO210" s="477">
        <v>3.7699999999999997E-2</v>
      </c>
      <c r="HP210" s="473">
        <f t="shared" si="78"/>
        <v>0</v>
      </c>
      <c r="HQ210" s="1136"/>
    </row>
    <row r="211" spans="2:225">
      <c r="B211" s="1125"/>
      <c r="C211" s="730" t="s">
        <v>239</v>
      </c>
      <c r="D211" s="659">
        <v>2.9899999999999999E-2</v>
      </c>
      <c r="E211" s="659">
        <v>2.9899999999999999E-2</v>
      </c>
      <c r="F211" s="659">
        <v>2.9600000000000001E-2</v>
      </c>
      <c r="G211" s="659">
        <v>2.8899999999999999E-2</v>
      </c>
      <c r="H211" s="659">
        <v>2.8500000000000001E-2</v>
      </c>
      <c r="I211" s="668">
        <v>2.9499999999999998E-2</v>
      </c>
      <c r="J211" s="659">
        <v>2.9499999999999998E-2</v>
      </c>
      <c r="K211" s="659">
        <v>2.9600000000000001E-2</v>
      </c>
      <c r="L211" s="659">
        <v>2.9399999999999999E-2</v>
      </c>
      <c r="M211" s="659">
        <v>2.8899999999999999E-2</v>
      </c>
      <c r="N211" s="659">
        <v>2.87E-2</v>
      </c>
      <c r="O211" s="659">
        <v>2.93E-2</v>
      </c>
      <c r="P211" s="659">
        <v>2.92E-2</v>
      </c>
      <c r="Q211" s="659">
        <v>0.03</v>
      </c>
      <c r="R211" s="668">
        <v>2.9500000000000002E-2</v>
      </c>
      <c r="S211" s="659">
        <v>2.9500000000000002E-2</v>
      </c>
      <c r="T211" s="502">
        <v>3.0200000000000001E-2</v>
      </c>
      <c r="U211" s="502">
        <v>3.0099999999999998E-2</v>
      </c>
      <c r="V211" s="502">
        <v>3.0300000000000001E-2</v>
      </c>
      <c r="W211" s="502">
        <v>2.9399999999999999E-2</v>
      </c>
      <c r="X211" s="502">
        <v>2.9099999999999997E-2</v>
      </c>
      <c r="Y211" s="502">
        <v>2.9499999999999998E-2</v>
      </c>
      <c r="Z211" s="502">
        <v>3.04E-2</v>
      </c>
      <c r="AA211" s="502">
        <v>3.0200000000000001E-2</v>
      </c>
      <c r="AB211" s="502">
        <v>3.0700000000000002E-2</v>
      </c>
      <c r="AC211" s="502">
        <v>3.0300000000000001E-2</v>
      </c>
      <c r="AD211" s="502">
        <v>3.09E-2</v>
      </c>
      <c r="AE211" s="502">
        <v>3.2099999999999997E-2</v>
      </c>
      <c r="AF211" s="502">
        <v>3.2300000000000002E-2</v>
      </c>
      <c r="AG211" s="500">
        <v>3.1800000000000002E-2</v>
      </c>
      <c r="AH211" s="500">
        <v>3.1800000000000002E-2</v>
      </c>
      <c r="AI211" s="502">
        <v>3.1800000000000002E-2</v>
      </c>
      <c r="AJ211" s="500">
        <v>3.32E-2</v>
      </c>
      <c r="AK211" s="502">
        <v>3.32E-2</v>
      </c>
      <c r="AL211" s="502">
        <v>3.3700000000000001E-2</v>
      </c>
      <c r="AM211" s="502">
        <v>3.3399999999999999E-2</v>
      </c>
      <c r="AN211" s="502">
        <v>3.2199999999999999E-2</v>
      </c>
      <c r="AO211" s="502">
        <v>3.2800000000000003E-2</v>
      </c>
      <c r="AP211" s="502">
        <v>3.61E-2</v>
      </c>
      <c r="AQ211" s="502">
        <v>3.6400000000000002E-2</v>
      </c>
      <c r="AR211" s="502">
        <v>3.6000000000000004E-2</v>
      </c>
      <c r="AS211" s="500">
        <v>3.6400000000000002E-2</v>
      </c>
      <c r="AT211" s="500">
        <f t="shared" ref="AT211:BC211" si="81">AT210</f>
        <v>2.9399999999999996E-2</v>
      </c>
      <c r="AU211" s="500">
        <f t="shared" si="81"/>
        <v>2.9399999999999996E-2</v>
      </c>
      <c r="AV211" s="502">
        <f t="shared" si="81"/>
        <v>2.9399999999999996E-2</v>
      </c>
      <c r="AW211" s="501">
        <f t="shared" si="81"/>
        <v>2.9399999999999996E-2</v>
      </c>
      <c r="AX211" s="501">
        <f t="shared" si="81"/>
        <v>2.9399999999999996E-2</v>
      </c>
      <c r="AY211" s="501">
        <f t="shared" si="81"/>
        <v>2.9399999999999996E-2</v>
      </c>
      <c r="AZ211" s="501">
        <f t="shared" si="81"/>
        <v>2.9399999999999996E-2</v>
      </c>
      <c r="BA211" s="501">
        <f t="shared" si="81"/>
        <v>2.9399999999999996E-2</v>
      </c>
      <c r="BB211" s="501">
        <f t="shared" si="81"/>
        <v>2.9399999999999996E-2</v>
      </c>
      <c r="BC211" s="501">
        <f t="shared" si="81"/>
        <v>2.9399999999999996E-2</v>
      </c>
      <c r="BD211" s="501">
        <v>3.7699999999999997E-2</v>
      </c>
      <c r="BE211" s="501">
        <v>3.7699999999999997E-2</v>
      </c>
      <c r="BF211" s="501">
        <v>3.7699999999999997E-2</v>
      </c>
      <c r="BG211" s="501">
        <v>3.6200000000000003E-2</v>
      </c>
      <c r="BH211" s="501">
        <v>3.4299999999999997E-2</v>
      </c>
      <c r="BI211" s="501">
        <v>3.4299999999999997E-2</v>
      </c>
      <c r="BJ211" s="501">
        <v>3.4299999999999997E-2</v>
      </c>
      <c r="BK211" s="501">
        <v>3.4299999999999997E-2</v>
      </c>
      <c r="BL211" s="501">
        <v>3.4299999999999997E-2</v>
      </c>
      <c r="BM211" s="501">
        <v>3.5200000000000002E-2</v>
      </c>
      <c r="BN211" s="501">
        <v>3.5200000000000002E-2</v>
      </c>
      <c r="BO211" s="501">
        <v>3.3799999999999997E-2</v>
      </c>
      <c r="BP211" s="501">
        <v>3.5299999999999998E-2</v>
      </c>
      <c r="BQ211" s="501">
        <v>3.5299999999999998E-2</v>
      </c>
      <c r="BR211" s="501">
        <v>3.56E-2</v>
      </c>
      <c r="BS211" s="501">
        <v>3.56E-2</v>
      </c>
      <c r="BT211" s="501">
        <v>3.3700000000000001E-2</v>
      </c>
      <c r="BU211" s="501">
        <v>3.3700000000000001E-2</v>
      </c>
      <c r="BV211" s="501">
        <v>3.3700000000000001E-2</v>
      </c>
      <c r="BW211" s="501">
        <v>3.3700000000000001E-2</v>
      </c>
      <c r="BX211" s="501">
        <v>3.3700000000000001E-2</v>
      </c>
      <c r="BY211" s="501">
        <v>3.0099999999999998E-2</v>
      </c>
      <c r="BZ211" s="501">
        <v>3.0099999999999998E-2</v>
      </c>
      <c r="CA211" s="501">
        <v>3.1199999999999999E-2</v>
      </c>
      <c r="CB211" s="501">
        <v>3.1699999999999999E-2</v>
      </c>
      <c r="CC211" s="501">
        <v>3.4299999999999997E-2</v>
      </c>
      <c r="CD211" s="501">
        <v>3.4700000000000002E-2</v>
      </c>
      <c r="CE211" s="501">
        <v>3.5499999999999997E-2</v>
      </c>
      <c r="CF211" s="501">
        <v>3.5200000000000002E-2</v>
      </c>
      <c r="CG211" s="501">
        <v>3.5499999999999997E-2</v>
      </c>
      <c r="CH211" s="501">
        <v>4.0099999999999997E-2</v>
      </c>
      <c r="CI211" s="501">
        <v>4.0800000000000003E-2</v>
      </c>
      <c r="CJ211" s="501">
        <v>4.2000000000000003E-2</v>
      </c>
      <c r="CK211" s="501">
        <v>4.2000000000000003E-2</v>
      </c>
      <c r="CL211" s="501">
        <v>4.2700000000000002E-2</v>
      </c>
      <c r="CM211" s="501">
        <v>4.2900000000000001E-2</v>
      </c>
      <c r="CN211" s="501">
        <v>4.3299999999999998E-2</v>
      </c>
      <c r="CO211" s="501">
        <v>4.3900000000000002E-2</v>
      </c>
      <c r="CP211" s="501">
        <v>4.3900000000000002E-2</v>
      </c>
      <c r="CQ211" s="501">
        <v>4.48E-2</v>
      </c>
      <c r="CR211" s="501">
        <v>4.41E-2</v>
      </c>
      <c r="CS211" s="501">
        <v>4.3999999999999997E-2</v>
      </c>
      <c r="CT211" s="501">
        <v>4.41E-2</v>
      </c>
      <c r="CU211" s="484">
        <v>4.48E-2</v>
      </c>
      <c r="CV211" s="482">
        <v>4.4499999999999998E-2</v>
      </c>
      <c r="CW211" s="524">
        <v>4.4999999999999998E-2</v>
      </c>
      <c r="CX211" s="482">
        <v>4.3999999999999997E-2</v>
      </c>
      <c r="CY211" s="482">
        <v>4.36E-2</v>
      </c>
      <c r="CZ211" s="482">
        <v>4.3099999999999999E-2</v>
      </c>
      <c r="DA211" s="482">
        <v>4.5699999999999998E-2</v>
      </c>
      <c r="DB211" s="482">
        <v>4.5100000000000001E-2</v>
      </c>
      <c r="DC211" s="484">
        <v>4.5100000000000001E-2</v>
      </c>
      <c r="DD211" s="484">
        <v>4.5999999999999999E-2</v>
      </c>
      <c r="DE211" s="484">
        <v>4.5100000000000001E-2</v>
      </c>
      <c r="DF211" s="482">
        <v>4.5499999999999999E-2</v>
      </c>
      <c r="DG211" s="482">
        <v>4.3999999999999997E-2</v>
      </c>
      <c r="DH211" s="482">
        <v>4.1500000000000002E-2</v>
      </c>
      <c r="DI211" s="482">
        <v>4.24E-2</v>
      </c>
      <c r="DJ211" s="482">
        <v>4.1200000000000001E-2</v>
      </c>
      <c r="DK211" s="482">
        <v>4.36E-2</v>
      </c>
      <c r="DL211" s="482">
        <v>4.3400000000000001E-2</v>
      </c>
      <c r="DM211" s="482">
        <v>4.3400000000000001E-2</v>
      </c>
      <c r="DN211" s="482">
        <v>4.65E-2</v>
      </c>
      <c r="DO211" s="482">
        <v>4.65E-2</v>
      </c>
      <c r="DP211" s="482">
        <v>4.5600000000000002E-2</v>
      </c>
      <c r="DQ211" s="482">
        <v>4.7600000000000003E-2</v>
      </c>
      <c r="DR211" s="482">
        <v>4.82E-2</v>
      </c>
      <c r="DS211" s="482">
        <v>4.8000000000000001E-2</v>
      </c>
      <c r="DT211" s="482">
        <v>4.8500000000000001E-2</v>
      </c>
      <c r="DU211" s="482">
        <v>4.9799999999999997E-2</v>
      </c>
      <c r="DV211" s="482">
        <v>4.9700000000000001E-2</v>
      </c>
      <c r="DW211" s="482">
        <v>5.0500000000000003E-2</v>
      </c>
      <c r="DX211" s="482">
        <v>4.9399999999999999E-2</v>
      </c>
      <c r="DY211" s="482">
        <v>5.0500000000000003E-2</v>
      </c>
      <c r="DZ211" s="482">
        <v>5.0599999999999999E-2</v>
      </c>
      <c r="EA211" s="482">
        <v>5.04E-2</v>
      </c>
      <c r="EB211" s="482">
        <v>0.05</v>
      </c>
      <c r="EC211" s="482">
        <v>0.05</v>
      </c>
      <c r="ED211" s="482">
        <v>5.0099999999999999E-2</v>
      </c>
      <c r="EE211" s="482">
        <v>4.9700000000000001E-2</v>
      </c>
      <c r="EF211" s="482">
        <v>4.9200000000000001E-2</v>
      </c>
      <c r="EG211" s="482">
        <v>4.9399999999999999E-2</v>
      </c>
      <c r="EH211" s="482">
        <v>4.9599999999999998E-2</v>
      </c>
      <c r="EI211" s="482">
        <v>3.95E-2</v>
      </c>
      <c r="EJ211" s="482">
        <v>3.9699999999999999E-2</v>
      </c>
      <c r="EK211" s="482">
        <v>3.7699999999999997E-2</v>
      </c>
      <c r="EL211" s="482">
        <v>3.5200000000000002E-2</v>
      </c>
      <c r="EM211" s="482">
        <v>3.1800000000000002E-2</v>
      </c>
      <c r="EN211" s="482">
        <v>4.4900000000000002E-2</v>
      </c>
      <c r="EO211" s="482">
        <v>4.2799999999999998E-2</v>
      </c>
      <c r="EP211" s="482">
        <v>4.2900000000000001E-2</v>
      </c>
      <c r="EQ211" s="482">
        <v>4.24E-2</v>
      </c>
      <c r="ER211" s="482">
        <v>4.2299999999999997E-2</v>
      </c>
      <c r="ES211" s="482">
        <v>4.3799999999999999E-2</v>
      </c>
      <c r="ET211" s="482">
        <v>4.1099999999999998E-2</v>
      </c>
      <c r="EU211" s="487">
        <v>4.0800000000000003E-2</v>
      </c>
      <c r="EV211" s="487">
        <v>4.0800000000000003E-2</v>
      </c>
      <c r="EW211" s="487">
        <v>4.0500000000000001E-2</v>
      </c>
      <c r="EX211" s="487">
        <v>0.04</v>
      </c>
      <c r="EY211" s="482">
        <v>4.4900000000000002E-2</v>
      </c>
      <c r="EZ211" s="482">
        <v>5.1299999999999998E-2</v>
      </c>
      <c r="FA211" s="484">
        <v>5.11E-2</v>
      </c>
      <c r="FB211" s="484">
        <v>0.05</v>
      </c>
      <c r="FC211" s="477">
        <v>4.9200000000000001E-2</v>
      </c>
      <c r="FD211" s="477">
        <v>4.8899999999999999E-2</v>
      </c>
      <c r="FE211" s="477">
        <v>4.6899999999999997E-2</v>
      </c>
      <c r="FF211" s="477">
        <v>4.8300000000000003E-2</v>
      </c>
      <c r="FG211" s="477">
        <v>4.8500000000000001E-2</v>
      </c>
      <c r="FH211" s="477">
        <v>4.8300000000000003E-2</v>
      </c>
      <c r="FI211" s="477">
        <v>4.8599999999999997E-2</v>
      </c>
      <c r="FJ211" s="477">
        <v>4.87E-2</v>
      </c>
      <c r="FK211" s="477">
        <v>4.7800000000000002E-2</v>
      </c>
      <c r="FL211" s="477">
        <v>4.7199999999999999E-2</v>
      </c>
      <c r="FM211" s="477">
        <v>4.9299999999999997E-2</v>
      </c>
      <c r="FN211" s="477">
        <v>4.8500000000000001E-2</v>
      </c>
      <c r="FO211" s="477">
        <v>4.8399999999999999E-2</v>
      </c>
      <c r="FP211" s="477">
        <v>4.5499999999999999E-2</v>
      </c>
      <c r="FQ211" s="477">
        <v>4.6699999999999998E-2</v>
      </c>
      <c r="FR211" s="477">
        <v>4.6699999999999998E-2</v>
      </c>
      <c r="FS211" s="477">
        <v>4.5100000000000001E-2</v>
      </c>
      <c r="FT211" s="477">
        <v>4.4600000000000001E-2</v>
      </c>
      <c r="FU211" s="477">
        <v>4.1500000000000002E-2</v>
      </c>
      <c r="FV211" s="482">
        <v>4.6600000000000003E-2</v>
      </c>
      <c r="FW211" s="482">
        <v>4.7300000000000002E-2</v>
      </c>
      <c r="FX211" s="482">
        <v>4.8800000000000003E-2</v>
      </c>
      <c r="FY211" s="482">
        <v>4.9599999999999998E-2</v>
      </c>
      <c r="FZ211" s="482">
        <v>4.9399999999999999E-2</v>
      </c>
      <c r="GA211" s="482">
        <v>4.8399999999999999E-2</v>
      </c>
      <c r="GB211" s="482">
        <v>4.82E-2</v>
      </c>
      <c r="GC211" s="482">
        <v>4.7600000000000003E-2</v>
      </c>
      <c r="GD211" s="477">
        <v>3.7699999999999997E-2</v>
      </c>
      <c r="GE211" s="477">
        <v>3.7699999999999997E-2</v>
      </c>
      <c r="GF211" s="477">
        <v>3.7699999999999997E-2</v>
      </c>
      <c r="GG211" s="477">
        <v>3.7699999999999997E-2</v>
      </c>
      <c r="GH211" s="477">
        <v>3.7699999999999997E-2</v>
      </c>
      <c r="GI211" s="477">
        <v>3.7699999999999997E-2</v>
      </c>
      <c r="GJ211" s="477">
        <v>3.7699999999999997E-2</v>
      </c>
      <c r="GK211" s="477">
        <v>3.7699999999999997E-2</v>
      </c>
      <c r="GL211" s="477">
        <v>3.7699999999999997E-2</v>
      </c>
      <c r="GM211" s="477">
        <v>3.7699999999999997E-2</v>
      </c>
      <c r="GN211" s="477">
        <v>3.7699999999999997E-2</v>
      </c>
      <c r="GO211" s="477">
        <v>3.7699999999999997E-2</v>
      </c>
      <c r="GP211" s="477">
        <v>3.7699999999999997E-2</v>
      </c>
      <c r="GQ211" s="477">
        <v>3.7699999999999997E-2</v>
      </c>
      <c r="GR211" s="477">
        <v>3.7699999999999997E-2</v>
      </c>
      <c r="GS211" s="477">
        <v>3.7699999999999997E-2</v>
      </c>
      <c r="GT211" s="477">
        <v>3.7699999999999997E-2</v>
      </c>
      <c r="GU211" s="477">
        <v>3.7699999999999997E-2</v>
      </c>
      <c r="GV211" s="477">
        <v>3.7699999999999997E-2</v>
      </c>
      <c r="GW211" s="477">
        <v>3.7699999999999997E-2</v>
      </c>
      <c r="GX211" s="477">
        <v>3.7699999999999997E-2</v>
      </c>
      <c r="GY211" s="477">
        <v>3.7699999999999997E-2</v>
      </c>
      <c r="GZ211" s="477">
        <v>3.7699999999999997E-2</v>
      </c>
      <c r="HA211" s="477">
        <v>3.7699999999999997E-2</v>
      </c>
      <c r="HB211" s="477">
        <v>3.7699999999999997E-2</v>
      </c>
      <c r="HC211" s="477">
        <v>3.7699999999999997E-2</v>
      </c>
      <c r="HD211" s="477">
        <v>3.7699999999999997E-2</v>
      </c>
      <c r="HE211" s="477">
        <v>3.7699999999999997E-2</v>
      </c>
      <c r="HF211" s="477">
        <v>3.7699999999999997E-2</v>
      </c>
      <c r="HG211" s="477">
        <v>3.7699999999999997E-2</v>
      </c>
      <c r="HH211" s="477">
        <v>3.7699999999999997E-2</v>
      </c>
      <c r="HI211" s="477">
        <v>3.7699999999999997E-2</v>
      </c>
      <c r="HJ211" s="477">
        <v>3.7699999999999997E-2</v>
      </c>
      <c r="HK211" s="477">
        <v>3.7699999999999997E-2</v>
      </c>
      <c r="HL211" s="477">
        <v>3.7699999999999997E-2</v>
      </c>
      <c r="HM211" s="477">
        <v>3.7699999999999997E-2</v>
      </c>
      <c r="HN211" s="477">
        <v>3.7699999999999997E-2</v>
      </c>
      <c r="HO211" s="477">
        <v>3.7699999999999997E-2</v>
      </c>
      <c r="HP211" s="473">
        <f t="shared" si="78"/>
        <v>0</v>
      </c>
      <c r="HQ211" s="1137"/>
    </row>
    <row r="212" spans="2:225">
      <c r="B212" s="1126" t="s">
        <v>39</v>
      </c>
      <c r="C212" s="731" t="s">
        <v>237</v>
      </c>
      <c r="D212" s="657">
        <v>2.4500000000000001E-2</v>
      </c>
      <c r="E212" s="657">
        <v>2.4500000000000001E-2</v>
      </c>
      <c r="F212" s="657">
        <v>2.3099999999999999E-2</v>
      </c>
      <c r="G212" s="657">
        <v>2.2499999999999999E-2</v>
      </c>
      <c r="H212" s="667">
        <v>2.29E-2</v>
      </c>
      <c r="I212" s="667">
        <v>2.29E-2</v>
      </c>
      <c r="J212" s="657">
        <v>2.29E-2</v>
      </c>
      <c r="K212" s="657">
        <v>2.3E-2</v>
      </c>
      <c r="L212" s="657">
        <v>2.3099999999999999E-2</v>
      </c>
      <c r="M212" s="667">
        <v>2.2700000000000001E-2</v>
      </c>
      <c r="N212" s="657">
        <v>2.2700000000000001E-2</v>
      </c>
      <c r="O212" s="657">
        <v>2.3199999999999998E-2</v>
      </c>
      <c r="P212" s="657">
        <v>2.3E-2</v>
      </c>
      <c r="Q212" s="657">
        <v>2.4E-2</v>
      </c>
      <c r="R212" s="667">
        <v>2.35E-2</v>
      </c>
      <c r="S212" s="657">
        <v>2.35E-2</v>
      </c>
      <c r="T212" s="583">
        <v>2.4400000000000002E-2</v>
      </c>
      <c r="U212" s="583">
        <v>2.4E-2</v>
      </c>
      <c r="V212" s="583">
        <v>2.41E-2</v>
      </c>
      <c r="W212" s="503">
        <v>2.3099999999999999E-2</v>
      </c>
      <c r="X212" s="503">
        <v>2.29E-2</v>
      </c>
      <c r="Y212" s="503">
        <v>2.3300000000000001E-2</v>
      </c>
      <c r="Z212" s="503">
        <v>2.41E-2</v>
      </c>
      <c r="AA212" s="503">
        <v>2.4E-2</v>
      </c>
      <c r="AB212" s="503">
        <v>2.4500000000000001E-2</v>
      </c>
      <c r="AC212" s="503">
        <v>2.4199999999999999E-2</v>
      </c>
      <c r="AD212" s="503">
        <v>2.4799999999999999E-2</v>
      </c>
      <c r="AE212" s="503">
        <v>2.5899999999999999E-2</v>
      </c>
      <c r="AF212" s="503">
        <v>2.6200000000000001E-2</v>
      </c>
      <c r="AG212" s="503">
        <v>2.6700000000000002E-2</v>
      </c>
      <c r="AH212" s="478">
        <v>2.63E-2</v>
      </c>
      <c r="AI212" s="503">
        <v>2.6599999999999999E-2</v>
      </c>
      <c r="AJ212" s="478">
        <v>2.81E-2</v>
      </c>
      <c r="AK212" s="503">
        <v>2.81E-2</v>
      </c>
      <c r="AL212" s="503">
        <v>2.8500000000000001E-2</v>
      </c>
      <c r="AM212" s="503">
        <v>2.8299999999999999E-2</v>
      </c>
      <c r="AN212" s="503">
        <v>2.7099999999999999E-2</v>
      </c>
      <c r="AO212" s="503">
        <v>2.8299999999999999E-2</v>
      </c>
      <c r="AP212" s="503">
        <v>2.9499999999999998E-2</v>
      </c>
      <c r="AQ212" s="503">
        <v>2.9700000000000001E-2</v>
      </c>
      <c r="AR212" s="503">
        <v>2.93E-2</v>
      </c>
      <c r="AS212" s="503">
        <v>2.9700000000000001E-2</v>
      </c>
      <c r="AT212" s="478">
        <v>2.9899999999999999E-2</v>
      </c>
      <c r="AU212" s="478">
        <v>2.9899999999999999E-2</v>
      </c>
      <c r="AV212" s="503">
        <v>2.8299999999999999E-2</v>
      </c>
      <c r="AW212" s="479">
        <v>2.8799999999999999E-2</v>
      </c>
      <c r="AX212" s="479">
        <v>2.8799999999999999E-2</v>
      </c>
      <c r="AY212" s="479">
        <v>2.8799999999999999E-2</v>
      </c>
      <c r="AZ212" s="479">
        <v>2.8799999999999999E-2</v>
      </c>
      <c r="BA212" s="479">
        <v>2.8799999999999999E-2</v>
      </c>
      <c r="BB212" s="479">
        <v>2.8799999999999999E-2</v>
      </c>
      <c r="BC212" s="479">
        <v>2.8799999999999999E-2</v>
      </c>
      <c r="BD212" s="479">
        <v>3.1E-2</v>
      </c>
      <c r="BE212" s="479">
        <v>3.1E-2</v>
      </c>
      <c r="BF212" s="479">
        <v>3.1E-2</v>
      </c>
      <c r="BG212" s="479">
        <v>3.0499999999999999E-2</v>
      </c>
      <c r="BH212" s="479">
        <v>3.09E-2</v>
      </c>
      <c r="BI212" s="479">
        <v>3.09E-2</v>
      </c>
      <c r="BJ212" s="479">
        <v>3.09E-2</v>
      </c>
      <c r="BK212" s="479">
        <v>3.09E-2</v>
      </c>
      <c r="BL212" s="479">
        <v>3.09E-2</v>
      </c>
      <c r="BM212" s="479">
        <v>3.15E-2</v>
      </c>
      <c r="BN212" s="479">
        <v>3.15E-2</v>
      </c>
      <c r="BO212" s="479">
        <v>3.09E-2</v>
      </c>
      <c r="BP212" s="479">
        <v>3.2399999999999998E-2</v>
      </c>
      <c r="BQ212" s="479">
        <v>3.2399999999999998E-2</v>
      </c>
      <c r="BR212" s="479">
        <v>3.2300000000000002E-2</v>
      </c>
      <c r="BS212" s="479">
        <v>3.2300000000000002E-2</v>
      </c>
      <c r="BT212" s="479">
        <v>3.1199999999999999E-2</v>
      </c>
      <c r="BU212" s="479">
        <v>3.1199999999999999E-2</v>
      </c>
      <c r="BV212" s="479">
        <v>3.1199999999999999E-2</v>
      </c>
      <c r="BW212" s="479">
        <v>3.0599999999999999E-2</v>
      </c>
      <c r="BX212" s="479">
        <v>3.0599999999999999E-2</v>
      </c>
      <c r="BY212" s="479">
        <v>2.7E-2</v>
      </c>
      <c r="BZ212" s="479">
        <v>2.7E-2</v>
      </c>
      <c r="CA212" s="479">
        <v>2.8299999999999999E-2</v>
      </c>
      <c r="CB212" s="479">
        <v>2.9000000000000001E-2</v>
      </c>
      <c r="CC212" s="479">
        <v>3.15E-2</v>
      </c>
      <c r="CD212" s="479">
        <v>3.1899999999999998E-2</v>
      </c>
      <c r="CE212" s="479">
        <v>3.2899999999999999E-2</v>
      </c>
      <c r="CF212" s="479">
        <v>3.2599999999999997E-2</v>
      </c>
      <c r="CG212" s="479">
        <v>3.2800000000000003E-2</v>
      </c>
      <c r="CH212" s="479">
        <v>3.7199999999999997E-2</v>
      </c>
      <c r="CI212" s="479">
        <v>3.7999999999999999E-2</v>
      </c>
      <c r="CJ212" s="479">
        <v>3.7699999999999997E-2</v>
      </c>
      <c r="CK212" s="479">
        <v>3.9300000000000002E-2</v>
      </c>
      <c r="CL212" s="479">
        <v>3.9899999999999998E-2</v>
      </c>
      <c r="CM212" s="479">
        <v>3.9800000000000002E-2</v>
      </c>
      <c r="CN212" s="479">
        <v>4.0099999999999997E-2</v>
      </c>
      <c r="CO212" s="479">
        <v>4.0899999999999999E-2</v>
      </c>
      <c r="CP212" s="479">
        <v>4.1099999999999998E-2</v>
      </c>
      <c r="CQ212" s="479">
        <v>4.1500000000000002E-2</v>
      </c>
      <c r="CR212" s="479">
        <v>4.1000000000000002E-2</v>
      </c>
      <c r="CS212" s="479">
        <v>4.1000000000000002E-2</v>
      </c>
      <c r="CT212" s="479">
        <v>4.19E-2</v>
      </c>
      <c r="CU212" s="484">
        <v>4.19E-2</v>
      </c>
      <c r="CV212" s="479">
        <v>4.1799999999999997E-2</v>
      </c>
      <c r="CW212" s="524">
        <v>4.1399999999999999E-2</v>
      </c>
      <c r="CX212" s="472">
        <v>4.0300000000000002E-2</v>
      </c>
      <c r="CY212" s="472">
        <v>3.9899999999999998E-2</v>
      </c>
      <c r="CZ212" s="472">
        <v>3.9399999999999998E-2</v>
      </c>
      <c r="DA212" s="472">
        <v>3.9399999999999998E-2</v>
      </c>
      <c r="DB212" s="472">
        <v>3.9300000000000002E-2</v>
      </c>
      <c r="DC212" s="484">
        <v>3.9300000000000002E-2</v>
      </c>
      <c r="DD212" s="484">
        <v>3.9699999999999999E-2</v>
      </c>
      <c r="DE212" s="472">
        <v>4.1200000000000001E-2</v>
      </c>
      <c r="DF212" s="472">
        <v>4.1200000000000001E-2</v>
      </c>
      <c r="DG212" s="472">
        <v>4.0300000000000002E-2</v>
      </c>
      <c r="DH212" s="472">
        <v>3.9600000000000003E-2</v>
      </c>
      <c r="DI212" s="472">
        <v>0.04</v>
      </c>
      <c r="DJ212" s="472">
        <v>3.8899999999999997E-2</v>
      </c>
      <c r="DK212" s="472">
        <v>4.02E-2</v>
      </c>
      <c r="DL212" s="472">
        <v>4.02E-2</v>
      </c>
      <c r="DM212" s="472">
        <v>4.02E-2</v>
      </c>
      <c r="DN212" s="472">
        <v>4.1500000000000002E-2</v>
      </c>
      <c r="DO212" s="472">
        <v>4.3400000000000001E-2</v>
      </c>
      <c r="DP212" s="472">
        <v>4.3299999999999998E-2</v>
      </c>
      <c r="DQ212" s="472">
        <v>4.5199999999999997E-2</v>
      </c>
      <c r="DR212" s="472">
        <v>4.58E-2</v>
      </c>
      <c r="DS212" s="472">
        <v>4.6199999999999998E-2</v>
      </c>
      <c r="DT212" s="472">
        <v>4.48E-2</v>
      </c>
      <c r="DU212" s="472">
        <v>4.5699999999999998E-2</v>
      </c>
      <c r="DV212" s="472">
        <v>4.5499999999999999E-2</v>
      </c>
      <c r="DW212" s="472">
        <v>4.6300000000000001E-2</v>
      </c>
      <c r="DX212" s="472">
        <v>4.5900000000000003E-2</v>
      </c>
      <c r="DY212" s="472">
        <v>4.65E-2</v>
      </c>
      <c r="DZ212" s="472">
        <v>4.6199999999999998E-2</v>
      </c>
      <c r="EA212" s="472">
        <v>4.5600000000000002E-2</v>
      </c>
      <c r="EB212" s="472">
        <v>4.5339999999999998E-2</v>
      </c>
      <c r="EC212" s="472">
        <v>4.5339999999999998E-2</v>
      </c>
      <c r="ED212" s="472">
        <v>4.5199999999999997E-2</v>
      </c>
      <c r="EE212" s="472">
        <v>4.5199999999999997E-2</v>
      </c>
      <c r="EF212" s="472">
        <v>4.4900000000000002E-2</v>
      </c>
      <c r="EG212" s="472">
        <v>4.53E-2</v>
      </c>
      <c r="EH212" s="472">
        <v>4.5400000000000003E-2</v>
      </c>
      <c r="EI212" s="472">
        <v>3.5700000000000003E-2</v>
      </c>
      <c r="EJ212" s="472">
        <v>3.7199999999999997E-2</v>
      </c>
      <c r="EK212" s="472">
        <v>3.5700000000000003E-2</v>
      </c>
      <c r="EL212" s="472">
        <v>3.39E-2</v>
      </c>
      <c r="EM212" s="472">
        <v>3.0700000000000002E-2</v>
      </c>
      <c r="EN212" s="472">
        <v>4.0599999999999997E-2</v>
      </c>
      <c r="EO212" s="472">
        <v>0.04</v>
      </c>
      <c r="EP212" s="472">
        <v>3.9800000000000002E-2</v>
      </c>
      <c r="EQ212" s="472">
        <v>4.02E-2</v>
      </c>
      <c r="ER212" s="472">
        <v>4.07E-2</v>
      </c>
      <c r="ES212" s="472">
        <v>4.1200000000000001E-2</v>
      </c>
      <c r="ET212" s="472">
        <v>0.04</v>
      </c>
      <c r="EU212" s="472">
        <v>4.0399999999999998E-2</v>
      </c>
      <c r="EV212" s="472">
        <v>4.2999999999999997E-2</v>
      </c>
      <c r="EW212" s="472">
        <v>4.2099999999999999E-2</v>
      </c>
      <c r="EX212" s="472">
        <v>3.9E-2</v>
      </c>
      <c r="EY212" s="472">
        <v>4.2099999999999999E-2</v>
      </c>
      <c r="EZ212" s="472">
        <v>4.5600000000000002E-2</v>
      </c>
      <c r="FA212" s="484">
        <v>4.5600000000000002E-2</v>
      </c>
      <c r="FB212" s="484">
        <v>4.48E-2</v>
      </c>
      <c r="FC212" s="479">
        <v>4.4600000000000001E-2</v>
      </c>
      <c r="FD212" s="479">
        <v>4.53E-2</v>
      </c>
      <c r="FE212" s="479">
        <v>4.3799999999999999E-2</v>
      </c>
      <c r="FF212" s="479">
        <v>4.3400000000000001E-2</v>
      </c>
      <c r="FG212" s="479">
        <v>4.4200000000000003E-2</v>
      </c>
      <c r="FH212" s="479">
        <v>4.5100000000000001E-2</v>
      </c>
      <c r="FI212" s="479">
        <v>4.5600000000000002E-2</v>
      </c>
      <c r="FJ212" s="479">
        <v>4.5400000000000003E-2</v>
      </c>
      <c r="FK212" s="479">
        <v>4.53E-2</v>
      </c>
      <c r="FL212" s="479">
        <v>4.5999999999999999E-2</v>
      </c>
      <c r="FM212" s="479">
        <v>4.3499999999999997E-2</v>
      </c>
      <c r="FN212" s="479">
        <v>4.3700000000000003E-2</v>
      </c>
      <c r="FO212" s="479">
        <v>4.3799999999999999E-2</v>
      </c>
      <c r="FP212" s="479">
        <v>4.3099999999999999E-2</v>
      </c>
      <c r="FQ212" s="479">
        <v>4.4699999999999997E-2</v>
      </c>
      <c r="FR212" s="479">
        <v>4.3099999999999999E-2</v>
      </c>
      <c r="FS212" s="479">
        <v>4.1200000000000001E-2</v>
      </c>
      <c r="FT212" s="479">
        <v>4.02E-2</v>
      </c>
      <c r="FU212" s="479">
        <v>3.8600000000000002E-2</v>
      </c>
      <c r="FV212" s="472">
        <v>4.2999999999999997E-2</v>
      </c>
      <c r="FW212" s="472">
        <v>4.2799999999999998E-2</v>
      </c>
      <c r="FX212" s="472">
        <v>4.4999999999999998E-2</v>
      </c>
      <c r="FY212" s="472">
        <v>4.5499999999999999E-2</v>
      </c>
      <c r="FZ212" s="472">
        <v>4.5100000000000001E-2</v>
      </c>
      <c r="GA212" s="472">
        <v>4.4499999999999998E-2</v>
      </c>
      <c r="GB212" s="472">
        <v>4.4400000000000002E-2</v>
      </c>
      <c r="GC212" s="472">
        <v>4.3799999999999999E-2</v>
      </c>
      <c r="GD212" s="479">
        <v>3.5700000000000003E-2</v>
      </c>
      <c r="GE212" s="479">
        <v>3.5700000000000003E-2</v>
      </c>
      <c r="GF212" s="479">
        <v>3.5700000000000003E-2</v>
      </c>
      <c r="GG212" s="479">
        <v>3.5700000000000003E-2</v>
      </c>
      <c r="GH212" s="479">
        <v>3.5700000000000003E-2</v>
      </c>
      <c r="GI212" s="479">
        <v>3.5700000000000003E-2</v>
      </c>
      <c r="GJ212" s="479">
        <v>3.5700000000000003E-2</v>
      </c>
      <c r="GK212" s="479">
        <v>3.5700000000000003E-2</v>
      </c>
      <c r="GL212" s="479">
        <v>3.5700000000000003E-2</v>
      </c>
      <c r="GM212" s="479">
        <v>3.5700000000000003E-2</v>
      </c>
      <c r="GN212" s="479">
        <v>3.5700000000000003E-2</v>
      </c>
      <c r="GO212" s="479">
        <v>3.5700000000000003E-2</v>
      </c>
      <c r="GP212" s="479">
        <v>3.5700000000000003E-2</v>
      </c>
      <c r="GQ212" s="479">
        <v>3.5700000000000003E-2</v>
      </c>
      <c r="GR212" s="479">
        <v>3.5700000000000003E-2</v>
      </c>
      <c r="GS212" s="479">
        <v>3.5700000000000003E-2</v>
      </c>
      <c r="GT212" s="479">
        <v>3.5700000000000003E-2</v>
      </c>
      <c r="GU212" s="479">
        <v>3.5700000000000003E-2</v>
      </c>
      <c r="GV212" s="479">
        <v>3.5700000000000003E-2</v>
      </c>
      <c r="GW212" s="479">
        <v>3.5700000000000003E-2</v>
      </c>
      <c r="GX212" s="479">
        <v>3.5700000000000003E-2</v>
      </c>
      <c r="GY212" s="479">
        <v>3.5700000000000003E-2</v>
      </c>
      <c r="GZ212" s="479">
        <v>3.5700000000000003E-2</v>
      </c>
      <c r="HA212" s="479">
        <v>3.5700000000000003E-2</v>
      </c>
      <c r="HB212" s="479">
        <v>3.5700000000000003E-2</v>
      </c>
      <c r="HC212" s="479">
        <v>3.5700000000000003E-2</v>
      </c>
      <c r="HD212" s="479">
        <v>3.5700000000000003E-2</v>
      </c>
      <c r="HE212" s="479">
        <v>3.5700000000000003E-2</v>
      </c>
      <c r="HF212" s="479">
        <v>3.5700000000000003E-2</v>
      </c>
      <c r="HG212" s="479">
        <v>3.5700000000000003E-2</v>
      </c>
      <c r="HH212" s="479">
        <v>3.5700000000000003E-2</v>
      </c>
      <c r="HI212" s="479">
        <v>3.5700000000000003E-2</v>
      </c>
      <c r="HJ212" s="479">
        <v>3.5700000000000003E-2</v>
      </c>
      <c r="HK212" s="479">
        <v>3.5700000000000003E-2</v>
      </c>
      <c r="HL212" s="479">
        <v>3.5700000000000003E-2</v>
      </c>
      <c r="HM212" s="479">
        <v>3.5700000000000003E-2</v>
      </c>
      <c r="HN212" s="479">
        <v>3.5700000000000003E-2</v>
      </c>
      <c r="HO212" s="479">
        <v>3.5700000000000003E-2</v>
      </c>
      <c r="HP212" s="473">
        <f t="shared" si="78"/>
        <v>0</v>
      </c>
      <c r="HQ212" s="1153"/>
    </row>
    <row r="213" spans="2:225">
      <c r="B213" s="1127"/>
      <c r="C213" s="731" t="s">
        <v>236</v>
      </c>
      <c r="D213" s="657">
        <v>2.4500000000000001E-2</v>
      </c>
      <c r="E213" s="657">
        <v>2.4500000000000001E-2</v>
      </c>
      <c r="F213" s="657">
        <v>2.3599999999999999E-2</v>
      </c>
      <c r="G213" s="657">
        <v>2.3E-2</v>
      </c>
      <c r="H213" s="667">
        <v>2.3400000000000001E-2</v>
      </c>
      <c r="I213" s="667">
        <v>2.3400000000000001E-2</v>
      </c>
      <c r="J213" s="657">
        <v>2.3400000000000001E-2</v>
      </c>
      <c r="K213" s="657">
        <v>2.35E-2</v>
      </c>
      <c r="L213" s="657">
        <v>2.3599999999999999E-2</v>
      </c>
      <c r="M213" s="667">
        <v>2.3199999999999998E-2</v>
      </c>
      <c r="N213" s="657">
        <v>2.3199999999999998E-2</v>
      </c>
      <c r="O213" s="657">
        <v>2.3699999999999999E-2</v>
      </c>
      <c r="P213" s="657">
        <v>2.35E-2</v>
      </c>
      <c r="Q213" s="657">
        <v>2.4500000000000001E-2</v>
      </c>
      <c r="R213" s="667">
        <v>2.3999999999999997E-2</v>
      </c>
      <c r="S213" s="657">
        <v>2.3999999999999997E-2</v>
      </c>
      <c r="T213" s="583">
        <v>2.4899999999999999E-2</v>
      </c>
      <c r="U213" s="583">
        <v>2.4500000000000001E-2</v>
      </c>
      <c r="V213" s="583">
        <v>2.46E-2</v>
      </c>
      <c r="W213" s="503">
        <v>2.3599999999999999E-2</v>
      </c>
      <c r="X213" s="503">
        <v>2.3400000000000001E-2</v>
      </c>
      <c r="Y213" s="503">
        <v>2.3800000000000002E-2</v>
      </c>
      <c r="Z213" s="503">
        <v>2.46E-2</v>
      </c>
      <c r="AA213" s="503">
        <v>2.4500000000000001E-2</v>
      </c>
      <c r="AB213" s="503">
        <v>2.5000000000000001E-2</v>
      </c>
      <c r="AC213" s="503">
        <v>2.47E-2</v>
      </c>
      <c r="AD213" s="503">
        <v>2.53E-2</v>
      </c>
      <c r="AE213" s="503">
        <v>2.64E-2</v>
      </c>
      <c r="AF213" s="503">
        <v>2.6700000000000002E-2</v>
      </c>
      <c r="AG213" s="503">
        <v>2.7199999999999998E-2</v>
      </c>
      <c r="AH213" s="478">
        <v>2.6800000000000001E-2</v>
      </c>
      <c r="AI213" s="503">
        <v>2.7099999999999999E-2</v>
      </c>
      <c r="AJ213" s="478">
        <v>2.86E-2</v>
      </c>
      <c r="AK213" s="503">
        <v>2.86E-2</v>
      </c>
      <c r="AL213" s="503">
        <v>2.9000000000000001E-2</v>
      </c>
      <c r="AM213" s="503">
        <v>2.8799999999999999E-2</v>
      </c>
      <c r="AN213" s="503">
        <v>2.76E-2</v>
      </c>
      <c r="AO213" s="503">
        <v>2.8500000000000001E-2</v>
      </c>
      <c r="AP213" s="503">
        <v>2.9700000000000001E-2</v>
      </c>
      <c r="AQ213" s="503">
        <v>2.9899999999999999E-2</v>
      </c>
      <c r="AR213" s="503">
        <v>2.9499999999999998E-2</v>
      </c>
      <c r="AS213" s="503">
        <v>2.9899999999999999E-2</v>
      </c>
      <c r="AT213" s="478">
        <v>3.0099999999999998E-2</v>
      </c>
      <c r="AU213" s="478">
        <v>3.0099999999999998E-2</v>
      </c>
      <c r="AV213" s="479">
        <f t="shared" ref="AV213:BC213" si="82">AV212+0.02%</f>
        <v>2.8499999999999998E-2</v>
      </c>
      <c r="AW213" s="479">
        <f t="shared" si="82"/>
        <v>2.8999999999999998E-2</v>
      </c>
      <c r="AX213" s="479">
        <f t="shared" si="82"/>
        <v>2.8999999999999998E-2</v>
      </c>
      <c r="AY213" s="479">
        <f t="shared" si="82"/>
        <v>2.8999999999999998E-2</v>
      </c>
      <c r="AZ213" s="479">
        <f t="shared" si="82"/>
        <v>2.8999999999999998E-2</v>
      </c>
      <c r="BA213" s="479">
        <f t="shared" si="82"/>
        <v>2.8999999999999998E-2</v>
      </c>
      <c r="BB213" s="479">
        <f t="shared" si="82"/>
        <v>2.8999999999999998E-2</v>
      </c>
      <c r="BC213" s="479">
        <f t="shared" si="82"/>
        <v>2.8999999999999998E-2</v>
      </c>
      <c r="BD213" s="479">
        <v>3.1199999999999999E-2</v>
      </c>
      <c r="BE213" s="479">
        <v>3.1199999999999999E-2</v>
      </c>
      <c r="BF213" s="479">
        <v>3.1199999999999999E-2</v>
      </c>
      <c r="BG213" s="479">
        <v>3.0700000000000002E-2</v>
      </c>
      <c r="BH213" s="479">
        <v>3.1099999999999999E-2</v>
      </c>
      <c r="BI213" s="479">
        <v>3.1099999999999999E-2</v>
      </c>
      <c r="BJ213" s="479">
        <v>3.1099999999999999E-2</v>
      </c>
      <c r="BK213" s="479">
        <v>3.1099999999999999E-2</v>
      </c>
      <c r="BL213" s="479">
        <v>3.1099999999999999E-2</v>
      </c>
      <c r="BM213" s="479">
        <v>3.1699999999999999E-2</v>
      </c>
      <c r="BN213" s="479">
        <v>3.1699999999999999E-2</v>
      </c>
      <c r="BO213" s="479">
        <v>3.09E-2</v>
      </c>
      <c r="BP213" s="479">
        <v>3.2399999999999998E-2</v>
      </c>
      <c r="BQ213" s="479">
        <v>3.2399999999999998E-2</v>
      </c>
      <c r="BR213" s="479">
        <v>3.2300000000000002E-2</v>
      </c>
      <c r="BS213" s="479">
        <v>3.2300000000000002E-2</v>
      </c>
      <c r="BT213" s="479">
        <v>3.1199999999999999E-2</v>
      </c>
      <c r="BU213" s="479">
        <v>3.1199999999999999E-2</v>
      </c>
      <c r="BV213" s="479">
        <v>3.1199999999999999E-2</v>
      </c>
      <c r="BW213" s="479">
        <v>3.0599999999999999E-2</v>
      </c>
      <c r="BX213" s="479">
        <v>3.0599999999999999E-2</v>
      </c>
      <c r="BY213" s="479">
        <v>2.7E-2</v>
      </c>
      <c r="BZ213" s="479">
        <v>2.7E-2</v>
      </c>
      <c r="CA213" s="479">
        <v>2.8299999999999999E-2</v>
      </c>
      <c r="CB213" s="479">
        <v>2.9000000000000001E-2</v>
      </c>
      <c r="CC213" s="479">
        <v>3.15E-2</v>
      </c>
      <c r="CD213" s="479">
        <v>3.1899999999999998E-2</v>
      </c>
      <c r="CE213" s="479">
        <v>3.2899999999999999E-2</v>
      </c>
      <c r="CF213" s="479">
        <v>3.2599999999999997E-2</v>
      </c>
      <c r="CG213" s="479">
        <v>3.2800000000000003E-2</v>
      </c>
      <c r="CH213" s="479">
        <v>3.7199999999999997E-2</v>
      </c>
      <c r="CI213" s="479">
        <v>3.7999999999999999E-2</v>
      </c>
      <c r="CJ213" s="479">
        <v>3.7699999999999997E-2</v>
      </c>
      <c r="CK213" s="479">
        <v>3.9300000000000002E-2</v>
      </c>
      <c r="CL213" s="479">
        <v>3.9899999999999998E-2</v>
      </c>
      <c r="CM213" s="479">
        <v>3.9800000000000002E-2</v>
      </c>
      <c r="CN213" s="479">
        <v>4.0099999999999997E-2</v>
      </c>
      <c r="CO213" s="479">
        <v>4.0899999999999999E-2</v>
      </c>
      <c r="CP213" s="479">
        <v>4.1099999999999998E-2</v>
      </c>
      <c r="CQ213" s="479">
        <v>4.1500000000000002E-2</v>
      </c>
      <c r="CR213" s="479">
        <v>4.1000000000000002E-2</v>
      </c>
      <c r="CS213" s="479">
        <v>4.1000000000000002E-2</v>
      </c>
      <c r="CT213" s="479">
        <v>4.19E-2</v>
      </c>
      <c r="CU213" s="484">
        <v>4.19E-2</v>
      </c>
      <c r="CV213" s="479">
        <v>4.1799999999999997E-2</v>
      </c>
      <c r="CW213" s="524">
        <v>4.1399999999999999E-2</v>
      </c>
      <c r="CX213" s="472">
        <v>4.0300000000000002E-2</v>
      </c>
      <c r="CY213" s="472">
        <v>3.9899999999999998E-2</v>
      </c>
      <c r="CZ213" s="472">
        <v>3.9399999999999998E-2</v>
      </c>
      <c r="DA213" s="472">
        <v>3.9399999999999998E-2</v>
      </c>
      <c r="DB213" s="472">
        <v>3.9300000000000002E-2</v>
      </c>
      <c r="DC213" s="484">
        <v>3.9300000000000002E-2</v>
      </c>
      <c r="DD213" s="484">
        <v>3.9699999999999999E-2</v>
      </c>
      <c r="DE213" s="472">
        <v>4.1200000000000001E-2</v>
      </c>
      <c r="DF213" s="472">
        <v>4.1200000000000001E-2</v>
      </c>
      <c r="DG213" s="472">
        <v>4.0300000000000002E-2</v>
      </c>
      <c r="DH213" s="472">
        <v>3.9600000000000003E-2</v>
      </c>
      <c r="DI213" s="472">
        <v>0.04</v>
      </c>
      <c r="DJ213" s="472">
        <v>3.8899999999999997E-2</v>
      </c>
      <c r="DK213" s="472">
        <v>4.02E-2</v>
      </c>
      <c r="DL213" s="472">
        <v>4.02E-2</v>
      </c>
      <c r="DM213" s="472">
        <v>4.02E-2</v>
      </c>
      <c r="DN213" s="472">
        <v>4.1500000000000002E-2</v>
      </c>
      <c r="DO213" s="472">
        <v>4.3400000000000001E-2</v>
      </c>
      <c r="DP213" s="472">
        <v>4.3299999999999998E-2</v>
      </c>
      <c r="DQ213" s="472">
        <v>4.5199999999999997E-2</v>
      </c>
      <c r="DR213" s="472">
        <v>4.58E-2</v>
      </c>
      <c r="DS213" s="472">
        <v>4.6199999999999998E-2</v>
      </c>
      <c r="DT213" s="472">
        <v>4.48E-2</v>
      </c>
      <c r="DU213" s="472">
        <v>4.5699999999999998E-2</v>
      </c>
      <c r="DV213" s="472">
        <v>4.5499999999999999E-2</v>
      </c>
      <c r="DW213" s="472">
        <v>4.6300000000000001E-2</v>
      </c>
      <c r="DX213" s="472">
        <v>4.5900000000000003E-2</v>
      </c>
      <c r="DY213" s="472">
        <v>4.65E-2</v>
      </c>
      <c r="DZ213" s="472">
        <v>4.6199999999999998E-2</v>
      </c>
      <c r="EA213" s="472">
        <v>4.5600000000000002E-2</v>
      </c>
      <c r="EB213" s="472">
        <v>4.53E-2</v>
      </c>
      <c r="EC213" s="472">
        <v>4.53E-2</v>
      </c>
      <c r="ED213" s="472">
        <v>4.5199999999999997E-2</v>
      </c>
      <c r="EE213" s="472">
        <v>4.5199999999999997E-2</v>
      </c>
      <c r="EF213" s="472">
        <v>4.4900000000000002E-2</v>
      </c>
      <c r="EG213" s="472">
        <v>4.53E-2</v>
      </c>
      <c r="EH213" s="472">
        <v>4.5400000000000003E-2</v>
      </c>
      <c r="EI213" s="472">
        <v>3.5700000000000003E-2</v>
      </c>
      <c r="EJ213" s="472">
        <v>3.8199999999999998E-2</v>
      </c>
      <c r="EK213" s="472">
        <v>3.6700000000000003E-2</v>
      </c>
      <c r="EL213" s="472">
        <v>3.49E-2</v>
      </c>
      <c r="EM213" s="472">
        <v>3.1699999999999999E-2</v>
      </c>
      <c r="EN213" s="472">
        <v>4.0599999999999997E-2</v>
      </c>
      <c r="EO213" s="472">
        <v>0.04</v>
      </c>
      <c r="EP213" s="472">
        <v>3.9800000000000002E-2</v>
      </c>
      <c r="EQ213" s="472">
        <v>4.02E-2</v>
      </c>
      <c r="ER213" s="472">
        <v>4.07E-2</v>
      </c>
      <c r="ES213" s="472">
        <v>4.1200000000000001E-2</v>
      </c>
      <c r="ET213" s="472">
        <v>0.04</v>
      </c>
      <c r="EU213" s="472">
        <v>4.0399999999999998E-2</v>
      </c>
      <c r="EV213" s="472">
        <v>4.2999999999999997E-2</v>
      </c>
      <c r="EW213" s="472">
        <v>4.2099999999999999E-2</v>
      </c>
      <c r="EX213" s="472">
        <v>3.9E-2</v>
      </c>
      <c r="EY213" s="472">
        <v>4.2099999999999999E-2</v>
      </c>
      <c r="EZ213" s="472">
        <v>4.5600000000000002E-2</v>
      </c>
      <c r="FA213" s="484">
        <v>4.5600000000000002E-2</v>
      </c>
      <c r="FB213" s="484">
        <v>4.48E-2</v>
      </c>
      <c r="FC213" s="479">
        <v>4.4600000000000001E-2</v>
      </c>
      <c r="FD213" s="479">
        <v>4.53E-2</v>
      </c>
      <c r="FE213" s="479">
        <v>4.3799999999999999E-2</v>
      </c>
      <c r="FF213" s="479">
        <v>4.3400000000000001E-2</v>
      </c>
      <c r="FG213" s="479">
        <v>4.4200000000000003E-2</v>
      </c>
      <c r="FH213" s="479">
        <v>4.5100000000000001E-2</v>
      </c>
      <c r="FI213" s="479">
        <v>4.5600000000000002E-2</v>
      </c>
      <c r="FJ213" s="479">
        <v>4.5400000000000003E-2</v>
      </c>
      <c r="FK213" s="479">
        <v>4.53E-2</v>
      </c>
      <c r="FL213" s="479">
        <v>4.5999999999999999E-2</v>
      </c>
      <c r="FM213" s="479">
        <v>4.3499999999999997E-2</v>
      </c>
      <c r="FN213" s="479">
        <v>4.3700000000000003E-2</v>
      </c>
      <c r="FO213" s="479">
        <v>4.3799999999999999E-2</v>
      </c>
      <c r="FP213" s="479">
        <v>4.3099999999999999E-2</v>
      </c>
      <c r="FQ213" s="479">
        <v>4.4699999999999997E-2</v>
      </c>
      <c r="FR213" s="479">
        <v>4.3099999999999999E-2</v>
      </c>
      <c r="FS213" s="479">
        <v>4.1200000000000001E-2</v>
      </c>
      <c r="FT213" s="479">
        <v>4.02E-2</v>
      </c>
      <c r="FU213" s="479">
        <v>3.8600000000000002E-2</v>
      </c>
      <c r="FV213" s="472">
        <v>4.2999999999999997E-2</v>
      </c>
      <c r="FW213" s="472">
        <v>4.2799999999999998E-2</v>
      </c>
      <c r="FX213" s="472">
        <v>4.4999999999999998E-2</v>
      </c>
      <c r="FY213" s="472">
        <v>4.5499999999999999E-2</v>
      </c>
      <c r="FZ213" s="472">
        <v>4.5100000000000001E-2</v>
      </c>
      <c r="GA213" s="472">
        <v>4.4499999999999998E-2</v>
      </c>
      <c r="GB213" s="472">
        <v>4.4400000000000002E-2</v>
      </c>
      <c r="GC213" s="472">
        <v>4.3799999999999999E-2</v>
      </c>
      <c r="GD213" s="479">
        <v>3.6700000000000003E-2</v>
      </c>
      <c r="GE213" s="479">
        <v>3.6700000000000003E-2</v>
      </c>
      <c r="GF213" s="479">
        <v>3.6700000000000003E-2</v>
      </c>
      <c r="GG213" s="479">
        <v>3.6700000000000003E-2</v>
      </c>
      <c r="GH213" s="479">
        <v>3.6700000000000003E-2</v>
      </c>
      <c r="GI213" s="479">
        <v>3.6700000000000003E-2</v>
      </c>
      <c r="GJ213" s="479">
        <v>3.6700000000000003E-2</v>
      </c>
      <c r="GK213" s="479">
        <v>3.6700000000000003E-2</v>
      </c>
      <c r="GL213" s="479">
        <v>3.6700000000000003E-2</v>
      </c>
      <c r="GM213" s="479">
        <v>3.6700000000000003E-2</v>
      </c>
      <c r="GN213" s="479">
        <v>3.6700000000000003E-2</v>
      </c>
      <c r="GO213" s="479">
        <v>3.6700000000000003E-2</v>
      </c>
      <c r="GP213" s="479">
        <v>3.6700000000000003E-2</v>
      </c>
      <c r="GQ213" s="479">
        <v>3.6700000000000003E-2</v>
      </c>
      <c r="GR213" s="479">
        <v>3.6700000000000003E-2</v>
      </c>
      <c r="GS213" s="479">
        <v>3.6700000000000003E-2</v>
      </c>
      <c r="GT213" s="479">
        <v>3.6700000000000003E-2</v>
      </c>
      <c r="GU213" s="479">
        <v>3.6700000000000003E-2</v>
      </c>
      <c r="GV213" s="479">
        <v>3.6700000000000003E-2</v>
      </c>
      <c r="GW213" s="479">
        <v>3.6700000000000003E-2</v>
      </c>
      <c r="GX213" s="479">
        <v>3.6700000000000003E-2</v>
      </c>
      <c r="GY213" s="479">
        <v>3.6700000000000003E-2</v>
      </c>
      <c r="GZ213" s="479">
        <v>3.6700000000000003E-2</v>
      </c>
      <c r="HA213" s="479">
        <v>3.6700000000000003E-2</v>
      </c>
      <c r="HB213" s="479">
        <v>3.6700000000000003E-2</v>
      </c>
      <c r="HC213" s="479">
        <v>3.6700000000000003E-2</v>
      </c>
      <c r="HD213" s="479">
        <v>3.6700000000000003E-2</v>
      </c>
      <c r="HE213" s="479">
        <v>3.6700000000000003E-2</v>
      </c>
      <c r="HF213" s="479">
        <v>3.6700000000000003E-2</v>
      </c>
      <c r="HG213" s="479">
        <v>3.6700000000000003E-2</v>
      </c>
      <c r="HH213" s="479">
        <v>3.6700000000000003E-2</v>
      </c>
      <c r="HI213" s="479">
        <v>3.6700000000000003E-2</v>
      </c>
      <c r="HJ213" s="479">
        <v>3.6700000000000003E-2</v>
      </c>
      <c r="HK213" s="479">
        <v>3.6700000000000003E-2</v>
      </c>
      <c r="HL213" s="479">
        <v>3.6700000000000003E-2</v>
      </c>
      <c r="HM213" s="479">
        <v>3.6700000000000003E-2</v>
      </c>
      <c r="HN213" s="479">
        <v>3.6700000000000003E-2</v>
      </c>
      <c r="HO213" s="479">
        <v>3.6700000000000003E-2</v>
      </c>
      <c r="HP213" s="473">
        <f t="shared" si="78"/>
        <v>0</v>
      </c>
      <c r="HQ213" s="1154"/>
    </row>
    <row r="214" spans="2:225">
      <c r="B214" s="1127"/>
      <c r="C214" s="731" t="s">
        <v>235</v>
      </c>
      <c r="D214" s="657">
        <v>2.8199999999999999E-2</v>
      </c>
      <c r="E214" s="657">
        <v>2.8199999999999999E-2</v>
      </c>
      <c r="F214" s="657">
        <v>2.6800000000000001E-2</v>
      </c>
      <c r="G214" s="657">
        <v>2.6200000000000001E-2</v>
      </c>
      <c r="H214" s="667">
        <v>2.6599999999999999E-2</v>
      </c>
      <c r="I214" s="667">
        <v>2.6599999999999999E-2</v>
      </c>
      <c r="J214" s="657">
        <v>2.6599999999999999E-2</v>
      </c>
      <c r="K214" s="657">
        <v>2.6700000000000002E-2</v>
      </c>
      <c r="L214" s="657">
        <v>2.6800000000000001E-2</v>
      </c>
      <c r="M214" s="667">
        <v>2.64E-2</v>
      </c>
      <c r="N214" s="657">
        <v>2.64E-2</v>
      </c>
      <c r="O214" s="657">
        <v>2.69E-2</v>
      </c>
      <c r="P214" s="657">
        <v>2.6700000000000002E-2</v>
      </c>
      <c r="Q214" s="657">
        <v>2.7699999999999999E-2</v>
      </c>
      <c r="R214" s="667">
        <v>2.7199999999999998E-2</v>
      </c>
      <c r="S214" s="657">
        <v>2.7199999999999998E-2</v>
      </c>
      <c r="T214" s="583">
        <v>2.81E-2</v>
      </c>
      <c r="U214" s="583">
        <v>2.7699999999999999E-2</v>
      </c>
      <c r="V214" s="583">
        <v>2.7799999999999998E-2</v>
      </c>
      <c r="W214" s="503">
        <v>2.6799999999999997E-2</v>
      </c>
      <c r="X214" s="503">
        <v>2.6599999999999999E-2</v>
      </c>
      <c r="Y214" s="503">
        <v>2.7E-2</v>
      </c>
      <c r="Z214" s="503">
        <v>2.7799999999999998E-2</v>
      </c>
      <c r="AA214" s="503">
        <v>2.7699999999999999E-2</v>
      </c>
      <c r="AB214" s="503">
        <v>2.8200000000000003E-2</v>
      </c>
      <c r="AC214" s="503">
        <v>2.7900000000000001E-2</v>
      </c>
      <c r="AD214" s="503">
        <v>2.8500000000000001E-2</v>
      </c>
      <c r="AE214" s="503">
        <v>2.9600000000000001E-2</v>
      </c>
      <c r="AF214" s="503">
        <v>2.9899999999999999E-2</v>
      </c>
      <c r="AG214" s="503">
        <v>3.04E-2</v>
      </c>
      <c r="AH214" s="478">
        <v>0.03</v>
      </c>
      <c r="AI214" s="503">
        <v>3.0300000000000001E-2</v>
      </c>
      <c r="AJ214" s="478">
        <v>3.1800000000000002E-2</v>
      </c>
      <c r="AK214" s="503">
        <v>3.1800000000000002E-2</v>
      </c>
      <c r="AL214" s="503">
        <v>3.2199999999999999E-2</v>
      </c>
      <c r="AM214" s="503">
        <v>3.2000000000000001E-2</v>
      </c>
      <c r="AN214" s="503">
        <v>3.0800000000000001E-2</v>
      </c>
      <c r="AO214" s="503">
        <v>3.15E-2</v>
      </c>
      <c r="AP214" s="503">
        <v>3.27E-2</v>
      </c>
      <c r="AQ214" s="503">
        <v>3.2899999999999999E-2</v>
      </c>
      <c r="AR214" s="503">
        <v>3.2500000000000001E-2</v>
      </c>
      <c r="AS214" s="503">
        <f t="shared" ref="AS214:BC214" si="83">AS213+0.3%</f>
        <v>3.2899999999999999E-2</v>
      </c>
      <c r="AT214" s="478">
        <f t="shared" si="83"/>
        <v>3.3099999999999997E-2</v>
      </c>
      <c r="AU214" s="478">
        <f t="shared" si="83"/>
        <v>3.3099999999999997E-2</v>
      </c>
      <c r="AV214" s="479">
        <f t="shared" si="83"/>
        <v>3.15E-2</v>
      </c>
      <c r="AW214" s="479">
        <f t="shared" si="83"/>
        <v>3.2000000000000001E-2</v>
      </c>
      <c r="AX214" s="479">
        <f t="shared" si="83"/>
        <v>3.2000000000000001E-2</v>
      </c>
      <c r="AY214" s="479">
        <f t="shared" si="83"/>
        <v>3.2000000000000001E-2</v>
      </c>
      <c r="AZ214" s="479">
        <f t="shared" si="83"/>
        <v>3.2000000000000001E-2</v>
      </c>
      <c r="BA214" s="479">
        <f t="shared" si="83"/>
        <v>3.2000000000000001E-2</v>
      </c>
      <c r="BB214" s="479">
        <f t="shared" si="83"/>
        <v>3.2000000000000001E-2</v>
      </c>
      <c r="BC214" s="479">
        <f t="shared" si="83"/>
        <v>3.2000000000000001E-2</v>
      </c>
      <c r="BD214" s="479">
        <v>3.4200000000000001E-2</v>
      </c>
      <c r="BE214" s="479">
        <v>3.4200000000000001E-2</v>
      </c>
      <c r="BF214" s="479">
        <v>3.4200000000000001E-2</v>
      </c>
      <c r="BG214" s="479">
        <v>3.3700000000000001E-2</v>
      </c>
      <c r="BH214" s="479">
        <v>3.4099999999999998E-2</v>
      </c>
      <c r="BI214" s="479">
        <v>3.4099999999999998E-2</v>
      </c>
      <c r="BJ214" s="479">
        <v>3.4099999999999998E-2</v>
      </c>
      <c r="BK214" s="479">
        <v>3.4099999999999998E-2</v>
      </c>
      <c r="BL214" s="479">
        <v>3.4099999999999998E-2</v>
      </c>
      <c r="BM214" s="479">
        <v>3.4700000000000002E-2</v>
      </c>
      <c r="BN214" s="479">
        <v>3.4700000000000002E-2</v>
      </c>
      <c r="BO214" s="479">
        <v>3.39E-2</v>
      </c>
      <c r="BP214" s="479">
        <v>3.5400000000000001E-2</v>
      </c>
      <c r="BQ214" s="479">
        <v>3.5400000000000001E-2</v>
      </c>
      <c r="BR214" s="479">
        <v>3.5299999999999998E-2</v>
      </c>
      <c r="BS214" s="479">
        <v>3.5299999999999998E-2</v>
      </c>
      <c r="BT214" s="479">
        <v>3.4200000000000001E-2</v>
      </c>
      <c r="BU214" s="479">
        <v>3.4200000000000001E-2</v>
      </c>
      <c r="BV214" s="479">
        <v>3.4200000000000001E-2</v>
      </c>
      <c r="BW214" s="479">
        <v>3.3599999999999998E-2</v>
      </c>
      <c r="BX214" s="479">
        <v>3.3599999999999998E-2</v>
      </c>
      <c r="BY214" s="479">
        <v>0.03</v>
      </c>
      <c r="BZ214" s="479">
        <v>0.03</v>
      </c>
      <c r="CA214" s="479">
        <v>3.1300000000000001E-2</v>
      </c>
      <c r="CB214" s="479">
        <v>3.2000000000000001E-2</v>
      </c>
      <c r="CC214" s="479">
        <v>3.4500000000000003E-2</v>
      </c>
      <c r="CD214" s="479">
        <v>3.49E-2</v>
      </c>
      <c r="CE214" s="479">
        <v>3.5900000000000001E-2</v>
      </c>
      <c r="CF214" s="479">
        <v>3.56E-2</v>
      </c>
      <c r="CG214" s="479">
        <v>3.5799999999999998E-2</v>
      </c>
      <c r="CH214" s="479">
        <v>4.02E-2</v>
      </c>
      <c r="CI214" s="479">
        <v>4.1000000000000002E-2</v>
      </c>
      <c r="CJ214" s="479">
        <v>4.07E-2</v>
      </c>
      <c r="CK214" s="479">
        <v>4.2299999999999997E-2</v>
      </c>
      <c r="CL214" s="479">
        <v>4.2900000000000001E-2</v>
      </c>
      <c r="CM214" s="479">
        <v>4.2799999999999998E-2</v>
      </c>
      <c r="CN214" s="479">
        <v>4.3099999999999999E-2</v>
      </c>
      <c r="CO214" s="479">
        <v>4.3900000000000002E-2</v>
      </c>
      <c r="CP214" s="479">
        <v>4.41E-2</v>
      </c>
      <c r="CQ214" s="479">
        <v>4.4499999999999998E-2</v>
      </c>
      <c r="CR214" s="479">
        <v>4.3999999999999997E-2</v>
      </c>
      <c r="CS214" s="479">
        <v>4.3999999999999997E-2</v>
      </c>
      <c r="CT214" s="479">
        <v>4.4900000000000002E-2</v>
      </c>
      <c r="CU214" s="484">
        <v>4.4900000000000002E-2</v>
      </c>
      <c r="CV214" s="479">
        <v>4.48E-2</v>
      </c>
      <c r="CW214" s="524">
        <v>4.4400000000000002E-2</v>
      </c>
      <c r="CX214" s="472">
        <v>4.3299999999999998E-2</v>
      </c>
      <c r="CY214" s="472">
        <v>4.2900000000000001E-2</v>
      </c>
      <c r="CZ214" s="472">
        <v>4.24E-2</v>
      </c>
      <c r="DA214" s="472">
        <v>4.24E-2</v>
      </c>
      <c r="DB214" s="472">
        <v>4.2299999999999997E-2</v>
      </c>
      <c r="DC214" s="484">
        <v>4.2299999999999997E-2</v>
      </c>
      <c r="DD214" s="484">
        <v>4.2700000000000002E-2</v>
      </c>
      <c r="DE214" s="472">
        <v>4.4200000000000003E-2</v>
      </c>
      <c r="DF214" s="472">
        <v>4.4200000000000003E-2</v>
      </c>
      <c r="DG214" s="472">
        <v>4.3299999999999998E-2</v>
      </c>
      <c r="DH214" s="472">
        <v>4.2599999999999999E-2</v>
      </c>
      <c r="DI214" s="472">
        <v>4.2999999999999997E-2</v>
      </c>
      <c r="DJ214" s="472">
        <v>4.19E-2</v>
      </c>
      <c r="DK214" s="472">
        <v>4.3200000000000002E-2</v>
      </c>
      <c r="DL214" s="472">
        <v>4.3200000000000002E-2</v>
      </c>
      <c r="DM214" s="472">
        <v>4.3200000000000002E-2</v>
      </c>
      <c r="DN214" s="472">
        <v>4.4499999999999998E-2</v>
      </c>
      <c r="DO214" s="472">
        <v>4.6399999999999997E-2</v>
      </c>
      <c r="DP214" s="472">
        <v>4.6300000000000001E-2</v>
      </c>
      <c r="DQ214" s="472">
        <v>4.82E-2</v>
      </c>
      <c r="DR214" s="472">
        <v>4.7E-2</v>
      </c>
      <c r="DS214" s="472">
        <v>4.7399999999999998E-2</v>
      </c>
      <c r="DT214" s="472">
        <v>4.6300000000000001E-2</v>
      </c>
      <c r="DU214" s="472">
        <v>4.7199999999999999E-2</v>
      </c>
      <c r="DV214" s="472">
        <v>4.7E-2</v>
      </c>
      <c r="DW214" s="472">
        <v>4.7800000000000002E-2</v>
      </c>
      <c r="DX214" s="472">
        <v>4.7399999999999998E-2</v>
      </c>
      <c r="DY214" s="472">
        <v>4.8000000000000001E-2</v>
      </c>
      <c r="DZ214" s="472">
        <v>4.7699999999999999E-2</v>
      </c>
      <c r="EA214" s="472">
        <v>4.7100000000000003E-2</v>
      </c>
      <c r="EB214" s="472">
        <v>4.6800000000000001E-2</v>
      </c>
      <c r="EC214" s="472">
        <v>4.6800000000000001E-2</v>
      </c>
      <c r="ED214" s="472">
        <v>4.6699999999999998E-2</v>
      </c>
      <c r="EE214" s="472">
        <v>4.6699999999999998E-2</v>
      </c>
      <c r="EF214" s="472">
        <v>4.6399999999999997E-2</v>
      </c>
      <c r="EG214" s="472">
        <v>4.6800000000000001E-2</v>
      </c>
      <c r="EH214" s="472">
        <v>4.6899999999999997E-2</v>
      </c>
      <c r="EI214" s="472">
        <v>3.8199999999999998E-2</v>
      </c>
      <c r="EJ214" s="472">
        <v>3.9199999999999999E-2</v>
      </c>
      <c r="EK214" s="472">
        <v>3.7699999999999997E-2</v>
      </c>
      <c r="EL214" s="472">
        <v>3.5900000000000001E-2</v>
      </c>
      <c r="EM214" s="472">
        <v>3.27E-2</v>
      </c>
      <c r="EN214" s="472">
        <v>4.2099999999999999E-2</v>
      </c>
      <c r="EO214" s="472">
        <v>4.2999999999999997E-2</v>
      </c>
      <c r="EP214" s="472">
        <v>4.2799999999999998E-2</v>
      </c>
      <c r="EQ214" s="472">
        <v>4.3200000000000002E-2</v>
      </c>
      <c r="ER214" s="472">
        <v>4.3700000000000003E-2</v>
      </c>
      <c r="ES214" s="472">
        <v>4.4200000000000003E-2</v>
      </c>
      <c r="ET214" s="472">
        <v>4.2999999999999997E-2</v>
      </c>
      <c r="EU214" s="472">
        <v>4.3400000000000001E-2</v>
      </c>
      <c r="EV214" s="472">
        <v>4.3900000000000002E-2</v>
      </c>
      <c r="EW214" s="472">
        <v>4.2999999999999997E-2</v>
      </c>
      <c r="EX214" s="472">
        <v>3.9899999999999998E-2</v>
      </c>
      <c r="EY214" s="472">
        <v>4.2999999999999997E-2</v>
      </c>
      <c r="EZ214" s="472">
        <v>4.65E-2</v>
      </c>
      <c r="FA214" s="484">
        <v>4.65E-2</v>
      </c>
      <c r="FB214" s="484">
        <v>4.5699999999999998E-2</v>
      </c>
      <c r="FC214" s="479">
        <v>4.5499999999999999E-2</v>
      </c>
      <c r="FD214" s="479">
        <v>4.6199999999999998E-2</v>
      </c>
      <c r="FE214" s="479">
        <v>4.4699999999999997E-2</v>
      </c>
      <c r="FF214" s="479">
        <v>4.4299999999999999E-2</v>
      </c>
      <c r="FG214" s="479">
        <v>4.5100000000000001E-2</v>
      </c>
      <c r="FH214" s="479">
        <v>4.5999999999999999E-2</v>
      </c>
      <c r="FI214" s="479">
        <v>4.65E-2</v>
      </c>
      <c r="FJ214" s="479">
        <v>4.6300000000000001E-2</v>
      </c>
      <c r="FK214" s="479">
        <v>4.6199999999999998E-2</v>
      </c>
      <c r="FL214" s="479">
        <v>4.6899999999999997E-2</v>
      </c>
      <c r="FM214" s="479">
        <v>4.5999999999999999E-2</v>
      </c>
      <c r="FN214" s="479">
        <v>4.6199999999999998E-2</v>
      </c>
      <c r="FO214" s="479">
        <v>4.6300000000000001E-2</v>
      </c>
      <c r="FP214" s="479">
        <v>4.5600000000000002E-2</v>
      </c>
      <c r="FQ214" s="479">
        <v>4.7199999999999999E-2</v>
      </c>
      <c r="FR214" s="479">
        <v>4.5600000000000002E-2</v>
      </c>
      <c r="FS214" s="479">
        <v>4.3700000000000003E-2</v>
      </c>
      <c r="FT214" s="479">
        <v>4.2700000000000002E-2</v>
      </c>
      <c r="FU214" s="479">
        <v>4.1099999999999998E-2</v>
      </c>
      <c r="FV214" s="472">
        <v>4.4499999999999998E-2</v>
      </c>
      <c r="FW214" s="472">
        <v>4.4299999999999999E-2</v>
      </c>
      <c r="FX214" s="472">
        <v>4.65E-2</v>
      </c>
      <c r="FY214" s="472">
        <v>4.7E-2</v>
      </c>
      <c r="FZ214" s="472">
        <v>4.6600000000000003E-2</v>
      </c>
      <c r="GA214" s="472">
        <v>4.5999999999999999E-2</v>
      </c>
      <c r="GB214" s="472">
        <v>4.5900000000000003E-2</v>
      </c>
      <c r="GC214" s="472">
        <v>4.53E-2</v>
      </c>
      <c r="GD214" s="479">
        <v>3.7699999999999997E-2</v>
      </c>
      <c r="GE214" s="479">
        <v>3.7699999999999997E-2</v>
      </c>
      <c r="GF214" s="479">
        <v>3.7699999999999997E-2</v>
      </c>
      <c r="GG214" s="479">
        <v>3.7699999999999997E-2</v>
      </c>
      <c r="GH214" s="479">
        <v>3.7699999999999997E-2</v>
      </c>
      <c r="GI214" s="479">
        <v>3.7699999999999997E-2</v>
      </c>
      <c r="GJ214" s="479">
        <v>3.7699999999999997E-2</v>
      </c>
      <c r="GK214" s="479">
        <v>3.7699999999999997E-2</v>
      </c>
      <c r="GL214" s="479">
        <v>3.7699999999999997E-2</v>
      </c>
      <c r="GM214" s="479">
        <v>3.7699999999999997E-2</v>
      </c>
      <c r="GN214" s="479">
        <v>3.7699999999999997E-2</v>
      </c>
      <c r="GO214" s="479">
        <v>3.7699999999999997E-2</v>
      </c>
      <c r="GP214" s="479">
        <v>3.7699999999999997E-2</v>
      </c>
      <c r="GQ214" s="479">
        <v>3.7699999999999997E-2</v>
      </c>
      <c r="GR214" s="479">
        <v>3.7699999999999997E-2</v>
      </c>
      <c r="GS214" s="479">
        <v>3.7699999999999997E-2</v>
      </c>
      <c r="GT214" s="479">
        <v>3.7699999999999997E-2</v>
      </c>
      <c r="GU214" s="479">
        <v>3.7699999999999997E-2</v>
      </c>
      <c r="GV214" s="479">
        <v>3.7699999999999997E-2</v>
      </c>
      <c r="GW214" s="479">
        <v>3.7699999999999997E-2</v>
      </c>
      <c r="GX214" s="479">
        <v>3.7699999999999997E-2</v>
      </c>
      <c r="GY214" s="479">
        <v>3.7699999999999997E-2</v>
      </c>
      <c r="GZ214" s="479">
        <v>3.7699999999999997E-2</v>
      </c>
      <c r="HA214" s="479">
        <v>3.7699999999999997E-2</v>
      </c>
      <c r="HB214" s="479">
        <v>3.7699999999999997E-2</v>
      </c>
      <c r="HC214" s="479">
        <v>3.7699999999999997E-2</v>
      </c>
      <c r="HD214" s="479">
        <v>3.7699999999999997E-2</v>
      </c>
      <c r="HE214" s="479">
        <v>3.7699999999999997E-2</v>
      </c>
      <c r="HF214" s="479">
        <v>3.7699999999999997E-2</v>
      </c>
      <c r="HG214" s="479">
        <v>3.7699999999999997E-2</v>
      </c>
      <c r="HH214" s="479">
        <v>3.7699999999999997E-2</v>
      </c>
      <c r="HI214" s="479">
        <v>3.7699999999999997E-2</v>
      </c>
      <c r="HJ214" s="479">
        <v>3.7699999999999997E-2</v>
      </c>
      <c r="HK214" s="479">
        <v>3.7699999999999997E-2</v>
      </c>
      <c r="HL214" s="479">
        <v>3.7699999999999997E-2</v>
      </c>
      <c r="HM214" s="479">
        <v>3.7699999999999997E-2</v>
      </c>
      <c r="HN214" s="479">
        <v>3.7699999999999997E-2</v>
      </c>
      <c r="HO214" s="479">
        <v>3.7699999999999997E-2</v>
      </c>
      <c r="HP214" s="473">
        <f t="shared" si="78"/>
        <v>0</v>
      </c>
      <c r="HQ214" s="1154"/>
    </row>
    <row r="215" spans="2:225">
      <c r="B215" s="1127"/>
      <c r="C215" s="731" t="s">
        <v>234</v>
      </c>
      <c r="D215" s="657">
        <v>2.8199999999999999E-2</v>
      </c>
      <c r="E215" s="657">
        <v>2.8199999999999999E-2</v>
      </c>
      <c r="F215" s="657">
        <v>2.6800000000000001E-2</v>
      </c>
      <c r="G215" s="657">
        <v>2.6200000000000001E-2</v>
      </c>
      <c r="H215" s="667">
        <v>2.6599999999999999E-2</v>
      </c>
      <c r="I215" s="667">
        <v>2.6599999999999999E-2</v>
      </c>
      <c r="J215" s="657">
        <v>2.6599999999999999E-2</v>
      </c>
      <c r="K215" s="657">
        <v>2.6700000000000002E-2</v>
      </c>
      <c r="L215" s="657">
        <v>2.6800000000000001E-2</v>
      </c>
      <c r="M215" s="667">
        <v>2.64E-2</v>
      </c>
      <c r="N215" s="657">
        <v>2.64E-2</v>
      </c>
      <c r="O215" s="657">
        <v>2.69E-2</v>
      </c>
      <c r="P215" s="657">
        <v>2.6700000000000002E-2</v>
      </c>
      <c r="Q215" s="657">
        <v>2.7699999999999999E-2</v>
      </c>
      <c r="R215" s="667">
        <v>2.7199999999999998E-2</v>
      </c>
      <c r="S215" s="657">
        <v>2.7199999999999998E-2</v>
      </c>
      <c r="T215" s="583">
        <v>2.81E-2</v>
      </c>
      <c r="U215" s="583">
        <v>2.7699999999999999E-2</v>
      </c>
      <c r="V215" s="583">
        <v>2.7799999999999998E-2</v>
      </c>
      <c r="W215" s="503">
        <v>2.6799999999999997E-2</v>
      </c>
      <c r="X215" s="503">
        <v>2.6599999999999999E-2</v>
      </c>
      <c r="Y215" s="503">
        <v>2.7E-2</v>
      </c>
      <c r="Z215" s="503">
        <v>2.7799999999999998E-2</v>
      </c>
      <c r="AA215" s="503">
        <v>2.7699999999999999E-2</v>
      </c>
      <c r="AB215" s="503">
        <v>2.8200000000000003E-2</v>
      </c>
      <c r="AC215" s="503">
        <v>2.7900000000000001E-2</v>
      </c>
      <c r="AD215" s="503">
        <v>2.8500000000000001E-2</v>
      </c>
      <c r="AE215" s="503">
        <v>2.9600000000000001E-2</v>
      </c>
      <c r="AF215" s="503">
        <v>2.9899999999999999E-2</v>
      </c>
      <c r="AG215" s="503">
        <v>3.04E-2</v>
      </c>
      <c r="AH215" s="478">
        <v>0.03</v>
      </c>
      <c r="AI215" s="503">
        <v>3.0300000000000001E-2</v>
      </c>
      <c r="AJ215" s="478">
        <v>3.1800000000000002E-2</v>
      </c>
      <c r="AK215" s="503">
        <v>3.1800000000000002E-2</v>
      </c>
      <c r="AL215" s="503">
        <v>3.2199999999999999E-2</v>
      </c>
      <c r="AM215" s="503">
        <v>3.2000000000000001E-2</v>
      </c>
      <c r="AN215" s="503">
        <v>3.0800000000000001E-2</v>
      </c>
      <c r="AO215" s="503">
        <v>3.15E-2</v>
      </c>
      <c r="AP215" s="503">
        <v>3.27E-2</v>
      </c>
      <c r="AQ215" s="503">
        <v>3.2899999999999999E-2</v>
      </c>
      <c r="AR215" s="503">
        <v>3.2500000000000001E-2</v>
      </c>
      <c r="AS215" s="503">
        <f t="shared" ref="AS215:BC216" si="84">AS214</f>
        <v>3.2899999999999999E-2</v>
      </c>
      <c r="AT215" s="478">
        <f t="shared" si="84"/>
        <v>3.3099999999999997E-2</v>
      </c>
      <c r="AU215" s="478">
        <f t="shared" si="84"/>
        <v>3.3099999999999997E-2</v>
      </c>
      <c r="AV215" s="479">
        <f t="shared" si="84"/>
        <v>3.15E-2</v>
      </c>
      <c r="AW215" s="479">
        <f t="shared" si="84"/>
        <v>3.2000000000000001E-2</v>
      </c>
      <c r="AX215" s="479">
        <f t="shared" si="84"/>
        <v>3.2000000000000001E-2</v>
      </c>
      <c r="AY215" s="479">
        <f t="shared" si="84"/>
        <v>3.2000000000000001E-2</v>
      </c>
      <c r="AZ215" s="479">
        <f t="shared" si="84"/>
        <v>3.2000000000000001E-2</v>
      </c>
      <c r="BA215" s="479">
        <f t="shared" si="84"/>
        <v>3.2000000000000001E-2</v>
      </c>
      <c r="BB215" s="479">
        <f t="shared" si="84"/>
        <v>3.2000000000000001E-2</v>
      </c>
      <c r="BC215" s="479">
        <f t="shared" si="84"/>
        <v>3.2000000000000001E-2</v>
      </c>
      <c r="BD215" s="479">
        <v>3.4200000000000001E-2</v>
      </c>
      <c r="BE215" s="479">
        <v>3.4200000000000001E-2</v>
      </c>
      <c r="BF215" s="479">
        <v>3.4200000000000001E-2</v>
      </c>
      <c r="BG215" s="479">
        <v>3.3700000000000001E-2</v>
      </c>
      <c r="BH215" s="479">
        <v>3.4099999999999998E-2</v>
      </c>
      <c r="BI215" s="479">
        <v>3.4099999999999998E-2</v>
      </c>
      <c r="BJ215" s="479">
        <v>3.4099999999999998E-2</v>
      </c>
      <c r="BK215" s="479">
        <v>3.4099999999999998E-2</v>
      </c>
      <c r="BL215" s="479">
        <v>3.4099999999999998E-2</v>
      </c>
      <c r="BM215" s="479">
        <v>3.4700000000000002E-2</v>
      </c>
      <c r="BN215" s="479">
        <v>3.4700000000000002E-2</v>
      </c>
      <c r="BO215" s="479">
        <v>3.39E-2</v>
      </c>
      <c r="BP215" s="479">
        <v>3.5400000000000001E-2</v>
      </c>
      <c r="BQ215" s="479">
        <v>3.5400000000000001E-2</v>
      </c>
      <c r="BR215" s="479">
        <v>3.5299999999999998E-2</v>
      </c>
      <c r="BS215" s="479">
        <v>3.5299999999999998E-2</v>
      </c>
      <c r="BT215" s="479">
        <v>3.4200000000000001E-2</v>
      </c>
      <c r="BU215" s="479">
        <v>3.4200000000000001E-2</v>
      </c>
      <c r="BV215" s="479">
        <v>3.4200000000000001E-2</v>
      </c>
      <c r="BW215" s="479">
        <v>3.3599999999999998E-2</v>
      </c>
      <c r="BX215" s="479">
        <v>3.3599999999999998E-2</v>
      </c>
      <c r="BY215" s="479">
        <v>0.03</v>
      </c>
      <c r="BZ215" s="479">
        <v>0.03</v>
      </c>
      <c r="CA215" s="479">
        <v>3.1300000000000001E-2</v>
      </c>
      <c r="CB215" s="479">
        <v>3.2000000000000001E-2</v>
      </c>
      <c r="CC215" s="479">
        <v>3.4500000000000003E-2</v>
      </c>
      <c r="CD215" s="479">
        <v>3.49E-2</v>
      </c>
      <c r="CE215" s="479">
        <v>3.5900000000000001E-2</v>
      </c>
      <c r="CF215" s="479">
        <v>3.56E-2</v>
      </c>
      <c r="CG215" s="479">
        <v>3.5799999999999998E-2</v>
      </c>
      <c r="CH215" s="479">
        <v>4.02E-2</v>
      </c>
      <c r="CI215" s="479">
        <v>4.1000000000000002E-2</v>
      </c>
      <c r="CJ215" s="479">
        <v>4.07E-2</v>
      </c>
      <c r="CK215" s="479">
        <v>4.2299999999999997E-2</v>
      </c>
      <c r="CL215" s="479">
        <v>4.2900000000000001E-2</v>
      </c>
      <c r="CM215" s="479">
        <v>4.2799999999999998E-2</v>
      </c>
      <c r="CN215" s="479">
        <v>4.3099999999999999E-2</v>
      </c>
      <c r="CO215" s="479">
        <v>4.3900000000000002E-2</v>
      </c>
      <c r="CP215" s="479">
        <v>4.41E-2</v>
      </c>
      <c r="CQ215" s="479">
        <v>4.4499999999999998E-2</v>
      </c>
      <c r="CR215" s="479">
        <v>4.3999999999999997E-2</v>
      </c>
      <c r="CS215" s="479">
        <v>4.3999999999999997E-2</v>
      </c>
      <c r="CT215" s="479">
        <v>4.4900000000000002E-2</v>
      </c>
      <c r="CU215" s="484">
        <v>4.4900000000000002E-2</v>
      </c>
      <c r="CV215" s="479">
        <v>4.48E-2</v>
      </c>
      <c r="CW215" s="524">
        <v>4.4400000000000002E-2</v>
      </c>
      <c r="CX215" s="472">
        <v>4.3299999999999998E-2</v>
      </c>
      <c r="CY215" s="472">
        <v>4.2900000000000001E-2</v>
      </c>
      <c r="CZ215" s="472">
        <v>4.24E-2</v>
      </c>
      <c r="DA215" s="472">
        <v>4.24E-2</v>
      </c>
      <c r="DB215" s="472">
        <v>4.2299999999999997E-2</v>
      </c>
      <c r="DC215" s="484">
        <v>4.2299999999999997E-2</v>
      </c>
      <c r="DD215" s="484">
        <v>4.2700000000000002E-2</v>
      </c>
      <c r="DE215" s="472">
        <v>4.4200000000000003E-2</v>
      </c>
      <c r="DF215" s="472">
        <v>4.4200000000000003E-2</v>
      </c>
      <c r="DG215" s="472">
        <v>4.3299999999999998E-2</v>
      </c>
      <c r="DH215" s="472">
        <v>4.2599999999999999E-2</v>
      </c>
      <c r="DI215" s="472">
        <v>4.2999999999999997E-2</v>
      </c>
      <c r="DJ215" s="472">
        <v>4.19E-2</v>
      </c>
      <c r="DK215" s="472">
        <v>4.3200000000000002E-2</v>
      </c>
      <c r="DL215" s="472">
        <v>4.3200000000000002E-2</v>
      </c>
      <c r="DM215" s="472">
        <v>4.3200000000000002E-2</v>
      </c>
      <c r="DN215" s="472">
        <v>4.4499999999999998E-2</v>
      </c>
      <c r="DO215" s="472">
        <v>4.6399999999999997E-2</v>
      </c>
      <c r="DP215" s="472">
        <v>4.6300000000000001E-2</v>
      </c>
      <c r="DQ215" s="472">
        <v>4.82E-2</v>
      </c>
      <c r="DR215" s="472">
        <v>4.7500000000000001E-2</v>
      </c>
      <c r="DS215" s="472">
        <v>4.7899999999999998E-2</v>
      </c>
      <c r="DT215" s="472">
        <v>4.7300000000000002E-2</v>
      </c>
      <c r="DU215" s="472">
        <v>4.82E-2</v>
      </c>
      <c r="DV215" s="472">
        <v>4.8000000000000001E-2</v>
      </c>
      <c r="DW215" s="472">
        <v>4.8800000000000003E-2</v>
      </c>
      <c r="DX215" s="472">
        <v>4.8399999999999999E-2</v>
      </c>
      <c r="DY215" s="472">
        <v>4.9000000000000002E-2</v>
      </c>
      <c r="DZ215" s="472">
        <v>4.87E-2</v>
      </c>
      <c r="EA215" s="472">
        <v>4.8099999999999997E-2</v>
      </c>
      <c r="EB215" s="472">
        <v>4.7800000000000002E-2</v>
      </c>
      <c r="EC215" s="472">
        <v>4.7800000000000002E-2</v>
      </c>
      <c r="ED215" s="472">
        <v>4.7699999999999999E-2</v>
      </c>
      <c r="EE215" s="472">
        <v>4.7699999999999999E-2</v>
      </c>
      <c r="EF215" s="472">
        <v>4.7399999999999998E-2</v>
      </c>
      <c r="EG215" s="472">
        <v>4.7800000000000002E-2</v>
      </c>
      <c r="EH215" s="472">
        <v>4.7899999999999998E-2</v>
      </c>
      <c r="EI215" s="472">
        <v>3.8199999999999998E-2</v>
      </c>
      <c r="EJ215" s="472">
        <v>4.02E-2</v>
      </c>
      <c r="EK215" s="472">
        <v>3.8699999999999998E-2</v>
      </c>
      <c r="EL215" s="472">
        <v>3.6900000000000002E-2</v>
      </c>
      <c r="EM215" s="472">
        <v>3.3700000000000001E-2</v>
      </c>
      <c r="EN215" s="472">
        <v>4.3099999999999999E-2</v>
      </c>
      <c r="EO215" s="472">
        <v>4.2999999999999997E-2</v>
      </c>
      <c r="EP215" s="472">
        <v>4.2799999999999998E-2</v>
      </c>
      <c r="EQ215" s="472">
        <v>4.3200000000000002E-2</v>
      </c>
      <c r="ER215" s="472">
        <v>4.3700000000000003E-2</v>
      </c>
      <c r="ES215" s="472">
        <v>4.4200000000000003E-2</v>
      </c>
      <c r="ET215" s="472">
        <v>4.2999999999999997E-2</v>
      </c>
      <c r="EU215" s="472">
        <v>4.3400000000000001E-2</v>
      </c>
      <c r="EV215" s="472">
        <v>4.4400000000000002E-2</v>
      </c>
      <c r="EW215" s="472">
        <v>4.3499999999999997E-2</v>
      </c>
      <c r="EX215" s="472">
        <v>4.0399999999999998E-2</v>
      </c>
      <c r="EY215" s="472">
        <v>4.3499999999999997E-2</v>
      </c>
      <c r="EZ215" s="472">
        <v>4.7E-2</v>
      </c>
      <c r="FA215" s="484">
        <v>4.7E-2</v>
      </c>
      <c r="FB215" s="484">
        <v>4.6199999999999998E-2</v>
      </c>
      <c r="FC215" s="479">
        <v>4.5999999999999999E-2</v>
      </c>
      <c r="FD215" s="479">
        <v>4.6699999999999998E-2</v>
      </c>
      <c r="FE215" s="479">
        <v>4.5199999999999997E-2</v>
      </c>
      <c r="FF215" s="479">
        <v>4.48E-2</v>
      </c>
      <c r="FG215" s="479">
        <v>4.5600000000000002E-2</v>
      </c>
      <c r="FH215" s="479">
        <v>4.65E-2</v>
      </c>
      <c r="FI215" s="479">
        <v>4.7E-2</v>
      </c>
      <c r="FJ215" s="479">
        <v>4.6800000000000001E-2</v>
      </c>
      <c r="FK215" s="479">
        <v>4.6699999999999998E-2</v>
      </c>
      <c r="FL215" s="479">
        <v>4.7399999999999998E-2</v>
      </c>
      <c r="FM215" s="479">
        <v>4.5999999999999999E-2</v>
      </c>
      <c r="FN215" s="479">
        <v>4.6199999999999998E-2</v>
      </c>
      <c r="FO215" s="479">
        <v>4.6300000000000001E-2</v>
      </c>
      <c r="FP215" s="479">
        <v>4.5600000000000002E-2</v>
      </c>
      <c r="FQ215" s="479">
        <v>4.7199999999999999E-2</v>
      </c>
      <c r="FR215" s="479">
        <v>4.5600000000000002E-2</v>
      </c>
      <c r="FS215" s="479">
        <v>4.3700000000000003E-2</v>
      </c>
      <c r="FT215" s="479">
        <v>4.2700000000000002E-2</v>
      </c>
      <c r="FU215" s="479">
        <v>4.1099999999999998E-2</v>
      </c>
      <c r="FV215" s="472">
        <v>4.5499999999999999E-2</v>
      </c>
      <c r="FW215" s="472">
        <v>4.53E-2</v>
      </c>
      <c r="FX215" s="472">
        <v>4.7500000000000001E-2</v>
      </c>
      <c r="FY215" s="472">
        <v>4.8000000000000001E-2</v>
      </c>
      <c r="FZ215" s="472">
        <v>4.7600000000000003E-2</v>
      </c>
      <c r="GA215" s="472">
        <v>4.7E-2</v>
      </c>
      <c r="GB215" s="472">
        <v>4.6899999999999997E-2</v>
      </c>
      <c r="GC215" s="472">
        <v>4.6300000000000001E-2</v>
      </c>
      <c r="GD215" s="479">
        <v>3.8699999999999998E-2</v>
      </c>
      <c r="GE215" s="479">
        <v>3.8699999999999998E-2</v>
      </c>
      <c r="GF215" s="479">
        <v>3.8699999999999998E-2</v>
      </c>
      <c r="GG215" s="479">
        <v>3.8699999999999998E-2</v>
      </c>
      <c r="GH215" s="479">
        <v>3.8699999999999998E-2</v>
      </c>
      <c r="GI215" s="479">
        <v>3.8699999999999998E-2</v>
      </c>
      <c r="GJ215" s="479">
        <v>3.8699999999999998E-2</v>
      </c>
      <c r="GK215" s="479">
        <v>3.8699999999999998E-2</v>
      </c>
      <c r="GL215" s="479">
        <v>3.8699999999999998E-2</v>
      </c>
      <c r="GM215" s="479">
        <v>3.8699999999999998E-2</v>
      </c>
      <c r="GN215" s="479">
        <v>3.8699999999999998E-2</v>
      </c>
      <c r="GO215" s="479">
        <v>3.8699999999999998E-2</v>
      </c>
      <c r="GP215" s="479">
        <v>3.8699999999999998E-2</v>
      </c>
      <c r="GQ215" s="479">
        <v>3.8699999999999998E-2</v>
      </c>
      <c r="GR215" s="479">
        <v>3.8699999999999998E-2</v>
      </c>
      <c r="GS215" s="479">
        <v>3.8699999999999998E-2</v>
      </c>
      <c r="GT215" s="479">
        <v>3.8699999999999998E-2</v>
      </c>
      <c r="GU215" s="479">
        <v>3.8699999999999998E-2</v>
      </c>
      <c r="GV215" s="479">
        <v>3.8699999999999998E-2</v>
      </c>
      <c r="GW215" s="479">
        <v>3.8699999999999998E-2</v>
      </c>
      <c r="GX215" s="479">
        <v>3.8699999999999998E-2</v>
      </c>
      <c r="GY215" s="479">
        <v>3.8699999999999998E-2</v>
      </c>
      <c r="GZ215" s="479">
        <v>3.8699999999999998E-2</v>
      </c>
      <c r="HA215" s="479">
        <v>3.8699999999999998E-2</v>
      </c>
      <c r="HB215" s="479">
        <v>3.8699999999999998E-2</v>
      </c>
      <c r="HC215" s="479">
        <v>3.8699999999999998E-2</v>
      </c>
      <c r="HD215" s="479">
        <v>3.8699999999999998E-2</v>
      </c>
      <c r="HE215" s="479">
        <v>3.8699999999999998E-2</v>
      </c>
      <c r="HF215" s="479">
        <v>3.8699999999999998E-2</v>
      </c>
      <c r="HG215" s="479">
        <v>3.8699999999999998E-2</v>
      </c>
      <c r="HH215" s="479">
        <v>3.8699999999999998E-2</v>
      </c>
      <c r="HI215" s="479">
        <v>3.8699999999999998E-2</v>
      </c>
      <c r="HJ215" s="479">
        <v>3.8699999999999998E-2</v>
      </c>
      <c r="HK215" s="479">
        <v>3.8699999999999998E-2</v>
      </c>
      <c r="HL215" s="479">
        <v>3.8699999999999998E-2</v>
      </c>
      <c r="HM215" s="479">
        <v>3.8699999999999998E-2</v>
      </c>
      <c r="HN215" s="479">
        <v>3.8699999999999998E-2</v>
      </c>
      <c r="HO215" s="479">
        <v>3.8699999999999998E-2</v>
      </c>
      <c r="HP215" s="473">
        <f t="shared" si="78"/>
        <v>0</v>
      </c>
      <c r="HQ215" s="1154"/>
    </row>
    <row r="216" spans="2:225">
      <c r="B216" s="1128"/>
      <c r="C216" s="731" t="s">
        <v>233</v>
      </c>
      <c r="D216" s="657">
        <v>2.8199999999999999E-2</v>
      </c>
      <c r="E216" s="657">
        <v>2.8199999999999999E-2</v>
      </c>
      <c r="F216" s="657">
        <v>2.6800000000000001E-2</v>
      </c>
      <c r="G216" s="657">
        <v>2.6200000000000001E-2</v>
      </c>
      <c r="H216" s="667">
        <v>2.6599999999999999E-2</v>
      </c>
      <c r="I216" s="667">
        <v>2.6599999999999999E-2</v>
      </c>
      <c r="J216" s="657">
        <v>2.6599999999999999E-2</v>
      </c>
      <c r="K216" s="657">
        <v>2.6700000000000002E-2</v>
      </c>
      <c r="L216" s="657">
        <v>2.6800000000000001E-2</v>
      </c>
      <c r="M216" s="667">
        <v>2.64E-2</v>
      </c>
      <c r="N216" s="657">
        <v>2.64E-2</v>
      </c>
      <c r="O216" s="657">
        <v>2.69E-2</v>
      </c>
      <c r="P216" s="657">
        <v>2.6700000000000002E-2</v>
      </c>
      <c r="Q216" s="657">
        <v>2.7699999999999999E-2</v>
      </c>
      <c r="R216" s="667">
        <v>2.7199999999999998E-2</v>
      </c>
      <c r="S216" s="657">
        <v>2.7199999999999998E-2</v>
      </c>
      <c r="T216" s="583">
        <v>2.81E-2</v>
      </c>
      <c r="U216" s="583">
        <v>2.7699999999999999E-2</v>
      </c>
      <c r="V216" s="583">
        <v>2.7799999999999998E-2</v>
      </c>
      <c r="W216" s="503">
        <v>2.6799999999999997E-2</v>
      </c>
      <c r="X216" s="503">
        <v>2.6599999999999999E-2</v>
      </c>
      <c r="Y216" s="503">
        <v>2.7E-2</v>
      </c>
      <c r="Z216" s="503">
        <v>2.7799999999999998E-2</v>
      </c>
      <c r="AA216" s="503">
        <v>2.7699999999999999E-2</v>
      </c>
      <c r="AB216" s="503">
        <v>2.8200000000000003E-2</v>
      </c>
      <c r="AC216" s="503">
        <v>2.7900000000000001E-2</v>
      </c>
      <c r="AD216" s="503">
        <v>2.8500000000000001E-2</v>
      </c>
      <c r="AE216" s="503">
        <v>2.9600000000000001E-2</v>
      </c>
      <c r="AF216" s="503">
        <v>2.9899999999999999E-2</v>
      </c>
      <c r="AG216" s="503">
        <v>3.04E-2</v>
      </c>
      <c r="AH216" s="478">
        <v>0.03</v>
      </c>
      <c r="AI216" s="503">
        <v>3.0300000000000001E-2</v>
      </c>
      <c r="AJ216" s="478">
        <v>3.1800000000000002E-2</v>
      </c>
      <c r="AK216" s="503">
        <v>3.1800000000000002E-2</v>
      </c>
      <c r="AL216" s="503">
        <v>3.2199999999999999E-2</v>
      </c>
      <c r="AM216" s="503">
        <v>3.2000000000000001E-2</v>
      </c>
      <c r="AN216" s="503">
        <v>3.0800000000000001E-2</v>
      </c>
      <c r="AO216" s="503">
        <v>3.15E-2</v>
      </c>
      <c r="AP216" s="503">
        <v>3.27E-2</v>
      </c>
      <c r="AQ216" s="503">
        <v>3.2899999999999999E-2</v>
      </c>
      <c r="AR216" s="503">
        <v>3.2500000000000001E-2</v>
      </c>
      <c r="AS216" s="503">
        <f t="shared" si="84"/>
        <v>3.2899999999999999E-2</v>
      </c>
      <c r="AT216" s="478">
        <f t="shared" si="84"/>
        <v>3.3099999999999997E-2</v>
      </c>
      <c r="AU216" s="478">
        <f t="shared" si="84"/>
        <v>3.3099999999999997E-2</v>
      </c>
      <c r="AV216" s="479">
        <f t="shared" si="84"/>
        <v>3.15E-2</v>
      </c>
      <c r="AW216" s="479">
        <f t="shared" si="84"/>
        <v>3.2000000000000001E-2</v>
      </c>
      <c r="AX216" s="479">
        <f t="shared" si="84"/>
        <v>3.2000000000000001E-2</v>
      </c>
      <c r="AY216" s="479">
        <f t="shared" si="84"/>
        <v>3.2000000000000001E-2</v>
      </c>
      <c r="AZ216" s="479">
        <f t="shared" si="84"/>
        <v>3.2000000000000001E-2</v>
      </c>
      <c r="BA216" s="479">
        <f t="shared" si="84"/>
        <v>3.2000000000000001E-2</v>
      </c>
      <c r="BB216" s="479">
        <f t="shared" si="84"/>
        <v>3.2000000000000001E-2</v>
      </c>
      <c r="BC216" s="479">
        <f t="shared" si="84"/>
        <v>3.2000000000000001E-2</v>
      </c>
      <c r="BD216" s="479">
        <v>3.4200000000000001E-2</v>
      </c>
      <c r="BE216" s="479">
        <v>3.4200000000000001E-2</v>
      </c>
      <c r="BF216" s="479">
        <v>3.4200000000000001E-2</v>
      </c>
      <c r="BG216" s="479">
        <v>3.3700000000000001E-2</v>
      </c>
      <c r="BH216" s="479">
        <v>3.4099999999999998E-2</v>
      </c>
      <c r="BI216" s="479">
        <v>3.4099999999999998E-2</v>
      </c>
      <c r="BJ216" s="479">
        <v>3.4099999999999998E-2</v>
      </c>
      <c r="BK216" s="479">
        <v>3.4099999999999998E-2</v>
      </c>
      <c r="BL216" s="479">
        <v>3.4099999999999998E-2</v>
      </c>
      <c r="BM216" s="479">
        <v>3.4700000000000002E-2</v>
      </c>
      <c r="BN216" s="479">
        <v>3.4700000000000002E-2</v>
      </c>
      <c r="BO216" s="479">
        <v>3.39E-2</v>
      </c>
      <c r="BP216" s="479">
        <v>3.5400000000000001E-2</v>
      </c>
      <c r="BQ216" s="479">
        <v>3.5400000000000001E-2</v>
      </c>
      <c r="BR216" s="479">
        <v>3.5299999999999998E-2</v>
      </c>
      <c r="BS216" s="479">
        <v>3.5299999999999998E-2</v>
      </c>
      <c r="BT216" s="479">
        <v>3.4200000000000001E-2</v>
      </c>
      <c r="BU216" s="479">
        <v>3.4200000000000001E-2</v>
      </c>
      <c r="BV216" s="479">
        <v>3.4200000000000001E-2</v>
      </c>
      <c r="BW216" s="479">
        <v>3.3599999999999998E-2</v>
      </c>
      <c r="BX216" s="479">
        <v>3.3599999999999998E-2</v>
      </c>
      <c r="BY216" s="479">
        <v>0.03</v>
      </c>
      <c r="BZ216" s="479">
        <v>0.03</v>
      </c>
      <c r="CA216" s="479">
        <v>3.1300000000000001E-2</v>
      </c>
      <c r="CB216" s="479">
        <v>3.2000000000000001E-2</v>
      </c>
      <c r="CC216" s="479">
        <v>3.4500000000000003E-2</v>
      </c>
      <c r="CD216" s="479">
        <v>3.49E-2</v>
      </c>
      <c r="CE216" s="479">
        <v>3.5900000000000001E-2</v>
      </c>
      <c r="CF216" s="479">
        <v>3.56E-2</v>
      </c>
      <c r="CG216" s="479">
        <v>3.5799999999999998E-2</v>
      </c>
      <c r="CH216" s="479">
        <v>4.02E-2</v>
      </c>
      <c r="CI216" s="479">
        <v>4.1000000000000002E-2</v>
      </c>
      <c r="CJ216" s="479">
        <v>4.07E-2</v>
      </c>
      <c r="CK216" s="479">
        <v>4.2299999999999997E-2</v>
      </c>
      <c r="CL216" s="479">
        <v>4.2900000000000001E-2</v>
      </c>
      <c r="CM216" s="479">
        <v>4.2799999999999998E-2</v>
      </c>
      <c r="CN216" s="479">
        <v>4.3099999999999999E-2</v>
      </c>
      <c r="CO216" s="479">
        <v>4.3900000000000002E-2</v>
      </c>
      <c r="CP216" s="479">
        <v>4.41E-2</v>
      </c>
      <c r="CQ216" s="479">
        <v>4.4499999999999998E-2</v>
      </c>
      <c r="CR216" s="479">
        <v>4.3999999999999997E-2</v>
      </c>
      <c r="CS216" s="479">
        <v>4.3999999999999997E-2</v>
      </c>
      <c r="CT216" s="479">
        <v>4.4900000000000002E-2</v>
      </c>
      <c r="CU216" s="484">
        <v>4.4900000000000002E-2</v>
      </c>
      <c r="CV216" s="479">
        <v>4.48E-2</v>
      </c>
      <c r="CW216" s="524">
        <v>4.4400000000000002E-2</v>
      </c>
      <c r="CX216" s="472">
        <v>4.3299999999999998E-2</v>
      </c>
      <c r="CY216" s="472">
        <v>4.2900000000000001E-2</v>
      </c>
      <c r="CZ216" s="472">
        <v>4.24E-2</v>
      </c>
      <c r="DA216" s="472">
        <v>4.24E-2</v>
      </c>
      <c r="DB216" s="472">
        <v>4.2299999999999997E-2</v>
      </c>
      <c r="DC216" s="484">
        <v>4.2299999999999997E-2</v>
      </c>
      <c r="DD216" s="484">
        <v>4.2700000000000002E-2</v>
      </c>
      <c r="DE216" s="472">
        <v>4.6300000000000001E-2</v>
      </c>
      <c r="DF216" s="472">
        <v>4.6300000000000001E-2</v>
      </c>
      <c r="DG216" s="472">
        <v>4.5400000000000003E-2</v>
      </c>
      <c r="DH216" s="472">
        <v>4.4699999999999997E-2</v>
      </c>
      <c r="DI216" s="472">
        <v>4.5100000000000001E-2</v>
      </c>
      <c r="DJ216" s="472">
        <v>4.3999999999999997E-2</v>
      </c>
      <c r="DK216" s="472">
        <v>4.53E-2</v>
      </c>
      <c r="DL216" s="472">
        <v>4.53E-2</v>
      </c>
      <c r="DM216" s="472">
        <v>4.53E-2</v>
      </c>
      <c r="DN216" s="472">
        <v>4.6600000000000003E-2</v>
      </c>
      <c r="DO216" s="472">
        <v>4.8500000000000001E-2</v>
      </c>
      <c r="DP216" s="472">
        <v>4.8399999999999999E-2</v>
      </c>
      <c r="DQ216" s="472">
        <v>5.0299999999999997E-2</v>
      </c>
      <c r="DR216" s="472">
        <v>4.7800000000000002E-2</v>
      </c>
      <c r="DS216" s="472">
        <v>4.82E-2</v>
      </c>
      <c r="DT216" s="472">
        <v>4.7300000000000002E-2</v>
      </c>
      <c r="DU216" s="472">
        <v>4.82E-2</v>
      </c>
      <c r="DV216" s="472">
        <v>4.8000000000000001E-2</v>
      </c>
      <c r="DW216" s="472">
        <v>4.8800000000000003E-2</v>
      </c>
      <c r="DX216" s="472">
        <v>4.8399999999999999E-2</v>
      </c>
      <c r="DY216" s="472">
        <v>4.9000000000000002E-2</v>
      </c>
      <c r="DZ216" s="472">
        <v>4.87E-2</v>
      </c>
      <c r="EA216" s="472">
        <v>4.8099999999999997E-2</v>
      </c>
      <c r="EB216" s="472">
        <v>4.7800000000000002E-2</v>
      </c>
      <c r="EC216" s="472">
        <v>4.7800000000000002E-2</v>
      </c>
      <c r="ED216" s="472">
        <v>4.7699999999999999E-2</v>
      </c>
      <c r="EE216" s="472">
        <v>4.7699999999999999E-2</v>
      </c>
      <c r="EF216" s="472">
        <v>4.7399999999999998E-2</v>
      </c>
      <c r="EG216" s="472">
        <v>4.7800000000000002E-2</v>
      </c>
      <c r="EH216" s="472">
        <v>4.7899999999999998E-2</v>
      </c>
      <c r="EI216" s="472">
        <v>3.8699999999999998E-2</v>
      </c>
      <c r="EJ216" s="472">
        <v>4.1200000000000001E-2</v>
      </c>
      <c r="EK216" s="472">
        <v>3.9699999999999999E-2</v>
      </c>
      <c r="EL216" s="472">
        <v>3.7900000000000003E-2</v>
      </c>
      <c r="EM216" s="472">
        <v>3.4700000000000002E-2</v>
      </c>
      <c r="EN216" s="472">
        <v>4.3099999999999999E-2</v>
      </c>
      <c r="EO216" s="472">
        <v>4.2999999999999997E-2</v>
      </c>
      <c r="EP216" s="472">
        <v>4.2799999999999998E-2</v>
      </c>
      <c r="EQ216" s="472">
        <v>4.3200000000000002E-2</v>
      </c>
      <c r="ER216" s="472">
        <v>4.3700000000000003E-2</v>
      </c>
      <c r="ES216" s="472">
        <v>4.4200000000000003E-2</v>
      </c>
      <c r="ET216" s="472">
        <v>4.2999999999999997E-2</v>
      </c>
      <c r="EU216" s="472">
        <v>4.3400000000000001E-2</v>
      </c>
      <c r="EV216" s="472">
        <v>4.4400000000000002E-2</v>
      </c>
      <c r="EW216" s="472">
        <v>4.3499999999999997E-2</v>
      </c>
      <c r="EX216" s="472">
        <v>4.0399999999999998E-2</v>
      </c>
      <c r="EY216" s="472">
        <v>4.3499999999999997E-2</v>
      </c>
      <c r="EZ216" s="472">
        <v>4.7E-2</v>
      </c>
      <c r="FA216" s="484">
        <v>4.7E-2</v>
      </c>
      <c r="FB216" s="484">
        <v>4.6199999999999998E-2</v>
      </c>
      <c r="FC216" s="479">
        <v>4.5999999999999999E-2</v>
      </c>
      <c r="FD216" s="479">
        <v>4.6699999999999998E-2</v>
      </c>
      <c r="FE216" s="479">
        <v>4.5199999999999997E-2</v>
      </c>
      <c r="FF216" s="479">
        <v>4.48E-2</v>
      </c>
      <c r="FG216" s="479">
        <v>4.5600000000000002E-2</v>
      </c>
      <c r="FH216" s="479">
        <v>4.65E-2</v>
      </c>
      <c r="FI216" s="479">
        <v>4.7E-2</v>
      </c>
      <c r="FJ216" s="479">
        <v>4.6800000000000001E-2</v>
      </c>
      <c r="FK216" s="479">
        <v>4.6699999999999998E-2</v>
      </c>
      <c r="FL216" s="479">
        <v>4.7399999999999998E-2</v>
      </c>
      <c r="FM216" s="479">
        <v>4.5999999999999999E-2</v>
      </c>
      <c r="FN216" s="479">
        <v>4.6199999999999998E-2</v>
      </c>
      <c r="FO216" s="479">
        <v>4.6300000000000001E-2</v>
      </c>
      <c r="FP216" s="479">
        <v>4.5600000000000002E-2</v>
      </c>
      <c r="FQ216" s="479">
        <v>4.7199999999999999E-2</v>
      </c>
      <c r="FR216" s="479">
        <v>4.5600000000000002E-2</v>
      </c>
      <c r="FS216" s="479">
        <v>4.4200000000000003E-2</v>
      </c>
      <c r="FT216" s="479">
        <v>4.3200000000000002E-2</v>
      </c>
      <c r="FU216" s="479">
        <v>4.1599999999999998E-2</v>
      </c>
      <c r="FV216" s="472">
        <v>4.5499999999999999E-2</v>
      </c>
      <c r="FW216" s="472">
        <v>4.53E-2</v>
      </c>
      <c r="FX216" s="472">
        <v>4.7500000000000001E-2</v>
      </c>
      <c r="FY216" s="472">
        <v>4.8000000000000001E-2</v>
      </c>
      <c r="FZ216" s="472">
        <v>4.7600000000000003E-2</v>
      </c>
      <c r="GA216" s="472">
        <v>4.7E-2</v>
      </c>
      <c r="GB216" s="472">
        <v>4.6899999999999997E-2</v>
      </c>
      <c r="GC216" s="472">
        <v>4.6300000000000001E-2</v>
      </c>
      <c r="GD216" s="479">
        <v>3.9699999999999999E-2</v>
      </c>
      <c r="GE216" s="479">
        <v>3.9699999999999999E-2</v>
      </c>
      <c r="GF216" s="479">
        <v>3.9699999999999999E-2</v>
      </c>
      <c r="GG216" s="479">
        <v>3.9699999999999999E-2</v>
      </c>
      <c r="GH216" s="479">
        <v>3.9699999999999999E-2</v>
      </c>
      <c r="GI216" s="479">
        <v>3.9699999999999999E-2</v>
      </c>
      <c r="GJ216" s="479">
        <v>3.9699999999999999E-2</v>
      </c>
      <c r="GK216" s="479">
        <v>3.9699999999999999E-2</v>
      </c>
      <c r="GL216" s="479">
        <v>3.9699999999999999E-2</v>
      </c>
      <c r="GM216" s="479">
        <v>3.9699999999999999E-2</v>
      </c>
      <c r="GN216" s="479">
        <v>3.9699999999999999E-2</v>
      </c>
      <c r="GO216" s="479">
        <v>3.9699999999999999E-2</v>
      </c>
      <c r="GP216" s="479">
        <v>3.9699999999999999E-2</v>
      </c>
      <c r="GQ216" s="479">
        <v>3.9699999999999999E-2</v>
      </c>
      <c r="GR216" s="479">
        <v>3.9699999999999999E-2</v>
      </c>
      <c r="GS216" s="479">
        <v>3.9699999999999999E-2</v>
      </c>
      <c r="GT216" s="479">
        <v>3.9699999999999999E-2</v>
      </c>
      <c r="GU216" s="479">
        <v>3.9699999999999999E-2</v>
      </c>
      <c r="GV216" s="479">
        <v>3.9699999999999999E-2</v>
      </c>
      <c r="GW216" s="479">
        <v>3.9699999999999999E-2</v>
      </c>
      <c r="GX216" s="479">
        <v>3.9699999999999999E-2</v>
      </c>
      <c r="GY216" s="479">
        <v>3.9699999999999999E-2</v>
      </c>
      <c r="GZ216" s="479">
        <v>3.9699999999999999E-2</v>
      </c>
      <c r="HA216" s="479">
        <v>3.9699999999999999E-2</v>
      </c>
      <c r="HB216" s="479">
        <v>3.9699999999999999E-2</v>
      </c>
      <c r="HC216" s="479">
        <v>3.9699999999999999E-2</v>
      </c>
      <c r="HD216" s="479">
        <v>3.9699999999999999E-2</v>
      </c>
      <c r="HE216" s="479">
        <v>3.9699999999999999E-2</v>
      </c>
      <c r="HF216" s="479">
        <v>3.9699999999999999E-2</v>
      </c>
      <c r="HG216" s="479">
        <v>3.9699999999999999E-2</v>
      </c>
      <c r="HH216" s="479">
        <v>3.9699999999999999E-2</v>
      </c>
      <c r="HI216" s="479">
        <v>3.9699999999999999E-2</v>
      </c>
      <c r="HJ216" s="479">
        <v>3.9699999999999999E-2</v>
      </c>
      <c r="HK216" s="479">
        <v>3.9699999999999999E-2</v>
      </c>
      <c r="HL216" s="479">
        <v>3.9699999999999999E-2</v>
      </c>
      <c r="HM216" s="479">
        <v>3.9699999999999999E-2</v>
      </c>
      <c r="HN216" s="479">
        <v>3.9699999999999999E-2</v>
      </c>
      <c r="HO216" s="479">
        <v>3.9699999999999999E-2</v>
      </c>
      <c r="HP216" s="473">
        <f t="shared" si="78"/>
        <v>0</v>
      </c>
      <c r="HQ216" s="1155"/>
    </row>
    <row r="217" spans="2:225">
      <c r="B217" s="1123" t="s">
        <v>46</v>
      </c>
      <c r="C217" s="730" t="s">
        <v>232</v>
      </c>
      <c r="D217" s="502">
        <v>2.4976000000000002E-2</v>
      </c>
      <c r="E217" s="502">
        <v>2.4976000000000002E-2</v>
      </c>
      <c r="F217" s="502">
        <v>2.4258999999999999E-2</v>
      </c>
      <c r="G217" s="502">
        <v>2.4139000000000001E-2</v>
      </c>
      <c r="H217" s="502">
        <v>2.3733000000000001E-2</v>
      </c>
      <c r="I217" s="502">
        <v>2.4799999999999999E-2</v>
      </c>
      <c r="J217" s="502">
        <v>2.47E-2</v>
      </c>
      <c r="K217" s="502">
        <v>2.4764000000000001E-2</v>
      </c>
      <c r="L217" s="502">
        <v>2.4261000000000001E-2</v>
      </c>
      <c r="M217" s="502">
        <v>2.3737999999999999E-2</v>
      </c>
      <c r="N217" s="502">
        <v>2.3741999999999999E-2</v>
      </c>
      <c r="O217" s="502">
        <v>2.3975E-2</v>
      </c>
      <c r="P217" s="502">
        <v>2.4187E-2</v>
      </c>
      <c r="Q217" s="502">
        <v>2.4851000000000002E-2</v>
      </c>
      <c r="R217" s="502">
        <v>2.4757000000000001E-2</v>
      </c>
      <c r="S217" s="502">
        <v>2.4754999999999999E-2</v>
      </c>
      <c r="T217" s="502">
        <v>2.5458000000000001E-2</v>
      </c>
      <c r="U217" s="502">
        <v>2.5047E-2</v>
      </c>
      <c r="V217" s="502">
        <v>2.5617999999999998E-2</v>
      </c>
      <c r="W217" s="502">
        <v>2.4468E-2</v>
      </c>
      <c r="X217" s="502">
        <v>2.4173E-2</v>
      </c>
      <c r="Y217" s="502">
        <v>2.4974E-2</v>
      </c>
      <c r="Z217" s="502">
        <v>2.5513999999999998E-2</v>
      </c>
      <c r="AA217" s="502">
        <v>2.6325000000000001E-2</v>
      </c>
      <c r="AB217" s="502">
        <v>2.5680999999999999E-2</v>
      </c>
      <c r="AC217" s="500">
        <v>2.5538000000000002E-2</v>
      </c>
      <c r="AD217" s="500">
        <v>2.5430000000000001E-2</v>
      </c>
      <c r="AE217" s="502">
        <v>2.7165000000000002E-2</v>
      </c>
      <c r="AF217" s="502">
        <v>2.7479E-2</v>
      </c>
      <c r="AG217" s="502">
        <v>2.7969999999999998E-2</v>
      </c>
      <c r="AH217" s="481">
        <v>2.7907999999999999E-2</v>
      </c>
      <c r="AI217" s="480">
        <v>2.7621E-2</v>
      </c>
      <c r="AJ217" s="480">
        <v>2.9541000000000001E-2</v>
      </c>
      <c r="AK217" s="481">
        <v>2.9263000000000001E-2</v>
      </c>
      <c r="AL217" s="482">
        <v>2.9277000000000001E-2</v>
      </c>
      <c r="AM217" s="480">
        <v>2.9277999999999998E-2</v>
      </c>
      <c r="AN217" s="480">
        <v>2.8348000000000002E-2</v>
      </c>
      <c r="AO217" s="480">
        <v>2.9135000000000001E-2</v>
      </c>
      <c r="AP217" s="480">
        <v>3.0023000000000001E-2</v>
      </c>
      <c r="AQ217" s="480">
        <v>3.0300000000000001E-2</v>
      </c>
      <c r="AR217" s="480">
        <v>2.9899999999999999E-2</v>
      </c>
      <c r="AS217" s="480">
        <v>3.0006000000000001E-2</v>
      </c>
      <c r="AT217" s="481">
        <v>3.0133E-2</v>
      </c>
      <c r="AU217" s="481">
        <v>3.0133E-2</v>
      </c>
      <c r="AV217" s="480">
        <v>2.8431999999999999E-2</v>
      </c>
      <c r="AW217" s="483">
        <v>2.8518000000000002E-2</v>
      </c>
      <c r="AX217" s="483">
        <v>3.0078000000000001E-2</v>
      </c>
      <c r="AY217" s="483">
        <v>3.0078000000000001E-2</v>
      </c>
      <c r="AZ217" s="483">
        <v>3.0078000000000001E-2</v>
      </c>
      <c r="BA217" s="483">
        <v>3.0078000000000001E-2</v>
      </c>
      <c r="BB217" s="483">
        <v>3.0078000000000001E-2</v>
      </c>
      <c r="BC217" s="483">
        <v>3.0078000000000001E-2</v>
      </c>
      <c r="BD217" s="482">
        <v>3.1600000000000003E-2</v>
      </c>
      <c r="BE217" s="482">
        <v>3.1600000000000003E-2</v>
      </c>
      <c r="BF217" s="482">
        <v>3.1600000000000003E-2</v>
      </c>
      <c r="BG217" s="482">
        <v>3.1600000000000003E-2</v>
      </c>
      <c r="BH217" s="482">
        <v>3.1600000000000003E-2</v>
      </c>
      <c r="BI217" s="482">
        <v>3.1600000000000003E-2</v>
      </c>
      <c r="BJ217" s="482">
        <v>3.1600000000000003E-2</v>
      </c>
      <c r="BK217" s="482">
        <v>3.1600000000000003E-2</v>
      </c>
      <c r="BL217" s="482">
        <v>3.1600000000000003E-2</v>
      </c>
      <c r="BM217" s="482">
        <v>3.1600000000000003E-2</v>
      </c>
      <c r="BN217" s="482">
        <v>3.1278E-2</v>
      </c>
      <c r="BO217" s="482">
        <v>3.0809E-2</v>
      </c>
      <c r="BP217" s="482">
        <v>3.2541E-2</v>
      </c>
      <c r="BQ217" s="482">
        <v>3.2541E-2</v>
      </c>
      <c r="BR217" s="482">
        <v>3.1699999999999999E-2</v>
      </c>
      <c r="BS217" s="482">
        <v>3.1699999999999999E-2</v>
      </c>
      <c r="BT217" s="482">
        <v>3.0897000000000001E-2</v>
      </c>
      <c r="BU217" s="482">
        <v>3.0897000000000001E-2</v>
      </c>
      <c r="BV217" s="482">
        <v>3.0897000000000001E-2</v>
      </c>
      <c r="BW217" s="482">
        <v>3.0897000000000001E-2</v>
      </c>
      <c r="BX217" s="482">
        <v>2.7452000000000001E-2</v>
      </c>
      <c r="BY217" s="482">
        <v>2.7452000000000001E-2</v>
      </c>
      <c r="BZ217" s="482">
        <v>2.7452000000000001E-2</v>
      </c>
      <c r="CA217" s="482">
        <v>2.7956000000000002E-2</v>
      </c>
      <c r="CB217" s="482">
        <v>2.9444000000000001E-2</v>
      </c>
      <c r="CC217" s="482">
        <v>3.1676999999999997E-2</v>
      </c>
      <c r="CD217" s="482">
        <v>3.211E-2</v>
      </c>
      <c r="CE217" s="482">
        <v>3.3283E-2</v>
      </c>
      <c r="CF217" s="482">
        <v>3.313E-2</v>
      </c>
      <c r="CG217" s="482">
        <v>3.2426000000000003E-2</v>
      </c>
      <c r="CH217" s="482">
        <v>3.7028999999999999E-2</v>
      </c>
      <c r="CI217" s="482">
        <v>3.7714999999999999E-2</v>
      </c>
      <c r="CJ217" s="482">
        <v>3.7858000000000003E-2</v>
      </c>
      <c r="CK217" s="482">
        <v>3.9059000000000003E-2</v>
      </c>
      <c r="CL217" s="482">
        <v>4.0002999999999997E-2</v>
      </c>
      <c r="CM217" s="482">
        <v>3.9909E-2</v>
      </c>
      <c r="CN217" s="482">
        <v>3.9781999999999998E-2</v>
      </c>
      <c r="CO217" s="482">
        <v>4.0897000000000003E-2</v>
      </c>
      <c r="CP217" s="482">
        <v>4.1334999999999997E-2</v>
      </c>
      <c r="CQ217" s="482">
        <v>4.0502999999999997E-2</v>
      </c>
      <c r="CR217" s="482">
        <v>3.9893999999999999E-2</v>
      </c>
      <c r="CS217" s="482">
        <v>4.002E-2</v>
      </c>
      <c r="CT217" s="482">
        <v>3.9871999999999998E-2</v>
      </c>
      <c r="CU217" s="482">
        <v>4.0864999999999999E-2</v>
      </c>
      <c r="CV217" s="482">
        <v>4.0660000000000002E-2</v>
      </c>
      <c r="CW217" s="542">
        <v>4.0219999999999999E-2</v>
      </c>
      <c r="CX217" s="543">
        <v>3.9024999999999997E-2</v>
      </c>
      <c r="CY217" s="543">
        <v>3.9224000000000002E-2</v>
      </c>
      <c r="CZ217" s="543">
        <v>3.8428999999999998E-2</v>
      </c>
      <c r="DA217" s="543">
        <v>3.8323999999999997E-2</v>
      </c>
      <c r="DB217" s="543">
        <v>3.8323999999999997E-2</v>
      </c>
      <c r="DC217" s="544">
        <v>3.9856000000000003E-2</v>
      </c>
      <c r="DD217" s="544">
        <v>4.0438000000000002E-2</v>
      </c>
      <c r="DE217" s="543">
        <v>3.85E-2</v>
      </c>
      <c r="DF217" s="543">
        <v>3.85E-2</v>
      </c>
      <c r="DG217" s="543">
        <v>3.8093000000000002E-2</v>
      </c>
      <c r="DH217" s="543">
        <v>3.7393999999999997E-2</v>
      </c>
      <c r="DI217" s="543">
        <v>3.7850000000000002E-2</v>
      </c>
      <c r="DJ217" s="543">
        <v>3.603E-2</v>
      </c>
      <c r="DK217" s="543">
        <v>3.7705000000000002E-2</v>
      </c>
      <c r="DL217" s="543">
        <v>3.7200999999999998E-2</v>
      </c>
      <c r="DM217" s="543">
        <v>3.7261000000000002E-2</v>
      </c>
      <c r="DN217" s="543">
        <v>3.8693999999999999E-2</v>
      </c>
      <c r="DO217" s="543">
        <v>4.0807000000000003E-2</v>
      </c>
      <c r="DP217" s="543">
        <v>4.0009999999999997E-2</v>
      </c>
      <c r="DQ217" s="543">
        <v>4.2138000000000002E-2</v>
      </c>
      <c r="DR217" s="543">
        <v>4.1915000000000001E-2</v>
      </c>
      <c r="DS217" s="543">
        <v>4.2116000000000001E-2</v>
      </c>
      <c r="DT217" s="543">
        <v>4.2116000000000001E-2</v>
      </c>
      <c r="DU217" s="543">
        <v>4.3173999999999997E-2</v>
      </c>
      <c r="DV217" s="543">
        <v>4.3340999999999998E-2</v>
      </c>
      <c r="DW217" s="543">
        <v>4.3535999999999998E-2</v>
      </c>
      <c r="DX217" s="543">
        <v>4.3957000000000003E-2</v>
      </c>
      <c r="DY217" s="543">
        <v>4.4356E-2</v>
      </c>
      <c r="DZ217" s="543">
        <v>4.4042999999999999E-2</v>
      </c>
      <c r="EA217" s="543">
        <v>4.3713000000000002E-2</v>
      </c>
      <c r="EB217" s="543">
        <v>4.2757000000000003E-2</v>
      </c>
      <c r="EC217" s="543">
        <v>4.4163000000000001E-2</v>
      </c>
      <c r="ED217" s="543">
        <v>4.3149E-2</v>
      </c>
      <c r="EE217" s="543">
        <v>4.3149E-2</v>
      </c>
      <c r="EF217" s="543">
        <v>4.3149E-2</v>
      </c>
      <c r="EG217" s="543">
        <v>4.3029999999999999E-2</v>
      </c>
      <c r="EH217" s="543">
        <v>4.3029999999999999E-2</v>
      </c>
      <c r="EI217" s="483">
        <v>3.2421999999999999E-2</v>
      </c>
      <c r="EJ217" s="483">
        <v>3.5795E-2</v>
      </c>
      <c r="EK217" s="483">
        <v>3.4263000000000002E-2</v>
      </c>
      <c r="EL217" s="483">
        <v>3.0046E-2</v>
      </c>
      <c r="EM217" s="483">
        <v>3.2513E-2</v>
      </c>
      <c r="EN217" s="483">
        <v>3.8373999999999998E-2</v>
      </c>
      <c r="EO217" s="483">
        <v>3.6313999999999999E-2</v>
      </c>
      <c r="EP217" s="483">
        <v>3.6020999999999997E-2</v>
      </c>
      <c r="EQ217" s="483">
        <v>3.8359999999999998E-2</v>
      </c>
      <c r="ER217" s="483">
        <v>3.8273000000000001E-2</v>
      </c>
      <c r="ES217" s="483">
        <v>3.7483000000000002E-2</v>
      </c>
      <c r="ET217" s="483">
        <v>3.6497000000000002E-2</v>
      </c>
      <c r="EU217" s="483">
        <v>3.6845000000000003E-2</v>
      </c>
      <c r="EV217" s="483">
        <v>3.5862999999999999E-2</v>
      </c>
      <c r="EW217" s="483">
        <v>3.6412E-2</v>
      </c>
      <c r="EX217" s="483">
        <v>3.1119999999999998E-2</v>
      </c>
      <c r="EY217" s="483">
        <v>3.6560000000000002E-2</v>
      </c>
      <c r="EZ217" s="483">
        <v>4.3310000000000001E-2</v>
      </c>
      <c r="FA217" s="485">
        <v>4.1368000000000002E-2</v>
      </c>
      <c r="FB217" s="485">
        <v>4.1368000000000002E-2</v>
      </c>
      <c r="FC217" s="486">
        <v>4.0971E-2</v>
      </c>
      <c r="FD217" s="486">
        <v>3.9016000000000002E-2</v>
      </c>
      <c r="FE217" s="486">
        <v>3.8448000000000003E-2</v>
      </c>
      <c r="FF217" s="486">
        <v>3.8052000000000002E-2</v>
      </c>
      <c r="FG217" s="486">
        <v>3.8223E-2</v>
      </c>
      <c r="FH217" s="486">
        <v>3.9143999999999998E-2</v>
      </c>
      <c r="FI217" s="486">
        <v>3.8719000000000003E-2</v>
      </c>
      <c r="FJ217" s="486">
        <v>3.8010000000000002E-2</v>
      </c>
      <c r="FK217" s="486">
        <v>3.7902999999999999E-2</v>
      </c>
      <c r="FL217" s="486">
        <v>3.9016000000000002E-2</v>
      </c>
      <c r="FM217" s="486">
        <v>3.8434000000000003E-2</v>
      </c>
      <c r="FN217" s="486">
        <v>3.9114999999999997E-2</v>
      </c>
      <c r="FO217" s="486">
        <v>3.8629999999999998E-2</v>
      </c>
      <c r="FP217" s="486">
        <v>3.7206000000000003E-2</v>
      </c>
      <c r="FQ217" s="486">
        <v>3.9294999999999997E-2</v>
      </c>
      <c r="FR217" s="486">
        <v>3.7693999999999998E-2</v>
      </c>
      <c r="FS217" s="486">
        <v>3.7385000000000002E-2</v>
      </c>
      <c r="FT217" s="486">
        <v>3.6895999999999998E-2</v>
      </c>
      <c r="FU217" s="486">
        <v>3.3321999999999997E-2</v>
      </c>
      <c r="FV217" s="483">
        <v>4.0425000000000003E-2</v>
      </c>
      <c r="FW217" s="483">
        <v>4.0516999999999997E-2</v>
      </c>
      <c r="FX217" s="543">
        <v>4.3586E-2</v>
      </c>
      <c r="FY217" s="543">
        <v>4.3586E-2</v>
      </c>
      <c r="FZ217" s="543">
        <v>4.3215000000000003E-2</v>
      </c>
      <c r="GA217" s="543">
        <v>4.2335999999999999E-2</v>
      </c>
      <c r="GB217" s="543">
        <v>4.2166000000000002E-2</v>
      </c>
      <c r="GC217" s="543">
        <v>4.1086999999999999E-2</v>
      </c>
      <c r="GD217" s="486">
        <v>3.4263000000000002E-2</v>
      </c>
      <c r="GE217" s="486">
        <v>3.4263000000000002E-2</v>
      </c>
      <c r="GF217" s="486">
        <v>3.4263000000000002E-2</v>
      </c>
      <c r="GG217" s="486">
        <v>3.4263000000000002E-2</v>
      </c>
      <c r="GH217" s="486">
        <v>3.4263000000000002E-2</v>
      </c>
      <c r="GI217" s="486">
        <v>3.4263000000000002E-2</v>
      </c>
      <c r="GJ217" s="486">
        <v>3.4263000000000002E-2</v>
      </c>
      <c r="GK217" s="486">
        <v>3.4263000000000002E-2</v>
      </c>
      <c r="GL217" s="486">
        <v>3.4263000000000002E-2</v>
      </c>
      <c r="GM217" s="486">
        <v>3.4263000000000002E-2</v>
      </c>
      <c r="GN217" s="486">
        <v>3.4263000000000002E-2</v>
      </c>
      <c r="GO217" s="486">
        <v>3.4263000000000002E-2</v>
      </c>
      <c r="GP217" s="486">
        <v>3.4263000000000002E-2</v>
      </c>
      <c r="GQ217" s="486">
        <v>3.4263000000000002E-2</v>
      </c>
      <c r="GR217" s="486">
        <v>3.4263000000000002E-2</v>
      </c>
      <c r="GS217" s="486">
        <v>3.4263000000000002E-2</v>
      </c>
      <c r="GT217" s="486">
        <v>3.4263000000000002E-2</v>
      </c>
      <c r="GU217" s="486">
        <v>3.4263000000000002E-2</v>
      </c>
      <c r="GV217" s="486">
        <v>3.4263000000000002E-2</v>
      </c>
      <c r="GW217" s="486">
        <v>3.4263000000000002E-2</v>
      </c>
      <c r="GX217" s="486">
        <v>3.4263000000000002E-2</v>
      </c>
      <c r="GY217" s="486">
        <v>3.4263000000000002E-2</v>
      </c>
      <c r="GZ217" s="486">
        <v>3.4263000000000002E-2</v>
      </c>
      <c r="HA217" s="486">
        <v>3.4263000000000002E-2</v>
      </c>
      <c r="HB217" s="486">
        <v>3.4263000000000002E-2</v>
      </c>
      <c r="HC217" s="486">
        <v>3.4263000000000002E-2</v>
      </c>
      <c r="HD217" s="486">
        <v>3.4263000000000002E-2</v>
      </c>
      <c r="HE217" s="486">
        <v>3.4263000000000002E-2</v>
      </c>
      <c r="HF217" s="486">
        <v>3.4263000000000002E-2</v>
      </c>
      <c r="HG217" s="486">
        <v>3.4263000000000002E-2</v>
      </c>
      <c r="HH217" s="486">
        <v>3.4263000000000002E-2</v>
      </c>
      <c r="HI217" s="486">
        <v>3.4263000000000002E-2</v>
      </c>
      <c r="HJ217" s="486">
        <v>3.4263000000000002E-2</v>
      </c>
      <c r="HK217" s="486">
        <v>3.4263000000000002E-2</v>
      </c>
      <c r="HL217" s="486">
        <v>3.4263000000000002E-2</v>
      </c>
      <c r="HM217" s="486">
        <v>3.4263000000000002E-2</v>
      </c>
      <c r="HN217" s="486">
        <v>3.4263000000000002E-2</v>
      </c>
      <c r="HO217" s="486">
        <v>3.4263000000000002E-2</v>
      </c>
      <c r="HP217" s="473">
        <f t="shared" si="78"/>
        <v>0</v>
      </c>
      <c r="HQ217" s="1135"/>
    </row>
    <row r="218" spans="2:225">
      <c r="B218" s="1124"/>
      <c r="C218" s="730" t="s">
        <v>231</v>
      </c>
      <c r="D218" s="502">
        <v>2.5975999999999999E-2</v>
      </c>
      <c r="E218" s="502">
        <v>2.5975999999999999E-2</v>
      </c>
      <c r="F218" s="502">
        <v>2.5259E-2</v>
      </c>
      <c r="G218" s="502">
        <v>2.5139000000000002E-2</v>
      </c>
      <c r="H218" s="502">
        <v>2.4733000000000002E-2</v>
      </c>
      <c r="I218" s="502">
        <v>2.58E-2</v>
      </c>
      <c r="J218" s="502">
        <v>2.5700000000000001E-2</v>
      </c>
      <c r="K218" s="502">
        <v>2.5763999999999999E-2</v>
      </c>
      <c r="L218" s="502">
        <v>2.5260999999999999E-2</v>
      </c>
      <c r="M218" s="502">
        <v>2.4738E-2</v>
      </c>
      <c r="N218" s="502">
        <v>2.4742E-2</v>
      </c>
      <c r="O218" s="502">
        <v>2.4975000000000001E-2</v>
      </c>
      <c r="P218" s="502">
        <v>2.5187000000000001E-2</v>
      </c>
      <c r="Q218" s="502">
        <v>2.5850999999999999E-2</v>
      </c>
      <c r="R218" s="502">
        <v>2.5756999999999999E-2</v>
      </c>
      <c r="S218" s="502">
        <v>2.5755E-2</v>
      </c>
      <c r="T218" s="502">
        <v>2.6457999999999999E-2</v>
      </c>
      <c r="U218" s="502">
        <v>2.6047000000000001E-2</v>
      </c>
      <c r="V218" s="502">
        <v>2.6617999999999999E-2</v>
      </c>
      <c r="W218" s="502">
        <v>2.5468000000000001E-2</v>
      </c>
      <c r="X218" s="502">
        <v>2.5173000000000001E-2</v>
      </c>
      <c r="Y218" s="502">
        <v>2.5974000000000001E-2</v>
      </c>
      <c r="Z218" s="502">
        <v>2.6513999999999999E-2</v>
      </c>
      <c r="AA218" s="502">
        <v>2.7324999999999999E-2</v>
      </c>
      <c r="AB218" s="502">
        <v>2.6681E-2</v>
      </c>
      <c r="AC218" s="500">
        <v>2.6537999999999999E-2</v>
      </c>
      <c r="AD218" s="500">
        <v>2.6429999999999999E-2</v>
      </c>
      <c r="AE218" s="502">
        <v>2.8164999999999999E-2</v>
      </c>
      <c r="AF218" s="502">
        <v>2.8479000000000001E-2</v>
      </c>
      <c r="AG218" s="502">
        <v>2.8969999999999999E-2</v>
      </c>
      <c r="AH218" s="481">
        <v>2.8908E-2</v>
      </c>
      <c r="AI218" s="480">
        <v>2.8621000000000001E-2</v>
      </c>
      <c r="AJ218" s="480">
        <v>3.0540999999999999E-2</v>
      </c>
      <c r="AK218" s="481">
        <v>3.0263000000000002E-2</v>
      </c>
      <c r="AL218" s="482">
        <v>3.0276999999999998E-2</v>
      </c>
      <c r="AM218" s="480">
        <v>3.0277999999999999E-2</v>
      </c>
      <c r="AN218" s="480">
        <v>3.9348000000000001E-2</v>
      </c>
      <c r="AO218" s="480">
        <v>3.0134999999999999E-2</v>
      </c>
      <c r="AP218" s="480">
        <v>3.1022999999999998E-2</v>
      </c>
      <c r="AQ218" s="480">
        <v>3.1300000000000001E-2</v>
      </c>
      <c r="AR218" s="480">
        <f t="shared" ref="AR218:BC219" si="85">AR217+0.1%</f>
        <v>3.09E-2</v>
      </c>
      <c r="AS218" s="480">
        <f t="shared" si="85"/>
        <v>3.1006000000000002E-2</v>
      </c>
      <c r="AT218" s="481">
        <f t="shared" si="85"/>
        <v>3.1133000000000001E-2</v>
      </c>
      <c r="AU218" s="481">
        <f t="shared" si="85"/>
        <v>3.1133000000000001E-2</v>
      </c>
      <c r="AV218" s="480">
        <f t="shared" si="85"/>
        <v>2.9432E-2</v>
      </c>
      <c r="AW218" s="483">
        <f t="shared" si="85"/>
        <v>2.9518000000000003E-2</v>
      </c>
      <c r="AX218" s="483">
        <f t="shared" si="85"/>
        <v>3.1078000000000001E-2</v>
      </c>
      <c r="AY218" s="483">
        <f t="shared" si="85"/>
        <v>3.1078000000000001E-2</v>
      </c>
      <c r="AZ218" s="483">
        <f t="shared" si="85"/>
        <v>3.1078000000000001E-2</v>
      </c>
      <c r="BA218" s="483">
        <f t="shared" si="85"/>
        <v>3.1078000000000001E-2</v>
      </c>
      <c r="BB218" s="483">
        <f t="shared" si="85"/>
        <v>3.1078000000000001E-2</v>
      </c>
      <c r="BC218" s="483">
        <f t="shared" si="85"/>
        <v>3.1078000000000001E-2</v>
      </c>
      <c r="BD218" s="482">
        <v>3.2599999999999997E-2</v>
      </c>
      <c r="BE218" s="482">
        <v>3.2599999999999997E-2</v>
      </c>
      <c r="BF218" s="482">
        <v>3.2599999999999997E-2</v>
      </c>
      <c r="BG218" s="482">
        <v>3.2599999999999997E-2</v>
      </c>
      <c r="BH218" s="482">
        <v>3.2599999999999997E-2</v>
      </c>
      <c r="BI218" s="482">
        <v>3.2599999999999997E-2</v>
      </c>
      <c r="BJ218" s="482">
        <v>3.2599999999999997E-2</v>
      </c>
      <c r="BK218" s="482">
        <v>3.2599999999999997E-2</v>
      </c>
      <c r="BL218" s="482">
        <v>3.2599999999999997E-2</v>
      </c>
      <c r="BM218" s="482">
        <v>3.2599999999999997E-2</v>
      </c>
      <c r="BN218" s="482">
        <v>3.2278000000000001E-2</v>
      </c>
      <c r="BO218" s="482">
        <v>3.1808999999999997E-2</v>
      </c>
      <c r="BP218" s="482">
        <v>3.3541000000000001E-2</v>
      </c>
      <c r="BQ218" s="482">
        <v>3.3541000000000001E-2</v>
      </c>
      <c r="BR218" s="482">
        <v>3.27E-2</v>
      </c>
      <c r="BS218" s="482">
        <v>3.27E-2</v>
      </c>
      <c r="BT218" s="482">
        <v>3.1897000000000002E-2</v>
      </c>
      <c r="BU218" s="482">
        <v>3.1897000000000002E-2</v>
      </c>
      <c r="BV218" s="482">
        <v>3.1897000000000002E-2</v>
      </c>
      <c r="BW218" s="482">
        <v>3.1897000000000002E-2</v>
      </c>
      <c r="BX218" s="482">
        <v>2.8452000000000002E-2</v>
      </c>
      <c r="BY218" s="482">
        <v>2.8452000000000002E-2</v>
      </c>
      <c r="BZ218" s="482">
        <v>2.8452000000000002E-2</v>
      </c>
      <c r="CA218" s="482">
        <v>2.8955999999999999E-2</v>
      </c>
      <c r="CB218" s="482">
        <v>3.0443999999999999E-2</v>
      </c>
      <c r="CC218" s="482">
        <v>3.2676999999999998E-2</v>
      </c>
      <c r="CD218" s="482">
        <v>3.3110000000000001E-2</v>
      </c>
      <c r="CE218" s="482">
        <v>3.4283000000000001E-2</v>
      </c>
      <c r="CF218" s="482">
        <v>3.4130000000000001E-2</v>
      </c>
      <c r="CG218" s="482">
        <v>3.3425999999999997E-2</v>
      </c>
      <c r="CH218" s="482">
        <v>3.8029E-2</v>
      </c>
      <c r="CI218" s="482">
        <v>3.8714999999999999E-2</v>
      </c>
      <c r="CJ218" s="482">
        <v>3.8857999999999997E-2</v>
      </c>
      <c r="CK218" s="482">
        <v>4.0058999999999997E-2</v>
      </c>
      <c r="CL218" s="482">
        <v>4.1002999999999998E-2</v>
      </c>
      <c r="CM218" s="482">
        <v>4.0909000000000001E-2</v>
      </c>
      <c r="CN218" s="482">
        <v>4.0781999999999999E-2</v>
      </c>
      <c r="CO218" s="482">
        <v>4.1896999999999997E-2</v>
      </c>
      <c r="CP218" s="482">
        <v>4.2334999999999998E-2</v>
      </c>
      <c r="CQ218" s="482">
        <v>4.1502999999999998E-2</v>
      </c>
      <c r="CR218" s="482">
        <v>4.0894E-2</v>
      </c>
      <c r="CS218" s="482">
        <v>4.1020000000000001E-2</v>
      </c>
      <c r="CT218" s="482">
        <v>4.0871999999999999E-2</v>
      </c>
      <c r="CU218" s="482">
        <v>4.1864999999999999E-2</v>
      </c>
      <c r="CV218" s="482">
        <v>4.1660000000000003E-2</v>
      </c>
      <c r="CW218" s="542">
        <v>4.122E-2</v>
      </c>
      <c r="CX218" s="543">
        <v>4.0024999999999998E-2</v>
      </c>
      <c r="CY218" s="543">
        <v>4.0224000000000003E-2</v>
      </c>
      <c r="CZ218" s="543">
        <v>3.9428999999999999E-2</v>
      </c>
      <c r="DA218" s="543">
        <v>3.9323999999999998E-2</v>
      </c>
      <c r="DB218" s="543">
        <v>3.9323999999999998E-2</v>
      </c>
      <c r="DC218" s="544">
        <v>4.0856000000000003E-2</v>
      </c>
      <c r="DD218" s="544">
        <v>4.1438000000000003E-2</v>
      </c>
      <c r="DE218" s="543">
        <v>3.95E-2</v>
      </c>
      <c r="DF218" s="543">
        <v>3.95E-2</v>
      </c>
      <c r="DG218" s="543">
        <v>3.9093000000000003E-2</v>
      </c>
      <c r="DH218" s="543">
        <v>3.8393999999999998E-2</v>
      </c>
      <c r="DI218" s="543">
        <v>3.8850000000000003E-2</v>
      </c>
      <c r="DJ218" s="543">
        <v>3.703E-2</v>
      </c>
      <c r="DK218" s="543">
        <v>3.8705000000000003E-2</v>
      </c>
      <c r="DL218" s="543">
        <v>3.8200999999999999E-2</v>
      </c>
      <c r="DM218" s="543">
        <v>3.8261000000000003E-2</v>
      </c>
      <c r="DN218" s="543">
        <v>3.9694E-2</v>
      </c>
      <c r="DO218" s="543">
        <v>4.1806999999999997E-2</v>
      </c>
      <c r="DP218" s="543">
        <v>4.1009999999999998E-2</v>
      </c>
      <c r="DQ218" s="543">
        <v>4.3138000000000003E-2</v>
      </c>
      <c r="DR218" s="543">
        <v>4.2915000000000002E-2</v>
      </c>
      <c r="DS218" s="543">
        <v>4.3116000000000002E-2</v>
      </c>
      <c r="DT218" s="543">
        <v>4.3116000000000002E-2</v>
      </c>
      <c r="DU218" s="543">
        <v>4.4173999999999998E-2</v>
      </c>
      <c r="DV218" s="543">
        <v>4.4340999999999998E-2</v>
      </c>
      <c r="DW218" s="543">
        <v>4.4535999999999999E-2</v>
      </c>
      <c r="DX218" s="543">
        <v>4.4956999999999997E-2</v>
      </c>
      <c r="DY218" s="543">
        <v>4.5356E-2</v>
      </c>
      <c r="DZ218" s="543">
        <v>4.5043E-2</v>
      </c>
      <c r="EA218" s="543">
        <v>4.4713000000000003E-2</v>
      </c>
      <c r="EB218" s="543">
        <v>4.3756999999999997E-2</v>
      </c>
      <c r="EC218" s="543">
        <v>4.5163000000000002E-2</v>
      </c>
      <c r="ED218" s="543">
        <v>4.4149000000000001E-2</v>
      </c>
      <c r="EE218" s="543">
        <v>4.4149000000000001E-2</v>
      </c>
      <c r="EF218" s="543">
        <v>4.4149000000000001E-2</v>
      </c>
      <c r="EG218" s="543">
        <v>4.403E-2</v>
      </c>
      <c r="EH218" s="543">
        <v>4.403E-2</v>
      </c>
      <c r="EI218" s="483">
        <v>3.3422E-2</v>
      </c>
      <c r="EJ218" s="483">
        <v>3.6795000000000001E-2</v>
      </c>
      <c r="EK218" s="483">
        <v>3.5263000000000003E-2</v>
      </c>
      <c r="EL218" s="483">
        <v>3.1046000000000001E-2</v>
      </c>
      <c r="EM218" s="483">
        <v>3.4513000000000002E-2</v>
      </c>
      <c r="EN218" s="483">
        <v>3.9373999999999999E-2</v>
      </c>
      <c r="EO218" s="483">
        <v>3.7314E-2</v>
      </c>
      <c r="EP218" s="483">
        <v>3.7020999999999998E-2</v>
      </c>
      <c r="EQ218" s="483">
        <v>3.9359999999999999E-2</v>
      </c>
      <c r="ER218" s="483">
        <v>3.9273000000000002E-2</v>
      </c>
      <c r="ES218" s="483">
        <v>3.8483000000000003E-2</v>
      </c>
      <c r="ET218" s="483">
        <v>3.7497000000000003E-2</v>
      </c>
      <c r="EU218" s="483">
        <v>3.7844999999999997E-2</v>
      </c>
      <c r="EV218" s="483">
        <v>3.6830000000000002E-2</v>
      </c>
      <c r="EW218" s="483">
        <v>3.7412000000000001E-2</v>
      </c>
      <c r="EX218" s="483">
        <v>3.2120000000000003E-2</v>
      </c>
      <c r="EY218" s="483">
        <v>3.7560000000000003E-2</v>
      </c>
      <c r="EZ218" s="483">
        <v>4.4310000000000002E-2</v>
      </c>
      <c r="FA218" s="485">
        <v>4.2368000000000003E-2</v>
      </c>
      <c r="FB218" s="485">
        <v>4.2368000000000003E-2</v>
      </c>
      <c r="FC218" s="486">
        <v>4.1971000000000001E-2</v>
      </c>
      <c r="FD218" s="486">
        <v>4.0016000000000003E-2</v>
      </c>
      <c r="FE218" s="486">
        <v>3.9447999999999997E-2</v>
      </c>
      <c r="FF218" s="486">
        <v>3.9052000000000003E-2</v>
      </c>
      <c r="FG218" s="486">
        <v>3.9223000000000001E-2</v>
      </c>
      <c r="FH218" s="486">
        <v>4.0143999999999999E-2</v>
      </c>
      <c r="FI218" s="486">
        <v>3.9718999999999997E-2</v>
      </c>
      <c r="FJ218" s="486">
        <v>3.9010000000000003E-2</v>
      </c>
      <c r="FK218" s="486">
        <v>3.8903E-2</v>
      </c>
      <c r="FL218" s="486">
        <v>4.0016000000000003E-2</v>
      </c>
      <c r="FM218" s="486">
        <v>3.9433999999999997E-2</v>
      </c>
      <c r="FN218" s="486">
        <v>4.0114999999999998E-2</v>
      </c>
      <c r="FO218" s="486">
        <v>3.9629999999999999E-2</v>
      </c>
      <c r="FP218" s="486">
        <v>3.8207999999999999E-2</v>
      </c>
      <c r="FQ218" s="486">
        <v>4.0294999999999997E-2</v>
      </c>
      <c r="FR218" s="486">
        <v>3.8693999999999999E-2</v>
      </c>
      <c r="FS218" s="486">
        <v>3.8385000000000002E-2</v>
      </c>
      <c r="FT218" s="486">
        <v>3.7895999999999999E-2</v>
      </c>
      <c r="FU218" s="486">
        <v>3.4321999999999998E-2</v>
      </c>
      <c r="FV218" s="483">
        <v>4.1424999999999997E-2</v>
      </c>
      <c r="FW218" s="483">
        <v>4.1516999999999998E-2</v>
      </c>
      <c r="FX218" s="543">
        <v>4.4586000000000001E-2</v>
      </c>
      <c r="FY218" s="543">
        <v>4.4586000000000001E-2</v>
      </c>
      <c r="FZ218" s="543">
        <v>4.4214999999999997E-2</v>
      </c>
      <c r="GA218" s="543">
        <v>4.3336E-2</v>
      </c>
      <c r="GB218" s="543">
        <v>4.3166000000000003E-2</v>
      </c>
      <c r="GC218" s="543">
        <v>4.2086999999999999E-2</v>
      </c>
      <c r="GD218" s="486">
        <v>3.5263000000000003E-2</v>
      </c>
      <c r="GE218" s="486">
        <v>3.5263000000000003E-2</v>
      </c>
      <c r="GF218" s="486">
        <v>3.5263000000000003E-2</v>
      </c>
      <c r="GG218" s="486">
        <v>3.5263000000000003E-2</v>
      </c>
      <c r="GH218" s="486">
        <v>3.5263000000000003E-2</v>
      </c>
      <c r="GI218" s="486">
        <v>3.5263000000000003E-2</v>
      </c>
      <c r="GJ218" s="486">
        <v>3.5263000000000003E-2</v>
      </c>
      <c r="GK218" s="486">
        <v>3.5263000000000003E-2</v>
      </c>
      <c r="GL218" s="486">
        <v>3.5263000000000003E-2</v>
      </c>
      <c r="GM218" s="486">
        <v>3.5263000000000003E-2</v>
      </c>
      <c r="GN218" s="486">
        <v>3.5263000000000003E-2</v>
      </c>
      <c r="GO218" s="486">
        <v>3.5263000000000003E-2</v>
      </c>
      <c r="GP218" s="486">
        <v>3.5263000000000003E-2</v>
      </c>
      <c r="GQ218" s="486">
        <v>3.5263000000000003E-2</v>
      </c>
      <c r="GR218" s="486">
        <v>3.5263000000000003E-2</v>
      </c>
      <c r="GS218" s="486">
        <v>3.5263000000000003E-2</v>
      </c>
      <c r="GT218" s="486">
        <v>3.5263000000000003E-2</v>
      </c>
      <c r="GU218" s="486">
        <v>3.5263000000000003E-2</v>
      </c>
      <c r="GV218" s="486">
        <v>3.5263000000000003E-2</v>
      </c>
      <c r="GW218" s="486">
        <v>3.5263000000000003E-2</v>
      </c>
      <c r="GX218" s="486">
        <v>3.5263000000000003E-2</v>
      </c>
      <c r="GY218" s="486">
        <v>3.5263000000000003E-2</v>
      </c>
      <c r="GZ218" s="486">
        <v>3.5263000000000003E-2</v>
      </c>
      <c r="HA218" s="486">
        <v>3.5263000000000003E-2</v>
      </c>
      <c r="HB218" s="486">
        <v>3.5263000000000003E-2</v>
      </c>
      <c r="HC218" s="486">
        <v>3.5263000000000003E-2</v>
      </c>
      <c r="HD218" s="486">
        <v>3.5263000000000003E-2</v>
      </c>
      <c r="HE218" s="486">
        <v>3.5263000000000003E-2</v>
      </c>
      <c r="HF218" s="486">
        <v>3.5263000000000003E-2</v>
      </c>
      <c r="HG218" s="486">
        <v>3.5263000000000003E-2</v>
      </c>
      <c r="HH218" s="486">
        <v>3.5263000000000003E-2</v>
      </c>
      <c r="HI218" s="486">
        <v>3.5263000000000003E-2</v>
      </c>
      <c r="HJ218" s="486">
        <v>3.5263000000000003E-2</v>
      </c>
      <c r="HK218" s="486">
        <v>3.5263000000000003E-2</v>
      </c>
      <c r="HL218" s="486">
        <v>3.5263000000000003E-2</v>
      </c>
      <c r="HM218" s="486">
        <v>3.5263000000000003E-2</v>
      </c>
      <c r="HN218" s="486">
        <v>3.5263000000000003E-2</v>
      </c>
      <c r="HO218" s="486">
        <v>3.5263000000000003E-2</v>
      </c>
      <c r="HP218" s="473">
        <f t="shared" si="78"/>
        <v>0</v>
      </c>
      <c r="HQ218" s="1136"/>
    </row>
    <row r="219" spans="2:225">
      <c r="B219" s="1124"/>
      <c r="C219" s="730" t="s">
        <v>62</v>
      </c>
      <c r="D219" s="502">
        <v>2.6976E-2</v>
      </c>
      <c r="E219" s="502">
        <v>2.6976E-2</v>
      </c>
      <c r="F219" s="502">
        <v>2.6259000000000001E-2</v>
      </c>
      <c r="G219" s="502">
        <v>2.6138999999999999E-2</v>
      </c>
      <c r="H219" s="502">
        <v>2.5732999999999999E-2</v>
      </c>
      <c r="I219" s="502">
        <v>2.6800000000000001E-2</v>
      </c>
      <c r="J219" s="502">
        <v>2.6700000000000002E-2</v>
      </c>
      <c r="K219" s="502">
        <v>2.6764E-2</v>
      </c>
      <c r="L219" s="502">
        <v>2.6261E-2</v>
      </c>
      <c r="M219" s="502">
        <v>2.5738E-2</v>
      </c>
      <c r="N219" s="502">
        <v>2.5742000000000001E-2</v>
      </c>
      <c r="O219" s="502">
        <v>2.5975000000000002E-2</v>
      </c>
      <c r="P219" s="502">
        <v>2.6186999999999998E-2</v>
      </c>
      <c r="Q219" s="502">
        <v>2.6851E-2</v>
      </c>
      <c r="R219" s="502">
        <v>2.6757E-2</v>
      </c>
      <c r="S219" s="502">
        <v>2.6755000000000001E-2</v>
      </c>
      <c r="T219" s="502">
        <v>2.7458E-2</v>
      </c>
      <c r="U219" s="502">
        <v>2.7047000000000002E-2</v>
      </c>
      <c r="V219" s="502">
        <v>2.7618E-2</v>
      </c>
      <c r="W219" s="502">
        <v>2.6467999999999998E-2</v>
      </c>
      <c r="X219" s="502">
        <v>2.6172999999999998E-2</v>
      </c>
      <c r="Y219" s="502">
        <v>2.6974000000000001E-2</v>
      </c>
      <c r="Z219" s="502">
        <v>2.7514E-2</v>
      </c>
      <c r="AA219" s="502">
        <v>2.8324999999999999E-2</v>
      </c>
      <c r="AB219" s="502">
        <v>2.7681000000000001E-2</v>
      </c>
      <c r="AC219" s="500">
        <v>2.7538E-2</v>
      </c>
      <c r="AD219" s="500">
        <v>2.743E-2</v>
      </c>
      <c r="AE219" s="502">
        <v>2.9165E-2</v>
      </c>
      <c r="AF219" s="502">
        <v>2.9479000000000002E-2</v>
      </c>
      <c r="AG219" s="502">
        <v>2.997E-2</v>
      </c>
      <c r="AH219" s="481">
        <v>2.9908000000000001E-2</v>
      </c>
      <c r="AI219" s="480">
        <v>2.9621000000000001E-2</v>
      </c>
      <c r="AJ219" s="480">
        <v>3.1541E-2</v>
      </c>
      <c r="AK219" s="481">
        <v>3.1262999999999999E-2</v>
      </c>
      <c r="AL219" s="482">
        <v>3.1278E-2</v>
      </c>
      <c r="AM219" s="480">
        <v>3.1278E-2</v>
      </c>
      <c r="AN219" s="480">
        <v>3.0348E-2</v>
      </c>
      <c r="AO219" s="480">
        <v>3.1134999999999999E-2</v>
      </c>
      <c r="AP219" s="480">
        <v>3.2023000000000003E-2</v>
      </c>
      <c r="AQ219" s="480">
        <v>3.2299999999999995E-2</v>
      </c>
      <c r="AR219" s="480">
        <f t="shared" si="85"/>
        <v>3.1899999999999998E-2</v>
      </c>
      <c r="AS219" s="480">
        <f t="shared" si="85"/>
        <v>3.2006E-2</v>
      </c>
      <c r="AT219" s="481">
        <f t="shared" si="85"/>
        <v>3.2133000000000002E-2</v>
      </c>
      <c r="AU219" s="481">
        <f t="shared" si="85"/>
        <v>3.2133000000000002E-2</v>
      </c>
      <c r="AV219" s="480">
        <f t="shared" si="85"/>
        <v>3.0432000000000001E-2</v>
      </c>
      <c r="AW219" s="483">
        <f t="shared" si="85"/>
        <v>3.0518000000000003E-2</v>
      </c>
      <c r="AX219" s="483">
        <f t="shared" si="85"/>
        <v>3.2078000000000002E-2</v>
      </c>
      <c r="AY219" s="483">
        <f t="shared" si="85"/>
        <v>3.2078000000000002E-2</v>
      </c>
      <c r="AZ219" s="483">
        <f t="shared" si="85"/>
        <v>3.2078000000000002E-2</v>
      </c>
      <c r="BA219" s="483">
        <f t="shared" si="85"/>
        <v>3.2078000000000002E-2</v>
      </c>
      <c r="BB219" s="483">
        <f t="shared" si="85"/>
        <v>3.2078000000000002E-2</v>
      </c>
      <c r="BC219" s="483">
        <f t="shared" si="85"/>
        <v>3.2078000000000002E-2</v>
      </c>
      <c r="BD219" s="482">
        <v>3.3599999999999998E-2</v>
      </c>
      <c r="BE219" s="482">
        <v>3.3599999999999998E-2</v>
      </c>
      <c r="BF219" s="482">
        <v>3.3599999999999998E-2</v>
      </c>
      <c r="BG219" s="482">
        <v>3.3599999999999998E-2</v>
      </c>
      <c r="BH219" s="482">
        <v>3.3599999999999998E-2</v>
      </c>
      <c r="BI219" s="482">
        <v>3.3599999999999998E-2</v>
      </c>
      <c r="BJ219" s="482">
        <v>3.3599999999999998E-2</v>
      </c>
      <c r="BK219" s="482">
        <v>3.3599999999999998E-2</v>
      </c>
      <c r="BL219" s="482">
        <v>3.3599999999999998E-2</v>
      </c>
      <c r="BM219" s="482">
        <v>3.3599999999999998E-2</v>
      </c>
      <c r="BN219" s="482">
        <v>3.3278000000000002E-2</v>
      </c>
      <c r="BO219" s="482">
        <v>3.2808999999999998E-2</v>
      </c>
      <c r="BP219" s="482">
        <v>3.4541000000000002E-2</v>
      </c>
      <c r="BQ219" s="482">
        <v>3.4541000000000002E-2</v>
      </c>
      <c r="BR219" s="482">
        <v>3.3700000000000001E-2</v>
      </c>
      <c r="BS219" s="482">
        <v>3.3700000000000001E-2</v>
      </c>
      <c r="BT219" s="482">
        <v>3.2897000000000003E-2</v>
      </c>
      <c r="BU219" s="482">
        <v>3.2897000000000003E-2</v>
      </c>
      <c r="BV219" s="482">
        <v>3.2897000000000003E-2</v>
      </c>
      <c r="BW219" s="482">
        <v>3.2897000000000003E-2</v>
      </c>
      <c r="BX219" s="482">
        <v>2.9451999999999999E-2</v>
      </c>
      <c r="BY219" s="482">
        <v>2.9451999999999999E-2</v>
      </c>
      <c r="BZ219" s="482">
        <v>2.9451999999999999E-2</v>
      </c>
      <c r="CA219" s="482">
        <v>2.9956E-2</v>
      </c>
      <c r="CB219" s="482">
        <v>3.1444E-2</v>
      </c>
      <c r="CC219" s="482">
        <v>3.3676999999999999E-2</v>
      </c>
      <c r="CD219" s="482">
        <v>3.4110000000000001E-2</v>
      </c>
      <c r="CE219" s="482">
        <v>3.5283000000000002E-2</v>
      </c>
      <c r="CF219" s="482">
        <v>3.5130000000000002E-2</v>
      </c>
      <c r="CG219" s="482">
        <v>3.4425999999999998E-2</v>
      </c>
      <c r="CH219" s="482">
        <v>3.9029000000000001E-2</v>
      </c>
      <c r="CI219" s="482">
        <v>3.9715E-2</v>
      </c>
      <c r="CJ219" s="482">
        <v>3.9857999999999998E-2</v>
      </c>
      <c r="CK219" s="482">
        <v>4.1058999999999998E-2</v>
      </c>
      <c r="CL219" s="482">
        <v>4.2002999999999999E-2</v>
      </c>
      <c r="CM219" s="482">
        <v>4.1909000000000002E-2</v>
      </c>
      <c r="CN219" s="482">
        <v>4.1782E-2</v>
      </c>
      <c r="CO219" s="482">
        <v>4.2896999999999998E-2</v>
      </c>
      <c r="CP219" s="482">
        <v>4.3334999999999999E-2</v>
      </c>
      <c r="CQ219" s="482">
        <v>4.2502999999999999E-2</v>
      </c>
      <c r="CR219" s="482">
        <v>4.1894000000000001E-2</v>
      </c>
      <c r="CS219" s="482">
        <v>4.2020000000000002E-2</v>
      </c>
      <c r="CT219" s="482">
        <v>4.1871999999999999E-2</v>
      </c>
      <c r="CU219" s="482">
        <v>4.2865E-2</v>
      </c>
      <c r="CV219" s="482">
        <v>4.2659999999999997E-2</v>
      </c>
      <c r="CW219" s="542">
        <v>4.2220000000000001E-2</v>
      </c>
      <c r="CX219" s="543">
        <v>4.1024999999999999E-2</v>
      </c>
      <c r="CY219" s="543">
        <v>4.1223999999999997E-2</v>
      </c>
      <c r="CZ219" s="543">
        <v>4.0429E-2</v>
      </c>
      <c r="DA219" s="543">
        <v>4.0323999999999999E-2</v>
      </c>
      <c r="DB219" s="543">
        <v>4.0323999999999999E-2</v>
      </c>
      <c r="DC219" s="544">
        <v>4.1855999999999997E-2</v>
      </c>
      <c r="DD219" s="544">
        <v>4.2437999999999997E-2</v>
      </c>
      <c r="DE219" s="543">
        <v>4.0500000000000001E-2</v>
      </c>
      <c r="DF219" s="543">
        <v>4.0500000000000001E-2</v>
      </c>
      <c r="DG219" s="543">
        <v>4.0092999999999997E-2</v>
      </c>
      <c r="DH219" s="543">
        <v>3.9393999999999998E-2</v>
      </c>
      <c r="DI219" s="543">
        <v>3.9849999999999997E-2</v>
      </c>
      <c r="DJ219" s="543">
        <v>3.8030000000000001E-2</v>
      </c>
      <c r="DK219" s="543">
        <v>3.9704999999999997E-2</v>
      </c>
      <c r="DL219" s="543">
        <v>3.9201E-2</v>
      </c>
      <c r="DM219" s="543">
        <v>3.9260999999999997E-2</v>
      </c>
      <c r="DN219" s="543">
        <v>4.0694000000000001E-2</v>
      </c>
      <c r="DO219" s="543">
        <v>4.2806999999999998E-2</v>
      </c>
      <c r="DP219" s="543">
        <v>4.2009999999999999E-2</v>
      </c>
      <c r="DQ219" s="543">
        <v>4.4137999999999997E-2</v>
      </c>
      <c r="DR219" s="543">
        <v>4.3915000000000003E-2</v>
      </c>
      <c r="DS219" s="543">
        <v>4.4116000000000002E-2</v>
      </c>
      <c r="DT219" s="543">
        <v>4.4116000000000002E-2</v>
      </c>
      <c r="DU219" s="543">
        <v>4.5173999999999999E-2</v>
      </c>
      <c r="DV219" s="543">
        <v>4.5340999999999999E-2</v>
      </c>
      <c r="DW219" s="543">
        <v>4.5536E-2</v>
      </c>
      <c r="DX219" s="543">
        <v>4.5956999999999998E-2</v>
      </c>
      <c r="DY219" s="543">
        <v>4.6356000000000001E-2</v>
      </c>
      <c r="DZ219" s="543">
        <v>4.6043000000000001E-2</v>
      </c>
      <c r="EA219" s="543">
        <v>4.5712999999999997E-2</v>
      </c>
      <c r="EB219" s="543">
        <v>4.4756999999999998E-2</v>
      </c>
      <c r="EC219" s="543">
        <v>4.6163000000000003E-2</v>
      </c>
      <c r="ED219" s="543">
        <v>4.5149000000000002E-2</v>
      </c>
      <c r="EE219" s="543">
        <v>4.5149000000000002E-2</v>
      </c>
      <c r="EF219" s="543">
        <v>4.5149000000000002E-2</v>
      </c>
      <c r="EG219" s="543">
        <v>4.5030000000000001E-2</v>
      </c>
      <c r="EH219" s="543">
        <v>4.5030000000000001E-2</v>
      </c>
      <c r="EI219" s="483">
        <v>3.4422000000000001E-2</v>
      </c>
      <c r="EJ219" s="483">
        <v>3.7795000000000002E-2</v>
      </c>
      <c r="EK219" s="483">
        <v>3.6262999999999997E-2</v>
      </c>
      <c r="EL219" s="483">
        <v>3.2045999999999998E-2</v>
      </c>
      <c r="EM219" s="483">
        <v>3.5513000000000003E-2</v>
      </c>
      <c r="EN219" s="483">
        <v>4.0374E-2</v>
      </c>
      <c r="EO219" s="483">
        <v>3.8314000000000001E-2</v>
      </c>
      <c r="EP219" s="483">
        <v>3.8020999999999999E-2</v>
      </c>
      <c r="EQ219" s="483">
        <v>4.036E-2</v>
      </c>
      <c r="ER219" s="483">
        <v>4.0273000000000003E-2</v>
      </c>
      <c r="ES219" s="483">
        <v>3.9482999999999997E-2</v>
      </c>
      <c r="ET219" s="483">
        <v>3.8497000000000003E-2</v>
      </c>
      <c r="EU219" s="483">
        <v>3.8844999999999998E-2</v>
      </c>
      <c r="EV219" s="483">
        <v>3.7830000000000003E-2</v>
      </c>
      <c r="EW219" s="483">
        <v>3.8412000000000002E-2</v>
      </c>
      <c r="EX219" s="483">
        <v>3.3119999999999997E-2</v>
      </c>
      <c r="EY219" s="483">
        <v>3.8559999999999997E-2</v>
      </c>
      <c r="EZ219" s="483">
        <v>4.5310000000000003E-2</v>
      </c>
      <c r="FA219" s="485">
        <v>4.3367999999999997E-2</v>
      </c>
      <c r="FB219" s="485">
        <v>4.3367999999999997E-2</v>
      </c>
      <c r="FC219" s="486">
        <v>4.2971000000000002E-2</v>
      </c>
      <c r="FD219" s="486">
        <v>4.1015999999999997E-2</v>
      </c>
      <c r="FE219" s="486">
        <v>4.0447999999999998E-2</v>
      </c>
      <c r="FF219" s="486">
        <v>4.0051999999999997E-2</v>
      </c>
      <c r="FG219" s="486">
        <v>4.0223000000000002E-2</v>
      </c>
      <c r="FH219" s="486">
        <v>4.1144E-2</v>
      </c>
      <c r="FI219" s="486">
        <v>4.0718999999999998E-2</v>
      </c>
      <c r="FJ219" s="486">
        <v>4.0009999999999997E-2</v>
      </c>
      <c r="FK219" s="486">
        <v>3.9903000000000001E-2</v>
      </c>
      <c r="FL219" s="486">
        <v>4.1015999999999997E-2</v>
      </c>
      <c r="FM219" s="486">
        <v>4.0433999999999998E-2</v>
      </c>
      <c r="FN219" s="486">
        <v>4.1114999999999999E-2</v>
      </c>
      <c r="FO219" s="486">
        <v>4.0629999999999999E-2</v>
      </c>
      <c r="FP219" s="486">
        <v>3.9208E-2</v>
      </c>
      <c r="FQ219" s="486">
        <v>4.1294999999999998E-2</v>
      </c>
      <c r="FR219" s="486">
        <v>3.9694E-2</v>
      </c>
      <c r="FS219" s="486">
        <v>3.9385000000000003E-2</v>
      </c>
      <c r="FT219" s="486">
        <v>3.8896E-2</v>
      </c>
      <c r="FU219" s="486">
        <v>3.5321999999999999E-2</v>
      </c>
      <c r="FV219" s="483">
        <v>4.2424999999999997E-2</v>
      </c>
      <c r="FW219" s="483">
        <v>4.2516999999999999E-2</v>
      </c>
      <c r="FX219" s="543">
        <v>4.5586000000000002E-2</v>
      </c>
      <c r="FY219" s="543">
        <v>4.5586000000000002E-2</v>
      </c>
      <c r="FZ219" s="543">
        <v>4.5214999999999998E-2</v>
      </c>
      <c r="GA219" s="543">
        <v>4.4336E-2</v>
      </c>
      <c r="GB219" s="543">
        <v>4.4165999999999997E-2</v>
      </c>
      <c r="GC219" s="543">
        <v>4.3087E-2</v>
      </c>
      <c r="GD219" s="486">
        <v>3.6262999999999997E-2</v>
      </c>
      <c r="GE219" s="486">
        <v>3.6262999999999997E-2</v>
      </c>
      <c r="GF219" s="486">
        <v>3.6262999999999997E-2</v>
      </c>
      <c r="GG219" s="486">
        <v>3.6262999999999997E-2</v>
      </c>
      <c r="GH219" s="486">
        <v>3.6262999999999997E-2</v>
      </c>
      <c r="GI219" s="486">
        <v>3.6262999999999997E-2</v>
      </c>
      <c r="GJ219" s="486">
        <v>3.6262999999999997E-2</v>
      </c>
      <c r="GK219" s="486">
        <v>3.6262999999999997E-2</v>
      </c>
      <c r="GL219" s="486">
        <v>3.6262999999999997E-2</v>
      </c>
      <c r="GM219" s="486">
        <v>3.6262999999999997E-2</v>
      </c>
      <c r="GN219" s="486">
        <v>3.6262999999999997E-2</v>
      </c>
      <c r="GO219" s="486">
        <v>3.6262999999999997E-2</v>
      </c>
      <c r="GP219" s="486">
        <v>3.6262999999999997E-2</v>
      </c>
      <c r="GQ219" s="486">
        <v>3.6262999999999997E-2</v>
      </c>
      <c r="GR219" s="486">
        <v>3.6262999999999997E-2</v>
      </c>
      <c r="GS219" s="486">
        <v>3.6262999999999997E-2</v>
      </c>
      <c r="GT219" s="486">
        <v>3.6262999999999997E-2</v>
      </c>
      <c r="GU219" s="486">
        <v>3.6262999999999997E-2</v>
      </c>
      <c r="GV219" s="486">
        <v>3.6262999999999997E-2</v>
      </c>
      <c r="GW219" s="486">
        <v>3.6262999999999997E-2</v>
      </c>
      <c r="GX219" s="486">
        <v>3.6262999999999997E-2</v>
      </c>
      <c r="GY219" s="486">
        <v>3.6262999999999997E-2</v>
      </c>
      <c r="GZ219" s="486">
        <v>3.6262999999999997E-2</v>
      </c>
      <c r="HA219" s="486">
        <v>3.6262999999999997E-2</v>
      </c>
      <c r="HB219" s="486">
        <v>3.6262999999999997E-2</v>
      </c>
      <c r="HC219" s="486">
        <v>3.6262999999999997E-2</v>
      </c>
      <c r="HD219" s="486">
        <v>3.6262999999999997E-2</v>
      </c>
      <c r="HE219" s="486">
        <v>3.6262999999999997E-2</v>
      </c>
      <c r="HF219" s="486">
        <v>3.6262999999999997E-2</v>
      </c>
      <c r="HG219" s="486">
        <v>3.6262999999999997E-2</v>
      </c>
      <c r="HH219" s="486">
        <v>3.6262999999999997E-2</v>
      </c>
      <c r="HI219" s="486">
        <v>3.6262999999999997E-2</v>
      </c>
      <c r="HJ219" s="486">
        <v>3.6262999999999997E-2</v>
      </c>
      <c r="HK219" s="486">
        <v>3.6262999999999997E-2</v>
      </c>
      <c r="HL219" s="486">
        <v>3.6262999999999997E-2</v>
      </c>
      <c r="HM219" s="486">
        <v>3.6262999999999997E-2</v>
      </c>
      <c r="HN219" s="486">
        <v>3.6262999999999997E-2</v>
      </c>
      <c r="HO219" s="486">
        <v>3.6262999999999997E-2</v>
      </c>
      <c r="HP219" s="473">
        <f t="shared" si="78"/>
        <v>0</v>
      </c>
      <c r="HQ219" s="1136"/>
    </row>
    <row r="220" spans="2:225">
      <c r="B220" s="1125"/>
      <c r="C220" s="730" t="s">
        <v>230</v>
      </c>
      <c r="D220" s="502">
        <v>2.7476E-2</v>
      </c>
      <c r="E220" s="502">
        <v>2.7476E-2</v>
      </c>
      <c r="F220" s="502">
        <v>2.6759000000000002E-2</v>
      </c>
      <c r="G220" s="502">
        <v>2.6638999999999999E-2</v>
      </c>
      <c r="H220" s="502">
        <v>2.6232999999999999E-2</v>
      </c>
      <c r="I220" s="502">
        <v>2.6800000000000001E-2</v>
      </c>
      <c r="J220" s="502">
        <v>2.7199999999999998E-2</v>
      </c>
      <c r="K220" s="502">
        <v>2.7264E-2</v>
      </c>
      <c r="L220" s="502">
        <v>2.6761E-2</v>
      </c>
      <c r="M220" s="502">
        <v>2.6238000000000001E-2</v>
      </c>
      <c r="N220" s="502">
        <v>2.6242000000000001E-2</v>
      </c>
      <c r="O220" s="502">
        <v>2.6474999999999999E-2</v>
      </c>
      <c r="P220" s="502">
        <v>2.6686999999999999E-2</v>
      </c>
      <c r="Q220" s="502">
        <v>2.7351E-2</v>
      </c>
      <c r="R220" s="502">
        <v>2.7257E-2</v>
      </c>
      <c r="S220" s="502">
        <v>2.7255000000000001E-2</v>
      </c>
      <c r="T220" s="502">
        <v>2.7958E-2</v>
      </c>
      <c r="U220" s="502">
        <v>2.7546999999999999E-2</v>
      </c>
      <c r="V220" s="502">
        <v>2.8118000000000001E-2</v>
      </c>
      <c r="W220" s="502">
        <v>2.6967999999999999E-2</v>
      </c>
      <c r="X220" s="502">
        <v>2.6672999999999999E-2</v>
      </c>
      <c r="Y220" s="502">
        <v>2.7473999999999998E-2</v>
      </c>
      <c r="Z220" s="502">
        <v>2.8014000000000001E-2</v>
      </c>
      <c r="AA220" s="502">
        <v>2.8825E-2</v>
      </c>
      <c r="AB220" s="502">
        <v>2.8181000000000001E-2</v>
      </c>
      <c r="AC220" s="500">
        <v>2.8038E-2</v>
      </c>
      <c r="AD220" s="500">
        <v>2.793E-2</v>
      </c>
      <c r="AE220" s="502">
        <v>2.9665E-2</v>
      </c>
      <c r="AF220" s="502">
        <v>2.9978999999999999E-2</v>
      </c>
      <c r="AG220" s="502">
        <v>3.0470000000000001E-2</v>
      </c>
      <c r="AH220" s="481">
        <v>3.0408000000000001E-2</v>
      </c>
      <c r="AI220" s="480">
        <v>3.0120999999999998E-2</v>
      </c>
      <c r="AJ220" s="480">
        <v>3.2041E-2</v>
      </c>
      <c r="AK220" s="481">
        <v>3.1763E-2</v>
      </c>
      <c r="AL220" s="482">
        <v>3.1778000000000001E-2</v>
      </c>
      <c r="AM220" s="480">
        <v>3.1778000000000001E-2</v>
      </c>
      <c r="AN220" s="480">
        <v>3.0848E-2</v>
      </c>
      <c r="AO220" s="480">
        <v>3.1635000000000003E-2</v>
      </c>
      <c r="AP220" s="480">
        <v>3.2523000000000003E-2</v>
      </c>
      <c r="AQ220" s="480">
        <v>3.2799999999999996E-2</v>
      </c>
      <c r="AR220" s="480">
        <f t="shared" ref="AR220:BC220" si="86">AR219+0.05%</f>
        <v>3.2399999999999998E-2</v>
      </c>
      <c r="AS220" s="480">
        <f t="shared" si="86"/>
        <v>3.2506E-2</v>
      </c>
      <c r="AT220" s="481">
        <f t="shared" si="86"/>
        <v>3.2633000000000002E-2</v>
      </c>
      <c r="AU220" s="481">
        <f t="shared" si="86"/>
        <v>3.2633000000000002E-2</v>
      </c>
      <c r="AV220" s="480">
        <f t="shared" si="86"/>
        <v>3.0932000000000001E-2</v>
      </c>
      <c r="AW220" s="483">
        <f t="shared" si="86"/>
        <v>3.1018000000000004E-2</v>
      </c>
      <c r="AX220" s="483">
        <f t="shared" si="86"/>
        <v>3.2578000000000003E-2</v>
      </c>
      <c r="AY220" s="483">
        <f t="shared" si="86"/>
        <v>3.2578000000000003E-2</v>
      </c>
      <c r="AZ220" s="483">
        <f t="shared" si="86"/>
        <v>3.2578000000000003E-2</v>
      </c>
      <c r="BA220" s="483">
        <f t="shared" si="86"/>
        <v>3.2578000000000003E-2</v>
      </c>
      <c r="BB220" s="483">
        <f t="shared" si="86"/>
        <v>3.2578000000000003E-2</v>
      </c>
      <c r="BC220" s="483">
        <f t="shared" si="86"/>
        <v>3.2578000000000003E-2</v>
      </c>
      <c r="BD220" s="482">
        <v>3.4099999999999998E-2</v>
      </c>
      <c r="BE220" s="482">
        <v>3.4099999999999998E-2</v>
      </c>
      <c r="BF220" s="482">
        <v>3.4099999999999998E-2</v>
      </c>
      <c r="BG220" s="482">
        <v>3.4099999999999998E-2</v>
      </c>
      <c r="BH220" s="482">
        <v>3.4099999999999998E-2</v>
      </c>
      <c r="BI220" s="482">
        <v>3.4099999999999998E-2</v>
      </c>
      <c r="BJ220" s="482">
        <v>3.4099999999999998E-2</v>
      </c>
      <c r="BK220" s="482">
        <v>3.4099999999999998E-2</v>
      </c>
      <c r="BL220" s="482">
        <v>3.4099999999999998E-2</v>
      </c>
      <c r="BM220" s="482">
        <v>3.4099999999999998E-2</v>
      </c>
      <c r="BN220" s="482">
        <v>3.3778000000000002E-2</v>
      </c>
      <c r="BO220" s="482">
        <v>3.3308999999999998E-2</v>
      </c>
      <c r="BP220" s="482">
        <v>3.5041000000000003E-2</v>
      </c>
      <c r="BQ220" s="482">
        <v>3.5041000000000003E-2</v>
      </c>
      <c r="BR220" s="482">
        <v>3.4200000000000001E-2</v>
      </c>
      <c r="BS220" s="482">
        <v>3.4200000000000001E-2</v>
      </c>
      <c r="BT220" s="482">
        <v>3.3397000000000003E-2</v>
      </c>
      <c r="BU220" s="482">
        <v>3.3397000000000003E-2</v>
      </c>
      <c r="BV220" s="482">
        <v>3.3397000000000003E-2</v>
      </c>
      <c r="BW220" s="482">
        <v>3.3397000000000003E-2</v>
      </c>
      <c r="BX220" s="482">
        <v>2.9951999999999999E-2</v>
      </c>
      <c r="BY220" s="482">
        <v>2.9951999999999999E-2</v>
      </c>
      <c r="BZ220" s="482">
        <v>2.9951999999999999E-2</v>
      </c>
      <c r="CA220" s="482">
        <v>3.0456E-2</v>
      </c>
      <c r="CB220" s="482">
        <v>3.1944E-2</v>
      </c>
      <c r="CC220" s="482">
        <v>3.4176999999999999E-2</v>
      </c>
      <c r="CD220" s="482">
        <v>3.4610000000000002E-2</v>
      </c>
      <c r="CE220" s="482">
        <v>3.5783000000000002E-2</v>
      </c>
      <c r="CF220" s="482">
        <v>3.5630000000000002E-2</v>
      </c>
      <c r="CG220" s="482">
        <v>3.4925999999999999E-2</v>
      </c>
      <c r="CH220" s="482">
        <v>3.9529000000000002E-2</v>
      </c>
      <c r="CI220" s="482">
        <v>4.0215000000000001E-2</v>
      </c>
      <c r="CJ220" s="482">
        <v>4.0357999999999998E-2</v>
      </c>
      <c r="CK220" s="482">
        <v>4.1558999999999999E-2</v>
      </c>
      <c r="CL220" s="482">
        <v>4.2502999999999999E-2</v>
      </c>
      <c r="CM220" s="482">
        <v>4.2409000000000002E-2</v>
      </c>
      <c r="CN220" s="482">
        <v>4.2282E-2</v>
      </c>
      <c r="CO220" s="482">
        <v>4.3396999999999998E-2</v>
      </c>
      <c r="CP220" s="482">
        <v>4.3834999999999999E-2</v>
      </c>
      <c r="CQ220" s="482">
        <v>4.3003E-2</v>
      </c>
      <c r="CR220" s="482">
        <v>4.2394000000000001E-2</v>
      </c>
      <c r="CS220" s="482">
        <v>4.2520000000000002E-2</v>
      </c>
      <c r="CT220" s="482">
        <v>4.2372E-2</v>
      </c>
      <c r="CU220" s="482">
        <v>4.3365000000000001E-2</v>
      </c>
      <c r="CV220" s="482">
        <v>4.3159999999999997E-2</v>
      </c>
      <c r="CW220" s="542">
        <v>4.2720000000000001E-2</v>
      </c>
      <c r="CX220" s="543">
        <v>4.1524999999999999E-2</v>
      </c>
      <c r="CY220" s="543">
        <v>4.1723999999999997E-2</v>
      </c>
      <c r="CZ220" s="543">
        <v>4.0929E-2</v>
      </c>
      <c r="DA220" s="543">
        <v>4.0823999999999999E-2</v>
      </c>
      <c r="DB220" s="543">
        <v>4.0823999999999999E-2</v>
      </c>
      <c r="DC220" s="544">
        <v>4.2355999999999998E-2</v>
      </c>
      <c r="DD220" s="544">
        <v>4.2937999999999997E-2</v>
      </c>
      <c r="DE220" s="543">
        <v>4.1000000000000002E-2</v>
      </c>
      <c r="DF220" s="543">
        <v>4.1000000000000002E-2</v>
      </c>
      <c r="DG220" s="543">
        <v>4.0592999999999997E-2</v>
      </c>
      <c r="DH220" s="543">
        <v>3.9893999999999999E-2</v>
      </c>
      <c r="DI220" s="543">
        <v>4.0349999999999997E-2</v>
      </c>
      <c r="DJ220" s="543">
        <v>3.8530000000000002E-2</v>
      </c>
      <c r="DK220" s="543">
        <v>4.0204999999999998E-2</v>
      </c>
      <c r="DL220" s="543">
        <v>3.9701E-2</v>
      </c>
      <c r="DM220" s="543">
        <v>3.9760999999999998E-2</v>
      </c>
      <c r="DN220" s="543">
        <v>4.1194000000000001E-2</v>
      </c>
      <c r="DO220" s="543">
        <v>4.3306999999999998E-2</v>
      </c>
      <c r="DP220" s="543">
        <v>4.2509999999999999E-2</v>
      </c>
      <c r="DQ220" s="543">
        <v>4.4637999999999997E-2</v>
      </c>
      <c r="DR220" s="543">
        <v>4.4415000000000003E-2</v>
      </c>
      <c r="DS220" s="543">
        <v>4.4616000000000003E-2</v>
      </c>
      <c r="DT220" s="543">
        <v>4.4616000000000003E-2</v>
      </c>
      <c r="DU220" s="543">
        <v>4.5673999999999999E-2</v>
      </c>
      <c r="DV220" s="543">
        <v>4.5841E-2</v>
      </c>
      <c r="DW220" s="543">
        <v>4.6036000000000001E-2</v>
      </c>
      <c r="DX220" s="543">
        <v>4.6456999999999998E-2</v>
      </c>
      <c r="DY220" s="543">
        <v>4.6856000000000002E-2</v>
      </c>
      <c r="DZ220" s="543">
        <v>4.6543000000000001E-2</v>
      </c>
      <c r="EA220" s="543">
        <v>4.6212999999999997E-2</v>
      </c>
      <c r="EB220" s="543">
        <v>4.5256999999999999E-2</v>
      </c>
      <c r="EC220" s="543">
        <v>4.6663000000000003E-2</v>
      </c>
      <c r="ED220" s="543">
        <v>4.5649000000000002E-2</v>
      </c>
      <c r="EE220" s="543">
        <v>4.5649000000000002E-2</v>
      </c>
      <c r="EF220" s="543">
        <v>4.5649000000000002E-2</v>
      </c>
      <c r="EG220" s="543">
        <v>4.5530000000000001E-2</v>
      </c>
      <c r="EH220" s="543">
        <v>4.5530000000000001E-2</v>
      </c>
      <c r="EI220" s="483">
        <v>3.4922000000000002E-2</v>
      </c>
      <c r="EJ220" s="483">
        <v>3.8295000000000003E-2</v>
      </c>
      <c r="EK220" s="483">
        <v>3.6762999999999997E-2</v>
      </c>
      <c r="EL220" s="483">
        <v>3.2545999999999999E-2</v>
      </c>
      <c r="EM220" s="483">
        <v>3.6013000000000003E-2</v>
      </c>
      <c r="EN220" s="483">
        <v>4.0874000000000001E-2</v>
      </c>
      <c r="EO220" s="483">
        <v>3.8814000000000001E-2</v>
      </c>
      <c r="EP220" s="483">
        <v>3.8521E-2</v>
      </c>
      <c r="EQ220" s="483">
        <v>4.086E-2</v>
      </c>
      <c r="ER220" s="483">
        <v>4.0772999999999997E-2</v>
      </c>
      <c r="ES220" s="483">
        <v>3.9982999999999998E-2</v>
      </c>
      <c r="ET220" s="483">
        <v>3.8996999999999997E-2</v>
      </c>
      <c r="EU220" s="483">
        <v>3.9344999999999998E-2</v>
      </c>
      <c r="EV220" s="483">
        <v>3.8330000000000003E-2</v>
      </c>
      <c r="EW220" s="483">
        <v>3.8912000000000002E-2</v>
      </c>
      <c r="EX220" s="483">
        <v>3.3619999999999997E-2</v>
      </c>
      <c r="EY220" s="483">
        <v>3.9059999999999997E-2</v>
      </c>
      <c r="EZ220" s="483">
        <v>4.5809999999999997E-2</v>
      </c>
      <c r="FA220" s="485">
        <v>4.3867999999999997E-2</v>
      </c>
      <c r="FB220" s="485">
        <v>4.3867999999999997E-2</v>
      </c>
      <c r="FC220" s="486">
        <v>4.3471000000000003E-2</v>
      </c>
      <c r="FD220" s="486">
        <v>4.1515999999999997E-2</v>
      </c>
      <c r="FE220" s="486">
        <v>4.0947999999999998E-2</v>
      </c>
      <c r="FF220" s="486">
        <v>4.0551999999999998E-2</v>
      </c>
      <c r="FG220" s="486">
        <v>4.0723000000000002E-2</v>
      </c>
      <c r="FH220" s="486">
        <v>4.1644E-2</v>
      </c>
      <c r="FI220" s="486">
        <v>4.1218999999999999E-2</v>
      </c>
      <c r="FJ220" s="486">
        <v>4.0509999999999997E-2</v>
      </c>
      <c r="FK220" s="486">
        <v>4.0403000000000001E-2</v>
      </c>
      <c r="FL220" s="486">
        <v>4.1515999999999997E-2</v>
      </c>
      <c r="FM220" s="486">
        <v>4.0933999999999998E-2</v>
      </c>
      <c r="FN220" s="486">
        <v>4.1614999999999999E-2</v>
      </c>
      <c r="FO220" s="486">
        <v>4.113E-2</v>
      </c>
      <c r="FP220" s="486">
        <v>3.9708E-2</v>
      </c>
      <c r="FQ220" s="486">
        <v>4.1794999999999999E-2</v>
      </c>
      <c r="FR220" s="486">
        <v>4.0194000000000001E-2</v>
      </c>
      <c r="FS220" s="486">
        <v>3.9884999999999997E-2</v>
      </c>
      <c r="FT220" s="486">
        <v>3.9396E-2</v>
      </c>
      <c r="FU220" s="486">
        <v>3.5822E-2</v>
      </c>
      <c r="FV220" s="483">
        <v>4.2924999999999998E-2</v>
      </c>
      <c r="FW220" s="483">
        <v>4.3017E-2</v>
      </c>
      <c r="FX220" s="543">
        <v>4.6086000000000002E-2</v>
      </c>
      <c r="FY220" s="543">
        <v>4.6086000000000002E-2</v>
      </c>
      <c r="FZ220" s="543">
        <v>4.5714999999999999E-2</v>
      </c>
      <c r="GA220" s="543">
        <v>4.4836000000000001E-2</v>
      </c>
      <c r="GB220" s="543">
        <v>4.4665999999999997E-2</v>
      </c>
      <c r="GC220" s="543">
        <v>4.3587000000000001E-2</v>
      </c>
      <c r="GD220" s="486">
        <v>3.6762999999999997E-2</v>
      </c>
      <c r="GE220" s="486">
        <v>3.6762999999999997E-2</v>
      </c>
      <c r="GF220" s="486">
        <v>3.6762999999999997E-2</v>
      </c>
      <c r="GG220" s="486">
        <v>3.6762999999999997E-2</v>
      </c>
      <c r="GH220" s="486">
        <v>3.6762999999999997E-2</v>
      </c>
      <c r="GI220" s="486">
        <v>3.6762999999999997E-2</v>
      </c>
      <c r="GJ220" s="486">
        <v>3.6762999999999997E-2</v>
      </c>
      <c r="GK220" s="486">
        <v>3.6762999999999997E-2</v>
      </c>
      <c r="GL220" s="486">
        <v>3.6762999999999997E-2</v>
      </c>
      <c r="GM220" s="486">
        <v>3.6762999999999997E-2</v>
      </c>
      <c r="GN220" s="486">
        <v>3.6762999999999997E-2</v>
      </c>
      <c r="GO220" s="486">
        <v>3.6762999999999997E-2</v>
      </c>
      <c r="GP220" s="486">
        <v>3.6762999999999997E-2</v>
      </c>
      <c r="GQ220" s="486">
        <v>3.6762999999999997E-2</v>
      </c>
      <c r="GR220" s="486">
        <v>3.6762999999999997E-2</v>
      </c>
      <c r="GS220" s="486">
        <v>3.6762999999999997E-2</v>
      </c>
      <c r="GT220" s="486">
        <v>3.6762999999999997E-2</v>
      </c>
      <c r="GU220" s="486">
        <v>3.6762999999999997E-2</v>
      </c>
      <c r="GV220" s="486">
        <v>3.6762999999999997E-2</v>
      </c>
      <c r="GW220" s="486">
        <v>3.6762999999999997E-2</v>
      </c>
      <c r="GX220" s="486">
        <v>3.6762999999999997E-2</v>
      </c>
      <c r="GY220" s="486">
        <v>3.6762999999999997E-2</v>
      </c>
      <c r="GZ220" s="486">
        <v>3.6762999999999997E-2</v>
      </c>
      <c r="HA220" s="486">
        <v>3.6762999999999997E-2</v>
      </c>
      <c r="HB220" s="486">
        <v>3.6762999999999997E-2</v>
      </c>
      <c r="HC220" s="486">
        <v>3.6762999999999997E-2</v>
      </c>
      <c r="HD220" s="486">
        <v>3.6762999999999997E-2</v>
      </c>
      <c r="HE220" s="486">
        <v>3.6762999999999997E-2</v>
      </c>
      <c r="HF220" s="486">
        <v>3.6762999999999997E-2</v>
      </c>
      <c r="HG220" s="486">
        <v>3.6762999999999997E-2</v>
      </c>
      <c r="HH220" s="486">
        <v>3.6762999999999997E-2</v>
      </c>
      <c r="HI220" s="486">
        <v>3.6762999999999997E-2</v>
      </c>
      <c r="HJ220" s="486">
        <v>3.6762999999999997E-2</v>
      </c>
      <c r="HK220" s="486">
        <v>3.6762999999999997E-2</v>
      </c>
      <c r="HL220" s="486">
        <v>3.6762999999999997E-2</v>
      </c>
      <c r="HM220" s="486">
        <v>3.6762999999999997E-2</v>
      </c>
      <c r="HN220" s="486">
        <v>3.6762999999999997E-2</v>
      </c>
      <c r="HO220" s="486">
        <v>3.6762999999999997E-2</v>
      </c>
      <c r="HP220" s="473">
        <f t="shared" si="78"/>
        <v>0</v>
      </c>
      <c r="HQ220" s="1137"/>
    </row>
    <row r="221" spans="2:225">
      <c r="B221" s="1126" t="s">
        <v>42</v>
      </c>
      <c r="C221" s="731" t="s">
        <v>219</v>
      </c>
      <c r="D221" s="478">
        <v>2.7900000000000001E-2</v>
      </c>
      <c r="E221" s="478">
        <v>2.7900000000000001E-2</v>
      </c>
      <c r="F221" s="478">
        <v>2.7900000000000001E-2</v>
      </c>
      <c r="G221" s="478">
        <v>2.7900000000000001E-2</v>
      </c>
      <c r="H221" s="478">
        <v>2.7900000000000001E-2</v>
      </c>
      <c r="I221" s="478">
        <v>2.7900000000000001E-2</v>
      </c>
      <c r="J221" s="478">
        <v>2.7900000000000001E-2</v>
      </c>
      <c r="K221" s="478">
        <v>2.7900000000000001E-2</v>
      </c>
      <c r="L221" s="503">
        <v>2.7900000000000001E-2</v>
      </c>
      <c r="M221" s="478">
        <v>3.1899999999999998E-2</v>
      </c>
      <c r="N221" s="478">
        <v>3.1899999999999998E-2</v>
      </c>
      <c r="O221" s="478">
        <v>3.1899999999999998E-2</v>
      </c>
      <c r="P221" s="478">
        <v>3.1899999999999998E-2</v>
      </c>
      <c r="Q221" s="478">
        <v>3.1899999999999998E-2</v>
      </c>
      <c r="R221" s="478">
        <v>3.1899999999999998E-2</v>
      </c>
      <c r="S221" s="478">
        <v>3.1899999999999998E-2</v>
      </c>
      <c r="T221" s="478">
        <v>3.1899999999999998E-2</v>
      </c>
      <c r="U221" s="478">
        <v>3.1899999999999998E-2</v>
      </c>
      <c r="V221" s="478">
        <v>3.1899999999999998E-2</v>
      </c>
      <c r="W221" s="478">
        <v>3.1899999999999998E-2</v>
      </c>
      <c r="X221" s="478">
        <v>3.1899999999999998E-2</v>
      </c>
      <c r="Y221" s="478">
        <v>3.1899999999999998E-2</v>
      </c>
      <c r="Z221" s="478">
        <v>3.1899999999999998E-2</v>
      </c>
      <c r="AA221" s="503">
        <v>3.1899999999999998E-2</v>
      </c>
      <c r="AB221" s="478">
        <v>3.44E-2</v>
      </c>
      <c r="AC221" s="478">
        <v>3.44E-2</v>
      </c>
      <c r="AD221" s="478">
        <v>3.44E-2</v>
      </c>
      <c r="AE221" s="478">
        <v>3.44E-2</v>
      </c>
      <c r="AF221" s="478">
        <v>3.44E-2</v>
      </c>
      <c r="AG221" s="478">
        <v>3.44E-2</v>
      </c>
      <c r="AH221" s="478">
        <v>3.44E-2</v>
      </c>
      <c r="AI221" s="478">
        <v>3.44E-2</v>
      </c>
      <c r="AJ221" s="478">
        <v>3.44E-2</v>
      </c>
      <c r="AK221" s="478">
        <v>3.44E-2</v>
      </c>
      <c r="AL221" s="479">
        <v>3.44E-2</v>
      </c>
      <c r="AM221" s="478">
        <v>3.44E-2</v>
      </c>
      <c r="AN221" s="478">
        <v>3.44E-2</v>
      </c>
      <c r="AO221" s="478">
        <v>3.44E-2</v>
      </c>
      <c r="AP221" s="478">
        <v>3.44E-2</v>
      </c>
      <c r="AQ221" s="478">
        <v>3.44E-2</v>
      </c>
      <c r="AR221" s="503">
        <v>3.44E-2</v>
      </c>
      <c r="AS221" s="478">
        <v>3.5400000000000001E-2</v>
      </c>
      <c r="AT221" s="478">
        <v>3.5400000000000001E-2</v>
      </c>
      <c r="AU221" s="478">
        <v>3.5400000000000001E-2</v>
      </c>
      <c r="AV221" s="479">
        <v>3.5400000000000001E-2</v>
      </c>
      <c r="AW221" s="479">
        <v>3.5400000000000001E-2</v>
      </c>
      <c r="AX221" s="479">
        <v>3.5400000000000001E-2</v>
      </c>
      <c r="AY221" s="479">
        <v>3.5400000000000001E-2</v>
      </c>
      <c r="AZ221" s="479">
        <v>3.5400000000000001E-2</v>
      </c>
      <c r="BA221" s="479">
        <v>3.5400000000000001E-2</v>
      </c>
      <c r="BB221" s="479">
        <v>3.5400000000000001E-2</v>
      </c>
      <c r="BC221" s="479">
        <v>3.5400000000000001E-2</v>
      </c>
      <c r="BD221" s="479">
        <v>3.5400000000000001E-2</v>
      </c>
      <c r="BE221" s="479">
        <v>3.5400000000000001E-2</v>
      </c>
      <c r="BF221" s="479">
        <v>3.5400000000000001E-2</v>
      </c>
      <c r="BG221" s="479">
        <v>3.5400000000000001E-2</v>
      </c>
      <c r="BH221" s="479">
        <v>3.5400000000000001E-2</v>
      </c>
      <c r="BI221" s="479">
        <v>3.5400000000000001E-2</v>
      </c>
      <c r="BJ221" s="479">
        <v>3.5400000000000001E-2</v>
      </c>
      <c r="BK221" s="479">
        <v>3.5400000000000001E-2</v>
      </c>
      <c r="BL221" s="479">
        <v>3.5400000000000001E-2</v>
      </c>
      <c r="BM221" s="479">
        <v>3.5400000000000001E-2</v>
      </c>
      <c r="BN221" s="479">
        <v>3.5400000000000001E-2</v>
      </c>
      <c r="BO221" s="479">
        <v>3.5400000000000001E-2</v>
      </c>
      <c r="BP221" s="479">
        <v>3.5400000000000001E-2</v>
      </c>
      <c r="BQ221" s="479">
        <v>3.5400000000000001E-2</v>
      </c>
      <c r="BR221" s="479">
        <v>3.5400000000000001E-2</v>
      </c>
      <c r="BS221" s="479">
        <v>3.5400000000000001E-2</v>
      </c>
      <c r="BT221" s="479">
        <v>3.5400000000000001E-2</v>
      </c>
      <c r="BU221" s="479">
        <v>3.5400000000000001E-2</v>
      </c>
      <c r="BV221" s="479">
        <v>3.5400000000000001E-2</v>
      </c>
      <c r="BW221" s="479">
        <v>3.5400000000000001E-2</v>
      </c>
      <c r="BX221" s="479">
        <v>3.5400000000000001E-2</v>
      </c>
      <c r="BY221" s="479">
        <v>3.5400000000000001E-2</v>
      </c>
      <c r="BZ221" s="479">
        <v>3.5400000000000001E-2</v>
      </c>
      <c r="CA221" s="479">
        <v>3.8399999999999997E-2</v>
      </c>
      <c r="CB221" s="479">
        <v>3.8399999999999997E-2</v>
      </c>
      <c r="CC221" s="479">
        <v>3.8399999999999997E-2</v>
      </c>
      <c r="CD221" s="479">
        <v>3.8399999999999997E-2</v>
      </c>
      <c r="CE221" s="479">
        <v>4.4400000000000002E-2</v>
      </c>
      <c r="CF221" s="479">
        <v>4.4400000000000002E-2</v>
      </c>
      <c r="CG221" s="479">
        <v>4.4400000000000002E-2</v>
      </c>
      <c r="CH221" s="479">
        <v>4.4400000000000002E-2</v>
      </c>
      <c r="CI221" s="479">
        <v>4.4400000000000002E-2</v>
      </c>
      <c r="CJ221" s="479">
        <v>4.4400000000000002E-2</v>
      </c>
      <c r="CK221" s="479">
        <v>4.4400000000000002E-2</v>
      </c>
      <c r="CL221" s="479">
        <v>4.4400000000000002E-2</v>
      </c>
      <c r="CM221" s="479">
        <v>4.4400000000000002E-2</v>
      </c>
      <c r="CN221" s="479">
        <v>4.4400000000000002E-2</v>
      </c>
      <c r="CO221" s="479">
        <v>4.4400000000000002E-2</v>
      </c>
      <c r="CP221" s="479">
        <v>4.4400000000000002E-2</v>
      </c>
      <c r="CQ221" s="479">
        <v>4.4400000000000002E-2</v>
      </c>
      <c r="CR221" s="479">
        <v>0.05</v>
      </c>
      <c r="CS221" s="479">
        <v>0.05</v>
      </c>
      <c r="CT221" s="479">
        <v>0.05</v>
      </c>
      <c r="CU221" s="479">
        <v>0.05</v>
      </c>
      <c r="CV221" s="479">
        <v>0.05</v>
      </c>
      <c r="CW221" s="533">
        <v>0.05</v>
      </c>
      <c r="CX221" s="489">
        <v>4.4400000000000002E-2</v>
      </c>
      <c r="CY221" s="489">
        <v>4.4400000000000002E-2</v>
      </c>
      <c r="CZ221" s="489">
        <v>4.4400000000000002E-2</v>
      </c>
      <c r="DA221" s="489">
        <v>4.4400000000000002E-2</v>
      </c>
      <c r="DB221" s="489">
        <v>4.4400000000000002E-2</v>
      </c>
      <c r="DC221" s="489">
        <v>4.4400000000000002E-2</v>
      </c>
      <c r="DD221" s="489">
        <v>4.4400000000000002E-2</v>
      </c>
      <c r="DE221" s="489">
        <v>4.4400000000000002E-2</v>
      </c>
      <c r="DF221" s="489">
        <v>4.4400000000000002E-2</v>
      </c>
      <c r="DG221" s="489">
        <v>4.4400000000000002E-2</v>
      </c>
      <c r="DH221" s="489">
        <v>4.4400000000000002E-2</v>
      </c>
      <c r="DI221" s="489">
        <v>4.4400000000000002E-2</v>
      </c>
      <c r="DJ221" s="489">
        <v>4.4400000000000002E-2</v>
      </c>
      <c r="DK221" s="489">
        <v>4.4400000000000002E-2</v>
      </c>
      <c r="DL221" s="489">
        <v>4.4400000000000002E-2</v>
      </c>
      <c r="DM221" s="489">
        <v>4.4400000000000002E-2</v>
      </c>
      <c r="DN221" s="489">
        <v>4.4400000000000002E-2</v>
      </c>
      <c r="DO221" s="489">
        <v>4.4400000000000002E-2</v>
      </c>
      <c r="DP221" s="489">
        <v>4.4400000000000002E-2</v>
      </c>
      <c r="DQ221" s="489">
        <v>4.4400000000000002E-2</v>
      </c>
      <c r="DR221" s="489">
        <v>4.4400000000000002E-2</v>
      </c>
      <c r="DS221" s="489">
        <v>4.4400000000000002E-2</v>
      </c>
      <c r="DT221" s="489">
        <v>4.4400000000000002E-2</v>
      </c>
      <c r="DU221" s="489">
        <v>4.4400000000000002E-2</v>
      </c>
      <c r="DV221" s="489">
        <v>4.4400000000000002E-2</v>
      </c>
      <c r="DW221" s="489">
        <v>4.4400000000000002E-2</v>
      </c>
      <c r="DX221" s="489">
        <v>4.4400000000000002E-2</v>
      </c>
      <c r="DY221" s="489">
        <v>4.4400000000000002E-2</v>
      </c>
      <c r="DZ221" s="489">
        <v>4.4400000000000002E-2</v>
      </c>
      <c r="EA221" s="489">
        <v>4.4400000000000002E-2</v>
      </c>
      <c r="EB221" s="489">
        <v>4.4400000000000002E-2</v>
      </c>
      <c r="EC221" s="489">
        <v>4.4400000000000002E-2</v>
      </c>
      <c r="ED221" s="489">
        <v>4.4400000000000002E-2</v>
      </c>
      <c r="EE221" s="489">
        <v>4.4400000000000002E-2</v>
      </c>
      <c r="EF221" s="489">
        <v>4.4400000000000002E-2</v>
      </c>
      <c r="EG221" s="489">
        <v>4.4400000000000002E-2</v>
      </c>
      <c r="EH221" s="489">
        <v>4.4400000000000002E-2</v>
      </c>
      <c r="EI221" s="489">
        <v>4.4400000000000002E-2</v>
      </c>
      <c r="EJ221" s="489">
        <v>4.4400000000000002E-2</v>
      </c>
      <c r="EK221" s="489">
        <v>4.4400000000000002E-2</v>
      </c>
      <c r="EL221" s="489">
        <v>4.4400000000000002E-2</v>
      </c>
      <c r="EM221" s="489">
        <v>4.4400000000000002E-2</v>
      </c>
      <c r="EN221" s="489">
        <v>4.4400000000000002E-2</v>
      </c>
      <c r="EO221" s="489">
        <v>4.4400000000000002E-2</v>
      </c>
      <c r="EP221" s="489">
        <v>4.4400000000000002E-2</v>
      </c>
      <c r="EQ221" s="489">
        <v>4.4400000000000002E-2</v>
      </c>
      <c r="ER221" s="489">
        <v>4.4400000000000002E-2</v>
      </c>
      <c r="ES221" s="489">
        <v>4.4400000000000002E-2</v>
      </c>
      <c r="ET221" s="489">
        <v>4.4400000000000002E-2</v>
      </c>
      <c r="EU221" s="489">
        <v>4.4400000000000002E-2</v>
      </c>
      <c r="EV221" s="489">
        <v>4.4400000000000002E-2</v>
      </c>
      <c r="EW221" s="489">
        <v>4.4400000000000002E-2</v>
      </c>
      <c r="EX221" s="489">
        <v>4.4400000000000002E-2</v>
      </c>
      <c r="EY221" s="489">
        <v>4.4400000000000002E-2</v>
      </c>
      <c r="EZ221" s="489">
        <v>4.4400000000000002E-2</v>
      </c>
      <c r="FA221" s="489">
        <v>4.4400000000000002E-2</v>
      </c>
      <c r="FB221" s="489">
        <v>4.4400000000000002E-2</v>
      </c>
      <c r="FC221" s="489">
        <v>4.4400000000000002E-2</v>
      </c>
      <c r="FD221" s="489">
        <v>4.4400000000000002E-2</v>
      </c>
      <c r="FE221" s="489">
        <v>4.4400000000000002E-2</v>
      </c>
      <c r="FF221" s="489">
        <v>4.4400000000000002E-2</v>
      </c>
      <c r="FG221" s="489">
        <v>4.4400000000000002E-2</v>
      </c>
      <c r="FH221" s="489">
        <v>4.4400000000000002E-2</v>
      </c>
      <c r="FI221" s="489">
        <v>4.4400000000000002E-2</v>
      </c>
      <c r="FJ221" s="489">
        <v>4.4400000000000002E-2</v>
      </c>
      <c r="FK221" s="489">
        <v>4.4400000000000002E-2</v>
      </c>
      <c r="FL221" s="489">
        <v>4.4400000000000002E-2</v>
      </c>
      <c r="FM221" s="489">
        <v>4.4400000000000002E-2</v>
      </c>
      <c r="FN221" s="489">
        <v>4.4400000000000002E-2</v>
      </c>
      <c r="FO221" s="489">
        <v>4.4400000000000002E-2</v>
      </c>
      <c r="FP221" s="489">
        <v>4.4400000000000002E-2</v>
      </c>
      <c r="FQ221" s="489">
        <v>4.4400000000000002E-2</v>
      </c>
      <c r="FR221" s="489">
        <v>4.4400000000000002E-2</v>
      </c>
      <c r="FS221" s="489">
        <v>4.4400000000000002E-2</v>
      </c>
      <c r="FT221" s="489">
        <v>4.4400000000000002E-2</v>
      </c>
      <c r="FU221" s="489">
        <v>4.4400000000000002E-2</v>
      </c>
      <c r="FV221" s="489">
        <v>4.4400000000000002E-2</v>
      </c>
      <c r="FW221" s="489">
        <v>4.4400000000000002E-2</v>
      </c>
      <c r="FX221" s="489">
        <v>4.4400000000000002E-2</v>
      </c>
      <c r="FY221" s="489">
        <v>4.4400000000000002E-2</v>
      </c>
      <c r="FZ221" s="489">
        <v>4.4400000000000002E-2</v>
      </c>
      <c r="GA221" s="489">
        <v>4.4400000000000002E-2</v>
      </c>
      <c r="GB221" s="489">
        <v>4.4400000000000002E-2</v>
      </c>
      <c r="GC221" s="489">
        <v>4.4400000000000002E-2</v>
      </c>
      <c r="GD221" s="489">
        <v>3.8899999999999997E-2</v>
      </c>
      <c r="GE221" s="489">
        <v>3.8899999999999997E-2</v>
      </c>
      <c r="GF221" s="489">
        <v>3.8899999999999997E-2</v>
      </c>
      <c r="GG221" s="489">
        <v>3.8899999999999997E-2</v>
      </c>
      <c r="GH221" s="489">
        <v>3.8899999999999997E-2</v>
      </c>
      <c r="GI221" s="489">
        <v>3.8899999999999997E-2</v>
      </c>
      <c r="GJ221" s="489">
        <v>3.8899999999999997E-2</v>
      </c>
      <c r="GK221" s="489">
        <v>3.8899999999999997E-2</v>
      </c>
      <c r="GL221" s="489">
        <v>3.8899999999999997E-2</v>
      </c>
      <c r="GM221" s="489">
        <v>3.8899999999999997E-2</v>
      </c>
      <c r="GN221" s="489">
        <v>3.8899999999999997E-2</v>
      </c>
      <c r="GO221" s="489">
        <v>3.8899999999999997E-2</v>
      </c>
      <c r="GP221" s="489">
        <v>3.8899999999999997E-2</v>
      </c>
      <c r="GQ221" s="489">
        <v>3.8899999999999997E-2</v>
      </c>
      <c r="GR221" s="489">
        <v>3.8899999999999997E-2</v>
      </c>
      <c r="GS221" s="489">
        <v>3.8899999999999997E-2</v>
      </c>
      <c r="GT221" s="489">
        <v>3.8899999999999997E-2</v>
      </c>
      <c r="GU221" s="489">
        <v>3.8899999999999997E-2</v>
      </c>
      <c r="GV221" s="489">
        <v>3.8899999999999997E-2</v>
      </c>
      <c r="GW221" s="489">
        <v>3.8899999999999997E-2</v>
      </c>
      <c r="GX221" s="489">
        <v>3.8899999999999997E-2</v>
      </c>
      <c r="GY221" s="489">
        <v>3.8899999999999997E-2</v>
      </c>
      <c r="GZ221" s="489">
        <v>3.8899999999999997E-2</v>
      </c>
      <c r="HA221" s="489">
        <v>3.8899999999999997E-2</v>
      </c>
      <c r="HB221" s="489">
        <v>3.8899999999999997E-2</v>
      </c>
      <c r="HC221" s="489">
        <v>3.8899999999999997E-2</v>
      </c>
      <c r="HD221" s="489">
        <v>3.8899999999999997E-2</v>
      </c>
      <c r="HE221" s="489">
        <v>3.8899999999999997E-2</v>
      </c>
      <c r="HF221" s="489">
        <v>3.8899999999999997E-2</v>
      </c>
      <c r="HG221" s="489">
        <v>3.8899999999999997E-2</v>
      </c>
      <c r="HH221" s="489">
        <v>3.8899999999999997E-2</v>
      </c>
      <c r="HI221" s="489">
        <v>3.8899999999999997E-2</v>
      </c>
      <c r="HJ221" s="489">
        <v>3.8899999999999997E-2</v>
      </c>
      <c r="HK221" s="489">
        <v>3.8899999999999997E-2</v>
      </c>
      <c r="HL221" s="489">
        <v>3.8899999999999997E-2</v>
      </c>
      <c r="HM221" s="489">
        <v>3.8899999999999997E-2</v>
      </c>
      <c r="HN221" s="489">
        <v>3.8899999999999997E-2</v>
      </c>
      <c r="HO221" s="489">
        <v>3.8899999999999997E-2</v>
      </c>
      <c r="HP221" s="473">
        <f t="shared" si="78"/>
        <v>0</v>
      </c>
      <c r="HQ221" s="1142"/>
    </row>
    <row r="222" spans="2:225">
      <c r="B222" s="1127"/>
      <c r="C222" s="731" t="s">
        <v>218</v>
      </c>
      <c r="D222" s="478">
        <v>2.81E-2</v>
      </c>
      <c r="E222" s="478">
        <v>2.81E-2</v>
      </c>
      <c r="F222" s="478">
        <v>2.81E-2</v>
      </c>
      <c r="G222" s="478">
        <v>2.81E-2</v>
      </c>
      <c r="H222" s="478">
        <v>2.81E-2</v>
      </c>
      <c r="I222" s="478">
        <v>2.81E-2</v>
      </c>
      <c r="J222" s="478">
        <v>2.81E-2</v>
      </c>
      <c r="K222" s="478">
        <v>2.81E-2</v>
      </c>
      <c r="L222" s="503">
        <v>2.81E-2</v>
      </c>
      <c r="M222" s="478">
        <v>3.2099999999999997E-2</v>
      </c>
      <c r="N222" s="478">
        <v>3.2099999999999997E-2</v>
      </c>
      <c r="O222" s="478">
        <v>3.2099999999999997E-2</v>
      </c>
      <c r="P222" s="478">
        <v>3.2099999999999997E-2</v>
      </c>
      <c r="Q222" s="478">
        <v>3.2099999999999997E-2</v>
      </c>
      <c r="R222" s="478">
        <v>3.2099999999999997E-2</v>
      </c>
      <c r="S222" s="478">
        <v>3.2099999999999997E-2</v>
      </c>
      <c r="T222" s="478">
        <v>3.2099999999999997E-2</v>
      </c>
      <c r="U222" s="478">
        <v>3.2099999999999997E-2</v>
      </c>
      <c r="V222" s="478">
        <v>3.2099999999999997E-2</v>
      </c>
      <c r="W222" s="478">
        <v>3.2099999999999997E-2</v>
      </c>
      <c r="X222" s="478">
        <v>3.2099999999999997E-2</v>
      </c>
      <c r="Y222" s="478">
        <v>3.2099999999999997E-2</v>
      </c>
      <c r="Z222" s="478">
        <v>3.2099999999999997E-2</v>
      </c>
      <c r="AA222" s="503">
        <v>3.2099999999999997E-2</v>
      </c>
      <c r="AB222" s="478">
        <v>3.4599999999999999E-2</v>
      </c>
      <c r="AC222" s="478">
        <v>3.4599999999999999E-2</v>
      </c>
      <c r="AD222" s="478">
        <v>3.4599999999999999E-2</v>
      </c>
      <c r="AE222" s="478">
        <v>3.4599999999999999E-2</v>
      </c>
      <c r="AF222" s="478">
        <v>3.4599999999999999E-2</v>
      </c>
      <c r="AG222" s="478">
        <v>3.4599999999999999E-2</v>
      </c>
      <c r="AH222" s="478">
        <v>3.4599999999999999E-2</v>
      </c>
      <c r="AI222" s="478">
        <v>3.4599999999999999E-2</v>
      </c>
      <c r="AJ222" s="478">
        <v>3.4599999999999999E-2</v>
      </c>
      <c r="AK222" s="478">
        <v>3.4599999999999999E-2</v>
      </c>
      <c r="AL222" s="479">
        <v>3.4599999999999999E-2</v>
      </c>
      <c r="AM222" s="478">
        <v>3.4599999999999999E-2</v>
      </c>
      <c r="AN222" s="478">
        <v>3.4599999999999999E-2</v>
      </c>
      <c r="AO222" s="478">
        <v>3.4599999999999999E-2</v>
      </c>
      <c r="AP222" s="478">
        <v>3.4599999999999999E-2</v>
      </c>
      <c r="AQ222" s="478">
        <v>3.4599999999999999E-2</v>
      </c>
      <c r="AR222" s="503">
        <v>3.4599999999999999E-2</v>
      </c>
      <c r="AS222" s="478">
        <v>3.56E-2</v>
      </c>
      <c r="AT222" s="478">
        <v>3.56E-2</v>
      </c>
      <c r="AU222" s="478">
        <v>3.56E-2</v>
      </c>
      <c r="AV222" s="479">
        <v>3.56E-2</v>
      </c>
      <c r="AW222" s="479">
        <v>3.56E-2</v>
      </c>
      <c r="AX222" s="479">
        <v>3.56E-2</v>
      </c>
      <c r="AY222" s="479">
        <v>3.56E-2</v>
      </c>
      <c r="AZ222" s="479">
        <v>3.56E-2</v>
      </c>
      <c r="BA222" s="479">
        <v>3.56E-2</v>
      </c>
      <c r="BB222" s="479">
        <v>3.56E-2</v>
      </c>
      <c r="BC222" s="479">
        <v>3.56E-2</v>
      </c>
      <c r="BD222" s="479">
        <v>3.56E-2</v>
      </c>
      <c r="BE222" s="479">
        <v>3.56E-2</v>
      </c>
      <c r="BF222" s="479">
        <v>3.56E-2</v>
      </c>
      <c r="BG222" s="479">
        <v>3.56E-2</v>
      </c>
      <c r="BH222" s="479">
        <v>3.56E-2</v>
      </c>
      <c r="BI222" s="479">
        <v>3.56E-2</v>
      </c>
      <c r="BJ222" s="479">
        <v>3.56E-2</v>
      </c>
      <c r="BK222" s="479">
        <v>3.56E-2</v>
      </c>
      <c r="BL222" s="479">
        <v>3.56E-2</v>
      </c>
      <c r="BM222" s="479">
        <v>3.56E-2</v>
      </c>
      <c r="BN222" s="479">
        <v>3.56E-2</v>
      </c>
      <c r="BO222" s="479">
        <v>3.56E-2</v>
      </c>
      <c r="BP222" s="479">
        <v>3.56E-2</v>
      </c>
      <c r="BQ222" s="479">
        <v>3.56E-2</v>
      </c>
      <c r="BR222" s="479">
        <v>3.56E-2</v>
      </c>
      <c r="BS222" s="479">
        <v>3.56E-2</v>
      </c>
      <c r="BT222" s="479">
        <v>3.56E-2</v>
      </c>
      <c r="BU222" s="479">
        <v>3.56E-2</v>
      </c>
      <c r="BV222" s="479">
        <v>3.56E-2</v>
      </c>
      <c r="BW222" s="479">
        <v>3.56E-2</v>
      </c>
      <c r="BX222" s="479">
        <v>3.56E-2</v>
      </c>
      <c r="BY222" s="479">
        <v>3.56E-2</v>
      </c>
      <c r="BZ222" s="479">
        <v>3.56E-2</v>
      </c>
      <c r="CA222" s="479">
        <v>3.8600000000000002E-2</v>
      </c>
      <c r="CB222" s="479">
        <v>3.8600000000000002E-2</v>
      </c>
      <c r="CC222" s="479">
        <v>3.8600000000000002E-2</v>
      </c>
      <c r="CD222" s="479">
        <v>3.8600000000000002E-2</v>
      </c>
      <c r="CE222" s="479">
        <v>4.4600000000000001E-2</v>
      </c>
      <c r="CF222" s="479">
        <v>4.4600000000000001E-2</v>
      </c>
      <c r="CG222" s="479">
        <v>4.4600000000000001E-2</v>
      </c>
      <c r="CH222" s="479">
        <v>4.4600000000000001E-2</v>
      </c>
      <c r="CI222" s="479">
        <v>4.4600000000000001E-2</v>
      </c>
      <c r="CJ222" s="479">
        <v>4.4600000000000001E-2</v>
      </c>
      <c r="CK222" s="479">
        <v>4.4600000000000001E-2</v>
      </c>
      <c r="CL222" s="479">
        <v>4.4600000000000001E-2</v>
      </c>
      <c r="CM222" s="479">
        <v>4.4600000000000001E-2</v>
      </c>
      <c r="CN222" s="479">
        <v>4.4600000000000001E-2</v>
      </c>
      <c r="CO222" s="479">
        <v>4.4600000000000001E-2</v>
      </c>
      <c r="CP222" s="479">
        <v>4.4600000000000001E-2</v>
      </c>
      <c r="CQ222" s="479">
        <v>4.4600000000000001E-2</v>
      </c>
      <c r="CR222" s="479">
        <v>0.05</v>
      </c>
      <c r="CS222" s="479">
        <v>0.05</v>
      </c>
      <c r="CT222" s="479">
        <v>0.05</v>
      </c>
      <c r="CU222" s="479">
        <v>0.05</v>
      </c>
      <c r="CV222" s="479">
        <v>0.05</v>
      </c>
      <c r="CW222" s="533">
        <v>0.05</v>
      </c>
      <c r="CX222" s="489">
        <v>4.4600000000000001E-2</v>
      </c>
      <c r="CY222" s="489">
        <v>4.4600000000000001E-2</v>
      </c>
      <c r="CZ222" s="489">
        <v>4.4600000000000001E-2</v>
      </c>
      <c r="DA222" s="489">
        <v>4.4600000000000001E-2</v>
      </c>
      <c r="DB222" s="489">
        <v>4.4600000000000001E-2</v>
      </c>
      <c r="DC222" s="489">
        <v>4.4600000000000001E-2</v>
      </c>
      <c r="DD222" s="489">
        <v>4.4600000000000001E-2</v>
      </c>
      <c r="DE222" s="489">
        <v>4.4600000000000001E-2</v>
      </c>
      <c r="DF222" s="489">
        <v>4.4600000000000001E-2</v>
      </c>
      <c r="DG222" s="489">
        <v>4.4600000000000001E-2</v>
      </c>
      <c r="DH222" s="489">
        <v>4.4600000000000001E-2</v>
      </c>
      <c r="DI222" s="489">
        <v>4.4600000000000001E-2</v>
      </c>
      <c r="DJ222" s="489">
        <v>4.4600000000000001E-2</v>
      </c>
      <c r="DK222" s="489">
        <v>4.4600000000000001E-2</v>
      </c>
      <c r="DL222" s="489">
        <v>4.4600000000000001E-2</v>
      </c>
      <c r="DM222" s="489">
        <v>4.4600000000000001E-2</v>
      </c>
      <c r="DN222" s="489">
        <v>4.4600000000000001E-2</v>
      </c>
      <c r="DO222" s="489">
        <v>4.4600000000000001E-2</v>
      </c>
      <c r="DP222" s="489">
        <v>4.4600000000000001E-2</v>
      </c>
      <c r="DQ222" s="489">
        <v>4.4600000000000001E-2</v>
      </c>
      <c r="DR222" s="489">
        <v>4.4600000000000001E-2</v>
      </c>
      <c r="DS222" s="489">
        <v>4.4600000000000001E-2</v>
      </c>
      <c r="DT222" s="489">
        <v>4.4600000000000001E-2</v>
      </c>
      <c r="DU222" s="489">
        <v>4.4600000000000001E-2</v>
      </c>
      <c r="DV222" s="489">
        <v>4.4600000000000001E-2</v>
      </c>
      <c r="DW222" s="489">
        <v>4.4600000000000001E-2</v>
      </c>
      <c r="DX222" s="489">
        <v>4.4600000000000001E-2</v>
      </c>
      <c r="DY222" s="489">
        <v>4.4600000000000001E-2</v>
      </c>
      <c r="DZ222" s="489">
        <v>4.4600000000000001E-2</v>
      </c>
      <c r="EA222" s="489">
        <v>4.4600000000000001E-2</v>
      </c>
      <c r="EB222" s="489">
        <v>4.4600000000000001E-2</v>
      </c>
      <c r="EC222" s="489">
        <v>4.4600000000000001E-2</v>
      </c>
      <c r="ED222" s="489">
        <v>4.4600000000000001E-2</v>
      </c>
      <c r="EE222" s="489">
        <v>4.4600000000000001E-2</v>
      </c>
      <c r="EF222" s="489">
        <v>4.4600000000000001E-2</v>
      </c>
      <c r="EG222" s="489">
        <v>4.4600000000000001E-2</v>
      </c>
      <c r="EH222" s="489">
        <v>4.4600000000000001E-2</v>
      </c>
      <c r="EI222" s="489">
        <v>4.4600000000000001E-2</v>
      </c>
      <c r="EJ222" s="489">
        <v>4.4600000000000001E-2</v>
      </c>
      <c r="EK222" s="489">
        <v>4.4600000000000001E-2</v>
      </c>
      <c r="EL222" s="489">
        <v>4.4600000000000001E-2</v>
      </c>
      <c r="EM222" s="489">
        <v>4.4600000000000001E-2</v>
      </c>
      <c r="EN222" s="489">
        <v>4.4600000000000001E-2</v>
      </c>
      <c r="EO222" s="489">
        <v>4.4600000000000001E-2</v>
      </c>
      <c r="EP222" s="489">
        <v>4.4600000000000001E-2</v>
      </c>
      <c r="EQ222" s="489">
        <v>4.4600000000000001E-2</v>
      </c>
      <c r="ER222" s="489">
        <v>4.4600000000000001E-2</v>
      </c>
      <c r="ES222" s="489">
        <v>4.4600000000000001E-2</v>
      </c>
      <c r="ET222" s="489">
        <v>4.4600000000000001E-2</v>
      </c>
      <c r="EU222" s="489">
        <v>4.4600000000000001E-2</v>
      </c>
      <c r="EV222" s="489">
        <v>4.4600000000000001E-2</v>
      </c>
      <c r="EW222" s="489">
        <v>4.4600000000000001E-2</v>
      </c>
      <c r="EX222" s="489">
        <v>4.4600000000000001E-2</v>
      </c>
      <c r="EY222" s="489">
        <v>4.4600000000000001E-2</v>
      </c>
      <c r="EZ222" s="489">
        <v>4.4600000000000001E-2</v>
      </c>
      <c r="FA222" s="489">
        <v>4.4600000000000001E-2</v>
      </c>
      <c r="FB222" s="489">
        <v>4.4600000000000001E-2</v>
      </c>
      <c r="FC222" s="489">
        <v>4.4600000000000001E-2</v>
      </c>
      <c r="FD222" s="489">
        <v>4.4600000000000001E-2</v>
      </c>
      <c r="FE222" s="489">
        <v>4.4600000000000001E-2</v>
      </c>
      <c r="FF222" s="489">
        <v>4.4600000000000001E-2</v>
      </c>
      <c r="FG222" s="489">
        <v>4.4600000000000001E-2</v>
      </c>
      <c r="FH222" s="489">
        <v>4.4600000000000001E-2</v>
      </c>
      <c r="FI222" s="489">
        <v>4.4600000000000001E-2</v>
      </c>
      <c r="FJ222" s="489">
        <v>4.4600000000000001E-2</v>
      </c>
      <c r="FK222" s="489">
        <v>4.4600000000000001E-2</v>
      </c>
      <c r="FL222" s="489">
        <v>4.4600000000000001E-2</v>
      </c>
      <c r="FM222" s="489">
        <v>4.4600000000000001E-2</v>
      </c>
      <c r="FN222" s="489">
        <v>4.4600000000000001E-2</v>
      </c>
      <c r="FO222" s="489">
        <v>4.4600000000000001E-2</v>
      </c>
      <c r="FP222" s="489">
        <v>4.4600000000000001E-2</v>
      </c>
      <c r="FQ222" s="489">
        <v>4.4600000000000001E-2</v>
      </c>
      <c r="FR222" s="489">
        <v>4.4600000000000001E-2</v>
      </c>
      <c r="FS222" s="489">
        <v>4.4600000000000001E-2</v>
      </c>
      <c r="FT222" s="489">
        <v>4.4600000000000001E-2</v>
      </c>
      <c r="FU222" s="489">
        <v>4.4600000000000001E-2</v>
      </c>
      <c r="FV222" s="489">
        <v>4.4600000000000001E-2</v>
      </c>
      <c r="FW222" s="489">
        <v>4.4600000000000001E-2</v>
      </c>
      <c r="FX222" s="489">
        <v>4.4600000000000001E-2</v>
      </c>
      <c r="FY222" s="489">
        <v>4.4600000000000001E-2</v>
      </c>
      <c r="FZ222" s="489">
        <v>4.4600000000000001E-2</v>
      </c>
      <c r="GA222" s="489">
        <v>4.4600000000000001E-2</v>
      </c>
      <c r="GB222" s="489">
        <v>4.4600000000000001E-2</v>
      </c>
      <c r="GC222" s="489">
        <v>4.4600000000000001E-2</v>
      </c>
      <c r="GD222" s="489">
        <v>3.9100000000000003E-2</v>
      </c>
      <c r="GE222" s="489">
        <v>3.9100000000000003E-2</v>
      </c>
      <c r="GF222" s="489">
        <v>3.9100000000000003E-2</v>
      </c>
      <c r="GG222" s="489">
        <v>3.9100000000000003E-2</v>
      </c>
      <c r="GH222" s="489">
        <v>3.9100000000000003E-2</v>
      </c>
      <c r="GI222" s="489">
        <v>3.9100000000000003E-2</v>
      </c>
      <c r="GJ222" s="489">
        <v>3.9100000000000003E-2</v>
      </c>
      <c r="GK222" s="489">
        <v>3.9100000000000003E-2</v>
      </c>
      <c r="GL222" s="489">
        <v>3.9100000000000003E-2</v>
      </c>
      <c r="GM222" s="489">
        <v>3.9100000000000003E-2</v>
      </c>
      <c r="GN222" s="489">
        <v>3.9100000000000003E-2</v>
      </c>
      <c r="GO222" s="489">
        <v>3.9100000000000003E-2</v>
      </c>
      <c r="GP222" s="489">
        <v>3.9100000000000003E-2</v>
      </c>
      <c r="GQ222" s="489">
        <v>3.9100000000000003E-2</v>
      </c>
      <c r="GR222" s="489">
        <v>3.9100000000000003E-2</v>
      </c>
      <c r="GS222" s="489">
        <v>3.9100000000000003E-2</v>
      </c>
      <c r="GT222" s="489">
        <v>3.9100000000000003E-2</v>
      </c>
      <c r="GU222" s="489">
        <v>3.9100000000000003E-2</v>
      </c>
      <c r="GV222" s="489">
        <v>3.9100000000000003E-2</v>
      </c>
      <c r="GW222" s="489">
        <v>3.9100000000000003E-2</v>
      </c>
      <c r="GX222" s="489">
        <v>3.9100000000000003E-2</v>
      </c>
      <c r="GY222" s="489">
        <v>3.9100000000000003E-2</v>
      </c>
      <c r="GZ222" s="489">
        <v>3.9100000000000003E-2</v>
      </c>
      <c r="HA222" s="489">
        <v>3.9100000000000003E-2</v>
      </c>
      <c r="HB222" s="489">
        <v>3.9100000000000003E-2</v>
      </c>
      <c r="HC222" s="489">
        <v>3.9100000000000003E-2</v>
      </c>
      <c r="HD222" s="489">
        <v>3.9100000000000003E-2</v>
      </c>
      <c r="HE222" s="489">
        <v>3.9100000000000003E-2</v>
      </c>
      <c r="HF222" s="489">
        <v>3.9100000000000003E-2</v>
      </c>
      <c r="HG222" s="489">
        <v>3.9100000000000003E-2</v>
      </c>
      <c r="HH222" s="489">
        <v>3.9100000000000003E-2</v>
      </c>
      <c r="HI222" s="489">
        <v>3.9100000000000003E-2</v>
      </c>
      <c r="HJ222" s="489">
        <v>3.9100000000000003E-2</v>
      </c>
      <c r="HK222" s="489">
        <v>3.9100000000000003E-2</v>
      </c>
      <c r="HL222" s="489">
        <v>3.9100000000000003E-2</v>
      </c>
      <c r="HM222" s="489">
        <v>3.9100000000000003E-2</v>
      </c>
      <c r="HN222" s="489">
        <v>3.9100000000000003E-2</v>
      </c>
      <c r="HO222" s="489">
        <v>3.9100000000000003E-2</v>
      </c>
      <c r="HP222" s="473">
        <f t="shared" si="78"/>
        <v>0</v>
      </c>
      <c r="HQ222" s="1143"/>
    </row>
    <row r="223" spans="2:225">
      <c r="B223" s="1127"/>
      <c r="C223" s="731" t="s">
        <v>217</v>
      </c>
      <c r="D223" s="478">
        <v>2.8299999999999999E-2</v>
      </c>
      <c r="E223" s="478">
        <v>2.8299999999999999E-2</v>
      </c>
      <c r="F223" s="478">
        <v>2.8299999999999999E-2</v>
      </c>
      <c r="G223" s="478">
        <v>2.8299999999999999E-2</v>
      </c>
      <c r="H223" s="478">
        <v>2.8299999999999999E-2</v>
      </c>
      <c r="I223" s="478">
        <v>2.8299999999999999E-2</v>
      </c>
      <c r="J223" s="478">
        <v>2.8299999999999999E-2</v>
      </c>
      <c r="K223" s="478">
        <v>2.8299999999999999E-2</v>
      </c>
      <c r="L223" s="503">
        <v>2.8299999999999999E-2</v>
      </c>
      <c r="M223" s="478">
        <v>3.2299999999999995E-2</v>
      </c>
      <c r="N223" s="478">
        <v>3.2299999999999995E-2</v>
      </c>
      <c r="O223" s="478">
        <v>3.2299999999999995E-2</v>
      </c>
      <c r="P223" s="478">
        <v>3.2299999999999995E-2</v>
      </c>
      <c r="Q223" s="478">
        <v>3.2299999999999995E-2</v>
      </c>
      <c r="R223" s="478">
        <v>3.2299999999999995E-2</v>
      </c>
      <c r="S223" s="478">
        <v>3.2299999999999995E-2</v>
      </c>
      <c r="T223" s="478">
        <v>3.2299999999999995E-2</v>
      </c>
      <c r="U223" s="478">
        <v>3.2299999999999995E-2</v>
      </c>
      <c r="V223" s="478">
        <v>3.2299999999999995E-2</v>
      </c>
      <c r="W223" s="478">
        <v>3.2299999999999995E-2</v>
      </c>
      <c r="X223" s="478">
        <v>3.2299999999999995E-2</v>
      </c>
      <c r="Y223" s="478">
        <v>3.2299999999999995E-2</v>
      </c>
      <c r="Z223" s="478">
        <v>3.2299999999999995E-2</v>
      </c>
      <c r="AA223" s="503">
        <v>3.2299999999999995E-2</v>
      </c>
      <c r="AB223" s="478">
        <v>3.4799999999999998E-2</v>
      </c>
      <c r="AC223" s="478">
        <v>3.4799999999999998E-2</v>
      </c>
      <c r="AD223" s="478">
        <v>3.4799999999999998E-2</v>
      </c>
      <c r="AE223" s="478">
        <v>3.4799999999999998E-2</v>
      </c>
      <c r="AF223" s="478">
        <v>3.4799999999999998E-2</v>
      </c>
      <c r="AG223" s="478">
        <v>3.4799999999999998E-2</v>
      </c>
      <c r="AH223" s="478">
        <v>3.4799999999999998E-2</v>
      </c>
      <c r="AI223" s="478">
        <v>3.4799999999999998E-2</v>
      </c>
      <c r="AJ223" s="478">
        <v>3.4799999999999998E-2</v>
      </c>
      <c r="AK223" s="478">
        <v>3.4799999999999998E-2</v>
      </c>
      <c r="AL223" s="479">
        <v>3.4799999999999998E-2</v>
      </c>
      <c r="AM223" s="478">
        <v>3.4799999999999998E-2</v>
      </c>
      <c r="AN223" s="478">
        <v>3.4799999999999998E-2</v>
      </c>
      <c r="AO223" s="478">
        <v>3.4799999999999998E-2</v>
      </c>
      <c r="AP223" s="478">
        <v>3.4799999999999998E-2</v>
      </c>
      <c r="AQ223" s="478">
        <v>3.4799999999999998E-2</v>
      </c>
      <c r="AR223" s="503">
        <v>3.4799999999999998E-2</v>
      </c>
      <c r="AS223" s="478">
        <v>3.5799999999999998E-2</v>
      </c>
      <c r="AT223" s="478">
        <v>3.5799999999999998E-2</v>
      </c>
      <c r="AU223" s="478">
        <v>3.5799999999999998E-2</v>
      </c>
      <c r="AV223" s="479">
        <v>3.5799999999999998E-2</v>
      </c>
      <c r="AW223" s="479">
        <v>3.5799999999999998E-2</v>
      </c>
      <c r="AX223" s="479">
        <v>3.5799999999999998E-2</v>
      </c>
      <c r="AY223" s="479">
        <v>3.5799999999999998E-2</v>
      </c>
      <c r="AZ223" s="479">
        <v>3.5799999999999998E-2</v>
      </c>
      <c r="BA223" s="479">
        <v>3.5799999999999998E-2</v>
      </c>
      <c r="BB223" s="479">
        <v>3.5799999999999998E-2</v>
      </c>
      <c r="BC223" s="479">
        <v>3.5799999999999998E-2</v>
      </c>
      <c r="BD223" s="479">
        <v>3.5799999999999998E-2</v>
      </c>
      <c r="BE223" s="479">
        <v>3.5799999999999998E-2</v>
      </c>
      <c r="BF223" s="479">
        <v>3.5799999999999998E-2</v>
      </c>
      <c r="BG223" s="479">
        <v>3.5799999999999998E-2</v>
      </c>
      <c r="BH223" s="479">
        <v>3.5799999999999998E-2</v>
      </c>
      <c r="BI223" s="479">
        <v>3.5799999999999998E-2</v>
      </c>
      <c r="BJ223" s="479">
        <v>3.5799999999999998E-2</v>
      </c>
      <c r="BK223" s="479">
        <v>3.5799999999999998E-2</v>
      </c>
      <c r="BL223" s="479">
        <v>3.5799999999999998E-2</v>
      </c>
      <c r="BM223" s="479">
        <v>3.5799999999999998E-2</v>
      </c>
      <c r="BN223" s="479">
        <v>3.5799999999999998E-2</v>
      </c>
      <c r="BO223" s="479">
        <v>3.5799999999999998E-2</v>
      </c>
      <c r="BP223" s="479">
        <v>3.5799999999999998E-2</v>
      </c>
      <c r="BQ223" s="479">
        <v>3.5799999999999998E-2</v>
      </c>
      <c r="BR223" s="479">
        <v>3.5799999999999998E-2</v>
      </c>
      <c r="BS223" s="479">
        <v>3.5799999999999998E-2</v>
      </c>
      <c r="BT223" s="479">
        <v>3.5799999999999998E-2</v>
      </c>
      <c r="BU223" s="479">
        <v>3.5799999999999998E-2</v>
      </c>
      <c r="BV223" s="479">
        <v>3.5799999999999998E-2</v>
      </c>
      <c r="BW223" s="479">
        <v>3.5799999999999998E-2</v>
      </c>
      <c r="BX223" s="479">
        <v>3.5799999999999998E-2</v>
      </c>
      <c r="BY223" s="479">
        <v>3.5799999999999998E-2</v>
      </c>
      <c r="BZ223" s="479">
        <v>3.5799999999999998E-2</v>
      </c>
      <c r="CA223" s="479">
        <v>3.8800000000000001E-2</v>
      </c>
      <c r="CB223" s="479">
        <v>3.8800000000000001E-2</v>
      </c>
      <c r="CC223" s="479">
        <v>3.8800000000000001E-2</v>
      </c>
      <c r="CD223" s="479">
        <v>3.8800000000000001E-2</v>
      </c>
      <c r="CE223" s="479">
        <v>4.48E-2</v>
      </c>
      <c r="CF223" s="479">
        <v>4.48E-2</v>
      </c>
      <c r="CG223" s="479">
        <v>4.48E-2</v>
      </c>
      <c r="CH223" s="479">
        <v>4.48E-2</v>
      </c>
      <c r="CI223" s="479">
        <v>4.48E-2</v>
      </c>
      <c r="CJ223" s="479">
        <v>4.48E-2</v>
      </c>
      <c r="CK223" s="479">
        <v>4.48E-2</v>
      </c>
      <c r="CL223" s="479">
        <v>4.48E-2</v>
      </c>
      <c r="CM223" s="479">
        <v>4.48E-2</v>
      </c>
      <c r="CN223" s="479">
        <v>4.48E-2</v>
      </c>
      <c r="CO223" s="479">
        <v>4.48E-2</v>
      </c>
      <c r="CP223" s="479">
        <v>4.48E-2</v>
      </c>
      <c r="CQ223" s="479">
        <v>4.48E-2</v>
      </c>
      <c r="CR223" s="479">
        <v>0.05</v>
      </c>
      <c r="CS223" s="479">
        <v>0.05</v>
      </c>
      <c r="CT223" s="479">
        <v>0.05</v>
      </c>
      <c r="CU223" s="479">
        <v>0.05</v>
      </c>
      <c r="CV223" s="479">
        <v>0.05</v>
      </c>
      <c r="CW223" s="533">
        <v>0.05</v>
      </c>
      <c r="CX223" s="489">
        <v>4.48E-2</v>
      </c>
      <c r="CY223" s="489">
        <v>4.48E-2</v>
      </c>
      <c r="CZ223" s="489">
        <v>4.48E-2</v>
      </c>
      <c r="DA223" s="489">
        <v>4.48E-2</v>
      </c>
      <c r="DB223" s="489">
        <v>4.48E-2</v>
      </c>
      <c r="DC223" s="489">
        <v>4.48E-2</v>
      </c>
      <c r="DD223" s="489">
        <v>4.48E-2</v>
      </c>
      <c r="DE223" s="489">
        <v>4.48E-2</v>
      </c>
      <c r="DF223" s="489">
        <v>4.48E-2</v>
      </c>
      <c r="DG223" s="489">
        <v>4.48E-2</v>
      </c>
      <c r="DH223" s="489">
        <v>4.48E-2</v>
      </c>
      <c r="DI223" s="489">
        <v>4.48E-2</v>
      </c>
      <c r="DJ223" s="489">
        <v>4.48E-2</v>
      </c>
      <c r="DK223" s="489">
        <v>4.48E-2</v>
      </c>
      <c r="DL223" s="489">
        <v>4.48E-2</v>
      </c>
      <c r="DM223" s="489">
        <v>4.48E-2</v>
      </c>
      <c r="DN223" s="489">
        <v>4.48E-2</v>
      </c>
      <c r="DO223" s="489">
        <v>4.48E-2</v>
      </c>
      <c r="DP223" s="489">
        <v>4.48E-2</v>
      </c>
      <c r="DQ223" s="489">
        <v>4.48E-2</v>
      </c>
      <c r="DR223" s="489">
        <v>4.48E-2</v>
      </c>
      <c r="DS223" s="489">
        <v>4.48E-2</v>
      </c>
      <c r="DT223" s="489">
        <v>4.48E-2</v>
      </c>
      <c r="DU223" s="489">
        <v>4.48E-2</v>
      </c>
      <c r="DV223" s="489">
        <v>4.48E-2</v>
      </c>
      <c r="DW223" s="489">
        <v>4.48E-2</v>
      </c>
      <c r="DX223" s="489">
        <v>4.48E-2</v>
      </c>
      <c r="DY223" s="489">
        <v>4.48E-2</v>
      </c>
      <c r="DZ223" s="489">
        <v>4.48E-2</v>
      </c>
      <c r="EA223" s="489">
        <v>4.48E-2</v>
      </c>
      <c r="EB223" s="489">
        <v>4.48E-2</v>
      </c>
      <c r="EC223" s="489">
        <v>4.48E-2</v>
      </c>
      <c r="ED223" s="489">
        <v>4.48E-2</v>
      </c>
      <c r="EE223" s="489">
        <v>4.48E-2</v>
      </c>
      <c r="EF223" s="489">
        <v>4.48E-2</v>
      </c>
      <c r="EG223" s="489">
        <v>4.48E-2</v>
      </c>
      <c r="EH223" s="489">
        <v>4.48E-2</v>
      </c>
      <c r="EI223" s="489">
        <v>4.48E-2</v>
      </c>
      <c r="EJ223" s="489">
        <v>4.48E-2</v>
      </c>
      <c r="EK223" s="489">
        <v>4.48E-2</v>
      </c>
      <c r="EL223" s="489">
        <v>4.48E-2</v>
      </c>
      <c r="EM223" s="489">
        <v>4.48E-2</v>
      </c>
      <c r="EN223" s="489">
        <v>4.48E-2</v>
      </c>
      <c r="EO223" s="489">
        <v>4.48E-2</v>
      </c>
      <c r="EP223" s="489">
        <v>4.48E-2</v>
      </c>
      <c r="EQ223" s="489">
        <v>4.48E-2</v>
      </c>
      <c r="ER223" s="489">
        <v>4.48E-2</v>
      </c>
      <c r="ES223" s="489">
        <v>4.48E-2</v>
      </c>
      <c r="ET223" s="489">
        <v>4.48E-2</v>
      </c>
      <c r="EU223" s="489">
        <v>4.48E-2</v>
      </c>
      <c r="EV223" s="489">
        <v>4.48E-2</v>
      </c>
      <c r="EW223" s="489">
        <v>4.48E-2</v>
      </c>
      <c r="EX223" s="489">
        <v>4.48E-2</v>
      </c>
      <c r="EY223" s="489">
        <v>4.48E-2</v>
      </c>
      <c r="EZ223" s="489">
        <v>4.48E-2</v>
      </c>
      <c r="FA223" s="489">
        <v>4.48E-2</v>
      </c>
      <c r="FB223" s="489">
        <v>4.48E-2</v>
      </c>
      <c r="FC223" s="489">
        <v>4.48E-2</v>
      </c>
      <c r="FD223" s="489">
        <v>4.48E-2</v>
      </c>
      <c r="FE223" s="489">
        <v>4.48E-2</v>
      </c>
      <c r="FF223" s="489">
        <v>4.48E-2</v>
      </c>
      <c r="FG223" s="489">
        <v>4.48E-2</v>
      </c>
      <c r="FH223" s="489">
        <v>4.48E-2</v>
      </c>
      <c r="FI223" s="489">
        <v>4.48E-2</v>
      </c>
      <c r="FJ223" s="489">
        <v>4.48E-2</v>
      </c>
      <c r="FK223" s="489">
        <v>4.48E-2</v>
      </c>
      <c r="FL223" s="489">
        <v>4.48E-2</v>
      </c>
      <c r="FM223" s="489">
        <v>4.48E-2</v>
      </c>
      <c r="FN223" s="489">
        <v>4.48E-2</v>
      </c>
      <c r="FO223" s="489">
        <v>4.48E-2</v>
      </c>
      <c r="FP223" s="489">
        <v>4.48E-2</v>
      </c>
      <c r="FQ223" s="489">
        <v>4.48E-2</v>
      </c>
      <c r="FR223" s="489">
        <v>4.48E-2</v>
      </c>
      <c r="FS223" s="489">
        <v>4.48E-2</v>
      </c>
      <c r="FT223" s="489">
        <v>4.48E-2</v>
      </c>
      <c r="FU223" s="489">
        <v>4.48E-2</v>
      </c>
      <c r="FV223" s="489">
        <v>4.48E-2</v>
      </c>
      <c r="FW223" s="489">
        <v>4.48E-2</v>
      </c>
      <c r="FX223" s="489">
        <v>4.48E-2</v>
      </c>
      <c r="FY223" s="489">
        <v>4.48E-2</v>
      </c>
      <c r="FZ223" s="489">
        <v>4.48E-2</v>
      </c>
      <c r="GA223" s="489">
        <v>4.48E-2</v>
      </c>
      <c r="GB223" s="489">
        <v>4.48E-2</v>
      </c>
      <c r="GC223" s="489">
        <v>4.48E-2</v>
      </c>
      <c r="GD223" s="489">
        <v>3.9300000000000002E-2</v>
      </c>
      <c r="GE223" s="489">
        <v>3.9300000000000002E-2</v>
      </c>
      <c r="GF223" s="489">
        <v>3.9300000000000002E-2</v>
      </c>
      <c r="GG223" s="489">
        <v>3.9300000000000002E-2</v>
      </c>
      <c r="GH223" s="489">
        <v>3.9300000000000002E-2</v>
      </c>
      <c r="GI223" s="489">
        <v>3.9300000000000002E-2</v>
      </c>
      <c r="GJ223" s="489">
        <v>3.9300000000000002E-2</v>
      </c>
      <c r="GK223" s="489">
        <v>3.9300000000000002E-2</v>
      </c>
      <c r="GL223" s="489">
        <v>3.9300000000000002E-2</v>
      </c>
      <c r="GM223" s="489">
        <v>3.9300000000000002E-2</v>
      </c>
      <c r="GN223" s="489">
        <v>3.9300000000000002E-2</v>
      </c>
      <c r="GO223" s="489">
        <v>3.9300000000000002E-2</v>
      </c>
      <c r="GP223" s="489">
        <v>3.9300000000000002E-2</v>
      </c>
      <c r="GQ223" s="489">
        <v>3.9300000000000002E-2</v>
      </c>
      <c r="GR223" s="489">
        <v>3.9300000000000002E-2</v>
      </c>
      <c r="GS223" s="489">
        <v>3.9300000000000002E-2</v>
      </c>
      <c r="GT223" s="489">
        <v>3.9300000000000002E-2</v>
      </c>
      <c r="GU223" s="489">
        <v>3.9300000000000002E-2</v>
      </c>
      <c r="GV223" s="489">
        <v>3.9300000000000002E-2</v>
      </c>
      <c r="GW223" s="489">
        <v>3.9300000000000002E-2</v>
      </c>
      <c r="GX223" s="489">
        <v>3.9300000000000002E-2</v>
      </c>
      <c r="GY223" s="489">
        <v>3.9300000000000002E-2</v>
      </c>
      <c r="GZ223" s="489">
        <v>3.9300000000000002E-2</v>
      </c>
      <c r="HA223" s="489">
        <v>3.9300000000000002E-2</v>
      </c>
      <c r="HB223" s="489">
        <v>3.9300000000000002E-2</v>
      </c>
      <c r="HC223" s="489">
        <v>3.9300000000000002E-2</v>
      </c>
      <c r="HD223" s="489">
        <v>3.9300000000000002E-2</v>
      </c>
      <c r="HE223" s="489">
        <v>3.9300000000000002E-2</v>
      </c>
      <c r="HF223" s="489">
        <v>3.9300000000000002E-2</v>
      </c>
      <c r="HG223" s="489">
        <v>3.9300000000000002E-2</v>
      </c>
      <c r="HH223" s="489">
        <v>3.9300000000000002E-2</v>
      </c>
      <c r="HI223" s="489">
        <v>3.9300000000000002E-2</v>
      </c>
      <c r="HJ223" s="489">
        <v>3.9300000000000002E-2</v>
      </c>
      <c r="HK223" s="489">
        <v>3.9300000000000002E-2</v>
      </c>
      <c r="HL223" s="489">
        <v>3.9300000000000002E-2</v>
      </c>
      <c r="HM223" s="489">
        <v>3.9300000000000002E-2</v>
      </c>
      <c r="HN223" s="489">
        <v>3.9300000000000002E-2</v>
      </c>
      <c r="HO223" s="489">
        <v>3.9300000000000002E-2</v>
      </c>
      <c r="HP223" s="473">
        <f t="shared" si="78"/>
        <v>0</v>
      </c>
      <c r="HQ223" s="1143"/>
    </row>
    <row r="224" spans="2:225">
      <c r="B224" s="1127"/>
      <c r="C224" s="731" t="s">
        <v>216</v>
      </c>
      <c r="D224" s="478">
        <v>2.8500000000000001E-2</v>
      </c>
      <c r="E224" s="478">
        <v>2.8500000000000001E-2</v>
      </c>
      <c r="F224" s="478">
        <v>2.8500000000000001E-2</v>
      </c>
      <c r="G224" s="478">
        <v>2.8500000000000001E-2</v>
      </c>
      <c r="H224" s="478">
        <v>2.8500000000000001E-2</v>
      </c>
      <c r="I224" s="478">
        <v>2.8500000000000001E-2</v>
      </c>
      <c r="J224" s="478">
        <v>2.8500000000000001E-2</v>
      </c>
      <c r="K224" s="478">
        <v>2.8500000000000001E-2</v>
      </c>
      <c r="L224" s="503">
        <v>2.8500000000000001E-2</v>
      </c>
      <c r="M224" s="478">
        <v>3.2499999999999994E-2</v>
      </c>
      <c r="N224" s="478">
        <v>3.2499999999999994E-2</v>
      </c>
      <c r="O224" s="478">
        <v>3.2499999999999994E-2</v>
      </c>
      <c r="P224" s="478">
        <v>3.2499999999999994E-2</v>
      </c>
      <c r="Q224" s="478">
        <v>3.2499999999999994E-2</v>
      </c>
      <c r="R224" s="478">
        <v>3.2499999999999994E-2</v>
      </c>
      <c r="S224" s="478">
        <v>3.2499999999999994E-2</v>
      </c>
      <c r="T224" s="478">
        <v>3.2499999999999994E-2</v>
      </c>
      <c r="U224" s="478">
        <v>3.2499999999999994E-2</v>
      </c>
      <c r="V224" s="478">
        <v>3.2499999999999994E-2</v>
      </c>
      <c r="W224" s="478">
        <v>3.2499999999999994E-2</v>
      </c>
      <c r="X224" s="478">
        <v>3.2499999999999994E-2</v>
      </c>
      <c r="Y224" s="478">
        <v>3.2499999999999994E-2</v>
      </c>
      <c r="Z224" s="478">
        <v>3.2499999999999994E-2</v>
      </c>
      <c r="AA224" s="503">
        <v>3.2499999999999994E-2</v>
      </c>
      <c r="AB224" s="478">
        <v>3.4999999999999996E-2</v>
      </c>
      <c r="AC224" s="478">
        <v>3.4999999999999996E-2</v>
      </c>
      <c r="AD224" s="478">
        <v>3.4999999999999996E-2</v>
      </c>
      <c r="AE224" s="478">
        <v>3.4999999999999996E-2</v>
      </c>
      <c r="AF224" s="478">
        <v>3.4999999999999996E-2</v>
      </c>
      <c r="AG224" s="478">
        <v>3.4999999999999996E-2</v>
      </c>
      <c r="AH224" s="478">
        <v>3.4999999999999996E-2</v>
      </c>
      <c r="AI224" s="478">
        <v>3.4999999999999996E-2</v>
      </c>
      <c r="AJ224" s="478">
        <v>3.4999999999999996E-2</v>
      </c>
      <c r="AK224" s="478">
        <v>3.4999999999999996E-2</v>
      </c>
      <c r="AL224" s="479">
        <v>3.4999999999999996E-2</v>
      </c>
      <c r="AM224" s="478">
        <v>3.4999999999999996E-2</v>
      </c>
      <c r="AN224" s="478">
        <v>3.4999999999999996E-2</v>
      </c>
      <c r="AO224" s="478">
        <v>3.4999999999999996E-2</v>
      </c>
      <c r="AP224" s="478">
        <v>3.4999999999999996E-2</v>
      </c>
      <c r="AQ224" s="478">
        <v>3.4999999999999996E-2</v>
      </c>
      <c r="AR224" s="503">
        <v>3.4999999999999996E-2</v>
      </c>
      <c r="AS224" s="478">
        <v>3.5999999999999997E-2</v>
      </c>
      <c r="AT224" s="478">
        <v>3.5999999999999997E-2</v>
      </c>
      <c r="AU224" s="478">
        <v>3.5999999999999997E-2</v>
      </c>
      <c r="AV224" s="479">
        <v>3.5999999999999997E-2</v>
      </c>
      <c r="AW224" s="479">
        <v>3.5999999999999997E-2</v>
      </c>
      <c r="AX224" s="479">
        <v>3.5999999999999997E-2</v>
      </c>
      <c r="AY224" s="479">
        <v>3.5999999999999997E-2</v>
      </c>
      <c r="AZ224" s="479">
        <v>3.5999999999999997E-2</v>
      </c>
      <c r="BA224" s="479">
        <v>3.5999999999999997E-2</v>
      </c>
      <c r="BB224" s="479">
        <v>3.5999999999999997E-2</v>
      </c>
      <c r="BC224" s="479">
        <v>3.5999999999999997E-2</v>
      </c>
      <c r="BD224" s="479">
        <v>3.5999999999999997E-2</v>
      </c>
      <c r="BE224" s="479">
        <v>3.5999999999999997E-2</v>
      </c>
      <c r="BF224" s="479">
        <v>3.5999999999999997E-2</v>
      </c>
      <c r="BG224" s="479">
        <v>3.5999999999999997E-2</v>
      </c>
      <c r="BH224" s="479">
        <v>3.5999999999999997E-2</v>
      </c>
      <c r="BI224" s="479">
        <v>3.5999999999999997E-2</v>
      </c>
      <c r="BJ224" s="479">
        <v>3.5999999999999997E-2</v>
      </c>
      <c r="BK224" s="479">
        <v>3.5999999999999997E-2</v>
      </c>
      <c r="BL224" s="479">
        <v>3.5999999999999997E-2</v>
      </c>
      <c r="BM224" s="479">
        <v>3.5999999999999997E-2</v>
      </c>
      <c r="BN224" s="479">
        <v>3.5999999999999997E-2</v>
      </c>
      <c r="BO224" s="479">
        <v>3.5999999999999997E-2</v>
      </c>
      <c r="BP224" s="479">
        <v>3.5999999999999997E-2</v>
      </c>
      <c r="BQ224" s="479">
        <v>3.5999999999999997E-2</v>
      </c>
      <c r="BR224" s="479">
        <v>3.5999999999999997E-2</v>
      </c>
      <c r="BS224" s="479">
        <v>3.5999999999999997E-2</v>
      </c>
      <c r="BT224" s="479">
        <v>3.5999999999999997E-2</v>
      </c>
      <c r="BU224" s="479">
        <v>3.5999999999999997E-2</v>
      </c>
      <c r="BV224" s="479">
        <v>3.5999999999999997E-2</v>
      </c>
      <c r="BW224" s="479">
        <v>3.5999999999999997E-2</v>
      </c>
      <c r="BX224" s="479">
        <v>3.5999999999999997E-2</v>
      </c>
      <c r="BY224" s="479">
        <v>3.5999999999999997E-2</v>
      </c>
      <c r="BZ224" s="479">
        <v>3.5999999999999997E-2</v>
      </c>
      <c r="CA224" s="479">
        <v>3.9E-2</v>
      </c>
      <c r="CB224" s="479">
        <v>3.9E-2</v>
      </c>
      <c r="CC224" s="479">
        <v>3.9E-2</v>
      </c>
      <c r="CD224" s="479">
        <v>3.9E-2</v>
      </c>
      <c r="CE224" s="479">
        <v>4.4999999999999998E-2</v>
      </c>
      <c r="CF224" s="479">
        <v>4.4999999999999998E-2</v>
      </c>
      <c r="CG224" s="479">
        <v>4.4999999999999998E-2</v>
      </c>
      <c r="CH224" s="479">
        <v>4.4999999999999998E-2</v>
      </c>
      <c r="CI224" s="479">
        <v>4.4999999999999998E-2</v>
      </c>
      <c r="CJ224" s="479">
        <v>4.4999999999999998E-2</v>
      </c>
      <c r="CK224" s="479">
        <v>4.4999999999999998E-2</v>
      </c>
      <c r="CL224" s="479">
        <v>4.4999999999999998E-2</v>
      </c>
      <c r="CM224" s="479">
        <v>4.4999999999999998E-2</v>
      </c>
      <c r="CN224" s="479">
        <v>4.4999999999999998E-2</v>
      </c>
      <c r="CO224" s="479">
        <v>4.4999999999999998E-2</v>
      </c>
      <c r="CP224" s="479">
        <v>4.4999999999999998E-2</v>
      </c>
      <c r="CQ224" s="479">
        <v>4.4999999999999998E-2</v>
      </c>
      <c r="CR224" s="479">
        <v>0.05</v>
      </c>
      <c r="CS224" s="479">
        <v>0.05</v>
      </c>
      <c r="CT224" s="479">
        <v>0.05</v>
      </c>
      <c r="CU224" s="479">
        <v>0.05</v>
      </c>
      <c r="CV224" s="479">
        <v>0.05</v>
      </c>
      <c r="CW224" s="533">
        <v>0.05</v>
      </c>
      <c r="CX224" s="489">
        <v>4.4999999999999998E-2</v>
      </c>
      <c r="CY224" s="489">
        <v>4.4999999999999998E-2</v>
      </c>
      <c r="CZ224" s="489">
        <v>4.4999999999999998E-2</v>
      </c>
      <c r="DA224" s="489">
        <v>4.4999999999999998E-2</v>
      </c>
      <c r="DB224" s="489">
        <v>4.4999999999999998E-2</v>
      </c>
      <c r="DC224" s="489">
        <v>4.4999999999999998E-2</v>
      </c>
      <c r="DD224" s="489">
        <v>4.4999999999999998E-2</v>
      </c>
      <c r="DE224" s="489">
        <v>4.4999999999999998E-2</v>
      </c>
      <c r="DF224" s="489">
        <v>4.4999999999999998E-2</v>
      </c>
      <c r="DG224" s="489">
        <v>4.4999999999999998E-2</v>
      </c>
      <c r="DH224" s="489">
        <v>4.4999999999999998E-2</v>
      </c>
      <c r="DI224" s="489">
        <v>4.4999999999999998E-2</v>
      </c>
      <c r="DJ224" s="489">
        <v>4.4999999999999998E-2</v>
      </c>
      <c r="DK224" s="489">
        <v>4.4999999999999998E-2</v>
      </c>
      <c r="DL224" s="489">
        <v>4.4999999999999998E-2</v>
      </c>
      <c r="DM224" s="489">
        <v>4.4999999999999998E-2</v>
      </c>
      <c r="DN224" s="489">
        <v>4.4999999999999998E-2</v>
      </c>
      <c r="DO224" s="489">
        <v>4.4999999999999998E-2</v>
      </c>
      <c r="DP224" s="489">
        <v>4.4999999999999998E-2</v>
      </c>
      <c r="DQ224" s="489">
        <v>4.4999999999999998E-2</v>
      </c>
      <c r="DR224" s="489">
        <v>4.4999999999999998E-2</v>
      </c>
      <c r="DS224" s="489">
        <v>4.4999999999999998E-2</v>
      </c>
      <c r="DT224" s="489">
        <v>4.4999999999999998E-2</v>
      </c>
      <c r="DU224" s="489">
        <v>4.4999999999999998E-2</v>
      </c>
      <c r="DV224" s="489">
        <v>4.4999999999999998E-2</v>
      </c>
      <c r="DW224" s="489">
        <v>4.4999999999999998E-2</v>
      </c>
      <c r="DX224" s="489">
        <v>4.4999999999999998E-2</v>
      </c>
      <c r="DY224" s="489">
        <v>4.4999999999999998E-2</v>
      </c>
      <c r="DZ224" s="489">
        <v>4.4999999999999998E-2</v>
      </c>
      <c r="EA224" s="489">
        <v>4.4999999999999998E-2</v>
      </c>
      <c r="EB224" s="489">
        <v>4.4999999999999998E-2</v>
      </c>
      <c r="EC224" s="489">
        <v>4.4999999999999998E-2</v>
      </c>
      <c r="ED224" s="489">
        <v>4.4999999999999998E-2</v>
      </c>
      <c r="EE224" s="489">
        <v>4.4999999999999998E-2</v>
      </c>
      <c r="EF224" s="489">
        <v>4.4999999999999998E-2</v>
      </c>
      <c r="EG224" s="489">
        <v>4.4999999999999998E-2</v>
      </c>
      <c r="EH224" s="489">
        <v>4.4999999999999998E-2</v>
      </c>
      <c r="EI224" s="489">
        <v>4.4999999999999998E-2</v>
      </c>
      <c r="EJ224" s="489">
        <v>4.4999999999999998E-2</v>
      </c>
      <c r="EK224" s="489">
        <v>4.4999999999999998E-2</v>
      </c>
      <c r="EL224" s="489">
        <v>4.4999999999999998E-2</v>
      </c>
      <c r="EM224" s="489">
        <v>4.4999999999999998E-2</v>
      </c>
      <c r="EN224" s="489">
        <v>4.4999999999999998E-2</v>
      </c>
      <c r="EO224" s="489">
        <v>4.4999999999999998E-2</v>
      </c>
      <c r="EP224" s="489">
        <v>4.4999999999999998E-2</v>
      </c>
      <c r="EQ224" s="489">
        <v>4.4999999999999998E-2</v>
      </c>
      <c r="ER224" s="489">
        <v>4.4999999999999998E-2</v>
      </c>
      <c r="ES224" s="489">
        <v>4.4999999999999998E-2</v>
      </c>
      <c r="ET224" s="489">
        <v>4.4999999999999998E-2</v>
      </c>
      <c r="EU224" s="489">
        <v>4.4999999999999998E-2</v>
      </c>
      <c r="EV224" s="489">
        <v>4.4999999999999998E-2</v>
      </c>
      <c r="EW224" s="489">
        <v>4.4999999999999998E-2</v>
      </c>
      <c r="EX224" s="489">
        <v>4.4999999999999998E-2</v>
      </c>
      <c r="EY224" s="489">
        <v>4.4999999999999998E-2</v>
      </c>
      <c r="EZ224" s="489">
        <v>4.4999999999999998E-2</v>
      </c>
      <c r="FA224" s="489">
        <v>4.4999999999999998E-2</v>
      </c>
      <c r="FB224" s="489">
        <v>4.4999999999999998E-2</v>
      </c>
      <c r="FC224" s="489">
        <v>4.4999999999999998E-2</v>
      </c>
      <c r="FD224" s="489">
        <v>4.4999999999999998E-2</v>
      </c>
      <c r="FE224" s="489">
        <v>4.4999999999999998E-2</v>
      </c>
      <c r="FF224" s="489">
        <v>4.4999999999999998E-2</v>
      </c>
      <c r="FG224" s="489">
        <v>4.4999999999999998E-2</v>
      </c>
      <c r="FH224" s="489">
        <v>4.4999999999999998E-2</v>
      </c>
      <c r="FI224" s="489">
        <v>4.4999999999999998E-2</v>
      </c>
      <c r="FJ224" s="489">
        <v>4.4999999999999998E-2</v>
      </c>
      <c r="FK224" s="489">
        <v>4.4999999999999998E-2</v>
      </c>
      <c r="FL224" s="489">
        <v>4.4999999999999998E-2</v>
      </c>
      <c r="FM224" s="489">
        <v>4.4999999999999998E-2</v>
      </c>
      <c r="FN224" s="489">
        <v>4.4999999999999998E-2</v>
      </c>
      <c r="FO224" s="489">
        <v>4.4999999999999998E-2</v>
      </c>
      <c r="FP224" s="489">
        <v>4.4999999999999998E-2</v>
      </c>
      <c r="FQ224" s="489">
        <v>4.4999999999999998E-2</v>
      </c>
      <c r="FR224" s="489">
        <v>4.4999999999999998E-2</v>
      </c>
      <c r="FS224" s="489">
        <v>4.4999999999999998E-2</v>
      </c>
      <c r="FT224" s="489">
        <v>4.4999999999999998E-2</v>
      </c>
      <c r="FU224" s="489">
        <v>4.4999999999999998E-2</v>
      </c>
      <c r="FV224" s="489">
        <v>4.4999999999999998E-2</v>
      </c>
      <c r="FW224" s="489">
        <v>4.4999999999999998E-2</v>
      </c>
      <c r="FX224" s="489">
        <v>4.4999999999999998E-2</v>
      </c>
      <c r="FY224" s="489">
        <v>4.4999999999999998E-2</v>
      </c>
      <c r="FZ224" s="489">
        <v>4.4999999999999998E-2</v>
      </c>
      <c r="GA224" s="489">
        <v>4.4999999999999998E-2</v>
      </c>
      <c r="GB224" s="489">
        <v>4.4999999999999998E-2</v>
      </c>
      <c r="GC224" s="489">
        <v>4.4999999999999998E-2</v>
      </c>
      <c r="GD224" s="489">
        <v>3.95E-2</v>
      </c>
      <c r="GE224" s="489">
        <v>3.95E-2</v>
      </c>
      <c r="GF224" s="489">
        <v>3.95E-2</v>
      </c>
      <c r="GG224" s="489">
        <v>3.95E-2</v>
      </c>
      <c r="GH224" s="489">
        <v>3.95E-2</v>
      </c>
      <c r="GI224" s="489">
        <v>3.95E-2</v>
      </c>
      <c r="GJ224" s="489">
        <v>3.95E-2</v>
      </c>
      <c r="GK224" s="489">
        <v>3.95E-2</v>
      </c>
      <c r="GL224" s="489">
        <v>3.95E-2</v>
      </c>
      <c r="GM224" s="489">
        <v>3.95E-2</v>
      </c>
      <c r="GN224" s="489">
        <v>3.95E-2</v>
      </c>
      <c r="GO224" s="489">
        <v>3.95E-2</v>
      </c>
      <c r="GP224" s="489">
        <v>3.95E-2</v>
      </c>
      <c r="GQ224" s="489">
        <v>3.95E-2</v>
      </c>
      <c r="GR224" s="489">
        <v>3.95E-2</v>
      </c>
      <c r="GS224" s="489">
        <v>3.95E-2</v>
      </c>
      <c r="GT224" s="489">
        <v>3.95E-2</v>
      </c>
      <c r="GU224" s="489">
        <v>3.95E-2</v>
      </c>
      <c r="GV224" s="489">
        <v>3.95E-2</v>
      </c>
      <c r="GW224" s="489">
        <v>3.95E-2</v>
      </c>
      <c r="GX224" s="489">
        <v>3.95E-2</v>
      </c>
      <c r="GY224" s="489">
        <v>3.95E-2</v>
      </c>
      <c r="GZ224" s="489">
        <v>3.95E-2</v>
      </c>
      <c r="HA224" s="489">
        <v>3.95E-2</v>
      </c>
      <c r="HB224" s="489">
        <v>3.95E-2</v>
      </c>
      <c r="HC224" s="489">
        <v>3.95E-2</v>
      </c>
      <c r="HD224" s="489">
        <v>3.95E-2</v>
      </c>
      <c r="HE224" s="489">
        <v>3.95E-2</v>
      </c>
      <c r="HF224" s="489">
        <v>3.95E-2</v>
      </c>
      <c r="HG224" s="489">
        <v>3.95E-2</v>
      </c>
      <c r="HH224" s="489">
        <v>3.95E-2</v>
      </c>
      <c r="HI224" s="489">
        <v>3.95E-2</v>
      </c>
      <c r="HJ224" s="489">
        <v>3.95E-2</v>
      </c>
      <c r="HK224" s="489">
        <v>3.95E-2</v>
      </c>
      <c r="HL224" s="489">
        <v>3.95E-2</v>
      </c>
      <c r="HM224" s="489">
        <v>3.95E-2</v>
      </c>
      <c r="HN224" s="489">
        <v>3.95E-2</v>
      </c>
      <c r="HO224" s="489">
        <v>3.95E-2</v>
      </c>
      <c r="HP224" s="473">
        <f t="shared" si="78"/>
        <v>0</v>
      </c>
      <c r="HQ224" s="1143"/>
    </row>
    <row r="225" spans="2:225">
      <c r="B225" s="764" t="s">
        <v>12</v>
      </c>
      <c r="C225" s="730" t="s">
        <v>229</v>
      </c>
      <c r="D225" s="493">
        <v>3.2199999999999999E-2</v>
      </c>
      <c r="E225" s="493">
        <v>3.2199999999999999E-2</v>
      </c>
      <c r="F225" s="493">
        <v>3.1699999999999999E-2</v>
      </c>
      <c r="G225" s="500">
        <v>3.1699999999999999E-2</v>
      </c>
      <c r="H225" s="500">
        <v>3.1699999999999999E-2</v>
      </c>
      <c r="I225" s="502">
        <v>3.1699999999999999E-2</v>
      </c>
      <c r="J225" s="502">
        <v>3.2199999999999999E-2</v>
      </c>
      <c r="K225" s="502">
        <v>3.1699999999999999E-2</v>
      </c>
      <c r="L225" s="500">
        <v>3.1199999999999999E-2</v>
      </c>
      <c r="M225" s="502">
        <v>3.1199999999999999E-2</v>
      </c>
      <c r="N225" s="500">
        <v>3.1699999999999999E-2</v>
      </c>
      <c r="O225" s="502">
        <v>3.1699999999999999E-2</v>
      </c>
      <c r="P225" s="502">
        <v>3.2199999999999999E-2</v>
      </c>
      <c r="Q225" s="500">
        <v>3.27E-2</v>
      </c>
      <c r="R225" s="502">
        <v>3.27E-2</v>
      </c>
      <c r="S225" s="500">
        <v>3.32E-2</v>
      </c>
      <c r="T225" s="502">
        <v>3.32E-2</v>
      </c>
      <c r="U225" s="502">
        <v>3.27E-2</v>
      </c>
      <c r="V225" s="501">
        <v>3.1199999999999999E-2</v>
      </c>
      <c r="W225" s="480">
        <v>3.1199999999999999E-2</v>
      </c>
      <c r="X225" s="481">
        <v>3.1699999999999999E-2</v>
      </c>
      <c r="Y225" s="481">
        <v>3.1699999999999999E-2</v>
      </c>
      <c r="Z225" s="481">
        <v>3.1699999999999999E-2</v>
      </c>
      <c r="AA225" s="480">
        <v>3.1699999999999999E-2</v>
      </c>
      <c r="AB225" s="480">
        <v>3.1199999999999999E-2</v>
      </c>
      <c r="AC225" s="481">
        <v>3.27E-2</v>
      </c>
      <c r="AD225" s="480">
        <v>3.3700000000000001E-2</v>
      </c>
      <c r="AE225" s="480">
        <v>3.5700000000000003E-2</v>
      </c>
      <c r="AF225" s="481">
        <v>3.6700000000000003E-2</v>
      </c>
      <c r="AG225" s="481">
        <v>3.6700000000000003E-2</v>
      </c>
      <c r="AH225" s="480">
        <v>3.6700000000000003E-2</v>
      </c>
      <c r="AI225" s="481">
        <v>3.7199999999999997E-2</v>
      </c>
      <c r="AJ225" s="481">
        <v>3.7199999999999997E-2</v>
      </c>
      <c r="AK225" s="480">
        <v>3.7199999999999997E-2</v>
      </c>
      <c r="AL225" s="482">
        <v>3.6700000000000003E-2</v>
      </c>
      <c r="AM225" s="481">
        <v>3.6700000000000003E-2</v>
      </c>
      <c r="AN225" s="481">
        <v>3.6700000000000003E-2</v>
      </c>
      <c r="AO225" s="481">
        <v>3.6700000000000003E-2</v>
      </c>
      <c r="AP225" s="481">
        <v>3.6700000000000003E-2</v>
      </c>
      <c r="AQ225" s="481">
        <v>3.6700000000000003E-2</v>
      </c>
      <c r="AR225" s="481">
        <v>3.6700000000000003E-2</v>
      </c>
      <c r="AS225" s="481">
        <v>3.6700000000000003E-2</v>
      </c>
      <c r="AT225" s="481">
        <v>3.6700000000000003E-2</v>
      </c>
      <c r="AU225" s="481">
        <v>3.6700000000000003E-2</v>
      </c>
      <c r="AV225" s="480">
        <v>3.6700000000000003E-2</v>
      </c>
      <c r="AW225" s="482">
        <v>3.7199999999999997E-2</v>
      </c>
      <c r="AX225" s="482">
        <v>3.7199999999999997E-2</v>
      </c>
      <c r="AY225" s="482">
        <v>3.7199999999999997E-2</v>
      </c>
      <c r="AZ225" s="482">
        <v>3.7199999999999997E-2</v>
      </c>
      <c r="BA225" s="482">
        <v>3.7199999999999997E-2</v>
      </c>
      <c r="BB225" s="482">
        <v>3.7199999999999997E-2</v>
      </c>
      <c r="BC225" s="482">
        <v>3.7199999999999997E-2</v>
      </c>
      <c r="BD225" s="482">
        <v>3.7199999999999997E-2</v>
      </c>
      <c r="BE225" s="482">
        <v>3.7199999999999997E-2</v>
      </c>
      <c r="BF225" s="482">
        <v>3.7199999999999997E-2</v>
      </c>
      <c r="BG225" s="482">
        <v>3.7199999999999997E-2</v>
      </c>
      <c r="BH225" s="482">
        <v>3.7199999999999997E-2</v>
      </c>
      <c r="BI225" s="482">
        <v>3.7199999999999997E-2</v>
      </c>
      <c r="BJ225" s="482">
        <v>3.7199999999999997E-2</v>
      </c>
      <c r="BK225" s="482">
        <v>3.7199999999999997E-2</v>
      </c>
      <c r="BL225" s="482">
        <v>3.7699999999999997E-2</v>
      </c>
      <c r="BM225" s="482">
        <v>3.7699999999999997E-2</v>
      </c>
      <c r="BN225" s="482">
        <v>3.7699999999999997E-2</v>
      </c>
      <c r="BO225" s="482">
        <v>3.7699999999999997E-2</v>
      </c>
      <c r="BP225" s="482">
        <v>3.9E-2</v>
      </c>
      <c r="BQ225" s="482">
        <v>3.9E-2</v>
      </c>
      <c r="BR225" s="482">
        <v>3.9E-2</v>
      </c>
      <c r="BS225" s="482">
        <v>3.9E-2</v>
      </c>
      <c r="BT225" s="482">
        <v>3.7699999999999997E-2</v>
      </c>
      <c r="BU225" s="482">
        <v>3.7699999999999997E-2</v>
      </c>
      <c r="BV225" s="482">
        <v>3.7699999999999997E-2</v>
      </c>
      <c r="BW225" s="482">
        <v>3.7699999999999997E-2</v>
      </c>
      <c r="BX225" s="482">
        <v>4.0599999999999997E-2</v>
      </c>
      <c r="BY225" s="482">
        <v>3.5900000000000001E-2</v>
      </c>
      <c r="BZ225" s="482">
        <v>3.5900000000000001E-2</v>
      </c>
      <c r="CA225" s="482">
        <v>3.61E-2</v>
      </c>
      <c r="CB225" s="482">
        <v>3.8899999999999997E-2</v>
      </c>
      <c r="CC225" s="482">
        <v>4.1099999999999998E-2</v>
      </c>
      <c r="CD225" s="482">
        <v>3.9E-2</v>
      </c>
      <c r="CE225" s="482">
        <v>4.0399999999999998E-2</v>
      </c>
      <c r="CF225" s="482">
        <v>4.0300000000000002E-2</v>
      </c>
      <c r="CG225" s="482">
        <v>3.9600000000000003E-2</v>
      </c>
      <c r="CH225" s="482">
        <v>4.3400000000000001E-2</v>
      </c>
      <c r="CI225" s="482">
        <v>4.41E-2</v>
      </c>
      <c r="CJ225" s="482">
        <v>4.4200000000000003E-2</v>
      </c>
      <c r="CK225" s="482">
        <v>4.5400000000000003E-2</v>
      </c>
      <c r="CL225" s="482">
        <v>4.6399999999999997E-2</v>
      </c>
      <c r="CM225" s="482">
        <v>4.5600000000000002E-2</v>
      </c>
      <c r="CN225" s="482">
        <v>4.6699999999999998E-2</v>
      </c>
      <c r="CO225" s="482">
        <v>4.6699999999999998E-2</v>
      </c>
      <c r="CP225" s="482">
        <v>4.7899999999999998E-2</v>
      </c>
      <c r="CQ225" s="482">
        <v>4.7899999999999998E-2</v>
      </c>
      <c r="CR225" s="482">
        <v>4.7100000000000003E-2</v>
      </c>
      <c r="CS225" s="482">
        <v>4.6600000000000003E-2</v>
      </c>
      <c r="CT225" s="482">
        <v>4.6600000000000003E-2</v>
      </c>
      <c r="CU225" s="482">
        <v>4.6600000000000003E-2</v>
      </c>
      <c r="CV225" s="482">
        <v>4.6600000000000003E-2</v>
      </c>
      <c r="CW225" s="482">
        <v>4.6600000000000003E-2</v>
      </c>
      <c r="CX225" s="482">
        <v>4.6600000000000003E-2</v>
      </c>
      <c r="CY225" s="482">
        <v>4.6800000000000001E-2</v>
      </c>
      <c r="CZ225" s="482">
        <v>4.8399999999999999E-2</v>
      </c>
      <c r="DA225" s="482">
        <v>4.8399999999999999E-2</v>
      </c>
      <c r="DB225" s="482">
        <v>4.6100000000000002E-2</v>
      </c>
      <c r="DC225" s="482">
        <v>4.6100000000000002E-2</v>
      </c>
      <c r="DD225" s="482">
        <v>4.6100000000000002E-2</v>
      </c>
      <c r="DE225" s="484">
        <v>4.6100000000000002E-2</v>
      </c>
      <c r="DF225" s="482">
        <v>4.3999999999999997E-2</v>
      </c>
      <c r="DG225" s="482">
        <v>4.3999999999999997E-2</v>
      </c>
      <c r="DH225" s="482">
        <v>4.3999999999999997E-2</v>
      </c>
      <c r="DI225" s="482">
        <v>4.2599999999999999E-2</v>
      </c>
      <c r="DJ225" s="482">
        <v>4.2599999999999999E-2</v>
      </c>
      <c r="DK225" s="482">
        <v>4.3999999999999997E-2</v>
      </c>
      <c r="DL225" s="482">
        <v>4.3799999999999999E-2</v>
      </c>
      <c r="DM225" s="512" t="s">
        <v>124</v>
      </c>
      <c r="DN225" s="512"/>
      <c r="DO225" s="512"/>
      <c r="DP225" s="512"/>
      <c r="DQ225" s="512"/>
      <c r="DR225" s="512"/>
      <c r="DS225" s="512"/>
      <c r="DT225" s="512"/>
      <c r="DU225" s="512"/>
      <c r="DV225" s="512"/>
      <c r="DW225" s="512"/>
      <c r="DX225" s="512"/>
      <c r="DY225" s="512"/>
      <c r="DZ225" s="512"/>
      <c r="EA225" s="512"/>
      <c r="EB225" s="512"/>
      <c r="EC225" s="512"/>
      <c r="ED225" s="512"/>
      <c r="EE225" s="512"/>
      <c r="EF225" s="512"/>
      <c r="EG225" s="512"/>
      <c r="EH225" s="512"/>
      <c r="EI225" s="512"/>
      <c r="EJ225" s="512"/>
      <c r="EK225" s="512"/>
      <c r="EL225" s="513"/>
      <c r="EM225" s="513"/>
      <c r="EN225" s="512"/>
      <c r="EO225" s="512"/>
      <c r="EP225" s="512"/>
      <c r="EQ225" s="512"/>
      <c r="ER225" s="512"/>
      <c r="ES225" s="512"/>
      <c r="ET225" s="512"/>
      <c r="EU225" s="512"/>
      <c r="EV225" s="512"/>
      <c r="EW225" s="512"/>
      <c r="EX225" s="512"/>
      <c r="EY225" s="512"/>
      <c r="EZ225" s="513"/>
      <c r="FA225" s="514"/>
      <c r="FB225" s="515"/>
      <c r="FC225" s="516"/>
      <c r="FD225" s="516"/>
      <c r="FE225" s="516"/>
      <c r="FF225" s="516"/>
      <c r="FG225" s="516"/>
      <c r="FH225" s="516"/>
      <c r="FI225" s="516"/>
      <c r="FJ225" s="516"/>
      <c r="FK225" s="516"/>
      <c r="FL225" s="516"/>
      <c r="FM225" s="516"/>
      <c r="FN225" s="516"/>
      <c r="FO225" s="516"/>
      <c r="FP225" s="516"/>
      <c r="FQ225" s="516"/>
      <c r="FR225" s="516"/>
      <c r="FS225" s="516"/>
      <c r="FT225" s="516"/>
      <c r="FU225" s="516"/>
      <c r="FV225" s="512"/>
      <c r="FW225" s="512"/>
      <c r="FX225" s="512"/>
      <c r="FY225" s="512"/>
      <c r="FZ225" s="512"/>
      <c r="GA225" s="512"/>
      <c r="GB225" s="512"/>
      <c r="GC225" s="512"/>
      <c r="GD225" s="489"/>
      <c r="GE225" s="489"/>
      <c r="GF225" s="489"/>
      <c r="GG225" s="489"/>
      <c r="GH225" s="489"/>
      <c r="GI225" s="489"/>
      <c r="GJ225" s="489"/>
      <c r="GK225" s="489"/>
      <c r="GL225" s="489"/>
      <c r="GM225" s="489"/>
      <c r="GN225" s="489"/>
      <c r="GO225" s="489"/>
      <c r="GP225" s="489"/>
      <c r="GQ225" s="489"/>
      <c r="GR225" s="489"/>
      <c r="GS225" s="489"/>
      <c r="GT225" s="489"/>
      <c r="GU225" s="489"/>
      <c r="GV225" s="489"/>
      <c r="GW225" s="489"/>
      <c r="GX225" s="489"/>
      <c r="GY225" s="489"/>
      <c r="GZ225" s="489"/>
      <c r="HA225" s="489"/>
      <c r="HB225" s="489"/>
      <c r="HC225" s="489"/>
      <c r="HD225" s="489"/>
      <c r="HE225" s="489"/>
      <c r="HF225" s="489"/>
      <c r="HG225" s="489"/>
      <c r="HH225" s="489"/>
      <c r="HI225" s="489"/>
      <c r="HJ225" s="489"/>
      <c r="HK225" s="489"/>
      <c r="HL225" s="489"/>
      <c r="HM225" s="489"/>
      <c r="HN225" s="489"/>
      <c r="HO225" s="489"/>
      <c r="HP225" s="473">
        <f t="shared" si="78"/>
        <v>0</v>
      </c>
      <c r="HQ225" s="490"/>
    </row>
    <row r="226" spans="2:225">
      <c r="B226" s="763" t="s">
        <v>29</v>
      </c>
      <c r="C226" s="731" t="s">
        <v>74</v>
      </c>
      <c r="D226" s="583">
        <v>2.8903000000000002E-2</v>
      </c>
      <c r="E226" s="583">
        <v>2.8903000000000002E-2</v>
      </c>
      <c r="F226" s="583">
        <v>2.8348000000000002E-2</v>
      </c>
      <c r="G226" s="583">
        <v>2.8028000000000001E-2</v>
      </c>
      <c r="H226" s="583">
        <v>2.7629000000000001E-2</v>
      </c>
      <c r="I226" s="550">
        <v>2.8299999999999999E-2</v>
      </c>
      <c r="J226" s="583">
        <v>2.8299999999999999E-2</v>
      </c>
      <c r="K226" s="583">
        <v>2.8149E-2</v>
      </c>
      <c r="L226" s="583">
        <v>2.7689999999999999E-2</v>
      </c>
      <c r="M226" s="583">
        <v>2.7354E-2</v>
      </c>
      <c r="N226" s="583">
        <v>2.6653E-2</v>
      </c>
      <c r="O226" s="583">
        <v>2.8015999999999999E-2</v>
      </c>
      <c r="P226" s="583">
        <v>2.8105999999999999E-2</v>
      </c>
      <c r="Q226" s="583">
        <v>2.8868000000000001E-2</v>
      </c>
      <c r="R226" s="583">
        <v>2.862E-2</v>
      </c>
      <c r="S226" s="583">
        <v>2.911E-2</v>
      </c>
      <c r="T226" s="583">
        <v>2.9336000000000001E-2</v>
      </c>
      <c r="U226" s="583">
        <v>2.9385999999999999E-2</v>
      </c>
      <c r="V226" s="583">
        <v>2.9495E-2</v>
      </c>
      <c r="W226" s="503">
        <v>2.8226000000000001E-2</v>
      </c>
      <c r="X226" s="503">
        <v>2.8129999999999999E-2</v>
      </c>
      <c r="Y226" s="503">
        <v>2.9104999999999999E-2</v>
      </c>
      <c r="Z226" s="503">
        <v>2.9432E-2</v>
      </c>
      <c r="AA226" s="503">
        <v>2.9881999999999999E-2</v>
      </c>
      <c r="AB226" s="503">
        <v>2.9665E-2</v>
      </c>
      <c r="AC226" s="503">
        <v>2.9399999999999999E-2</v>
      </c>
      <c r="AD226" s="503">
        <v>2.9663999999999999E-2</v>
      </c>
      <c r="AE226" s="503">
        <v>3.1092999999999999E-2</v>
      </c>
      <c r="AF226" s="503">
        <v>3.1285E-2</v>
      </c>
      <c r="AG226" s="503">
        <v>3.1074000000000001E-2</v>
      </c>
      <c r="AH226" s="526">
        <v>3.2198999999999998E-2</v>
      </c>
      <c r="AI226" s="526">
        <v>3.3000000000000002E-2</v>
      </c>
      <c r="AJ226" s="526">
        <v>3.3999000000000001E-2</v>
      </c>
      <c r="AK226" s="528">
        <v>3.3778000000000002E-2</v>
      </c>
      <c r="AL226" s="526">
        <v>3.3819000000000002E-2</v>
      </c>
      <c r="AM226" s="526">
        <v>3.3042000000000002E-2</v>
      </c>
      <c r="AN226" s="526">
        <v>3.3399999999999999E-2</v>
      </c>
      <c r="AO226" s="526">
        <v>3.4154999999999998E-2</v>
      </c>
      <c r="AP226" s="526">
        <v>3.3521000000000002E-2</v>
      </c>
      <c r="AQ226" s="526">
        <v>3.4403000000000003E-2</v>
      </c>
      <c r="AR226" s="526">
        <v>2.4476000000000001E-2</v>
      </c>
      <c r="AS226" s="526">
        <v>3.4796000000000001E-2</v>
      </c>
      <c r="AT226" s="528">
        <v>3.4896999999999997E-2</v>
      </c>
      <c r="AU226" s="528">
        <v>3.4896999999999997E-2</v>
      </c>
      <c r="AV226" s="526">
        <v>3.3932999999999998E-2</v>
      </c>
      <c r="AW226" s="529">
        <v>3.6103000000000003E-2</v>
      </c>
      <c r="AX226" s="529">
        <v>3.6103000000000003E-2</v>
      </c>
      <c r="AY226" s="529">
        <v>3.6103000000000003E-2</v>
      </c>
      <c r="AZ226" s="529">
        <v>3.6103000000000003E-2</v>
      </c>
      <c r="BA226" s="529">
        <v>3.6103000000000003E-2</v>
      </c>
      <c r="BB226" s="529">
        <v>3.6103000000000003E-2</v>
      </c>
      <c r="BC226" s="529">
        <v>3.6103000000000003E-2</v>
      </c>
      <c r="BD226" s="529">
        <v>3.6103000000000003E-2</v>
      </c>
      <c r="BE226" s="529">
        <v>3.6103000000000003E-2</v>
      </c>
      <c r="BF226" s="529">
        <v>3.6103000000000003E-2</v>
      </c>
      <c r="BG226" s="529">
        <v>3.6103000000000003E-2</v>
      </c>
      <c r="BH226" s="529">
        <v>3.6103000000000003E-2</v>
      </c>
      <c r="BI226" s="529">
        <v>3.6103000000000003E-2</v>
      </c>
      <c r="BJ226" s="529">
        <v>3.6103000000000003E-2</v>
      </c>
      <c r="BK226" s="529">
        <v>3.6103000000000003E-2</v>
      </c>
      <c r="BL226" s="529">
        <v>3.6103000000000003E-2</v>
      </c>
      <c r="BM226" s="529">
        <v>3.6103000000000003E-2</v>
      </c>
      <c r="BN226" s="529">
        <v>3.6103000000000003E-2</v>
      </c>
      <c r="BO226" s="529">
        <v>3.6103000000000003E-2</v>
      </c>
      <c r="BP226" s="529">
        <v>3.6103000000000003E-2</v>
      </c>
      <c r="BQ226" s="529">
        <v>3.6103000000000003E-2</v>
      </c>
      <c r="BR226" s="529">
        <v>3.6103000000000003E-2</v>
      </c>
      <c r="BS226" s="529">
        <v>3.6103000000000003E-2</v>
      </c>
      <c r="BT226" s="529">
        <v>3.6103000000000003E-2</v>
      </c>
      <c r="BU226" s="529">
        <v>3.6103000000000003E-2</v>
      </c>
      <c r="BV226" s="529">
        <v>3.6103000000000003E-2</v>
      </c>
      <c r="BW226" s="529">
        <v>3.6103000000000003E-2</v>
      </c>
      <c r="BX226" s="529">
        <v>3.1253000000000003E-2</v>
      </c>
      <c r="BY226" s="529">
        <v>3.1253000000000003E-2</v>
      </c>
      <c r="BZ226" s="529">
        <v>3.1253000000000003E-2</v>
      </c>
      <c r="CA226" s="529">
        <v>3.3052999999999999E-2</v>
      </c>
      <c r="CB226" s="529">
        <v>3.7163000000000002E-2</v>
      </c>
      <c r="CC226" s="529">
        <v>3.7163000000000002E-2</v>
      </c>
      <c r="CD226" s="529">
        <v>3.7163000000000002E-2</v>
      </c>
      <c r="CE226" s="529">
        <v>3.7573000000000002E-2</v>
      </c>
      <c r="CF226" s="529">
        <v>3.8692999999999998E-2</v>
      </c>
      <c r="CG226" s="529">
        <v>4.2553000000000001E-2</v>
      </c>
      <c r="CH226" s="529">
        <v>4.2553000000000001E-2</v>
      </c>
      <c r="CI226" s="529">
        <v>4.2983E-2</v>
      </c>
      <c r="CJ226" s="529">
        <v>4.2983E-2</v>
      </c>
      <c r="CK226" s="529">
        <v>4.5336000000000001E-2</v>
      </c>
      <c r="CL226" s="529">
        <v>4.5336000000000001E-2</v>
      </c>
      <c r="CM226" s="529">
        <v>4.5336000000000001E-2</v>
      </c>
      <c r="CN226" s="529">
        <v>4.5336000000000001E-2</v>
      </c>
      <c r="CO226" s="529">
        <v>4.6101999999999997E-2</v>
      </c>
      <c r="CP226" s="529">
        <v>4.6045999999999997E-2</v>
      </c>
      <c r="CQ226" s="529">
        <v>4.6654000000000001E-2</v>
      </c>
      <c r="CR226" s="529">
        <v>4.6012999999999998E-2</v>
      </c>
      <c r="CS226" s="529">
        <v>4.7300000000000002E-2</v>
      </c>
      <c r="CT226" s="529">
        <v>4.5065000000000001E-2</v>
      </c>
      <c r="CU226" s="529">
        <v>4.5065000000000001E-2</v>
      </c>
      <c r="CV226" s="529">
        <v>4.5065000000000001E-2</v>
      </c>
      <c r="CW226" s="529">
        <v>4.5065000000000001E-2</v>
      </c>
      <c r="CX226" s="529">
        <v>4.5065000000000001E-2</v>
      </c>
      <c r="CY226" s="529">
        <v>4.5065000000000001E-2</v>
      </c>
      <c r="CZ226" s="529">
        <v>4.4581999999999997E-2</v>
      </c>
      <c r="DA226" s="529">
        <v>4.5089999999999998E-2</v>
      </c>
      <c r="DB226" s="489">
        <v>4.5413000000000002E-2</v>
      </c>
      <c r="DC226" s="489" t="s">
        <v>124</v>
      </c>
      <c r="DD226" s="489" t="s">
        <v>124</v>
      </c>
      <c r="DE226" s="489">
        <v>4.3101E-2</v>
      </c>
      <c r="DF226" s="489">
        <v>4.3101E-2</v>
      </c>
      <c r="DG226" s="489">
        <v>4.3101E-2</v>
      </c>
      <c r="DH226" s="489">
        <v>4.3101E-2</v>
      </c>
      <c r="DI226" s="489">
        <v>4.3457999999999997E-2</v>
      </c>
      <c r="DJ226" s="489">
        <v>4.2805999999999997E-2</v>
      </c>
      <c r="DK226" s="489">
        <v>4.4144000000000003E-2</v>
      </c>
      <c r="DL226" s="489">
        <v>4.4240000000000002E-2</v>
      </c>
      <c r="DM226" s="489">
        <v>4.4603999999999998E-2</v>
      </c>
      <c r="DN226" s="489">
        <v>4.5400999999999997E-2</v>
      </c>
      <c r="DO226" s="489">
        <v>4.7369000000000001E-2</v>
      </c>
      <c r="DP226" s="489">
        <v>4.6550000000000001E-2</v>
      </c>
      <c r="DQ226" s="489">
        <v>4.8495999999999997E-2</v>
      </c>
      <c r="DR226" s="489">
        <v>4.8495999999999997E-2</v>
      </c>
      <c r="DS226" s="489">
        <v>4.8240999999999999E-2</v>
      </c>
      <c r="DT226" s="489">
        <v>4.8979000000000002E-2</v>
      </c>
      <c r="DU226" s="489">
        <v>4.9949E-2</v>
      </c>
      <c r="DV226" s="489">
        <v>4.9949E-2</v>
      </c>
      <c r="DW226" s="489">
        <v>4.9741E-2</v>
      </c>
      <c r="DX226" s="489">
        <v>4.9741E-2</v>
      </c>
      <c r="DY226" s="489">
        <v>5.0520000000000002E-2</v>
      </c>
      <c r="DZ226" s="489">
        <v>5.0165000000000001E-2</v>
      </c>
      <c r="EA226" s="489">
        <v>5.0347000000000003E-2</v>
      </c>
      <c r="EB226" s="489">
        <v>4.9737000000000003E-2</v>
      </c>
      <c r="EC226" s="489">
        <v>5.0185E-2</v>
      </c>
      <c r="ED226" s="489">
        <v>4.9977000000000001E-2</v>
      </c>
      <c r="EE226" s="489">
        <v>4.9761E-2</v>
      </c>
      <c r="EF226" s="489">
        <v>4.9770000000000002E-2</v>
      </c>
      <c r="EG226" s="489" t="s">
        <v>124</v>
      </c>
      <c r="EH226" s="489">
        <v>4.4359999999999997E-2</v>
      </c>
      <c r="EI226" s="489"/>
      <c r="EJ226" s="489"/>
      <c r="EK226" s="489"/>
      <c r="EL226" s="489"/>
      <c r="EM226" s="489"/>
      <c r="EN226" s="489"/>
      <c r="EO226" s="489"/>
      <c r="EP226" s="489"/>
      <c r="EQ226" s="489"/>
      <c r="ER226" s="489"/>
      <c r="ES226" s="489"/>
      <c r="ET226" s="489"/>
      <c r="EU226" s="489"/>
      <c r="EV226" s="489"/>
      <c r="EW226" s="489"/>
      <c r="EX226" s="489"/>
      <c r="EY226" s="489"/>
      <c r="EZ226" s="489"/>
      <c r="FA226" s="489"/>
      <c r="FB226" s="489"/>
      <c r="FC226" s="489"/>
      <c r="FD226" s="489"/>
      <c r="FE226" s="489"/>
      <c r="FF226" s="489"/>
      <c r="FG226" s="489"/>
      <c r="FH226" s="489"/>
      <c r="FI226" s="489"/>
      <c r="FJ226" s="489"/>
      <c r="FK226" s="489"/>
      <c r="FL226" s="489"/>
      <c r="FM226" s="489"/>
      <c r="FN226" s="489"/>
      <c r="FO226" s="489"/>
      <c r="FP226" s="489"/>
      <c r="FQ226" s="489"/>
      <c r="FR226" s="489"/>
      <c r="FS226" s="489"/>
      <c r="FT226" s="489"/>
      <c r="FU226" s="489"/>
      <c r="FV226" s="489"/>
      <c r="FW226" s="489"/>
      <c r="FX226" s="489">
        <v>4.4359999999999997E-2</v>
      </c>
      <c r="FY226" s="489">
        <v>4.4359999999999997E-2</v>
      </c>
      <c r="FZ226" s="489"/>
      <c r="GA226" s="489"/>
      <c r="GB226" s="489"/>
      <c r="GC226" s="489"/>
      <c r="GD226" s="489"/>
      <c r="GE226" s="489"/>
      <c r="GF226" s="489"/>
      <c r="GG226" s="489"/>
      <c r="GH226" s="489"/>
      <c r="GI226" s="489"/>
      <c r="GJ226" s="489"/>
      <c r="GK226" s="489"/>
      <c r="GL226" s="489"/>
      <c r="GM226" s="489"/>
      <c r="GN226" s="489"/>
      <c r="GO226" s="489"/>
      <c r="GP226" s="489"/>
      <c r="GQ226" s="489"/>
      <c r="GR226" s="489"/>
      <c r="GS226" s="489"/>
      <c r="GT226" s="489"/>
      <c r="GU226" s="489"/>
      <c r="GV226" s="489"/>
      <c r="GW226" s="489"/>
      <c r="GX226" s="489"/>
      <c r="GY226" s="489"/>
      <c r="GZ226" s="489"/>
      <c r="HA226" s="489"/>
      <c r="HB226" s="489"/>
      <c r="HC226" s="489"/>
      <c r="HD226" s="489"/>
      <c r="HE226" s="489"/>
      <c r="HF226" s="489"/>
      <c r="HG226" s="489"/>
      <c r="HH226" s="489"/>
      <c r="HI226" s="489"/>
      <c r="HJ226" s="489"/>
      <c r="HK226" s="489"/>
      <c r="HL226" s="489"/>
      <c r="HM226" s="489"/>
      <c r="HN226" s="489"/>
      <c r="HO226" s="489"/>
      <c r="HP226" s="473">
        <f t="shared" si="78"/>
        <v>0</v>
      </c>
      <c r="HQ226" s="511"/>
    </row>
    <row r="227" spans="2:225">
      <c r="B227" s="763" t="s">
        <v>44</v>
      </c>
      <c r="C227" s="731" t="s">
        <v>228</v>
      </c>
      <c r="D227" s="528">
        <v>0.03</v>
      </c>
      <c r="E227" s="528">
        <v>0.03</v>
      </c>
      <c r="F227" s="528">
        <v>0.03</v>
      </c>
      <c r="G227" s="528">
        <v>0.03</v>
      </c>
      <c r="H227" s="528">
        <v>0.03</v>
      </c>
      <c r="I227" s="528">
        <v>0.03</v>
      </c>
      <c r="J227" s="528">
        <v>0.03</v>
      </c>
      <c r="K227" s="528">
        <v>0.03</v>
      </c>
      <c r="L227" s="528">
        <v>0.03</v>
      </c>
      <c r="M227" s="528">
        <v>0.03</v>
      </c>
      <c r="N227" s="528">
        <v>0.03</v>
      </c>
      <c r="O227" s="528">
        <v>0.03</v>
      </c>
      <c r="P227" s="528">
        <v>0.03</v>
      </c>
      <c r="Q227" s="528">
        <v>0.03</v>
      </c>
      <c r="R227" s="528">
        <v>0.03</v>
      </c>
      <c r="S227" s="528">
        <v>0.03</v>
      </c>
      <c r="T227" s="528">
        <v>0.03</v>
      </c>
      <c r="U227" s="528">
        <v>0.03</v>
      </c>
      <c r="V227" s="528">
        <v>0.03</v>
      </c>
      <c r="W227" s="528">
        <v>0.03</v>
      </c>
      <c r="X227" s="528">
        <v>0.03</v>
      </c>
      <c r="Y227" s="528">
        <v>0.03</v>
      </c>
      <c r="Z227" s="528">
        <v>0.03</v>
      </c>
      <c r="AA227" s="528">
        <v>0.03</v>
      </c>
      <c r="AB227" s="528">
        <v>0.03</v>
      </c>
      <c r="AC227" s="528">
        <v>0.03</v>
      </c>
      <c r="AD227" s="528">
        <v>0.03</v>
      </c>
      <c r="AE227" s="528">
        <v>0.03</v>
      </c>
      <c r="AF227" s="528">
        <v>0.03</v>
      </c>
      <c r="AG227" s="528">
        <v>0.03</v>
      </c>
      <c r="AH227" s="528">
        <v>0.03</v>
      </c>
      <c r="AI227" s="528">
        <v>0.03</v>
      </c>
      <c r="AJ227" s="526">
        <v>0.03</v>
      </c>
      <c r="AK227" s="528">
        <v>3.7499999999999999E-2</v>
      </c>
      <c r="AL227" s="529">
        <v>3.7499999999999999E-2</v>
      </c>
      <c r="AM227" s="528">
        <v>3.7499999999999999E-2</v>
      </c>
      <c r="AN227" s="528">
        <v>3.7499999999999999E-2</v>
      </c>
      <c r="AO227" s="528">
        <v>3.7499999999999999E-2</v>
      </c>
      <c r="AP227" s="528">
        <v>3.7499999999999999E-2</v>
      </c>
      <c r="AQ227" s="528">
        <v>3.7499999999999999E-2</v>
      </c>
      <c r="AR227" s="528">
        <v>3.7499999999999999E-2</v>
      </c>
      <c r="AS227" s="528">
        <v>3.7499999999999999E-2</v>
      </c>
      <c r="AT227" s="528">
        <v>3.7499999999999999E-2</v>
      </c>
      <c r="AU227" s="528">
        <v>3.7499999999999999E-2</v>
      </c>
      <c r="AV227" s="529">
        <v>3.7499999999999999E-2</v>
      </c>
      <c r="AW227" s="529">
        <v>3.7499999999999999E-2</v>
      </c>
      <c r="AX227" s="529">
        <v>3.7499999999999999E-2</v>
      </c>
      <c r="AY227" s="529">
        <v>3.7499999999999999E-2</v>
      </c>
      <c r="AZ227" s="529">
        <v>3.7499999999999999E-2</v>
      </c>
      <c r="BA227" s="529">
        <v>3.7499999999999999E-2</v>
      </c>
      <c r="BB227" s="529">
        <v>3.7499999999999999E-2</v>
      </c>
      <c r="BC227" s="529">
        <v>3.7499999999999999E-2</v>
      </c>
      <c r="BD227" s="529">
        <v>3.7499999999999999E-2</v>
      </c>
      <c r="BE227" s="529">
        <v>3.7499999999999999E-2</v>
      </c>
      <c r="BF227" s="529">
        <v>3.7499999999999999E-2</v>
      </c>
      <c r="BG227" s="529">
        <v>3.7499999999999999E-2</v>
      </c>
      <c r="BH227" s="529">
        <v>3.7499999999999999E-2</v>
      </c>
      <c r="BI227" s="529">
        <v>3.7499999999999999E-2</v>
      </c>
      <c r="BJ227" s="529">
        <v>3.7499999999999999E-2</v>
      </c>
      <c r="BK227" s="529">
        <v>3.7499999999999999E-2</v>
      </c>
      <c r="BL227" s="529">
        <v>3.7499999999999999E-2</v>
      </c>
      <c r="BM227" s="529">
        <v>3.7499999999999999E-2</v>
      </c>
      <c r="BN227" s="529">
        <v>3.7499999999999999E-2</v>
      </c>
      <c r="BO227" s="529">
        <v>3.7499999999999999E-2</v>
      </c>
      <c r="BP227" s="529">
        <v>3.5000000000000003E-2</v>
      </c>
      <c r="BQ227" s="529">
        <v>3.5000000000000003E-2</v>
      </c>
      <c r="BR227" s="529">
        <v>3.5000000000000003E-2</v>
      </c>
      <c r="BS227" s="529">
        <v>3.5000000000000003E-2</v>
      </c>
      <c r="BT227" s="529">
        <v>3.5000000000000003E-2</v>
      </c>
      <c r="BU227" s="529">
        <v>3.5000000000000003E-2</v>
      </c>
      <c r="BV227" s="529">
        <v>3.5000000000000003E-2</v>
      </c>
      <c r="BW227" s="529">
        <v>3.5000000000000003E-2</v>
      </c>
      <c r="BX227" s="529">
        <v>0.04</v>
      </c>
      <c r="BY227" s="529">
        <v>0.04</v>
      </c>
      <c r="BZ227" s="529">
        <v>0.04</v>
      </c>
      <c r="CA227" s="529">
        <v>0.04</v>
      </c>
      <c r="CB227" s="529">
        <v>0.04</v>
      </c>
      <c r="CC227" s="529">
        <v>0.04</v>
      </c>
      <c r="CD227" s="529">
        <v>0.04</v>
      </c>
      <c r="CE227" s="529"/>
      <c r="CF227" s="529"/>
      <c r="CG227" s="529"/>
      <c r="CH227" s="529"/>
      <c r="CI227" s="529"/>
      <c r="CJ227" s="529"/>
      <c r="CK227" s="529"/>
      <c r="CL227" s="529"/>
      <c r="CM227" s="529"/>
      <c r="CN227" s="529"/>
      <c r="CO227" s="529"/>
      <c r="CP227" s="529"/>
      <c r="CQ227" s="529"/>
      <c r="CR227" s="529"/>
      <c r="CS227" s="529"/>
      <c r="CT227" s="529"/>
      <c r="CU227" s="529"/>
      <c r="CV227" s="529"/>
      <c r="CW227" s="529"/>
      <c r="CX227" s="529"/>
      <c r="CY227" s="529"/>
      <c r="CZ227" s="529"/>
      <c r="DA227" s="529"/>
      <c r="DB227" s="489"/>
      <c r="DC227" s="489"/>
      <c r="DD227" s="489"/>
      <c r="DE227" s="489"/>
      <c r="DF227" s="489"/>
      <c r="DG227" s="489"/>
      <c r="DH227" s="489"/>
      <c r="DI227" s="489"/>
      <c r="DJ227" s="489"/>
      <c r="DK227" s="489"/>
      <c r="DL227" s="489"/>
      <c r="DM227" s="489"/>
      <c r="DN227" s="489"/>
      <c r="DO227" s="489"/>
      <c r="DP227" s="489"/>
      <c r="DQ227" s="489"/>
      <c r="DR227" s="489"/>
      <c r="DS227" s="489"/>
      <c r="DT227" s="489"/>
      <c r="DU227" s="489"/>
      <c r="DV227" s="489"/>
      <c r="DW227" s="489"/>
      <c r="DX227" s="489"/>
      <c r="DY227" s="489"/>
      <c r="DZ227" s="489"/>
      <c r="EA227" s="489"/>
      <c r="EB227" s="489"/>
      <c r="EC227" s="489"/>
      <c r="ED227" s="489"/>
      <c r="EE227" s="489"/>
      <c r="EF227" s="489"/>
      <c r="EG227" s="489"/>
      <c r="EH227" s="489"/>
      <c r="EI227" s="489"/>
      <c r="EJ227" s="489"/>
      <c r="EK227" s="489"/>
      <c r="EL227" s="489"/>
      <c r="EM227" s="489"/>
      <c r="EN227" s="489"/>
      <c r="EO227" s="489"/>
      <c r="EP227" s="489"/>
      <c r="EQ227" s="489"/>
      <c r="ER227" s="489"/>
      <c r="ES227" s="489"/>
      <c r="ET227" s="489"/>
      <c r="EU227" s="489"/>
      <c r="EV227" s="489"/>
      <c r="EW227" s="489"/>
      <c r="EX227" s="489"/>
      <c r="EY227" s="489"/>
      <c r="EZ227" s="489"/>
      <c r="FA227" s="489"/>
      <c r="FB227" s="489"/>
      <c r="FC227" s="489"/>
      <c r="FD227" s="489"/>
      <c r="FE227" s="489"/>
      <c r="FF227" s="489"/>
      <c r="FG227" s="489"/>
      <c r="FH227" s="489"/>
      <c r="FI227" s="489"/>
      <c r="FJ227" s="489"/>
      <c r="FK227" s="489"/>
      <c r="FL227" s="489"/>
      <c r="FM227" s="489"/>
      <c r="FN227" s="489"/>
      <c r="FO227" s="489"/>
      <c r="FP227" s="489"/>
      <c r="FQ227" s="489"/>
      <c r="FR227" s="489"/>
      <c r="FS227" s="489"/>
      <c r="FT227" s="489"/>
      <c r="FU227" s="489"/>
      <c r="FV227" s="489"/>
      <c r="FW227" s="489"/>
      <c r="FX227" s="489"/>
      <c r="FY227" s="489"/>
      <c r="FZ227" s="489"/>
      <c r="GA227" s="489"/>
      <c r="GB227" s="489"/>
      <c r="GC227" s="489"/>
      <c r="GD227" s="489"/>
      <c r="GE227" s="489"/>
      <c r="GF227" s="489"/>
      <c r="GG227" s="489"/>
      <c r="GH227" s="489"/>
      <c r="GI227" s="489"/>
      <c r="GJ227" s="489"/>
      <c r="GK227" s="489"/>
      <c r="GL227" s="489"/>
      <c r="GM227" s="489"/>
      <c r="GN227" s="489"/>
      <c r="GO227" s="489"/>
      <c r="GP227" s="489"/>
      <c r="GQ227" s="489"/>
      <c r="GR227" s="489"/>
      <c r="GS227" s="489"/>
      <c r="GT227" s="489"/>
      <c r="GU227" s="489"/>
      <c r="GV227" s="489"/>
      <c r="GW227" s="489"/>
      <c r="GX227" s="489"/>
      <c r="GY227" s="489"/>
      <c r="GZ227" s="489"/>
      <c r="HA227" s="489"/>
      <c r="HB227" s="489"/>
      <c r="HC227" s="489"/>
      <c r="HD227" s="489"/>
      <c r="HE227" s="489"/>
      <c r="HF227" s="489"/>
      <c r="HG227" s="489"/>
      <c r="HH227" s="489"/>
      <c r="HI227" s="489"/>
      <c r="HJ227" s="489"/>
      <c r="HK227" s="489"/>
      <c r="HL227" s="489"/>
      <c r="HM227" s="489"/>
      <c r="HN227" s="489"/>
      <c r="HO227" s="489"/>
      <c r="HP227" s="473">
        <f t="shared" si="78"/>
        <v>0</v>
      </c>
      <c r="HQ227" s="511"/>
    </row>
    <row r="228" spans="2:225">
      <c r="B228" s="534"/>
      <c r="C228" s="534"/>
      <c r="D228" s="534"/>
      <c r="E228" s="534"/>
      <c r="F228" s="534"/>
      <c r="G228" s="534"/>
      <c r="H228" s="534"/>
      <c r="I228" s="534"/>
      <c r="J228" s="534"/>
      <c r="K228" s="534"/>
      <c r="L228" s="534"/>
      <c r="M228" s="534"/>
      <c r="N228" s="534"/>
      <c r="O228" s="534"/>
      <c r="P228" s="534"/>
      <c r="Q228" s="534"/>
      <c r="R228" s="534"/>
      <c r="S228" s="534"/>
      <c r="T228" s="462"/>
      <c r="U228" s="462"/>
      <c r="V228" s="462"/>
      <c r="W228" s="534"/>
      <c r="X228" s="534"/>
      <c r="Y228" s="534"/>
      <c r="Z228" s="534"/>
      <c r="AA228" s="534"/>
      <c r="AB228" s="534"/>
      <c r="AC228" s="534"/>
      <c r="AD228" s="534"/>
      <c r="AE228" s="534"/>
      <c r="AF228" s="534"/>
      <c r="AG228" s="534"/>
      <c r="AH228" s="534"/>
      <c r="AI228" s="534"/>
      <c r="AJ228" s="534"/>
      <c r="AK228" s="534"/>
      <c r="AL228" s="462"/>
      <c r="AM228" s="534"/>
      <c r="AN228" s="534"/>
      <c r="AO228" s="534"/>
      <c r="AP228" s="534"/>
      <c r="AQ228" s="534"/>
      <c r="AR228" s="534"/>
      <c r="AS228" s="534"/>
      <c r="AT228" s="534"/>
      <c r="AU228" s="534"/>
      <c r="AV228" s="462"/>
      <c r="AW228" s="462"/>
      <c r="AX228" s="462"/>
      <c r="AY228" s="462"/>
      <c r="AZ228" s="462"/>
      <c r="BA228" s="462"/>
      <c r="BB228" s="462"/>
      <c r="BC228" s="462"/>
      <c r="BD228" s="462"/>
      <c r="BE228" s="462"/>
      <c r="BF228" s="462"/>
      <c r="BG228" s="462"/>
      <c r="BH228" s="462"/>
      <c r="BI228" s="462"/>
      <c r="BJ228" s="462"/>
      <c r="BK228" s="462"/>
      <c r="BL228" s="462"/>
      <c r="BM228" s="462"/>
      <c r="BN228" s="462"/>
      <c r="BO228" s="462"/>
      <c r="BP228" s="462"/>
      <c r="BQ228" s="462"/>
      <c r="BR228" s="462"/>
      <c r="BS228" s="462"/>
      <c r="BT228" s="462"/>
      <c r="BU228" s="462"/>
      <c r="BV228" s="462"/>
      <c r="BW228" s="462"/>
      <c r="BX228" s="462"/>
      <c r="BY228" s="462"/>
      <c r="BZ228" s="462"/>
      <c r="CA228" s="462"/>
      <c r="CB228" s="462"/>
      <c r="CC228" s="462"/>
      <c r="CD228" s="462"/>
      <c r="CE228" s="462"/>
      <c r="CF228" s="462"/>
      <c r="CG228" s="462"/>
      <c r="CH228" s="462"/>
      <c r="CI228" s="462"/>
      <c r="CJ228" s="462"/>
      <c r="CK228" s="462"/>
      <c r="CL228" s="462"/>
      <c r="CM228" s="462"/>
      <c r="CN228" s="462"/>
      <c r="CO228" s="462"/>
      <c r="CP228" s="462"/>
      <c r="CQ228" s="462"/>
      <c r="CR228" s="462"/>
      <c r="CS228" s="462"/>
      <c r="CT228" s="462"/>
      <c r="CU228" s="462"/>
      <c r="CV228" s="462"/>
      <c r="CW228" s="462"/>
      <c r="CX228" s="462"/>
      <c r="CY228" s="462"/>
      <c r="CZ228" s="462"/>
      <c r="DA228" s="462"/>
      <c r="DB228" s="462"/>
      <c r="DC228" s="462"/>
      <c r="DD228" s="462"/>
      <c r="DE228" s="462"/>
      <c r="DF228" s="462"/>
      <c r="DG228" s="462"/>
      <c r="DH228" s="462"/>
      <c r="DI228" s="462"/>
      <c r="DJ228" s="462"/>
      <c r="DK228" s="462"/>
      <c r="DL228" s="462"/>
      <c r="DM228" s="462"/>
      <c r="DN228" s="462"/>
      <c r="DO228" s="462"/>
      <c r="DP228" s="462"/>
      <c r="DQ228" s="462"/>
      <c r="DR228" s="462"/>
      <c r="DS228" s="462"/>
      <c r="DT228" s="462"/>
      <c r="DU228" s="462"/>
      <c r="DV228" s="462"/>
      <c r="DW228" s="462"/>
      <c r="DX228" s="462"/>
      <c r="DY228" s="462"/>
      <c r="DZ228" s="462"/>
      <c r="EA228" s="462"/>
      <c r="EB228" s="462"/>
      <c r="EC228" s="462"/>
      <c r="ED228" s="462"/>
      <c r="EE228" s="462"/>
      <c r="EF228" s="462"/>
      <c r="EG228" s="462"/>
      <c r="EH228" s="462"/>
      <c r="EI228" s="462"/>
      <c r="EJ228" s="462"/>
      <c r="EK228" s="462"/>
      <c r="EL228" s="462"/>
      <c r="EM228" s="462"/>
      <c r="EN228" s="462"/>
      <c r="EO228" s="462"/>
      <c r="EP228" s="462"/>
      <c r="EQ228" s="462"/>
      <c r="ER228" s="462"/>
      <c r="ES228" s="462"/>
      <c r="ET228" s="462"/>
      <c r="EU228" s="462"/>
      <c r="EV228" s="462"/>
      <c r="EW228" s="462"/>
      <c r="EX228" s="462"/>
      <c r="EY228" s="462"/>
      <c r="EZ228" s="462"/>
      <c r="FA228" s="462"/>
      <c r="FB228" s="462"/>
      <c r="FC228" s="462"/>
      <c r="FD228" s="462"/>
      <c r="FE228" s="462"/>
      <c r="FF228" s="462"/>
      <c r="FG228" s="462"/>
      <c r="FH228" s="462"/>
      <c r="FI228" s="462"/>
      <c r="FJ228" s="462"/>
      <c r="FK228" s="462"/>
      <c r="FL228" s="462"/>
      <c r="FM228" s="462"/>
      <c r="FN228" s="462"/>
      <c r="FO228" s="462"/>
      <c r="FP228" s="462"/>
      <c r="FQ228" s="462"/>
      <c r="FR228" s="462"/>
      <c r="FS228" s="462"/>
      <c r="FT228" s="462"/>
      <c r="FU228" s="462"/>
      <c r="FV228" s="462"/>
      <c r="FW228" s="462"/>
      <c r="FX228" s="462"/>
      <c r="FY228" s="462"/>
      <c r="FZ228" s="462"/>
      <c r="GA228" s="462"/>
      <c r="GB228" s="462"/>
      <c r="GC228" s="462"/>
      <c r="GD228" s="462"/>
      <c r="GE228" s="462"/>
      <c r="GF228" s="462"/>
      <c r="GG228" s="462"/>
      <c r="GH228" s="462"/>
      <c r="GI228" s="462"/>
      <c r="GJ228" s="462"/>
      <c r="GK228" s="462"/>
      <c r="GL228" s="462"/>
      <c r="GM228" s="462"/>
      <c r="GN228" s="462"/>
      <c r="GO228" s="462"/>
      <c r="GP228" s="462"/>
      <c r="GQ228" s="462"/>
      <c r="GR228" s="462"/>
      <c r="GS228" s="462"/>
      <c r="GT228" s="462"/>
      <c r="GU228" s="462"/>
      <c r="GV228" s="462"/>
      <c r="GW228" s="462"/>
      <c r="GX228" s="462"/>
      <c r="GY228" s="462"/>
      <c r="GZ228" s="462"/>
      <c r="HA228" s="462"/>
      <c r="HB228" s="462"/>
      <c r="HC228" s="462"/>
      <c r="HD228" s="462"/>
      <c r="HE228" s="462"/>
      <c r="HF228" s="462"/>
      <c r="HG228" s="462"/>
      <c r="HH228" s="462"/>
      <c r="HI228" s="462"/>
      <c r="HJ228" s="462"/>
      <c r="HK228" s="462"/>
      <c r="HL228" s="462"/>
      <c r="HM228" s="462"/>
      <c r="HN228" s="462"/>
      <c r="HO228" s="462"/>
      <c r="HP228" s="462"/>
      <c r="HQ228" s="521"/>
    </row>
    <row r="229" spans="2:225">
      <c r="C229" s="622"/>
      <c r="D229" s="622"/>
      <c r="E229" s="622"/>
      <c r="F229" s="622"/>
      <c r="G229" s="622"/>
      <c r="H229" s="622"/>
      <c r="I229" s="622"/>
      <c r="J229" s="622"/>
      <c r="K229" s="622"/>
      <c r="L229" s="622"/>
      <c r="M229" s="622"/>
      <c r="N229" s="622"/>
      <c r="O229" s="622"/>
      <c r="P229" s="622"/>
      <c r="Q229" s="622"/>
      <c r="R229" s="622"/>
      <c r="S229" s="622"/>
      <c r="T229" s="517"/>
      <c r="U229" s="517"/>
      <c r="V229" s="517"/>
      <c r="W229" s="518"/>
      <c r="X229" s="518"/>
      <c r="Y229" s="518"/>
      <c r="Z229" s="518"/>
      <c r="AA229" s="518"/>
      <c r="AB229" s="518"/>
      <c r="AC229" s="518"/>
      <c r="AD229" s="518"/>
      <c r="AE229" s="518"/>
      <c r="AF229" s="518"/>
      <c r="AG229" s="518"/>
      <c r="AH229" s="518"/>
      <c r="AI229" s="518"/>
      <c r="AJ229" s="518"/>
      <c r="AK229" s="518"/>
      <c r="AL229" s="519"/>
      <c r="AM229" s="518"/>
      <c r="AN229" s="518"/>
      <c r="AO229" s="518"/>
      <c r="AP229" s="518"/>
      <c r="AQ229" s="518"/>
      <c r="AR229" s="518"/>
      <c r="AS229" s="518"/>
      <c r="AT229" s="518"/>
      <c r="AU229" s="518"/>
      <c r="AV229" s="519"/>
      <c r="AW229" s="519"/>
      <c r="AX229" s="519"/>
      <c r="AY229" s="519"/>
      <c r="AZ229" s="519"/>
      <c r="BA229" s="519"/>
      <c r="BB229" s="519"/>
      <c r="BC229" s="519"/>
      <c r="BD229" s="519"/>
      <c r="BE229" s="519"/>
      <c r="BF229" s="519"/>
      <c r="BG229" s="519"/>
      <c r="BH229" s="519"/>
      <c r="BI229" s="519"/>
      <c r="BJ229" s="519"/>
      <c r="BK229" s="519"/>
      <c r="BL229" s="519"/>
      <c r="BM229" s="519"/>
      <c r="BN229" s="519"/>
      <c r="BO229" s="519"/>
      <c r="BP229" s="519"/>
      <c r="BQ229" s="519"/>
      <c r="BR229" s="519"/>
      <c r="BS229" s="519"/>
      <c r="BT229" s="519"/>
      <c r="BU229" s="519"/>
      <c r="BV229" s="519"/>
      <c r="BW229" s="519"/>
      <c r="BX229" s="519"/>
      <c r="BY229" s="519"/>
      <c r="BZ229" s="519"/>
      <c r="CA229" s="519"/>
      <c r="CB229" s="519"/>
      <c r="CC229" s="519"/>
      <c r="CD229" s="519"/>
      <c r="CE229" s="519"/>
      <c r="CF229" s="519"/>
      <c r="CG229" s="519"/>
      <c r="CH229" s="519"/>
      <c r="CI229" s="519"/>
      <c r="CJ229" s="519"/>
      <c r="CK229" s="519"/>
      <c r="CL229" s="519"/>
      <c r="CM229" s="519"/>
      <c r="CN229" s="519"/>
      <c r="CO229" s="519"/>
      <c r="CP229" s="519"/>
      <c r="CQ229" s="519"/>
      <c r="CR229" s="519"/>
      <c r="CS229" s="519"/>
      <c r="CT229" s="519"/>
      <c r="CU229" s="519"/>
      <c r="CV229" s="519"/>
      <c r="CW229" s="519"/>
      <c r="CX229" s="519"/>
      <c r="CY229" s="519"/>
      <c r="CZ229" s="519"/>
      <c r="DA229" s="519"/>
      <c r="DB229" s="519"/>
      <c r="DC229" s="519"/>
      <c r="DD229" s="519"/>
      <c r="DE229" s="519"/>
      <c r="DF229" s="519"/>
      <c r="DG229" s="519"/>
      <c r="DH229" s="519"/>
      <c r="DI229" s="519"/>
      <c r="DJ229" s="519"/>
      <c r="DK229" s="519"/>
      <c r="DL229" s="519"/>
      <c r="DM229" s="519"/>
      <c r="DN229" s="519"/>
      <c r="DO229" s="519"/>
      <c r="DP229" s="519"/>
      <c r="DQ229" s="519"/>
      <c r="DR229" s="519"/>
      <c r="DS229" s="519"/>
      <c r="DT229" s="519"/>
      <c r="DU229" s="519"/>
      <c r="DV229" s="519"/>
      <c r="DW229" s="519"/>
      <c r="DX229" s="519"/>
      <c r="DY229" s="519"/>
      <c r="DZ229" s="519"/>
      <c r="EA229" s="519"/>
      <c r="EB229" s="519"/>
      <c r="EC229" s="519"/>
      <c r="ED229" s="519"/>
      <c r="EE229" s="519"/>
      <c r="EF229" s="519"/>
      <c r="EG229" s="519"/>
      <c r="EH229" s="519"/>
      <c r="EI229" s="519"/>
      <c r="EJ229" s="519"/>
      <c r="EK229" s="519"/>
      <c r="EL229" s="519"/>
      <c r="EM229" s="519"/>
      <c r="EN229" s="519"/>
      <c r="EO229" s="519"/>
      <c r="EP229" s="519"/>
      <c r="EQ229" s="519"/>
      <c r="ER229" s="519"/>
      <c r="ES229" s="519"/>
      <c r="ET229" s="519"/>
      <c r="EU229" s="519"/>
      <c r="EV229" s="519"/>
      <c r="EW229" s="519"/>
      <c r="EX229" s="519"/>
      <c r="EY229" s="519"/>
      <c r="EZ229" s="519"/>
      <c r="FA229" s="519"/>
      <c r="FB229" s="519"/>
      <c r="FC229" s="519"/>
      <c r="FD229" s="519"/>
      <c r="FE229" s="519"/>
      <c r="FF229" s="519"/>
      <c r="FG229" s="519"/>
      <c r="FH229" s="519"/>
      <c r="FI229" s="519"/>
      <c r="FJ229" s="519"/>
      <c r="FK229" s="519"/>
      <c r="FL229" s="519"/>
      <c r="FM229" s="519"/>
      <c r="FN229" s="519"/>
      <c r="FO229" s="519"/>
      <c r="FP229" s="519"/>
      <c r="FQ229" s="519"/>
      <c r="FR229" s="519"/>
      <c r="FS229" s="519"/>
      <c r="FT229" s="519"/>
      <c r="FU229" s="519"/>
      <c r="FV229" s="519"/>
      <c r="FW229" s="519"/>
      <c r="FX229" s="519"/>
      <c r="FY229" s="519"/>
      <c r="FZ229" s="519"/>
      <c r="GA229" s="519"/>
      <c r="GB229" s="519"/>
      <c r="GC229" s="519"/>
      <c r="GD229" s="519"/>
      <c r="GE229" s="519"/>
      <c r="GF229" s="519"/>
      <c r="GG229" s="519"/>
      <c r="GH229" s="519"/>
      <c r="GI229" s="519"/>
      <c r="GJ229" s="519"/>
      <c r="GK229" s="519"/>
      <c r="GL229" s="519"/>
      <c r="GM229" s="519"/>
      <c r="GN229" s="519"/>
      <c r="GO229" s="519"/>
      <c r="GP229" s="519"/>
      <c r="GQ229" s="519"/>
      <c r="GR229" s="519"/>
      <c r="GS229" s="519"/>
      <c r="GT229" s="519"/>
      <c r="GU229" s="519"/>
      <c r="GV229" s="519"/>
      <c r="GW229" s="519"/>
      <c r="GX229" s="519"/>
      <c r="GY229" s="519"/>
      <c r="GZ229" s="519"/>
      <c r="HA229" s="519"/>
      <c r="HB229" s="519"/>
      <c r="HC229" s="519"/>
      <c r="HD229" s="519"/>
      <c r="HE229" s="519"/>
      <c r="HF229" s="519"/>
      <c r="HG229" s="519"/>
      <c r="HH229" s="519"/>
      <c r="HI229" s="519"/>
      <c r="HJ229" s="519"/>
      <c r="HK229" s="519"/>
      <c r="HL229" s="519"/>
      <c r="HM229" s="519"/>
      <c r="HN229" s="519"/>
      <c r="HO229" s="519"/>
      <c r="HP229" s="520"/>
      <c r="HQ229" s="521"/>
    </row>
    <row r="230" spans="2:225">
      <c r="B230" s="1131" t="s">
        <v>227</v>
      </c>
      <c r="C230" s="1131"/>
      <c r="D230" s="1131"/>
      <c r="E230" s="1131"/>
      <c r="F230" s="1131"/>
      <c r="G230" s="1131"/>
      <c r="H230" s="1131"/>
      <c r="I230" s="1131"/>
      <c r="J230" s="1131"/>
      <c r="K230" s="1131"/>
      <c r="L230" s="1131"/>
      <c r="M230" s="1131"/>
      <c r="N230" s="1131"/>
      <c r="O230" s="1131"/>
      <c r="P230" s="1131"/>
      <c r="Q230" s="1131"/>
      <c r="R230" s="1131"/>
      <c r="S230" s="1131"/>
      <c r="T230" s="1131"/>
      <c r="U230" s="1131"/>
      <c r="V230" s="1131"/>
      <c r="W230" s="1131"/>
      <c r="X230" s="1131"/>
      <c r="Y230" s="1131"/>
      <c r="Z230" s="1131"/>
      <c r="AA230" s="1131"/>
      <c r="AB230" s="1131"/>
      <c r="AC230" s="1131"/>
      <c r="AD230" s="1131"/>
      <c r="AE230" s="1131"/>
      <c r="AF230" s="1131"/>
      <c r="AG230" s="1131"/>
      <c r="AH230" s="1131"/>
      <c r="AI230" s="1131"/>
      <c r="AJ230" s="1131"/>
      <c r="AK230" s="1131"/>
      <c r="AL230" s="1131"/>
      <c r="AM230" s="1131"/>
      <c r="AN230" s="1131"/>
      <c r="AO230" s="1131"/>
      <c r="AP230" s="1131"/>
      <c r="AQ230" s="1131"/>
      <c r="AR230" s="1131"/>
      <c r="AS230" s="1131"/>
      <c r="AT230" s="1131"/>
      <c r="AU230" s="1131"/>
      <c r="AV230" s="1131"/>
      <c r="AW230" s="1131"/>
      <c r="AX230" s="1131"/>
      <c r="AY230" s="1131"/>
      <c r="AZ230" s="1131"/>
      <c r="BA230" s="1131"/>
      <c r="BB230" s="1131"/>
      <c r="BC230" s="1131"/>
      <c r="BD230" s="1131"/>
      <c r="BE230" s="1131"/>
      <c r="BF230" s="1131"/>
      <c r="BG230" s="1131"/>
      <c r="BH230" s="1131"/>
      <c r="BI230" s="1131"/>
      <c r="BJ230" s="1131"/>
      <c r="BK230" s="1131"/>
      <c r="BL230" s="1131"/>
      <c r="BM230" s="1131"/>
      <c r="BN230" s="1131"/>
      <c r="BO230" s="1131"/>
      <c r="BP230" s="1131"/>
      <c r="BQ230" s="1131"/>
      <c r="BR230" s="1131"/>
      <c r="BS230" s="1131"/>
      <c r="BT230" s="1131"/>
      <c r="BU230" s="1131"/>
      <c r="BV230" s="1131"/>
      <c r="BW230" s="1131"/>
      <c r="BX230" s="1131"/>
      <c r="BY230" s="1131"/>
      <c r="BZ230" s="1131"/>
      <c r="CA230" s="1131"/>
      <c r="CB230" s="1131"/>
      <c r="CC230" s="1131"/>
      <c r="CD230" s="1131"/>
      <c r="CE230" s="1131"/>
      <c r="CF230" s="1131"/>
      <c r="CG230" s="1131"/>
      <c r="CH230" s="1131"/>
      <c r="CI230" s="1131"/>
      <c r="CJ230" s="1131"/>
      <c r="CK230" s="1131"/>
      <c r="CL230" s="1131"/>
      <c r="CM230" s="1131"/>
      <c r="CN230" s="1131"/>
      <c r="CO230" s="1131"/>
      <c r="CP230" s="1131"/>
      <c r="CQ230" s="1131"/>
      <c r="CR230" s="1131"/>
      <c r="CS230" s="1131"/>
      <c r="CT230" s="1131"/>
      <c r="CU230" s="1131"/>
      <c r="CV230" s="1131"/>
      <c r="CW230" s="1131"/>
      <c r="CX230" s="1131"/>
      <c r="CY230" s="1131"/>
      <c r="CZ230" s="1131"/>
      <c r="DA230" s="1131"/>
      <c r="DB230" s="1131"/>
      <c r="DC230" s="1131"/>
      <c r="DD230" s="1131"/>
      <c r="DE230" s="1131"/>
      <c r="DF230" s="1131"/>
      <c r="DG230" s="1131"/>
      <c r="DH230" s="1131"/>
      <c r="DI230" s="1131"/>
      <c r="DJ230" s="1131"/>
      <c r="DK230" s="1131"/>
      <c r="DL230" s="1131"/>
      <c r="DM230" s="1131"/>
      <c r="DN230" s="1131"/>
      <c r="DO230" s="1131"/>
      <c r="DP230" s="1131"/>
      <c r="DQ230" s="1131"/>
      <c r="DR230" s="1131"/>
      <c r="DS230" s="1131"/>
      <c r="DT230" s="1131"/>
      <c r="DU230" s="1131"/>
      <c r="DV230" s="1131"/>
      <c r="DW230" s="1131"/>
      <c r="DX230" s="1131"/>
      <c r="DY230" s="1131"/>
      <c r="DZ230" s="1131"/>
      <c r="EA230" s="1131"/>
      <c r="EB230" s="1131"/>
      <c r="EC230" s="1131"/>
      <c r="ED230" s="1131"/>
      <c r="EE230" s="1131"/>
      <c r="EF230" s="1131"/>
      <c r="EG230" s="1131"/>
      <c r="EH230" s="1131"/>
      <c r="EI230" s="1131"/>
      <c r="EJ230" s="1131"/>
      <c r="EK230" s="1131"/>
      <c r="EL230" s="1131"/>
      <c r="EM230" s="1131"/>
      <c r="EN230" s="1131"/>
      <c r="EO230" s="1131"/>
      <c r="EP230" s="1131"/>
      <c r="EQ230" s="1131"/>
      <c r="ER230" s="1131"/>
      <c r="ES230" s="1131"/>
      <c r="ET230" s="1131"/>
      <c r="EU230" s="1131"/>
      <c r="EV230" s="1131"/>
      <c r="EW230" s="1131"/>
      <c r="EX230" s="1131"/>
      <c r="EY230" s="1131"/>
      <c r="EZ230" s="1131"/>
      <c r="FA230" s="1131"/>
      <c r="FB230" s="1131"/>
      <c r="FC230" s="1131"/>
      <c r="FD230" s="1131"/>
      <c r="FE230" s="1131"/>
      <c r="FF230" s="1131"/>
      <c r="FG230" s="1131"/>
      <c r="FH230" s="1131"/>
      <c r="FI230" s="1131"/>
      <c r="FJ230" s="1131"/>
      <c r="FK230" s="1131"/>
      <c r="FL230" s="1131"/>
      <c r="FM230" s="1131"/>
      <c r="FN230" s="1131"/>
      <c r="FO230" s="1131"/>
      <c r="FP230" s="1131"/>
      <c r="FQ230" s="1131"/>
      <c r="FR230" s="1131"/>
      <c r="FS230" s="1131"/>
      <c r="FT230" s="1131"/>
      <c r="FU230" s="1131"/>
      <c r="FV230" s="1131"/>
      <c r="FW230" s="1131"/>
      <c r="FX230" s="1131"/>
      <c r="FY230" s="1131"/>
      <c r="FZ230" s="1131"/>
      <c r="GA230" s="1131"/>
      <c r="GB230" s="1131"/>
      <c r="GC230" s="1131"/>
      <c r="GD230" s="1131"/>
      <c r="GE230" s="1131"/>
      <c r="GF230" s="1131"/>
      <c r="GG230" s="1131"/>
      <c r="GH230" s="1131"/>
      <c r="GI230" s="1131"/>
      <c r="GJ230" s="1131"/>
      <c r="GK230" s="1131"/>
      <c r="GL230" s="1131"/>
      <c r="GM230" s="1131"/>
      <c r="GN230" s="1131"/>
      <c r="GO230" s="1131"/>
      <c r="GP230" s="1131"/>
      <c r="GQ230" s="1131"/>
      <c r="GR230" s="1131"/>
      <c r="GS230" s="1131"/>
      <c r="GT230" s="1131"/>
      <c r="GU230" s="1131"/>
      <c r="GV230" s="1131" t="s">
        <v>225</v>
      </c>
      <c r="GW230" s="1131"/>
      <c r="GX230" s="1131"/>
      <c r="GY230" s="1131"/>
      <c r="GZ230" s="1131"/>
      <c r="HA230" s="1131"/>
      <c r="HB230" s="1131"/>
      <c r="HC230" s="1131"/>
      <c r="HD230" s="1131"/>
      <c r="HE230" s="1131"/>
      <c r="HF230" s="1131"/>
      <c r="HG230" s="1131"/>
      <c r="HH230" s="1131"/>
      <c r="HI230" s="1131"/>
      <c r="HJ230" s="1131"/>
      <c r="HK230" s="1131"/>
      <c r="HL230" s="1131"/>
      <c r="HM230" s="1131"/>
      <c r="HN230" s="1131"/>
      <c r="HO230" s="1131"/>
      <c r="HP230" s="1131"/>
      <c r="HQ230" s="1131"/>
    </row>
    <row r="231" spans="2:225">
      <c r="B231" s="464" t="s">
        <v>121</v>
      </c>
      <c r="C231" s="464" t="s">
        <v>120</v>
      </c>
      <c r="D231" s="465">
        <f t="shared" ref="D231:F231" si="87">D3</f>
        <v>46099</v>
      </c>
      <c r="E231" s="465">
        <f t="shared" ref="E231" si="88">E3</f>
        <v>46092</v>
      </c>
      <c r="F231" s="465">
        <f t="shared" si="87"/>
        <v>46085</v>
      </c>
      <c r="G231" s="465">
        <f t="shared" ref="G231:O231" si="89">G3</f>
        <v>46078</v>
      </c>
      <c r="H231" s="465">
        <f t="shared" ref="H231" si="90">H3</f>
        <v>46071</v>
      </c>
      <c r="I231" s="465">
        <f>I3</f>
        <v>46057</v>
      </c>
      <c r="J231" s="465">
        <f t="shared" si="89"/>
        <v>46050</v>
      </c>
      <c r="K231" s="465">
        <f t="shared" si="89"/>
        <v>46043</v>
      </c>
      <c r="L231" s="465">
        <f t="shared" si="89"/>
        <v>46036</v>
      </c>
      <c r="M231" s="465">
        <f t="shared" si="89"/>
        <v>46029</v>
      </c>
      <c r="N231" s="465">
        <f t="shared" si="89"/>
        <v>46022</v>
      </c>
      <c r="O231" s="465">
        <f t="shared" si="89"/>
        <v>46015</v>
      </c>
      <c r="P231" s="465">
        <f t="shared" ref="P231:V231" si="91">P3</f>
        <v>46008</v>
      </c>
      <c r="Q231" s="465">
        <f>Q3</f>
        <v>46001</v>
      </c>
      <c r="R231" s="465">
        <f t="shared" si="91"/>
        <v>45994</v>
      </c>
      <c r="S231" s="465">
        <f t="shared" si="91"/>
        <v>45987</v>
      </c>
      <c r="T231" s="465">
        <f t="shared" si="91"/>
        <v>45980</v>
      </c>
      <c r="U231" s="465">
        <f t="shared" si="91"/>
        <v>45973</v>
      </c>
      <c r="V231" s="465">
        <f t="shared" si="91"/>
        <v>45966</v>
      </c>
      <c r="W231" s="465">
        <f t="shared" ref="W231:AF231" si="92">W3</f>
        <v>45959</v>
      </c>
      <c r="X231" s="465">
        <f>X3</f>
        <v>45952</v>
      </c>
      <c r="Y231" s="465">
        <f>Y3</f>
        <v>45945</v>
      </c>
      <c r="Z231" s="465">
        <f>Z3</f>
        <v>45938</v>
      </c>
      <c r="AA231" s="465">
        <f>AA3</f>
        <v>45931</v>
      </c>
      <c r="AB231" s="465">
        <f t="shared" si="92"/>
        <v>45924</v>
      </c>
      <c r="AC231" s="465">
        <f t="shared" si="92"/>
        <v>45917</v>
      </c>
      <c r="AD231" s="465">
        <f t="shared" si="92"/>
        <v>45910</v>
      </c>
      <c r="AE231" s="465">
        <f t="shared" si="92"/>
        <v>45903</v>
      </c>
      <c r="AF231" s="465">
        <f t="shared" si="92"/>
        <v>45896</v>
      </c>
      <c r="AG231" s="465">
        <f t="shared" ref="AG231:CR231" si="93">AG3</f>
        <v>45889</v>
      </c>
      <c r="AH231" s="465">
        <f t="shared" si="93"/>
        <v>45882</v>
      </c>
      <c r="AI231" s="465">
        <f t="shared" si="93"/>
        <v>45875</v>
      </c>
      <c r="AJ231" s="465">
        <f t="shared" si="93"/>
        <v>45868</v>
      </c>
      <c r="AK231" s="465">
        <f t="shared" si="93"/>
        <v>45861</v>
      </c>
      <c r="AL231" s="465">
        <f t="shared" si="93"/>
        <v>45854</v>
      </c>
      <c r="AM231" s="465">
        <f t="shared" si="93"/>
        <v>45847</v>
      </c>
      <c r="AN231" s="465">
        <f t="shared" si="93"/>
        <v>45840</v>
      </c>
      <c r="AO231" s="465">
        <f t="shared" si="93"/>
        <v>45833</v>
      </c>
      <c r="AP231" s="465">
        <f t="shared" si="93"/>
        <v>45826</v>
      </c>
      <c r="AQ231" s="465">
        <f t="shared" si="93"/>
        <v>45819</v>
      </c>
      <c r="AR231" s="465">
        <f t="shared" si="93"/>
        <v>45812</v>
      </c>
      <c r="AS231" s="465">
        <f t="shared" si="93"/>
        <v>45805</v>
      </c>
      <c r="AT231" s="465">
        <f t="shared" si="93"/>
        <v>45798</v>
      </c>
      <c r="AU231" s="465">
        <f t="shared" si="93"/>
        <v>45792</v>
      </c>
      <c r="AV231" s="465">
        <f t="shared" si="93"/>
        <v>38480</v>
      </c>
      <c r="AW231" s="465">
        <f t="shared" si="93"/>
        <v>45777</v>
      </c>
      <c r="AX231" s="465">
        <f t="shared" si="93"/>
        <v>45757</v>
      </c>
      <c r="AY231" s="465">
        <f t="shared" si="93"/>
        <v>45750</v>
      </c>
      <c r="AZ231" s="465">
        <f t="shared" si="93"/>
        <v>45742</v>
      </c>
      <c r="BA231" s="465">
        <f t="shared" si="93"/>
        <v>45736</v>
      </c>
      <c r="BB231" s="465">
        <f t="shared" si="93"/>
        <v>45729</v>
      </c>
      <c r="BC231" s="465">
        <f t="shared" si="93"/>
        <v>45722</v>
      </c>
      <c r="BD231" s="465">
        <f t="shared" si="93"/>
        <v>45715</v>
      </c>
      <c r="BE231" s="465">
        <f t="shared" si="93"/>
        <v>45708</v>
      </c>
      <c r="BF231" s="465">
        <f t="shared" si="93"/>
        <v>45701</v>
      </c>
      <c r="BG231" s="465">
        <f t="shared" si="93"/>
        <v>46092</v>
      </c>
      <c r="BH231" s="465">
        <f t="shared" si="93"/>
        <v>45688</v>
      </c>
      <c r="BI231" s="465">
        <f t="shared" si="93"/>
        <v>45681</v>
      </c>
      <c r="BJ231" s="465">
        <f t="shared" si="93"/>
        <v>45673</v>
      </c>
      <c r="BK231" s="465">
        <f t="shared" si="93"/>
        <v>45666</v>
      </c>
      <c r="BL231" s="465">
        <f t="shared" si="93"/>
        <v>45659</v>
      </c>
      <c r="BM231" s="465">
        <f t="shared" si="93"/>
        <v>45652</v>
      </c>
      <c r="BN231" s="465">
        <f t="shared" si="93"/>
        <v>45645</v>
      </c>
      <c r="BO231" s="465">
        <f t="shared" si="93"/>
        <v>45638</v>
      </c>
      <c r="BP231" s="465">
        <f t="shared" si="93"/>
        <v>45631</v>
      </c>
      <c r="BQ231" s="465">
        <f t="shared" si="93"/>
        <v>45625</v>
      </c>
      <c r="BR231" s="465">
        <f t="shared" si="93"/>
        <v>45617</v>
      </c>
      <c r="BS231" s="465">
        <f t="shared" si="93"/>
        <v>45610</v>
      </c>
      <c r="BT231" s="465">
        <f t="shared" si="93"/>
        <v>45603</v>
      </c>
      <c r="BU231" s="465">
        <f t="shared" si="93"/>
        <v>45595</v>
      </c>
      <c r="BV231" s="465">
        <f t="shared" si="93"/>
        <v>45591</v>
      </c>
      <c r="BW231" s="465">
        <f t="shared" si="93"/>
        <v>45582</v>
      </c>
      <c r="BX231" s="465">
        <f t="shared" si="93"/>
        <v>45575</v>
      </c>
      <c r="BY231" s="465">
        <f t="shared" si="93"/>
        <v>45568</v>
      </c>
      <c r="BZ231" s="465">
        <f t="shared" si="93"/>
        <v>45561</v>
      </c>
      <c r="CA231" s="465">
        <f t="shared" si="93"/>
        <v>45554</v>
      </c>
      <c r="CB231" s="465">
        <f t="shared" si="93"/>
        <v>45547</v>
      </c>
      <c r="CC231" s="465">
        <f t="shared" si="93"/>
        <v>45540</v>
      </c>
      <c r="CD231" s="465">
        <f t="shared" si="93"/>
        <v>45533</v>
      </c>
      <c r="CE231" s="465">
        <f t="shared" si="93"/>
        <v>45526</v>
      </c>
      <c r="CF231" s="465">
        <f t="shared" si="93"/>
        <v>45517</v>
      </c>
      <c r="CG231" s="465">
        <f t="shared" si="93"/>
        <v>45511</v>
      </c>
      <c r="CH231" s="465">
        <f t="shared" si="93"/>
        <v>45505</v>
      </c>
      <c r="CI231" s="465">
        <f t="shared" si="93"/>
        <v>45498</v>
      </c>
      <c r="CJ231" s="465">
        <f t="shared" si="93"/>
        <v>45492</v>
      </c>
      <c r="CK231" s="465">
        <f t="shared" si="93"/>
        <v>45484</v>
      </c>
      <c r="CL231" s="465">
        <f t="shared" si="93"/>
        <v>45477</v>
      </c>
      <c r="CM231" s="465">
        <f t="shared" si="93"/>
        <v>45470</v>
      </c>
      <c r="CN231" s="465">
        <f t="shared" si="93"/>
        <v>45463</v>
      </c>
      <c r="CO231" s="465">
        <f t="shared" si="93"/>
        <v>45456</v>
      </c>
      <c r="CP231" s="465">
        <f t="shared" si="93"/>
        <v>45449</v>
      </c>
      <c r="CQ231" s="465">
        <f t="shared" si="93"/>
        <v>45442</v>
      </c>
      <c r="CR231" s="465">
        <f t="shared" si="93"/>
        <v>45435</v>
      </c>
      <c r="CS231" s="465">
        <f t="shared" ref="CS231:FD231" si="94">CS3</f>
        <v>45428</v>
      </c>
      <c r="CT231" s="465">
        <f t="shared" si="94"/>
        <v>45421</v>
      </c>
      <c r="CU231" s="465">
        <f t="shared" si="94"/>
        <v>45414</v>
      </c>
      <c r="CV231" s="465">
        <f t="shared" si="94"/>
        <v>45407</v>
      </c>
      <c r="CW231" s="465">
        <f t="shared" si="94"/>
        <v>45400</v>
      </c>
      <c r="CX231" s="465">
        <f t="shared" si="94"/>
        <v>45393</v>
      </c>
      <c r="CY231" s="465">
        <f t="shared" si="94"/>
        <v>45386</v>
      </c>
      <c r="CZ231" s="465">
        <f t="shared" si="94"/>
        <v>45378</v>
      </c>
      <c r="DA231" s="465">
        <f t="shared" si="94"/>
        <v>45372</v>
      </c>
      <c r="DB231" s="465">
        <f t="shared" si="94"/>
        <v>45365</v>
      </c>
      <c r="DC231" s="465">
        <f t="shared" si="94"/>
        <v>45358</v>
      </c>
      <c r="DD231" s="465">
        <f t="shared" si="94"/>
        <v>45351</v>
      </c>
      <c r="DE231" s="465">
        <f t="shared" si="94"/>
        <v>45343</v>
      </c>
      <c r="DF231" s="465">
        <f t="shared" si="94"/>
        <v>45336</v>
      </c>
      <c r="DG231" s="465">
        <f t="shared" si="94"/>
        <v>45329</v>
      </c>
      <c r="DH231" s="465">
        <f t="shared" si="94"/>
        <v>45323</v>
      </c>
      <c r="DI231" s="465">
        <f t="shared" si="94"/>
        <v>45316</v>
      </c>
      <c r="DJ231" s="465">
        <f t="shared" si="94"/>
        <v>45309</v>
      </c>
      <c r="DK231" s="465">
        <f t="shared" si="94"/>
        <v>45302</v>
      </c>
      <c r="DL231" s="465">
        <f t="shared" si="94"/>
        <v>45295</v>
      </c>
      <c r="DM231" s="465">
        <f t="shared" si="94"/>
        <v>45288</v>
      </c>
      <c r="DN231" s="465">
        <f t="shared" si="94"/>
        <v>45281</v>
      </c>
      <c r="DO231" s="465">
        <f t="shared" si="94"/>
        <v>45274</v>
      </c>
      <c r="DP231" s="465">
        <f t="shared" si="94"/>
        <v>45267</v>
      </c>
      <c r="DQ231" s="465">
        <f t="shared" si="94"/>
        <v>45260</v>
      </c>
      <c r="DR231" s="465">
        <f t="shared" si="94"/>
        <v>45253</v>
      </c>
      <c r="DS231" s="465">
        <f t="shared" si="94"/>
        <v>45246</v>
      </c>
      <c r="DT231" s="465">
        <f t="shared" si="94"/>
        <v>45239</v>
      </c>
      <c r="DU231" s="465">
        <f t="shared" si="94"/>
        <v>45232</v>
      </c>
      <c r="DV231" s="465">
        <f t="shared" si="94"/>
        <v>45225</v>
      </c>
      <c r="DW231" s="465">
        <f t="shared" si="94"/>
        <v>45218</v>
      </c>
      <c r="DX231" s="465">
        <f t="shared" si="94"/>
        <v>45211</v>
      </c>
      <c r="DY231" s="465">
        <f t="shared" si="94"/>
        <v>45197</v>
      </c>
      <c r="DZ231" s="465">
        <f t="shared" si="94"/>
        <v>45190</v>
      </c>
      <c r="EA231" s="465">
        <f t="shared" si="94"/>
        <v>45183</v>
      </c>
      <c r="EB231" s="465">
        <f t="shared" si="94"/>
        <v>45176</v>
      </c>
      <c r="EC231" s="465">
        <f t="shared" si="94"/>
        <v>45168</v>
      </c>
      <c r="ED231" s="465">
        <f t="shared" si="94"/>
        <v>45162</v>
      </c>
      <c r="EE231" s="465">
        <f t="shared" si="94"/>
        <v>45155</v>
      </c>
      <c r="EF231" s="465">
        <f t="shared" si="94"/>
        <v>45148</v>
      </c>
      <c r="EG231" s="465">
        <f t="shared" si="94"/>
        <v>45141</v>
      </c>
      <c r="EH231" s="465">
        <f t="shared" si="94"/>
        <v>45134</v>
      </c>
      <c r="EI231" s="465">
        <f t="shared" si="94"/>
        <v>44839</v>
      </c>
      <c r="EJ231" s="465">
        <f t="shared" si="94"/>
        <v>44831</v>
      </c>
      <c r="EK231" s="465">
        <f t="shared" si="94"/>
        <v>44826</v>
      </c>
      <c r="EL231" s="465">
        <f t="shared" si="94"/>
        <v>44818</v>
      </c>
      <c r="EM231" s="465">
        <f t="shared" si="94"/>
        <v>44811</v>
      </c>
      <c r="EN231" s="465">
        <f t="shared" si="94"/>
        <v>45070</v>
      </c>
      <c r="EO231" s="465">
        <f t="shared" si="94"/>
        <v>45063</v>
      </c>
      <c r="EP231" s="465">
        <f t="shared" si="94"/>
        <v>45056</v>
      </c>
      <c r="EQ231" s="465">
        <f t="shared" si="94"/>
        <v>45050</v>
      </c>
      <c r="ER231" s="465">
        <f t="shared" si="94"/>
        <v>45042</v>
      </c>
      <c r="ES231" s="465">
        <f t="shared" si="94"/>
        <v>45035</v>
      </c>
      <c r="ET231" s="465">
        <f t="shared" si="94"/>
        <v>45028</v>
      </c>
      <c r="EU231" s="465">
        <f t="shared" si="94"/>
        <v>45020</v>
      </c>
      <c r="EV231" s="465">
        <f t="shared" si="94"/>
        <v>45014</v>
      </c>
      <c r="EW231" s="465">
        <f t="shared" si="94"/>
        <v>45008</v>
      </c>
      <c r="EX231" s="465">
        <f t="shared" si="94"/>
        <v>45002</v>
      </c>
      <c r="EY231" s="465">
        <f t="shared" si="94"/>
        <v>45000</v>
      </c>
      <c r="EZ231" s="465">
        <f t="shared" si="94"/>
        <v>44993</v>
      </c>
      <c r="FA231" s="465">
        <f t="shared" si="94"/>
        <v>44986</v>
      </c>
      <c r="FB231" s="465">
        <f t="shared" si="94"/>
        <v>44979</v>
      </c>
      <c r="FC231" s="465">
        <f t="shared" si="94"/>
        <v>44972</v>
      </c>
      <c r="FD231" s="465">
        <f t="shared" si="94"/>
        <v>44965</v>
      </c>
      <c r="FE231" s="465">
        <f t="shared" ref="FE231:HO231" si="95">FE3</f>
        <v>44958</v>
      </c>
      <c r="FF231" s="465">
        <f t="shared" si="95"/>
        <v>44951</v>
      </c>
      <c r="FG231" s="465">
        <f t="shared" si="95"/>
        <v>44944</v>
      </c>
      <c r="FH231" s="465">
        <f t="shared" si="95"/>
        <v>44937</v>
      </c>
      <c r="FI231" s="465">
        <f t="shared" si="95"/>
        <v>44930</v>
      </c>
      <c r="FJ231" s="465">
        <f t="shared" si="95"/>
        <v>44923</v>
      </c>
      <c r="FK231" s="465">
        <f t="shared" si="95"/>
        <v>44916</v>
      </c>
      <c r="FL231" s="465">
        <f t="shared" si="95"/>
        <v>44910</v>
      </c>
      <c r="FM231" s="465">
        <f t="shared" si="95"/>
        <v>44902</v>
      </c>
      <c r="FN231" s="465">
        <f t="shared" si="95"/>
        <v>44896</v>
      </c>
      <c r="FO231" s="465">
        <f t="shared" si="95"/>
        <v>44888</v>
      </c>
      <c r="FP231" s="465">
        <f t="shared" si="95"/>
        <v>44881</v>
      </c>
      <c r="FQ231" s="465">
        <f t="shared" si="95"/>
        <v>44874</v>
      </c>
      <c r="FR231" s="465">
        <f t="shared" si="95"/>
        <v>44868</v>
      </c>
      <c r="FS231" s="465">
        <f t="shared" si="95"/>
        <v>44860</v>
      </c>
      <c r="FT231" s="465">
        <f t="shared" si="95"/>
        <v>44853</v>
      </c>
      <c r="FU231" s="465">
        <f t="shared" si="95"/>
        <v>44846</v>
      </c>
      <c r="FV231" s="465">
        <f t="shared" si="95"/>
        <v>45085</v>
      </c>
      <c r="FW231" s="465">
        <f t="shared" si="95"/>
        <v>45076</v>
      </c>
      <c r="FX231" s="465">
        <f t="shared" si="95"/>
        <v>45127</v>
      </c>
      <c r="FY231" s="465">
        <f t="shared" si="95"/>
        <v>45120</v>
      </c>
      <c r="FZ231" s="465">
        <f t="shared" si="95"/>
        <v>45113</v>
      </c>
      <c r="GA231" s="465">
        <f t="shared" si="95"/>
        <v>45105</v>
      </c>
      <c r="GB231" s="465">
        <f t="shared" si="95"/>
        <v>45099</v>
      </c>
      <c r="GC231" s="465">
        <f t="shared" si="95"/>
        <v>45092</v>
      </c>
      <c r="GD231" s="465">
        <f t="shared" si="95"/>
        <v>44803</v>
      </c>
      <c r="GE231" s="465">
        <f t="shared" si="95"/>
        <v>44797</v>
      </c>
      <c r="GF231" s="465">
        <f t="shared" si="95"/>
        <v>44790</v>
      </c>
      <c r="GG231" s="465">
        <f t="shared" si="95"/>
        <v>44783</v>
      </c>
      <c r="GH231" s="465">
        <f t="shared" si="95"/>
        <v>44776</v>
      </c>
      <c r="GI231" s="465">
        <f t="shared" si="95"/>
        <v>44769</v>
      </c>
      <c r="GJ231" s="465">
        <f t="shared" si="95"/>
        <v>44762</v>
      </c>
      <c r="GK231" s="465">
        <f t="shared" si="95"/>
        <v>44755</v>
      </c>
      <c r="GL231" s="465">
        <f t="shared" si="95"/>
        <v>44748</v>
      </c>
      <c r="GM231" s="465">
        <f t="shared" si="95"/>
        <v>44741</v>
      </c>
      <c r="GN231" s="465">
        <f t="shared" si="95"/>
        <v>44733</v>
      </c>
      <c r="GO231" s="465">
        <f t="shared" si="95"/>
        <v>44727</v>
      </c>
      <c r="GP231" s="465">
        <f t="shared" si="95"/>
        <v>44720</v>
      </c>
      <c r="GQ231" s="465">
        <f t="shared" si="95"/>
        <v>44713</v>
      </c>
      <c r="GR231" s="465">
        <f t="shared" si="95"/>
        <v>44706</v>
      </c>
      <c r="GS231" s="465">
        <f t="shared" si="95"/>
        <v>44699</v>
      </c>
      <c r="GT231" s="465">
        <f t="shared" si="95"/>
        <v>44690</v>
      </c>
      <c r="GU231" s="465">
        <f t="shared" si="95"/>
        <v>44687</v>
      </c>
      <c r="GV231" s="465">
        <f t="shared" si="95"/>
        <v>44685</v>
      </c>
      <c r="GW231" s="465">
        <f t="shared" si="95"/>
        <v>44678</v>
      </c>
      <c r="GX231" s="465">
        <f t="shared" si="95"/>
        <v>44670</v>
      </c>
      <c r="GY231" s="465">
        <f t="shared" si="95"/>
        <v>44663</v>
      </c>
      <c r="GZ231" s="465">
        <f t="shared" si="95"/>
        <v>44662</v>
      </c>
      <c r="HA231" s="465">
        <f t="shared" si="95"/>
        <v>44659</v>
      </c>
      <c r="HB231" s="465">
        <f t="shared" si="95"/>
        <v>44657</v>
      </c>
      <c r="HC231" s="465">
        <f t="shared" si="95"/>
        <v>44656</v>
      </c>
      <c r="HD231" s="465">
        <f t="shared" si="95"/>
        <v>44655</v>
      </c>
      <c r="HE231" s="465">
        <f t="shared" si="95"/>
        <v>44652</v>
      </c>
      <c r="HF231" s="465">
        <f t="shared" si="95"/>
        <v>44650</v>
      </c>
      <c r="HG231" s="465">
        <f t="shared" si="95"/>
        <v>44649</v>
      </c>
      <c r="HH231" s="465">
        <f t="shared" si="95"/>
        <v>44648</v>
      </c>
      <c r="HI231" s="465">
        <f t="shared" si="95"/>
        <v>44645</v>
      </c>
      <c r="HJ231" s="465">
        <f t="shared" si="95"/>
        <v>44644</v>
      </c>
      <c r="HK231" s="465">
        <f t="shared" si="95"/>
        <v>44642</v>
      </c>
      <c r="HL231" s="465">
        <f t="shared" si="95"/>
        <v>44641</v>
      </c>
      <c r="HM231" s="465">
        <f t="shared" si="95"/>
        <v>44638</v>
      </c>
      <c r="HN231" s="465">
        <f t="shared" si="95"/>
        <v>44637</v>
      </c>
      <c r="HO231" s="465">
        <f t="shared" si="95"/>
        <v>44636</v>
      </c>
      <c r="HP231" s="523" t="s">
        <v>113</v>
      </c>
      <c r="HQ231" s="469" t="s">
        <v>223</v>
      </c>
    </row>
    <row r="232" spans="2:225">
      <c r="B232" s="1129" t="s">
        <v>16</v>
      </c>
      <c r="C232" s="730" t="s">
        <v>222</v>
      </c>
      <c r="D232" s="481">
        <v>2.4E-2</v>
      </c>
      <c r="E232" s="481">
        <v>2.4E-2</v>
      </c>
      <c r="F232" s="481">
        <v>2.4E-2</v>
      </c>
      <c r="G232" s="481">
        <v>2.4E-2</v>
      </c>
      <c r="H232" s="481">
        <v>2.4E-2</v>
      </c>
      <c r="I232" s="481">
        <v>2.4E-2</v>
      </c>
      <c r="J232" s="481">
        <v>2.4E-2</v>
      </c>
      <c r="K232" s="481">
        <v>2.4E-2</v>
      </c>
      <c r="L232" s="481">
        <v>2.4E-2</v>
      </c>
      <c r="M232" s="481">
        <v>2.4E-2</v>
      </c>
      <c r="N232" s="481">
        <v>2.4E-2</v>
      </c>
      <c r="O232" s="481">
        <v>2.4E-2</v>
      </c>
      <c r="P232" s="481">
        <v>2.4E-2</v>
      </c>
      <c r="Q232" s="481">
        <v>2.4E-2</v>
      </c>
      <c r="R232" s="481">
        <v>2.4E-2</v>
      </c>
      <c r="S232" s="481">
        <v>2.4E-2</v>
      </c>
      <c r="T232" s="481">
        <v>2.4E-2</v>
      </c>
      <c r="U232" s="481">
        <v>2.4E-2</v>
      </c>
      <c r="V232" s="481">
        <v>2.4E-2</v>
      </c>
      <c r="W232" s="481">
        <v>2.4E-2</v>
      </c>
      <c r="X232" s="481">
        <v>2.4E-2</v>
      </c>
      <c r="Y232" s="481">
        <v>2.4E-2</v>
      </c>
      <c r="Z232" s="480">
        <v>2.4E-2</v>
      </c>
      <c r="AA232" s="481">
        <v>2.9000000000000001E-2</v>
      </c>
      <c r="AB232" s="481">
        <v>2.9000000000000001E-2</v>
      </c>
      <c r="AC232" s="481">
        <v>2.9000000000000001E-2</v>
      </c>
      <c r="AD232" s="481">
        <v>2.9000000000000001E-2</v>
      </c>
      <c r="AE232" s="481">
        <v>2.9000000000000001E-2</v>
      </c>
      <c r="AF232" s="480">
        <v>2.9000000000000001E-2</v>
      </c>
      <c r="AG232" s="481">
        <v>3.4799999999999998E-2</v>
      </c>
      <c r="AH232" s="481">
        <v>3.4799999999999998E-2</v>
      </c>
      <c r="AI232" s="481">
        <v>3.4799999999999998E-2</v>
      </c>
      <c r="AJ232" s="481">
        <v>3.4799999999999998E-2</v>
      </c>
      <c r="AK232" s="480">
        <v>3.4799999999999998E-2</v>
      </c>
      <c r="AL232" s="482">
        <v>3.7999999999999999E-2</v>
      </c>
      <c r="AM232" s="481">
        <v>3.7999999999999999E-2</v>
      </c>
      <c r="AN232" s="481">
        <v>3.7999999999999999E-2</v>
      </c>
      <c r="AO232" s="481">
        <v>3.7999999999999999E-2</v>
      </c>
      <c r="AP232" s="481">
        <v>3.7999999999999999E-2</v>
      </c>
      <c r="AQ232" s="481">
        <v>3.7999999999999999E-2</v>
      </c>
      <c r="AR232" s="481">
        <v>3.7999999999999999E-2</v>
      </c>
      <c r="AS232" s="481">
        <v>3.7999999999999999E-2</v>
      </c>
      <c r="AT232" s="481">
        <v>3.7999999999999999E-2</v>
      </c>
      <c r="AU232" s="481">
        <v>3.7999999999999999E-2</v>
      </c>
      <c r="AV232" s="482">
        <v>3.7999999999999999E-2</v>
      </c>
      <c r="AW232" s="482">
        <v>3.7999999999999999E-2</v>
      </c>
      <c r="AX232" s="482">
        <v>3.7999999999999999E-2</v>
      </c>
      <c r="AY232" s="482">
        <v>3.7999999999999999E-2</v>
      </c>
      <c r="AZ232" s="482">
        <v>3.7999999999999999E-2</v>
      </c>
      <c r="BA232" s="482">
        <v>3.7999999999999999E-2</v>
      </c>
      <c r="BB232" s="482">
        <v>3.7999999999999999E-2</v>
      </c>
      <c r="BC232" s="482">
        <v>3.7999999999999999E-2</v>
      </c>
      <c r="BD232" s="482">
        <v>3.7999999999999999E-2</v>
      </c>
      <c r="BE232" s="482">
        <v>3.7999999999999999E-2</v>
      </c>
      <c r="BF232" s="482">
        <v>3.7999999999999999E-2</v>
      </c>
      <c r="BG232" s="482">
        <v>3.7999999999999999E-2</v>
      </c>
      <c r="BH232" s="482">
        <v>3.7999999999999999E-2</v>
      </c>
      <c r="BI232" s="482">
        <v>3.7999999999999999E-2</v>
      </c>
      <c r="BJ232" s="482">
        <v>3.7999999999999999E-2</v>
      </c>
      <c r="BK232" s="482">
        <v>3.7999999999999999E-2</v>
      </c>
      <c r="BL232" s="482">
        <v>3.7999999999999999E-2</v>
      </c>
      <c r="BM232" s="482">
        <v>3.7999999999999999E-2</v>
      </c>
      <c r="BN232" s="482">
        <v>3.7999999999999999E-2</v>
      </c>
      <c r="BO232" s="482">
        <v>3.7999999999999999E-2</v>
      </c>
      <c r="BP232" s="482">
        <v>3.7999999999999999E-2</v>
      </c>
      <c r="BQ232" s="482">
        <v>3.7999999999999999E-2</v>
      </c>
      <c r="BR232" s="482">
        <v>3.7999999999999999E-2</v>
      </c>
      <c r="BS232" s="482">
        <v>3.7999999999999999E-2</v>
      </c>
      <c r="BT232" s="482">
        <v>3.7999999999999999E-2</v>
      </c>
      <c r="BU232" s="482">
        <v>3.7999999999999999E-2</v>
      </c>
      <c r="BV232" s="482">
        <v>3.7999999999999999E-2</v>
      </c>
      <c r="BW232" s="482">
        <v>3.7999999999999999E-2</v>
      </c>
      <c r="BX232" s="482">
        <v>3.7999999999999999E-2</v>
      </c>
      <c r="BY232" s="482">
        <v>3.7999999999999999E-2</v>
      </c>
      <c r="BZ232" s="482">
        <v>3.7999999999999999E-2</v>
      </c>
      <c r="CA232" s="482">
        <v>4.1000000000000002E-2</v>
      </c>
      <c r="CB232" s="482">
        <v>4.1000000000000002E-2</v>
      </c>
      <c r="CC232" s="482">
        <v>4.1000000000000002E-2</v>
      </c>
      <c r="CD232" s="482">
        <v>4.1000000000000002E-2</v>
      </c>
      <c r="CE232" s="482">
        <v>4.1000000000000002E-2</v>
      </c>
      <c r="CF232" s="482">
        <v>4.1000000000000002E-2</v>
      </c>
      <c r="CG232" s="482">
        <v>4.1000000000000002E-2</v>
      </c>
      <c r="CH232" s="482">
        <v>4.1000000000000002E-2</v>
      </c>
      <c r="CI232" s="482">
        <v>4.1000000000000002E-2</v>
      </c>
      <c r="CJ232" s="482">
        <v>4.1000000000000002E-2</v>
      </c>
      <c r="CK232" s="482">
        <v>4.1000000000000002E-2</v>
      </c>
      <c r="CL232" s="482">
        <v>4.1000000000000002E-2</v>
      </c>
      <c r="CM232" s="482">
        <v>4.1000000000000002E-2</v>
      </c>
      <c r="CN232" s="482">
        <v>4.1000000000000002E-2</v>
      </c>
      <c r="CO232" s="482">
        <v>4.1000000000000002E-2</v>
      </c>
      <c r="CP232" s="482">
        <v>4.1000000000000002E-2</v>
      </c>
      <c r="CQ232" s="482">
        <v>4.1000000000000002E-2</v>
      </c>
      <c r="CR232" s="482">
        <v>4.1000000000000002E-2</v>
      </c>
      <c r="CS232" s="482">
        <v>4.1000000000000002E-2</v>
      </c>
      <c r="CT232" s="482">
        <v>4.1000000000000002E-2</v>
      </c>
      <c r="CU232" s="482">
        <v>4.1000000000000002E-2</v>
      </c>
      <c r="CV232" s="482">
        <v>4.1000000000000002E-2</v>
      </c>
      <c r="CW232" s="482">
        <v>4.1000000000000002E-2</v>
      </c>
      <c r="CX232" s="482">
        <v>4.1000000000000002E-2</v>
      </c>
      <c r="CY232" s="482">
        <v>4.1000000000000002E-2</v>
      </c>
      <c r="CZ232" s="482">
        <v>4.1000000000000002E-2</v>
      </c>
      <c r="DA232" s="482">
        <v>4.1000000000000002E-2</v>
      </c>
      <c r="DB232" s="482">
        <v>4.1000000000000002E-2</v>
      </c>
      <c r="DC232" s="482">
        <v>4.1000000000000002E-2</v>
      </c>
      <c r="DD232" s="482">
        <v>4.1000000000000002E-2</v>
      </c>
      <c r="DE232" s="482">
        <v>4.1000000000000002E-2</v>
      </c>
      <c r="DF232" s="482">
        <v>4.1000000000000002E-2</v>
      </c>
      <c r="DG232" s="482">
        <v>4.1000000000000002E-2</v>
      </c>
      <c r="DH232" s="482">
        <v>4.1000000000000002E-2</v>
      </c>
      <c r="DI232" s="482">
        <v>4.1000000000000002E-2</v>
      </c>
      <c r="DJ232" s="482">
        <v>4.1000000000000002E-2</v>
      </c>
      <c r="DK232" s="482">
        <v>4.1000000000000002E-2</v>
      </c>
      <c r="DL232" s="482">
        <v>4.1000000000000002E-2</v>
      </c>
      <c r="DM232" s="482">
        <v>4.1000000000000002E-2</v>
      </c>
      <c r="DN232" s="482">
        <v>4.1000000000000002E-2</v>
      </c>
      <c r="DO232" s="482">
        <v>4.1000000000000002E-2</v>
      </c>
      <c r="DP232" s="482">
        <v>4.1000000000000002E-2</v>
      </c>
      <c r="DQ232" s="482">
        <v>4.1000000000000002E-2</v>
      </c>
      <c r="DR232" s="482">
        <v>4.1000000000000002E-2</v>
      </c>
      <c r="DS232" s="482">
        <v>4.1000000000000002E-2</v>
      </c>
      <c r="DT232" s="482">
        <v>4.1000000000000002E-2</v>
      </c>
      <c r="DU232" s="482">
        <v>4.1000000000000002E-2</v>
      </c>
      <c r="DV232" s="482">
        <v>4.1000000000000002E-2</v>
      </c>
      <c r="DW232" s="482">
        <v>4.1000000000000002E-2</v>
      </c>
      <c r="DX232" s="482">
        <v>4.1000000000000002E-2</v>
      </c>
      <c r="DY232" s="482">
        <v>4.1000000000000002E-2</v>
      </c>
      <c r="DZ232" s="482">
        <v>4.1000000000000002E-2</v>
      </c>
      <c r="EA232" s="482">
        <v>4.1000000000000002E-2</v>
      </c>
      <c r="EB232" s="482">
        <v>4.1000000000000002E-2</v>
      </c>
      <c r="EC232" s="482">
        <v>4.1000000000000002E-2</v>
      </c>
      <c r="ED232" s="482">
        <v>4.1000000000000002E-2</v>
      </c>
      <c r="EE232" s="482">
        <v>4.1000000000000002E-2</v>
      </c>
      <c r="EF232" s="482">
        <v>4.1000000000000002E-2</v>
      </c>
      <c r="EG232" s="482">
        <v>4.1000000000000002E-2</v>
      </c>
      <c r="EH232" s="482">
        <v>4.1000000000000002E-2</v>
      </c>
      <c r="EI232" s="482">
        <v>4.1000000000000002E-2</v>
      </c>
      <c r="EJ232" s="482">
        <v>4.1000000000000002E-2</v>
      </c>
      <c r="EK232" s="482">
        <v>4.1000000000000002E-2</v>
      </c>
      <c r="EL232" s="482">
        <v>4.1000000000000002E-2</v>
      </c>
      <c r="EM232" s="482">
        <v>4.1000000000000002E-2</v>
      </c>
      <c r="EN232" s="482">
        <v>4.1000000000000002E-2</v>
      </c>
      <c r="EO232" s="482">
        <v>4.1000000000000002E-2</v>
      </c>
      <c r="EP232" s="482">
        <v>4.1000000000000002E-2</v>
      </c>
      <c r="EQ232" s="482">
        <v>4.1000000000000002E-2</v>
      </c>
      <c r="ER232" s="482">
        <v>4.1000000000000002E-2</v>
      </c>
      <c r="ES232" s="482">
        <v>4.1000000000000002E-2</v>
      </c>
      <c r="ET232" s="482">
        <v>4.1000000000000002E-2</v>
      </c>
      <c r="EU232" s="482">
        <v>4.1000000000000002E-2</v>
      </c>
      <c r="EV232" s="482">
        <v>4.1000000000000002E-2</v>
      </c>
      <c r="EW232" s="482">
        <v>4.1000000000000002E-2</v>
      </c>
      <c r="EX232" s="482">
        <v>4.1000000000000002E-2</v>
      </c>
      <c r="EY232" s="482">
        <v>4.1000000000000002E-2</v>
      </c>
      <c r="EZ232" s="482">
        <v>4.1000000000000002E-2</v>
      </c>
      <c r="FA232" s="482">
        <v>4.1000000000000002E-2</v>
      </c>
      <c r="FB232" s="482">
        <v>4.1000000000000002E-2</v>
      </c>
      <c r="FC232" s="482">
        <v>4.1000000000000002E-2</v>
      </c>
      <c r="FD232" s="482">
        <v>4.1000000000000002E-2</v>
      </c>
      <c r="FE232" s="482">
        <v>4.1000000000000002E-2</v>
      </c>
      <c r="FF232" s="482">
        <v>4.1000000000000002E-2</v>
      </c>
      <c r="FG232" s="482">
        <v>4.1000000000000002E-2</v>
      </c>
      <c r="FH232" s="482">
        <v>4.1000000000000002E-2</v>
      </c>
      <c r="FI232" s="482">
        <v>4.1000000000000002E-2</v>
      </c>
      <c r="FJ232" s="482">
        <v>4.1000000000000002E-2</v>
      </c>
      <c r="FK232" s="482">
        <v>4.1000000000000002E-2</v>
      </c>
      <c r="FL232" s="482">
        <v>4.1000000000000002E-2</v>
      </c>
      <c r="FM232" s="482">
        <v>4.1000000000000002E-2</v>
      </c>
      <c r="FN232" s="482">
        <v>4.1000000000000002E-2</v>
      </c>
      <c r="FO232" s="482">
        <v>4.1000000000000002E-2</v>
      </c>
      <c r="FP232" s="482">
        <v>4.1000000000000002E-2</v>
      </c>
      <c r="FQ232" s="482">
        <v>4.1000000000000002E-2</v>
      </c>
      <c r="FR232" s="482">
        <v>4.1000000000000002E-2</v>
      </c>
      <c r="FS232" s="482">
        <v>4.1000000000000002E-2</v>
      </c>
      <c r="FT232" s="482">
        <v>4.1000000000000002E-2</v>
      </c>
      <c r="FU232" s="482">
        <v>4.1000000000000002E-2</v>
      </c>
      <c r="FV232" s="482">
        <v>4.1000000000000002E-2</v>
      </c>
      <c r="FW232" s="482">
        <v>4.1000000000000002E-2</v>
      </c>
      <c r="FX232" s="482">
        <v>4.1000000000000002E-2</v>
      </c>
      <c r="FY232" s="482">
        <v>4.1000000000000002E-2</v>
      </c>
      <c r="FZ232" s="482">
        <v>4.1000000000000002E-2</v>
      </c>
      <c r="GA232" s="482">
        <v>4.1000000000000002E-2</v>
      </c>
      <c r="GB232" s="482">
        <v>4.1000000000000002E-2</v>
      </c>
      <c r="GC232" s="482">
        <v>4.1000000000000002E-2</v>
      </c>
      <c r="GD232" s="477">
        <v>3.6999999999999998E-2</v>
      </c>
      <c r="GE232" s="477">
        <v>3.6999999999999998E-2</v>
      </c>
      <c r="GF232" s="477">
        <v>3.6999999999999998E-2</v>
      </c>
      <c r="GG232" s="477">
        <v>3.6999999999999998E-2</v>
      </c>
      <c r="GH232" s="477">
        <v>3.6999999999999998E-2</v>
      </c>
      <c r="GI232" s="477">
        <v>3.6999999999999998E-2</v>
      </c>
      <c r="GJ232" s="477">
        <v>3.6999999999999998E-2</v>
      </c>
      <c r="GK232" s="477">
        <v>3.6999999999999998E-2</v>
      </c>
      <c r="GL232" s="477">
        <v>3.6999999999999998E-2</v>
      </c>
      <c r="GM232" s="477">
        <v>3.6999999999999998E-2</v>
      </c>
      <c r="GN232" s="477">
        <v>3.6999999999999998E-2</v>
      </c>
      <c r="GO232" s="477">
        <v>3.6999999999999998E-2</v>
      </c>
      <c r="GP232" s="477">
        <v>3.6999999999999998E-2</v>
      </c>
      <c r="GQ232" s="477">
        <v>3.6999999999999998E-2</v>
      </c>
      <c r="GR232" s="477">
        <v>3.6999999999999998E-2</v>
      </c>
      <c r="GS232" s="477">
        <v>3.6999999999999998E-2</v>
      </c>
      <c r="GT232" s="477">
        <v>3.6999999999999998E-2</v>
      </c>
      <c r="GU232" s="477">
        <v>3.6999999999999998E-2</v>
      </c>
      <c r="GV232" s="477">
        <v>3.6999999999999998E-2</v>
      </c>
      <c r="GW232" s="477">
        <v>3.6999999999999998E-2</v>
      </c>
      <c r="GX232" s="477">
        <v>3.6999999999999998E-2</v>
      </c>
      <c r="GY232" s="477">
        <v>3.6999999999999998E-2</v>
      </c>
      <c r="GZ232" s="477">
        <v>3.6999999999999998E-2</v>
      </c>
      <c r="HA232" s="477">
        <v>3.6999999999999998E-2</v>
      </c>
      <c r="HB232" s="477">
        <v>3.6999999999999998E-2</v>
      </c>
      <c r="HC232" s="477">
        <v>3.6999999999999998E-2</v>
      </c>
      <c r="HD232" s="477">
        <v>3.6999999999999998E-2</v>
      </c>
      <c r="HE232" s="477">
        <v>3.6999999999999998E-2</v>
      </c>
      <c r="HF232" s="477">
        <v>3.6999999999999998E-2</v>
      </c>
      <c r="HG232" s="477">
        <v>3.6999999999999998E-2</v>
      </c>
      <c r="HH232" s="477">
        <v>3.6999999999999998E-2</v>
      </c>
      <c r="HI232" s="477">
        <v>3.6999999999999998E-2</v>
      </c>
      <c r="HJ232" s="477">
        <v>3.6999999999999998E-2</v>
      </c>
      <c r="HK232" s="477">
        <v>3.6999999999999998E-2</v>
      </c>
      <c r="HL232" s="477">
        <v>3.6999999999999998E-2</v>
      </c>
      <c r="HM232" s="477">
        <v>3.6999999999999998E-2</v>
      </c>
      <c r="HN232" s="477">
        <v>3.6999999999999998E-2</v>
      </c>
      <c r="HO232" s="477">
        <v>3.6999999999999998E-2</v>
      </c>
      <c r="HP232" s="473">
        <f>D232-E232</f>
        <v>0</v>
      </c>
      <c r="HQ232" s="525"/>
    </row>
    <row r="233" spans="2:225">
      <c r="B233" s="1129"/>
      <c r="C233" s="730" t="s">
        <v>221</v>
      </c>
      <c r="D233" s="481">
        <v>2.4500000000000001E-2</v>
      </c>
      <c r="E233" s="481">
        <v>2.4500000000000001E-2</v>
      </c>
      <c r="F233" s="481">
        <v>2.4500000000000001E-2</v>
      </c>
      <c r="G233" s="481">
        <v>2.4500000000000001E-2</v>
      </c>
      <c r="H233" s="481">
        <v>2.4500000000000001E-2</v>
      </c>
      <c r="I233" s="481">
        <v>2.4500000000000001E-2</v>
      </c>
      <c r="J233" s="481">
        <v>2.4500000000000001E-2</v>
      </c>
      <c r="K233" s="481">
        <v>2.4500000000000001E-2</v>
      </c>
      <c r="L233" s="481">
        <v>2.4500000000000001E-2</v>
      </c>
      <c r="M233" s="481">
        <v>2.4500000000000001E-2</v>
      </c>
      <c r="N233" s="481">
        <v>2.4500000000000001E-2</v>
      </c>
      <c r="O233" s="481">
        <v>2.4500000000000001E-2</v>
      </c>
      <c r="P233" s="481">
        <v>2.4500000000000001E-2</v>
      </c>
      <c r="Q233" s="481">
        <v>2.4500000000000001E-2</v>
      </c>
      <c r="R233" s="481">
        <v>2.4500000000000001E-2</v>
      </c>
      <c r="S233" s="481">
        <v>2.4500000000000001E-2</v>
      </c>
      <c r="T233" s="481">
        <v>2.4500000000000001E-2</v>
      </c>
      <c r="U233" s="481">
        <v>2.4500000000000001E-2</v>
      </c>
      <c r="V233" s="481">
        <v>2.4499999999999997E-2</v>
      </c>
      <c r="W233" s="481">
        <v>2.4499999999999997E-2</v>
      </c>
      <c r="X233" s="481">
        <v>2.4499999999999997E-2</v>
      </c>
      <c r="Y233" s="481">
        <v>2.4499999999999997E-2</v>
      </c>
      <c r="Z233" s="480">
        <v>2.4499999999999997E-2</v>
      </c>
      <c r="AA233" s="481">
        <v>2.9499999999999998E-2</v>
      </c>
      <c r="AB233" s="481">
        <v>2.9499999999999998E-2</v>
      </c>
      <c r="AC233" s="481">
        <v>2.9499999999999998E-2</v>
      </c>
      <c r="AD233" s="481">
        <v>2.9499999999999998E-2</v>
      </c>
      <c r="AE233" s="481">
        <v>2.9499999999999998E-2</v>
      </c>
      <c r="AF233" s="480">
        <v>2.9499999999999998E-2</v>
      </c>
      <c r="AG233" s="481">
        <v>3.5299999999999998E-2</v>
      </c>
      <c r="AH233" s="481">
        <v>3.5299999999999998E-2</v>
      </c>
      <c r="AI233" s="481">
        <v>3.5299999999999998E-2</v>
      </c>
      <c r="AJ233" s="481">
        <v>3.5299999999999998E-2</v>
      </c>
      <c r="AK233" s="480">
        <v>3.5299999999999998E-2</v>
      </c>
      <c r="AL233" s="482">
        <v>3.85E-2</v>
      </c>
      <c r="AM233" s="481">
        <v>3.85E-2</v>
      </c>
      <c r="AN233" s="481">
        <v>3.85E-2</v>
      </c>
      <c r="AO233" s="481">
        <v>3.85E-2</v>
      </c>
      <c r="AP233" s="481">
        <v>3.85E-2</v>
      </c>
      <c r="AQ233" s="481">
        <v>3.85E-2</v>
      </c>
      <c r="AR233" s="481">
        <v>3.85E-2</v>
      </c>
      <c r="AS233" s="481">
        <v>3.85E-2</v>
      </c>
      <c r="AT233" s="481">
        <v>3.85E-2</v>
      </c>
      <c r="AU233" s="481">
        <v>3.85E-2</v>
      </c>
      <c r="AV233" s="482">
        <v>3.85E-2</v>
      </c>
      <c r="AW233" s="482">
        <v>3.85E-2</v>
      </c>
      <c r="AX233" s="482">
        <v>3.85E-2</v>
      </c>
      <c r="AY233" s="482">
        <v>3.85E-2</v>
      </c>
      <c r="AZ233" s="482">
        <v>3.85E-2</v>
      </c>
      <c r="BA233" s="482">
        <v>3.85E-2</v>
      </c>
      <c r="BB233" s="482">
        <v>3.85E-2</v>
      </c>
      <c r="BC233" s="482">
        <v>3.85E-2</v>
      </c>
      <c r="BD233" s="482">
        <v>3.85E-2</v>
      </c>
      <c r="BE233" s="482">
        <v>3.85E-2</v>
      </c>
      <c r="BF233" s="482">
        <v>3.85E-2</v>
      </c>
      <c r="BG233" s="482">
        <v>3.85E-2</v>
      </c>
      <c r="BH233" s="482">
        <v>3.85E-2</v>
      </c>
      <c r="BI233" s="482">
        <v>3.85E-2</v>
      </c>
      <c r="BJ233" s="482">
        <v>3.85E-2</v>
      </c>
      <c r="BK233" s="482">
        <v>3.85E-2</v>
      </c>
      <c r="BL233" s="482">
        <v>3.85E-2</v>
      </c>
      <c r="BM233" s="482">
        <v>3.85E-2</v>
      </c>
      <c r="BN233" s="482">
        <v>3.85E-2</v>
      </c>
      <c r="BO233" s="482">
        <v>3.85E-2</v>
      </c>
      <c r="BP233" s="482">
        <v>3.85E-2</v>
      </c>
      <c r="BQ233" s="482">
        <v>3.85E-2</v>
      </c>
      <c r="BR233" s="482">
        <v>3.85E-2</v>
      </c>
      <c r="BS233" s="482">
        <v>3.85E-2</v>
      </c>
      <c r="BT233" s="482">
        <v>3.85E-2</v>
      </c>
      <c r="BU233" s="482">
        <v>3.85E-2</v>
      </c>
      <c r="BV233" s="482">
        <v>3.85E-2</v>
      </c>
      <c r="BW233" s="482">
        <v>3.85E-2</v>
      </c>
      <c r="BX233" s="482">
        <v>3.85E-2</v>
      </c>
      <c r="BY233" s="482">
        <v>3.85E-2</v>
      </c>
      <c r="BZ233" s="482">
        <v>3.85E-2</v>
      </c>
      <c r="CA233" s="482">
        <v>4.1000000000000002E-2</v>
      </c>
      <c r="CB233" s="482">
        <v>4.1000000000000002E-2</v>
      </c>
      <c r="CC233" s="482">
        <v>4.1000000000000002E-2</v>
      </c>
      <c r="CD233" s="482">
        <v>4.1000000000000002E-2</v>
      </c>
      <c r="CE233" s="482">
        <v>4.1000000000000002E-2</v>
      </c>
      <c r="CF233" s="482">
        <v>4.1000000000000002E-2</v>
      </c>
      <c r="CG233" s="482">
        <v>4.1000000000000002E-2</v>
      </c>
      <c r="CH233" s="482">
        <v>4.1000000000000002E-2</v>
      </c>
      <c r="CI233" s="482">
        <v>4.1000000000000002E-2</v>
      </c>
      <c r="CJ233" s="482">
        <v>4.1000000000000002E-2</v>
      </c>
      <c r="CK233" s="482">
        <v>4.1000000000000002E-2</v>
      </c>
      <c r="CL233" s="482">
        <v>4.1000000000000002E-2</v>
      </c>
      <c r="CM233" s="482">
        <v>4.1000000000000002E-2</v>
      </c>
      <c r="CN233" s="482">
        <v>4.1000000000000002E-2</v>
      </c>
      <c r="CO233" s="482">
        <v>4.1000000000000002E-2</v>
      </c>
      <c r="CP233" s="482">
        <v>4.1000000000000002E-2</v>
      </c>
      <c r="CQ233" s="482">
        <v>4.1000000000000002E-2</v>
      </c>
      <c r="CR233" s="482">
        <v>4.1000000000000002E-2</v>
      </c>
      <c r="CS233" s="482">
        <v>4.1000000000000002E-2</v>
      </c>
      <c r="CT233" s="482">
        <v>4.1000000000000002E-2</v>
      </c>
      <c r="CU233" s="482">
        <v>4.1000000000000002E-2</v>
      </c>
      <c r="CV233" s="482">
        <v>4.1000000000000002E-2</v>
      </c>
      <c r="CW233" s="482">
        <v>4.1000000000000002E-2</v>
      </c>
      <c r="CX233" s="482">
        <v>4.1000000000000002E-2</v>
      </c>
      <c r="CY233" s="482">
        <v>4.1000000000000002E-2</v>
      </c>
      <c r="CZ233" s="482">
        <v>4.1000000000000002E-2</v>
      </c>
      <c r="DA233" s="482">
        <v>4.1000000000000002E-2</v>
      </c>
      <c r="DB233" s="482">
        <v>4.1000000000000002E-2</v>
      </c>
      <c r="DC233" s="482">
        <v>4.1000000000000002E-2</v>
      </c>
      <c r="DD233" s="482">
        <v>4.1000000000000002E-2</v>
      </c>
      <c r="DE233" s="482">
        <v>4.1000000000000002E-2</v>
      </c>
      <c r="DF233" s="482">
        <v>4.1000000000000002E-2</v>
      </c>
      <c r="DG233" s="482">
        <v>4.1000000000000002E-2</v>
      </c>
      <c r="DH233" s="482">
        <v>4.1000000000000002E-2</v>
      </c>
      <c r="DI233" s="482">
        <v>4.1000000000000002E-2</v>
      </c>
      <c r="DJ233" s="482">
        <v>4.1000000000000002E-2</v>
      </c>
      <c r="DK233" s="482">
        <v>4.1000000000000002E-2</v>
      </c>
      <c r="DL233" s="482">
        <v>4.1000000000000002E-2</v>
      </c>
      <c r="DM233" s="482">
        <v>4.1000000000000002E-2</v>
      </c>
      <c r="DN233" s="482">
        <v>4.1000000000000002E-2</v>
      </c>
      <c r="DO233" s="482">
        <v>4.1000000000000002E-2</v>
      </c>
      <c r="DP233" s="482">
        <v>4.1000000000000002E-2</v>
      </c>
      <c r="DQ233" s="482">
        <v>4.1000000000000002E-2</v>
      </c>
      <c r="DR233" s="482">
        <v>4.1000000000000002E-2</v>
      </c>
      <c r="DS233" s="482">
        <v>4.1000000000000002E-2</v>
      </c>
      <c r="DT233" s="482">
        <v>4.1000000000000002E-2</v>
      </c>
      <c r="DU233" s="482">
        <v>4.1000000000000002E-2</v>
      </c>
      <c r="DV233" s="482">
        <v>4.1000000000000002E-2</v>
      </c>
      <c r="DW233" s="482">
        <v>4.1000000000000002E-2</v>
      </c>
      <c r="DX233" s="482">
        <v>4.1000000000000002E-2</v>
      </c>
      <c r="DY233" s="482">
        <v>4.1000000000000002E-2</v>
      </c>
      <c r="DZ233" s="482">
        <v>4.1000000000000002E-2</v>
      </c>
      <c r="EA233" s="482">
        <v>4.1000000000000002E-2</v>
      </c>
      <c r="EB233" s="482">
        <v>4.1000000000000002E-2</v>
      </c>
      <c r="EC233" s="482">
        <v>4.1000000000000002E-2</v>
      </c>
      <c r="ED233" s="482">
        <v>4.1000000000000002E-2</v>
      </c>
      <c r="EE233" s="482">
        <v>4.1000000000000002E-2</v>
      </c>
      <c r="EF233" s="482">
        <v>4.1000000000000002E-2</v>
      </c>
      <c r="EG233" s="482">
        <v>4.1000000000000002E-2</v>
      </c>
      <c r="EH233" s="482">
        <v>4.1000000000000002E-2</v>
      </c>
      <c r="EI233" s="482">
        <v>4.1000000000000002E-2</v>
      </c>
      <c r="EJ233" s="482">
        <v>4.1000000000000002E-2</v>
      </c>
      <c r="EK233" s="482">
        <v>4.1000000000000002E-2</v>
      </c>
      <c r="EL233" s="482">
        <v>4.1000000000000002E-2</v>
      </c>
      <c r="EM233" s="482">
        <v>4.1000000000000002E-2</v>
      </c>
      <c r="EN233" s="482">
        <v>4.1000000000000002E-2</v>
      </c>
      <c r="EO233" s="482">
        <v>4.1000000000000002E-2</v>
      </c>
      <c r="EP233" s="482">
        <v>4.1000000000000002E-2</v>
      </c>
      <c r="EQ233" s="482">
        <v>4.1000000000000002E-2</v>
      </c>
      <c r="ER233" s="482">
        <v>4.1000000000000002E-2</v>
      </c>
      <c r="ES233" s="482">
        <v>4.1000000000000002E-2</v>
      </c>
      <c r="ET233" s="482">
        <v>4.1000000000000002E-2</v>
      </c>
      <c r="EU233" s="482">
        <v>4.1000000000000002E-2</v>
      </c>
      <c r="EV233" s="482">
        <v>4.1000000000000002E-2</v>
      </c>
      <c r="EW233" s="482">
        <v>4.1000000000000002E-2</v>
      </c>
      <c r="EX233" s="482">
        <v>4.1000000000000002E-2</v>
      </c>
      <c r="EY233" s="482">
        <v>4.1000000000000002E-2</v>
      </c>
      <c r="EZ233" s="482">
        <v>4.1000000000000002E-2</v>
      </c>
      <c r="FA233" s="482">
        <v>4.1000000000000002E-2</v>
      </c>
      <c r="FB233" s="482">
        <v>4.1000000000000002E-2</v>
      </c>
      <c r="FC233" s="482">
        <v>4.1000000000000002E-2</v>
      </c>
      <c r="FD233" s="482">
        <v>4.1000000000000002E-2</v>
      </c>
      <c r="FE233" s="482">
        <v>4.1000000000000002E-2</v>
      </c>
      <c r="FF233" s="482">
        <v>4.1000000000000002E-2</v>
      </c>
      <c r="FG233" s="482">
        <v>4.1000000000000002E-2</v>
      </c>
      <c r="FH233" s="482">
        <v>4.1000000000000002E-2</v>
      </c>
      <c r="FI233" s="482">
        <v>4.1000000000000002E-2</v>
      </c>
      <c r="FJ233" s="482">
        <v>4.1000000000000002E-2</v>
      </c>
      <c r="FK233" s="482">
        <v>4.1000000000000002E-2</v>
      </c>
      <c r="FL233" s="482">
        <v>4.1000000000000002E-2</v>
      </c>
      <c r="FM233" s="482">
        <v>4.1000000000000002E-2</v>
      </c>
      <c r="FN233" s="482">
        <v>4.1000000000000002E-2</v>
      </c>
      <c r="FO233" s="482">
        <v>4.1000000000000002E-2</v>
      </c>
      <c r="FP233" s="482">
        <v>4.1000000000000002E-2</v>
      </c>
      <c r="FQ233" s="482">
        <v>4.1000000000000002E-2</v>
      </c>
      <c r="FR233" s="482">
        <v>4.1000000000000002E-2</v>
      </c>
      <c r="FS233" s="482">
        <v>4.1000000000000002E-2</v>
      </c>
      <c r="FT233" s="482">
        <v>4.1000000000000002E-2</v>
      </c>
      <c r="FU233" s="482">
        <v>4.1000000000000002E-2</v>
      </c>
      <c r="FV233" s="482">
        <v>4.1000000000000002E-2</v>
      </c>
      <c r="FW233" s="482">
        <v>4.1000000000000002E-2</v>
      </c>
      <c r="FX233" s="482">
        <v>4.1000000000000002E-2</v>
      </c>
      <c r="FY233" s="482">
        <v>4.1000000000000002E-2</v>
      </c>
      <c r="FZ233" s="482">
        <v>4.1000000000000002E-2</v>
      </c>
      <c r="GA233" s="482">
        <v>4.1000000000000002E-2</v>
      </c>
      <c r="GB233" s="482">
        <v>4.1000000000000002E-2</v>
      </c>
      <c r="GC233" s="482">
        <v>4.1000000000000002E-2</v>
      </c>
      <c r="GD233" s="477">
        <v>3.7499999999999999E-2</v>
      </c>
      <c r="GE233" s="477">
        <v>3.7499999999999999E-2</v>
      </c>
      <c r="GF233" s="477">
        <v>3.7499999999999999E-2</v>
      </c>
      <c r="GG233" s="477">
        <v>3.7499999999999999E-2</v>
      </c>
      <c r="GH233" s="477">
        <v>3.7499999999999999E-2</v>
      </c>
      <c r="GI233" s="477">
        <v>3.7499999999999999E-2</v>
      </c>
      <c r="GJ233" s="477">
        <v>3.7499999999999999E-2</v>
      </c>
      <c r="GK233" s="477">
        <v>3.7499999999999999E-2</v>
      </c>
      <c r="GL233" s="477">
        <v>3.7499999999999999E-2</v>
      </c>
      <c r="GM233" s="477">
        <v>3.7499999999999999E-2</v>
      </c>
      <c r="GN233" s="477">
        <v>3.7499999999999999E-2</v>
      </c>
      <c r="GO233" s="477">
        <v>3.7499999999999999E-2</v>
      </c>
      <c r="GP233" s="477">
        <v>3.7499999999999999E-2</v>
      </c>
      <c r="GQ233" s="477">
        <v>3.7499999999999999E-2</v>
      </c>
      <c r="GR233" s="477">
        <v>3.7499999999999999E-2</v>
      </c>
      <c r="GS233" s="477">
        <v>3.7499999999999999E-2</v>
      </c>
      <c r="GT233" s="477">
        <v>3.7499999999999999E-2</v>
      </c>
      <c r="GU233" s="477">
        <v>3.7499999999999999E-2</v>
      </c>
      <c r="GV233" s="477">
        <v>3.7499999999999999E-2</v>
      </c>
      <c r="GW233" s="477">
        <v>3.7499999999999999E-2</v>
      </c>
      <c r="GX233" s="477">
        <v>3.7499999999999999E-2</v>
      </c>
      <c r="GY233" s="477">
        <v>3.7499999999999999E-2</v>
      </c>
      <c r="GZ233" s="477">
        <v>3.7499999999999999E-2</v>
      </c>
      <c r="HA233" s="477">
        <v>3.7499999999999999E-2</v>
      </c>
      <c r="HB233" s="477">
        <v>3.7499999999999999E-2</v>
      </c>
      <c r="HC233" s="477">
        <v>3.7499999999999999E-2</v>
      </c>
      <c r="HD233" s="477">
        <v>3.7499999999999999E-2</v>
      </c>
      <c r="HE233" s="477">
        <v>3.7499999999999999E-2</v>
      </c>
      <c r="HF233" s="477">
        <v>3.7499999999999999E-2</v>
      </c>
      <c r="HG233" s="477">
        <v>3.7499999999999999E-2</v>
      </c>
      <c r="HH233" s="477">
        <v>3.7499999999999999E-2</v>
      </c>
      <c r="HI233" s="477">
        <v>3.7499999999999999E-2</v>
      </c>
      <c r="HJ233" s="477">
        <v>3.7499999999999999E-2</v>
      </c>
      <c r="HK233" s="477">
        <v>3.7499999999999999E-2</v>
      </c>
      <c r="HL233" s="477">
        <v>3.7499999999999999E-2</v>
      </c>
      <c r="HM233" s="477">
        <v>3.7499999999999999E-2</v>
      </c>
      <c r="HN233" s="477">
        <v>3.7499999999999999E-2</v>
      </c>
      <c r="HO233" s="477">
        <v>3.7499999999999999E-2</v>
      </c>
      <c r="HP233" s="473">
        <f>D233-E233</f>
        <v>0</v>
      </c>
      <c r="HQ233" s="525"/>
    </row>
    <row r="234" spans="2:225">
      <c r="B234" s="1123"/>
      <c r="C234" s="737" t="s">
        <v>220</v>
      </c>
      <c r="D234" s="547">
        <v>2.5000000000000001E-2</v>
      </c>
      <c r="E234" s="547">
        <v>2.5000000000000001E-2</v>
      </c>
      <c r="F234" s="547">
        <v>2.5000000000000001E-2</v>
      </c>
      <c r="G234" s="547">
        <v>2.5000000000000001E-2</v>
      </c>
      <c r="H234" s="547">
        <v>2.5000000000000001E-2</v>
      </c>
      <c r="I234" s="547">
        <v>2.5000000000000001E-2</v>
      </c>
      <c r="J234" s="547">
        <v>2.5000000000000001E-2</v>
      </c>
      <c r="K234" s="547">
        <v>2.5000000000000001E-2</v>
      </c>
      <c r="L234" s="547">
        <v>2.5000000000000001E-2</v>
      </c>
      <c r="M234" s="547">
        <v>2.5000000000000001E-2</v>
      </c>
      <c r="N234" s="547">
        <v>2.5000000000000001E-2</v>
      </c>
      <c r="O234" s="547">
        <v>2.5000000000000001E-2</v>
      </c>
      <c r="P234" s="547">
        <v>2.5000000000000001E-2</v>
      </c>
      <c r="Q234" s="547">
        <v>2.5000000000000001E-2</v>
      </c>
      <c r="R234" s="547">
        <v>2.5000000000000001E-2</v>
      </c>
      <c r="S234" s="547">
        <v>2.5000000000000001E-2</v>
      </c>
      <c r="T234" s="547">
        <v>2.5000000000000001E-2</v>
      </c>
      <c r="U234" s="547">
        <v>2.5000000000000001E-2</v>
      </c>
      <c r="V234" s="547">
        <v>2.4999999999999998E-2</v>
      </c>
      <c r="W234" s="547">
        <v>2.4999999999999998E-2</v>
      </c>
      <c r="X234" s="547">
        <v>2.4999999999999998E-2</v>
      </c>
      <c r="Y234" s="547">
        <v>2.4999999999999998E-2</v>
      </c>
      <c r="Z234" s="546">
        <v>2.4999999999999998E-2</v>
      </c>
      <c r="AA234" s="547">
        <v>0.03</v>
      </c>
      <c r="AB234" s="547">
        <v>0.03</v>
      </c>
      <c r="AC234" s="547">
        <v>0.03</v>
      </c>
      <c r="AD234" s="547">
        <v>0.03</v>
      </c>
      <c r="AE234" s="547">
        <v>0.03</v>
      </c>
      <c r="AF234" s="546">
        <v>0.03</v>
      </c>
      <c r="AG234" s="547">
        <v>3.5799999999999998E-2</v>
      </c>
      <c r="AH234" s="547">
        <v>3.5799999999999998E-2</v>
      </c>
      <c r="AI234" s="547">
        <v>3.5799999999999998E-2</v>
      </c>
      <c r="AJ234" s="547">
        <v>3.5799999999999998E-2</v>
      </c>
      <c r="AK234" s="546">
        <v>3.5799999999999998E-2</v>
      </c>
      <c r="AL234" s="548">
        <v>3.9E-2</v>
      </c>
      <c r="AM234" s="547">
        <v>3.9E-2</v>
      </c>
      <c r="AN234" s="547">
        <v>3.9E-2</v>
      </c>
      <c r="AO234" s="547">
        <v>3.9E-2</v>
      </c>
      <c r="AP234" s="547">
        <v>3.9E-2</v>
      </c>
      <c r="AQ234" s="547">
        <v>3.9E-2</v>
      </c>
      <c r="AR234" s="547">
        <v>3.9E-2</v>
      </c>
      <c r="AS234" s="547">
        <v>3.9E-2</v>
      </c>
      <c r="AT234" s="547">
        <v>3.9E-2</v>
      </c>
      <c r="AU234" s="547">
        <v>3.9E-2</v>
      </c>
      <c r="AV234" s="548">
        <v>3.9E-2</v>
      </c>
      <c r="AW234" s="548">
        <v>3.9E-2</v>
      </c>
      <c r="AX234" s="548">
        <v>3.9E-2</v>
      </c>
      <c r="AY234" s="548">
        <v>3.9E-2</v>
      </c>
      <c r="AZ234" s="548">
        <v>3.9E-2</v>
      </c>
      <c r="BA234" s="548">
        <v>3.9E-2</v>
      </c>
      <c r="BB234" s="548">
        <v>3.9E-2</v>
      </c>
      <c r="BC234" s="548">
        <v>3.9E-2</v>
      </c>
      <c r="BD234" s="548">
        <v>3.9E-2</v>
      </c>
      <c r="BE234" s="548">
        <v>3.9E-2</v>
      </c>
      <c r="BF234" s="548">
        <v>3.9E-2</v>
      </c>
      <c r="BG234" s="548">
        <v>3.9E-2</v>
      </c>
      <c r="BH234" s="548">
        <v>3.9E-2</v>
      </c>
      <c r="BI234" s="548">
        <v>3.9E-2</v>
      </c>
      <c r="BJ234" s="548">
        <v>3.9E-2</v>
      </c>
      <c r="BK234" s="548">
        <v>3.9E-2</v>
      </c>
      <c r="BL234" s="548">
        <v>3.9E-2</v>
      </c>
      <c r="BM234" s="548">
        <v>3.9E-2</v>
      </c>
      <c r="BN234" s="548">
        <v>3.9E-2</v>
      </c>
      <c r="BO234" s="548">
        <v>3.9E-2</v>
      </c>
      <c r="BP234" s="548">
        <v>3.9E-2</v>
      </c>
      <c r="BQ234" s="548">
        <v>3.9E-2</v>
      </c>
      <c r="BR234" s="548">
        <v>3.9E-2</v>
      </c>
      <c r="BS234" s="548">
        <v>3.9E-2</v>
      </c>
      <c r="BT234" s="548">
        <v>3.9E-2</v>
      </c>
      <c r="BU234" s="548">
        <v>3.9E-2</v>
      </c>
      <c r="BV234" s="548">
        <v>3.9E-2</v>
      </c>
      <c r="BW234" s="548">
        <v>3.9E-2</v>
      </c>
      <c r="BX234" s="548">
        <v>3.9E-2</v>
      </c>
      <c r="BY234" s="548">
        <v>3.9E-2</v>
      </c>
      <c r="BZ234" s="548">
        <v>3.9E-2</v>
      </c>
      <c r="CA234" s="548">
        <v>4.1500000000000002E-2</v>
      </c>
      <c r="CB234" s="548">
        <v>4.1500000000000002E-2</v>
      </c>
      <c r="CC234" s="548">
        <v>4.1500000000000002E-2</v>
      </c>
      <c r="CD234" s="548">
        <v>4.1500000000000002E-2</v>
      </c>
      <c r="CE234" s="548">
        <v>4.1500000000000002E-2</v>
      </c>
      <c r="CF234" s="548">
        <v>4.1500000000000002E-2</v>
      </c>
      <c r="CG234" s="548">
        <v>4.1500000000000002E-2</v>
      </c>
      <c r="CH234" s="548">
        <v>4.1500000000000002E-2</v>
      </c>
      <c r="CI234" s="548">
        <v>4.1500000000000002E-2</v>
      </c>
      <c r="CJ234" s="548">
        <v>4.1500000000000002E-2</v>
      </c>
      <c r="CK234" s="548">
        <v>4.1500000000000002E-2</v>
      </c>
      <c r="CL234" s="548">
        <v>4.1500000000000002E-2</v>
      </c>
      <c r="CM234" s="548">
        <v>4.1500000000000002E-2</v>
      </c>
      <c r="CN234" s="548">
        <v>4.1500000000000002E-2</v>
      </c>
      <c r="CO234" s="548">
        <v>4.1500000000000002E-2</v>
      </c>
      <c r="CP234" s="548">
        <v>4.1500000000000002E-2</v>
      </c>
      <c r="CQ234" s="548">
        <v>4.1500000000000002E-2</v>
      </c>
      <c r="CR234" s="548">
        <v>4.1500000000000002E-2</v>
      </c>
      <c r="CS234" s="548">
        <v>4.1500000000000002E-2</v>
      </c>
      <c r="CT234" s="548">
        <v>4.1500000000000002E-2</v>
      </c>
      <c r="CU234" s="548">
        <v>4.1500000000000002E-2</v>
      </c>
      <c r="CV234" s="548">
        <v>4.1500000000000002E-2</v>
      </c>
      <c r="CW234" s="548">
        <v>4.1500000000000002E-2</v>
      </c>
      <c r="CX234" s="548">
        <v>4.1500000000000002E-2</v>
      </c>
      <c r="CY234" s="548">
        <v>4.1500000000000002E-2</v>
      </c>
      <c r="CZ234" s="548">
        <v>4.1500000000000002E-2</v>
      </c>
      <c r="DA234" s="548">
        <v>4.1500000000000002E-2</v>
      </c>
      <c r="DB234" s="548">
        <v>4.1500000000000002E-2</v>
      </c>
      <c r="DC234" s="548">
        <v>4.1500000000000002E-2</v>
      </c>
      <c r="DD234" s="548">
        <v>4.1500000000000002E-2</v>
      </c>
      <c r="DE234" s="548">
        <v>4.1500000000000002E-2</v>
      </c>
      <c r="DF234" s="548">
        <v>4.1500000000000002E-2</v>
      </c>
      <c r="DG234" s="548">
        <v>4.1500000000000002E-2</v>
      </c>
      <c r="DH234" s="548">
        <v>4.1500000000000002E-2</v>
      </c>
      <c r="DI234" s="548">
        <v>4.1500000000000002E-2</v>
      </c>
      <c r="DJ234" s="548">
        <v>4.1500000000000002E-2</v>
      </c>
      <c r="DK234" s="548">
        <v>4.1500000000000002E-2</v>
      </c>
      <c r="DL234" s="548">
        <v>4.1500000000000002E-2</v>
      </c>
      <c r="DM234" s="548">
        <v>4.1500000000000002E-2</v>
      </c>
      <c r="DN234" s="548">
        <v>4.1500000000000002E-2</v>
      </c>
      <c r="DO234" s="548">
        <v>4.1500000000000002E-2</v>
      </c>
      <c r="DP234" s="548">
        <v>4.1500000000000002E-2</v>
      </c>
      <c r="DQ234" s="548">
        <v>4.1500000000000002E-2</v>
      </c>
      <c r="DR234" s="548">
        <v>4.1500000000000002E-2</v>
      </c>
      <c r="DS234" s="548">
        <v>4.1500000000000002E-2</v>
      </c>
      <c r="DT234" s="548">
        <v>4.1500000000000002E-2</v>
      </c>
      <c r="DU234" s="548">
        <v>4.1500000000000002E-2</v>
      </c>
      <c r="DV234" s="548">
        <v>4.1500000000000002E-2</v>
      </c>
      <c r="DW234" s="548">
        <v>4.1500000000000002E-2</v>
      </c>
      <c r="DX234" s="548">
        <v>4.1500000000000002E-2</v>
      </c>
      <c r="DY234" s="548">
        <v>4.1500000000000002E-2</v>
      </c>
      <c r="DZ234" s="548">
        <v>4.1500000000000002E-2</v>
      </c>
      <c r="EA234" s="548">
        <v>4.1500000000000002E-2</v>
      </c>
      <c r="EB234" s="548">
        <v>4.1500000000000002E-2</v>
      </c>
      <c r="EC234" s="548">
        <v>4.1500000000000002E-2</v>
      </c>
      <c r="ED234" s="548">
        <v>4.1500000000000002E-2</v>
      </c>
      <c r="EE234" s="548">
        <v>4.1500000000000002E-2</v>
      </c>
      <c r="EF234" s="548">
        <v>4.1500000000000002E-2</v>
      </c>
      <c r="EG234" s="548">
        <v>4.1500000000000002E-2</v>
      </c>
      <c r="EH234" s="548">
        <v>4.1500000000000002E-2</v>
      </c>
      <c r="EI234" s="548">
        <v>4.1500000000000002E-2</v>
      </c>
      <c r="EJ234" s="548">
        <v>4.1500000000000002E-2</v>
      </c>
      <c r="EK234" s="548">
        <v>4.1500000000000002E-2</v>
      </c>
      <c r="EL234" s="548">
        <v>4.1500000000000002E-2</v>
      </c>
      <c r="EM234" s="548">
        <v>4.1500000000000002E-2</v>
      </c>
      <c r="EN234" s="548">
        <v>4.1500000000000002E-2</v>
      </c>
      <c r="EO234" s="548">
        <v>4.1500000000000002E-2</v>
      </c>
      <c r="EP234" s="548">
        <v>4.1500000000000002E-2</v>
      </c>
      <c r="EQ234" s="548">
        <v>4.1500000000000002E-2</v>
      </c>
      <c r="ER234" s="548">
        <v>4.1500000000000002E-2</v>
      </c>
      <c r="ES234" s="548">
        <v>4.1500000000000002E-2</v>
      </c>
      <c r="ET234" s="548">
        <v>4.1500000000000002E-2</v>
      </c>
      <c r="EU234" s="548">
        <v>4.1500000000000002E-2</v>
      </c>
      <c r="EV234" s="548">
        <v>4.1500000000000002E-2</v>
      </c>
      <c r="EW234" s="548">
        <v>4.1500000000000002E-2</v>
      </c>
      <c r="EX234" s="548">
        <v>4.1500000000000002E-2</v>
      </c>
      <c r="EY234" s="548">
        <v>4.1500000000000002E-2</v>
      </c>
      <c r="EZ234" s="548">
        <v>4.1500000000000002E-2</v>
      </c>
      <c r="FA234" s="548">
        <v>4.1500000000000002E-2</v>
      </c>
      <c r="FB234" s="548">
        <v>4.1500000000000002E-2</v>
      </c>
      <c r="FC234" s="548">
        <v>4.1500000000000002E-2</v>
      </c>
      <c r="FD234" s="548">
        <v>4.1500000000000002E-2</v>
      </c>
      <c r="FE234" s="548">
        <v>4.1500000000000002E-2</v>
      </c>
      <c r="FF234" s="548">
        <v>4.1500000000000002E-2</v>
      </c>
      <c r="FG234" s="548">
        <v>4.1500000000000002E-2</v>
      </c>
      <c r="FH234" s="548">
        <v>4.1500000000000002E-2</v>
      </c>
      <c r="FI234" s="548">
        <v>4.1500000000000002E-2</v>
      </c>
      <c r="FJ234" s="548">
        <v>4.1500000000000002E-2</v>
      </c>
      <c r="FK234" s="548">
        <v>4.1500000000000002E-2</v>
      </c>
      <c r="FL234" s="548">
        <v>4.1500000000000002E-2</v>
      </c>
      <c r="FM234" s="548">
        <v>4.1500000000000002E-2</v>
      </c>
      <c r="FN234" s="548">
        <v>4.1500000000000002E-2</v>
      </c>
      <c r="FO234" s="548">
        <v>4.1500000000000002E-2</v>
      </c>
      <c r="FP234" s="548">
        <v>4.1500000000000002E-2</v>
      </c>
      <c r="FQ234" s="548">
        <v>4.1500000000000002E-2</v>
      </c>
      <c r="FR234" s="548">
        <v>4.1500000000000002E-2</v>
      </c>
      <c r="FS234" s="548">
        <v>4.1500000000000002E-2</v>
      </c>
      <c r="FT234" s="548">
        <v>4.1500000000000002E-2</v>
      </c>
      <c r="FU234" s="548">
        <v>4.1500000000000002E-2</v>
      </c>
      <c r="FV234" s="548">
        <v>4.1500000000000002E-2</v>
      </c>
      <c r="FW234" s="548">
        <v>4.1500000000000002E-2</v>
      </c>
      <c r="FX234" s="548">
        <v>4.1500000000000002E-2</v>
      </c>
      <c r="FY234" s="548">
        <v>4.1500000000000002E-2</v>
      </c>
      <c r="FZ234" s="548">
        <v>4.1500000000000002E-2</v>
      </c>
      <c r="GA234" s="548">
        <v>4.1500000000000002E-2</v>
      </c>
      <c r="GB234" s="548">
        <v>4.1500000000000002E-2</v>
      </c>
      <c r="GC234" s="548">
        <v>4.1500000000000002E-2</v>
      </c>
      <c r="GD234" s="549">
        <v>3.7999999999999999E-2</v>
      </c>
      <c r="GE234" s="549">
        <v>3.7999999999999999E-2</v>
      </c>
      <c r="GF234" s="549">
        <v>3.7999999999999999E-2</v>
      </c>
      <c r="GG234" s="549">
        <v>3.7999999999999999E-2</v>
      </c>
      <c r="GH234" s="549">
        <v>3.7999999999999999E-2</v>
      </c>
      <c r="GI234" s="549">
        <v>3.7999999999999999E-2</v>
      </c>
      <c r="GJ234" s="549">
        <v>3.7999999999999999E-2</v>
      </c>
      <c r="GK234" s="549">
        <v>3.7999999999999999E-2</v>
      </c>
      <c r="GL234" s="549">
        <v>3.7999999999999999E-2</v>
      </c>
      <c r="GM234" s="549">
        <v>3.7999999999999999E-2</v>
      </c>
      <c r="GN234" s="549">
        <v>3.7999999999999999E-2</v>
      </c>
      <c r="GO234" s="549">
        <v>3.7999999999999999E-2</v>
      </c>
      <c r="GP234" s="549">
        <v>3.7999999999999999E-2</v>
      </c>
      <c r="GQ234" s="549">
        <v>3.7999999999999999E-2</v>
      </c>
      <c r="GR234" s="549">
        <v>3.7999999999999999E-2</v>
      </c>
      <c r="GS234" s="549">
        <v>3.7999999999999999E-2</v>
      </c>
      <c r="GT234" s="549">
        <v>3.7999999999999999E-2</v>
      </c>
      <c r="GU234" s="549">
        <v>3.7999999999999999E-2</v>
      </c>
      <c r="GV234" s="549">
        <v>3.7999999999999999E-2</v>
      </c>
      <c r="GW234" s="549">
        <v>3.7999999999999999E-2</v>
      </c>
      <c r="GX234" s="549">
        <v>3.7999999999999999E-2</v>
      </c>
      <c r="GY234" s="549">
        <v>3.7999999999999999E-2</v>
      </c>
      <c r="GZ234" s="549">
        <v>3.7999999999999999E-2</v>
      </c>
      <c r="HA234" s="549">
        <v>3.7999999999999999E-2</v>
      </c>
      <c r="HB234" s="549">
        <v>3.7999999999999999E-2</v>
      </c>
      <c r="HC234" s="549">
        <v>3.7999999999999999E-2</v>
      </c>
      <c r="HD234" s="549">
        <v>3.7999999999999999E-2</v>
      </c>
      <c r="HE234" s="549">
        <v>3.7999999999999999E-2</v>
      </c>
      <c r="HF234" s="549">
        <v>3.7999999999999999E-2</v>
      </c>
      <c r="HG234" s="549">
        <v>3.7999999999999999E-2</v>
      </c>
      <c r="HH234" s="549">
        <v>3.7999999999999999E-2</v>
      </c>
      <c r="HI234" s="549">
        <v>3.7999999999999999E-2</v>
      </c>
      <c r="HJ234" s="549">
        <v>3.7999999999999999E-2</v>
      </c>
      <c r="HK234" s="549">
        <v>3.7999999999999999E-2</v>
      </c>
      <c r="HL234" s="549">
        <v>3.7999999999999999E-2</v>
      </c>
      <c r="HM234" s="549">
        <v>3.7999999999999999E-2</v>
      </c>
      <c r="HN234" s="549">
        <v>3.7999999999999999E-2</v>
      </c>
      <c r="HO234" s="549">
        <v>3.7999999999999999E-2</v>
      </c>
      <c r="HP234" s="473">
        <f>D234-E234</f>
        <v>0</v>
      </c>
      <c r="HQ234" s="525"/>
    </row>
    <row r="235" spans="2:225">
      <c r="B235" s="674" t="s">
        <v>44</v>
      </c>
      <c r="C235" s="731" t="s">
        <v>215</v>
      </c>
      <c r="D235" s="550">
        <v>0.01</v>
      </c>
      <c r="E235" s="550">
        <v>0.01</v>
      </c>
      <c r="F235" s="550">
        <v>0.01</v>
      </c>
      <c r="G235" s="550">
        <v>0.01</v>
      </c>
      <c r="H235" s="550">
        <v>0.01</v>
      </c>
      <c r="I235" s="550">
        <v>0.01</v>
      </c>
      <c r="J235" s="550">
        <v>0.01</v>
      </c>
      <c r="K235" s="550">
        <v>0.01</v>
      </c>
      <c r="L235" s="550">
        <v>0.01</v>
      </c>
      <c r="M235" s="550">
        <v>0.01</v>
      </c>
      <c r="N235" s="550">
        <v>0.01</v>
      </c>
      <c r="O235" s="550">
        <v>0.01</v>
      </c>
      <c r="P235" s="550">
        <v>0.01</v>
      </c>
      <c r="Q235" s="550">
        <v>0.01</v>
      </c>
      <c r="R235" s="550">
        <v>0.01</v>
      </c>
      <c r="S235" s="550">
        <v>0.01</v>
      </c>
      <c r="T235" s="550">
        <v>0.01</v>
      </c>
      <c r="U235" s="550">
        <v>0.01</v>
      </c>
      <c r="V235" s="550">
        <v>0.01</v>
      </c>
      <c r="W235" s="550">
        <v>0.01</v>
      </c>
      <c r="X235" s="550">
        <v>0.01</v>
      </c>
      <c r="Y235" s="583">
        <v>0.01</v>
      </c>
      <c r="Z235" s="550">
        <v>0.02</v>
      </c>
      <c r="AA235" s="550">
        <v>0.02</v>
      </c>
      <c r="AB235" s="550">
        <v>0.02</v>
      </c>
      <c r="AC235" s="550">
        <v>0.02</v>
      </c>
      <c r="AD235" s="550">
        <v>0.02</v>
      </c>
      <c r="AE235" s="550">
        <v>0.02</v>
      </c>
      <c r="AF235" s="550">
        <v>0.02</v>
      </c>
      <c r="AG235" s="550">
        <v>0.02</v>
      </c>
      <c r="AH235" s="550">
        <v>0.02</v>
      </c>
      <c r="AI235" s="550">
        <v>0.02</v>
      </c>
      <c r="AJ235" s="550">
        <v>0.02</v>
      </c>
      <c r="AK235" s="550">
        <v>0.02</v>
      </c>
      <c r="AL235" s="551">
        <v>0.02</v>
      </c>
      <c r="AM235" s="550">
        <v>0.02</v>
      </c>
      <c r="AN235" s="550">
        <v>0.02</v>
      </c>
      <c r="AO235" s="550">
        <v>0.02</v>
      </c>
      <c r="AP235" s="550">
        <v>0.02</v>
      </c>
      <c r="AQ235" s="550">
        <v>0.02</v>
      </c>
      <c r="AR235" s="550">
        <v>0.02</v>
      </c>
      <c r="AS235" s="550">
        <v>0.02</v>
      </c>
      <c r="AT235" s="550">
        <v>0.02</v>
      </c>
      <c r="AU235" s="550">
        <v>0.02</v>
      </c>
      <c r="AV235" s="551">
        <v>0.02</v>
      </c>
      <c r="AW235" s="551">
        <v>0.02</v>
      </c>
      <c r="AX235" s="551">
        <v>0.02</v>
      </c>
      <c r="AY235" s="551">
        <v>0.02</v>
      </c>
      <c r="AZ235" s="551">
        <v>0.02</v>
      </c>
      <c r="BA235" s="551">
        <v>0.02</v>
      </c>
      <c r="BB235" s="551">
        <v>0.02</v>
      </c>
      <c r="BC235" s="551">
        <v>0.02</v>
      </c>
      <c r="BD235" s="551">
        <v>0.02</v>
      </c>
      <c r="BE235" s="551">
        <v>0.02</v>
      </c>
      <c r="BF235" s="551">
        <v>0.02</v>
      </c>
      <c r="BG235" s="551">
        <v>0.02</v>
      </c>
      <c r="BH235" s="551">
        <v>0.02</v>
      </c>
      <c r="BI235" s="551">
        <v>0.02</v>
      </c>
      <c r="BJ235" s="551">
        <v>0.02</v>
      </c>
      <c r="BK235" s="551">
        <v>0.02</v>
      </c>
      <c r="BL235" s="551">
        <v>0.02</v>
      </c>
      <c r="BM235" s="551">
        <v>0.02</v>
      </c>
      <c r="BN235" s="551">
        <v>0.02</v>
      </c>
      <c r="BO235" s="551">
        <v>0.02</v>
      </c>
      <c r="BP235" s="551">
        <v>0.02</v>
      </c>
      <c r="BQ235" s="551">
        <v>0.02</v>
      </c>
      <c r="BR235" s="551">
        <v>0.02</v>
      </c>
      <c r="BS235" s="551">
        <v>0.02</v>
      </c>
      <c r="BT235" s="551">
        <v>0.02</v>
      </c>
      <c r="BU235" s="551">
        <v>0.02</v>
      </c>
      <c r="BV235" s="551">
        <v>0.02</v>
      </c>
      <c r="BW235" s="551">
        <v>0.02</v>
      </c>
      <c r="BX235" s="551">
        <v>0.03</v>
      </c>
      <c r="BY235" s="551">
        <v>0.03</v>
      </c>
      <c r="BZ235" s="551">
        <v>0.03</v>
      </c>
      <c r="CA235" s="551">
        <v>0.03</v>
      </c>
      <c r="CB235" s="551">
        <v>0.03</v>
      </c>
      <c r="CC235" s="551">
        <v>0.03</v>
      </c>
      <c r="CD235" s="551">
        <v>3.2500000000000001E-2</v>
      </c>
      <c r="CE235" s="551">
        <v>3.2500000000000001E-2</v>
      </c>
      <c r="CF235" s="551">
        <v>3.2500000000000001E-2</v>
      </c>
      <c r="CG235" s="551">
        <v>3.2500000000000001E-2</v>
      </c>
      <c r="CH235" s="551">
        <v>3.2500000000000001E-2</v>
      </c>
      <c r="CI235" s="551">
        <v>3.2500000000000001E-2</v>
      </c>
      <c r="CJ235" s="551">
        <v>3.2500000000000001E-2</v>
      </c>
      <c r="CK235" s="551">
        <v>3.2500000000000001E-2</v>
      </c>
      <c r="CL235" s="551">
        <v>3.2500000000000001E-2</v>
      </c>
      <c r="CM235" s="551">
        <v>3.2500000000000001E-2</v>
      </c>
      <c r="CN235" s="551">
        <v>3.2500000000000001E-2</v>
      </c>
      <c r="CO235" s="551">
        <v>3.2500000000000001E-2</v>
      </c>
      <c r="CP235" s="551">
        <v>3.2500000000000001E-2</v>
      </c>
      <c r="CQ235" s="551">
        <v>3.2500000000000001E-2</v>
      </c>
      <c r="CR235" s="551">
        <v>3.2500000000000001E-2</v>
      </c>
      <c r="CS235" s="551">
        <v>3.2500000000000001E-2</v>
      </c>
      <c r="CT235" s="551">
        <v>3.2500000000000001E-2</v>
      </c>
      <c r="CU235" s="551">
        <v>3.2500000000000001E-2</v>
      </c>
      <c r="CV235" s="551">
        <v>3.2500000000000001E-2</v>
      </c>
      <c r="CW235" s="551">
        <v>3.2500000000000001E-2</v>
      </c>
      <c r="CX235" s="551">
        <v>3.2500000000000001E-2</v>
      </c>
      <c r="CY235" s="551">
        <v>3.2500000000000001E-2</v>
      </c>
      <c r="CZ235" s="551">
        <v>3.2500000000000001E-2</v>
      </c>
      <c r="DA235" s="551">
        <v>3.2500000000000001E-2</v>
      </c>
      <c r="DB235" s="551">
        <v>3.2500000000000001E-2</v>
      </c>
      <c r="DC235" s="551">
        <v>3.2500000000000001E-2</v>
      </c>
      <c r="DD235" s="551">
        <v>3.2500000000000001E-2</v>
      </c>
      <c r="DE235" s="551">
        <v>3.2500000000000001E-2</v>
      </c>
      <c r="DF235" s="551">
        <v>3.2500000000000001E-2</v>
      </c>
      <c r="DG235" s="551">
        <v>3.2500000000000001E-2</v>
      </c>
      <c r="DH235" s="551">
        <v>3.2500000000000001E-2</v>
      </c>
      <c r="DI235" s="551">
        <v>3.2500000000000001E-2</v>
      </c>
      <c r="DJ235" s="551">
        <v>3.2500000000000001E-2</v>
      </c>
      <c r="DK235" s="551">
        <v>3.2500000000000001E-2</v>
      </c>
      <c r="DL235" s="551">
        <v>3.2500000000000001E-2</v>
      </c>
      <c r="DM235" s="551">
        <v>3.2500000000000001E-2</v>
      </c>
      <c r="DN235" s="551">
        <v>3.2500000000000001E-2</v>
      </c>
      <c r="DO235" s="551">
        <v>3.2500000000000001E-2</v>
      </c>
      <c r="DP235" s="551">
        <v>3.2500000000000001E-2</v>
      </c>
      <c r="DQ235" s="551">
        <v>3.2500000000000001E-2</v>
      </c>
      <c r="DR235" s="551">
        <v>3.2500000000000001E-2</v>
      </c>
      <c r="DS235" s="551">
        <v>3.2500000000000001E-2</v>
      </c>
      <c r="DT235" s="551">
        <v>3.2500000000000001E-2</v>
      </c>
      <c r="DU235" s="551">
        <v>3.2500000000000001E-2</v>
      </c>
      <c r="DV235" s="551">
        <v>3.2500000000000001E-2</v>
      </c>
      <c r="DW235" s="551">
        <v>3.2500000000000001E-2</v>
      </c>
      <c r="DX235" s="551">
        <v>3.2500000000000001E-2</v>
      </c>
      <c r="DY235" s="551">
        <v>3.2500000000000001E-2</v>
      </c>
      <c r="DZ235" s="551">
        <v>3.2500000000000001E-2</v>
      </c>
      <c r="EA235" s="551">
        <v>3.2500000000000001E-2</v>
      </c>
      <c r="EB235" s="551">
        <v>3.2500000000000001E-2</v>
      </c>
      <c r="EC235" s="551">
        <v>3.2500000000000001E-2</v>
      </c>
      <c r="ED235" s="551">
        <v>3.2500000000000001E-2</v>
      </c>
      <c r="EE235" s="551">
        <v>3.2500000000000001E-2</v>
      </c>
      <c r="EF235" s="551">
        <v>3.2500000000000001E-2</v>
      </c>
      <c r="EG235" s="551">
        <v>3.2500000000000001E-2</v>
      </c>
      <c r="EH235" s="551">
        <v>3.2500000000000001E-2</v>
      </c>
      <c r="EI235" s="551">
        <v>4.2500000000000003E-2</v>
      </c>
      <c r="EJ235" s="551">
        <v>3.2500000000000001E-2</v>
      </c>
      <c r="EK235" s="551">
        <v>3.2500000000000001E-2</v>
      </c>
      <c r="EL235" s="551">
        <v>3.2500000000000001E-2</v>
      </c>
      <c r="EM235" s="551">
        <v>3.2500000000000001E-2</v>
      </c>
      <c r="EN235" s="551">
        <v>3.2500000000000001E-2</v>
      </c>
      <c r="EO235" s="551">
        <v>3.2500000000000001E-2</v>
      </c>
      <c r="EP235" s="551">
        <v>3.2500000000000001E-2</v>
      </c>
      <c r="EQ235" s="551">
        <v>3.2500000000000001E-2</v>
      </c>
      <c r="ER235" s="551">
        <v>3.2500000000000001E-2</v>
      </c>
      <c r="ES235" s="551">
        <v>3.2500000000000001E-2</v>
      </c>
      <c r="ET235" s="551">
        <v>3.2500000000000001E-2</v>
      </c>
      <c r="EU235" s="551">
        <v>3.2500000000000001E-2</v>
      </c>
      <c r="EV235" s="551">
        <v>3.2500000000000001E-2</v>
      </c>
      <c r="EW235" s="551">
        <v>3.5000000000000003E-2</v>
      </c>
      <c r="EX235" s="551">
        <v>3.5000000000000003E-2</v>
      </c>
      <c r="EY235" s="551">
        <v>3.5000000000000003E-2</v>
      </c>
      <c r="EZ235" s="551">
        <v>3.5000000000000003E-2</v>
      </c>
      <c r="FA235" s="551">
        <v>3.5000000000000003E-2</v>
      </c>
      <c r="FB235" s="551">
        <v>3.5000000000000003E-2</v>
      </c>
      <c r="FC235" s="551">
        <v>3.5000000000000003E-2</v>
      </c>
      <c r="FD235" s="551">
        <v>0.04</v>
      </c>
      <c r="FE235" s="551">
        <v>0.04</v>
      </c>
      <c r="FF235" s="551">
        <v>0.04</v>
      </c>
      <c r="FG235" s="551">
        <v>0.04</v>
      </c>
      <c r="FH235" s="551">
        <v>0.04</v>
      </c>
      <c r="FI235" s="551">
        <v>0.04</v>
      </c>
      <c r="FJ235" s="551">
        <v>0.04</v>
      </c>
      <c r="FK235" s="551">
        <v>4.4999999999999998E-2</v>
      </c>
      <c r="FL235" s="551">
        <v>4.4999999999999998E-2</v>
      </c>
      <c r="FM235" s="551">
        <v>4.4999999999999998E-2</v>
      </c>
      <c r="FN235" s="551">
        <v>4.4999999999999998E-2</v>
      </c>
      <c r="FO235" s="551">
        <v>4.4999999999999998E-2</v>
      </c>
      <c r="FP235" s="551">
        <v>4.4999999999999998E-2</v>
      </c>
      <c r="FQ235" s="551">
        <v>4.2500000000000003E-2</v>
      </c>
      <c r="FR235" s="551">
        <v>4.2500000000000003E-2</v>
      </c>
      <c r="FS235" s="551">
        <v>4.2500000000000003E-2</v>
      </c>
      <c r="FT235" s="551">
        <v>4.2500000000000003E-2</v>
      </c>
      <c r="FU235" s="551">
        <v>4.2500000000000003E-2</v>
      </c>
      <c r="FV235" s="551">
        <v>3.2500000000000001E-2</v>
      </c>
      <c r="FW235" s="551">
        <v>3.2500000000000001E-2</v>
      </c>
      <c r="FX235" s="551">
        <v>3.2500000000000001E-2</v>
      </c>
      <c r="FY235" s="551">
        <v>3.2500000000000001E-2</v>
      </c>
      <c r="FZ235" s="551">
        <v>3.2500000000000001E-2</v>
      </c>
      <c r="GA235" s="551">
        <v>3.2500000000000001E-2</v>
      </c>
      <c r="GB235" s="551">
        <v>3.2500000000000001E-2</v>
      </c>
      <c r="GC235" s="551">
        <v>3.2500000000000001E-2</v>
      </c>
      <c r="GD235" s="551">
        <v>3.2500000000000001E-2</v>
      </c>
      <c r="GE235" s="551">
        <v>3.2500000000000001E-2</v>
      </c>
      <c r="GF235" s="551">
        <v>3.2500000000000001E-2</v>
      </c>
      <c r="GG235" s="551">
        <v>3.2500000000000001E-2</v>
      </c>
      <c r="GH235" s="551">
        <v>3.2500000000000001E-2</v>
      </c>
      <c r="GI235" s="551">
        <v>3.2500000000000001E-2</v>
      </c>
      <c r="GJ235" s="551">
        <v>3.2500000000000001E-2</v>
      </c>
      <c r="GK235" s="551">
        <v>3.2500000000000001E-2</v>
      </c>
      <c r="GL235" s="551">
        <v>3.2500000000000001E-2</v>
      </c>
      <c r="GM235" s="551">
        <v>3.2500000000000001E-2</v>
      </c>
      <c r="GN235" s="551">
        <v>3.2500000000000001E-2</v>
      </c>
      <c r="GO235" s="551">
        <v>3.2500000000000001E-2</v>
      </c>
      <c r="GP235" s="551">
        <v>3.2500000000000001E-2</v>
      </c>
      <c r="GQ235" s="551">
        <v>3.2500000000000001E-2</v>
      </c>
      <c r="GR235" s="551">
        <v>3.2500000000000001E-2</v>
      </c>
      <c r="GS235" s="551">
        <v>3.2500000000000001E-2</v>
      </c>
      <c r="GT235" s="551">
        <v>3.2500000000000001E-2</v>
      </c>
      <c r="GU235" s="551">
        <v>3.2500000000000001E-2</v>
      </c>
      <c r="GV235" s="551">
        <v>3.2500000000000001E-2</v>
      </c>
      <c r="GW235" s="551">
        <v>3.2500000000000001E-2</v>
      </c>
      <c r="GX235" s="551">
        <v>3.2500000000000001E-2</v>
      </c>
      <c r="GY235" s="551">
        <v>3.2500000000000001E-2</v>
      </c>
      <c r="GZ235" s="551">
        <v>3.2500000000000001E-2</v>
      </c>
      <c r="HA235" s="551">
        <v>3.2500000000000001E-2</v>
      </c>
      <c r="HB235" s="551">
        <v>3.2500000000000001E-2</v>
      </c>
      <c r="HC235" s="551">
        <v>3.2500000000000001E-2</v>
      </c>
      <c r="HD235" s="551">
        <v>3.2500000000000001E-2</v>
      </c>
      <c r="HE235" s="551">
        <v>3.2500000000000001E-2</v>
      </c>
      <c r="HF235" s="551">
        <v>3.2500000000000001E-2</v>
      </c>
      <c r="HG235" s="551">
        <v>3.2500000000000001E-2</v>
      </c>
      <c r="HH235" s="551">
        <v>3.2500000000000001E-2</v>
      </c>
      <c r="HI235" s="551">
        <v>3.2500000000000001E-2</v>
      </c>
      <c r="HJ235" s="551">
        <v>3.2500000000000001E-2</v>
      </c>
      <c r="HK235" s="551">
        <v>3.2500000000000001E-2</v>
      </c>
      <c r="HL235" s="551">
        <v>3.2500000000000001E-2</v>
      </c>
      <c r="HM235" s="551">
        <v>3.2500000000000001E-2</v>
      </c>
      <c r="HN235" s="551">
        <v>3.2500000000000001E-2</v>
      </c>
      <c r="HO235" s="551">
        <v>3.2500000000000001E-2</v>
      </c>
      <c r="HP235" s="473">
        <f>D235-E235</f>
        <v>0</v>
      </c>
      <c r="HQ235" s="552"/>
    </row>
    <row r="236" spans="2:225">
      <c r="C236" s="622"/>
      <c r="D236" s="622"/>
      <c r="E236" s="622"/>
      <c r="F236" s="622"/>
      <c r="G236" s="622"/>
      <c r="H236" s="622"/>
      <c r="I236" s="622"/>
      <c r="J236" s="622"/>
      <c r="K236" s="622"/>
      <c r="L236" s="622"/>
      <c r="M236" s="622"/>
      <c r="N236" s="622"/>
      <c r="O236" s="622"/>
      <c r="P236" s="622"/>
      <c r="Q236" s="622"/>
      <c r="R236" s="622"/>
      <c r="S236" s="622"/>
      <c r="T236" s="517"/>
      <c r="U236" s="517"/>
      <c r="V236" s="517"/>
      <c r="W236" s="518"/>
      <c r="X236" s="518"/>
      <c r="Y236" s="518"/>
      <c r="Z236" s="518"/>
      <c r="AA236" s="518"/>
      <c r="AB236" s="518"/>
      <c r="AC236" s="518"/>
      <c r="AD236" s="518"/>
      <c r="AE236" s="518"/>
      <c r="AF236" s="518"/>
      <c r="AG236" s="518"/>
      <c r="AH236" s="518"/>
      <c r="AI236" s="518"/>
      <c r="AJ236" s="518"/>
      <c r="AK236" s="518"/>
      <c r="AL236" s="519"/>
      <c r="AM236" s="518"/>
      <c r="AN236" s="518"/>
      <c r="AO236" s="518"/>
      <c r="AP236" s="518"/>
      <c r="AQ236" s="518"/>
      <c r="AR236" s="518"/>
      <c r="AS236" s="518"/>
      <c r="AT236" s="518"/>
      <c r="AU236" s="518"/>
      <c r="AV236" s="519"/>
      <c r="AW236" s="519"/>
      <c r="AX236" s="519"/>
      <c r="AY236" s="519"/>
      <c r="AZ236" s="519"/>
      <c r="BA236" s="519"/>
      <c r="BB236" s="519"/>
      <c r="BC236" s="519"/>
      <c r="BD236" s="519"/>
      <c r="BE236" s="519"/>
      <c r="BF236" s="519"/>
      <c r="BG236" s="519"/>
      <c r="BH236" s="519"/>
      <c r="BI236" s="519"/>
      <c r="BJ236" s="519"/>
      <c r="BK236" s="519"/>
      <c r="BL236" s="519"/>
      <c r="BM236" s="519"/>
      <c r="BN236" s="519"/>
      <c r="BO236" s="519"/>
      <c r="BP236" s="519"/>
      <c r="BQ236" s="519"/>
      <c r="BR236" s="519"/>
      <c r="BS236" s="519"/>
      <c r="BT236" s="519"/>
      <c r="BU236" s="519"/>
      <c r="BV236" s="519"/>
      <c r="BW236" s="519"/>
      <c r="BX236" s="519"/>
      <c r="BY236" s="519"/>
      <c r="BZ236" s="519"/>
      <c r="CA236" s="519"/>
      <c r="CB236" s="519"/>
      <c r="CC236" s="519"/>
      <c r="CD236" s="519"/>
      <c r="CE236" s="519"/>
      <c r="CF236" s="519"/>
      <c r="CG236" s="519"/>
      <c r="CH236" s="519"/>
      <c r="CI236" s="519"/>
      <c r="CJ236" s="519"/>
      <c r="CK236" s="519"/>
      <c r="CL236" s="519"/>
      <c r="CM236" s="519"/>
      <c r="CN236" s="519"/>
      <c r="CO236" s="519"/>
      <c r="CP236" s="519"/>
      <c r="CQ236" s="519"/>
      <c r="CR236" s="519"/>
      <c r="CS236" s="519"/>
      <c r="CT236" s="519"/>
      <c r="CU236" s="519"/>
      <c r="CV236" s="519"/>
      <c r="CW236" s="519"/>
      <c r="CX236" s="519"/>
      <c r="CY236" s="519"/>
      <c r="CZ236" s="519"/>
      <c r="DA236" s="519"/>
      <c r="DB236" s="519"/>
      <c r="DC236" s="519"/>
      <c r="DD236" s="519"/>
      <c r="DE236" s="519"/>
      <c r="DF236" s="519"/>
      <c r="DG236" s="519"/>
      <c r="DH236" s="519"/>
      <c r="DI236" s="519"/>
      <c r="DJ236" s="519"/>
      <c r="DK236" s="519"/>
      <c r="DL236" s="519"/>
      <c r="DM236" s="519"/>
      <c r="DN236" s="519"/>
      <c r="DO236" s="519"/>
      <c r="DP236" s="519"/>
      <c r="DQ236" s="519"/>
      <c r="DR236" s="519"/>
      <c r="DS236" s="519"/>
      <c r="DT236" s="519"/>
      <c r="DU236" s="519"/>
      <c r="DV236" s="519"/>
      <c r="DW236" s="519"/>
      <c r="DX236" s="519"/>
      <c r="DY236" s="519"/>
      <c r="DZ236" s="519"/>
      <c r="EA236" s="519"/>
      <c r="EB236" s="519"/>
      <c r="EC236" s="519"/>
      <c r="ED236" s="519"/>
      <c r="EE236" s="519"/>
      <c r="EF236" s="519"/>
      <c r="EG236" s="519"/>
      <c r="EH236" s="519"/>
      <c r="EI236" s="519"/>
      <c r="EJ236" s="519"/>
      <c r="EK236" s="519"/>
      <c r="EL236" s="519"/>
      <c r="EM236" s="519"/>
      <c r="EN236" s="519"/>
      <c r="EO236" s="519"/>
      <c r="EP236" s="519"/>
      <c r="EQ236" s="519"/>
      <c r="ER236" s="519"/>
      <c r="ES236" s="519"/>
      <c r="ET236" s="519"/>
      <c r="EU236" s="519"/>
      <c r="EV236" s="519"/>
      <c r="EW236" s="519"/>
      <c r="EX236" s="519"/>
      <c r="EY236" s="519"/>
      <c r="EZ236" s="519"/>
      <c r="FA236" s="519"/>
      <c r="FB236" s="519"/>
      <c r="FC236" s="519"/>
      <c r="FD236" s="519"/>
      <c r="FE236" s="519"/>
      <c r="FF236" s="519"/>
      <c r="FG236" s="519"/>
      <c r="FH236" s="519"/>
      <c r="FI236" s="519"/>
      <c r="FJ236" s="519"/>
      <c r="FK236" s="519"/>
      <c r="FL236" s="519"/>
      <c r="FM236" s="519"/>
      <c r="FN236" s="519"/>
      <c r="FO236" s="519"/>
      <c r="FP236" s="519"/>
      <c r="FQ236" s="519"/>
      <c r="FR236" s="519"/>
      <c r="FS236" s="519"/>
      <c r="FT236" s="519"/>
      <c r="FU236" s="519"/>
      <c r="FV236" s="519"/>
      <c r="FW236" s="519"/>
      <c r="FX236" s="519"/>
      <c r="FY236" s="519"/>
      <c r="FZ236" s="519"/>
      <c r="GA236" s="519"/>
      <c r="GB236" s="519"/>
      <c r="GC236" s="519"/>
      <c r="GD236" s="519"/>
      <c r="GE236" s="519"/>
      <c r="GF236" s="519"/>
      <c r="GG236" s="519"/>
      <c r="GH236" s="519"/>
      <c r="GI236" s="519"/>
      <c r="GJ236" s="519"/>
      <c r="GK236" s="519"/>
      <c r="GL236" s="519"/>
      <c r="GM236" s="519"/>
      <c r="GN236" s="519"/>
      <c r="GO236" s="519"/>
      <c r="GP236" s="519"/>
      <c r="GQ236" s="519"/>
      <c r="GR236" s="519"/>
      <c r="GS236" s="519"/>
      <c r="GT236" s="519"/>
      <c r="GU236" s="519"/>
      <c r="GV236" s="519"/>
      <c r="GW236" s="519"/>
      <c r="GX236" s="519"/>
      <c r="GY236" s="519"/>
      <c r="GZ236" s="519"/>
      <c r="HA236" s="519"/>
      <c r="HB236" s="519"/>
      <c r="HC236" s="519"/>
      <c r="HD236" s="519"/>
      <c r="HE236" s="519"/>
      <c r="HF236" s="519"/>
      <c r="HG236" s="519"/>
      <c r="HH236" s="519"/>
      <c r="HI236" s="519"/>
      <c r="HJ236" s="519"/>
      <c r="HK236" s="519"/>
      <c r="HL236" s="519"/>
      <c r="HM236" s="519"/>
      <c r="HN236" s="519"/>
      <c r="HO236" s="519"/>
      <c r="HP236" s="519"/>
      <c r="HQ236" s="521"/>
    </row>
    <row r="237" spans="2:225">
      <c r="B237" s="1131" t="s">
        <v>226</v>
      </c>
      <c r="C237" s="1131"/>
      <c r="D237" s="1131"/>
      <c r="E237" s="1131"/>
      <c r="F237" s="1131"/>
      <c r="G237" s="1131"/>
      <c r="H237" s="1131"/>
      <c r="I237" s="1131"/>
      <c r="J237" s="1131"/>
      <c r="K237" s="1131"/>
      <c r="L237" s="1131"/>
      <c r="M237" s="1131"/>
      <c r="N237" s="1131"/>
      <c r="O237" s="1131"/>
      <c r="P237" s="1131"/>
      <c r="Q237" s="1131"/>
      <c r="R237" s="1131"/>
      <c r="S237" s="1131"/>
      <c r="T237" s="1131"/>
      <c r="U237" s="1131"/>
      <c r="V237" s="1131"/>
      <c r="W237" s="1131"/>
      <c r="X237" s="1131"/>
      <c r="Y237" s="1131"/>
      <c r="Z237" s="1131"/>
      <c r="AA237" s="1131"/>
      <c r="AB237" s="1131"/>
      <c r="AC237" s="1131"/>
      <c r="AD237" s="1131"/>
      <c r="AE237" s="1131"/>
      <c r="AF237" s="1131"/>
      <c r="AG237" s="1131"/>
      <c r="AH237" s="1131"/>
      <c r="AI237" s="1131"/>
      <c r="AJ237" s="1131"/>
      <c r="AK237" s="1131"/>
      <c r="AL237" s="1131"/>
      <c r="AM237" s="1131"/>
      <c r="AN237" s="1131"/>
      <c r="AO237" s="1131"/>
      <c r="AP237" s="1131"/>
      <c r="AQ237" s="1131"/>
      <c r="AR237" s="1131"/>
      <c r="AS237" s="1131"/>
      <c r="AT237" s="1131"/>
      <c r="AU237" s="1131"/>
      <c r="AV237" s="1131"/>
      <c r="AW237" s="1131"/>
      <c r="AX237" s="1131"/>
      <c r="AY237" s="1131"/>
      <c r="AZ237" s="1131"/>
      <c r="BA237" s="1131"/>
      <c r="BB237" s="1131"/>
      <c r="BC237" s="1131"/>
      <c r="BD237" s="1131"/>
      <c r="BE237" s="1131"/>
      <c r="BF237" s="1131"/>
      <c r="BG237" s="1131"/>
      <c r="BH237" s="1131"/>
      <c r="BI237" s="1131"/>
      <c r="BJ237" s="1131"/>
      <c r="BK237" s="1131"/>
      <c r="BL237" s="1131"/>
      <c r="BM237" s="1131"/>
      <c r="BN237" s="1131"/>
      <c r="BO237" s="1131"/>
      <c r="BP237" s="1131"/>
      <c r="BQ237" s="1131"/>
      <c r="BR237" s="1131"/>
      <c r="BS237" s="1131"/>
      <c r="BT237" s="1131"/>
      <c r="BU237" s="1131"/>
      <c r="BV237" s="1131"/>
      <c r="BW237" s="1131"/>
      <c r="BX237" s="1131"/>
      <c r="BY237" s="1131"/>
      <c r="BZ237" s="1131"/>
      <c r="CA237" s="1131"/>
      <c r="CB237" s="1131"/>
      <c r="CC237" s="1131"/>
      <c r="CD237" s="1131"/>
      <c r="CE237" s="1131"/>
      <c r="CF237" s="1131"/>
      <c r="CG237" s="1131"/>
      <c r="CH237" s="1131"/>
      <c r="CI237" s="1131"/>
      <c r="CJ237" s="1131"/>
      <c r="CK237" s="1131"/>
      <c r="CL237" s="1131"/>
      <c r="CM237" s="1131"/>
      <c r="CN237" s="1131"/>
      <c r="CO237" s="1131"/>
      <c r="CP237" s="1131"/>
      <c r="CQ237" s="1131"/>
      <c r="CR237" s="1131"/>
      <c r="CS237" s="1131"/>
      <c r="CT237" s="1131"/>
      <c r="CU237" s="1131"/>
      <c r="CV237" s="1131"/>
      <c r="CW237" s="1131"/>
      <c r="CX237" s="1131"/>
      <c r="CY237" s="1131"/>
      <c r="CZ237" s="1131"/>
      <c r="DA237" s="1131"/>
      <c r="DB237" s="1131"/>
      <c r="DC237" s="1131"/>
      <c r="DD237" s="1131"/>
      <c r="DE237" s="1131"/>
      <c r="DF237" s="1131"/>
      <c r="DG237" s="1131"/>
      <c r="DH237" s="1131"/>
      <c r="DI237" s="1131"/>
      <c r="DJ237" s="1131"/>
      <c r="DK237" s="1131"/>
      <c r="DL237" s="1131"/>
      <c r="DM237" s="1131"/>
      <c r="DN237" s="1131"/>
      <c r="DO237" s="1131"/>
      <c r="DP237" s="1131"/>
      <c r="DQ237" s="1131"/>
      <c r="DR237" s="1131"/>
      <c r="DS237" s="1131"/>
      <c r="DT237" s="1131"/>
      <c r="DU237" s="1131"/>
      <c r="DV237" s="1131"/>
      <c r="DW237" s="1131"/>
      <c r="DX237" s="1131"/>
      <c r="DY237" s="1131"/>
      <c r="DZ237" s="1131"/>
      <c r="EA237" s="1131"/>
      <c r="EB237" s="1131"/>
      <c r="EC237" s="1131"/>
      <c r="ED237" s="1131"/>
      <c r="EE237" s="1131"/>
      <c r="EF237" s="1131"/>
      <c r="EG237" s="1131"/>
      <c r="EH237" s="1131"/>
      <c r="EI237" s="1131"/>
      <c r="EJ237" s="1131"/>
      <c r="EK237" s="1131"/>
      <c r="EL237" s="1131"/>
      <c r="EM237" s="1131"/>
      <c r="EN237" s="1131"/>
      <c r="EO237" s="1131"/>
      <c r="EP237" s="1131"/>
      <c r="EQ237" s="1131"/>
      <c r="ER237" s="1131"/>
      <c r="ES237" s="1131"/>
      <c r="ET237" s="1131"/>
      <c r="EU237" s="1131"/>
      <c r="EV237" s="1131"/>
      <c r="EW237" s="1131"/>
      <c r="EX237" s="1131"/>
      <c r="EY237" s="1131"/>
      <c r="EZ237" s="1131"/>
      <c r="FA237" s="1131"/>
      <c r="FB237" s="1131"/>
      <c r="FC237" s="1131"/>
      <c r="FD237" s="1131"/>
      <c r="FE237" s="1131"/>
      <c r="FF237" s="1131"/>
      <c r="FG237" s="1131"/>
      <c r="FH237" s="1131"/>
      <c r="FI237" s="1131"/>
      <c r="FJ237" s="1131"/>
      <c r="FK237" s="1131"/>
      <c r="FL237" s="1131"/>
      <c r="FM237" s="1131"/>
      <c r="FN237" s="1131"/>
      <c r="FO237" s="1131"/>
      <c r="FP237" s="1131"/>
      <c r="FQ237" s="1131"/>
      <c r="FR237" s="1131"/>
      <c r="FS237" s="1131"/>
      <c r="FT237" s="1131"/>
      <c r="FU237" s="1131"/>
      <c r="FV237" s="1131"/>
      <c r="FW237" s="1131"/>
      <c r="FX237" s="1131"/>
      <c r="FY237" s="1131"/>
      <c r="FZ237" s="1131"/>
      <c r="GA237" s="1131"/>
      <c r="GB237" s="1131"/>
      <c r="GC237" s="1131"/>
      <c r="GD237" s="1131"/>
      <c r="GE237" s="1131"/>
      <c r="GF237" s="1131"/>
      <c r="GG237" s="1131"/>
      <c r="GH237" s="1131"/>
      <c r="GI237" s="1131"/>
      <c r="GJ237" s="1131"/>
      <c r="GK237" s="1131"/>
      <c r="GL237" s="1131"/>
      <c r="GM237" s="1131"/>
      <c r="GN237" s="1131"/>
      <c r="GO237" s="1131"/>
      <c r="GP237" s="1131"/>
      <c r="GQ237" s="1131"/>
      <c r="GR237" s="1131"/>
      <c r="GS237" s="1131"/>
      <c r="GT237" s="1131"/>
      <c r="GU237" s="1131"/>
      <c r="GV237" s="1131" t="s">
        <v>225</v>
      </c>
      <c r="GW237" s="1131"/>
      <c r="GX237" s="1131"/>
      <c r="GY237" s="1131"/>
      <c r="GZ237" s="1131"/>
      <c r="HA237" s="1131"/>
      <c r="HB237" s="1131"/>
      <c r="HC237" s="1131"/>
      <c r="HD237" s="1131"/>
      <c r="HE237" s="1131"/>
      <c r="HF237" s="1131"/>
      <c r="HG237" s="1131"/>
      <c r="HH237" s="1131"/>
      <c r="HI237" s="1131"/>
      <c r="HJ237" s="1131"/>
      <c r="HK237" s="1131"/>
      <c r="HL237" s="1131"/>
      <c r="HM237" s="1131"/>
      <c r="HN237" s="1131"/>
      <c r="HO237" s="1131"/>
      <c r="HP237" s="1131"/>
      <c r="HQ237" s="1131"/>
    </row>
    <row r="238" spans="2:225">
      <c r="B238" s="464" t="s">
        <v>121</v>
      </c>
      <c r="C238" s="464" t="s">
        <v>120</v>
      </c>
      <c r="D238" s="465">
        <f t="shared" ref="D238:F238" si="96">D3</f>
        <v>46099</v>
      </c>
      <c r="E238" s="465">
        <f t="shared" ref="E238" si="97">E3</f>
        <v>46092</v>
      </c>
      <c r="F238" s="465">
        <f t="shared" si="96"/>
        <v>46085</v>
      </c>
      <c r="G238" s="465">
        <f t="shared" ref="G238:O238" si="98">G3</f>
        <v>46078</v>
      </c>
      <c r="H238" s="465">
        <f t="shared" ref="H238" si="99">H3</f>
        <v>46071</v>
      </c>
      <c r="I238" s="465">
        <f>I3</f>
        <v>46057</v>
      </c>
      <c r="J238" s="465">
        <f t="shared" si="98"/>
        <v>46050</v>
      </c>
      <c r="K238" s="465">
        <f t="shared" si="98"/>
        <v>46043</v>
      </c>
      <c r="L238" s="465">
        <f t="shared" si="98"/>
        <v>46036</v>
      </c>
      <c r="M238" s="465">
        <f t="shared" si="98"/>
        <v>46029</v>
      </c>
      <c r="N238" s="465">
        <f t="shared" si="98"/>
        <v>46022</v>
      </c>
      <c r="O238" s="465">
        <f t="shared" si="98"/>
        <v>46015</v>
      </c>
      <c r="P238" s="465">
        <f t="shared" ref="P238:V238" si="100">P3</f>
        <v>46008</v>
      </c>
      <c r="Q238" s="465">
        <f>Q3</f>
        <v>46001</v>
      </c>
      <c r="R238" s="465">
        <f t="shared" si="100"/>
        <v>45994</v>
      </c>
      <c r="S238" s="465">
        <f t="shared" si="100"/>
        <v>45987</v>
      </c>
      <c r="T238" s="465">
        <f t="shared" si="100"/>
        <v>45980</v>
      </c>
      <c r="U238" s="465">
        <f t="shared" si="100"/>
        <v>45973</v>
      </c>
      <c r="V238" s="465">
        <f t="shared" si="100"/>
        <v>45966</v>
      </c>
      <c r="W238" s="465">
        <f t="shared" ref="W238:AF238" si="101">W3</f>
        <v>45959</v>
      </c>
      <c r="X238" s="465">
        <f>X3</f>
        <v>45952</v>
      </c>
      <c r="Y238" s="465">
        <f>Y3</f>
        <v>45945</v>
      </c>
      <c r="Z238" s="465">
        <f>Z3</f>
        <v>45938</v>
      </c>
      <c r="AA238" s="465">
        <f>AA3</f>
        <v>45931</v>
      </c>
      <c r="AB238" s="465">
        <f t="shared" si="101"/>
        <v>45924</v>
      </c>
      <c r="AC238" s="465">
        <f t="shared" si="101"/>
        <v>45917</v>
      </c>
      <c r="AD238" s="465">
        <f t="shared" si="101"/>
        <v>45910</v>
      </c>
      <c r="AE238" s="465">
        <f t="shared" si="101"/>
        <v>45903</v>
      </c>
      <c r="AF238" s="465">
        <f t="shared" si="101"/>
        <v>45896</v>
      </c>
      <c r="AG238" s="465">
        <f t="shared" ref="AG238:CR238" si="102">AG3</f>
        <v>45889</v>
      </c>
      <c r="AH238" s="465">
        <f t="shared" si="102"/>
        <v>45882</v>
      </c>
      <c r="AI238" s="465">
        <f t="shared" si="102"/>
        <v>45875</v>
      </c>
      <c r="AJ238" s="465">
        <f t="shared" si="102"/>
        <v>45868</v>
      </c>
      <c r="AK238" s="465">
        <f t="shared" si="102"/>
        <v>45861</v>
      </c>
      <c r="AL238" s="465">
        <f t="shared" si="102"/>
        <v>45854</v>
      </c>
      <c r="AM238" s="465">
        <f t="shared" si="102"/>
        <v>45847</v>
      </c>
      <c r="AN238" s="465">
        <f t="shared" si="102"/>
        <v>45840</v>
      </c>
      <c r="AO238" s="465">
        <f t="shared" si="102"/>
        <v>45833</v>
      </c>
      <c r="AP238" s="465">
        <f t="shared" si="102"/>
        <v>45826</v>
      </c>
      <c r="AQ238" s="465">
        <f t="shared" si="102"/>
        <v>45819</v>
      </c>
      <c r="AR238" s="465">
        <f t="shared" si="102"/>
        <v>45812</v>
      </c>
      <c r="AS238" s="465">
        <f t="shared" si="102"/>
        <v>45805</v>
      </c>
      <c r="AT238" s="465">
        <f t="shared" si="102"/>
        <v>45798</v>
      </c>
      <c r="AU238" s="465">
        <f t="shared" si="102"/>
        <v>45792</v>
      </c>
      <c r="AV238" s="465">
        <f t="shared" si="102"/>
        <v>38480</v>
      </c>
      <c r="AW238" s="465">
        <f t="shared" si="102"/>
        <v>45777</v>
      </c>
      <c r="AX238" s="465">
        <f t="shared" si="102"/>
        <v>45757</v>
      </c>
      <c r="AY238" s="465">
        <f t="shared" si="102"/>
        <v>45750</v>
      </c>
      <c r="AZ238" s="465">
        <f t="shared" si="102"/>
        <v>45742</v>
      </c>
      <c r="BA238" s="465">
        <f t="shared" si="102"/>
        <v>45736</v>
      </c>
      <c r="BB238" s="465">
        <f t="shared" si="102"/>
        <v>45729</v>
      </c>
      <c r="BC238" s="465">
        <f t="shared" si="102"/>
        <v>45722</v>
      </c>
      <c r="BD238" s="465">
        <f t="shared" si="102"/>
        <v>45715</v>
      </c>
      <c r="BE238" s="465">
        <f t="shared" si="102"/>
        <v>45708</v>
      </c>
      <c r="BF238" s="465">
        <f t="shared" si="102"/>
        <v>45701</v>
      </c>
      <c r="BG238" s="465">
        <f t="shared" si="102"/>
        <v>46092</v>
      </c>
      <c r="BH238" s="465">
        <f t="shared" si="102"/>
        <v>45688</v>
      </c>
      <c r="BI238" s="465">
        <f t="shared" si="102"/>
        <v>45681</v>
      </c>
      <c r="BJ238" s="465">
        <f t="shared" si="102"/>
        <v>45673</v>
      </c>
      <c r="BK238" s="465">
        <f t="shared" si="102"/>
        <v>45666</v>
      </c>
      <c r="BL238" s="465">
        <f t="shared" si="102"/>
        <v>45659</v>
      </c>
      <c r="BM238" s="465">
        <f t="shared" si="102"/>
        <v>45652</v>
      </c>
      <c r="BN238" s="465">
        <f t="shared" si="102"/>
        <v>45645</v>
      </c>
      <c r="BO238" s="465">
        <f t="shared" si="102"/>
        <v>45638</v>
      </c>
      <c r="BP238" s="465">
        <f t="shared" si="102"/>
        <v>45631</v>
      </c>
      <c r="BQ238" s="465">
        <f t="shared" si="102"/>
        <v>45625</v>
      </c>
      <c r="BR238" s="465">
        <f t="shared" si="102"/>
        <v>45617</v>
      </c>
      <c r="BS238" s="465">
        <f t="shared" si="102"/>
        <v>45610</v>
      </c>
      <c r="BT238" s="465">
        <f t="shared" si="102"/>
        <v>45603</v>
      </c>
      <c r="BU238" s="465">
        <f t="shared" si="102"/>
        <v>45595</v>
      </c>
      <c r="BV238" s="465">
        <f t="shared" si="102"/>
        <v>45591</v>
      </c>
      <c r="BW238" s="465">
        <f t="shared" si="102"/>
        <v>45582</v>
      </c>
      <c r="BX238" s="465">
        <f t="shared" si="102"/>
        <v>45575</v>
      </c>
      <c r="BY238" s="465">
        <f t="shared" si="102"/>
        <v>45568</v>
      </c>
      <c r="BZ238" s="465">
        <f t="shared" si="102"/>
        <v>45561</v>
      </c>
      <c r="CA238" s="465">
        <f t="shared" si="102"/>
        <v>45554</v>
      </c>
      <c r="CB238" s="465">
        <f t="shared" si="102"/>
        <v>45547</v>
      </c>
      <c r="CC238" s="465">
        <f t="shared" si="102"/>
        <v>45540</v>
      </c>
      <c r="CD238" s="465">
        <f t="shared" si="102"/>
        <v>45533</v>
      </c>
      <c r="CE238" s="465">
        <f t="shared" si="102"/>
        <v>45526</v>
      </c>
      <c r="CF238" s="465">
        <f t="shared" si="102"/>
        <v>45517</v>
      </c>
      <c r="CG238" s="465">
        <f t="shared" si="102"/>
        <v>45511</v>
      </c>
      <c r="CH238" s="465">
        <f t="shared" si="102"/>
        <v>45505</v>
      </c>
      <c r="CI238" s="465">
        <f t="shared" si="102"/>
        <v>45498</v>
      </c>
      <c r="CJ238" s="465">
        <f t="shared" si="102"/>
        <v>45492</v>
      </c>
      <c r="CK238" s="465">
        <f t="shared" si="102"/>
        <v>45484</v>
      </c>
      <c r="CL238" s="465">
        <f t="shared" si="102"/>
        <v>45477</v>
      </c>
      <c r="CM238" s="465">
        <f t="shared" si="102"/>
        <v>45470</v>
      </c>
      <c r="CN238" s="465">
        <f t="shared" si="102"/>
        <v>45463</v>
      </c>
      <c r="CO238" s="465">
        <f t="shared" si="102"/>
        <v>45456</v>
      </c>
      <c r="CP238" s="465">
        <f t="shared" si="102"/>
        <v>45449</v>
      </c>
      <c r="CQ238" s="465">
        <f t="shared" si="102"/>
        <v>45442</v>
      </c>
      <c r="CR238" s="465">
        <f t="shared" si="102"/>
        <v>45435</v>
      </c>
      <c r="CS238" s="465">
        <f t="shared" ref="CS238:FD238" si="103">CS3</f>
        <v>45428</v>
      </c>
      <c r="CT238" s="465">
        <f t="shared" si="103"/>
        <v>45421</v>
      </c>
      <c r="CU238" s="465">
        <f t="shared" si="103"/>
        <v>45414</v>
      </c>
      <c r="CV238" s="465">
        <f t="shared" si="103"/>
        <v>45407</v>
      </c>
      <c r="CW238" s="465">
        <f t="shared" si="103"/>
        <v>45400</v>
      </c>
      <c r="CX238" s="465">
        <f t="shared" si="103"/>
        <v>45393</v>
      </c>
      <c r="CY238" s="465">
        <f t="shared" si="103"/>
        <v>45386</v>
      </c>
      <c r="CZ238" s="465">
        <f t="shared" si="103"/>
        <v>45378</v>
      </c>
      <c r="DA238" s="465">
        <f t="shared" si="103"/>
        <v>45372</v>
      </c>
      <c r="DB238" s="465">
        <f t="shared" si="103"/>
        <v>45365</v>
      </c>
      <c r="DC238" s="465">
        <f t="shared" si="103"/>
        <v>45358</v>
      </c>
      <c r="DD238" s="465">
        <f t="shared" si="103"/>
        <v>45351</v>
      </c>
      <c r="DE238" s="465">
        <f t="shared" si="103"/>
        <v>45343</v>
      </c>
      <c r="DF238" s="465">
        <f t="shared" si="103"/>
        <v>45336</v>
      </c>
      <c r="DG238" s="465">
        <f t="shared" si="103"/>
        <v>45329</v>
      </c>
      <c r="DH238" s="465">
        <f t="shared" si="103"/>
        <v>45323</v>
      </c>
      <c r="DI238" s="465">
        <f t="shared" si="103"/>
        <v>45316</v>
      </c>
      <c r="DJ238" s="465">
        <f t="shared" si="103"/>
        <v>45309</v>
      </c>
      <c r="DK238" s="465">
        <f t="shared" si="103"/>
        <v>45302</v>
      </c>
      <c r="DL238" s="465">
        <f t="shared" si="103"/>
        <v>45295</v>
      </c>
      <c r="DM238" s="465">
        <f t="shared" si="103"/>
        <v>45288</v>
      </c>
      <c r="DN238" s="465">
        <f t="shared" si="103"/>
        <v>45281</v>
      </c>
      <c r="DO238" s="465">
        <f t="shared" si="103"/>
        <v>45274</v>
      </c>
      <c r="DP238" s="465">
        <f t="shared" si="103"/>
        <v>45267</v>
      </c>
      <c r="DQ238" s="465">
        <f t="shared" si="103"/>
        <v>45260</v>
      </c>
      <c r="DR238" s="465">
        <f t="shared" si="103"/>
        <v>45253</v>
      </c>
      <c r="DS238" s="465">
        <f t="shared" si="103"/>
        <v>45246</v>
      </c>
      <c r="DT238" s="465">
        <f t="shared" si="103"/>
        <v>45239</v>
      </c>
      <c r="DU238" s="465">
        <f t="shared" si="103"/>
        <v>45232</v>
      </c>
      <c r="DV238" s="465">
        <f t="shared" si="103"/>
        <v>45225</v>
      </c>
      <c r="DW238" s="465">
        <f t="shared" si="103"/>
        <v>45218</v>
      </c>
      <c r="DX238" s="465">
        <f t="shared" si="103"/>
        <v>45211</v>
      </c>
      <c r="DY238" s="465">
        <f t="shared" si="103"/>
        <v>45197</v>
      </c>
      <c r="DZ238" s="465">
        <f t="shared" si="103"/>
        <v>45190</v>
      </c>
      <c r="EA238" s="465">
        <f t="shared" si="103"/>
        <v>45183</v>
      </c>
      <c r="EB238" s="465">
        <f t="shared" si="103"/>
        <v>45176</v>
      </c>
      <c r="EC238" s="465">
        <f t="shared" si="103"/>
        <v>45168</v>
      </c>
      <c r="ED238" s="465">
        <f t="shared" si="103"/>
        <v>45162</v>
      </c>
      <c r="EE238" s="465">
        <f t="shared" si="103"/>
        <v>45155</v>
      </c>
      <c r="EF238" s="465">
        <f t="shared" si="103"/>
        <v>45148</v>
      </c>
      <c r="EG238" s="465">
        <f t="shared" si="103"/>
        <v>45141</v>
      </c>
      <c r="EH238" s="465">
        <f t="shared" si="103"/>
        <v>45134</v>
      </c>
      <c r="EI238" s="465">
        <f t="shared" si="103"/>
        <v>44839</v>
      </c>
      <c r="EJ238" s="465">
        <f t="shared" si="103"/>
        <v>44831</v>
      </c>
      <c r="EK238" s="465">
        <f t="shared" si="103"/>
        <v>44826</v>
      </c>
      <c r="EL238" s="465">
        <f t="shared" si="103"/>
        <v>44818</v>
      </c>
      <c r="EM238" s="465">
        <f t="shared" si="103"/>
        <v>44811</v>
      </c>
      <c r="EN238" s="465">
        <f t="shared" si="103"/>
        <v>45070</v>
      </c>
      <c r="EO238" s="465">
        <f t="shared" si="103"/>
        <v>45063</v>
      </c>
      <c r="EP238" s="465">
        <f t="shared" si="103"/>
        <v>45056</v>
      </c>
      <c r="EQ238" s="465">
        <f t="shared" si="103"/>
        <v>45050</v>
      </c>
      <c r="ER238" s="465">
        <f t="shared" si="103"/>
        <v>45042</v>
      </c>
      <c r="ES238" s="465">
        <f t="shared" si="103"/>
        <v>45035</v>
      </c>
      <c r="ET238" s="465">
        <f t="shared" si="103"/>
        <v>45028</v>
      </c>
      <c r="EU238" s="465">
        <f t="shared" si="103"/>
        <v>45020</v>
      </c>
      <c r="EV238" s="465">
        <f t="shared" si="103"/>
        <v>45014</v>
      </c>
      <c r="EW238" s="465">
        <f t="shared" si="103"/>
        <v>45008</v>
      </c>
      <c r="EX238" s="465">
        <f t="shared" si="103"/>
        <v>45002</v>
      </c>
      <c r="EY238" s="465">
        <f t="shared" si="103"/>
        <v>45000</v>
      </c>
      <c r="EZ238" s="465">
        <f t="shared" si="103"/>
        <v>44993</v>
      </c>
      <c r="FA238" s="465">
        <f t="shared" si="103"/>
        <v>44986</v>
      </c>
      <c r="FB238" s="465">
        <f t="shared" si="103"/>
        <v>44979</v>
      </c>
      <c r="FC238" s="465">
        <f t="shared" si="103"/>
        <v>44972</v>
      </c>
      <c r="FD238" s="465">
        <f t="shared" si="103"/>
        <v>44965</v>
      </c>
      <c r="FE238" s="465">
        <f t="shared" ref="FE238:HO238" si="104">FE3</f>
        <v>44958</v>
      </c>
      <c r="FF238" s="465">
        <f t="shared" si="104"/>
        <v>44951</v>
      </c>
      <c r="FG238" s="465">
        <f t="shared" si="104"/>
        <v>44944</v>
      </c>
      <c r="FH238" s="465">
        <f t="shared" si="104"/>
        <v>44937</v>
      </c>
      <c r="FI238" s="465">
        <f t="shared" si="104"/>
        <v>44930</v>
      </c>
      <c r="FJ238" s="465">
        <f t="shared" si="104"/>
        <v>44923</v>
      </c>
      <c r="FK238" s="465">
        <f t="shared" si="104"/>
        <v>44916</v>
      </c>
      <c r="FL238" s="465">
        <f t="shared" si="104"/>
        <v>44910</v>
      </c>
      <c r="FM238" s="465">
        <f t="shared" si="104"/>
        <v>44902</v>
      </c>
      <c r="FN238" s="465">
        <f t="shared" si="104"/>
        <v>44896</v>
      </c>
      <c r="FO238" s="465">
        <f t="shared" si="104"/>
        <v>44888</v>
      </c>
      <c r="FP238" s="465">
        <f t="shared" si="104"/>
        <v>44881</v>
      </c>
      <c r="FQ238" s="465">
        <f t="shared" si="104"/>
        <v>44874</v>
      </c>
      <c r="FR238" s="465">
        <f t="shared" si="104"/>
        <v>44868</v>
      </c>
      <c r="FS238" s="465">
        <f t="shared" si="104"/>
        <v>44860</v>
      </c>
      <c r="FT238" s="465">
        <f t="shared" si="104"/>
        <v>44853</v>
      </c>
      <c r="FU238" s="465">
        <f t="shared" si="104"/>
        <v>44846</v>
      </c>
      <c r="FV238" s="465">
        <f t="shared" si="104"/>
        <v>45085</v>
      </c>
      <c r="FW238" s="465">
        <f t="shared" si="104"/>
        <v>45076</v>
      </c>
      <c r="FX238" s="465">
        <f t="shared" si="104"/>
        <v>45127</v>
      </c>
      <c r="FY238" s="465">
        <f t="shared" si="104"/>
        <v>45120</v>
      </c>
      <c r="FZ238" s="465">
        <f t="shared" si="104"/>
        <v>45113</v>
      </c>
      <c r="GA238" s="465">
        <f t="shared" si="104"/>
        <v>45105</v>
      </c>
      <c r="GB238" s="465">
        <f t="shared" si="104"/>
        <v>45099</v>
      </c>
      <c r="GC238" s="465">
        <f t="shared" si="104"/>
        <v>45092</v>
      </c>
      <c r="GD238" s="465">
        <f t="shared" si="104"/>
        <v>44803</v>
      </c>
      <c r="GE238" s="465">
        <f t="shared" si="104"/>
        <v>44797</v>
      </c>
      <c r="GF238" s="465">
        <f t="shared" si="104"/>
        <v>44790</v>
      </c>
      <c r="GG238" s="465">
        <f t="shared" si="104"/>
        <v>44783</v>
      </c>
      <c r="GH238" s="465">
        <f t="shared" si="104"/>
        <v>44776</v>
      </c>
      <c r="GI238" s="465">
        <f t="shared" si="104"/>
        <v>44769</v>
      </c>
      <c r="GJ238" s="465">
        <f t="shared" si="104"/>
        <v>44762</v>
      </c>
      <c r="GK238" s="465">
        <f t="shared" si="104"/>
        <v>44755</v>
      </c>
      <c r="GL238" s="465">
        <f t="shared" si="104"/>
        <v>44748</v>
      </c>
      <c r="GM238" s="465">
        <f t="shared" si="104"/>
        <v>44741</v>
      </c>
      <c r="GN238" s="465">
        <f t="shared" si="104"/>
        <v>44733</v>
      </c>
      <c r="GO238" s="465">
        <f t="shared" si="104"/>
        <v>44727</v>
      </c>
      <c r="GP238" s="465">
        <f t="shared" si="104"/>
        <v>44720</v>
      </c>
      <c r="GQ238" s="465">
        <f t="shared" si="104"/>
        <v>44713</v>
      </c>
      <c r="GR238" s="465">
        <f t="shared" si="104"/>
        <v>44706</v>
      </c>
      <c r="GS238" s="465">
        <f t="shared" si="104"/>
        <v>44699</v>
      </c>
      <c r="GT238" s="465">
        <f t="shared" si="104"/>
        <v>44690</v>
      </c>
      <c r="GU238" s="465">
        <f t="shared" si="104"/>
        <v>44687</v>
      </c>
      <c r="GV238" s="465">
        <f t="shared" si="104"/>
        <v>44685</v>
      </c>
      <c r="GW238" s="465">
        <f t="shared" si="104"/>
        <v>44678</v>
      </c>
      <c r="GX238" s="465">
        <f t="shared" si="104"/>
        <v>44670</v>
      </c>
      <c r="GY238" s="465">
        <f t="shared" si="104"/>
        <v>44663</v>
      </c>
      <c r="GZ238" s="465">
        <f t="shared" si="104"/>
        <v>44662</v>
      </c>
      <c r="HA238" s="465">
        <f t="shared" si="104"/>
        <v>44659</v>
      </c>
      <c r="HB238" s="465">
        <f t="shared" si="104"/>
        <v>44657</v>
      </c>
      <c r="HC238" s="465">
        <f t="shared" si="104"/>
        <v>44656</v>
      </c>
      <c r="HD238" s="465">
        <f t="shared" si="104"/>
        <v>44655</v>
      </c>
      <c r="HE238" s="465">
        <f t="shared" si="104"/>
        <v>44652</v>
      </c>
      <c r="HF238" s="465">
        <f t="shared" si="104"/>
        <v>44650</v>
      </c>
      <c r="HG238" s="465">
        <f t="shared" si="104"/>
        <v>44649</v>
      </c>
      <c r="HH238" s="465">
        <f t="shared" si="104"/>
        <v>44648</v>
      </c>
      <c r="HI238" s="465">
        <f t="shared" si="104"/>
        <v>44645</v>
      </c>
      <c r="HJ238" s="465">
        <f t="shared" si="104"/>
        <v>44644</v>
      </c>
      <c r="HK238" s="465">
        <f t="shared" si="104"/>
        <v>44642</v>
      </c>
      <c r="HL238" s="465">
        <f t="shared" si="104"/>
        <v>44641</v>
      </c>
      <c r="HM238" s="465">
        <f t="shared" si="104"/>
        <v>44638</v>
      </c>
      <c r="HN238" s="465">
        <f t="shared" si="104"/>
        <v>44637</v>
      </c>
      <c r="HO238" s="465">
        <f t="shared" si="104"/>
        <v>44636</v>
      </c>
      <c r="HP238" s="468" t="s">
        <v>113</v>
      </c>
      <c r="HQ238" s="553" t="s">
        <v>223</v>
      </c>
    </row>
    <row r="239" spans="2:225">
      <c r="B239" s="1129" t="s">
        <v>16</v>
      </c>
      <c r="C239" s="730" t="s">
        <v>222</v>
      </c>
      <c r="D239" s="481">
        <v>1.9E-2</v>
      </c>
      <c r="E239" s="481">
        <v>1.9E-2</v>
      </c>
      <c r="F239" s="481">
        <v>1.9E-2</v>
      </c>
      <c r="G239" s="481">
        <v>1.9E-2</v>
      </c>
      <c r="H239" s="481">
        <v>1.9E-2</v>
      </c>
      <c r="I239" s="481">
        <v>1.9E-2</v>
      </c>
      <c r="J239" s="481">
        <v>1.9E-2</v>
      </c>
      <c r="K239" s="481">
        <v>1.9E-2</v>
      </c>
      <c r="L239" s="481">
        <v>1.9E-2</v>
      </c>
      <c r="M239" s="481">
        <v>1.9E-2</v>
      </c>
      <c r="N239" s="481">
        <v>1.9E-2</v>
      </c>
      <c r="O239" s="481">
        <v>1.9E-2</v>
      </c>
      <c r="P239" s="481">
        <v>1.9E-2</v>
      </c>
      <c r="Q239" s="481">
        <v>1.9E-2</v>
      </c>
      <c r="R239" s="481">
        <v>1.9E-2</v>
      </c>
      <c r="S239" s="481">
        <v>1.9E-2</v>
      </c>
      <c r="T239" s="481">
        <v>1.9E-2</v>
      </c>
      <c r="U239" s="481">
        <v>1.9E-2</v>
      </c>
      <c r="V239" s="481">
        <v>1.9000000000000003E-2</v>
      </c>
      <c r="W239" s="481">
        <v>1.9000000000000003E-2</v>
      </c>
      <c r="X239" s="481">
        <v>1.9000000000000003E-2</v>
      </c>
      <c r="Y239" s="481">
        <v>1.9000000000000003E-2</v>
      </c>
      <c r="Z239" s="480">
        <v>1.9000000000000003E-2</v>
      </c>
      <c r="AA239" s="481">
        <v>2.9000000000000001E-2</v>
      </c>
      <c r="AB239" s="481">
        <v>2.9000000000000001E-2</v>
      </c>
      <c r="AC239" s="481">
        <v>2.9000000000000001E-2</v>
      </c>
      <c r="AD239" s="481">
        <v>2.9000000000000001E-2</v>
      </c>
      <c r="AE239" s="481">
        <v>2.9000000000000001E-2</v>
      </c>
      <c r="AF239" s="480">
        <v>2.9000000000000001E-2</v>
      </c>
      <c r="AG239" s="481">
        <v>3.4000000000000002E-2</v>
      </c>
      <c r="AH239" s="481">
        <v>3.4000000000000002E-2</v>
      </c>
      <c r="AI239" s="481">
        <v>3.4000000000000002E-2</v>
      </c>
      <c r="AJ239" s="481">
        <v>3.4000000000000002E-2</v>
      </c>
      <c r="AK239" s="480">
        <v>3.4000000000000002E-2</v>
      </c>
      <c r="AL239" s="482">
        <v>3.5000000000000003E-2</v>
      </c>
      <c r="AM239" s="481">
        <v>3.5000000000000003E-2</v>
      </c>
      <c r="AN239" s="481">
        <v>3.5000000000000003E-2</v>
      </c>
      <c r="AO239" s="481">
        <v>3.5000000000000003E-2</v>
      </c>
      <c r="AP239" s="481">
        <v>3.5000000000000003E-2</v>
      </c>
      <c r="AQ239" s="481">
        <v>3.5000000000000003E-2</v>
      </c>
      <c r="AR239" s="481">
        <v>3.5000000000000003E-2</v>
      </c>
      <c r="AS239" s="481">
        <v>3.5000000000000003E-2</v>
      </c>
      <c r="AT239" s="481">
        <v>3.5000000000000003E-2</v>
      </c>
      <c r="AU239" s="481">
        <v>3.5000000000000003E-2</v>
      </c>
      <c r="AV239" s="482">
        <v>3.5000000000000003E-2</v>
      </c>
      <c r="AW239" s="482">
        <v>3.5000000000000003E-2</v>
      </c>
      <c r="AX239" s="482">
        <v>3.5000000000000003E-2</v>
      </c>
      <c r="AY239" s="482">
        <v>3.5000000000000003E-2</v>
      </c>
      <c r="AZ239" s="482">
        <v>3.5000000000000003E-2</v>
      </c>
      <c r="BA239" s="482">
        <v>3.5000000000000003E-2</v>
      </c>
      <c r="BB239" s="482">
        <v>3.5000000000000003E-2</v>
      </c>
      <c r="BC239" s="482">
        <v>3.5000000000000003E-2</v>
      </c>
      <c r="BD239" s="482">
        <v>3.5000000000000003E-2</v>
      </c>
      <c r="BE239" s="482">
        <v>3.5000000000000003E-2</v>
      </c>
      <c r="BF239" s="482">
        <v>3.5000000000000003E-2</v>
      </c>
      <c r="BG239" s="482">
        <v>3.5000000000000003E-2</v>
      </c>
      <c r="BH239" s="482">
        <v>3.5000000000000003E-2</v>
      </c>
      <c r="BI239" s="482">
        <v>3.5000000000000003E-2</v>
      </c>
      <c r="BJ239" s="482">
        <v>3.5000000000000003E-2</v>
      </c>
      <c r="BK239" s="482">
        <v>3.5000000000000003E-2</v>
      </c>
      <c r="BL239" s="482">
        <v>3.5000000000000003E-2</v>
      </c>
      <c r="BM239" s="482">
        <v>3.5000000000000003E-2</v>
      </c>
      <c r="BN239" s="482">
        <v>3.5000000000000003E-2</v>
      </c>
      <c r="BO239" s="482">
        <v>3.5000000000000003E-2</v>
      </c>
      <c r="BP239" s="482">
        <v>3.5000000000000003E-2</v>
      </c>
      <c r="BQ239" s="482">
        <v>3.5000000000000003E-2</v>
      </c>
      <c r="BR239" s="482">
        <v>3.5000000000000003E-2</v>
      </c>
      <c r="BS239" s="482">
        <v>3.5000000000000003E-2</v>
      </c>
      <c r="BT239" s="482">
        <v>3.5000000000000003E-2</v>
      </c>
      <c r="BU239" s="482">
        <v>3.5000000000000003E-2</v>
      </c>
      <c r="BV239" s="482">
        <v>3.5000000000000003E-2</v>
      </c>
      <c r="BW239" s="482">
        <v>3.5000000000000003E-2</v>
      </c>
      <c r="BX239" s="482">
        <v>3.5000000000000003E-2</v>
      </c>
      <c r="BY239" s="482">
        <v>3.5000000000000003E-2</v>
      </c>
      <c r="BZ239" s="482">
        <v>3.5000000000000003E-2</v>
      </c>
      <c r="CA239" s="482">
        <v>3.6999999999999998E-2</v>
      </c>
      <c r="CB239" s="482">
        <v>3.6999999999999998E-2</v>
      </c>
      <c r="CC239" s="482">
        <v>3.6999999999999998E-2</v>
      </c>
      <c r="CD239" s="482">
        <v>3.6999999999999998E-2</v>
      </c>
      <c r="CE239" s="482">
        <v>3.9E-2</v>
      </c>
      <c r="CF239" s="482">
        <v>3.9E-2</v>
      </c>
      <c r="CG239" s="482">
        <v>3.9E-2</v>
      </c>
      <c r="CH239" s="482">
        <v>3.9E-2</v>
      </c>
      <c r="CI239" s="482">
        <v>3.9E-2</v>
      </c>
      <c r="CJ239" s="482">
        <v>3.9E-2</v>
      </c>
      <c r="CK239" s="482">
        <v>3.9E-2</v>
      </c>
      <c r="CL239" s="482">
        <v>3.9E-2</v>
      </c>
      <c r="CM239" s="482">
        <v>3.9E-2</v>
      </c>
      <c r="CN239" s="482">
        <v>3.9E-2</v>
      </c>
      <c r="CO239" s="482">
        <v>3.9E-2</v>
      </c>
      <c r="CP239" s="482">
        <v>3.9E-2</v>
      </c>
      <c r="CQ239" s="482">
        <v>3.9E-2</v>
      </c>
      <c r="CR239" s="482">
        <v>3.9E-2</v>
      </c>
      <c r="CS239" s="482">
        <v>3.9E-2</v>
      </c>
      <c r="CT239" s="482">
        <v>3.9E-2</v>
      </c>
      <c r="CU239" s="482">
        <v>3.9E-2</v>
      </c>
      <c r="CV239" s="482">
        <v>3.9E-2</v>
      </c>
      <c r="CW239" s="482">
        <v>3.9E-2</v>
      </c>
      <c r="CX239" s="482">
        <v>3.9E-2</v>
      </c>
      <c r="CY239" s="482">
        <v>3.9E-2</v>
      </c>
      <c r="CZ239" s="482">
        <v>3.9E-2</v>
      </c>
      <c r="DA239" s="482">
        <v>3.9E-2</v>
      </c>
      <c r="DB239" s="482">
        <v>3.9E-2</v>
      </c>
      <c r="DC239" s="482">
        <v>3.9E-2</v>
      </c>
      <c r="DD239" s="482">
        <v>3.9E-2</v>
      </c>
      <c r="DE239" s="482">
        <v>3.9E-2</v>
      </c>
      <c r="DF239" s="482">
        <v>3.9E-2</v>
      </c>
      <c r="DG239" s="482">
        <v>3.9E-2</v>
      </c>
      <c r="DH239" s="482">
        <v>3.9E-2</v>
      </c>
      <c r="DI239" s="482">
        <v>3.9E-2</v>
      </c>
      <c r="DJ239" s="482">
        <v>3.9E-2</v>
      </c>
      <c r="DK239" s="482">
        <v>3.9E-2</v>
      </c>
      <c r="DL239" s="482">
        <v>3.9E-2</v>
      </c>
      <c r="DM239" s="482">
        <v>3.9E-2</v>
      </c>
      <c r="DN239" s="482">
        <v>3.9E-2</v>
      </c>
      <c r="DO239" s="482">
        <v>3.9E-2</v>
      </c>
      <c r="DP239" s="482">
        <v>3.9E-2</v>
      </c>
      <c r="DQ239" s="482">
        <v>3.9E-2</v>
      </c>
      <c r="DR239" s="482">
        <v>3.9E-2</v>
      </c>
      <c r="DS239" s="482">
        <v>3.9E-2</v>
      </c>
      <c r="DT239" s="482">
        <v>3.9E-2</v>
      </c>
      <c r="DU239" s="482">
        <v>3.9E-2</v>
      </c>
      <c r="DV239" s="482">
        <v>3.9E-2</v>
      </c>
      <c r="DW239" s="482">
        <v>3.9E-2</v>
      </c>
      <c r="DX239" s="482">
        <v>3.9E-2</v>
      </c>
      <c r="DY239" s="482">
        <v>3.9E-2</v>
      </c>
      <c r="DZ239" s="482">
        <v>3.9E-2</v>
      </c>
      <c r="EA239" s="482">
        <v>3.9E-2</v>
      </c>
      <c r="EB239" s="482">
        <v>3.9E-2</v>
      </c>
      <c r="EC239" s="482">
        <v>3.9E-2</v>
      </c>
      <c r="ED239" s="482">
        <v>3.9E-2</v>
      </c>
      <c r="EE239" s="482">
        <v>3.9E-2</v>
      </c>
      <c r="EF239" s="482">
        <v>3.9E-2</v>
      </c>
      <c r="EG239" s="482">
        <v>3.9E-2</v>
      </c>
      <c r="EH239" s="482">
        <v>3.9E-2</v>
      </c>
      <c r="EI239" s="482">
        <v>0.04</v>
      </c>
      <c r="EJ239" s="482">
        <v>0.04</v>
      </c>
      <c r="EK239" s="482">
        <v>0.04</v>
      </c>
      <c r="EL239" s="482">
        <v>0.04</v>
      </c>
      <c r="EM239" s="482">
        <v>0.04</v>
      </c>
      <c r="EN239" s="482">
        <v>0.04</v>
      </c>
      <c r="EO239" s="482">
        <v>0.04</v>
      </c>
      <c r="EP239" s="482">
        <v>0.04</v>
      </c>
      <c r="EQ239" s="482">
        <v>0.04</v>
      </c>
      <c r="ER239" s="482">
        <v>0.04</v>
      </c>
      <c r="ES239" s="482">
        <v>0.04</v>
      </c>
      <c r="ET239" s="482">
        <v>0.04</v>
      </c>
      <c r="EU239" s="482">
        <v>0.04</v>
      </c>
      <c r="EV239" s="482">
        <v>0.04</v>
      </c>
      <c r="EW239" s="482">
        <v>0.04</v>
      </c>
      <c r="EX239" s="482">
        <v>0.04</v>
      </c>
      <c r="EY239" s="482">
        <v>0.04</v>
      </c>
      <c r="EZ239" s="482">
        <v>0.04</v>
      </c>
      <c r="FA239" s="482">
        <v>0.04</v>
      </c>
      <c r="FB239" s="482">
        <v>0.04</v>
      </c>
      <c r="FC239" s="482">
        <v>0.04</v>
      </c>
      <c r="FD239" s="482">
        <v>0.04</v>
      </c>
      <c r="FE239" s="482">
        <v>0.04</v>
      </c>
      <c r="FF239" s="482">
        <v>0.04</v>
      </c>
      <c r="FG239" s="482">
        <v>0.04</v>
      </c>
      <c r="FH239" s="482">
        <v>0.04</v>
      </c>
      <c r="FI239" s="482">
        <v>0.04</v>
      </c>
      <c r="FJ239" s="482">
        <v>0.04</v>
      </c>
      <c r="FK239" s="482">
        <v>0.04</v>
      </c>
      <c r="FL239" s="482">
        <v>0.04</v>
      </c>
      <c r="FM239" s="482">
        <v>0.04</v>
      </c>
      <c r="FN239" s="482">
        <v>0.04</v>
      </c>
      <c r="FO239" s="482">
        <v>0.04</v>
      </c>
      <c r="FP239" s="482">
        <v>0.04</v>
      </c>
      <c r="FQ239" s="482">
        <v>0.04</v>
      </c>
      <c r="FR239" s="482">
        <v>0.04</v>
      </c>
      <c r="FS239" s="482">
        <v>0.04</v>
      </c>
      <c r="FT239" s="482">
        <v>0.04</v>
      </c>
      <c r="FU239" s="482">
        <v>0.04</v>
      </c>
      <c r="FV239" s="482">
        <v>0.04</v>
      </c>
      <c r="FW239" s="482">
        <v>0.04</v>
      </c>
      <c r="FX239" s="482">
        <v>3.9E-2</v>
      </c>
      <c r="FY239" s="482">
        <v>0.04</v>
      </c>
      <c r="FZ239" s="482">
        <v>0.04</v>
      </c>
      <c r="GA239" s="482">
        <v>0.04</v>
      </c>
      <c r="GB239" s="482">
        <v>0.04</v>
      </c>
      <c r="GC239" s="482">
        <v>0.04</v>
      </c>
      <c r="GD239" s="477">
        <v>3.6999999999999998E-2</v>
      </c>
      <c r="GE239" s="477">
        <v>3.6999999999999998E-2</v>
      </c>
      <c r="GF239" s="477">
        <v>3.6999999999999998E-2</v>
      </c>
      <c r="GG239" s="477">
        <v>3.6999999999999998E-2</v>
      </c>
      <c r="GH239" s="477">
        <v>3.6999999999999998E-2</v>
      </c>
      <c r="GI239" s="477">
        <v>3.6999999999999998E-2</v>
      </c>
      <c r="GJ239" s="477">
        <v>3.6999999999999998E-2</v>
      </c>
      <c r="GK239" s="477">
        <v>3.6999999999999998E-2</v>
      </c>
      <c r="GL239" s="477">
        <v>3.6999999999999998E-2</v>
      </c>
      <c r="GM239" s="477">
        <v>3.6999999999999998E-2</v>
      </c>
      <c r="GN239" s="477">
        <v>3.6999999999999998E-2</v>
      </c>
      <c r="GO239" s="477">
        <v>3.6999999999999998E-2</v>
      </c>
      <c r="GP239" s="477">
        <v>3.6999999999999998E-2</v>
      </c>
      <c r="GQ239" s="477">
        <v>3.6999999999999998E-2</v>
      </c>
      <c r="GR239" s="477">
        <v>3.6999999999999998E-2</v>
      </c>
      <c r="GS239" s="477">
        <v>3.6999999999999998E-2</v>
      </c>
      <c r="GT239" s="477">
        <v>3.6999999999999998E-2</v>
      </c>
      <c r="GU239" s="477">
        <v>3.6999999999999998E-2</v>
      </c>
      <c r="GV239" s="477">
        <v>3.6999999999999998E-2</v>
      </c>
      <c r="GW239" s="477">
        <v>3.6999999999999998E-2</v>
      </c>
      <c r="GX239" s="477">
        <v>3.6999999999999998E-2</v>
      </c>
      <c r="GY239" s="477">
        <v>3.6999999999999998E-2</v>
      </c>
      <c r="GZ239" s="477">
        <v>3.6999999999999998E-2</v>
      </c>
      <c r="HA239" s="477">
        <v>3.6999999999999998E-2</v>
      </c>
      <c r="HB239" s="477">
        <v>3.6999999999999998E-2</v>
      </c>
      <c r="HC239" s="477">
        <v>3.6999999999999998E-2</v>
      </c>
      <c r="HD239" s="477">
        <v>3.6999999999999998E-2</v>
      </c>
      <c r="HE239" s="477">
        <v>3.6999999999999998E-2</v>
      </c>
      <c r="HF239" s="477">
        <v>3.6999999999999998E-2</v>
      </c>
      <c r="HG239" s="477">
        <v>3.6999999999999998E-2</v>
      </c>
      <c r="HH239" s="477">
        <v>3.6999999999999998E-2</v>
      </c>
      <c r="HI239" s="477">
        <v>3.6999999999999998E-2</v>
      </c>
      <c r="HJ239" s="477">
        <v>3.6999999999999998E-2</v>
      </c>
      <c r="HK239" s="477">
        <v>3.6999999999999998E-2</v>
      </c>
      <c r="HL239" s="477">
        <v>3.6999999999999998E-2</v>
      </c>
      <c r="HM239" s="477">
        <v>3.6999999999999998E-2</v>
      </c>
      <c r="HN239" s="477">
        <v>3.6999999999999998E-2</v>
      </c>
      <c r="HO239" s="477">
        <v>3.6999999999999998E-2</v>
      </c>
      <c r="HP239" s="473">
        <f t="shared" ref="HP239:HP246" si="105">D239-E239</f>
        <v>0</v>
      </c>
      <c r="HQ239" s="525"/>
    </row>
    <row r="240" spans="2:225">
      <c r="B240" s="1129"/>
      <c r="C240" s="730" t="s">
        <v>221</v>
      </c>
      <c r="D240" s="481">
        <v>1.95E-2</v>
      </c>
      <c r="E240" s="481">
        <v>1.95E-2</v>
      </c>
      <c r="F240" s="481">
        <v>1.95E-2</v>
      </c>
      <c r="G240" s="481">
        <v>1.95E-2</v>
      </c>
      <c r="H240" s="481">
        <v>1.95E-2</v>
      </c>
      <c r="I240" s="481">
        <v>1.95E-2</v>
      </c>
      <c r="J240" s="481">
        <v>1.95E-2</v>
      </c>
      <c r="K240" s="481">
        <v>1.95E-2</v>
      </c>
      <c r="L240" s="481">
        <v>1.95E-2</v>
      </c>
      <c r="M240" s="481">
        <v>1.95E-2</v>
      </c>
      <c r="N240" s="481">
        <v>1.95E-2</v>
      </c>
      <c r="O240" s="481">
        <v>1.95E-2</v>
      </c>
      <c r="P240" s="481">
        <v>1.95E-2</v>
      </c>
      <c r="Q240" s="481">
        <v>1.95E-2</v>
      </c>
      <c r="R240" s="481">
        <v>1.95E-2</v>
      </c>
      <c r="S240" s="481">
        <v>1.95E-2</v>
      </c>
      <c r="T240" s="481">
        <v>1.95E-2</v>
      </c>
      <c r="U240" s="481">
        <v>1.95E-2</v>
      </c>
      <c r="V240" s="481">
        <v>1.9499999999999997E-2</v>
      </c>
      <c r="W240" s="481">
        <v>1.9499999999999997E-2</v>
      </c>
      <c r="X240" s="481">
        <v>1.9499999999999997E-2</v>
      </c>
      <c r="Y240" s="481">
        <v>1.9499999999999997E-2</v>
      </c>
      <c r="Z240" s="480">
        <v>1.9499999999999997E-2</v>
      </c>
      <c r="AA240" s="481">
        <v>2.9499999999999998E-2</v>
      </c>
      <c r="AB240" s="481">
        <v>2.9499999999999998E-2</v>
      </c>
      <c r="AC240" s="481">
        <v>2.9499999999999998E-2</v>
      </c>
      <c r="AD240" s="481">
        <v>2.9499999999999998E-2</v>
      </c>
      <c r="AE240" s="481">
        <v>2.9499999999999998E-2</v>
      </c>
      <c r="AF240" s="480">
        <v>2.9499999999999998E-2</v>
      </c>
      <c r="AG240" s="481">
        <v>3.4500000000000003E-2</v>
      </c>
      <c r="AH240" s="481">
        <v>3.4500000000000003E-2</v>
      </c>
      <c r="AI240" s="481">
        <v>3.4500000000000003E-2</v>
      </c>
      <c r="AJ240" s="481">
        <v>3.4500000000000003E-2</v>
      </c>
      <c r="AK240" s="480">
        <v>3.4500000000000003E-2</v>
      </c>
      <c r="AL240" s="482">
        <v>3.5499999999999997E-2</v>
      </c>
      <c r="AM240" s="481">
        <v>3.5499999999999997E-2</v>
      </c>
      <c r="AN240" s="481">
        <v>3.5499999999999997E-2</v>
      </c>
      <c r="AO240" s="481">
        <v>3.5499999999999997E-2</v>
      </c>
      <c r="AP240" s="481">
        <v>3.5499999999999997E-2</v>
      </c>
      <c r="AQ240" s="481">
        <v>3.5499999999999997E-2</v>
      </c>
      <c r="AR240" s="481">
        <v>3.5499999999999997E-2</v>
      </c>
      <c r="AS240" s="481">
        <v>3.5499999999999997E-2</v>
      </c>
      <c r="AT240" s="481">
        <v>3.5499999999999997E-2</v>
      </c>
      <c r="AU240" s="481">
        <v>3.5499999999999997E-2</v>
      </c>
      <c r="AV240" s="482">
        <v>3.5499999999999997E-2</v>
      </c>
      <c r="AW240" s="482">
        <v>3.5499999999999997E-2</v>
      </c>
      <c r="AX240" s="482">
        <v>3.5499999999999997E-2</v>
      </c>
      <c r="AY240" s="482">
        <v>3.5499999999999997E-2</v>
      </c>
      <c r="AZ240" s="482">
        <v>3.5499999999999997E-2</v>
      </c>
      <c r="BA240" s="482">
        <v>3.5499999999999997E-2</v>
      </c>
      <c r="BB240" s="482">
        <v>3.5499999999999997E-2</v>
      </c>
      <c r="BC240" s="482">
        <v>3.5499999999999997E-2</v>
      </c>
      <c r="BD240" s="482">
        <v>3.5499999999999997E-2</v>
      </c>
      <c r="BE240" s="482">
        <v>3.5499999999999997E-2</v>
      </c>
      <c r="BF240" s="482">
        <v>3.5499999999999997E-2</v>
      </c>
      <c r="BG240" s="482">
        <v>3.5499999999999997E-2</v>
      </c>
      <c r="BH240" s="482">
        <v>3.5499999999999997E-2</v>
      </c>
      <c r="BI240" s="482">
        <v>3.5499999999999997E-2</v>
      </c>
      <c r="BJ240" s="482">
        <v>3.5499999999999997E-2</v>
      </c>
      <c r="BK240" s="482">
        <v>3.5499999999999997E-2</v>
      </c>
      <c r="BL240" s="482">
        <v>3.5499999999999997E-2</v>
      </c>
      <c r="BM240" s="482">
        <v>3.5499999999999997E-2</v>
      </c>
      <c r="BN240" s="482">
        <v>3.5499999999999997E-2</v>
      </c>
      <c r="BO240" s="482">
        <v>3.5499999999999997E-2</v>
      </c>
      <c r="BP240" s="482">
        <v>3.5499999999999997E-2</v>
      </c>
      <c r="BQ240" s="482">
        <v>3.5499999999999997E-2</v>
      </c>
      <c r="BR240" s="482">
        <v>3.5499999999999997E-2</v>
      </c>
      <c r="BS240" s="482">
        <v>3.5499999999999997E-2</v>
      </c>
      <c r="BT240" s="482">
        <v>3.5499999999999997E-2</v>
      </c>
      <c r="BU240" s="482">
        <v>3.5499999999999997E-2</v>
      </c>
      <c r="BV240" s="482">
        <v>3.5499999999999997E-2</v>
      </c>
      <c r="BW240" s="482">
        <v>3.5499999999999997E-2</v>
      </c>
      <c r="BX240" s="482">
        <v>3.5499999999999997E-2</v>
      </c>
      <c r="BY240" s="482">
        <v>3.5499999999999997E-2</v>
      </c>
      <c r="BZ240" s="482">
        <v>3.5499999999999997E-2</v>
      </c>
      <c r="CA240" s="482">
        <v>3.7499999999999999E-2</v>
      </c>
      <c r="CB240" s="482">
        <v>3.7499999999999999E-2</v>
      </c>
      <c r="CC240" s="482">
        <v>3.7499999999999999E-2</v>
      </c>
      <c r="CD240" s="482">
        <v>3.7499999999999999E-2</v>
      </c>
      <c r="CE240" s="482">
        <v>3.9E-2</v>
      </c>
      <c r="CF240" s="482">
        <v>3.9E-2</v>
      </c>
      <c r="CG240" s="482">
        <v>3.9E-2</v>
      </c>
      <c r="CH240" s="482">
        <v>3.9E-2</v>
      </c>
      <c r="CI240" s="482">
        <v>3.9E-2</v>
      </c>
      <c r="CJ240" s="482">
        <v>3.9E-2</v>
      </c>
      <c r="CK240" s="482">
        <v>3.9E-2</v>
      </c>
      <c r="CL240" s="482">
        <v>3.9E-2</v>
      </c>
      <c r="CM240" s="482">
        <v>3.9E-2</v>
      </c>
      <c r="CN240" s="482">
        <v>3.9E-2</v>
      </c>
      <c r="CO240" s="482">
        <v>3.9E-2</v>
      </c>
      <c r="CP240" s="482">
        <v>3.9E-2</v>
      </c>
      <c r="CQ240" s="482">
        <v>3.9E-2</v>
      </c>
      <c r="CR240" s="482">
        <v>3.9E-2</v>
      </c>
      <c r="CS240" s="482">
        <v>3.9E-2</v>
      </c>
      <c r="CT240" s="482">
        <v>3.9E-2</v>
      </c>
      <c r="CU240" s="482">
        <v>3.9E-2</v>
      </c>
      <c r="CV240" s="482">
        <v>3.9E-2</v>
      </c>
      <c r="CW240" s="482">
        <v>3.9E-2</v>
      </c>
      <c r="CX240" s="482">
        <v>3.9E-2</v>
      </c>
      <c r="CY240" s="482">
        <v>3.9E-2</v>
      </c>
      <c r="CZ240" s="482">
        <v>3.9E-2</v>
      </c>
      <c r="DA240" s="482">
        <v>3.9E-2</v>
      </c>
      <c r="DB240" s="482">
        <v>3.9E-2</v>
      </c>
      <c r="DC240" s="482">
        <v>3.9E-2</v>
      </c>
      <c r="DD240" s="482">
        <v>3.9E-2</v>
      </c>
      <c r="DE240" s="482">
        <v>3.9E-2</v>
      </c>
      <c r="DF240" s="482">
        <v>3.9E-2</v>
      </c>
      <c r="DG240" s="482">
        <v>3.9E-2</v>
      </c>
      <c r="DH240" s="482">
        <v>3.9E-2</v>
      </c>
      <c r="DI240" s="482">
        <v>3.9E-2</v>
      </c>
      <c r="DJ240" s="482">
        <v>3.9E-2</v>
      </c>
      <c r="DK240" s="482">
        <v>3.9E-2</v>
      </c>
      <c r="DL240" s="482">
        <v>3.9E-2</v>
      </c>
      <c r="DM240" s="482">
        <v>3.9E-2</v>
      </c>
      <c r="DN240" s="482">
        <v>3.9E-2</v>
      </c>
      <c r="DO240" s="482">
        <v>3.9E-2</v>
      </c>
      <c r="DP240" s="482">
        <v>3.9E-2</v>
      </c>
      <c r="DQ240" s="482">
        <v>3.9E-2</v>
      </c>
      <c r="DR240" s="482">
        <v>3.9E-2</v>
      </c>
      <c r="DS240" s="482">
        <v>3.9E-2</v>
      </c>
      <c r="DT240" s="482">
        <v>3.9E-2</v>
      </c>
      <c r="DU240" s="482">
        <v>3.9E-2</v>
      </c>
      <c r="DV240" s="482">
        <v>3.9E-2</v>
      </c>
      <c r="DW240" s="482">
        <v>3.9E-2</v>
      </c>
      <c r="DX240" s="482">
        <v>3.9E-2</v>
      </c>
      <c r="DY240" s="482">
        <v>3.9E-2</v>
      </c>
      <c r="DZ240" s="482">
        <v>3.9E-2</v>
      </c>
      <c r="EA240" s="482">
        <v>3.9E-2</v>
      </c>
      <c r="EB240" s="482">
        <v>3.9E-2</v>
      </c>
      <c r="EC240" s="482">
        <v>3.9E-2</v>
      </c>
      <c r="ED240" s="482">
        <v>3.9E-2</v>
      </c>
      <c r="EE240" s="482">
        <v>3.9E-2</v>
      </c>
      <c r="EF240" s="482">
        <v>3.9E-2</v>
      </c>
      <c r="EG240" s="482">
        <v>3.9E-2</v>
      </c>
      <c r="EH240" s="482">
        <v>3.9E-2</v>
      </c>
      <c r="EI240" s="482">
        <v>0.04</v>
      </c>
      <c r="EJ240" s="482">
        <v>0.04</v>
      </c>
      <c r="EK240" s="482">
        <v>0.04</v>
      </c>
      <c r="EL240" s="482">
        <v>0.04</v>
      </c>
      <c r="EM240" s="482">
        <v>0.04</v>
      </c>
      <c r="EN240" s="482">
        <v>0.04</v>
      </c>
      <c r="EO240" s="482">
        <v>0.04</v>
      </c>
      <c r="EP240" s="482">
        <v>0.04</v>
      </c>
      <c r="EQ240" s="482">
        <v>0.04</v>
      </c>
      <c r="ER240" s="482">
        <v>0.04</v>
      </c>
      <c r="ES240" s="482">
        <v>0.04</v>
      </c>
      <c r="ET240" s="482">
        <v>0.04</v>
      </c>
      <c r="EU240" s="482">
        <v>0.04</v>
      </c>
      <c r="EV240" s="482">
        <v>0.04</v>
      </c>
      <c r="EW240" s="482">
        <v>0.04</v>
      </c>
      <c r="EX240" s="482">
        <v>0.04</v>
      </c>
      <c r="EY240" s="482">
        <v>0.04</v>
      </c>
      <c r="EZ240" s="482">
        <v>0.04</v>
      </c>
      <c r="FA240" s="482">
        <v>0.04</v>
      </c>
      <c r="FB240" s="482">
        <v>0.04</v>
      </c>
      <c r="FC240" s="482">
        <v>0.04</v>
      </c>
      <c r="FD240" s="482">
        <v>0.04</v>
      </c>
      <c r="FE240" s="482">
        <v>0.04</v>
      </c>
      <c r="FF240" s="482">
        <v>0.04</v>
      </c>
      <c r="FG240" s="482">
        <v>0.04</v>
      </c>
      <c r="FH240" s="482">
        <v>0.04</v>
      </c>
      <c r="FI240" s="482">
        <v>0.04</v>
      </c>
      <c r="FJ240" s="482">
        <v>0.04</v>
      </c>
      <c r="FK240" s="482">
        <v>0.04</v>
      </c>
      <c r="FL240" s="482">
        <v>0.04</v>
      </c>
      <c r="FM240" s="482">
        <v>0.04</v>
      </c>
      <c r="FN240" s="482">
        <v>0.04</v>
      </c>
      <c r="FO240" s="482">
        <v>0.04</v>
      </c>
      <c r="FP240" s="482">
        <v>0.04</v>
      </c>
      <c r="FQ240" s="482">
        <v>0.04</v>
      </c>
      <c r="FR240" s="482">
        <v>0.04</v>
      </c>
      <c r="FS240" s="482">
        <v>0.04</v>
      </c>
      <c r="FT240" s="482">
        <v>0.04</v>
      </c>
      <c r="FU240" s="482">
        <v>0.04</v>
      </c>
      <c r="FV240" s="482">
        <v>0.04</v>
      </c>
      <c r="FW240" s="482">
        <v>0.04</v>
      </c>
      <c r="FX240" s="482">
        <v>3.9E-2</v>
      </c>
      <c r="FY240" s="482">
        <v>0.04</v>
      </c>
      <c r="FZ240" s="482">
        <v>0.04</v>
      </c>
      <c r="GA240" s="482">
        <v>0.04</v>
      </c>
      <c r="GB240" s="482">
        <v>0.04</v>
      </c>
      <c r="GC240" s="482">
        <v>0.04</v>
      </c>
      <c r="GD240" s="477">
        <v>3.7499999999999999E-2</v>
      </c>
      <c r="GE240" s="477">
        <v>3.7499999999999999E-2</v>
      </c>
      <c r="GF240" s="477">
        <v>3.7499999999999999E-2</v>
      </c>
      <c r="GG240" s="477">
        <v>3.7499999999999999E-2</v>
      </c>
      <c r="GH240" s="477">
        <v>3.7499999999999999E-2</v>
      </c>
      <c r="GI240" s="477">
        <v>3.7499999999999999E-2</v>
      </c>
      <c r="GJ240" s="477">
        <v>3.7499999999999999E-2</v>
      </c>
      <c r="GK240" s="477">
        <v>3.7499999999999999E-2</v>
      </c>
      <c r="GL240" s="477">
        <v>3.7499999999999999E-2</v>
      </c>
      <c r="GM240" s="477">
        <v>3.7499999999999999E-2</v>
      </c>
      <c r="GN240" s="477">
        <v>3.7499999999999999E-2</v>
      </c>
      <c r="GO240" s="477">
        <v>3.7499999999999999E-2</v>
      </c>
      <c r="GP240" s="477">
        <v>3.7499999999999999E-2</v>
      </c>
      <c r="GQ240" s="477">
        <v>3.7499999999999999E-2</v>
      </c>
      <c r="GR240" s="477">
        <v>3.7499999999999999E-2</v>
      </c>
      <c r="GS240" s="477">
        <v>3.7499999999999999E-2</v>
      </c>
      <c r="GT240" s="477">
        <v>3.7499999999999999E-2</v>
      </c>
      <c r="GU240" s="477">
        <v>3.7499999999999999E-2</v>
      </c>
      <c r="GV240" s="477">
        <v>3.7499999999999999E-2</v>
      </c>
      <c r="GW240" s="477">
        <v>3.7499999999999999E-2</v>
      </c>
      <c r="GX240" s="477">
        <v>3.7499999999999999E-2</v>
      </c>
      <c r="GY240" s="477">
        <v>3.7499999999999999E-2</v>
      </c>
      <c r="GZ240" s="477">
        <v>3.7499999999999999E-2</v>
      </c>
      <c r="HA240" s="477">
        <v>3.7499999999999999E-2</v>
      </c>
      <c r="HB240" s="477">
        <v>3.7499999999999999E-2</v>
      </c>
      <c r="HC240" s="477">
        <v>3.7499999999999999E-2</v>
      </c>
      <c r="HD240" s="477">
        <v>3.7499999999999999E-2</v>
      </c>
      <c r="HE240" s="477">
        <v>3.7499999999999999E-2</v>
      </c>
      <c r="HF240" s="477">
        <v>3.7499999999999999E-2</v>
      </c>
      <c r="HG240" s="477">
        <v>3.7499999999999999E-2</v>
      </c>
      <c r="HH240" s="477">
        <v>3.7499999999999999E-2</v>
      </c>
      <c r="HI240" s="477">
        <v>3.7499999999999999E-2</v>
      </c>
      <c r="HJ240" s="477">
        <v>3.7499999999999999E-2</v>
      </c>
      <c r="HK240" s="477">
        <v>3.7499999999999999E-2</v>
      </c>
      <c r="HL240" s="477">
        <v>3.7499999999999999E-2</v>
      </c>
      <c r="HM240" s="477">
        <v>3.7499999999999999E-2</v>
      </c>
      <c r="HN240" s="477">
        <v>3.7499999999999999E-2</v>
      </c>
      <c r="HO240" s="477">
        <v>3.7499999999999999E-2</v>
      </c>
      <c r="HP240" s="473">
        <f t="shared" si="105"/>
        <v>0</v>
      </c>
      <c r="HQ240" s="525"/>
    </row>
    <row r="241" spans="2:225">
      <c r="B241" s="1129"/>
      <c r="C241" s="730" t="s">
        <v>220</v>
      </c>
      <c r="D241" s="547">
        <v>0.02</v>
      </c>
      <c r="E241" s="547">
        <v>0.02</v>
      </c>
      <c r="F241" s="547">
        <v>0.02</v>
      </c>
      <c r="G241" s="547">
        <v>0.02</v>
      </c>
      <c r="H241" s="547">
        <v>0.02</v>
      </c>
      <c r="I241" s="547">
        <v>0.02</v>
      </c>
      <c r="J241" s="547">
        <v>0.02</v>
      </c>
      <c r="K241" s="547">
        <v>0.02</v>
      </c>
      <c r="L241" s="547">
        <v>0.02</v>
      </c>
      <c r="M241" s="547">
        <v>0.02</v>
      </c>
      <c r="N241" s="547">
        <v>0.02</v>
      </c>
      <c r="O241" s="547">
        <v>0.02</v>
      </c>
      <c r="P241" s="547">
        <v>0.02</v>
      </c>
      <c r="Q241" s="547">
        <v>0.02</v>
      </c>
      <c r="R241" s="547">
        <v>0.02</v>
      </c>
      <c r="S241" s="547">
        <v>0.02</v>
      </c>
      <c r="T241" s="547">
        <v>0.02</v>
      </c>
      <c r="U241" s="547">
        <v>0.02</v>
      </c>
      <c r="V241" s="547">
        <v>1.9999999999999997E-2</v>
      </c>
      <c r="W241" s="547">
        <v>1.9999999999999997E-2</v>
      </c>
      <c r="X241" s="547">
        <v>1.9999999999999997E-2</v>
      </c>
      <c r="Y241" s="547">
        <v>1.9999999999999997E-2</v>
      </c>
      <c r="Z241" s="546">
        <v>1.9999999999999997E-2</v>
      </c>
      <c r="AA241" s="547">
        <v>0.03</v>
      </c>
      <c r="AB241" s="547">
        <v>0.03</v>
      </c>
      <c r="AC241" s="547">
        <v>0.03</v>
      </c>
      <c r="AD241" s="547">
        <v>0.03</v>
      </c>
      <c r="AE241" s="547">
        <v>0.03</v>
      </c>
      <c r="AF241" s="546">
        <v>0.03</v>
      </c>
      <c r="AG241" s="481">
        <v>3.5000000000000003E-2</v>
      </c>
      <c r="AH241" s="481">
        <v>3.5000000000000003E-2</v>
      </c>
      <c r="AI241" s="481">
        <v>3.5000000000000003E-2</v>
      </c>
      <c r="AJ241" s="481">
        <v>3.5000000000000003E-2</v>
      </c>
      <c r="AK241" s="480">
        <v>3.5000000000000003E-2</v>
      </c>
      <c r="AL241" s="482">
        <v>3.5999999999999997E-2</v>
      </c>
      <c r="AM241" s="481">
        <v>3.5999999999999997E-2</v>
      </c>
      <c r="AN241" s="481">
        <v>3.5999999999999997E-2</v>
      </c>
      <c r="AO241" s="481">
        <v>3.5999999999999997E-2</v>
      </c>
      <c r="AP241" s="481">
        <v>3.5999999999999997E-2</v>
      </c>
      <c r="AQ241" s="481">
        <v>3.5999999999999997E-2</v>
      </c>
      <c r="AR241" s="481">
        <v>3.5999999999999997E-2</v>
      </c>
      <c r="AS241" s="481">
        <v>3.5999999999999997E-2</v>
      </c>
      <c r="AT241" s="481">
        <v>3.5999999999999997E-2</v>
      </c>
      <c r="AU241" s="481">
        <v>3.5999999999999997E-2</v>
      </c>
      <c r="AV241" s="482">
        <v>3.5999999999999997E-2</v>
      </c>
      <c r="AW241" s="482">
        <v>3.5999999999999997E-2</v>
      </c>
      <c r="AX241" s="482">
        <v>3.5999999999999997E-2</v>
      </c>
      <c r="AY241" s="482">
        <v>3.5999999999999997E-2</v>
      </c>
      <c r="AZ241" s="482">
        <v>3.5999999999999997E-2</v>
      </c>
      <c r="BA241" s="482">
        <v>3.5999999999999997E-2</v>
      </c>
      <c r="BB241" s="482">
        <v>3.5999999999999997E-2</v>
      </c>
      <c r="BC241" s="482">
        <v>3.5999999999999997E-2</v>
      </c>
      <c r="BD241" s="482">
        <v>3.5999999999999997E-2</v>
      </c>
      <c r="BE241" s="482">
        <v>3.5999999999999997E-2</v>
      </c>
      <c r="BF241" s="482">
        <v>3.5999999999999997E-2</v>
      </c>
      <c r="BG241" s="482">
        <v>3.5999999999999997E-2</v>
      </c>
      <c r="BH241" s="482">
        <v>3.5999999999999997E-2</v>
      </c>
      <c r="BI241" s="482">
        <v>3.5999999999999997E-2</v>
      </c>
      <c r="BJ241" s="482">
        <v>3.5999999999999997E-2</v>
      </c>
      <c r="BK241" s="482">
        <v>3.5999999999999997E-2</v>
      </c>
      <c r="BL241" s="482">
        <v>3.5999999999999997E-2</v>
      </c>
      <c r="BM241" s="482">
        <v>3.5999999999999997E-2</v>
      </c>
      <c r="BN241" s="482">
        <v>3.5999999999999997E-2</v>
      </c>
      <c r="BO241" s="482">
        <v>3.5999999999999997E-2</v>
      </c>
      <c r="BP241" s="482">
        <v>3.5999999999999997E-2</v>
      </c>
      <c r="BQ241" s="482">
        <v>3.5999999999999997E-2</v>
      </c>
      <c r="BR241" s="482">
        <v>3.5999999999999997E-2</v>
      </c>
      <c r="BS241" s="482">
        <v>3.5999999999999997E-2</v>
      </c>
      <c r="BT241" s="482">
        <v>3.5999999999999997E-2</v>
      </c>
      <c r="BU241" s="482">
        <v>3.5999999999999997E-2</v>
      </c>
      <c r="BV241" s="482">
        <v>3.5999999999999997E-2</v>
      </c>
      <c r="BW241" s="482">
        <v>3.5999999999999997E-2</v>
      </c>
      <c r="BX241" s="482">
        <v>3.5999999999999997E-2</v>
      </c>
      <c r="BY241" s="482">
        <v>3.5999999999999997E-2</v>
      </c>
      <c r="BZ241" s="482">
        <v>3.5999999999999997E-2</v>
      </c>
      <c r="CA241" s="482">
        <v>3.7999999999999999E-2</v>
      </c>
      <c r="CB241" s="482">
        <v>3.7999999999999999E-2</v>
      </c>
      <c r="CC241" s="482">
        <v>3.7999999999999999E-2</v>
      </c>
      <c r="CD241" s="482">
        <v>3.7999999999999999E-2</v>
      </c>
      <c r="CE241" s="482">
        <v>3.95E-2</v>
      </c>
      <c r="CF241" s="482">
        <v>3.95E-2</v>
      </c>
      <c r="CG241" s="482">
        <v>3.95E-2</v>
      </c>
      <c r="CH241" s="482">
        <v>3.95E-2</v>
      </c>
      <c r="CI241" s="482">
        <v>3.95E-2</v>
      </c>
      <c r="CJ241" s="482">
        <v>3.95E-2</v>
      </c>
      <c r="CK241" s="482">
        <v>3.95E-2</v>
      </c>
      <c r="CL241" s="482">
        <v>3.95E-2</v>
      </c>
      <c r="CM241" s="482">
        <v>3.95E-2</v>
      </c>
      <c r="CN241" s="482">
        <v>3.95E-2</v>
      </c>
      <c r="CO241" s="482">
        <v>3.95E-2</v>
      </c>
      <c r="CP241" s="482">
        <v>3.95E-2</v>
      </c>
      <c r="CQ241" s="482">
        <v>3.95E-2</v>
      </c>
      <c r="CR241" s="482">
        <v>3.95E-2</v>
      </c>
      <c r="CS241" s="482">
        <v>3.95E-2</v>
      </c>
      <c r="CT241" s="482">
        <v>3.95E-2</v>
      </c>
      <c r="CU241" s="482">
        <v>3.95E-2</v>
      </c>
      <c r="CV241" s="482">
        <v>3.95E-2</v>
      </c>
      <c r="CW241" s="482">
        <v>3.95E-2</v>
      </c>
      <c r="CX241" s="482">
        <v>3.95E-2</v>
      </c>
      <c r="CY241" s="482">
        <v>3.95E-2</v>
      </c>
      <c r="CZ241" s="482">
        <v>3.95E-2</v>
      </c>
      <c r="DA241" s="482">
        <v>3.95E-2</v>
      </c>
      <c r="DB241" s="482">
        <v>3.95E-2</v>
      </c>
      <c r="DC241" s="482">
        <v>3.95E-2</v>
      </c>
      <c r="DD241" s="482">
        <v>3.95E-2</v>
      </c>
      <c r="DE241" s="482">
        <v>3.95E-2</v>
      </c>
      <c r="DF241" s="482">
        <v>3.95E-2</v>
      </c>
      <c r="DG241" s="482">
        <v>3.95E-2</v>
      </c>
      <c r="DH241" s="482">
        <v>3.95E-2</v>
      </c>
      <c r="DI241" s="482">
        <v>3.95E-2</v>
      </c>
      <c r="DJ241" s="482">
        <v>3.95E-2</v>
      </c>
      <c r="DK241" s="482">
        <v>3.95E-2</v>
      </c>
      <c r="DL241" s="482">
        <v>3.95E-2</v>
      </c>
      <c r="DM241" s="482">
        <v>3.95E-2</v>
      </c>
      <c r="DN241" s="482">
        <v>3.95E-2</v>
      </c>
      <c r="DO241" s="482">
        <v>3.95E-2</v>
      </c>
      <c r="DP241" s="482">
        <v>3.95E-2</v>
      </c>
      <c r="DQ241" s="482">
        <v>3.95E-2</v>
      </c>
      <c r="DR241" s="482">
        <v>3.95E-2</v>
      </c>
      <c r="DS241" s="482">
        <v>3.95E-2</v>
      </c>
      <c r="DT241" s="482">
        <v>3.95E-2</v>
      </c>
      <c r="DU241" s="482">
        <v>3.95E-2</v>
      </c>
      <c r="DV241" s="482">
        <v>3.95E-2</v>
      </c>
      <c r="DW241" s="482">
        <v>3.95E-2</v>
      </c>
      <c r="DX241" s="482">
        <v>3.95E-2</v>
      </c>
      <c r="DY241" s="482">
        <v>3.95E-2</v>
      </c>
      <c r="DZ241" s="482">
        <v>3.95E-2</v>
      </c>
      <c r="EA241" s="482">
        <v>3.95E-2</v>
      </c>
      <c r="EB241" s="482">
        <v>3.95E-2</v>
      </c>
      <c r="EC241" s="482">
        <v>3.95E-2</v>
      </c>
      <c r="ED241" s="482">
        <v>3.95E-2</v>
      </c>
      <c r="EE241" s="482">
        <v>3.95E-2</v>
      </c>
      <c r="EF241" s="482">
        <v>3.95E-2</v>
      </c>
      <c r="EG241" s="482">
        <v>3.95E-2</v>
      </c>
      <c r="EH241" s="482">
        <v>3.95E-2</v>
      </c>
      <c r="EI241" s="482">
        <v>4.0500000000000001E-2</v>
      </c>
      <c r="EJ241" s="482">
        <v>4.0500000000000001E-2</v>
      </c>
      <c r="EK241" s="482">
        <v>4.0500000000000001E-2</v>
      </c>
      <c r="EL241" s="482">
        <v>4.0500000000000001E-2</v>
      </c>
      <c r="EM241" s="482">
        <v>4.0500000000000001E-2</v>
      </c>
      <c r="EN241" s="482">
        <v>4.0500000000000001E-2</v>
      </c>
      <c r="EO241" s="482">
        <v>4.0500000000000001E-2</v>
      </c>
      <c r="EP241" s="482">
        <v>4.0500000000000001E-2</v>
      </c>
      <c r="EQ241" s="482">
        <v>4.0500000000000001E-2</v>
      </c>
      <c r="ER241" s="482">
        <v>4.0500000000000001E-2</v>
      </c>
      <c r="ES241" s="482">
        <v>4.0500000000000001E-2</v>
      </c>
      <c r="ET241" s="482">
        <v>4.0500000000000001E-2</v>
      </c>
      <c r="EU241" s="482">
        <v>4.0500000000000001E-2</v>
      </c>
      <c r="EV241" s="482">
        <v>4.0500000000000001E-2</v>
      </c>
      <c r="EW241" s="482">
        <v>4.0500000000000001E-2</v>
      </c>
      <c r="EX241" s="482">
        <v>4.0500000000000001E-2</v>
      </c>
      <c r="EY241" s="482">
        <v>4.0500000000000001E-2</v>
      </c>
      <c r="EZ241" s="482">
        <v>4.0500000000000001E-2</v>
      </c>
      <c r="FA241" s="482">
        <v>4.0500000000000001E-2</v>
      </c>
      <c r="FB241" s="482">
        <v>4.0500000000000001E-2</v>
      </c>
      <c r="FC241" s="482">
        <v>4.0500000000000001E-2</v>
      </c>
      <c r="FD241" s="482">
        <v>4.0500000000000001E-2</v>
      </c>
      <c r="FE241" s="482">
        <v>4.0500000000000001E-2</v>
      </c>
      <c r="FF241" s="482">
        <v>4.0500000000000001E-2</v>
      </c>
      <c r="FG241" s="482">
        <v>4.0500000000000001E-2</v>
      </c>
      <c r="FH241" s="482">
        <v>4.0500000000000001E-2</v>
      </c>
      <c r="FI241" s="482">
        <v>4.0500000000000001E-2</v>
      </c>
      <c r="FJ241" s="482">
        <v>4.0500000000000001E-2</v>
      </c>
      <c r="FK241" s="482">
        <v>4.0500000000000001E-2</v>
      </c>
      <c r="FL241" s="482">
        <v>4.0500000000000001E-2</v>
      </c>
      <c r="FM241" s="482">
        <v>4.0500000000000001E-2</v>
      </c>
      <c r="FN241" s="482">
        <v>4.0500000000000001E-2</v>
      </c>
      <c r="FO241" s="482">
        <v>4.0500000000000001E-2</v>
      </c>
      <c r="FP241" s="482">
        <v>4.0500000000000001E-2</v>
      </c>
      <c r="FQ241" s="482">
        <v>4.0500000000000001E-2</v>
      </c>
      <c r="FR241" s="482">
        <v>4.0500000000000001E-2</v>
      </c>
      <c r="FS241" s="482">
        <v>4.0500000000000001E-2</v>
      </c>
      <c r="FT241" s="482">
        <v>4.0500000000000001E-2</v>
      </c>
      <c r="FU241" s="482">
        <v>4.0500000000000001E-2</v>
      </c>
      <c r="FV241" s="482">
        <v>4.0500000000000001E-2</v>
      </c>
      <c r="FW241" s="482">
        <v>4.0500000000000001E-2</v>
      </c>
      <c r="FX241" s="482">
        <v>3.95E-2</v>
      </c>
      <c r="FY241" s="482">
        <v>4.0500000000000001E-2</v>
      </c>
      <c r="FZ241" s="482">
        <v>4.0500000000000001E-2</v>
      </c>
      <c r="GA241" s="482">
        <v>4.0500000000000001E-2</v>
      </c>
      <c r="GB241" s="482">
        <v>4.0500000000000001E-2</v>
      </c>
      <c r="GC241" s="482">
        <v>4.0500000000000001E-2</v>
      </c>
      <c r="GD241" s="477">
        <v>3.7999999999999999E-2</v>
      </c>
      <c r="GE241" s="477">
        <v>3.7999999999999999E-2</v>
      </c>
      <c r="GF241" s="477">
        <v>3.7999999999999999E-2</v>
      </c>
      <c r="GG241" s="477">
        <v>3.7999999999999999E-2</v>
      </c>
      <c r="GH241" s="477">
        <v>3.7999999999999999E-2</v>
      </c>
      <c r="GI241" s="477">
        <v>3.7999999999999999E-2</v>
      </c>
      <c r="GJ241" s="477">
        <v>3.7999999999999999E-2</v>
      </c>
      <c r="GK241" s="477">
        <v>3.7999999999999999E-2</v>
      </c>
      <c r="GL241" s="477">
        <v>3.7999999999999999E-2</v>
      </c>
      <c r="GM241" s="477">
        <v>3.7999999999999999E-2</v>
      </c>
      <c r="GN241" s="477">
        <v>3.7999999999999999E-2</v>
      </c>
      <c r="GO241" s="477">
        <v>3.7999999999999999E-2</v>
      </c>
      <c r="GP241" s="477">
        <v>3.7999999999999999E-2</v>
      </c>
      <c r="GQ241" s="477">
        <v>3.7999999999999999E-2</v>
      </c>
      <c r="GR241" s="477">
        <v>3.7999999999999999E-2</v>
      </c>
      <c r="GS241" s="477">
        <v>3.7999999999999999E-2</v>
      </c>
      <c r="GT241" s="477">
        <v>3.7999999999999999E-2</v>
      </c>
      <c r="GU241" s="477">
        <v>3.7999999999999999E-2</v>
      </c>
      <c r="GV241" s="477">
        <v>3.7999999999999999E-2</v>
      </c>
      <c r="GW241" s="477">
        <v>3.7999999999999999E-2</v>
      </c>
      <c r="GX241" s="477">
        <v>3.7999999999999999E-2</v>
      </c>
      <c r="GY241" s="477">
        <v>3.7999999999999999E-2</v>
      </c>
      <c r="GZ241" s="477">
        <v>3.7999999999999999E-2</v>
      </c>
      <c r="HA241" s="477">
        <v>3.7999999999999999E-2</v>
      </c>
      <c r="HB241" s="477">
        <v>3.7999999999999999E-2</v>
      </c>
      <c r="HC241" s="477">
        <v>3.7999999999999999E-2</v>
      </c>
      <c r="HD241" s="477">
        <v>3.7999999999999999E-2</v>
      </c>
      <c r="HE241" s="477">
        <v>3.7999999999999999E-2</v>
      </c>
      <c r="HF241" s="477">
        <v>3.7999999999999999E-2</v>
      </c>
      <c r="HG241" s="477">
        <v>3.7999999999999999E-2</v>
      </c>
      <c r="HH241" s="477">
        <v>3.7999999999999999E-2</v>
      </c>
      <c r="HI241" s="477">
        <v>3.7999999999999999E-2</v>
      </c>
      <c r="HJ241" s="477">
        <v>3.7999999999999999E-2</v>
      </c>
      <c r="HK241" s="477">
        <v>3.7999999999999999E-2</v>
      </c>
      <c r="HL241" s="477">
        <v>3.7999999999999999E-2</v>
      </c>
      <c r="HM241" s="477">
        <v>3.7999999999999999E-2</v>
      </c>
      <c r="HN241" s="477">
        <v>3.7999999999999999E-2</v>
      </c>
      <c r="HO241" s="477">
        <v>3.7999999999999999E-2</v>
      </c>
      <c r="HP241" s="473">
        <f t="shared" si="105"/>
        <v>0</v>
      </c>
      <c r="HQ241" s="525"/>
    </row>
    <row r="242" spans="2:225">
      <c r="B242" s="1141" t="s">
        <v>42</v>
      </c>
      <c r="C242" s="731" t="s">
        <v>219</v>
      </c>
      <c r="D242" s="488">
        <v>2.7900000000000001E-2</v>
      </c>
      <c r="E242" s="488">
        <v>2.7900000000000001E-2</v>
      </c>
      <c r="F242" s="488">
        <v>2.7900000000000001E-2</v>
      </c>
      <c r="G242" s="488">
        <v>2.7900000000000001E-2</v>
      </c>
      <c r="H242" s="488">
        <v>2.7900000000000001E-2</v>
      </c>
      <c r="I242" s="488">
        <v>2.7900000000000001E-2</v>
      </c>
      <c r="J242" s="488">
        <v>2.7900000000000001E-2</v>
      </c>
      <c r="K242" s="488">
        <v>2.7900000000000001E-2</v>
      </c>
      <c r="L242" s="494">
        <v>2.7900000000000001E-2</v>
      </c>
      <c r="M242" s="488">
        <v>3.1899999999999998E-2</v>
      </c>
      <c r="N242" s="488">
        <v>3.1899999999999998E-2</v>
      </c>
      <c r="O242" s="488">
        <v>3.1899999999999998E-2</v>
      </c>
      <c r="P242" s="488">
        <v>3.1899999999999998E-2</v>
      </c>
      <c r="Q242" s="488">
        <v>3.1899999999999998E-2</v>
      </c>
      <c r="R242" s="488">
        <v>3.1899999999999998E-2</v>
      </c>
      <c r="S242" s="488">
        <v>3.1899999999999998E-2</v>
      </c>
      <c r="T242" s="488">
        <v>3.1899999999999998E-2</v>
      </c>
      <c r="U242" s="488">
        <v>3.1899999999999998E-2</v>
      </c>
      <c r="V242" s="488">
        <v>3.1899999999999998E-2</v>
      </c>
      <c r="W242" s="488">
        <v>3.1899999999999998E-2</v>
      </c>
      <c r="X242" s="488">
        <v>3.1899999999999998E-2</v>
      </c>
      <c r="Y242" s="488">
        <v>3.1899999999999998E-2</v>
      </c>
      <c r="Z242" s="488">
        <v>3.1899999999999998E-2</v>
      </c>
      <c r="AA242" s="494">
        <v>3.1899999999999998E-2</v>
      </c>
      <c r="AB242" s="488">
        <v>3.44E-2</v>
      </c>
      <c r="AC242" s="488">
        <v>3.44E-2</v>
      </c>
      <c r="AD242" s="488">
        <v>3.44E-2</v>
      </c>
      <c r="AE242" s="488">
        <v>3.44E-2</v>
      </c>
      <c r="AF242" s="488">
        <v>3.44E-2</v>
      </c>
      <c r="AG242" s="488">
        <v>3.44E-2</v>
      </c>
      <c r="AH242" s="488">
        <v>3.44E-2</v>
      </c>
      <c r="AI242" s="488">
        <v>3.44E-2</v>
      </c>
      <c r="AJ242" s="488">
        <v>3.44E-2</v>
      </c>
      <c r="AK242" s="488">
        <v>3.44E-2</v>
      </c>
      <c r="AL242" s="489">
        <v>3.44E-2</v>
      </c>
      <c r="AM242" s="488">
        <v>3.44E-2</v>
      </c>
      <c r="AN242" s="488">
        <v>3.44E-2</v>
      </c>
      <c r="AO242" s="488">
        <v>3.44E-2</v>
      </c>
      <c r="AP242" s="488">
        <v>3.44E-2</v>
      </c>
      <c r="AQ242" s="488">
        <v>3.44E-2</v>
      </c>
      <c r="AR242" s="488">
        <v>3.44E-2</v>
      </c>
      <c r="AS242" s="488">
        <v>3.5400000000000001E-2</v>
      </c>
      <c r="AT242" s="488">
        <v>3.5400000000000001E-2</v>
      </c>
      <c r="AU242" s="488">
        <v>3.5400000000000001E-2</v>
      </c>
      <c r="AV242" s="489">
        <v>3.5400000000000001E-2</v>
      </c>
      <c r="AW242" s="489">
        <v>3.5400000000000001E-2</v>
      </c>
      <c r="AX242" s="489">
        <v>3.5400000000000001E-2</v>
      </c>
      <c r="AY242" s="489">
        <v>3.5400000000000001E-2</v>
      </c>
      <c r="AZ242" s="489">
        <v>3.5400000000000001E-2</v>
      </c>
      <c r="BA242" s="489">
        <v>3.5400000000000001E-2</v>
      </c>
      <c r="BB242" s="489">
        <v>3.5400000000000001E-2</v>
      </c>
      <c r="BC242" s="489">
        <v>3.5400000000000001E-2</v>
      </c>
      <c r="BD242" s="489">
        <v>3.5400000000000001E-2</v>
      </c>
      <c r="BE242" s="489">
        <v>3.5400000000000001E-2</v>
      </c>
      <c r="BF242" s="489">
        <v>3.5400000000000001E-2</v>
      </c>
      <c r="BG242" s="489">
        <v>3.5400000000000001E-2</v>
      </c>
      <c r="BH242" s="489">
        <v>3.5400000000000001E-2</v>
      </c>
      <c r="BI242" s="489">
        <v>3.5400000000000001E-2</v>
      </c>
      <c r="BJ242" s="489">
        <v>3.5400000000000001E-2</v>
      </c>
      <c r="BK242" s="489">
        <v>3.5400000000000001E-2</v>
      </c>
      <c r="BL242" s="489">
        <v>3.5400000000000001E-2</v>
      </c>
      <c r="BM242" s="489">
        <v>3.5400000000000001E-2</v>
      </c>
      <c r="BN242" s="489">
        <v>3.5400000000000001E-2</v>
      </c>
      <c r="BO242" s="489">
        <v>3.5400000000000001E-2</v>
      </c>
      <c r="BP242" s="489">
        <v>3.5400000000000001E-2</v>
      </c>
      <c r="BQ242" s="489">
        <v>3.5400000000000001E-2</v>
      </c>
      <c r="BR242" s="489">
        <v>3.5400000000000001E-2</v>
      </c>
      <c r="BS242" s="489">
        <v>3.5400000000000001E-2</v>
      </c>
      <c r="BT242" s="489">
        <v>3.5400000000000001E-2</v>
      </c>
      <c r="BU242" s="489">
        <v>3.5400000000000001E-2</v>
      </c>
      <c r="BV242" s="489">
        <v>3.5400000000000001E-2</v>
      </c>
      <c r="BW242" s="489">
        <v>3.5400000000000001E-2</v>
      </c>
      <c r="BX242" s="489">
        <v>3.5400000000000001E-2</v>
      </c>
      <c r="BY242" s="489">
        <v>3.5400000000000001E-2</v>
      </c>
      <c r="BZ242" s="489">
        <v>3.5400000000000001E-2</v>
      </c>
      <c r="CA242" s="489">
        <v>3.8399999999999997E-2</v>
      </c>
      <c r="CB242" s="489">
        <v>3.8399999999999997E-2</v>
      </c>
      <c r="CC242" s="489">
        <v>3.8399999999999997E-2</v>
      </c>
      <c r="CD242" s="489">
        <v>3.8399999999999997E-2</v>
      </c>
      <c r="CE242" s="489">
        <v>4.4400000000000002E-2</v>
      </c>
      <c r="CF242" s="489">
        <v>4.4400000000000002E-2</v>
      </c>
      <c r="CG242" s="489">
        <v>4.4400000000000002E-2</v>
      </c>
      <c r="CH242" s="489">
        <v>4.4400000000000002E-2</v>
      </c>
      <c r="CI242" s="489">
        <v>4.4400000000000002E-2</v>
      </c>
      <c r="CJ242" s="489">
        <v>4.4400000000000002E-2</v>
      </c>
      <c r="CK242" s="489">
        <v>4.4400000000000002E-2</v>
      </c>
      <c r="CL242" s="489">
        <v>4.4400000000000002E-2</v>
      </c>
      <c r="CM242" s="489">
        <v>4.4400000000000002E-2</v>
      </c>
      <c r="CN242" s="489">
        <v>4.4400000000000002E-2</v>
      </c>
      <c r="CO242" s="489">
        <v>4.4400000000000002E-2</v>
      </c>
      <c r="CP242" s="489">
        <v>4.4400000000000002E-2</v>
      </c>
      <c r="CQ242" s="489">
        <v>4.4400000000000002E-2</v>
      </c>
      <c r="CR242" s="489">
        <v>4.4400000000000002E-2</v>
      </c>
      <c r="CS242" s="489">
        <v>4.4400000000000002E-2</v>
      </c>
      <c r="CT242" s="489">
        <v>4.4400000000000002E-2</v>
      </c>
      <c r="CU242" s="489">
        <v>4.4400000000000002E-2</v>
      </c>
      <c r="CV242" s="489">
        <v>4.4400000000000002E-2</v>
      </c>
      <c r="CW242" s="489">
        <v>4.4400000000000002E-2</v>
      </c>
      <c r="CX242" s="489">
        <v>4.4400000000000002E-2</v>
      </c>
      <c r="CY242" s="489">
        <v>4.4400000000000002E-2</v>
      </c>
      <c r="CZ242" s="489">
        <v>4.4400000000000002E-2</v>
      </c>
      <c r="DA242" s="489">
        <v>4.4400000000000002E-2</v>
      </c>
      <c r="DB242" s="489">
        <v>4.4400000000000002E-2</v>
      </c>
      <c r="DC242" s="489">
        <v>4.4400000000000002E-2</v>
      </c>
      <c r="DD242" s="489">
        <v>4.4400000000000002E-2</v>
      </c>
      <c r="DE242" s="489">
        <v>4.4400000000000002E-2</v>
      </c>
      <c r="DF242" s="489">
        <v>4.4400000000000002E-2</v>
      </c>
      <c r="DG242" s="489">
        <v>4.4400000000000002E-2</v>
      </c>
      <c r="DH242" s="489">
        <v>4.4400000000000002E-2</v>
      </c>
      <c r="DI242" s="489">
        <v>4.4400000000000002E-2</v>
      </c>
      <c r="DJ242" s="489">
        <v>4.4400000000000002E-2</v>
      </c>
      <c r="DK242" s="489">
        <v>4.4400000000000002E-2</v>
      </c>
      <c r="DL242" s="489">
        <v>4.4400000000000002E-2</v>
      </c>
      <c r="DM242" s="489">
        <v>4.4400000000000002E-2</v>
      </c>
      <c r="DN242" s="489">
        <v>4.4400000000000002E-2</v>
      </c>
      <c r="DO242" s="489">
        <v>4.4400000000000002E-2</v>
      </c>
      <c r="DP242" s="489">
        <v>4.4400000000000002E-2</v>
      </c>
      <c r="DQ242" s="489">
        <v>4.4400000000000002E-2</v>
      </c>
      <c r="DR242" s="489">
        <v>4.4400000000000002E-2</v>
      </c>
      <c r="DS242" s="489">
        <v>4.4400000000000002E-2</v>
      </c>
      <c r="DT242" s="489">
        <v>4.4400000000000002E-2</v>
      </c>
      <c r="DU242" s="489">
        <v>4.4400000000000002E-2</v>
      </c>
      <c r="DV242" s="489">
        <v>4.4400000000000002E-2</v>
      </c>
      <c r="DW242" s="489">
        <v>4.4400000000000002E-2</v>
      </c>
      <c r="DX242" s="489">
        <v>4.4400000000000002E-2</v>
      </c>
      <c r="DY242" s="489">
        <v>4.4400000000000002E-2</v>
      </c>
      <c r="DZ242" s="489">
        <v>4.4400000000000002E-2</v>
      </c>
      <c r="EA242" s="489">
        <v>4.4400000000000002E-2</v>
      </c>
      <c r="EB242" s="489">
        <v>4.4400000000000002E-2</v>
      </c>
      <c r="EC242" s="489">
        <v>4.4400000000000002E-2</v>
      </c>
      <c r="ED242" s="489">
        <v>4.4400000000000002E-2</v>
      </c>
      <c r="EE242" s="489">
        <v>4.4400000000000002E-2</v>
      </c>
      <c r="EF242" s="489">
        <v>4.4400000000000002E-2</v>
      </c>
      <c r="EG242" s="489">
        <v>4.4400000000000002E-2</v>
      </c>
      <c r="EH242" s="489">
        <v>4.4400000000000002E-2</v>
      </c>
      <c r="EI242" s="489">
        <v>4.4400000000000002E-2</v>
      </c>
      <c r="EJ242" s="489">
        <v>4.4400000000000002E-2</v>
      </c>
      <c r="EK242" s="489">
        <v>4.4400000000000002E-2</v>
      </c>
      <c r="EL242" s="489">
        <v>4.4400000000000002E-2</v>
      </c>
      <c r="EM242" s="489">
        <v>4.4400000000000002E-2</v>
      </c>
      <c r="EN242" s="489">
        <v>4.4400000000000002E-2</v>
      </c>
      <c r="EO242" s="489">
        <v>4.4400000000000002E-2</v>
      </c>
      <c r="EP242" s="489">
        <v>4.4400000000000002E-2</v>
      </c>
      <c r="EQ242" s="489">
        <v>4.4400000000000002E-2</v>
      </c>
      <c r="ER242" s="489">
        <v>4.4400000000000002E-2</v>
      </c>
      <c r="ES242" s="489">
        <v>4.4400000000000002E-2</v>
      </c>
      <c r="ET242" s="489">
        <v>4.4400000000000002E-2</v>
      </c>
      <c r="EU242" s="489">
        <v>4.4400000000000002E-2</v>
      </c>
      <c r="EV242" s="489">
        <v>4.4400000000000002E-2</v>
      </c>
      <c r="EW242" s="489">
        <v>4.4400000000000002E-2</v>
      </c>
      <c r="EX242" s="489">
        <v>4.4400000000000002E-2</v>
      </c>
      <c r="EY242" s="489">
        <v>4.4400000000000002E-2</v>
      </c>
      <c r="EZ242" s="489">
        <v>4.4400000000000002E-2</v>
      </c>
      <c r="FA242" s="489">
        <v>4.4400000000000002E-2</v>
      </c>
      <c r="FB242" s="489">
        <v>4.4400000000000002E-2</v>
      </c>
      <c r="FC242" s="489">
        <v>4.4400000000000002E-2</v>
      </c>
      <c r="FD242" s="489">
        <v>4.4400000000000002E-2</v>
      </c>
      <c r="FE242" s="489">
        <v>4.4400000000000002E-2</v>
      </c>
      <c r="FF242" s="489">
        <v>4.4400000000000002E-2</v>
      </c>
      <c r="FG242" s="489">
        <v>4.4400000000000002E-2</v>
      </c>
      <c r="FH242" s="489">
        <v>4.4400000000000002E-2</v>
      </c>
      <c r="FI242" s="489">
        <v>4.4400000000000002E-2</v>
      </c>
      <c r="FJ242" s="489">
        <v>4.4400000000000002E-2</v>
      </c>
      <c r="FK242" s="489">
        <v>4.4400000000000002E-2</v>
      </c>
      <c r="FL242" s="489">
        <v>4.4400000000000002E-2</v>
      </c>
      <c r="FM242" s="489">
        <v>4.4400000000000002E-2</v>
      </c>
      <c r="FN242" s="489">
        <v>4.4400000000000002E-2</v>
      </c>
      <c r="FO242" s="489">
        <v>4.4400000000000002E-2</v>
      </c>
      <c r="FP242" s="489">
        <v>4.4400000000000002E-2</v>
      </c>
      <c r="FQ242" s="489">
        <v>4.4400000000000002E-2</v>
      </c>
      <c r="FR242" s="489">
        <v>4.4400000000000002E-2</v>
      </c>
      <c r="FS242" s="489">
        <v>4.4400000000000002E-2</v>
      </c>
      <c r="FT242" s="489">
        <v>4.4400000000000002E-2</v>
      </c>
      <c r="FU242" s="489">
        <v>4.4400000000000002E-2</v>
      </c>
      <c r="FV242" s="489">
        <v>4.4400000000000002E-2</v>
      </c>
      <c r="FW242" s="489">
        <v>4.4400000000000002E-2</v>
      </c>
      <c r="FX242" s="489">
        <v>4.4400000000000002E-2</v>
      </c>
      <c r="FY242" s="489">
        <v>4.4400000000000002E-2</v>
      </c>
      <c r="FZ242" s="489">
        <v>4.4400000000000002E-2</v>
      </c>
      <c r="GA242" s="489">
        <v>4.4400000000000002E-2</v>
      </c>
      <c r="GB242" s="489">
        <v>4.4400000000000002E-2</v>
      </c>
      <c r="GC242" s="489">
        <v>4.4400000000000002E-2</v>
      </c>
      <c r="GD242" s="489">
        <v>3.8899999999999997E-2</v>
      </c>
      <c r="GE242" s="489">
        <v>3.8899999999999997E-2</v>
      </c>
      <c r="GF242" s="489">
        <v>3.8899999999999997E-2</v>
      </c>
      <c r="GG242" s="489">
        <v>3.8899999999999997E-2</v>
      </c>
      <c r="GH242" s="489">
        <v>3.8899999999999997E-2</v>
      </c>
      <c r="GI242" s="489">
        <v>3.8899999999999997E-2</v>
      </c>
      <c r="GJ242" s="489">
        <v>3.8899999999999997E-2</v>
      </c>
      <c r="GK242" s="489">
        <v>3.8899999999999997E-2</v>
      </c>
      <c r="GL242" s="489">
        <v>3.8899999999999997E-2</v>
      </c>
      <c r="GM242" s="489">
        <v>3.8899999999999997E-2</v>
      </c>
      <c r="GN242" s="489">
        <v>3.8899999999999997E-2</v>
      </c>
      <c r="GO242" s="489">
        <v>3.8899999999999997E-2</v>
      </c>
      <c r="GP242" s="489">
        <v>3.8899999999999997E-2</v>
      </c>
      <c r="GQ242" s="489">
        <v>3.8899999999999997E-2</v>
      </c>
      <c r="GR242" s="489">
        <v>3.8899999999999997E-2</v>
      </c>
      <c r="GS242" s="489">
        <v>3.8899999999999997E-2</v>
      </c>
      <c r="GT242" s="489">
        <v>3.8899999999999997E-2</v>
      </c>
      <c r="GU242" s="489">
        <v>3.8899999999999997E-2</v>
      </c>
      <c r="GV242" s="489">
        <v>3.8899999999999997E-2</v>
      </c>
      <c r="GW242" s="489">
        <v>3.8899999999999997E-2</v>
      </c>
      <c r="GX242" s="489">
        <v>3.8899999999999997E-2</v>
      </c>
      <c r="GY242" s="489">
        <v>3.8899999999999997E-2</v>
      </c>
      <c r="GZ242" s="489">
        <v>3.8899999999999997E-2</v>
      </c>
      <c r="HA242" s="489">
        <v>3.8899999999999997E-2</v>
      </c>
      <c r="HB242" s="489">
        <v>3.8899999999999997E-2</v>
      </c>
      <c r="HC242" s="489">
        <v>3.8899999999999997E-2</v>
      </c>
      <c r="HD242" s="489">
        <v>3.8899999999999997E-2</v>
      </c>
      <c r="HE242" s="489">
        <v>3.8899999999999997E-2</v>
      </c>
      <c r="HF242" s="489">
        <v>3.8899999999999997E-2</v>
      </c>
      <c r="HG242" s="489">
        <v>3.8899999999999997E-2</v>
      </c>
      <c r="HH242" s="489">
        <v>3.8899999999999997E-2</v>
      </c>
      <c r="HI242" s="489">
        <v>3.8899999999999997E-2</v>
      </c>
      <c r="HJ242" s="489">
        <v>3.8899999999999997E-2</v>
      </c>
      <c r="HK242" s="489">
        <v>3.8899999999999997E-2</v>
      </c>
      <c r="HL242" s="489">
        <v>3.8899999999999997E-2</v>
      </c>
      <c r="HM242" s="489">
        <v>3.8899999999999997E-2</v>
      </c>
      <c r="HN242" s="489">
        <v>3.8899999999999997E-2</v>
      </c>
      <c r="HO242" s="489">
        <v>3.8899999999999997E-2</v>
      </c>
      <c r="HP242" s="473">
        <f t="shared" si="105"/>
        <v>0</v>
      </c>
      <c r="HQ242" s="530"/>
    </row>
    <row r="243" spans="2:225">
      <c r="B243" s="1141"/>
      <c r="C243" s="731" t="s">
        <v>218</v>
      </c>
      <c r="D243" s="488">
        <v>2.81E-2</v>
      </c>
      <c r="E243" s="488">
        <v>2.81E-2</v>
      </c>
      <c r="F243" s="488">
        <v>2.81E-2</v>
      </c>
      <c r="G243" s="488">
        <v>2.81E-2</v>
      </c>
      <c r="H243" s="488">
        <v>2.81E-2</v>
      </c>
      <c r="I243" s="488">
        <v>2.81E-2</v>
      </c>
      <c r="J243" s="488">
        <v>2.81E-2</v>
      </c>
      <c r="K243" s="488">
        <v>2.81E-2</v>
      </c>
      <c r="L243" s="494">
        <v>2.81E-2</v>
      </c>
      <c r="M243" s="488">
        <v>3.2099999999999997E-2</v>
      </c>
      <c r="N243" s="488">
        <v>3.2099999999999997E-2</v>
      </c>
      <c r="O243" s="488">
        <v>3.2099999999999997E-2</v>
      </c>
      <c r="P243" s="488">
        <v>3.2099999999999997E-2</v>
      </c>
      <c r="Q243" s="488">
        <v>3.2099999999999997E-2</v>
      </c>
      <c r="R243" s="488">
        <v>3.2099999999999997E-2</v>
      </c>
      <c r="S243" s="488">
        <v>3.2099999999999997E-2</v>
      </c>
      <c r="T243" s="488">
        <v>3.2099999999999997E-2</v>
      </c>
      <c r="U243" s="488">
        <v>3.2099999999999997E-2</v>
      </c>
      <c r="V243" s="488">
        <v>3.2099999999999997E-2</v>
      </c>
      <c r="W243" s="488">
        <v>3.2099999999999997E-2</v>
      </c>
      <c r="X243" s="488">
        <v>3.2099999999999997E-2</v>
      </c>
      <c r="Y243" s="488">
        <v>3.2099999999999997E-2</v>
      </c>
      <c r="Z243" s="488">
        <v>3.2099999999999997E-2</v>
      </c>
      <c r="AA243" s="494">
        <v>3.2099999999999997E-2</v>
      </c>
      <c r="AB243" s="488">
        <v>3.4599999999999999E-2</v>
      </c>
      <c r="AC243" s="488">
        <v>3.4599999999999999E-2</v>
      </c>
      <c r="AD243" s="488">
        <v>3.4599999999999999E-2</v>
      </c>
      <c r="AE243" s="488">
        <v>3.4599999999999999E-2</v>
      </c>
      <c r="AF243" s="488">
        <v>3.4599999999999999E-2</v>
      </c>
      <c r="AG243" s="488">
        <v>3.4599999999999999E-2</v>
      </c>
      <c r="AH243" s="488">
        <v>3.4599999999999999E-2</v>
      </c>
      <c r="AI243" s="488">
        <v>3.4599999999999999E-2</v>
      </c>
      <c r="AJ243" s="488">
        <v>3.4599999999999999E-2</v>
      </c>
      <c r="AK243" s="488">
        <v>3.4599999999999999E-2</v>
      </c>
      <c r="AL243" s="489">
        <v>3.4599999999999999E-2</v>
      </c>
      <c r="AM243" s="488">
        <v>3.4599999999999999E-2</v>
      </c>
      <c r="AN243" s="488">
        <v>3.4599999999999999E-2</v>
      </c>
      <c r="AO243" s="488">
        <v>3.4599999999999999E-2</v>
      </c>
      <c r="AP243" s="488">
        <v>3.4599999999999999E-2</v>
      </c>
      <c r="AQ243" s="488">
        <v>3.4599999999999999E-2</v>
      </c>
      <c r="AR243" s="488">
        <v>3.4599999999999999E-2</v>
      </c>
      <c r="AS243" s="488">
        <v>3.56E-2</v>
      </c>
      <c r="AT243" s="488">
        <v>3.56E-2</v>
      </c>
      <c r="AU243" s="488">
        <v>3.56E-2</v>
      </c>
      <c r="AV243" s="489">
        <v>3.56E-2</v>
      </c>
      <c r="AW243" s="489">
        <v>3.56E-2</v>
      </c>
      <c r="AX243" s="489">
        <v>3.56E-2</v>
      </c>
      <c r="AY243" s="489">
        <v>3.56E-2</v>
      </c>
      <c r="AZ243" s="489">
        <v>3.56E-2</v>
      </c>
      <c r="BA243" s="489">
        <v>3.56E-2</v>
      </c>
      <c r="BB243" s="489">
        <v>3.56E-2</v>
      </c>
      <c r="BC243" s="489">
        <v>3.56E-2</v>
      </c>
      <c r="BD243" s="489">
        <v>3.56E-2</v>
      </c>
      <c r="BE243" s="489">
        <v>3.56E-2</v>
      </c>
      <c r="BF243" s="489">
        <v>3.56E-2</v>
      </c>
      <c r="BG243" s="489">
        <v>3.56E-2</v>
      </c>
      <c r="BH243" s="489">
        <v>3.56E-2</v>
      </c>
      <c r="BI243" s="489">
        <v>3.56E-2</v>
      </c>
      <c r="BJ243" s="489">
        <v>3.56E-2</v>
      </c>
      <c r="BK243" s="489">
        <v>3.56E-2</v>
      </c>
      <c r="BL243" s="489">
        <v>3.56E-2</v>
      </c>
      <c r="BM243" s="489">
        <v>3.56E-2</v>
      </c>
      <c r="BN243" s="489">
        <v>3.56E-2</v>
      </c>
      <c r="BO243" s="489">
        <v>3.56E-2</v>
      </c>
      <c r="BP243" s="489">
        <v>3.56E-2</v>
      </c>
      <c r="BQ243" s="489">
        <v>3.56E-2</v>
      </c>
      <c r="BR243" s="489">
        <v>3.56E-2</v>
      </c>
      <c r="BS243" s="489">
        <v>3.56E-2</v>
      </c>
      <c r="BT243" s="489">
        <v>3.56E-2</v>
      </c>
      <c r="BU243" s="489">
        <v>3.56E-2</v>
      </c>
      <c r="BV243" s="489">
        <v>3.56E-2</v>
      </c>
      <c r="BW243" s="489">
        <v>3.56E-2</v>
      </c>
      <c r="BX243" s="489">
        <v>3.56E-2</v>
      </c>
      <c r="BY243" s="489">
        <v>3.56E-2</v>
      </c>
      <c r="BZ243" s="489">
        <v>3.56E-2</v>
      </c>
      <c r="CA243" s="489">
        <v>3.8600000000000002E-2</v>
      </c>
      <c r="CB243" s="489">
        <v>3.8600000000000002E-2</v>
      </c>
      <c r="CC243" s="489">
        <v>3.8600000000000002E-2</v>
      </c>
      <c r="CD243" s="489">
        <v>3.8600000000000002E-2</v>
      </c>
      <c r="CE243" s="489">
        <v>4.4600000000000001E-2</v>
      </c>
      <c r="CF243" s="489">
        <v>4.4600000000000001E-2</v>
      </c>
      <c r="CG243" s="489">
        <v>4.4600000000000001E-2</v>
      </c>
      <c r="CH243" s="489">
        <v>4.4600000000000001E-2</v>
      </c>
      <c r="CI243" s="489">
        <v>4.4600000000000001E-2</v>
      </c>
      <c r="CJ243" s="489">
        <v>4.4600000000000001E-2</v>
      </c>
      <c r="CK243" s="489">
        <v>4.4600000000000001E-2</v>
      </c>
      <c r="CL243" s="489">
        <v>4.4600000000000001E-2</v>
      </c>
      <c r="CM243" s="489">
        <v>4.4600000000000001E-2</v>
      </c>
      <c r="CN243" s="489">
        <v>4.4600000000000001E-2</v>
      </c>
      <c r="CO243" s="489">
        <v>4.4600000000000001E-2</v>
      </c>
      <c r="CP243" s="489">
        <v>4.4600000000000001E-2</v>
      </c>
      <c r="CQ243" s="489">
        <v>4.4600000000000001E-2</v>
      </c>
      <c r="CR243" s="489">
        <v>4.4600000000000001E-2</v>
      </c>
      <c r="CS243" s="489">
        <v>4.4600000000000001E-2</v>
      </c>
      <c r="CT243" s="489">
        <v>4.4600000000000001E-2</v>
      </c>
      <c r="CU243" s="489">
        <v>4.4600000000000001E-2</v>
      </c>
      <c r="CV243" s="489">
        <v>4.4600000000000001E-2</v>
      </c>
      <c r="CW243" s="489">
        <v>4.4600000000000001E-2</v>
      </c>
      <c r="CX243" s="489">
        <v>4.4600000000000001E-2</v>
      </c>
      <c r="CY243" s="489">
        <v>4.4600000000000001E-2</v>
      </c>
      <c r="CZ243" s="489">
        <v>4.4600000000000001E-2</v>
      </c>
      <c r="DA243" s="489">
        <v>4.4600000000000001E-2</v>
      </c>
      <c r="DB243" s="489">
        <v>4.4600000000000001E-2</v>
      </c>
      <c r="DC243" s="489">
        <v>4.4600000000000001E-2</v>
      </c>
      <c r="DD243" s="489">
        <v>4.4600000000000001E-2</v>
      </c>
      <c r="DE243" s="489">
        <v>4.4600000000000001E-2</v>
      </c>
      <c r="DF243" s="489">
        <v>4.4600000000000001E-2</v>
      </c>
      <c r="DG243" s="489">
        <v>4.4600000000000001E-2</v>
      </c>
      <c r="DH243" s="489">
        <v>4.4600000000000001E-2</v>
      </c>
      <c r="DI243" s="489">
        <v>4.4600000000000001E-2</v>
      </c>
      <c r="DJ243" s="489">
        <v>4.4600000000000001E-2</v>
      </c>
      <c r="DK243" s="489">
        <v>4.4600000000000001E-2</v>
      </c>
      <c r="DL243" s="489">
        <v>4.4600000000000001E-2</v>
      </c>
      <c r="DM243" s="489">
        <v>4.4600000000000001E-2</v>
      </c>
      <c r="DN243" s="489">
        <v>4.4600000000000001E-2</v>
      </c>
      <c r="DO243" s="489">
        <v>4.4600000000000001E-2</v>
      </c>
      <c r="DP243" s="489">
        <v>4.4600000000000001E-2</v>
      </c>
      <c r="DQ243" s="489">
        <v>4.4600000000000001E-2</v>
      </c>
      <c r="DR243" s="489">
        <v>4.4600000000000001E-2</v>
      </c>
      <c r="DS243" s="489">
        <v>4.4600000000000001E-2</v>
      </c>
      <c r="DT243" s="489">
        <v>4.4600000000000001E-2</v>
      </c>
      <c r="DU243" s="489">
        <v>4.4600000000000001E-2</v>
      </c>
      <c r="DV243" s="489">
        <v>4.4600000000000001E-2</v>
      </c>
      <c r="DW243" s="489">
        <v>4.4600000000000001E-2</v>
      </c>
      <c r="DX243" s="489">
        <v>4.4600000000000001E-2</v>
      </c>
      <c r="DY243" s="489">
        <v>4.4600000000000001E-2</v>
      </c>
      <c r="DZ243" s="489">
        <v>4.4600000000000001E-2</v>
      </c>
      <c r="EA243" s="489">
        <v>4.4600000000000001E-2</v>
      </c>
      <c r="EB243" s="489">
        <v>4.4600000000000001E-2</v>
      </c>
      <c r="EC243" s="489">
        <v>4.4600000000000001E-2</v>
      </c>
      <c r="ED243" s="489">
        <v>4.4600000000000001E-2</v>
      </c>
      <c r="EE243" s="489">
        <v>4.4600000000000001E-2</v>
      </c>
      <c r="EF243" s="489">
        <v>4.4600000000000001E-2</v>
      </c>
      <c r="EG243" s="489">
        <v>4.4600000000000001E-2</v>
      </c>
      <c r="EH243" s="489">
        <v>4.4600000000000001E-2</v>
      </c>
      <c r="EI243" s="489">
        <v>4.4600000000000001E-2</v>
      </c>
      <c r="EJ243" s="489">
        <v>4.4600000000000001E-2</v>
      </c>
      <c r="EK243" s="489">
        <v>4.4600000000000001E-2</v>
      </c>
      <c r="EL243" s="489">
        <v>4.4600000000000001E-2</v>
      </c>
      <c r="EM243" s="489">
        <v>4.4600000000000001E-2</v>
      </c>
      <c r="EN243" s="489">
        <v>4.4600000000000001E-2</v>
      </c>
      <c r="EO243" s="489">
        <v>4.4600000000000001E-2</v>
      </c>
      <c r="EP243" s="489">
        <v>4.4600000000000001E-2</v>
      </c>
      <c r="EQ243" s="489">
        <v>4.4600000000000001E-2</v>
      </c>
      <c r="ER243" s="489">
        <v>4.4600000000000001E-2</v>
      </c>
      <c r="ES243" s="489">
        <v>4.4600000000000001E-2</v>
      </c>
      <c r="ET243" s="489">
        <v>4.4600000000000001E-2</v>
      </c>
      <c r="EU243" s="489">
        <v>4.4600000000000001E-2</v>
      </c>
      <c r="EV243" s="489">
        <v>4.4600000000000001E-2</v>
      </c>
      <c r="EW243" s="489">
        <v>4.4600000000000001E-2</v>
      </c>
      <c r="EX243" s="489">
        <v>4.4600000000000001E-2</v>
      </c>
      <c r="EY243" s="489">
        <v>4.4600000000000001E-2</v>
      </c>
      <c r="EZ243" s="489">
        <v>4.4600000000000001E-2</v>
      </c>
      <c r="FA243" s="489">
        <v>4.4600000000000001E-2</v>
      </c>
      <c r="FB243" s="489">
        <v>4.4600000000000001E-2</v>
      </c>
      <c r="FC243" s="489">
        <v>4.4600000000000001E-2</v>
      </c>
      <c r="FD243" s="489">
        <v>4.4600000000000001E-2</v>
      </c>
      <c r="FE243" s="489">
        <v>4.4600000000000001E-2</v>
      </c>
      <c r="FF243" s="489">
        <v>4.4600000000000001E-2</v>
      </c>
      <c r="FG243" s="489">
        <v>4.4600000000000001E-2</v>
      </c>
      <c r="FH243" s="489">
        <v>4.4600000000000001E-2</v>
      </c>
      <c r="FI243" s="489">
        <v>4.4600000000000001E-2</v>
      </c>
      <c r="FJ243" s="489">
        <v>4.4600000000000001E-2</v>
      </c>
      <c r="FK243" s="489">
        <v>4.4600000000000001E-2</v>
      </c>
      <c r="FL243" s="489">
        <v>4.4600000000000001E-2</v>
      </c>
      <c r="FM243" s="489">
        <v>4.4600000000000001E-2</v>
      </c>
      <c r="FN243" s="489">
        <v>4.4600000000000001E-2</v>
      </c>
      <c r="FO243" s="489">
        <v>4.4600000000000001E-2</v>
      </c>
      <c r="FP243" s="489">
        <v>4.4600000000000001E-2</v>
      </c>
      <c r="FQ243" s="489">
        <v>4.4600000000000001E-2</v>
      </c>
      <c r="FR243" s="489">
        <v>4.4600000000000001E-2</v>
      </c>
      <c r="FS243" s="489">
        <v>4.4600000000000001E-2</v>
      </c>
      <c r="FT243" s="489">
        <v>4.4600000000000001E-2</v>
      </c>
      <c r="FU243" s="489">
        <v>4.4600000000000001E-2</v>
      </c>
      <c r="FV243" s="489">
        <v>4.4600000000000001E-2</v>
      </c>
      <c r="FW243" s="489">
        <v>4.4600000000000001E-2</v>
      </c>
      <c r="FX243" s="489">
        <v>4.4600000000000001E-2</v>
      </c>
      <c r="FY243" s="489">
        <v>4.4600000000000001E-2</v>
      </c>
      <c r="FZ243" s="489">
        <v>4.4600000000000001E-2</v>
      </c>
      <c r="GA243" s="489">
        <v>4.4600000000000001E-2</v>
      </c>
      <c r="GB243" s="489">
        <v>4.4600000000000001E-2</v>
      </c>
      <c r="GC243" s="489">
        <v>4.4600000000000001E-2</v>
      </c>
      <c r="GD243" s="489">
        <v>3.9100000000000003E-2</v>
      </c>
      <c r="GE243" s="489">
        <v>3.9100000000000003E-2</v>
      </c>
      <c r="GF243" s="489">
        <v>3.9100000000000003E-2</v>
      </c>
      <c r="GG243" s="489">
        <v>3.9100000000000003E-2</v>
      </c>
      <c r="GH243" s="489">
        <v>3.9100000000000003E-2</v>
      </c>
      <c r="GI243" s="489">
        <v>3.9100000000000003E-2</v>
      </c>
      <c r="GJ243" s="489">
        <v>3.9100000000000003E-2</v>
      </c>
      <c r="GK243" s="489">
        <v>3.9100000000000003E-2</v>
      </c>
      <c r="GL243" s="489">
        <v>3.9100000000000003E-2</v>
      </c>
      <c r="GM243" s="489">
        <v>3.9100000000000003E-2</v>
      </c>
      <c r="GN243" s="489">
        <v>3.9100000000000003E-2</v>
      </c>
      <c r="GO243" s="489">
        <v>3.9100000000000003E-2</v>
      </c>
      <c r="GP243" s="489">
        <v>3.9100000000000003E-2</v>
      </c>
      <c r="GQ243" s="489">
        <v>3.9100000000000003E-2</v>
      </c>
      <c r="GR243" s="489">
        <v>3.9100000000000003E-2</v>
      </c>
      <c r="GS243" s="489">
        <v>3.9100000000000003E-2</v>
      </c>
      <c r="GT243" s="489">
        <v>3.9100000000000003E-2</v>
      </c>
      <c r="GU243" s="489">
        <v>3.9100000000000003E-2</v>
      </c>
      <c r="GV243" s="489">
        <v>3.9100000000000003E-2</v>
      </c>
      <c r="GW243" s="489">
        <v>3.9100000000000003E-2</v>
      </c>
      <c r="GX243" s="489">
        <v>3.9100000000000003E-2</v>
      </c>
      <c r="GY243" s="489">
        <v>3.9100000000000003E-2</v>
      </c>
      <c r="GZ243" s="489">
        <v>3.9100000000000003E-2</v>
      </c>
      <c r="HA243" s="489">
        <v>3.9100000000000003E-2</v>
      </c>
      <c r="HB243" s="489">
        <v>3.9100000000000003E-2</v>
      </c>
      <c r="HC243" s="489">
        <v>3.9100000000000003E-2</v>
      </c>
      <c r="HD243" s="489">
        <v>3.9100000000000003E-2</v>
      </c>
      <c r="HE243" s="489">
        <v>3.9100000000000003E-2</v>
      </c>
      <c r="HF243" s="489">
        <v>3.9100000000000003E-2</v>
      </c>
      <c r="HG243" s="489">
        <v>3.9100000000000003E-2</v>
      </c>
      <c r="HH243" s="489">
        <v>3.9100000000000003E-2</v>
      </c>
      <c r="HI243" s="489">
        <v>3.9100000000000003E-2</v>
      </c>
      <c r="HJ243" s="489">
        <v>3.9100000000000003E-2</v>
      </c>
      <c r="HK243" s="489">
        <v>3.9100000000000003E-2</v>
      </c>
      <c r="HL243" s="489">
        <v>3.9100000000000003E-2</v>
      </c>
      <c r="HM243" s="489">
        <v>3.9100000000000003E-2</v>
      </c>
      <c r="HN243" s="489">
        <v>3.9100000000000003E-2</v>
      </c>
      <c r="HO243" s="489">
        <v>3.9100000000000003E-2</v>
      </c>
      <c r="HP243" s="473">
        <f t="shared" si="105"/>
        <v>0</v>
      </c>
      <c r="HQ243" s="530"/>
    </row>
    <row r="244" spans="2:225">
      <c r="B244" s="1141"/>
      <c r="C244" s="731" t="s">
        <v>217</v>
      </c>
      <c r="D244" s="488">
        <v>2.8299999999999999E-2</v>
      </c>
      <c r="E244" s="488">
        <v>2.8299999999999999E-2</v>
      </c>
      <c r="F244" s="488">
        <v>2.8299999999999999E-2</v>
      </c>
      <c r="G244" s="488">
        <v>2.8299999999999999E-2</v>
      </c>
      <c r="H244" s="488">
        <v>2.8299999999999999E-2</v>
      </c>
      <c r="I244" s="488">
        <v>2.8299999999999999E-2</v>
      </c>
      <c r="J244" s="488">
        <v>2.8299999999999999E-2</v>
      </c>
      <c r="K244" s="488">
        <v>2.8299999999999999E-2</v>
      </c>
      <c r="L244" s="494">
        <v>2.8299999999999999E-2</v>
      </c>
      <c r="M244" s="488">
        <v>3.2300000000000002E-2</v>
      </c>
      <c r="N244" s="488">
        <v>3.2300000000000002E-2</v>
      </c>
      <c r="O244" s="488">
        <v>3.2300000000000002E-2</v>
      </c>
      <c r="P244" s="488">
        <v>3.2300000000000002E-2</v>
      </c>
      <c r="Q244" s="488">
        <v>3.2300000000000002E-2</v>
      </c>
      <c r="R244" s="488">
        <v>3.2300000000000002E-2</v>
      </c>
      <c r="S244" s="488">
        <v>3.2300000000000002E-2</v>
      </c>
      <c r="T244" s="488">
        <v>3.2300000000000002E-2</v>
      </c>
      <c r="U244" s="488">
        <v>3.2300000000000002E-2</v>
      </c>
      <c r="V244" s="488">
        <v>3.2300000000000002E-2</v>
      </c>
      <c r="W244" s="488">
        <v>3.2300000000000002E-2</v>
      </c>
      <c r="X244" s="488">
        <v>3.2300000000000002E-2</v>
      </c>
      <c r="Y244" s="488">
        <v>3.2300000000000002E-2</v>
      </c>
      <c r="Z244" s="488">
        <v>3.2300000000000002E-2</v>
      </c>
      <c r="AA244" s="494">
        <v>3.2300000000000002E-2</v>
      </c>
      <c r="AB244" s="488">
        <v>3.4799999999999998E-2</v>
      </c>
      <c r="AC244" s="488">
        <v>3.4799999999999998E-2</v>
      </c>
      <c r="AD244" s="488">
        <v>3.4799999999999998E-2</v>
      </c>
      <c r="AE244" s="488">
        <v>3.4799999999999998E-2</v>
      </c>
      <c r="AF244" s="488">
        <v>3.4799999999999998E-2</v>
      </c>
      <c r="AG244" s="488">
        <v>3.4799999999999998E-2</v>
      </c>
      <c r="AH244" s="488">
        <v>3.4799999999999998E-2</v>
      </c>
      <c r="AI244" s="488">
        <v>3.4799999999999998E-2</v>
      </c>
      <c r="AJ244" s="488">
        <v>3.4799999999999998E-2</v>
      </c>
      <c r="AK244" s="488">
        <v>3.4799999999999998E-2</v>
      </c>
      <c r="AL244" s="489">
        <v>3.4799999999999998E-2</v>
      </c>
      <c r="AM244" s="488">
        <v>3.4799999999999998E-2</v>
      </c>
      <c r="AN244" s="488">
        <v>3.4799999999999998E-2</v>
      </c>
      <c r="AO244" s="488">
        <v>3.4799999999999998E-2</v>
      </c>
      <c r="AP244" s="488">
        <v>3.4799999999999998E-2</v>
      </c>
      <c r="AQ244" s="488">
        <v>3.4799999999999998E-2</v>
      </c>
      <c r="AR244" s="488">
        <v>3.4799999999999998E-2</v>
      </c>
      <c r="AS244" s="488">
        <v>3.5799999999999998E-2</v>
      </c>
      <c r="AT244" s="488">
        <v>3.5799999999999998E-2</v>
      </c>
      <c r="AU244" s="488">
        <v>3.5799999999999998E-2</v>
      </c>
      <c r="AV244" s="489">
        <v>3.5799999999999998E-2</v>
      </c>
      <c r="AW244" s="489">
        <v>3.5799999999999998E-2</v>
      </c>
      <c r="AX244" s="489">
        <v>3.5799999999999998E-2</v>
      </c>
      <c r="AY244" s="489">
        <v>3.5799999999999998E-2</v>
      </c>
      <c r="AZ244" s="489">
        <v>3.5799999999999998E-2</v>
      </c>
      <c r="BA244" s="489">
        <v>3.5799999999999998E-2</v>
      </c>
      <c r="BB244" s="489">
        <v>3.5799999999999998E-2</v>
      </c>
      <c r="BC244" s="489">
        <v>3.5799999999999998E-2</v>
      </c>
      <c r="BD244" s="489">
        <v>3.5799999999999998E-2</v>
      </c>
      <c r="BE244" s="489">
        <v>3.5799999999999998E-2</v>
      </c>
      <c r="BF244" s="489">
        <v>3.5799999999999998E-2</v>
      </c>
      <c r="BG244" s="489">
        <v>3.5799999999999998E-2</v>
      </c>
      <c r="BH244" s="489">
        <v>3.5799999999999998E-2</v>
      </c>
      <c r="BI244" s="489">
        <v>3.5799999999999998E-2</v>
      </c>
      <c r="BJ244" s="489">
        <v>3.5799999999999998E-2</v>
      </c>
      <c r="BK244" s="489">
        <v>3.5799999999999998E-2</v>
      </c>
      <c r="BL244" s="489">
        <v>3.5799999999999998E-2</v>
      </c>
      <c r="BM244" s="489">
        <v>3.5799999999999998E-2</v>
      </c>
      <c r="BN244" s="489">
        <v>3.5799999999999998E-2</v>
      </c>
      <c r="BO244" s="489">
        <v>3.5799999999999998E-2</v>
      </c>
      <c r="BP244" s="489">
        <v>3.5799999999999998E-2</v>
      </c>
      <c r="BQ244" s="489">
        <v>3.5799999999999998E-2</v>
      </c>
      <c r="BR244" s="489">
        <v>3.5799999999999998E-2</v>
      </c>
      <c r="BS244" s="489">
        <v>3.5799999999999998E-2</v>
      </c>
      <c r="BT244" s="489">
        <v>3.5799999999999998E-2</v>
      </c>
      <c r="BU244" s="489">
        <v>3.5799999999999998E-2</v>
      </c>
      <c r="BV244" s="489">
        <v>3.5799999999999998E-2</v>
      </c>
      <c r="BW244" s="489">
        <v>3.5799999999999998E-2</v>
      </c>
      <c r="BX244" s="489">
        <v>3.5799999999999998E-2</v>
      </c>
      <c r="BY244" s="489">
        <v>3.5799999999999998E-2</v>
      </c>
      <c r="BZ244" s="489">
        <v>3.5799999999999998E-2</v>
      </c>
      <c r="CA244" s="489">
        <v>3.8800000000000001E-2</v>
      </c>
      <c r="CB244" s="489">
        <v>3.8800000000000001E-2</v>
      </c>
      <c r="CC244" s="489">
        <v>3.8800000000000001E-2</v>
      </c>
      <c r="CD244" s="489">
        <v>3.8800000000000001E-2</v>
      </c>
      <c r="CE244" s="489">
        <v>4.48E-2</v>
      </c>
      <c r="CF244" s="489">
        <v>4.48E-2</v>
      </c>
      <c r="CG244" s="489">
        <v>4.48E-2</v>
      </c>
      <c r="CH244" s="489">
        <v>4.48E-2</v>
      </c>
      <c r="CI244" s="489">
        <v>4.48E-2</v>
      </c>
      <c r="CJ244" s="489">
        <v>4.48E-2</v>
      </c>
      <c r="CK244" s="489">
        <v>4.48E-2</v>
      </c>
      <c r="CL244" s="489">
        <v>4.48E-2</v>
      </c>
      <c r="CM244" s="489">
        <v>4.48E-2</v>
      </c>
      <c r="CN244" s="489">
        <v>4.48E-2</v>
      </c>
      <c r="CO244" s="489">
        <v>4.48E-2</v>
      </c>
      <c r="CP244" s="489">
        <v>4.48E-2</v>
      </c>
      <c r="CQ244" s="489">
        <v>4.48E-2</v>
      </c>
      <c r="CR244" s="489">
        <v>4.48E-2</v>
      </c>
      <c r="CS244" s="489">
        <v>4.48E-2</v>
      </c>
      <c r="CT244" s="489">
        <v>4.48E-2</v>
      </c>
      <c r="CU244" s="489">
        <v>4.48E-2</v>
      </c>
      <c r="CV244" s="489">
        <v>4.48E-2</v>
      </c>
      <c r="CW244" s="489">
        <v>4.48E-2</v>
      </c>
      <c r="CX244" s="489">
        <v>4.48E-2</v>
      </c>
      <c r="CY244" s="489">
        <v>4.48E-2</v>
      </c>
      <c r="CZ244" s="489">
        <v>4.48E-2</v>
      </c>
      <c r="DA244" s="489">
        <v>4.48E-2</v>
      </c>
      <c r="DB244" s="489">
        <v>4.48E-2</v>
      </c>
      <c r="DC244" s="489">
        <v>4.48E-2</v>
      </c>
      <c r="DD244" s="489">
        <v>4.48E-2</v>
      </c>
      <c r="DE244" s="489">
        <v>4.48E-2</v>
      </c>
      <c r="DF244" s="489">
        <v>4.48E-2</v>
      </c>
      <c r="DG244" s="489">
        <v>4.48E-2</v>
      </c>
      <c r="DH244" s="489">
        <v>4.48E-2</v>
      </c>
      <c r="DI244" s="489">
        <v>4.48E-2</v>
      </c>
      <c r="DJ244" s="489">
        <v>4.48E-2</v>
      </c>
      <c r="DK244" s="489">
        <v>4.48E-2</v>
      </c>
      <c r="DL244" s="489">
        <v>4.48E-2</v>
      </c>
      <c r="DM244" s="489">
        <v>4.48E-2</v>
      </c>
      <c r="DN244" s="489">
        <v>4.48E-2</v>
      </c>
      <c r="DO244" s="489">
        <v>4.48E-2</v>
      </c>
      <c r="DP244" s="489">
        <v>4.48E-2</v>
      </c>
      <c r="DQ244" s="489">
        <v>4.48E-2</v>
      </c>
      <c r="DR244" s="489">
        <v>4.48E-2</v>
      </c>
      <c r="DS244" s="489">
        <v>4.48E-2</v>
      </c>
      <c r="DT244" s="489">
        <v>4.48E-2</v>
      </c>
      <c r="DU244" s="489">
        <v>4.48E-2</v>
      </c>
      <c r="DV244" s="489">
        <v>4.48E-2</v>
      </c>
      <c r="DW244" s="489">
        <v>4.48E-2</v>
      </c>
      <c r="DX244" s="489">
        <v>4.48E-2</v>
      </c>
      <c r="DY244" s="489">
        <v>4.48E-2</v>
      </c>
      <c r="DZ244" s="489">
        <v>4.48E-2</v>
      </c>
      <c r="EA244" s="489">
        <v>4.48E-2</v>
      </c>
      <c r="EB244" s="489">
        <v>4.48E-2</v>
      </c>
      <c r="EC244" s="489">
        <v>4.48E-2</v>
      </c>
      <c r="ED244" s="489">
        <v>4.48E-2</v>
      </c>
      <c r="EE244" s="489">
        <v>4.48E-2</v>
      </c>
      <c r="EF244" s="489">
        <v>4.48E-2</v>
      </c>
      <c r="EG244" s="489">
        <v>4.48E-2</v>
      </c>
      <c r="EH244" s="489">
        <v>4.48E-2</v>
      </c>
      <c r="EI244" s="489">
        <v>4.48E-2</v>
      </c>
      <c r="EJ244" s="489">
        <v>4.48E-2</v>
      </c>
      <c r="EK244" s="489">
        <v>4.48E-2</v>
      </c>
      <c r="EL244" s="489">
        <v>4.48E-2</v>
      </c>
      <c r="EM244" s="489">
        <v>4.48E-2</v>
      </c>
      <c r="EN244" s="489">
        <v>4.48E-2</v>
      </c>
      <c r="EO244" s="489">
        <v>4.48E-2</v>
      </c>
      <c r="EP244" s="489">
        <v>4.48E-2</v>
      </c>
      <c r="EQ244" s="489">
        <v>4.48E-2</v>
      </c>
      <c r="ER244" s="489">
        <v>4.48E-2</v>
      </c>
      <c r="ES244" s="489">
        <v>4.48E-2</v>
      </c>
      <c r="ET244" s="489">
        <v>4.48E-2</v>
      </c>
      <c r="EU244" s="489">
        <v>4.48E-2</v>
      </c>
      <c r="EV244" s="489">
        <v>4.48E-2</v>
      </c>
      <c r="EW244" s="489">
        <v>4.48E-2</v>
      </c>
      <c r="EX244" s="489">
        <v>4.48E-2</v>
      </c>
      <c r="EY244" s="489">
        <v>4.48E-2</v>
      </c>
      <c r="EZ244" s="489">
        <v>4.48E-2</v>
      </c>
      <c r="FA244" s="489">
        <v>4.48E-2</v>
      </c>
      <c r="FB244" s="489">
        <v>4.48E-2</v>
      </c>
      <c r="FC244" s="489">
        <v>4.48E-2</v>
      </c>
      <c r="FD244" s="489">
        <v>4.48E-2</v>
      </c>
      <c r="FE244" s="489">
        <v>4.48E-2</v>
      </c>
      <c r="FF244" s="489">
        <v>4.48E-2</v>
      </c>
      <c r="FG244" s="489">
        <v>4.48E-2</v>
      </c>
      <c r="FH244" s="489">
        <v>4.48E-2</v>
      </c>
      <c r="FI244" s="489">
        <v>4.48E-2</v>
      </c>
      <c r="FJ244" s="489">
        <v>4.48E-2</v>
      </c>
      <c r="FK244" s="489">
        <v>4.48E-2</v>
      </c>
      <c r="FL244" s="489">
        <v>4.48E-2</v>
      </c>
      <c r="FM244" s="489">
        <v>4.48E-2</v>
      </c>
      <c r="FN244" s="489">
        <v>4.48E-2</v>
      </c>
      <c r="FO244" s="489">
        <v>4.48E-2</v>
      </c>
      <c r="FP244" s="489">
        <v>4.48E-2</v>
      </c>
      <c r="FQ244" s="489">
        <v>4.48E-2</v>
      </c>
      <c r="FR244" s="489">
        <v>4.48E-2</v>
      </c>
      <c r="FS244" s="489">
        <v>4.48E-2</v>
      </c>
      <c r="FT244" s="489">
        <v>4.48E-2</v>
      </c>
      <c r="FU244" s="489">
        <v>4.48E-2</v>
      </c>
      <c r="FV244" s="489">
        <v>4.48E-2</v>
      </c>
      <c r="FW244" s="489">
        <v>4.48E-2</v>
      </c>
      <c r="FX244" s="489">
        <v>4.48E-2</v>
      </c>
      <c r="FY244" s="489">
        <v>4.48E-2</v>
      </c>
      <c r="FZ244" s="489">
        <v>4.48E-2</v>
      </c>
      <c r="GA244" s="489">
        <v>4.48E-2</v>
      </c>
      <c r="GB244" s="489">
        <v>4.48E-2</v>
      </c>
      <c r="GC244" s="489">
        <v>4.48E-2</v>
      </c>
      <c r="GD244" s="489">
        <v>3.9300000000000002E-2</v>
      </c>
      <c r="GE244" s="489">
        <v>3.9300000000000002E-2</v>
      </c>
      <c r="GF244" s="489">
        <v>3.9300000000000002E-2</v>
      </c>
      <c r="GG244" s="489">
        <v>3.9300000000000002E-2</v>
      </c>
      <c r="GH244" s="489">
        <v>3.9300000000000002E-2</v>
      </c>
      <c r="GI244" s="489">
        <v>3.9300000000000002E-2</v>
      </c>
      <c r="GJ244" s="489">
        <v>3.9300000000000002E-2</v>
      </c>
      <c r="GK244" s="489">
        <v>3.9300000000000002E-2</v>
      </c>
      <c r="GL244" s="489">
        <v>3.9300000000000002E-2</v>
      </c>
      <c r="GM244" s="489">
        <v>3.9300000000000002E-2</v>
      </c>
      <c r="GN244" s="489">
        <v>3.9300000000000002E-2</v>
      </c>
      <c r="GO244" s="489">
        <v>3.9300000000000002E-2</v>
      </c>
      <c r="GP244" s="489">
        <v>3.9300000000000002E-2</v>
      </c>
      <c r="GQ244" s="489">
        <v>3.9300000000000002E-2</v>
      </c>
      <c r="GR244" s="489">
        <v>3.9300000000000002E-2</v>
      </c>
      <c r="GS244" s="489">
        <v>3.9300000000000002E-2</v>
      </c>
      <c r="GT244" s="489">
        <v>3.9300000000000002E-2</v>
      </c>
      <c r="GU244" s="489">
        <v>3.9300000000000002E-2</v>
      </c>
      <c r="GV244" s="489">
        <v>3.9300000000000002E-2</v>
      </c>
      <c r="GW244" s="489">
        <v>3.9300000000000002E-2</v>
      </c>
      <c r="GX244" s="489">
        <v>3.9300000000000002E-2</v>
      </c>
      <c r="GY244" s="489">
        <v>3.9300000000000002E-2</v>
      </c>
      <c r="GZ244" s="489">
        <v>3.9300000000000002E-2</v>
      </c>
      <c r="HA244" s="489">
        <v>3.9300000000000002E-2</v>
      </c>
      <c r="HB244" s="489">
        <v>3.9300000000000002E-2</v>
      </c>
      <c r="HC244" s="489">
        <v>3.9300000000000002E-2</v>
      </c>
      <c r="HD244" s="489">
        <v>3.9300000000000002E-2</v>
      </c>
      <c r="HE244" s="489">
        <v>3.9300000000000002E-2</v>
      </c>
      <c r="HF244" s="489">
        <v>3.9300000000000002E-2</v>
      </c>
      <c r="HG244" s="489">
        <v>3.9300000000000002E-2</v>
      </c>
      <c r="HH244" s="489">
        <v>3.9300000000000002E-2</v>
      </c>
      <c r="HI244" s="489">
        <v>3.9300000000000002E-2</v>
      </c>
      <c r="HJ244" s="489">
        <v>3.9300000000000002E-2</v>
      </c>
      <c r="HK244" s="489">
        <v>3.9300000000000002E-2</v>
      </c>
      <c r="HL244" s="489">
        <v>3.9300000000000002E-2</v>
      </c>
      <c r="HM244" s="489">
        <v>3.9300000000000002E-2</v>
      </c>
      <c r="HN244" s="489">
        <v>3.9300000000000002E-2</v>
      </c>
      <c r="HO244" s="489">
        <v>3.9300000000000002E-2</v>
      </c>
      <c r="HP244" s="473">
        <f t="shared" si="105"/>
        <v>0</v>
      </c>
      <c r="HQ244" s="530"/>
    </row>
    <row r="245" spans="2:225">
      <c r="B245" s="1141"/>
      <c r="C245" s="731" t="s">
        <v>216</v>
      </c>
      <c r="D245" s="488">
        <v>2.8500000000000001E-2</v>
      </c>
      <c r="E245" s="488">
        <v>2.8500000000000001E-2</v>
      </c>
      <c r="F245" s="488">
        <v>2.8500000000000001E-2</v>
      </c>
      <c r="G245" s="488">
        <v>2.8500000000000001E-2</v>
      </c>
      <c r="H245" s="488">
        <v>2.8500000000000001E-2</v>
      </c>
      <c r="I245" s="488">
        <v>2.8500000000000001E-2</v>
      </c>
      <c r="J245" s="488">
        <v>2.8500000000000001E-2</v>
      </c>
      <c r="K245" s="488">
        <v>2.8500000000000001E-2</v>
      </c>
      <c r="L245" s="494">
        <v>2.8500000000000001E-2</v>
      </c>
      <c r="M245" s="488">
        <v>3.2500000000000001E-2</v>
      </c>
      <c r="N245" s="488">
        <v>3.2500000000000001E-2</v>
      </c>
      <c r="O245" s="488">
        <v>3.2500000000000001E-2</v>
      </c>
      <c r="P245" s="488">
        <v>3.2500000000000001E-2</v>
      </c>
      <c r="Q245" s="488">
        <v>3.2500000000000001E-2</v>
      </c>
      <c r="R245" s="488">
        <v>3.2500000000000001E-2</v>
      </c>
      <c r="S245" s="488">
        <v>3.2500000000000001E-2</v>
      </c>
      <c r="T245" s="488">
        <v>3.2500000000000001E-2</v>
      </c>
      <c r="U245" s="488">
        <v>3.2500000000000001E-2</v>
      </c>
      <c r="V245" s="488">
        <v>3.2500000000000001E-2</v>
      </c>
      <c r="W245" s="488">
        <v>3.2500000000000001E-2</v>
      </c>
      <c r="X245" s="488">
        <v>3.2500000000000001E-2</v>
      </c>
      <c r="Y245" s="488">
        <v>3.2500000000000001E-2</v>
      </c>
      <c r="Z245" s="488">
        <v>3.2500000000000001E-2</v>
      </c>
      <c r="AA245" s="494">
        <v>3.2500000000000001E-2</v>
      </c>
      <c r="AB245" s="488">
        <v>3.4999999999999996E-2</v>
      </c>
      <c r="AC245" s="488">
        <v>3.4999999999999996E-2</v>
      </c>
      <c r="AD245" s="488">
        <v>3.4999999999999996E-2</v>
      </c>
      <c r="AE245" s="488">
        <v>3.4999999999999996E-2</v>
      </c>
      <c r="AF245" s="488">
        <v>3.4999999999999996E-2</v>
      </c>
      <c r="AG245" s="488">
        <v>3.4999999999999996E-2</v>
      </c>
      <c r="AH245" s="488">
        <v>3.4999999999999996E-2</v>
      </c>
      <c r="AI245" s="488">
        <v>3.4999999999999996E-2</v>
      </c>
      <c r="AJ245" s="488">
        <v>3.4999999999999996E-2</v>
      </c>
      <c r="AK245" s="488">
        <v>3.4999999999999996E-2</v>
      </c>
      <c r="AL245" s="489">
        <v>3.4999999999999996E-2</v>
      </c>
      <c r="AM245" s="488">
        <v>3.4999999999999996E-2</v>
      </c>
      <c r="AN245" s="488">
        <v>3.4999999999999996E-2</v>
      </c>
      <c r="AO245" s="488">
        <v>3.4999999999999996E-2</v>
      </c>
      <c r="AP245" s="488">
        <v>3.4999999999999996E-2</v>
      </c>
      <c r="AQ245" s="488">
        <v>3.4999999999999996E-2</v>
      </c>
      <c r="AR245" s="488">
        <v>3.4999999999999996E-2</v>
      </c>
      <c r="AS245" s="488">
        <v>3.5999999999999997E-2</v>
      </c>
      <c r="AT245" s="488">
        <v>3.5999999999999997E-2</v>
      </c>
      <c r="AU245" s="488">
        <v>3.5999999999999997E-2</v>
      </c>
      <c r="AV245" s="489">
        <v>3.5999999999999997E-2</v>
      </c>
      <c r="AW245" s="489">
        <v>3.5999999999999997E-2</v>
      </c>
      <c r="AX245" s="489">
        <v>3.5999999999999997E-2</v>
      </c>
      <c r="AY245" s="489">
        <v>3.5999999999999997E-2</v>
      </c>
      <c r="AZ245" s="489">
        <v>3.5999999999999997E-2</v>
      </c>
      <c r="BA245" s="489">
        <v>3.5999999999999997E-2</v>
      </c>
      <c r="BB245" s="489">
        <v>3.5999999999999997E-2</v>
      </c>
      <c r="BC245" s="489">
        <v>3.5999999999999997E-2</v>
      </c>
      <c r="BD245" s="489">
        <v>3.5999999999999997E-2</v>
      </c>
      <c r="BE245" s="489">
        <v>3.5999999999999997E-2</v>
      </c>
      <c r="BF245" s="489">
        <v>3.5999999999999997E-2</v>
      </c>
      <c r="BG245" s="489">
        <v>3.5999999999999997E-2</v>
      </c>
      <c r="BH245" s="489">
        <v>3.5999999999999997E-2</v>
      </c>
      <c r="BI245" s="489">
        <v>3.5999999999999997E-2</v>
      </c>
      <c r="BJ245" s="489">
        <v>3.5999999999999997E-2</v>
      </c>
      <c r="BK245" s="489">
        <v>3.5999999999999997E-2</v>
      </c>
      <c r="BL245" s="489">
        <v>3.5999999999999997E-2</v>
      </c>
      <c r="BM245" s="489">
        <v>3.5999999999999997E-2</v>
      </c>
      <c r="BN245" s="489">
        <v>3.5999999999999997E-2</v>
      </c>
      <c r="BO245" s="489">
        <v>3.5999999999999997E-2</v>
      </c>
      <c r="BP245" s="489">
        <v>3.5999999999999997E-2</v>
      </c>
      <c r="BQ245" s="489">
        <v>3.5999999999999997E-2</v>
      </c>
      <c r="BR245" s="489">
        <v>3.5999999999999997E-2</v>
      </c>
      <c r="BS245" s="489">
        <v>3.5999999999999997E-2</v>
      </c>
      <c r="BT245" s="489">
        <v>3.5999999999999997E-2</v>
      </c>
      <c r="BU245" s="489">
        <v>3.5999999999999997E-2</v>
      </c>
      <c r="BV245" s="489">
        <v>3.5999999999999997E-2</v>
      </c>
      <c r="BW245" s="489">
        <v>3.5999999999999997E-2</v>
      </c>
      <c r="BX245" s="489">
        <v>3.5999999999999997E-2</v>
      </c>
      <c r="BY245" s="489">
        <v>3.5999999999999997E-2</v>
      </c>
      <c r="BZ245" s="489">
        <v>3.5999999999999997E-2</v>
      </c>
      <c r="CA245" s="489">
        <v>3.9E-2</v>
      </c>
      <c r="CB245" s="489">
        <v>3.9E-2</v>
      </c>
      <c r="CC245" s="489">
        <v>3.9E-2</v>
      </c>
      <c r="CD245" s="489">
        <v>3.9E-2</v>
      </c>
      <c r="CE245" s="489">
        <v>4.4999999999999998E-2</v>
      </c>
      <c r="CF245" s="489">
        <v>4.4999999999999998E-2</v>
      </c>
      <c r="CG245" s="489">
        <v>4.4999999999999998E-2</v>
      </c>
      <c r="CH245" s="489">
        <v>4.4999999999999998E-2</v>
      </c>
      <c r="CI245" s="489">
        <v>4.4999999999999998E-2</v>
      </c>
      <c r="CJ245" s="489">
        <v>4.4999999999999998E-2</v>
      </c>
      <c r="CK245" s="489">
        <v>4.4999999999999998E-2</v>
      </c>
      <c r="CL245" s="489">
        <v>4.4999999999999998E-2</v>
      </c>
      <c r="CM245" s="489">
        <v>4.4999999999999998E-2</v>
      </c>
      <c r="CN245" s="489">
        <v>4.4999999999999998E-2</v>
      </c>
      <c r="CO245" s="489">
        <v>4.4999999999999998E-2</v>
      </c>
      <c r="CP245" s="489">
        <v>4.4999999999999998E-2</v>
      </c>
      <c r="CQ245" s="489">
        <v>4.4999999999999998E-2</v>
      </c>
      <c r="CR245" s="489">
        <v>4.4999999999999998E-2</v>
      </c>
      <c r="CS245" s="489">
        <v>4.4999999999999998E-2</v>
      </c>
      <c r="CT245" s="489">
        <v>4.4999999999999998E-2</v>
      </c>
      <c r="CU245" s="489">
        <v>4.4999999999999998E-2</v>
      </c>
      <c r="CV245" s="489">
        <v>4.4999999999999998E-2</v>
      </c>
      <c r="CW245" s="489">
        <v>4.4999999999999998E-2</v>
      </c>
      <c r="CX245" s="489">
        <v>4.4999999999999998E-2</v>
      </c>
      <c r="CY245" s="489">
        <v>4.4999999999999998E-2</v>
      </c>
      <c r="CZ245" s="489">
        <v>4.4999999999999998E-2</v>
      </c>
      <c r="DA245" s="489">
        <v>4.4999999999999998E-2</v>
      </c>
      <c r="DB245" s="489">
        <v>4.4999999999999998E-2</v>
      </c>
      <c r="DC245" s="489">
        <v>4.4999999999999998E-2</v>
      </c>
      <c r="DD245" s="489">
        <v>4.4999999999999998E-2</v>
      </c>
      <c r="DE245" s="489">
        <v>4.4999999999999998E-2</v>
      </c>
      <c r="DF245" s="489">
        <v>4.4999999999999998E-2</v>
      </c>
      <c r="DG245" s="489">
        <v>4.4999999999999998E-2</v>
      </c>
      <c r="DH245" s="489">
        <v>4.4999999999999998E-2</v>
      </c>
      <c r="DI245" s="489">
        <v>4.4999999999999998E-2</v>
      </c>
      <c r="DJ245" s="489">
        <v>4.4999999999999998E-2</v>
      </c>
      <c r="DK245" s="489">
        <v>4.4999999999999998E-2</v>
      </c>
      <c r="DL245" s="489">
        <v>4.4999999999999998E-2</v>
      </c>
      <c r="DM245" s="489">
        <v>4.4999999999999998E-2</v>
      </c>
      <c r="DN245" s="489">
        <v>4.4999999999999998E-2</v>
      </c>
      <c r="DO245" s="489">
        <v>4.4999999999999998E-2</v>
      </c>
      <c r="DP245" s="489">
        <v>4.4999999999999998E-2</v>
      </c>
      <c r="DQ245" s="489">
        <v>4.4999999999999998E-2</v>
      </c>
      <c r="DR245" s="489">
        <v>4.4999999999999998E-2</v>
      </c>
      <c r="DS245" s="489">
        <v>4.4999999999999998E-2</v>
      </c>
      <c r="DT245" s="489">
        <v>4.4999999999999998E-2</v>
      </c>
      <c r="DU245" s="489">
        <v>4.4999999999999998E-2</v>
      </c>
      <c r="DV245" s="489">
        <v>4.4999999999999998E-2</v>
      </c>
      <c r="DW245" s="489">
        <v>4.4999999999999998E-2</v>
      </c>
      <c r="DX245" s="489">
        <v>4.4999999999999998E-2</v>
      </c>
      <c r="DY245" s="489">
        <v>4.4999999999999998E-2</v>
      </c>
      <c r="DZ245" s="489">
        <v>4.4999999999999998E-2</v>
      </c>
      <c r="EA245" s="489">
        <v>4.4999999999999998E-2</v>
      </c>
      <c r="EB245" s="489">
        <v>4.4999999999999998E-2</v>
      </c>
      <c r="EC245" s="489">
        <v>4.4999999999999998E-2</v>
      </c>
      <c r="ED245" s="489">
        <v>4.4999999999999998E-2</v>
      </c>
      <c r="EE245" s="489">
        <v>4.4999999999999998E-2</v>
      </c>
      <c r="EF245" s="489">
        <v>4.4999999999999998E-2</v>
      </c>
      <c r="EG245" s="489">
        <v>4.4999999999999998E-2</v>
      </c>
      <c r="EH245" s="489">
        <v>4.4999999999999998E-2</v>
      </c>
      <c r="EI245" s="489">
        <v>4.4999999999999998E-2</v>
      </c>
      <c r="EJ245" s="489">
        <v>4.4999999999999998E-2</v>
      </c>
      <c r="EK245" s="489">
        <v>4.4999999999999998E-2</v>
      </c>
      <c r="EL245" s="489">
        <v>4.4999999999999998E-2</v>
      </c>
      <c r="EM245" s="489">
        <v>4.4999999999999998E-2</v>
      </c>
      <c r="EN245" s="489">
        <v>4.4999999999999998E-2</v>
      </c>
      <c r="EO245" s="489">
        <v>4.4999999999999998E-2</v>
      </c>
      <c r="EP245" s="489">
        <v>4.4999999999999998E-2</v>
      </c>
      <c r="EQ245" s="489">
        <v>4.4999999999999998E-2</v>
      </c>
      <c r="ER245" s="489">
        <v>4.4999999999999998E-2</v>
      </c>
      <c r="ES245" s="489">
        <v>4.4999999999999998E-2</v>
      </c>
      <c r="ET245" s="489">
        <v>4.4999999999999998E-2</v>
      </c>
      <c r="EU245" s="489">
        <v>4.4999999999999998E-2</v>
      </c>
      <c r="EV245" s="489">
        <v>4.4999999999999998E-2</v>
      </c>
      <c r="EW245" s="489">
        <v>4.4999999999999998E-2</v>
      </c>
      <c r="EX245" s="489">
        <v>4.4999999999999998E-2</v>
      </c>
      <c r="EY245" s="489">
        <v>4.4999999999999998E-2</v>
      </c>
      <c r="EZ245" s="489">
        <v>4.4999999999999998E-2</v>
      </c>
      <c r="FA245" s="489">
        <v>4.4999999999999998E-2</v>
      </c>
      <c r="FB245" s="489">
        <v>4.4999999999999998E-2</v>
      </c>
      <c r="FC245" s="489">
        <v>4.4999999999999998E-2</v>
      </c>
      <c r="FD245" s="489">
        <v>4.4999999999999998E-2</v>
      </c>
      <c r="FE245" s="489">
        <v>4.4999999999999998E-2</v>
      </c>
      <c r="FF245" s="489">
        <v>4.4999999999999998E-2</v>
      </c>
      <c r="FG245" s="489">
        <v>4.4999999999999998E-2</v>
      </c>
      <c r="FH245" s="489">
        <v>4.4999999999999998E-2</v>
      </c>
      <c r="FI245" s="489">
        <v>4.4999999999999998E-2</v>
      </c>
      <c r="FJ245" s="489">
        <v>4.4999999999999998E-2</v>
      </c>
      <c r="FK245" s="489">
        <v>4.4999999999999998E-2</v>
      </c>
      <c r="FL245" s="489">
        <v>4.4999999999999998E-2</v>
      </c>
      <c r="FM245" s="489">
        <v>4.4999999999999998E-2</v>
      </c>
      <c r="FN245" s="489">
        <v>4.4999999999999998E-2</v>
      </c>
      <c r="FO245" s="489">
        <v>4.4999999999999998E-2</v>
      </c>
      <c r="FP245" s="489">
        <v>4.4999999999999998E-2</v>
      </c>
      <c r="FQ245" s="489">
        <v>4.4999999999999998E-2</v>
      </c>
      <c r="FR245" s="489">
        <v>4.4999999999999998E-2</v>
      </c>
      <c r="FS245" s="489">
        <v>4.4999999999999998E-2</v>
      </c>
      <c r="FT245" s="489">
        <v>4.4999999999999998E-2</v>
      </c>
      <c r="FU245" s="489">
        <v>4.4999999999999998E-2</v>
      </c>
      <c r="FV245" s="489">
        <v>4.4999999999999998E-2</v>
      </c>
      <c r="FW245" s="489">
        <v>4.4999999999999998E-2</v>
      </c>
      <c r="FX245" s="489">
        <v>4.4999999999999998E-2</v>
      </c>
      <c r="FY245" s="489">
        <v>4.4999999999999998E-2</v>
      </c>
      <c r="FZ245" s="489">
        <v>4.4999999999999998E-2</v>
      </c>
      <c r="GA245" s="489">
        <v>4.4999999999999998E-2</v>
      </c>
      <c r="GB245" s="489">
        <v>4.4999999999999998E-2</v>
      </c>
      <c r="GC245" s="489">
        <v>4.4999999999999998E-2</v>
      </c>
      <c r="GD245" s="489">
        <v>3.95E-2</v>
      </c>
      <c r="GE245" s="489">
        <v>3.95E-2</v>
      </c>
      <c r="GF245" s="489">
        <v>3.95E-2</v>
      </c>
      <c r="GG245" s="489">
        <v>3.95E-2</v>
      </c>
      <c r="GH245" s="489">
        <v>3.95E-2</v>
      </c>
      <c r="GI245" s="489">
        <v>3.95E-2</v>
      </c>
      <c r="GJ245" s="489">
        <v>3.95E-2</v>
      </c>
      <c r="GK245" s="489">
        <v>3.95E-2</v>
      </c>
      <c r="GL245" s="489">
        <v>3.95E-2</v>
      </c>
      <c r="GM245" s="489">
        <v>3.95E-2</v>
      </c>
      <c r="GN245" s="489">
        <v>3.95E-2</v>
      </c>
      <c r="GO245" s="489">
        <v>3.95E-2</v>
      </c>
      <c r="GP245" s="489">
        <v>3.95E-2</v>
      </c>
      <c r="GQ245" s="489">
        <v>3.95E-2</v>
      </c>
      <c r="GR245" s="489">
        <v>3.95E-2</v>
      </c>
      <c r="GS245" s="489">
        <v>3.95E-2</v>
      </c>
      <c r="GT245" s="489">
        <v>3.95E-2</v>
      </c>
      <c r="GU245" s="489">
        <v>3.95E-2</v>
      </c>
      <c r="GV245" s="489">
        <v>3.95E-2</v>
      </c>
      <c r="GW245" s="489">
        <v>3.95E-2</v>
      </c>
      <c r="GX245" s="489">
        <v>3.95E-2</v>
      </c>
      <c r="GY245" s="489">
        <v>3.95E-2</v>
      </c>
      <c r="GZ245" s="489">
        <v>3.95E-2</v>
      </c>
      <c r="HA245" s="489">
        <v>3.95E-2</v>
      </c>
      <c r="HB245" s="489">
        <v>3.95E-2</v>
      </c>
      <c r="HC245" s="489">
        <v>3.95E-2</v>
      </c>
      <c r="HD245" s="489">
        <v>3.95E-2</v>
      </c>
      <c r="HE245" s="489">
        <v>3.95E-2</v>
      </c>
      <c r="HF245" s="489">
        <v>3.95E-2</v>
      </c>
      <c r="HG245" s="489">
        <v>3.95E-2</v>
      </c>
      <c r="HH245" s="489">
        <v>3.95E-2</v>
      </c>
      <c r="HI245" s="489">
        <v>3.95E-2</v>
      </c>
      <c r="HJ245" s="489">
        <v>3.95E-2</v>
      </c>
      <c r="HK245" s="489">
        <v>3.95E-2</v>
      </c>
      <c r="HL245" s="489">
        <v>3.95E-2</v>
      </c>
      <c r="HM245" s="489">
        <v>3.95E-2</v>
      </c>
      <c r="HN245" s="489">
        <v>3.95E-2</v>
      </c>
      <c r="HO245" s="489">
        <v>3.95E-2</v>
      </c>
      <c r="HP245" s="473">
        <f t="shared" si="105"/>
        <v>0</v>
      </c>
      <c r="HQ245" s="530"/>
    </row>
    <row r="246" spans="2:225">
      <c r="B246" s="673" t="s">
        <v>44</v>
      </c>
      <c r="C246" s="730" t="s">
        <v>215</v>
      </c>
      <c r="D246" s="476">
        <v>5.0000000000000001E-3</v>
      </c>
      <c r="E246" s="476">
        <v>5.0000000000000001E-3</v>
      </c>
      <c r="F246" s="476">
        <v>5.0000000000000001E-3</v>
      </c>
      <c r="G246" s="476">
        <v>5.0000000000000001E-3</v>
      </c>
      <c r="H246" s="476">
        <v>5.0000000000000001E-3</v>
      </c>
      <c r="I246" s="476">
        <v>5.0000000000000001E-3</v>
      </c>
      <c r="J246" s="476">
        <v>5.0000000000000001E-3</v>
      </c>
      <c r="K246" s="476">
        <v>5.0000000000000001E-3</v>
      </c>
      <c r="L246" s="476">
        <v>5.0000000000000001E-3</v>
      </c>
      <c r="M246" s="476">
        <v>5.0000000000000001E-3</v>
      </c>
      <c r="N246" s="476">
        <v>5.0000000000000001E-3</v>
      </c>
      <c r="O246" s="476">
        <v>5.0000000000000001E-3</v>
      </c>
      <c r="P246" s="476">
        <v>5.0000000000000001E-3</v>
      </c>
      <c r="Q246" s="476">
        <v>5.0000000000000001E-3</v>
      </c>
      <c r="R246" s="476">
        <v>5.0000000000000001E-3</v>
      </c>
      <c r="S246" s="476">
        <v>5.0000000000000001E-3</v>
      </c>
      <c r="T246" s="476">
        <v>5.0000000000000001E-3</v>
      </c>
      <c r="U246" s="476">
        <v>5.0000000000000001E-3</v>
      </c>
      <c r="V246" s="476">
        <v>5.0000000000000001E-3</v>
      </c>
      <c r="W246" s="476">
        <v>5.0000000000000001E-3</v>
      </c>
      <c r="X246" s="476">
        <v>5.0000000000000001E-3</v>
      </c>
      <c r="Y246" s="493">
        <v>5.0000000000000001E-3</v>
      </c>
      <c r="Z246" s="476">
        <v>1.4999999999999999E-2</v>
      </c>
      <c r="AA246" s="476">
        <v>1.4999999999999999E-2</v>
      </c>
      <c r="AB246" s="476">
        <v>1.4999999999999999E-2</v>
      </c>
      <c r="AC246" s="476">
        <v>1.4999999999999999E-2</v>
      </c>
      <c r="AD246" s="476">
        <v>1.4999999999999999E-2</v>
      </c>
      <c r="AE246" s="476">
        <v>1.4999999999999999E-2</v>
      </c>
      <c r="AF246" s="476">
        <v>1.4999999999999999E-2</v>
      </c>
      <c r="AG246" s="476">
        <v>1.4999999999999999E-2</v>
      </c>
      <c r="AH246" s="476">
        <v>1.4999999999999999E-2</v>
      </c>
      <c r="AI246" s="476">
        <v>1.4999999999999999E-2</v>
      </c>
      <c r="AJ246" s="476">
        <v>1.4999999999999999E-2</v>
      </c>
      <c r="AK246" s="476">
        <v>1.4999999999999999E-2</v>
      </c>
      <c r="AL246" s="477">
        <v>1.4999999999999999E-2</v>
      </c>
      <c r="AM246" s="476">
        <v>1.4999999999999999E-2</v>
      </c>
      <c r="AN246" s="476">
        <v>1.4999999999999999E-2</v>
      </c>
      <c r="AO246" s="476">
        <v>1.4999999999999999E-2</v>
      </c>
      <c r="AP246" s="476">
        <v>1.4999999999999999E-2</v>
      </c>
      <c r="AQ246" s="476">
        <v>1.4999999999999999E-2</v>
      </c>
      <c r="AR246" s="476">
        <v>1.4999999999999999E-2</v>
      </c>
      <c r="AS246" s="476">
        <v>1.4999999999999999E-2</v>
      </c>
      <c r="AT246" s="476">
        <v>1.4999999999999999E-2</v>
      </c>
      <c r="AU246" s="476">
        <v>1.4999999999999999E-2</v>
      </c>
      <c r="AV246" s="477">
        <v>1.4999999999999999E-2</v>
      </c>
      <c r="AW246" s="477">
        <v>1.4999999999999999E-2</v>
      </c>
      <c r="AX246" s="477">
        <v>1.4999999999999999E-2</v>
      </c>
      <c r="AY246" s="477">
        <v>1.4999999999999999E-2</v>
      </c>
      <c r="AZ246" s="477">
        <v>1.4999999999999999E-2</v>
      </c>
      <c r="BA246" s="477">
        <v>1.4999999999999999E-2</v>
      </c>
      <c r="BB246" s="477">
        <v>1.4999999999999999E-2</v>
      </c>
      <c r="BC246" s="477">
        <v>1.4999999999999999E-2</v>
      </c>
      <c r="BD246" s="477">
        <v>1.4999999999999999E-2</v>
      </c>
      <c r="BE246" s="477">
        <v>1.4999999999999999E-2</v>
      </c>
      <c r="BF246" s="477">
        <v>1.4999999999999999E-2</v>
      </c>
      <c r="BG246" s="477">
        <v>1.4999999999999999E-2</v>
      </c>
      <c r="BH246" s="477">
        <v>1.4999999999999999E-2</v>
      </c>
      <c r="BI246" s="477">
        <v>1.4999999999999999E-2</v>
      </c>
      <c r="BJ246" s="477">
        <v>1.4999999999999999E-2</v>
      </c>
      <c r="BK246" s="477">
        <v>1.4999999999999999E-2</v>
      </c>
      <c r="BL246" s="477">
        <v>1.4999999999999999E-2</v>
      </c>
      <c r="BM246" s="477">
        <v>1.4999999999999999E-2</v>
      </c>
      <c r="BN246" s="477">
        <v>1.4999999999999999E-2</v>
      </c>
      <c r="BO246" s="477">
        <v>1.4999999999999999E-2</v>
      </c>
      <c r="BP246" s="477">
        <v>1.4999999999999999E-2</v>
      </c>
      <c r="BQ246" s="477">
        <v>1.4999999999999999E-2</v>
      </c>
      <c r="BR246" s="477">
        <v>1.4999999999999999E-2</v>
      </c>
      <c r="BS246" s="477">
        <v>1.4999999999999999E-2</v>
      </c>
      <c r="BT246" s="477">
        <v>1.4999999999999999E-2</v>
      </c>
      <c r="BU246" s="477">
        <v>1.4999999999999999E-2</v>
      </c>
      <c r="BV246" s="477">
        <v>1.4999999999999999E-2</v>
      </c>
      <c r="BW246" s="477">
        <v>1.4999999999999999E-2</v>
      </c>
      <c r="BX246" s="477">
        <v>2.75E-2</v>
      </c>
      <c r="BY246" s="477">
        <v>2.75E-2</v>
      </c>
      <c r="BZ246" s="477">
        <v>2.75E-2</v>
      </c>
      <c r="CA246" s="477">
        <v>2.75E-2</v>
      </c>
      <c r="CB246" s="477">
        <v>2.75E-2</v>
      </c>
      <c r="CC246" s="477">
        <v>2.75E-2</v>
      </c>
      <c r="CD246" s="477">
        <v>0.03</v>
      </c>
      <c r="CE246" s="477">
        <v>0.03</v>
      </c>
      <c r="CF246" s="477">
        <v>0.03</v>
      </c>
      <c r="CG246" s="477">
        <v>0.03</v>
      </c>
      <c r="CH246" s="477">
        <v>0.03</v>
      </c>
      <c r="CI246" s="477">
        <v>0.03</v>
      </c>
      <c r="CJ246" s="477">
        <v>0.03</v>
      </c>
      <c r="CK246" s="477">
        <v>0.03</v>
      </c>
      <c r="CL246" s="477">
        <v>0.03</v>
      </c>
      <c r="CM246" s="477">
        <v>0.03</v>
      </c>
      <c r="CN246" s="477">
        <v>0.03</v>
      </c>
      <c r="CO246" s="477">
        <v>0.03</v>
      </c>
      <c r="CP246" s="477">
        <v>0.03</v>
      </c>
      <c r="CQ246" s="477">
        <v>0.03</v>
      </c>
      <c r="CR246" s="477">
        <v>0.03</v>
      </c>
      <c r="CS246" s="477">
        <v>0.03</v>
      </c>
      <c r="CT246" s="477">
        <v>0.03</v>
      </c>
      <c r="CU246" s="477">
        <v>0.03</v>
      </c>
      <c r="CV246" s="477">
        <v>0.03</v>
      </c>
      <c r="CW246" s="477">
        <v>0.03</v>
      </c>
      <c r="CX246" s="477">
        <v>0.03</v>
      </c>
      <c r="CY246" s="477">
        <v>0.03</v>
      </c>
      <c r="CZ246" s="477">
        <v>0.03</v>
      </c>
      <c r="DA246" s="477">
        <v>0.03</v>
      </c>
      <c r="DB246" s="477">
        <v>0.03</v>
      </c>
      <c r="DC246" s="477">
        <v>0.03</v>
      </c>
      <c r="DD246" s="477">
        <v>0.03</v>
      </c>
      <c r="DE246" s="477">
        <v>0.03</v>
      </c>
      <c r="DF246" s="477">
        <v>0.03</v>
      </c>
      <c r="DG246" s="477">
        <v>0.03</v>
      </c>
      <c r="DH246" s="477">
        <v>0.03</v>
      </c>
      <c r="DI246" s="477">
        <v>0.03</v>
      </c>
      <c r="DJ246" s="477">
        <v>0.03</v>
      </c>
      <c r="DK246" s="477">
        <v>0.03</v>
      </c>
      <c r="DL246" s="477">
        <v>0.03</v>
      </c>
      <c r="DM246" s="477">
        <v>0.03</v>
      </c>
      <c r="DN246" s="477">
        <v>0.03</v>
      </c>
      <c r="DO246" s="477">
        <v>0.03</v>
      </c>
      <c r="DP246" s="477">
        <v>0.03</v>
      </c>
      <c r="DQ246" s="477">
        <v>0.03</v>
      </c>
      <c r="DR246" s="477">
        <v>0.03</v>
      </c>
      <c r="DS246" s="477">
        <v>0.03</v>
      </c>
      <c r="DT246" s="477">
        <v>0.03</v>
      </c>
      <c r="DU246" s="477">
        <v>0.03</v>
      </c>
      <c r="DV246" s="477">
        <v>0.03</v>
      </c>
      <c r="DW246" s="477">
        <v>0.03</v>
      </c>
      <c r="DX246" s="477">
        <v>0.03</v>
      </c>
      <c r="DY246" s="477">
        <v>0.03</v>
      </c>
      <c r="DZ246" s="477">
        <v>0.03</v>
      </c>
      <c r="EA246" s="477">
        <v>0.03</v>
      </c>
      <c r="EB246" s="477">
        <v>0.03</v>
      </c>
      <c r="EC246" s="477">
        <v>0.03</v>
      </c>
      <c r="ED246" s="477">
        <v>0.03</v>
      </c>
      <c r="EE246" s="477">
        <v>0.03</v>
      </c>
      <c r="EF246" s="477">
        <v>0.03</v>
      </c>
      <c r="EG246" s="477">
        <v>0.03</v>
      </c>
      <c r="EH246" s="477">
        <v>0.03</v>
      </c>
      <c r="EI246" s="477">
        <v>0.04</v>
      </c>
      <c r="EJ246" s="477">
        <v>3.2500000000000001E-2</v>
      </c>
      <c r="EK246" s="477">
        <v>3.2500000000000001E-2</v>
      </c>
      <c r="EL246" s="477">
        <v>3.2500000000000001E-2</v>
      </c>
      <c r="EM246" s="477">
        <v>3.2500000000000001E-2</v>
      </c>
      <c r="EN246" s="477">
        <v>0.03</v>
      </c>
      <c r="EO246" s="477">
        <v>0.03</v>
      </c>
      <c r="EP246" s="477">
        <v>0.03</v>
      </c>
      <c r="EQ246" s="477">
        <v>0.03</v>
      </c>
      <c r="ER246" s="477">
        <v>0.03</v>
      </c>
      <c r="ES246" s="477">
        <v>0.03</v>
      </c>
      <c r="ET246" s="477">
        <v>0.03</v>
      </c>
      <c r="EU246" s="477">
        <v>0.03</v>
      </c>
      <c r="EV246" s="477">
        <v>0.03</v>
      </c>
      <c r="EW246" s="477">
        <v>0.03</v>
      </c>
      <c r="EX246" s="477">
        <v>0.03</v>
      </c>
      <c r="EY246" s="477">
        <v>0.03</v>
      </c>
      <c r="EZ246" s="477">
        <v>0.03</v>
      </c>
      <c r="FA246" s="477">
        <v>0.03</v>
      </c>
      <c r="FB246" s="477">
        <v>0.03</v>
      </c>
      <c r="FC246" s="477">
        <v>0.03</v>
      </c>
      <c r="FD246" s="477">
        <v>0.04</v>
      </c>
      <c r="FE246" s="477">
        <v>0.04</v>
      </c>
      <c r="FF246" s="477">
        <v>0.04</v>
      </c>
      <c r="FG246" s="477">
        <v>0.04</v>
      </c>
      <c r="FH246" s="477">
        <v>0.04</v>
      </c>
      <c r="FI246" s="477">
        <v>0.04</v>
      </c>
      <c r="FJ246" s="477">
        <v>0.04</v>
      </c>
      <c r="FK246" s="477">
        <v>4.4999999999999998E-2</v>
      </c>
      <c r="FL246" s="477">
        <v>4.4999999999999998E-2</v>
      </c>
      <c r="FM246" s="477">
        <v>4.4999999999999998E-2</v>
      </c>
      <c r="FN246" s="477">
        <v>4.4999999999999998E-2</v>
      </c>
      <c r="FO246" s="477">
        <v>4.4999999999999998E-2</v>
      </c>
      <c r="FP246" s="477">
        <v>4.4999999999999998E-2</v>
      </c>
      <c r="FQ246" s="477">
        <v>0.04</v>
      </c>
      <c r="FR246" s="477">
        <v>0.04</v>
      </c>
      <c r="FS246" s="477">
        <v>0.04</v>
      </c>
      <c r="FT246" s="477">
        <v>0.04</v>
      </c>
      <c r="FU246" s="477">
        <v>0.04</v>
      </c>
      <c r="FV246" s="477">
        <v>0.03</v>
      </c>
      <c r="FW246" s="477">
        <v>0.03</v>
      </c>
      <c r="FX246" s="477">
        <v>0.03</v>
      </c>
      <c r="FY246" s="477">
        <v>0.03</v>
      </c>
      <c r="FZ246" s="477">
        <v>0.03</v>
      </c>
      <c r="GA246" s="477">
        <v>0.03</v>
      </c>
      <c r="GB246" s="477">
        <v>0.03</v>
      </c>
      <c r="GC246" s="477">
        <v>0.03</v>
      </c>
      <c r="GD246" s="477">
        <v>3.2500000000000001E-2</v>
      </c>
      <c r="GE246" s="477">
        <v>3.2500000000000001E-2</v>
      </c>
      <c r="GF246" s="477">
        <v>3.2500000000000001E-2</v>
      </c>
      <c r="GG246" s="477">
        <v>3.2500000000000001E-2</v>
      </c>
      <c r="GH246" s="477">
        <v>3.2500000000000001E-2</v>
      </c>
      <c r="GI246" s="477">
        <v>3.2500000000000001E-2</v>
      </c>
      <c r="GJ246" s="477">
        <v>3.2500000000000001E-2</v>
      </c>
      <c r="GK246" s="477">
        <v>3.2500000000000001E-2</v>
      </c>
      <c r="GL246" s="477">
        <v>3.2500000000000001E-2</v>
      </c>
      <c r="GM246" s="477">
        <v>3.2500000000000001E-2</v>
      </c>
      <c r="GN246" s="477">
        <v>3.2500000000000001E-2</v>
      </c>
      <c r="GO246" s="477">
        <v>3.2500000000000001E-2</v>
      </c>
      <c r="GP246" s="477">
        <v>3.2500000000000001E-2</v>
      </c>
      <c r="GQ246" s="477">
        <v>3.2500000000000001E-2</v>
      </c>
      <c r="GR246" s="477">
        <v>3.2500000000000001E-2</v>
      </c>
      <c r="GS246" s="477">
        <v>3.2500000000000001E-2</v>
      </c>
      <c r="GT246" s="477">
        <v>3.2500000000000001E-2</v>
      </c>
      <c r="GU246" s="477">
        <v>3.2500000000000001E-2</v>
      </c>
      <c r="GV246" s="477">
        <v>3.2500000000000001E-2</v>
      </c>
      <c r="GW246" s="477">
        <v>3.2500000000000001E-2</v>
      </c>
      <c r="GX246" s="477">
        <v>3.2500000000000001E-2</v>
      </c>
      <c r="GY246" s="477">
        <v>3.2500000000000001E-2</v>
      </c>
      <c r="GZ246" s="477">
        <v>3.2500000000000001E-2</v>
      </c>
      <c r="HA246" s="477">
        <v>3.2500000000000001E-2</v>
      </c>
      <c r="HB246" s="477">
        <v>3.2500000000000001E-2</v>
      </c>
      <c r="HC246" s="477">
        <v>3.2500000000000001E-2</v>
      </c>
      <c r="HD246" s="477">
        <v>3.2500000000000001E-2</v>
      </c>
      <c r="HE246" s="477">
        <v>3.2500000000000001E-2</v>
      </c>
      <c r="HF246" s="477">
        <v>3.2500000000000001E-2</v>
      </c>
      <c r="HG246" s="477">
        <v>3.2500000000000001E-2</v>
      </c>
      <c r="HH246" s="477">
        <v>3.2500000000000001E-2</v>
      </c>
      <c r="HI246" s="477">
        <v>3.2500000000000001E-2</v>
      </c>
      <c r="HJ246" s="477">
        <v>3.2500000000000001E-2</v>
      </c>
      <c r="HK246" s="477">
        <v>3.2500000000000001E-2</v>
      </c>
      <c r="HL246" s="477">
        <v>3.2500000000000001E-2</v>
      </c>
      <c r="HM246" s="477">
        <v>3.2500000000000001E-2</v>
      </c>
      <c r="HN246" s="477">
        <v>3.2500000000000001E-2</v>
      </c>
      <c r="HO246" s="477">
        <v>3.2500000000000001E-2</v>
      </c>
      <c r="HP246" s="473">
        <f t="shared" si="105"/>
        <v>0</v>
      </c>
      <c r="HQ246" s="511"/>
    </row>
  </sheetData>
  <mergeCells count="93">
    <mergeCell ref="HQ8:HQ10"/>
    <mergeCell ref="HQ4:HQ7"/>
    <mergeCell ref="HQ79:HQ82"/>
    <mergeCell ref="HQ76:HQ78"/>
    <mergeCell ref="HQ32:HQ35"/>
    <mergeCell ref="HQ17:HQ20"/>
    <mergeCell ref="HQ11:HQ16"/>
    <mergeCell ref="HQ36:HQ38"/>
    <mergeCell ref="HQ21:HQ24"/>
    <mergeCell ref="HQ83:HQ85"/>
    <mergeCell ref="HQ109:HQ112"/>
    <mergeCell ref="HQ86:HQ89"/>
    <mergeCell ref="HQ90:HQ95"/>
    <mergeCell ref="HQ96:HQ97"/>
    <mergeCell ref="HQ98:HQ103"/>
    <mergeCell ref="HQ104:HQ108"/>
    <mergeCell ref="B242:B245"/>
    <mergeCell ref="B232:B234"/>
    <mergeCell ref="HQ206:HQ211"/>
    <mergeCell ref="HQ212:HQ216"/>
    <mergeCell ref="B206:B211"/>
    <mergeCell ref="B212:B216"/>
    <mergeCell ref="B239:B241"/>
    <mergeCell ref="B217:B220"/>
    <mergeCell ref="HQ221:HQ224"/>
    <mergeCell ref="HQ217:HQ220"/>
    <mergeCell ref="B221:B224"/>
    <mergeCell ref="B230:HQ230"/>
    <mergeCell ref="B237:HQ237"/>
    <mergeCell ref="B4:B7"/>
    <mergeCell ref="B8:B10"/>
    <mergeCell ref="B32:B35"/>
    <mergeCell ref="B17:B20"/>
    <mergeCell ref="B21:B24"/>
    <mergeCell ref="B11:B16"/>
    <mergeCell ref="B204:B205"/>
    <mergeCell ref="B76:B78"/>
    <mergeCell ref="B36:B38"/>
    <mergeCell ref="B198:B203"/>
    <mergeCell ref="B171:B173"/>
    <mergeCell ref="B169:HQ169"/>
    <mergeCell ref="B96:B97"/>
    <mergeCell ref="B126:B129"/>
    <mergeCell ref="B90:B95"/>
    <mergeCell ref="B156:B159"/>
    <mergeCell ref="HQ130:HQ132"/>
    <mergeCell ref="HQ137:HQ142"/>
    <mergeCell ref="B191:B193"/>
    <mergeCell ref="B130:B132"/>
    <mergeCell ref="B143:B144"/>
    <mergeCell ref="B145:B150"/>
    <mergeCell ref="HQ198:HQ203"/>
    <mergeCell ref="B174:B178"/>
    <mergeCell ref="HQ187:HQ190"/>
    <mergeCell ref="HQ191:HQ193"/>
    <mergeCell ref="B194:B197"/>
    <mergeCell ref="B179:B182"/>
    <mergeCell ref="B187:B190"/>
    <mergeCell ref="B185:HQ185"/>
    <mergeCell ref="B51:B56"/>
    <mergeCell ref="B66:B69"/>
    <mergeCell ref="HQ66:HQ69"/>
    <mergeCell ref="HQ51:HQ56"/>
    <mergeCell ref="B39:B42"/>
    <mergeCell ref="B57:B61"/>
    <mergeCell ref="B160:B163"/>
    <mergeCell ref="B137:B142"/>
    <mergeCell ref="B133:B136"/>
    <mergeCell ref="B151:B155"/>
    <mergeCell ref="B113:B116"/>
    <mergeCell ref="B123:B125"/>
    <mergeCell ref="B121:HQ121"/>
    <mergeCell ref="HQ113:HQ116"/>
    <mergeCell ref="HQ160:HQ163"/>
    <mergeCell ref="HQ145:HQ150"/>
    <mergeCell ref="HQ126:HQ129"/>
    <mergeCell ref="HQ123:HQ125"/>
    <mergeCell ref="B109:B112"/>
    <mergeCell ref="B104:B108"/>
    <mergeCell ref="B83:B85"/>
    <mergeCell ref="B1:HQ1"/>
    <mergeCell ref="B2:HQ2"/>
    <mergeCell ref="B27:HQ27"/>
    <mergeCell ref="B74:HQ74"/>
    <mergeCell ref="B43:B48"/>
    <mergeCell ref="HQ43:HQ48"/>
    <mergeCell ref="B29:B31"/>
    <mergeCell ref="HQ29:HQ31"/>
    <mergeCell ref="B62:B65"/>
    <mergeCell ref="B79:B82"/>
    <mergeCell ref="B98:B103"/>
    <mergeCell ref="B49:B50"/>
    <mergeCell ref="B86:B89"/>
  </mergeCells>
  <phoneticPr fontId="71" type="noConversion"/>
  <conditionalFormatting sqref="HP4:HP25">
    <cfRule type="iconSet" priority="20">
      <iconSet iconSet="3Arrows">
        <cfvo type="percent" val="0"/>
        <cfvo type="num" val="0"/>
        <cfvo type="num" val="0" gte="0"/>
      </iconSet>
    </cfRule>
  </conditionalFormatting>
  <conditionalFormatting sqref="HP29:HP72">
    <cfRule type="iconSet" priority="7">
      <iconSet iconSet="3Arrows">
        <cfvo type="percent" val="0"/>
        <cfvo type="num" val="0"/>
        <cfvo type="num" val="0" gte="0"/>
      </iconSet>
    </cfRule>
  </conditionalFormatting>
  <conditionalFormatting sqref="HP73">
    <cfRule type="iconSet" priority="16">
      <iconSet iconSet="3Arrows">
        <cfvo type="percent" val="0"/>
        <cfvo type="num" val="0"/>
        <cfvo type="num" val="0" gte="0"/>
      </iconSet>
    </cfRule>
  </conditionalFormatting>
  <conditionalFormatting sqref="HP76:HP119">
    <cfRule type="iconSet" priority="6">
      <iconSet iconSet="3Arrows">
        <cfvo type="percent" val="0"/>
        <cfvo type="num" val="0"/>
        <cfvo type="num" val="0" gte="0"/>
      </iconSet>
    </cfRule>
  </conditionalFormatting>
  <conditionalFormatting sqref="HP120">
    <cfRule type="iconSet" priority="17">
      <iconSet iconSet="3Arrows">
        <cfvo type="percent" val="0"/>
        <cfvo type="num" val="0"/>
        <cfvo type="num" val="0" gte="0"/>
      </iconSet>
    </cfRule>
  </conditionalFormatting>
  <conditionalFormatting sqref="HP123:HP166">
    <cfRule type="iconSet" priority="5">
      <iconSet iconSet="3Arrows">
        <cfvo type="percent" val="0"/>
        <cfvo type="num" val="0"/>
        <cfvo type="num" val="0" gte="0"/>
      </iconSet>
    </cfRule>
  </conditionalFormatting>
  <conditionalFormatting sqref="HP168">
    <cfRule type="iconSet" priority="18">
      <iconSet iconSet="3Arrows">
        <cfvo type="percent" val="0"/>
        <cfvo type="num" val="0"/>
        <cfvo type="num" val="0" gte="0"/>
      </iconSet>
    </cfRule>
  </conditionalFormatting>
  <conditionalFormatting sqref="HP171:HP182">
    <cfRule type="iconSet" priority="67">
      <iconSet iconSet="3Arrows">
        <cfvo type="percent" val="0"/>
        <cfvo type="num" val="0"/>
        <cfvo type="num" val="0" gte="0"/>
      </iconSet>
    </cfRule>
  </conditionalFormatting>
  <conditionalFormatting sqref="HP183:HP184">
    <cfRule type="iconSet" priority="15">
      <iconSet iconSet="3Arrows">
        <cfvo type="percent" val="0"/>
        <cfvo type="num" val="0"/>
        <cfvo type="num" val="0" gte="0"/>
      </iconSet>
    </cfRule>
  </conditionalFormatting>
  <conditionalFormatting sqref="HP187:HP227">
    <cfRule type="iconSet" priority="3">
      <iconSet iconSet="3Arrows">
        <cfvo type="percent" val="0"/>
        <cfvo type="num" val="0"/>
        <cfvo type="num" val="0" gte="0"/>
      </iconSet>
    </cfRule>
  </conditionalFormatting>
  <conditionalFormatting sqref="HP229">
    <cfRule type="iconSet" priority="19">
      <iconSet iconSet="3Arrows">
        <cfvo type="percent" val="0"/>
        <cfvo type="num" val="0"/>
        <cfvo type="num" val="0" gte="0"/>
      </iconSet>
    </cfRule>
  </conditionalFormatting>
  <conditionalFormatting sqref="HP232:HP235">
    <cfRule type="iconSet" priority="2">
      <iconSet iconSet="3Arrows">
        <cfvo type="percent" val="0"/>
        <cfvo type="num" val="0"/>
        <cfvo type="num" val="0" gte="0"/>
      </iconSet>
    </cfRule>
  </conditionalFormatting>
  <conditionalFormatting sqref="HP239:HP246">
    <cfRule type="iconSet" priority="87">
      <iconSet iconSet="3Arrows">
        <cfvo type="percent" val="0"/>
        <cfvo type="num" val="0"/>
        <cfvo type="num" val="0" gte="0"/>
      </iconSet>
    </cfRule>
  </conditionalFormatting>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N104"/>
  <sheetViews>
    <sheetView zoomScaleNormal="100" workbookViewId="0">
      <selection activeCell="LN1" sqref="LN1:LN1048576"/>
    </sheetView>
  </sheetViews>
  <sheetFormatPr defaultColWidth="8.88671875" defaultRowHeight="13.8" outlineLevelCol="1"/>
  <cols>
    <col min="1" max="1" width="22.33203125" style="14" bestFit="1" customWidth="1"/>
    <col min="2" max="2" width="41.44140625" style="12" hidden="1" customWidth="1"/>
    <col min="3" max="3" width="82" style="12" hidden="1" customWidth="1"/>
    <col min="4" max="4" width="96" style="12" hidden="1" customWidth="1"/>
    <col min="5" max="5" width="20.44140625" style="12" hidden="1" customWidth="1"/>
    <col min="6" max="7" width="82" style="12" hidden="1" customWidth="1"/>
    <col min="8" max="10" width="83.88671875" style="12" hidden="1" customWidth="1"/>
    <col min="11" max="11" width="91.44140625" style="12" hidden="1" customWidth="1"/>
    <col min="12" max="12" width="80.33203125" style="12" hidden="1" customWidth="1"/>
    <col min="13" max="13" width="91.44140625" style="12" hidden="1" customWidth="1"/>
    <col min="14" max="14" width="14" style="12" hidden="1" customWidth="1"/>
    <col min="15" max="15" width="14.33203125" style="12" hidden="1" customWidth="1"/>
    <col min="16" max="16" width="22" style="14" bestFit="1" customWidth="1"/>
    <col min="17" max="18" width="11.6640625" style="14" customWidth="1"/>
    <col min="19" max="32" width="11.6640625" style="14" hidden="1" customWidth="1"/>
    <col min="33" max="35" width="11.6640625" style="12" hidden="1" customWidth="1"/>
    <col min="36" max="42" width="10.6640625" style="14" hidden="1" customWidth="1"/>
    <col min="43" max="43" width="9.6640625" style="14" hidden="1" customWidth="1"/>
    <col min="44" max="44" width="8.6640625" style="14" hidden="1" customWidth="1"/>
    <col min="45" max="47" width="9.6640625" style="14" hidden="1" customWidth="1"/>
    <col min="48" max="48" width="8.6640625" style="14" hidden="1" customWidth="1"/>
    <col min="49" max="50" width="9.6640625" style="14" hidden="1" customWidth="1"/>
    <col min="51" max="51" width="9.6640625" style="12" hidden="1" customWidth="1"/>
    <col min="52" max="53" width="8.6640625" style="14" hidden="1" customWidth="1"/>
    <col min="54" max="56" width="9.6640625" style="14" hidden="1" customWidth="1"/>
    <col min="57" max="57" width="8.6640625" style="14" hidden="1" customWidth="1"/>
    <col min="58" max="60" width="9.6640625" style="14" hidden="1" customWidth="1"/>
    <col min="61" max="61" width="8.6640625" style="12" hidden="1" customWidth="1"/>
    <col min="62" max="63" width="9.6640625" style="12" hidden="1" customWidth="1"/>
    <col min="64" max="64" width="10.6640625" style="12" hidden="1" customWidth="1"/>
    <col min="65" max="65" width="8.6640625" style="12" hidden="1" customWidth="1"/>
    <col min="66" max="68" width="9.6640625" style="12" hidden="1" customWidth="1"/>
    <col min="69" max="69" width="8.6640625" style="12" hidden="1" customWidth="1"/>
    <col min="70" max="72" width="9.6640625" style="12" hidden="1" customWidth="1"/>
    <col min="73" max="73" width="8.6640625" style="12" hidden="1" customWidth="1"/>
    <col min="74" max="76" width="9.6640625" style="12" hidden="1" customWidth="1"/>
    <col min="77" max="78" width="8.6640625" style="12" hidden="1" customWidth="1"/>
    <col min="79" max="81" width="10.6640625" style="12" hidden="1" customWidth="1"/>
    <col min="82" max="82" width="9.6640625" style="12" hidden="1" customWidth="1"/>
    <col min="83" max="85" width="10.6640625" style="12" hidden="1" customWidth="1"/>
    <col min="86" max="86" width="9.6640625" style="12" hidden="1" customWidth="1"/>
    <col min="87" max="90" width="10.6640625" style="12" hidden="1" customWidth="1"/>
    <col min="91" max="94" width="9.6640625" style="12" hidden="1" customWidth="1"/>
    <col min="95" max="95" width="8.6640625" style="12" hidden="1" customWidth="1"/>
    <col min="96" max="98" width="9.6640625" style="12" hidden="1" customWidth="1"/>
    <col min="99" max="100" width="8.6640625" style="12" hidden="1" customWidth="1"/>
    <col min="101" max="103" width="9.6640625" style="12" hidden="1" customWidth="1"/>
    <col min="104" max="104" width="8.6640625" style="12" hidden="1" customWidth="1"/>
    <col min="105" max="107" width="9.6640625" style="12" hidden="1" customWidth="1"/>
    <col min="108" max="108" width="8.6640625" style="12" hidden="1" customWidth="1"/>
    <col min="109" max="109" width="9.6640625" style="12" hidden="1" customWidth="1"/>
    <col min="110" max="110" width="8.6640625" style="12" hidden="1" customWidth="1"/>
    <col min="111" max="111" width="9.6640625" style="12" hidden="1" customWidth="1"/>
    <col min="112" max="113" width="8.6640625" style="12" hidden="1" customWidth="1"/>
    <col min="114" max="116" width="9.6640625" style="12" hidden="1" customWidth="1"/>
    <col min="117" max="117" width="8.6640625" style="12" hidden="1" customWidth="1"/>
    <col min="118" max="120" width="9.6640625" style="12" hidden="1" customWidth="1"/>
    <col min="121" max="121" width="8.6640625" style="12" hidden="1" customWidth="1"/>
    <col min="122" max="124" width="9.6640625" style="12" hidden="1" customWidth="1"/>
    <col min="125" max="126" width="8.6640625" style="12" hidden="1" customWidth="1"/>
    <col min="127" max="129" width="9.6640625" style="12" hidden="1" customWidth="1"/>
    <col min="130" max="130" width="8.6640625" style="12" hidden="1" customWidth="1"/>
    <col min="131" max="133" width="10.6640625" style="12" hidden="1" customWidth="1"/>
    <col min="134" max="134" width="9.6640625" style="12" hidden="1" customWidth="1"/>
    <col min="135" max="137" width="10.6640625" style="12" hidden="1" customWidth="1"/>
    <col min="138" max="139" width="9.6640625" style="12" hidden="1" customWidth="1"/>
    <col min="140" max="142" width="10.6640625" style="12" hidden="1" customWidth="1"/>
    <col min="143" max="146" width="9.6640625" style="12" hidden="1" customWidth="1"/>
    <col min="147" max="147" width="8.6640625" style="12" hidden="1" customWidth="1"/>
    <col min="148" max="151" width="9.6640625" style="12" hidden="1" customWidth="1"/>
    <col min="152" max="152" width="8.6640625" style="12" hidden="1" customWidth="1"/>
    <col min="153" max="155" width="9.6640625" style="12" hidden="1" customWidth="1"/>
    <col min="156" max="156" width="8.6640625" style="12" hidden="1" customWidth="1"/>
    <col min="157" max="159" width="9.6640625" style="12" hidden="1" customWidth="1"/>
    <col min="160" max="160" width="8.6640625" style="12" hidden="1" customWidth="1"/>
    <col min="161" max="164" width="9.6640625" style="12" hidden="1" customWidth="1"/>
    <col min="165" max="165" width="8.6640625" style="12" hidden="1" customWidth="1"/>
    <col min="166" max="168" width="9.6640625" style="12" hidden="1" customWidth="1"/>
    <col min="169" max="169" width="8.6640625" style="12" hidden="1" customWidth="1"/>
    <col min="170" max="173" width="9.6640625" style="12" hidden="1" customWidth="1"/>
    <col min="174" max="175" width="8.6640625" style="12" hidden="1" customWidth="1"/>
    <col min="176" max="177" width="9.6640625" style="12" hidden="1" customWidth="1"/>
    <col min="178" max="179" width="8.6640625" style="12" hidden="1" customWidth="1"/>
    <col min="180" max="182" width="9.6640625" style="12" hidden="1" customWidth="1"/>
    <col min="183" max="183" width="8.6640625" style="12" hidden="1" customWidth="1"/>
    <col min="184" max="186" width="10.6640625" style="12" hidden="1" customWidth="1"/>
    <col min="187" max="188" width="9.6640625" style="12" hidden="1" customWidth="1"/>
    <col min="189" max="190" width="10.6640625" style="12" hidden="1" customWidth="1"/>
    <col min="191" max="196" width="9.6640625" style="12" hidden="1" customWidth="1"/>
    <col min="197" max="197" width="8.6640625" style="12" hidden="1" customWidth="1"/>
    <col min="198" max="200" width="10.6640625" style="12" hidden="1" customWidth="1"/>
    <col min="201" max="201" width="12.6640625" style="12" hidden="1" customWidth="1"/>
    <col min="202" max="202" width="8.6640625" style="12" hidden="1" customWidth="1"/>
    <col min="203" max="204" width="9.6640625" style="12" hidden="1" customWidth="1"/>
    <col min="205" max="219" width="74" style="12" hidden="1" customWidth="1"/>
    <col min="220" max="220" width="8.44140625" style="13" hidden="1" customWidth="1"/>
    <col min="221" max="223" width="74" style="12" hidden="1" customWidth="1"/>
    <col min="224" max="224" width="6.88671875" style="12" hidden="1" customWidth="1"/>
    <col min="225" max="225" width="24.109375" style="12" hidden="1" customWidth="1"/>
    <col min="226" max="226" width="9" style="12" hidden="1" customWidth="1" outlineLevel="1"/>
    <col min="227" max="235" width="7.88671875" style="12" hidden="1" customWidth="1" outlineLevel="1"/>
    <col min="236" max="237" width="10.5546875" style="12" hidden="1" customWidth="1" outlineLevel="1"/>
    <col min="238" max="239" width="11.6640625" style="12" hidden="1" customWidth="1" outlineLevel="1"/>
    <col min="240" max="242" width="7.88671875" style="12" hidden="1" customWidth="1" outlineLevel="1"/>
    <col min="243" max="243" width="6.88671875" style="12" hidden="1" customWidth="1" outlineLevel="1"/>
    <col min="244" max="246" width="7.88671875" style="12" hidden="1" customWidth="1" outlineLevel="1"/>
    <col min="247" max="248" width="6.88671875" style="12" hidden="1" customWidth="1" outlineLevel="1"/>
    <col min="249" max="251" width="7.88671875" style="12" hidden="1" customWidth="1" outlineLevel="1"/>
    <col min="252" max="253" width="6.88671875" style="12" hidden="1" customWidth="1" outlineLevel="1"/>
    <col min="254" max="256" width="7.88671875" style="12" hidden="1" customWidth="1" outlineLevel="1"/>
    <col min="257" max="258" width="6.88671875" style="12" hidden="1" customWidth="1" outlineLevel="1"/>
    <col min="259" max="262" width="7.88671875" style="12" hidden="1" customWidth="1" outlineLevel="1"/>
    <col min="263" max="265" width="8.88671875" style="12" hidden="1" customWidth="1" outlineLevel="1"/>
    <col min="266" max="266" width="7.88671875" style="12" hidden="1" customWidth="1" outlineLevel="1"/>
    <col min="267" max="269" width="8.88671875" style="12" hidden="1" customWidth="1" outlineLevel="1"/>
    <col min="270" max="271" width="7.88671875" style="12" hidden="1" customWidth="1" outlineLevel="1"/>
    <col min="272" max="274" width="8.88671875" style="12" hidden="1" customWidth="1" outlineLevel="1"/>
    <col min="275" max="275" width="9" style="12" hidden="1" customWidth="1" outlineLevel="1"/>
    <col min="276" max="278" width="7.88671875" style="12" hidden="1" customWidth="1" outlineLevel="1"/>
    <col min="279" max="280" width="6.88671875" style="12" hidden="1" customWidth="1" outlineLevel="1"/>
    <col min="281" max="282" width="7.88671875" style="12" hidden="1" customWidth="1" outlineLevel="1"/>
    <col min="283" max="283" width="6.88671875" style="12" hidden="1" customWidth="1" outlineLevel="1"/>
    <col min="284" max="287" width="7.88671875" style="12" hidden="1" customWidth="1" outlineLevel="1"/>
    <col min="288" max="288" width="6.88671875" style="12" hidden="1" customWidth="1" outlineLevel="1"/>
    <col min="289" max="290" width="7.88671875" style="12" hidden="1" customWidth="1" outlineLevel="1"/>
    <col min="291" max="291" width="6.88671875" style="12" hidden="1" customWidth="1" outlineLevel="1"/>
    <col min="292" max="294" width="7.88671875" style="12" hidden="1" customWidth="1" outlineLevel="1"/>
    <col min="295" max="296" width="6.88671875" style="12" hidden="1" customWidth="1" outlineLevel="1"/>
    <col min="297" max="299" width="7.88671875" style="12" hidden="1" customWidth="1" outlineLevel="1"/>
    <col min="300" max="300" width="6.88671875" style="12" hidden="1" customWidth="1" outlineLevel="1"/>
    <col min="301" max="303" width="7.88671875" style="12" hidden="1" customWidth="1" outlineLevel="1"/>
    <col min="304" max="304" width="6.88671875" style="12" hidden="1" customWidth="1" outlineLevel="1"/>
    <col min="305" max="307" width="7.88671875" style="12" hidden="1" customWidth="1" outlineLevel="1"/>
    <col min="308" max="309" width="6.88671875" style="12" hidden="1" customWidth="1" outlineLevel="1"/>
    <col min="310" max="313" width="7.88671875" style="12" hidden="1" customWidth="1" outlineLevel="1"/>
    <col min="314" max="316" width="8.88671875" style="12" hidden="1" customWidth="1" outlineLevel="1"/>
    <col min="317" max="317" width="7.88671875" style="12" hidden="1" customWidth="1" outlineLevel="1"/>
    <col min="318" max="320" width="8.88671875" style="12" hidden="1" customWidth="1" outlineLevel="1"/>
    <col min="321" max="322" width="7.88671875" style="12" hidden="1" customWidth="1" outlineLevel="1"/>
    <col min="323" max="325" width="8.88671875" style="12" hidden="1" customWidth="1" outlineLevel="1"/>
    <col min="326" max="326" width="10.44140625" style="545" customWidth="1" collapsed="1"/>
    <col min="327" max="16384" width="8.88671875" style="12"/>
  </cols>
  <sheetData>
    <row r="1" spans="1:326" ht="38.25" customHeight="1">
      <c r="A1" s="1170" t="s">
        <v>214</v>
      </c>
      <c r="B1" s="1171"/>
      <c r="C1" s="1171"/>
      <c r="D1" s="1171"/>
      <c r="E1" s="1171"/>
      <c r="F1" s="1171"/>
      <c r="G1" s="1171"/>
      <c r="H1" s="1171"/>
      <c r="I1" s="1171"/>
      <c r="J1" s="1171"/>
      <c r="K1" s="1171"/>
      <c r="L1" s="1171"/>
      <c r="M1" s="1171"/>
      <c r="N1" s="1171"/>
      <c r="O1" s="1171"/>
      <c r="P1" s="1171"/>
      <c r="Q1" s="1171"/>
      <c r="R1" s="1171"/>
      <c r="S1" s="1171"/>
      <c r="T1" s="1171"/>
      <c r="U1" s="1171"/>
      <c r="V1" s="1171"/>
      <c r="W1" s="1171"/>
      <c r="X1" s="1171"/>
      <c r="Y1" s="1171"/>
      <c r="Z1" s="1171"/>
      <c r="AA1" s="1171"/>
      <c r="AB1" s="1171"/>
      <c r="AC1" s="1171"/>
      <c r="AD1" s="1171"/>
      <c r="AE1" s="1171"/>
      <c r="AF1" s="1171"/>
      <c r="AG1" s="1171"/>
      <c r="AH1" s="1171"/>
      <c r="AI1" s="1171"/>
      <c r="AJ1" s="1171"/>
      <c r="AK1" s="1171"/>
      <c r="AL1" s="1171"/>
      <c r="AM1" s="1171"/>
      <c r="AN1" s="1171"/>
      <c r="AO1" s="1171"/>
      <c r="AP1" s="1171"/>
      <c r="AQ1" s="1171"/>
      <c r="AR1" s="1171"/>
      <c r="AS1" s="1171"/>
      <c r="AT1" s="1171"/>
      <c r="AU1" s="1171"/>
      <c r="AV1" s="1171"/>
      <c r="AW1" s="1171"/>
      <c r="AX1" s="1171"/>
      <c r="AY1" s="1171"/>
      <c r="AZ1" s="1171"/>
      <c r="BA1" s="1171"/>
      <c r="BB1" s="1171"/>
      <c r="BC1" s="1171"/>
      <c r="BD1" s="1171"/>
      <c r="BE1" s="1171"/>
      <c r="BF1" s="1171"/>
      <c r="BG1" s="1171"/>
      <c r="BH1" s="1171"/>
      <c r="BI1" s="1171"/>
      <c r="BJ1" s="1171"/>
      <c r="BK1" s="1171"/>
      <c r="BL1" s="1171"/>
      <c r="BM1" s="1171"/>
      <c r="BN1" s="1171"/>
      <c r="BO1" s="1171"/>
      <c r="BP1" s="1171"/>
      <c r="BQ1" s="1171"/>
      <c r="BR1" s="1171"/>
      <c r="BS1" s="1171"/>
      <c r="BT1" s="1171"/>
      <c r="BU1" s="1171"/>
      <c r="BV1" s="1171"/>
      <c r="BW1" s="1171"/>
      <c r="BX1" s="1171"/>
      <c r="BY1" s="1171"/>
      <c r="BZ1" s="1171"/>
      <c r="CA1" s="1171"/>
      <c r="CB1" s="1171"/>
      <c r="CC1" s="1171"/>
      <c r="CD1" s="1171"/>
      <c r="CE1" s="1171"/>
      <c r="CF1" s="1171"/>
      <c r="CG1" s="1171"/>
      <c r="CH1" s="1171"/>
      <c r="CI1" s="1171"/>
      <c r="CJ1" s="1171"/>
      <c r="CK1" s="1171"/>
      <c r="CL1" s="1171"/>
      <c r="CM1" s="1171"/>
      <c r="CN1" s="1171"/>
      <c r="CO1" s="1171"/>
      <c r="CP1" s="1171"/>
      <c r="CQ1" s="1171"/>
      <c r="CR1" s="1171"/>
      <c r="CS1" s="1171"/>
      <c r="CT1" s="1171"/>
      <c r="CU1" s="1171"/>
      <c r="CV1" s="1171"/>
      <c r="CW1" s="1171"/>
      <c r="CX1" s="1171"/>
      <c r="CY1" s="1171"/>
      <c r="CZ1" s="1171"/>
      <c r="DA1" s="1171"/>
      <c r="DB1" s="1171"/>
      <c r="DC1" s="1171"/>
      <c r="DD1" s="1171"/>
      <c r="DE1" s="1171"/>
      <c r="DF1" s="1171"/>
      <c r="DG1" s="1171"/>
      <c r="DH1" s="1171"/>
      <c r="DI1" s="1171"/>
      <c r="DJ1" s="1171"/>
      <c r="DK1" s="1171"/>
      <c r="DL1" s="1171"/>
      <c r="DM1" s="1171"/>
      <c r="DN1" s="1171"/>
      <c r="DO1" s="1171"/>
      <c r="DP1" s="1171"/>
      <c r="DQ1" s="1171"/>
      <c r="DR1" s="1171"/>
      <c r="DS1" s="1171"/>
      <c r="DT1" s="1171"/>
      <c r="DU1" s="1171"/>
      <c r="DV1" s="1171"/>
      <c r="DW1" s="1171"/>
      <c r="DX1" s="1171"/>
      <c r="DY1" s="1171"/>
      <c r="DZ1" s="1171"/>
      <c r="EA1" s="1171"/>
      <c r="EB1" s="1171"/>
      <c r="EC1" s="1171"/>
      <c r="ED1" s="1171"/>
      <c r="EE1" s="1171"/>
      <c r="EF1" s="1171"/>
      <c r="EG1" s="1171"/>
      <c r="EH1" s="1171"/>
      <c r="EI1" s="1171"/>
      <c r="EJ1" s="1171"/>
      <c r="EK1" s="1171"/>
      <c r="EL1" s="1171"/>
      <c r="EM1" s="1171"/>
      <c r="EN1" s="1171"/>
      <c r="EO1" s="1171"/>
      <c r="EP1" s="1171"/>
      <c r="EQ1" s="1171"/>
      <c r="ER1" s="1171"/>
      <c r="ES1" s="1171"/>
      <c r="ET1" s="1171"/>
      <c r="EU1" s="1171"/>
      <c r="EV1" s="1171"/>
      <c r="EW1" s="1171"/>
      <c r="EX1" s="1171"/>
      <c r="EY1" s="1171"/>
      <c r="EZ1" s="1171"/>
      <c r="FA1" s="1171"/>
      <c r="FB1" s="1171"/>
      <c r="FC1" s="1171"/>
      <c r="FD1" s="1171"/>
      <c r="FE1" s="1171"/>
      <c r="FF1" s="1171"/>
      <c r="FG1" s="1171"/>
      <c r="FH1" s="1171"/>
      <c r="FI1" s="1171"/>
      <c r="FJ1" s="1171"/>
      <c r="FK1" s="1171"/>
      <c r="FL1" s="1171"/>
      <c r="FM1" s="1171"/>
      <c r="FN1" s="1171"/>
      <c r="FO1" s="1171"/>
      <c r="FP1" s="1171"/>
      <c r="FQ1" s="1171"/>
      <c r="FR1" s="1171"/>
      <c r="FS1" s="1171"/>
      <c r="FT1" s="1171"/>
      <c r="FU1" s="1171"/>
      <c r="FV1" s="1171"/>
      <c r="FW1" s="1171"/>
      <c r="FX1" s="1171"/>
      <c r="FY1" s="1171"/>
      <c r="FZ1" s="1171"/>
      <c r="GA1" s="1171"/>
      <c r="GB1" s="1171"/>
      <c r="GC1" s="1171"/>
      <c r="GD1" s="1171"/>
      <c r="GE1" s="1171"/>
      <c r="GF1" s="1171"/>
      <c r="GG1" s="1171"/>
      <c r="GH1" s="1171"/>
      <c r="GI1" s="1171"/>
      <c r="GJ1" s="1171"/>
      <c r="GK1" s="1171"/>
      <c r="GL1" s="1171"/>
      <c r="GM1" s="1171"/>
      <c r="GN1" s="1171"/>
      <c r="GO1" s="1171"/>
      <c r="GP1" s="1171"/>
      <c r="GQ1" s="1171"/>
      <c r="GR1" s="1171"/>
      <c r="GS1" s="1171"/>
      <c r="GT1" s="1171"/>
      <c r="GU1" s="1171"/>
      <c r="GV1" s="1171"/>
      <c r="GW1" s="1171"/>
      <c r="GX1" s="1171"/>
      <c r="GY1" s="1171"/>
      <c r="GZ1" s="1171"/>
      <c r="HA1" s="1171"/>
      <c r="HB1" s="1171"/>
      <c r="HC1" s="1171"/>
      <c r="HD1" s="1171"/>
      <c r="HE1" s="1171"/>
      <c r="HF1" s="1171"/>
      <c r="HG1" s="1171"/>
      <c r="HH1" s="1171"/>
      <c r="HI1" s="1171"/>
      <c r="HJ1" s="1171"/>
      <c r="HK1" s="1171"/>
      <c r="HL1" s="1171"/>
      <c r="HM1" s="1171"/>
      <c r="HN1" s="1171"/>
      <c r="HO1" s="1171"/>
      <c r="HP1" s="1171"/>
      <c r="HQ1" s="1171"/>
      <c r="HR1" s="1171"/>
      <c r="HS1" s="1171"/>
      <c r="HT1" s="1171"/>
      <c r="HU1" s="1171"/>
      <c r="HV1" s="1171"/>
      <c r="HW1" s="1171"/>
      <c r="HX1" s="1171"/>
      <c r="HY1" s="1171"/>
      <c r="HZ1" s="1171"/>
      <c r="IA1" s="1171"/>
      <c r="IB1" s="1171"/>
      <c r="IC1" s="1171"/>
      <c r="ID1" s="1171"/>
      <c r="IE1" s="1171"/>
      <c r="IF1" s="1171"/>
      <c r="IG1" s="1171"/>
      <c r="IH1" s="1171"/>
      <c r="II1" s="1171"/>
      <c r="IJ1" s="1171"/>
      <c r="IK1" s="1171"/>
      <c r="IL1" s="1171"/>
      <c r="IM1" s="1171"/>
      <c r="IN1" s="1171"/>
      <c r="IO1" s="1171"/>
      <c r="IP1" s="1171"/>
      <c r="IQ1" s="1171"/>
      <c r="IR1" s="1171"/>
      <c r="IS1" s="1171"/>
      <c r="IT1" s="1171"/>
      <c r="IU1" s="1171"/>
      <c r="IV1" s="1171"/>
      <c r="IW1" s="1171"/>
      <c r="IX1" s="1171"/>
      <c r="IY1" s="1171"/>
      <c r="IZ1" s="1171"/>
      <c r="JA1" s="1171"/>
      <c r="JB1" s="1171"/>
      <c r="JC1" s="1171"/>
      <c r="JD1" s="1171"/>
      <c r="JE1" s="1171"/>
      <c r="JF1" s="1171"/>
      <c r="JG1" s="1171"/>
      <c r="JH1" s="1171"/>
      <c r="JI1" s="1171"/>
      <c r="JJ1" s="1171"/>
      <c r="JK1" s="1171"/>
      <c r="JL1" s="1171"/>
      <c r="JM1" s="1171"/>
      <c r="JN1" s="1171"/>
      <c r="JO1" s="1171"/>
      <c r="JP1" s="1171"/>
      <c r="JQ1" s="1171"/>
      <c r="JR1" s="1171"/>
      <c r="JS1" s="1171"/>
      <c r="JT1" s="1171"/>
      <c r="JU1" s="1171"/>
      <c r="JV1" s="1171"/>
      <c r="JW1" s="1171"/>
      <c r="JX1" s="1171"/>
      <c r="JY1" s="1171"/>
      <c r="JZ1" s="1171"/>
      <c r="KA1" s="1171"/>
      <c r="KB1" s="1171"/>
      <c r="KC1" s="1171"/>
      <c r="KD1" s="1171"/>
      <c r="KE1" s="1171"/>
      <c r="KF1" s="1171"/>
      <c r="KG1" s="1171"/>
      <c r="KH1" s="1171"/>
      <c r="KI1" s="1171"/>
      <c r="KJ1" s="1171"/>
      <c r="KK1" s="1171"/>
      <c r="KL1" s="1171"/>
      <c r="KM1" s="1171"/>
      <c r="KN1" s="1171"/>
      <c r="KO1" s="1171"/>
      <c r="KP1" s="1171"/>
      <c r="KQ1" s="1171"/>
      <c r="KR1" s="1171"/>
      <c r="KS1" s="1171"/>
      <c r="KT1" s="1171"/>
      <c r="KU1" s="1171"/>
      <c r="KV1" s="1171"/>
      <c r="KW1" s="1171"/>
      <c r="KX1" s="1171"/>
      <c r="KY1" s="1171"/>
      <c r="KZ1" s="1171"/>
      <c r="LA1" s="1171"/>
      <c r="LB1" s="1171"/>
      <c r="LC1" s="1171"/>
      <c r="LD1" s="1171"/>
      <c r="LE1" s="1171"/>
      <c r="LF1" s="1171"/>
      <c r="LG1" s="1171"/>
      <c r="LH1" s="1171"/>
      <c r="LI1" s="1171"/>
      <c r="LJ1" s="1171"/>
      <c r="LK1" s="1171"/>
      <c r="LL1" s="1171"/>
      <c r="LM1" s="1171"/>
      <c r="LN1" s="12"/>
    </row>
    <row r="2" spans="1:326" ht="17.399999999999999">
      <c r="A2" s="72" t="s">
        <v>213</v>
      </c>
      <c r="B2" s="71"/>
      <c r="C2" s="71"/>
      <c r="D2" s="71"/>
      <c r="E2" s="71"/>
      <c r="F2" s="71"/>
      <c r="G2" s="71"/>
      <c r="H2" s="71"/>
      <c r="I2" s="71"/>
      <c r="J2" s="71"/>
      <c r="K2" s="71"/>
      <c r="L2" s="71"/>
      <c r="M2" s="71"/>
      <c r="N2" s="71"/>
      <c r="O2" s="1174">
        <f>'最高报价汇总 '!F2</f>
        <v>46099</v>
      </c>
      <c r="P2" s="1175"/>
      <c r="Q2" s="1175"/>
      <c r="R2" s="1175"/>
      <c r="S2" s="1175"/>
      <c r="T2" s="1175"/>
      <c r="U2" s="1175"/>
      <c r="V2" s="1175"/>
      <c r="W2" s="1175"/>
      <c r="X2" s="1175"/>
      <c r="Y2" s="1175"/>
      <c r="Z2" s="1175"/>
      <c r="AA2" s="1175"/>
      <c r="AB2" s="1175"/>
      <c r="AC2" s="1175"/>
      <c r="AD2" s="1175"/>
      <c r="AE2" s="1175"/>
      <c r="AF2" s="1175"/>
      <c r="AG2" s="1175"/>
      <c r="AH2" s="1175"/>
      <c r="AI2" s="1175"/>
      <c r="AJ2" s="1175"/>
      <c r="AK2" s="1175"/>
      <c r="AL2" s="1175"/>
      <c r="AM2" s="1175"/>
      <c r="AN2" s="1175"/>
      <c r="AO2" s="1175"/>
      <c r="AP2" s="1175"/>
      <c r="AQ2" s="1175"/>
      <c r="AR2" s="1175"/>
      <c r="AS2" s="1175"/>
      <c r="AT2" s="1175"/>
      <c r="AU2" s="1175"/>
      <c r="AV2" s="1175"/>
      <c r="AW2" s="1175"/>
      <c r="AX2" s="1175"/>
      <c r="AY2" s="1175"/>
      <c r="AZ2" s="1175"/>
      <c r="BA2" s="1175"/>
      <c r="BB2" s="1175"/>
      <c r="BC2" s="1175"/>
      <c r="BD2" s="1175"/>
      <c r="BE2" s="1175"/>
      <c r="BF2" s="1175"/>
      <c r="BG2" s="1175"/>
      <c r="BH2" s="1175"/>
      <c r="BI2" s="1175"/>
      <c r="BJ2" s="1175"/>
      <c r="BK2" s="1175"/>
      <c r="BL2" s="1175"/>
      <c r="BM2" s="1175"/>
      <c r="BN2" s="1175"/>
      <c r="BO2" s="1175"/>
      <c r="BP2" s="1175"/>
      <c r="BQ2" s="1175"/>
      <c r="BR2" s="1175"/>
      <c r="BS2" s="1175"/>
      <c r="BT2" s="1175"/>
      <c r="BU2" s="1175"/>
      <c r="BV2" s="1175"/>
      <c r="BW2" s="1175"/>
      <c r="BX2" s="1175"/>
      <c r="BY2" s="1175"/>
      <c r="BZ2" s="1175"/>
      <c r="CA2" s="1175"/>
      <c r="CB2" s="1175"/>
      <c r="CC2" s="1175"/>
      <c r="CD2" s="1175"/>
      <c r="CE2" s="1175"/>
      <c r="CF2" s="1175"/>
      <c r="CG2" s="1175"/>
      <c r="CH2" s="1175"/>
      <c r="CI2" s="1175"/>
      <c r="CJ2" s="1175"/>
      <c r="CK2" s="1175"/>
      <c r="CL2" s="1175"/>
      <c r="CM2" s="1175"/>
      <c r="CN2" s="1175"/>
      <c r="CO2" s="1175"/>
      <c r="CP2" s="1175"/>
      <c r="CQ2" s="1175"/>
      <c r="CR2" s="1175"/>
      <c r="CS2" s="1175"/>
      <c r="CT2" s="1175"/>
      <c r="CU2" s="1175"/>
      <c r="CV2" s="1175"/>
      <c r="CW2" s="1175"/>
      <c r="CX2" s="1175"/>
      <c r="CY2" s="1175"/>
      <c r="CZ2" s="1175"/>
      <c r="DA2" s="1175"/>
      <c r="DB2" s="1175"/>
      <c r="DC2" s="1175"/>
      <c r="DD2" s="1175"/>
      <c r="DE2" s="1175"/>
      <c r="DF2" s="1175"/>
      <c r="DG2" s="1175"/>
      <c r="DH2" s="1175"/>
      <c r="DI2" s="1175"/>
      <c r="DJ2" s="1175"/>
      <c r="DK2" s="1175"/>
      <c r="DL2" s="1175"/>
      <c r="DM2" s="1175"/>
      <c r="DN2" s="1175"/>
      <c r="DO2" s="1175"/>
      <c r="DP2" s="1175"/>
      <c r="DQ2" s="1175"/>
      <c r="DR2" s="1175"/>
      <c r="DS2" s="1175"/>
      <c r="DT2" s="1175"/>
      <c r="DU2" s="1175"/>
      <c r="DV2" s="1175"/>
      <c r="DW2" s="1175"/>
      <c r="DX2" s="1175"/>
      <c r="DY2" s="1175"/>
      <c r="DZ2" s="1175"/>
      <c r="EA2" s="1175"/>
      <c r="EB2" s="1175"/>
      <c r="EC2" s="1175"/>
      <c r="ED2" s="1175"/>
      <c r="EE2" s="1175"/>
      <c r="EF2" s="1175"/>
      <c r="EG2" s="1175"/>
      <c r="EH2" s="1175"/>
      <c r="EI2" s="1175"/>
      <c r="EJ2" s="1175"/>
      <c r="EK2" s="1175"/>
      <c r="EL2" s="1175"/>
      <c r="EM2" s="1175"/>
      <c r="EN2" s="1175"/>
      <c r="EO2" s="1175"/>
      <c r="EP2" s="1175"/>
      <c r="EQ2" s="1175"/>
      <c r="ER2" s="1175"/>
      <c r="ES2" s="1175"/>
      <c r="ET2" s="1175"/>
      <c r="EU2" s="1175"/>
      <c r="EV2" s="1175"/>
      <c r="EW2" s="1175"/>
      <c r="EX2" s="1175"/>
      <c r="EY2" s="1175"/>
      <c r="EZ2" s="1175"/>
      <c r="FA2" s="1175"/>
      <c r="FB2" s="1175"/>
      <c r="FC2" s="1175"/>
      <c r="FD2" s="1175"/>
      <c r="FE2" s="1175"/>
      <c r="FF2" s="1175"/>
      <c r="FG2" s="1175"/>
      <c r="FH2" s="1175"/>
      <c r="FI2" s="1175"/>
      <c r="FJ2" s="1175"/>
      <c r="FK2" s="1175"/>
      <c r="FL2" s="1175"/>
      <c r="FM2" s="1175"/>
      <c r="FN2" s="1175"/>
      <c r="FO2" s="1175"/>
      <c r="FP2" s="1175"/>
      <c r="FQ2" s="1175"/>
      <c r="FR2" s="1175"/>
      <c r="FS2" s="1175"/>
      <c r="FT2" s="1175"/>
      <c r="FU2" s="1175"/>
      <c r="FV2" s="1175"/>
      <c r="FW2" s="1175"/>
      <c r="FX2" s="1175"/>
      <c r="FY2" s="1175"/>
      <c r="FZ2" s="1175"/>
      <c r="GA2" s="1175"/>
      <c r="GB2" s="1175"/>
      <c r="GC2" s="1175"/>
      <c r="GD2" s="1175"/>
      <c r="GE2" s="1175"/>
      <c r="GF2" s="1175"/>
      <c r="GG2" s="1175"/>
      <c r="GH2" s="1175"/>
      <c r="GI2" s="1175"/>
      <c r="GJ2" s="1175"/>
      <c r="GK2" s="1175"/>
      <c r="GL2" s="1175"/>
      <c r="GM2" s="1175"/>
      <c r="GN2" s="1175"/>
      <c r="GO2" s="1175"/>
      <c r="GP2" s="1175"/>
      <c r="GQ2" s="1175"/>
      <c r="GR2" s="1175"/>
      <c r="GS2" s="1175"/>
      <c r="GT2" s="1175"/>
      <c r="GU2" s="1175"/>
      <c r="GV2" s="1175"/>
      <c r="GW2" s="1175"/>
      <c r="GX2" s="1175"/>
      <c r="GY2" s="1175"/>
      <c r="GZ2" s="1175"/>
      <c r="HA2" s="1175"/>
      <c r="HB2" s="1175"/>
      <c r="HC2" s="1175"/>
      <c r="HD2" s="1175"/>
      <c r="HE2" s="1175"/>
      <c r="HF2" s="1175"/>
      <c r="HG2" s="1175"/>
      <c r="HH2" s="1175"/>
      <c r="HI2" s="1175"/>
      <c r="HJ2" s="1175"/>
      <c r="HK2" s="1175"/>
      <c r="HL2" s="1175"/>
      <c r="HM2" s="1175"/>
      <c r="HN2" s="1175"/>
      <c r="HO2" s="1175"/>
      <c r="HP2" s="1175"/>
      <c r="HQ2" s="1175"/>
      <c r="HR2" s="1172" t="s">
        <v>208</v>
      </c>
      <c r="HS2" s="1172"/>
      <c r="HT2" s="1172"/>
      <c r="HU2" s="1172"/>
      <c r="HV2" s="1172"/>
      <c r="HW2" s="1172"/>
      <c r="HX2" s="1172"/>
      <c r="HY2" s="1172"/>
      <c r="HZ2" s="1172"/>
      <c r="IA2" s="1172"/>
      <c r="IB2" s="1172"/>
      <c r="IC2" s="1172"/>
      <c r="ID2" s="1172"/>
      <c r="IE2" s="1172"/>
      <c r="IF2" s="1172"/>
      <c r="IG2" s="1172"/>
      <c r="IH2" s="1172"/>
      <c r="II2" s="1172"/>
      <c r="IJ2" s="1172"/>
      <c r="IK2" s="1172"/>
      <c r="IL2" s="1172"/>
      <c r="IM2" s="1172"/>
      <c r="IN2" s="1172"/>
      <c r="IO2" s="1172"/>
      <c r="IP2" s="1172"/>
      <c r="IQ2" s="1172"/>
      <c r="IR2" s="1172"/>
      <c r="IS2" s="1172"/>
      <c r="IT2" s="1172"/>
      <c r="IU2" s="1172"/>
      <c r="IV2" s="1172"/>
      <c r="IW2" s="1172"/>
      <c r="IX2" s="1172"/>
      <c r="IY2" s="1172"/>
      <c r="IZ2" s="1172"/>
      <c r="JA2" s="1172"/>
      <c r="JB2" s="1172"/>
      <c r="JC2" s="1172"/>
      <c r="JD2" s="1172"/>
      <c r="JE2" s="1172"/>
      <c r="JF2" s="1172"/>
      <c r="JG2" s="1172"/>
      <c r="JH2" s="1172"/>
      <c r="JI2" s="1172"/>
      <c r="JJ2" s="1172"/>
      <c r="JK2" s="1172"/>
      <c r="JL2" s="1172"/>
      <c r="JM2" s="1172"/>
      <c r="JN2" s="1172"/>
      <c r="JO2" s="1172" t="s">
        <v>207</v>
      </c>
      <c r="JP2" s="1172"/>
      <c r="JQ2" s="1172"/>
      <c r="JR2" s="1172"/>
      <c r="JS2" s="1172"/>
      <c r="JT2" s="1172"/>
      <c r="JU2" s="1172"/>
      <c r="JV2" s="1172"/>
      <c r="JW2" s="1172"/>
      <c r="JX2" s="1172"/>
      <c r="JY2" s="1172"/>
      <c r="JZ2" s="1172"/>
      <c r="KA2" s="1172"/>
      <c r="KB2" s="1172"/>
      <c r="KC2" s="1172"/>
      <c r="KD2" s="1172"/>
      <c r="KE2" s="1172"/>
      <c r="KF2" s="1172"/>
      <c r="KG2" s="1172"/>
      <c r="KH2" s="1172"/>
      <c r="KI2" s="1172"/>
      <c r="KJ2" s="1172"/>
      <c r="KK2" s="1172"/>
      <c r="KL2" s="1172"/>
      <c r="KM2" s="1172"/>
      <c r="KN2" s="1172"/>
      <c r="KO2" s="1172"/>
      <c r="KP2" s="1172"/>
      <c r="KQ2" s="1172"/>
      <c r="KR2" s="1172"/>
      <c r="KS2" s="1172"/>
      <c r="KT2" s="1172"/>
      <c r="KU2" s="1172"/>
      <c r="KV2" s="1172"/>
      <c r="KW2" s="1172"/>
      <c r="KX2" s="1172"/>
      <c r="KY2" s="1172"/>
      <c r="KZ2" s="1172"/>
      <c r="LA2" s="1172"/>
      <c r="LB2" s="1172"/>
      <c r="LC2" s="1172"/>
      <c r="LD2" s="1172"/>
      <c r="LE2" s="1172"/>
      <c r="LF2" s="1172"/>
      <c r="LG2" s="1172"/>
      <c r="LH2" s="1172"/>
      <c r="LI2" s="1172"/>
      <c r="LJ2" s="1172"/>
      <c r="LK2" s="1172"/>
      <c r="LL2" s="1172"/>
      <c r="LM2" s="1173"/>
      <c r="LN2" s="12"/>
    </row>
    <row r="3" spans="1:326">
      <c r="A3" s="67" t="s">
        <v>121</v>
      </c>
      <c r="B3" s="67" t="s">
        <v>111</v>
      </c>
      <c r="C3" s="67" t="s">
        <v>110</v>
      </c>
      <c r="D3" s="67" t="s">
        <v>109</v>
      </c>
      <c r="E3" s="67" t="s">
        <v>108</v>
      </c>
      <c r="F3" s="67" t="s">
        <v>107</v>
      </c>
      <c r="G3" s="67" t="s">
        <v>106</v>
      </c>
      <c r="H3" s="67" t="s">
        <v>105</v>
      </c>
      <c r="I3" s="67" t="s">
        <v>104</v>
      </c>
      <c r="J3" s="67" t="s">
        <v>103</v>
      </c>
      <c r="K3" s="67" t="s">
        <v>102</v>
      </c>
      <c r="L3" s="67" t="s">
        <v>101</v>
      </c>
      <c r="M3" s="67" t="s">
        <v>100</v>
      </c>
      <c r="N3" s="68" t="s">
        <v>99</v>
      </c>
      <c r="O3" s="67" t="s">
        <v>98</v>
      </c>
      <c r="P3" s="67" t="s">
        <v>120</v>
      </c>
      <c r="Q3" s="66">
        <f>'最高报价汇总 '!F2</f>
        <v>46099</v>
      </c>
      <c r="R3" s="66">
        <f>'最高报价汇总 '!G2</f>
        <v>46092</v>
      </c>
      <c r="S3" s="66">
        <v>46085</v>
      </c>
      <c r="T3" s="66">
        <v>46078</v>
      </c>
      <c r="U3" s="66">
        <v>46071</v>
      </c>
      <c r="V3" s="66">
        <v>46057</v>
      </c>
      <c r="W3" s="66">
        <v>46050</v>
      </c>
      <c r="X3" s="66">
        <v>46043</v>
      </c>
      <c r="Y3" s="66">
        <v>46036</v>
      </c>
      <c r="Z3" s="66">
        <v>46029</v>
      </c>
      <c r="AA3" s="66">
        <v>46022</v>
      </c>
      <c r="AB3" s="66">
        <v>46015</v>
      </c>
      <c r="AC3" s="66">
        <v>46008</v>
      </c>
      <c r="AD3" s="66">
        <v>46001</v>
      </c>
      <c r="AE3" s="66">
        <v>45994</v>
      </c>
      <c r="AF3" s="66">
        <v>45987</v>
      </c>
      <c r="AG3" s="66">
        <v>45980</v>
      </c>
      <c r="AH3" s="66">
        <v>45973</v>
      </c>
      <c r="AI3" s="66">
        <v>45966</v>
      </c>
      <c r="AJ3" s="66">
        <v>45959</v>
      </c>
      <c r="AK3" s="66">
        <v>45952</v>
      </c>
      <c r="AL3" s="66">
        <v>45945</v>
      </c>
      <c r="AM3" s="66">
        <v>45938</v>
      </c>
      <c r="AN3" s="66">
        <v>45931</v>
      </c>
      <c r="AO3" s="66">
        <v>45924</v>
      </c>
      <c r="AP3" s="66">
        <v>45917</v>
      </c>
      <c r="AQ3" s="66">
        <v>45910</v>
      </c>
      <c r="AR3" s="66">
        <v>45903</v>
      </c>
      <c r="AS3" s="66">
        <v>45896</v>
      </c>
      <c r="AT3" s="66">
        <v>45889</v>
      </c>
      <c r="AU3" s="66">
        <v>45882</v>
      </c>
      <c r="AV3" s="66">
        <v>45875</v>
      </c>
      <c r="AW3" s="66">
        <v>45868</v>
      </c>
      <c r="AX3" s="66">
        <v>45861</v>
      </c>
      <c r="AY3" s="70">
        <v>45854</v>
      </c>
      <c r="AZ3" s="66">
        <v>45847</v>
      </c>
      <c r="BA3" s="66">
        <v>45840</v>
      </c>
      <c r="BB3" s="66">
        <v>45833</v>
      </c>
      <c r="BC3" s="66">
        <v>45826</v>
      </c>
      <c r="BD3" s="66">
        <v>45819</v>
      </c>
      <c r="BE3" s="66">
        <v>45812</v>
      </c>
      <c r="BF3" s="66">
        <v>45805</v>
      </c>
      <c r="BG3" s="66">
        <v>45798</v>
      </c>
      <c r="BH3" s="66">
        <v>45792</v>
      </c>
      <c r="BI3" s="66">
        <v>45785</v>
      </c>
      <c r="BJ3" s="66">
        <v>45412</v>
      </c>
      <c r="BK3" s="66">
        <v>45763</v>
      </c>
      <c r="BL3" s="66">
        <f>'最高报价汇总 '!G2</f>
        <v>46092</v>
      </c>
      <c r="BM3" s="66">
        <v>45750</v>
      </c>
      <c r="BN3" s="66">
        <v>45742</v>
      </c>
      <c r="BO3" s="66">
        <v>45736</v>
      </c>
      <c r="BP3" s="66">
        <v>45729</v>
      </c>
      <c r="BQ3" s="66">
        <v>45722</v>
      </c>
      <c r="BR3" s="66">
        <v>45715</v>
      </c>
      <c r="BS3" s="66">
        <v>45708</v>
      </c>
      <c r="BT3" s="66">
        <v>45701</v>
      </c>
      <c r="BU3" s="66">
        <v>45694</v>
      </c>
      <c r="BV3" s="66">
        <v>45688</v>
      </c>
      <c r="BW3" s="66">
        <v>45681</v>
      </c>
      <c r="BX3" s="66">
        <v>45673</v>
      </c>
      <c r="BY3" s="66">
        <v>45666</v>
      </c>
      <c r="BZ3" s="66">
        <v>45659</v>
      </c>
      <c r="CA3" s="66">
        <v>45652</v>
      </c>
      <c r="CB3" s="66">
        <v>45645</v>
      </c>
      <c r="CC3" s="66">
        <v>45638</v>
      </c>
      <c r="CD3" s="66">
        <v>45631</v>
      </c>
      <c r="CE3" s="66">
        <v>45625</v>
      </c>
      <c r="CF3" s="66">
        <v>45617</v>
      </c>
      <c r="CG3" s="66">
        <v>45610</v>
      </c>
      <c r="CH3" s="66">
        <v>45603</v>
      </c>
      <c r="CI3" s="66">
        <v>45595</v>
      </c>
      <c r="CJ3" s="66">
        <v>45591</v>
      </c>
      <c r="CK3" s="66">
        <v>45582</v>
      </c>
      <c r="CL3" s="66">
        <v>45575</v>
      </c>
      <c r="CM3" s="66">
        <v>45568</v>
      </c>
      <c r="CN3" s="66">
        <v>45561</v>
      </c>
      <c r="CO3" s="66">
        <v>45554</v>
      </c>
      <c r="CP3" s="66">
        <v>45547</v>
      </c>
      <c r="CQ3" s="66">
        <v>45540</v>
      </c>
      <c r="CR3" s="66">
        <v>45533</v>
      </c>
      <c r="CS3" s="66">
        <v>45526</v>
      </c>
      <c r="CT3" s="66">
        <v>45517</v>
      </c>
      <c r="CU3" s="66">
        <v>45511</v>
      </c>
      <c r="CV3" s="66">
        <v>45505</v>
      </c>
      <c r="CW3" s="66">
        <v>45498</v>
      </c>
      <c r="CX3" s="66">
        <v>45492</v>
      </c>
      <c r="CY3" s="66">
        <v>45484</v>
      </c>
      <c r="CZ3" s="66">
        <v>45477</v>
      </c>
      <c r="DA3" s="66">
        <v>45470</v>
      </c>
      <c r="DB3" s="66">
        <v>45464</v>
      </c>
      <c r="DC3" s="66">
        <v>45456</v>
      </c>
      <c r="DD3" s="66">
        <v>45449</v>
      </c>
      <c r="DE3" s="66">
        <v>45442</v>
      </c>
      <c r="DF3" s="66" t="s">
        <v>212</v>
      </c>
      <c r="DG3" s="66">
        <v>45428</v>
      </c>
      <c r="DH3" s="66">
        <v>45421</v>
      </c>
      <c r="DI3" s="66">
        <v>45414</v>
      </c>
      <c r="DJ3" s="66">
        <v>45407</v>
      </c>
      <c r="DK3" s="66">
        <v>45400</v>
      </c>
      <c r="DL3" s="66">
        <v>45393</v>
      </c>
      <c r="DM3" s="66">
        <v>45386</v>
      </c>
      <c r="DN3" s="66">
        <v>45378</v>
      </c>
      <c r="DO3" s="66">
        <v>45372</v>
      </c>
      <c r="DP3" s="66">
        <v>45365</v>
      </c>
      <c r="DQ3" s="66">
        <v>45358</v>
      </c>
      <c r="DR3" s="66">
        <v>45351</v>
      </c>
      <c r="DS3" s="66">
        <v>45343</v>
      </c>
      <c r="DT3" s="66">
        <v>45336</v>
      </c>
      <c r="DU3" s="66">
        <v>45329</v>
      </c>
      <c r="DV3" s="66">
        <v>45323</v>
      </c>
      <c r="DW3" s="66">
        <v>45316</v>
      </c>
      <c r="DX3" s="66">
        <v>45309</v>
      </c>
      <c r="DY3" s="66">
        <v>45302</v>
      </c>
      <c r="DZ3" s="66">
        <v>45295</v>
      </c>
      <c r="EA3" s="66">
        <v>45288</v>
      </c>
      <c r="EB3" s="66">
        <v>45281</v>
      </c>
      <c r="EC3" s="66">
        <v>45274</v>
      </c>
      <c r="ED3" s="66">
        <v>45267</v>
      </c>
      <c r="EE3" s="66">
        <v>45260</v>
      </c>
      <c r="EF3" s="66">
        <v>45253</v>
      </c>
      <c r="EG3" s="66">
        <v>45246</v>
      </c>
      <c r="EH3" s="66">
        <v>45239</v>
      </c>
      <c r="EI3" s="66">
        <v>45232</v>
      </c>
      <c r="EJ3" s="66">
        <v>45225</v>
      </c>
      <c r="EK3" s="66">
        <v>45218</v>
      </c>
      <c r="EL3" s="66">
        <v>45211</v>
      </c>
      <c r="EM3" s="66">
        <v>45204</v>
      </c>
      <c r="EN3" s="66">
        <v>45190</v>
      </c>
      <c r="EO3" s="66">
        <v>45190</v>
      </c>
      <c r="EP3" s="66">
        <v>45183</v>
      </c>
      <c r="EQ3" s="66">
        <v>45176</v>
      </c>
      <c r="ER3" s="66">
        <v>45168</v>
      </c>
      <c r="ES3" s="66">
        <v>45162</v>
      </c>
      <c r="ET3" s="66">
        <v>45155</v>
      </c>
      <c r="EU3" s="66">
        <v>45148</v>
      </c>
      <c r="EV3" s="66">
        <v>45141</v>
      </c>
      <c r="EW3" s="66">
        <v>45134</v>
      </c>
      <c r="EX3" s="66">
        <v>45127</v>
      </c>
      <c r="EY3" s="66">
        <v>45120</v>
      </c>
      <c r="EZ3" s="66">
        <v>45113</v>
      </c>
      <c r="FA3" s="66">
        <v>45105</v>
      </c>
      <c r="FB3" s="66">
        <v>45099</v>
      </c>
      <c r="FC3" s="66">
        <v>45092</v>
      </c>
      <c r="FD3" s="66">
        <v>45085</v>
      </c>
      <c r="FE3" s="66">
        <v>45076</v>
      </c>
      <c r="FF3" s="66">
        <v>45070</v>
      </c>
      <c r="FG3" s="66">
        <v>45063</v>
      </c>
      <c r="FH3" s="66">
        <v>45056</v>
      </c>
      <c r="FI3" s="66">
        <v>45049</v>
      </c>
      <c r="FJ3" s="66">
        <v>45042</v>
      </c>
      <c r="FK3" s="66">
        <v>45035</v>
      </c>
      <c r="FL3" s="66">
        <v>45028</v>
      </c>
      <c r="FM3" s="66">
        <v>45020</v>
      </c>
      <c r="FN3" s="66">
        <v>45014</v>
      </c>
      <c r="FO3" s="66">
        <v>45008</v>
      </c>
      <c r="FP3" s="66">
        <v>45002</v>
      </c>
      <c r="FQ3" s="66">
        <v>45000</v>
      </c>
      <c r="FR3" s="66">
        <v>44993</v>
      </c>
      <c r="FS3" s="66">
        <v>44986</v>
      </c>
      <c r="FT3" s="66">
        <v>44979</v>
      </c>
      <c r="FU3" s="66">
        <v>44972</v>
      </c>
      <c r="FV3" s="66">
        <v>44965</v>
      </c>
      <c r="FW3" s="66">
        <v>44958</v>
      </c>
      <c r="FX3" s="66">
        <v>44951</v>
      </c>
      <c r="FY3" s="66">
        <v>44944</v>
      </c>
      <c r="FZ3" s="66">
        <v>44937</v>
      </c>
      <c r="GA3" s="66">
        <v>44930</v>
      </c>
      <c r="GB3" s="66">
        <v>44923</v>
      </c>
      <c r="GC3" s="66">
        <v>44916</v>
      </c>
      <c r="GD3" s="66">
        <v>44910</v>
      </c>
      <c r="GE3" s="66">
        <v>44902</v>
      </c>
      <c r="GF3" s="66">
        <v>44896</v>
      </c>
      <c r="GG3" s="66">
        <v>44888</v>
      </c>
      <c r="GH3" s="66">
        <v>44881</v>
      </c>
      <c r="GI3" s="66">
        <v>44874</v>
      </c>
      <c r="GJ3" s="66">
        <v>44868</v>
      </c>
      <c r="GK3" s="66">
        <v>44839</v>
      </c>
      <c r="GL3" s="66">
        <v>44831</v>
      </c>
      <c r="GM3" s="66">
        <v>44826</v>
      </c>
      <c r="GN3" s="66">
        <v>44818</v>
      </c>
      <c r="GO3" s="66">
        <v>44811</v>
      </c>
      <c r="GP3" s="66">
        <v>44860</v>
      </c>
      <c r="GQ3" s="66">
        <v>44853</v>
      </c>
      <c r="GR3" s="66">
        <v>44846</v>
      </c>
      <c r="GS3" s="65" t="s">
        <v>119</v>
      </c>
      <c r="GT3" s="66">
        <v>44776</v>
      </c>
      <c r="GU3" s="66">
        <v>44769</v>
      </c>
      <c r="GV3" s="66">
        <v>44762</v>
      </c>
      <c r="GW3" s="66">
        <v>44755</v>
      </c>
      <c r="GX3" s="66">
        <v>44748</v>
      </c>
      <c r="GY3" s="66">
        <v>44741</v>
      </c>
      <c r="GZ3" s="69">
        <v>44733</v>
      </c>
      <c r="HA3" s="69">
        <v>44727</v>
      </c>
      <c r="HB3" s="69">
        <v>44720</v>
      </c>
      <c r="HC3" s="69">
        <v>44713</v>
      </c>
      <c r="HD3" s="69">
        <v>44706</v>
      </c>
      <c r="HE3" s="69">
        <v>44699</v>
      </c>
      <c r="HF3" s="69">
        <v>44690</v>
      </c>
      <c r="HG3" s="68" t="s">
        <v>118</v>
      </c>
      <c r="HH3" s="68" t="s">
        <v>117</v>
      </c>
      <c r="HI3" s="67" t="s">
        <v>116</v>
      </c>
      <c r="HJ3" s="67" t="s">
        <v>115</v>
      </c>
      <c r="HK3" s="67" t="s">
        <v>114</v>
      </c>
      <c r="HL3" s="67" t="s">
        <v>113</v>
      </c>
      <c r="HM3" s="67" t="s">
        <v>112</v>
      </c>
      <c r="HN3" s="67" t="s">
        <v>111</v>
      </c>
      <c r="HO3" s="67" t="s">
        <v>110</v>
      </c>
      <c r="HP3" s="67" t="s">
        <v>109</v>
      </c>
      <c r="HQ3" s="67" t="s">
        <v>108</v>
      </c>
      <c r="HR3" s="67" t="s">
        <v>107</v>
      </c>
      <c r="HS3" s="67" t="s">
        <v>106</v>
      </c>
      <c r="HT3" s="67" t="s">
        <v>105</v>
      </c>
      <c r="HU3" s="67" t="s">
        <v>104</v>
      </c>
      <c r="HV3" s="67" t="s">
        <v>103</v>
      </c>
      <c r="HW3" s="67" t="s">
        <v>102</v>
      </c>
      <c r="HX3" s="67" t="s">
        <v>101</v>
      </c>
      <c r="HY3" s="67" t="s">
        <v>100</v>
      </c>
      <c r="HZ3" s="68" t="s">
        <v>99</v>
      </c>
      <c r="IA3" s="67" t="s">
        <v>98</v>
      </c>
      <c r="IB3" s="65" t="s">
        <v>97</v>
      </c>
      <c r="IC3" s="66">
        <v>44818</v>
      </c>
      <c r="ID3" s="66">
        <v>44811</v>
      </c>
      <c r="IE3" s="65" t="s">
        <v>96</v>
      </c>
      <c r="IF3" s="65" t="s">
        <v>205</v>
      </c>
      <c r="IG3" s="65" t="e">
        <f>IG51</f>
        <v>#REF!</v>
      </c>
      <c r="IH3" s="65" t="str">
        <f>IH51</f>
        <v>5月27日</v>
      </c>
      <c r="II3" s="65" t="s">
        <v>204</v>
      </c>
      <c r="IJ3" s="65" t="s">
        <v>203</v>
      </c>
      <c r="IK3" s="65" t="s">
        <v>202</v>
      </c>
      <c r="IL3" s="65" t="s">
        <v>201</v>
      </c>
      <c r="IM3" s="65" t="s">
        <v>200</v>
      </c>
      <c r="IN3" s="65" t="s">
        <v>199</v>
      </c>
      <c r="IO3" s="65" t="s">
        <v>198</v>
      </c>
      <c r="IP3" s="65" t="s">
        <v>197</v>
      </c>
      <c r="IQ3" s="65" t="s">
        <v>147</v>
      </c>
      <c r="IR3" s="65" t="s">
        <v>196</v>
      </c>
      <c r="IS3" s="65" t="s">
        <v>195</v>
      </c>
      <c r="IT3" s="65" t="s">
        <v>194</v>
      </c>
      <c r="IU3" s="65" t="s">
        <v>193</v>
      </c>
      <c r="IV3" s="65" t="s">
        <v>192</v>
      </c>
      <c r="IW3" s="65" t="s">
        <v>191</v>
      </c>
      <c r="IX3" s="65" t="s">
        <v>190</v>
      </c>
      <c r="IY3" s="65" t="s">
        <v>189</v>
      </c>
      <c r="IZ3" s="65" t="s">
        <v>188</v>
      </c>
      <c r="JA3" s="65" t="s">
        <v>187</v>
      </c>
      <c r="JB3" s="65" t="s">
        <v>186</v>
      </c>
      <c r="JC3" s="65" t="s">
        <v>185</v>
      </c>
      <c r="JD3" s="65" t="s">
        <v>184</v>
      </c>
      <c r="JE3" s="65" t="s">
        <v>183</v>
      </c>
      <c r="JF3" s="65" t="s">
        <v>182</v>
      </c>
      <c r="JG3" s="65" t="s">
        <v>181</v>
      </c>
      <c r="JH3" s="65" t="s">
        <v>180</v>
      </c>
      <c r="JI3" s="65" t="s">
        <v>179</v>
      </c>
      <c r="JJ3" s="65" t="s">
        <v>178</v>
      </c>
      <c r="JK3" s="65" t="s">
        <v>177</v>
      </c>
      <c r="JL3" s="65" t="s">
        <v>176</v>
      </c>
      <c r="JM3" s="65" t="s">
        <v>175</v>
      </c>
      <c r="JN3" s="65" t="s">
        <v>174</v>
      </c>
      <c r="JO3" s="92" t="str">
        <f>JO51</f>
        <v>1月6日</v>
      </c>
      <c r="JP3" s="92" t="str">
        <f>JP51</f>
        <v>1月13日</v>
      </c>
      <c r="JQ3" s="92" t="str">
        <f>JQ51</f>
        <v>1月20日</v>
      </c>
      <c r="JR3" s="92" t="str">
        <f>JR51</f>
        <v>1月27日</v>
      </c>
      <c r="JS3" s="92" t="s">
        <v>169</v>
      </c>
      <c r="JT3" s="92" t="s">
        <v>168</v>
      </c>
      <c r="JU3" s="92" t="s">
        <v>167</v>
      </c>
      <c r="JV3" s="92" t="s">
        <v>166</v>
      </c>
      <c r="JW3" s="92" t="s">
        <v>165</v>
      </c>
      <c r="JX3" s="92" t="s">
        <v>164</v>
      </c>
      <c r="JY3" s="92" t="s">
        <v>99</v>
      </c>
      <c r="JZ3" s="92" t="s">
        <v>103</v>
      </c>
      <c r="KA3" s="92" t="s">
        <v>163</v>
      </c>
      <c r="KB3" s="92" t="s">
        <v>162</v>
      </c>
      <c r="KC3" s="92" t="s">
        <v>161</v>
      </c>
      <c r="KD3" s="92" t="s">
        <v>160</v>
      </c>
      <c r="KE3" s="92" t="s">
        <v>159</v>
      </c>
      <c r="KF3" s="92" t="s">
        <v>158</v>
      </c>
      <c r="KG3" s="92" t="s">
        <v>157</v>
      </c>
      <c r="KH3" s="92" t="s">
        <v>156</v>
      </c>
      <c r="KI3" s="92" t="s">
        <v>155</v>
      </c>
      <c r="KJ3" s="92" t="s">
        <v>154</v>
      </c>
      <c r="KK3" s="92" t="s">
        <v>153</v>
      </c>
      <c r="KL3" s="92" t="s">
        <v>152</v>
      </c>
      <c r="KM3" s="92" t="s">
        <v>151</v>
      </c>
      <c r="KN3" s="92" t="s">
        <v>150</v>
      </c>
      <c r="KO3" s="92" t="s">
        <v>149</v>
      </c>
      <c r="KP3" s="92" t="s">
        <v>148</v>
      </c>
      <c r="KQ3" s="92" t="s">
        <v>147</v>
      </c>
      <c r="KR3" s="92" t="s">
        <v>146</v>
      </c>
      <c r="KS3" s="92" t="s">
        <v>145</v>
      </c>
      <c r="KT3" s="92" t="s">
        <v>144</v>
      </c>
      <c r="KU3" s="92" t="s">
        <v>143</v>
      </c>
      <c r="KV3" s="92" t="s">
        <v>142</v>
      </c>
      <c r="KW3" s="92" t="s">
        <v>141</v>
      </c>
      <c r="KX3" s="92" t="s">
        <v>140</v>
      </c>
      <c r="KY3" s="92" t="s">
        <v>139</v>
      </c>
      <c r="KZ3" s="92" t="s">
        <v>138</v>
      </c>
      <c r="LA3" s="92" t="s">
        <v>137</v>
      </c>
      <c r="LB3" s="92" t="s">
        <v>136</v>
      </c>
      <c r="LC3" s="92" t="s">
        <v>135</v>
      </c>
      <c r="LD3" s="92" t="s">
        <v>134</v>
      </c>
      <c r="LE3" s="92" t="s">
        <v>133</v>
      </c>
      <c r="LF3" s="92" t="s">
        <v>132</v>
      </c>
      <c r="LG3" s="92" t="s">
        <v>131</v>
      </c>
      <c r="LH3" s="92" t="s">
        <v>130</v>
      </c>
      <c r="LI3" s="92" t="s">
        <v>129</v>
      </c>
      <c r="LJ3" s="92" t="s">
        <v>128</v>
      </c>
      <c r="LK3" s="92" t="s">
        <v>127</v>
      </c>
      <c r="LL3" s="92" t="s">
        <v>126</v>
      </c>
      <c r="LM3" s="92" t="s">
        <v>125</v>
      </c>
      <c r="LN3" s="468" t="s">
        <v>113</v>
      </c>
    </row>
    <row r="4" spans="1:326">
      <c r="A4" s="1167" t="s">
        <v>20</v>
      </c>
      <c r="B4" s="60"/>
      <c r="C4" s="60"/>
      <c r="D4" s="60"/>
      <c r="E4" s="60"/>
      <c r="F4" s="60"/>
      <c r="G4" s="60"/>
      <c r="H4" s="60"/>
      <c r="I4" s="60"/>
      <c r="J4" s="60"/>
      <c r="K4" s="60"/>
      <c r="L4" s="60"/>
      <c r="M4" s="60"/>
      <c r="N4" s="61"/>
      <c r="O4" s="60"/>
      <c r="P4" s="738" t="s">
        <v>95</v>
      </c>
      <c r="Q4" s="590">
        <v>3.8999999999999998E-3</v>
      </c>
      <c r="R4" s="590">
        <v>3.8999999999999998E-3</v>
      </c>
      <c r="S4" s="590">
        <v>3.3999999999999998E-3</v>
      </c>
      <c r="T4" s="590">
        <v>1.4E-3</v>
      </c>
      <c r="U4" s="590">
        <v>3.3999999999999998E-3</v>
      </c>
      <c r="V4" s="590">
        <v>4.8999999999999998E-3</v>
      </c>
      <c r="W4" s="590">
        <v>5.4000000000000003E-3</v>
      </c>
      <c r="X4" s="590">
        <v>4.8999999999999998E-3</v>
      </c>
      <c r="Y4" s="590">
        <v>7.4000000000000003E-3</v>
      </c>
      <c r="Z4" s="590">
        <v>6.4000000000000003E-3</v>
      </c>
      <c r="AA4" s="590">
        <v>6.8999999999999999E-3</v>
      </c>
      <c r="AB4" s="590">
        <v>4.4000000000000003E-3</v>
      </c>
      <c r="AC4" s="590">
        <v>5.8999999999999999E-3</v>
      </c>
      <c r="AD4" s="590">
        <v>6.4000000000000003E-3</v>
      </c>
      <c r="AE4" s="590">
        <v>4.4000000000000003E-3</v>
      </c>
      <c r="AF4" s="590">
        <v>5.4000000000000003E-3</v>
      </c>
      <c r="AG4" s="590">
        <v>4.8999999999999998E-3</v>
      </c>
      <c r="AH4" s="590">
        <v>4.4000000000000003E-3</v>
      </c>
      <c r="AI4" s="590">
        <v>3.9000000000000003E-3</v>
      </c>
      <c r="AJ4" s="48">
        <v>4.4000000000000003E-3</v>
      </c>
      <c r="AK4" s="48">
        <v>5.3999999999999994E-3</v>
      </c>
      <c r="AL4" s="47">
        <v>4.3999999999999994E-3</v>
      </c>
      <c r="AM4" s="48">
        <v>4.3999999999999994E-3</v>
      </c>
      <c r="AN4" s="48">
        <v>3.8999999999999998E-3</v>
      </c>
      <c r="AO4" s="48">
        <v>4.3999999999999994E-3</v>
      </c>
      <c r="AP4" s="48">
        <v>3.3999999999999998E-3</v>
      </c>
      <c r="AQ4" s="48">
        <v>3.8999999999999998E-3</v>
      </c>
      <c r="AR4" s="47">
        <v>2.8999999999999998E-3</v>
      </c>
      <c r="AS4" s="47">
        <v>4.8999999999999998E-3</v>
      </c>
      <c r="AT4" s="460">
        <v>4.8999999999999998E-3</v>
      </c>
      <c r="AU4" s="34">
        <v>3.3999999999999998E-3</v>
      </c>
      <c r="AV4" s="34">
        <v>5.4000000000000003E-3</v>
      </c>
      <c r="AW4" s="34">
        <v>2.8999999999999998E-3</v>
      </c>
      <c r="AX4" s="34">
        <v>4.4000000000000003E-3</v>
      </c>
      <c r="AY4" s="34">
        <v>5.4000000000000003E-3</v>
      </c>
      <c r="AZ4" s="35">
        <v>4.4000000000000003E-3</v>
      </c>
      <c r="BA4" s="35">
        <v>4.4000000000000003E-3</v>
      </c>
      <c r="BB4" s="35">
        <v>4.4000000000000003E-3</v>
      </c>
      <c r="BC4" s="34">
        <v>4.4000000000000003E-3</v>
      </c>
      <c r="BD4" s="34">
        <v>4.8999999999999998E-3</v>
      </c>
      <c r="BE4" s="34">
        <v>5.4000000000000003E-3</v>
      </c>
      <c r="BF4" s="35">
        <v>3.8999999999999998E-3</v>
      </c>
      <c r="BG4" s="34">
        <v>3.8999999999999998E-3</v>
      </c>
      <c r="BH4" s="35">
        <v>3.3999999999999998E-3</v>
      </c>
      <c r="BI4" s="34">
        <v>3.3999999999999998E-3</v>
      </c>
      <c r="BJ4" s="46">
        <v>4.4000000000000003E-3</v>
      </c>
      <c r="BK4" s="46">
        <v>1.4E-3</v>
      </c>
      <c r="BL4" s="46">
        <v>9.4000000000000004E-3</v>
      </c>
      <c r="BM4" s="46">
        <v>1.14E-2</v>
      </c>
      <c r="BN4" s="46">
        <v>4.8999999999999998E-3</v>
      </c>
      <c r="BO4" s="46">
        <v>5.4000000000000003E-3</v>
      </c>
      <c r="BP4" s="46">
        <v>5.8999999999999999E-3</v>
      </c>
      <c r="BQ4" s="46">
        <v>9.4000000000000004E-3</v>
      </c>
      <c r="BR4" s="46">
        <v>8.8999999999999999E-3</v>
      </c>
      <c r="BS4" s="46">
        <v>1.14E-2</v>
      </c>
      <c r="BT4" s="46">
        <v>1.44E-2</v>
      </c>
      <c r="BU4" s="46">
        <v>1.6400000000000001E-2</v>
      </c>
      <c r="BV4" s="46">
        <v>9.9000000000000008E-3</v>
      </c>
      <c r="BW4" s="46">
        <v>1.04E-2</v>
      </c>
      <c r="BX4" s="46">
        <v>1.6899999999999998E-2</v>
      </c>
      <c r="BY4" s="46">
        <v>3.09E-2</v>
      </c>
      <c r="BZ4" s="46">
        <v>2.1399999999999999E-2</v>
      </c>
      <c r="CA4" s="46">
        <v>2.3400000000000001E-2</v>
      </c>
      <c r="CB4" s="46">
        <v>2.64E-2</v>
      </c>
      <c r="CC4" s="46">
        <v>1.54E-2</v>
      </c>
      <c r="CD4" s="46">
        <v>1.54E-2</v>
      </c>
      <c r="CE4" s="46">
        <v>2.8400000000000002E-2</v>
      </c>
      <c r="CF4" s="46">
        <v>3.04E-2</v>
      </c>
      <c r="CG4" s="46">
        <v>1.24E-2</v>
      </c>
      <c r="CH4" s="46">
        <v>9.4000000000000004E-3</v>
      </c>
      <c r="CI4" s="46">
        <v>9.4000000000000004E-3</v>
      </c>
      <c r="CJ4" s="46">
        <v>1.14E-2</v>
      </c>
      <c r="CK4" s="46">
        <v>1.09E-2</v>
      </c>
      <c r="CL4" s="46">
        <v>1.1900000000000001E-2</v>
      </c>
      <c r="CM4" s="46">
        <v>1.4E-3</v>
      </c>
      <c r="CN4" s="46">
        <v>1.4E-3</v>
      </c>
      <c r="CO4" s="46">
        <v>4.8999999999999998E-3</v>
      </c>
      <c r="CP4" s="46">
        <v>1.9E-3</v>
      </c>
      <c r="CQ4" s="46">
        <v>4.4000000000000003E-3</v>
      </c>
      <c r="CR4" s="46">
        <v>1.9E-3</v>
      </c>
      <c r="CS4" s="46">
        <v>4.8999999999999998E-3</v>
      </c>
      <c r="CT4" s="46">
        <v>6.8999999999999999E-3</v>
      </c>
      <c r="CU4" s="46">
        <v>9.9000000000000008E-3</v>
      </c>
      <c r="CV4" s="46">
        <v>1.5900000000000001E-2</v>
      </c>
      <c r="CW4" s="46">
        <v>1.89E-2</v>
      </c>
      <c r="CX4" s="46">
        <v>2.1399999999999999E-2</v>
      </c>
      <c r="CY4" s="46">
        <v>2.0899999999999998E-2</v>
      </c>
      <c r="CZ4" s="46">
        <v>1.5900000000000001E-2</v>
      </c>
      <c r="DA4" s="46">
        <v>1.5900000000000001E-2</v>
      </c>
      <c r="DB4" s="46">
        <v>1.3899999999999999E-2</v>
      </c>
      <c r="DC4" s="46">
        <v>1.3899999999999999E-2</v>
      </c>
      <c r="DD4" s="46">
        <v>1.3899999999999999E-2</v>
      </c>
      <c r="DE4" s="46">
        <v>1.3899999999999999E-2</v>
      </c>
      <c r="DF4" s="46">
        <v>1.44E-2</v>
      </c>
      <c r="DG4" s="46">
        <v>1.84E-2</v>
      </c>
      <c r="DH4" s="46">
        <v>2.3900000000000001E-2</v>
      </c>
      <c r="DI4" s="46">
        <v>2.9399999999999999E-2</v>
      </c>
      <c r="DJ4" s="54">
        <v>3.9399999999999998E-2</v>
      </c>
      <c r="DK4" s="53">
        <v>3.6900000000000002E-2</v>
      </c>
      <c r="DL4" s="46">
        <v>2.9399999999999999E-2</v>
      </c>
      <c r="DM4" s="46">
        <v>2.9899999999999999E-2</v>
      </c>
      <c r="DN4" s="46">
        <v>2.5899999999999999E-2</v>
      </c>
      <c r="DO4" s="46">
        <v>1.7399999999999999E-2</v>
      </c>
      <c r="DP4" s="46">
        <v>1.5900000000000001E-2</v>
      </c>
      <c r="DQ4" s="45">
        <v>2.0400000000000001E-2</v>
      </c>
      <c r="DR4" s="45">
        <v>1.84E-2</v>
      </c>
      <c r="DS4" s="45">
        <v>2.3400000000000001E-2</v>
      </c>
      <c r="DT4" s="44">
        <v>2.0400000000000001E-2</v>
      </c>
      <c r="DU4" s="44">
        <v>1.6899999999999998E-2</v>
      </c>
      <c r="DV4" s="44">
        <v>1.9400000000000001E-2</v>
      </c>
      <c r="DW4" s="44">
        <v>2.3900000000000001E-2</v>
      </c>
      <c r="DX4" s="44">
        <v>1.84E-2</v>
      </c>
      <c r="DY4" s="44">
        <v>1.84E-2</v>
      </c>
      <c r="DZ4" s="44">
        <v>1.9400000000000001E-2</v>
      </c>
      <c r="EA4" s="44">
        <v>1.29E-2</v>
      </c>
      <c r="EB4" s="44">
        <v>2.0400000000000001E-2</v>
      </c>
      <c r="EC4" s="44">
        <v>2.3400000000000001E-2</v>
      </c>
      <c r="ED4" s="44">
        <v>1.34E-2</v>
      </c>
      <c r="EE4" s="44">
        <v>1.34E-2</v>
      </c>
      <c r="EF4" s="44">
        <v>1.49E-2</v>
      </c>
      <c r="EG4" s="44">
        <v>1.9400000000000001E-2</v>
      </c>
      <c r="EH4" s="44">
        <v>1.9400000000000001E-2</v>
      </c>
      <c r="EI4" s="44">
        <v>1.5900000000000001E-2</v>
      </c>
      <c r="EJ4" s="44">
        <v>2.9399999999999999E-2</v>
      </c>
      <c r="EK4" s="44">
        <v>2.8899999999999999E-2</v>
      </c>
      <c r="EL4" s="44">
        <v>3.04E-2</v>
      </c>
      <c r="EM4" s="44">
        <v>3.2899999999999999E-2</v>
      </c>
      <c r="EN4" s="44">
        <v>3.7400000000000003E-2</v>
      </c>
      <c r="EO4" s="44">
        <v>3.49E-2</v>
      </c>
      <c r="EP4" s="44">
        <v>3.8399999999999997E-2</v>
      </c>
      <c r="EQ4" s="44">
        <v>2.3400000000000001E-2</v>
      </c>
      <c r="ER4" s="44">
        <v>2.4899999999999999E-2</v>
      </c>
      <c r="ES4" s="44">
        <v>2.29E-2</v>
      </c>
      <c r="ET4" s="44">
        <v>1.44E-2</v>
      </c>
      <c r="EU4" s="44">
        <v>1.24E-2</v>
      </c>
      <c r="EV4" s="44">
        <v>1.1900000000000001E-2</v>
      </c>
      <c r="EW4" s="44">
        <v>1.1900000000000001E-2</v>
      </c>
      <c r="EX4" s="44">
        <v>1.04E-2</v>
      </c>
      <c r="EY4" s="44">
        <v>1.14E-2</v>
      </c>
      <c r="EZ4" s="44">
        <v>1.29E-2</v>
      </c>
      <c r="FA4" s="44">
        <v>1.7399999999999999E-2</v>
      </c>
      <c r="FB4" s="45">
        <v>1.6400000000000001E-2</v>
      </c>
      <c r="FC4" s="45">
        <v>1.3899999999999999E-2</v>
      </c>
      <c r="FD4" s="45">
        <v>1.04E-2</v>
      </c>
      <c r="FE4" s="45">
        <v>1.52E-2</v>
      </c>
      <c r="FF4" s="45">
        <v>1.49E-2</v>
      </c>
      <c r="FG4" s="45">
        <v>1.34E-2</v>
      </c>
      <c r="FH4" s="45">
        <v>1.1900000000000001E-2</v>
      </c>
      <c r="FI4" s="45">
        <v>1.14E-2</v>
      </c>
      <c r="FJ4" s="45">
        <v>1.1900000000000001E-2</v>
      </c>
      <c r="FK4" s="45">
        <v>1.14E-2</v>
      </c>
      <c r="FL4" s="45">
        <v>7.9000000000000008E-3</v>
      </c>
      <c r="FM4" s="45">
        <v>9.9000000000000008E-3</v>
      </c>
      <c r="FN4" s="45">
        <v>5.8999999999999999E-3</v>
      </c>
      <c r="FO4" s="45">
        <v>1.14E-2</v>
      </c>
      <c r="FP4" s="45">
        <v>1.04E-2</v>
      </c>
      <c r="FQ4" s="45">
        <v>1.44E-2</v>
      </c>
      <c r="FR4" s="45">
        <v>1.24E-2</v>
      </c>
      <c r="FS4" s="45">
        <v>1.24E-2</v>
      </c>
      <c r="FT4" s="45">
        <v>1.54E-2</v>
      </c>
      <c r="FU4" s="46">
        <v>1.24E-2</v>
      </c>
      <c r="FV4" s="46">
        <v>1.04E-2</v>
      </c>
      <c r="FW4" s="45">
        <v>1.5900000000000001E-2</v>
      </c>
      <c r="FX4" s="45">
        <v>1.7399999999999999E-2</v>
      </c>
      <c r="FY4" s="45">
        <v>1.89E-2</v>
      </c>
      <c r="FZ4" s="45">
        <v>1.04E-2</v>
      </c>
      <c r="GA4" s="45">
        <v>8.3999999999999995E-3</v>
      </c>
      <c r="GB4" s="45">
        <v>8.8999999999999999E-3</v>
      </c>
      <c r="GC4" s="45">
        <v>7.9000000000000008E-3</v>
      </c>
      <c r="GD4" s="45">
        <v>3.3999999999999998E-3</v>
      </c>
      <c r="GE4" s="45">
        <v>2.3999999999999998E-3</v>
      </c>
      <c r="GF4" s="45">
        <v>2.8999999999999998E-3</v>
      </c>
      <c r="GG4" s="45">
        <v>8.3999999999999995E-3</v>
      </c>
      <c r="GH4" s="45">
        <v>3.3999999999999998E-3</v>
      </c>
      <c r="GI4" s="45">
        <v>2.3999999999999998E-3</v>
      </c>
      <c r="GJ4" s="45">
        <v>7.4000000000000003E-3</v>
      </c>
      <c r="GK4" s="45">
        <v>6.8999999999999999E-3</v>
      </c>
      <c r="GL4" s="45">
        <v>1.24E-2</v>
      </c>
      <c r="GM4" s="45">
        <v>2.0400000000000001E-2</v>
      </c>
      <c r="GN4" s="45">
        <v>1.7399999999999999E-2</v>
      </c>
      <c r="GO4" s="45">
        <v>1.44E-2</v>
      </c>
      <c r="GP4" s="45">
        <v>1.34E-2</v>
      </c>
      <c r="GQ4" s="45">
        <v>1.34E-2</v>
      </c>
      <c r="GR4" s="45">
        <v>1.29E-2</v>
      </c>
      <c r="GS4" s="51">
        <v>1.29E-2</v>
      </c>
      <c r="GT4" s="51">
        <v>8.2000000000000007E-3</v>
      </c>
      <c r="GU4" s="51">
        <v>7.9000000000000008E-3</v>
      </c>
      <c r="GV4" s="51">
        <v>1.09E-2</v>
      </c>
      <c r="GW4" s="59"/>
      <c r="GX4" s="59"/>
      <c r="GY4" s="59"/>
      <c r="GZ4" s="59"/>
      <c r="HA4" s="59"/>
      <c r="HB4" s="59"/>
      <c r="HC4" s="59"/>
      <c r="HD4" s="59"/>
      <c r="HE4" s="58"/>
      <c r="HF4" s="58"/>
      <c r="HG4" s="58"/>
      <c r="HH4" s="58"/>
      <c r="HI4" s="58"/>
      <c r="HJ4" s="58"/>
      <c r="HK4" s="58"/>
      <c r="HL4" s="41">
        <f t="shared" ref="HL4:HL12" si="0">BH4-BQ4</f>
        <v>-6.0000000000000001E-3</v>
      </c>
      <c r="HM4" s="67"/>
      <c r="HN4" s="67"/>
      <c r="HO4" s="67"/>
      <c r="HP4" s="67"/>
      <c r="HQ4" s="86"/>
      <c r="HR4" s="100"/>
      <c r="HS4" s="67"/>
      <c r="HT4" s="67"/>
      <c r="HU4" s="67"/>
      <c r="HV4" s="67"/>
      <c r="HW4" s="67"/>
      <c r="HX4" s="67"/>
      <c r="HY4" s="67"/>
      <c r="HZ4" s="67"/>
      <c r="IA4" s="68"/>
      <c r="IB4" s="67"/>
      <c r="IC4" s="65"/>
      <c r="ID4" s="65"/>
      <c r="IE4" s="65"/>
      <c r="IF4" s="65"/>
      <c r="IG4" s="65"/>
      <c r="IH4" s="65"/>
      <c r="II4" s="65"/>
      <c r="IJ4" s="65"/>
      <c r="IK4" s="65"/>
      <c r="IL4" s="65"/>
      <c r="IM4" s="65"/>
      <c r="IN4" s="65"/>
      <c r="IO4" s="65"/>
      <c r="IP4" s="65"/>
      <c r="IQ4" s="65"/>
      <c r="IR4" s="65"/>
      <c r="IS4" s="65"/>
      <c r="IT4" s="65"/>
      <c r="IU4" s="65"/>
      <c r="IV4" s="65"/>
      <c r="IW4" s="65"/>
      <c r="IX4" s="65"/>
      <c r="IY4" s="65"/>
      <c r="IZ4" s="65"/>
      <c r="JA4" s="65"/>
      <c r="JB4" s="65"/>
      <c r="JC4" s="65"/>
      <c r="JD4" s="65"/>
      <c r="JE4" s="65"/>
      <c r="JF4" s="65"/>
      <c r="JG4" s="65"/>
      <c r="JH4" s="65"/>
      <c r="JI4" s="65"/>
      <c r="JJ4" s="65"/>
      <c r="JK4" s="65"/>
      <c r="JL4" s="65"/>
      <c r="JM4" s="65"/>
      <c r="JN4" s="65"/>
      <c r="JO4" s="92"/>
      <c r="JP4" s="92"/>
      <c r="JQ4" s="92"/>
      <c r="JR4" s="92"/>
      <c r="JS4" s="92"/>
      <c r="JT4" s="92"/>
      <c r="JU4" s="92"/>
      <c r="JV4" s="92"/>
      <c r="JW4" s="92"/>
      <c r="JX4" s="92"/>
      <c r="JY4" s="92"/>
      <c r="JZ4" s="92"/>
      <c r="KA4" s="92"/>
      <c r="KB4" s="92"/>
      <c r="KC4" s="92"/>
      <c r="KD4" s="92"/>
      <c r="KE4" s="92"/>
      <c r="KF4" s="92"/>
      <c r="KG4" s="92"/>
      <c r="KH4" s="92"/>
      <c r="KI4" s="92"/>
      <c r="KJ4" s="92"/>
      <c r="KK4" s="92"/>
      <c r="KL4" s="92"/>
      <c r="KM4" s="92"/>
      <c r="KN4" s="92"/>
      <c r="KO4" s="92"/>
      <c r="KP4" s="92"/>
      <c r="KQ4" s="92"/>
      <c r="KR4" s="92"/>
      <c r="KS4" s="92"/>
      <c r="KT4" s="92"/>
      <c r="KU4" s="92"/>
      <c r="KV4" s="92"/>
      <c r="KW4" s="92"/>
      <c r="KX4" s="92"/>
      <c r="KY4" s="92"/>
      <c r="KZ4" s="92"/>
      <c r="LA4" s="92"/>
      <c r="LB4" s="92"/>
      <c r="LC4" s="92"/>
      <c r="LD4" s="92"/>
      <c r="LE4" s="92"/>
      <c r="LF4" s="92"/>
      <c r="LG4" s="92"/>
      <c r="LH4" s="92"/>
      <c r="LI4" s="92"/>
      <c r="LJ4" s="92"/>
      <c r="LK4" s="92"/>
      <c r="LL4" s="92"/>
      <c r="LM4" s="92"/>
      <c r="LN4" s="473">
        <f t="shared" ref="LN4:LN23" si="1">Q4-R4</f>
        <v>0</v>
      </c>
    </row>
    <row r="5" spans="1:326">
      <c r="A5" s="1168"/>
      <c r="B5" s="60"/>
      <c r="C5" s="60"/>
      <c r="D5" s="60"/>
      <c r="E5" s="60"/>
      <c r="F5" s="60"/>
      <c r="G5" s="60"/>
      <c r="H5" s="60"/>
      <c r="I5" s="60"/>
      <c r="J5" s="60"/>
      <c r="K5" s="60"/>
      <c r="L5" s="60"/>
      <c r="M5" s="60"/>
      <c r="N5" s="61"/>
      <c r="O5" s="60"/>
      <c r="P5" s="738" t="s">
        <v>93</v>
      </c>
      <c r="Q5" s="590">
        <v>5.1999999999999998E-3</v>
      </c>
      <c r="R5" s="590">
        <v>5.1999999999999998E-3</v>
      </c>
      <c r="S5" s="590">
        <v>4.7000000000000002E-3</v>
      </c>
      <c r="T5" s="590">
        <v>2.7000000000000001E-3</v>
      </c>
      <c r="U5" s="590">
        <v>4.7000000000000002E-3</v>
      </c>
      <c r="V5" s="590">
        <v>6.1999999999999998E-3</v>
      </c>
      <c r="W5" s="590">
        <v>6.7000000000000002E-3</v>
      </c>
      <c r="X5" s="590">
        <v>6.1999999999999998E-3</v>
      </c>
      <c r="Y5" s="590">
        <v>8.6999999999999994E-3</v>
      </c>
      <c r="Z5" s="590">
        <v>7.7000000000000002E-3</v>
      </c>
      <c r="AA5" s="590">
        <v>8.2000000000000007E-3</v>
      </c>
      <c r="AB5" s="590">
        <v>5.7000000000000002E-3</v>
      </c>
      <c r="AC5" s="590">
        <v>7.1999999999999998E-3</v>
      </c>
      <c r="AD5" s="590">
        <v>7.7000000000000002E-3</v>
      </c>
      <c r="AE5" s="590">
        <v>5.7000000000000002E-3</v>
      </c>
      <c r="AF5" s="590">
        <v>6.7000000000000002E-3</v>
      </c>
      <c r="AG5" s="590">
        <v>6.1999999999999998E-3</v>
      </c>
      <c r="AH5" s="590">
        <v>5.7000000000000002E-3</v>
      </c>
      <c r="AI5" s="590">
        <v>5.1999999999999998E-3</v>
      </c>
      <c r="AJ5" s="48">
        <v>5.7000000000000002E-3</v>
      </c>
      <c r="AK5" s="48">
        <v>6.7000000000000002E-3</v>
      </c>
      <c r="AL5" s="47">
        <v>5.7000000000000002E-3</v>
      </c>
      <c r="AM5" s="48">
        <v>5.7000000000000002E-3</v>
      </c>
      <c r="AN5" s="48">
        <v>5.1999999999999998E-3</v>
      </c>
      <c r="AO5" s="48">
        <v>5.6999999999999993E-3</v>
      </c>
      <c r="AP5" s="48">
        <v>4.6999999999999993E-3</v>
      </c>
      <c r="AQ5" s="48">
        <v>5.1999999999999998E-3</v>
      </c>
      <c r="AR5" s="47">
        <v>4.1999999999999997E-3</v>
      </c>
      <c r="AS5" s="47">
        <v>6.1999999999999998E-3</v>
      </c>
      <c r="AT5" s="460">
        <v>6.1999999999999998E-3</v>
      </c>
      <c r="AU5" s="34">
        <v>4.7000000000000002E-3</v>
      </c>
      <c r="AV5" s="34">
        <v>6.7000000000000002E-3</v>
      </c>
      <c r="AW5" s="34">
        <v>4.1999999999999997E-3</v>
      </c>
      <c r="AX5" s="34">
        <v>5.7000000000000002E-3</v>
      </c>
      <c r="AY5" s="34">
        <v>6.7000000000000002E-3</v>
      </c>
      <c r="AZ5" s="35">
        <v>5.7000000000000002E-3</v>
      </c>
      <c r="BA5" s="35">
        <v>5.7000000000000002E-3</v>
      </c>
      <c r="BB5" s="35">
        <v>5.7000000000000002E-3</v>
      </c>
      <c r="BC5" s="34">
        <v>5.7000000000000002E-3</v>
      </c>
      <c r="BD5" s="34">
        <v>6.1999999999999998E-3</v>
      </c>
      <c r="BE5" s="34">
        <v>6.7000000000000002E-3</v>
      </c>
      <c r="BF5" s="35">
        <v>5.1999999999999998E-3</v>
      </c>
      <c r="BG5" s="34">
        <v>5.1999999999999998E-3</v>
      </c>
      <c r="BH5" s="35">
        <v>4.7000000000000002E-3</v>
      </c>
      <c r="BI5" s="34">
        <v>4.7000000000000002E-3</v>
      </c>
      <c r="BJ5" s="46">
        <v>5.7000000000000002E-3</v>
      </c>
      <c r="BK5" s="46">
        <v>2.7000000000000001E-3</v>
      </c>
      <c r="BL5" s="46">
        <v>1.0699999999999999E-2</v>
      </c>
      <c r="BM5" s="46">
        <v>1.2699999999999999E-2</v>
      </c>
      <c r="BN5" s="46">
        <v>6.1999999999999998E-3</v>
      </c>
      <c r="BO5" s="46">
        <v>6.7000000000000002E-3</v>
      </c>
      <c r="BP5" s="46">
        <v>7.1999999999999998E-3</v>
      </c>
      <c r="BQ5" s="46">
        <v>1.0699999999999999E-2</v>
      </c>
      <c r="BR5" s="46">
        <v>1.0200000000000001E-2</v>
      </c>
      <c r="BS5" s="46">
        <v>1.2699999999999999E-2</v>
      </c>
      <c r="BT5" s="46">
        <v>1.5699999999999999E-2</v>
      </c>
      <c r="BU5" s="46">
        <v>1.77E-2</v>
      </c>
      <c r="BV5" s="46">
        <v>1.12E-2</v>
      </c>
      <c r="BW5" s="46">
        <v>1.17E-2</v>
      </c>
      <c r="BX5" s="46">
        <v>1.8200000000000001E-2</v>
      </c>
      <c r="BY5" s="46">
        <v>3.2199999999999999E-2</v>
      </c>
      <c r="BZ5" s="46">
        <v>2.2700000000000001E-2</v>
      </c>
      <c r="CA5" s="46">
        <v>2.47E-2</v>
      </c>
      <c r="CB5" s="46">
        <v>2.7699999999999999E-2</v>
      </c>
      <c r="CC5" s="46">
        <v>1.67E-2</v>
      </c>
      <c r="CD5" s="46">
        <v>1.67E-2</v>
      </c>
      <c r="CE5" s="46">
        <v>2.9700000000000001E-2</v>
      </c>
      <c r="CF5" s="46">
        <v>3.1699999999999999E-2</v>
      </c>
      <c r="CG5" s="46">
        <v>1.37E-2</v>
      </c>
      <c r="CH5" s="46">
        <v>1.0699999999999999E-2</v>
      </c>
      <c r="CI5" s="46">
        <v>1.0699999999999999E-2</v>
      </c>
      <c r="CJ5" s="46">
        <v>1.2699999999999999E-2</v>
      </c>
      <c r="CK5" s="46">
        <v>1.2200000000000001E-2</v>
      </c>
      <c r="CL5" s="46">
        <v>1.32E-2</v>
      </c>
      <c r="CM5" s="46">
        <v>2.7000000000000001E-3</v>
      </c>
      <c r="CN5" s="46">
        <v>2.7000000000000001E-3</v>
      </c>
      <c r="CO5" s="46">
        <v>6.1999999999999998E-3</v>
      </c>
      <c r="CP5" s="46">
        <v>3.2000000000000002E-3</v>
      </c>
      <c r="CQ5" s="46">
        <v>5.7000000000000002E-3</v>
      </c>
      <c r="CR5" s="46">
        <v>3.2000000000000002E-3</v>
      </c>
      <c r="CS5" s="46">
        <v>6.1999999999999998E-3</v>
      </c>
      <c r="CT5" s="46">
        <v>8.2000000000000007E-3</v>
      </c>
      <c r="CU5" s="46">
        <v>1.12E-2</v>
      </c>
      <c r="CV5" s="46">
        <v>1.72E-2</v>
      </c>
      <c r="CW5" s="46">
        <v>2.0199999999999999E-2</v>
      </c>
      <c r="CX5" s="46">
        <v>2.2700000000000001E-2</v>
      </c>
      <c r="CY5" s="46">
        <v>2.2200000000000001E-2</v>
      </c>
      <c r="CZ5" s="46">
        <v>1.72E-2</v>
      </c>
      <c r="DA5" s="46">
        <v>1.72E-2</v>
      </c>
      <c r="DB5" s="46">
        <v>1.52E-2</v>
      </c>
      <c r="DC5" s="46">
        <v>1.52E-2</v>
      </c>
      <c r="DD5" s="46">
        <v>1.52E-2</v>
      </c>
      <c r="DE5" s="46">
        <v>1.52E-2</v>
      </c>
      <c r="DF5" s="46">
        <v>1.5699999999999999E-2</v>
      </c>
      <c r="DG5" s="46">
        <v>1.9699999999999999E-2</v>
      </c>
      <c r="DH5" s="46">
        <v>2.52E-2</v>
      </c>
      <c r="DI5" s="46">
        <v>3.0700000000000002E-2</v>
      </c>
      <c r="DJ5" s="54">
        <v>4.07E-2</v>
      </c>
      <c r="DK5" s="53">
        <v>3.8199999999999998E-2</v>
      </c>
      <c r="DL5" s="46">
        <v>3.0700000000000002E-2</v>
      </c>
      <c r="DM5" s="46">
        <v>3.1199999999999999E-2</v>
      </c>
      <c r="DN5" s="46">
        <v>2.7199999999999998E-2</v>
      </c>
      <c r="DO5" s="46">
        <v>1.8700000000000001E-2</v>
      </c>
      <c r="DP5" s="46">
        <v>1.72E-2</v>
      </c>
      <c r="DQ5" s="45">
        <v>2.1700000000000001E-2</v>
      </c>
      <c r="DR5" s="45">
        <v>1.9699999999999999E-2</v>
      </c>
      <c r="DS5" s="45">
        <v>2.47E-2</v>
      </c>
      <c r="DT5" s="44">
        <v>2.1700000000000001E-2</v>
      </c>
      <c r="DU5" s="44">
        <v>1.8200000000000001E-2</v>
      </c>
      <c r="DV5" s="44">
        <v>2.07E-2</v>
      </c>
      <c r="DW5" s="44">
        <v>2.52E-2</v>
      </c>
      <c r="DX5" s="44">
        <v>1.9699999999999999E-2</v>
      </c>
      <c r="DY5" s="44">
        <v>1.9699999999999999E-2</v>
      </c>
      <c r="DZ5" s="44">
        <v>2.07E-2</v>
      </c>
      <c r="EA5" s="44">
        <v>1.4200000000000001E-2</v>
      </c>
      <c r="EB5" s="44">
        <v>2.1700000000000001E-2</v>
      </c>
      <c r="EC5" s="44">
        <v>2.47E-2</v>
      </c>
      <c r="ED5" s="44">
        <v>1.47E-2</v>
      </c>
      <c r="EE5" s="44">
        <v>1.47E-2</v>
      </c>
      <c r="EF5" s="44">
        <v>1.6199999999999999E-2</v>
      </c>
      <c r="EG5" s="44">
        <v>2.07E-2</v>
      </c>
      <c r="EH5" s="44">
        <v>2.07E-2</v>
      </c>
      <c r="EI5" s="44">
        <v>1.72E-2</v>
      </c>
      <c r="EJ5" s="44">
        <v>3.0700000000000002E-2</v>
      </c>
      <c r="EK5" s="44">
        <v>3.0200000000000001E-2</v>
      </c>
      <c r="EL5" s="44">
        <v>3.1699999999999999E-2</v>
      </c>
      <c r="EM5" s="44">
        <v>3.4200000000000001E-2</v>
      </c>
      <c r="EN5" s="44">
        <v>3.8699999999999998E-2</v>
      </c>
      <c r="EO5" s="44">
        <v>3.6200000000000003E-2</v>
      </c>
      <c r="EP5" s="44">
        <v>3.9699999999999999E-2</v>
      </c>
      <c r="EQ5" s="44">
        <v>2.47E-2</v>
      </c>
      <c r="ER5" s="44">
        <v>2.6200000000000001E-2</v>
      </c>
      <c r="ES5" s="44">
        <v>2.4199999999999999E-2</v>
      </c>
      <c r="ET5" s="44">
        <v>1.5699999999999999E-2</v>
      </c>
      <c r="EU5" s="44">
        <v>1.37E-2</v>
      </c>
      <c r="EV5" s="44">
        <v>1.32E-2</v>
      </c>
      <c r="EW5" s="44">
        <v>1.32E-2</v>
      </c>
      <c r="EX5" s="44">
        <v>1.17E-2</v>
      </c>
      <c r="EY5" s="44">
        <v>1.2699999999999999E-2</v>
      </c>
      <c r="EZ5" s="44">
        <v>1.4200000000000001E-2</v>
      </c>
      <c r="FA5" s="44">
        <v>1.8700000000000001E-2</v>
      </c>
      <c r="FB5" s="45">
        <v>1.77E-2</v>
      </c>
      <c r="FC5" s="45">
        <v>1.52E-2</v>
      </c>
      <c r="FD5" s="45">
        <v>1.17E-2</v>
      </c>
      <c r="FE5" s="45">
        <v>1.6500000000000001E-2</v>
      </c>
      <c r="FF5" s="45">
        <v>1.6199999999999999E-2</v>
      </c>
      <c r="FG5" s="45">
        <v>1.47E-2</v>
      </c>
      <c r="FH5" s="45">
        <v>1.32E-2</v>
      </c>
      <c r="FI5" s="45">
        <v>1.2699999999999999E-2</v>
      </c>
      <c r="FJ5" s="45">
        <v>1.32E-2</v>
      </c>
      <c r="FK5" s="45">
        <v>1.2699999999999999E-2</v>
      </c>
      <c r="FL5" s="45">
        <v>9.1999999999999998E-3</v>
      </c>
      <c r="FM5" s="45">
        <v>1.12E-2</v>
      </c>
      <c r="FN5" s="45">
        <v>7.1999999999999998E-3</v>
      </c>
      <c r="FO5" s="45">
        <v>1.2699999999999999E-2</v>
      </c>
      <c r="FP5" s="45">
        <v>1.17E-2</v>
      </c>
      <c r="FQ5" s="45">
        <v>1.5699999999999999E-2</v>
      </c>
      <c r="FR5" s="45">
        <v>1.37E-2</v>
      </c>
      <c r="FS5" s="45">
        <v>1.37E-2</v>
      </c>
      <c r="FT5" s="45">
        <v>1.67E-2</v>
      </c>
      <c r="FU5" s="46">
        <v>1.37E-2</v>
      </c>
      <c r="FV5" s="46">
        <v>1.17E-2</v>
      </c>
      <c r="FW5" s="45">
        <v>1.72E-2</v>
      </c>
      <c r="FX5" s="45">
        <v>1.8700000000000001E-2</v>
      </c>
      <c r="FY5" s="45">
        <v>2.0199999999999999E-2</v>
      </c>
      <c r="FZ5" s="45">
        <v>1.17E-2</v>
      </c>
      <c r="GA5" s="45">
        <v>9.7000000000000003E-3</v>
      </c>
      <c r="GB5" s="45">
        <v>1.0200000000000001E-2</v>
      </c>
      <c r="GC5" s="45">
        <v>9.1999999999999998E-3</v>
      </c>
      <c r="GD5" s="45">
        <v>4.7000000000000002E-3</v>
      </c>
      <c r="GE5" s="45">
        <v>3.7000000000000002E-3</v>
      </c>
      <c r="GF5" s="45">
        <v>4.1999999999999997E-3</v>
      </c>
      <c r="GG5" s="45">
        <v>9.7000000000000003E-3</v>
      </c>
      <c r="GH5" s="45">
        <v>4.7000000000000002E-3</v>
      </c>
      <c r="GI5" s="45">
        <v>3.7000000000000002E-3</v>
      </c>
      <c r="GJ5" s="45">
        <v>8.6999999999999994E-3</v>
      </c>
      <c r="GK5" s="45">
        <v>8.2000000000000007E-3</v>
      </c>
      <c r="GL5" s="45">
        <v>1.37E-2</v>
      </c>
      <c r="GM5" s="45">
        <v>2.1700000000000001E-2</v>
      </c>
      <c r="GN5" s="45">
        <v>1.8700000000000001E-2</v>
      </c>
      <c r="GO5" s="45">
        <v>1.5699999999999999E-2</v>
      </c>
      <c r="GP5" s="45">
        <v>1.47E-2</v>
      </c>
      <c r="GQ5" s="45">
        <v>1.47E-2</v>
      </c>
      <c r="GR5" s="45">
        <v>1.4200000000000001E-2</v>
      </c>
      <c r="GS5" s="51">
        <v>1.4200000000000001E-2</v>
      </c>
      <c r="GT5" s="51">
        <v>9.4999999999999998E-3</v>
      </c>
      <c r="GU5" s="51">
        <v>9.1999999999999998E-3</v>
      </c>
      <c r="GV5" s="51">
        <v>1.2200000000000001E-2</v>
      </c>
      <c r="GW5" s="59"/>
      <c r="GX5" s="59"/>
      <c r="GY5" s="59"/>
      <c r="GZ5" s="59"/>
      <c r="HA5" s="59"/>
      <c r="HB5" s="59"/>
      <c r="HC5" s="59"/>
      <c r="HD5" s="59"/>
      <c r="HE5" s="58"/>
      <c r="HF5" s="58"/>
      <c r="HG5" s="58"/>
      <c r="HH5" s="58"/>
      <c r="HI5" s="58"/>
      <c r="HJ5" s="58"/>
      <c r="HK5" s="58"/>
      <c r="HL5" s="41">
        <f t="shared" si="0"/>
        <v>-5.9999999999999993E-3</v>
      </c>
      <c r="HM5" s="67"/>
      <c r="HN5" s="67"/>
      <c r="HO5" s="67"/>
      <c r="HP5" s="67"/>
      <c r="HQ5" s="86"/>
      <c r="HR5" s="100"/>
      <c r="HS5" s="67"/>
      <c r="HT5" s="67"/>
      <c r="HU5" s="67"/>
      <c r="HV5" s="67"/>
      <c r="HW5" s="67"/>
      <c r="HX5" s="67"/>
      <c r="HY5" s="67"/>
      <c r="HZ5" s="67"/>
      <c r="IA5" s="68"/>
      <c r="IB5" s="67"/>
      <c r="IC5" s="65"/>
      <c r="ID5" s="65"/>
      <c r="IE5" s="65"/>
      <c r="IF5" s="65"/>
      <c r="IG5" s="65"/>
      <c r="IH5" s="65"/>
      <c r="II5" s="65"/>
      <c r="IJ5" s="65"/>
      <c r="IK5" s="65"/>
      <c r="IL5" s="65"/>
      <c r="IM5" s="65"/>
      <c r="IN5" s="65"/>
      <c r="IO5" s="65"/>
      <c r="IP5" s="65"/>
      <c r="IQ5" s="65"/>
      <c r="IR5" s="65"/>
      <c r="IS5" s="65"/>
      <c r="IT5" s="65"/>
      <c r="IU5" s="65"/>
      <c r="IV5" s="65"/>
      <c r="IW5" s="65"/>
      <c r="IX5" s="65"/>
      <c r="IY5" s="65"/>
      <c r="IZ5" s="65"/>
      <c r="JA5" s="65"/>
      <c r="JB5" s="65"/>
      <c r="JC5" s="65"/>
      <c r="JD5" s="65"/>
      <c r="JE5" s="65"/>
      <c r="JF5" s="65"/>
      <c r="JG5" s="65"/>
      <c r="JH5" s="65"/>
      <c r="JI5" s="65"/>
      <c r="JJ5" s="65"/>
      <c r="JK5" s="65"/>
      <c r="JL5" s="65"/>
      <c r="JM5" s="65"/>
      <c r="JN5" s="65"/>
      <c r="JO5" s="92"/>
      <c r="JP5" s="92"/>
      <c r="JQ5" s="92"/>
      <c r="JR5" s="92"/>
      <c r="JS5" s="92"/>
      <c r="JT5" s="92"/>
      <c r="JU5" s="92"/>
      <c r="JV5" s="92"/>
      <c r="JW5" s="92"/>
      <c r="JX5" s="92"/>
      <c r="JY5" s="92"/>
      <c r="JZ5" s="92"/>
      <c r="KA5" s="92"/>
      <c r="KB5" s="92"/>
      <c r="KC5" s="92"/>
      <c r="KD5" s="92"/>
      <c r="KE5" s="92"/>
      <c r="KF5" s="92"/>
      <c r="KG5" s="92"/>
      <c r="KH5" s="92"/>
      <c r="KI5" s="92"/>
      <c r="KJ5" s="92"/>
      <c r="KK5" s="92"/>
      <c r="KL5" s="92"/>
      <c r="KM5" s="92"/>
      <c r="KN5" s="92"/>
      <c r="KO5" s="92"/>
      <c r="KP5" s="92"/>
      <c r="KQ5" s="92"/>
      <c r="KR5" s="92"/>
      <c r="KS5" s="92"/>
      <c r="KT5" s="92"/>
      <c r="KU5" s="92"/>
      <c r="KV5" s="92"/>
      <c r="KW5" s="92"/>
      <c r="KX5" s="92"/>
      <c r="KY5" s="92"/>
      <c r="KZ5" s="92"/>
      <c r="LA5" s="92"/>
      <c r="LB5" s="92"/>
      <c r="LC5" s="92"/>
      <c r="LD5" s="92"/>
      <c r="LE5" s="92"/>
      <c r="LF5" s="92"/>
      <c r="LG5" s="92"/>
      <c r="LH5" s="92"/>
      <c r="LI5" s="92"/>
      <c r="LJ5" s="92"/>
      <c r="LK5" s="92"/>
      <c r="LL5" s="92"/>
      <c r="LM5" s="92"/>
      <c r="LN5" s="473">
        <f t="shared" si="1"/>
        <v>0</v>
      </c>
    </row>
    <row r="6" spans="1:326">
      <c r="A6" s="1168"/>
      <c r="B6" s="60"/>
      <c r="C6" s="60"/>
      <c r="D6" s="60"/>
      <c r="E6" s="60"/>
      <c r="F6" s="60"/>
      <c r="G6" s="60"/>
      <c r="H6" s="60"/>
      <c r="I6" s="60"/>
      <c r="J6" s="60"/>
      <c r="K6" s="60"/>
      <c r="L6" s="60"/>
      <c r="M6" s="60"/>
      <c r="N6" s="61"/>
      <c r="O6" s="60"/>
      <c r="P6" s="738" t="s">
        <v>90</v>
      </c>
      <c r="Q6" s="590">
        <v>6.4000000000000003E-3</v>
      </c>
      <c r="R6" s="590">
        <v>6.4000000000000003E-3</v>
      </c>
      <c r="S6" s="590">
        <v>5.8999999999999999E-3</v>
      </c>
      <c r="T6" s="590">
        <v>3.8999999999999998E-3</v>
      </c>
      <c r="U6" s="590">
        <v>5.8999999999999999E-3</v>
      </c>
      <c r="V6" s="590">
        <v>7.4000000000000003E-3</v>
      </c>
      <c r="W6" s="590">
        <v>7.9000000000000008E-3</v>
      </c>
      <c r="X6" s="590">
        <v>7.4000000000000003E-3</v>
      </c>
      <c r="Y6" s="590">
        <v>9.9000000000000008E-3</v>
      </c>
      <c r="Z6" s="590">
        <v>8.8999999999999999E-3</v>
      </c>
      <c r="AA6" s="590">
        <v>9.4000000000000004E-3</v>
      </c>
      <c r="AB6" s="590">
        <v>6.8999999999999999E-3</v>
      </c>
      <c r="AC6" s="590">
        <v>8.3999999999999995E-3</v>
      </c>
      <c r="AD6" s="590">
        <v>8.8999999999999999E-3</v>
      </c>
      <c r="AE6" s="590">
        <v>6.8999999999999999E-3</v>
      </c>
      <c r="AF6" s="590">
        <v>7.9000000000000008E-3</v>
      </c>
      <c r="AG6" s="590">
        <v>7.4000000000000003E-3</v>
      </c>
      <c r="AH6" s="590">
        <v>6.9000000000000016E-3</v>
      </c>
      <c r="AI6" s="590">
        <v>6.4000000000000012E-3</v>
      </c>
      <c r="AJ6" s="48">
        <v>6.9000000000000008E-3</v>
      </c>
      <c r="AK6" s="48">
        <v>7.9000000000000008E-3</v>
      </c>
      <c r="AL6" s="47">
        <v>6.8999999999999999E-3</v>
      </c>
      <c r="AM6" s="48">
        <v>6.8999999999999999E-3</v>
      </c>
      <c r="AN6" s="48">
        <v>6.4000000000000003E-3</v>
      </c>
      <c r="AO6" s="48">
        <v>6.9000000000000008E-3</v>
      </c>
      <c r="AP6" s="48">
        <v>5.9000000000000007E-3</v>
      </c>
      <c r="AQ6" s="48">
        <v>6.4000000000000003E-3</v>
      </c>
      <c r="AR6" s="47">
        <v>5.4000000000000003E-3</v>
      </c>
      <c r="AS6" s="47">
        <v>7.4000000000000003E-3</v>
      </c>
      <c r="AT6" s="460">
        <v>7.4000000000000003E-3</v>
      </c>
      <c r="AU6" s="34">
        <v>5.8999999999999999E-3</v>
      </c>
      <c r="AV6" s="34">
        <v>7.9000000000000008E-3</v>
      </c>
      <c r="AW6" s="34">
        <v>5.4000000000000003E-3</v>
      </c>
      <c r="AX6" s="34">
        <v>6.8999999999999999E-3</v>
      </c>
      <c r="AY6" s="34">
        <v>7.9000000000000008E-3</v>
      </c>
      <c r="AZ6" s="35">
        <v>6.8999999999999999E-3</v>
      </c>
      <c r="BA6" s="35">
        <v>6.8999999999999999E-3</v>
      </c>
      <c r="BB6" s="35">
        <v>6.8999999999999999E-3</v>
      </c>
      <c r="BC6" s="34">
        <v>6.8999999999999999E-3</v>
      </c>
      <c r="BD6" s="34">
        <v>1.7399999999999999E-2</v>
      </c>
      <c r="BE6" s="34">
        <v>7.9000000000000008E-3</v>
      </c>
      <c r="BF6" s="35">
        <v>6.4000000000000003E-3</v>
      </c>
      <c r="BG6" s="34">
        <v>6.4000000000000003E-3</v>
      </c>
      <c r="BH6" s="35">
        <v>5.8999999999999999E-3</v>
      </c>
      <c r="BI6" s="34">
        <v>5.8999999999999999E-3</v>
      </c>
      <c r="BJ6" s="46">
        <v>6.8999999999999999E-3</v>
      </c>
      <c r="BK6" s="46">
        <v>3.8999999999999998E-3</v>
      </c>
      <c r="BL6" s="46">
        <v>1.1900000000000001E-2</v>
      </c>
      <c r="BM6" s="46">
        <v>1.3899999999999999E-2</v>
      </c>
      <c r="BN6" s="46">
        <v>7.4000000000000003E-3</v>
      </c>
      <c r="BO6" s="46">
        <v>7.9000000000000008E-3</v>
      </c>
      <c r="BP6" s="46">
        <v>8.3999999999999995E-3</v>
      </c>
      <c r="BQ6" s="46">
        <v>1.1900000000000001E-2</v>
      </c>
      <c r="BR6" s="46">
        <v>1.14E-2</v>
      </c>
      <c r="BS6" s="46">
        <v>1.3899999999999999E-2</v>
      </c>
      <c r="BT6" s="46">
        <v>1.6899999999999998E-2</v>
      </c>
      <c r="BU6" s="46">
        <v>1.89E-2</v>
      </c>
      <c r="BV6" s="46">
        <v>1.24E-2</v>
      </c>
      <c r="BW6" s="46">
        <v>1.29E-2</v>
      </c>
      <c r="BX6" s="46">
        <v>1.9400000000000001E-2</v>
      </c>
      <c r="BY6" s="46">
        <v>3.3399999999999999E-2</v>
      </c>
      <c r="BZ6" s="46">
        <v>2.3900000000000001E-2</v>
      </c>
      <c r="CA6" s="46">
        <v>2.5899999999999999E-2</v>
      </c>
      <c r="CB6" s="46">
        <v>2.8899999999999999E-2</v>
      </c>
      <c r="CC6" s="46">
        <v>1.7899999999999999E-2</v>
      </c>
      <c r="CD6" s="46">
        <v>1.7899999999999999E-2</v>
      </c>
      <c r="CE6" s="46">
        <v>3.09E-2</v>
      </c>
      <c r="CF6" s="46">
        <v>3.2899999999999999E-2</v>
      </c>
      <c r="CG6" s="46">
        <v>1.49E-2</v>
      </c>
      <c r="CH6" s="46">
        <v>1.1900000000000001E-2</v>
      </c>
      <c r="CI6" s="46">
        <v>1.1900000000000001E-2</v>
      </c>
      <c r="CJ6" s="46">
        <v>1.3899999999999999E-2</v>
      </c>
      <c r="CK6" s="46">
        <v>1.34E-2</v>
      </c>
      <c r="CL6" s="46">
        <v>1.44E-2</v>
      </c>
      <c r="CM6" s="46">
        <v>3.8999999999999998E-3</v>
      </c>
      <c r="CN6" s="46">
        <v>3.8999999999999998E-3</v>
      </c>
      <c r="CO6" s="46">
        <v>7.4000000000000003E-3</v>
      </c>
      <c r="CP6" s="46">
        <v>4.4000000000000003E-3</v>
      </c>
      <c r="CQ6" s="46">
        <v>6.8999999999999999E-3</v>
      </c>
      <c r="CR6" s="46">
        <v>4.4000000000000003E-3</v>
      </c>
      <c r="CS6" s="46">
        <v>7.4000000000000003E-3</v>
      </c>
      <c r="CT6" s="46">
        <v>9.4000000000000004E-3</v>
      </c>
      <c r="CU6" s="46">
        <v>1.24E-2</v>
      </c>
      <c r="CV6" s="46">
        <v>1.84E-2</v>
      </c>
      <c r="CW6" s="46">
        <v>2.1399999999999999E-2</v>
      </c>
      <c r="CX6" s="46">
        <v>2.3900000000000001E-2</v>
      </c>
      <c r="CY6" s="46">
        <v>2.3400000000000001E-2</v>
      </c>
      <c r="CZ6" s="46">
        <v>1.84E-2</v>
      </c>
      <c r="DA6" s="46">
        <v>1.84E-2</v>
      </c>
      <c r="DB6" s="46">
        <v>1.6400000000000001E-2</v>
      </c>
      <c r="DC6" s="46">
        <v>1.6400000000000001E-2</v>
      </c>
      <c r="DD6" s="46">
        <v>1.6400000000000001E-2</v>
      </c>
      <c r="DE6" s="46">
        <v>1.6400000000000001E-2</v>
      </c>
      <c r="DF6" s="46">
        <v>1.6899999999999998E-2</v>
      </c>
      <c r="DG6" s="46">
        <v>2.0899999999999998E-2</v>
      </c>
      <c r="DH6" s="46">
        <v>2.64E-2</v>
      </c>
      <c r="DI6" s="46">
        <v>3.1899999999999998E-2</v>
      </c>
      <c r="DJ6" s="54">
        <v>4.19E-2</v>
      </c>
      <c r="DK6" s="53">
        <v>3.9399999999999998E-2</v>
      </c>
      <c r="DL6" s="46">
        <v>3.1899999999999998E-2</v>
      </c>
      <c r="DM6" s="46">
        <v>3.2399999999999998E-2</v>
      </c>
      <c r="DN6" s="46">
        <v>2.8400000000000002E-2</v>
      </c>
      <c r="DO6" s="46">
        <v>1.9900000000000001E-2</v>
      </c>
      <c r="DP6" s="46">
        <v>1.84E-2</v>
      </c>
      <c r="DQ6" s="45">
        <v>2.29E-2</v>
      </c>
      <c r="DR6" s="45">
        <v>2.0899999999999998E-2</v>
      </c>
      <c r="DS6" s="45">
        <v>2.5899999999999999E-2</v>
      </c>
      <c r="DT6" s="44">
        <v>2.29E-2</v>
      </c>
      <c r="DU6" s="44">
        <v>1.9400000000000001E-2</v>
      </c>
      <c r="DV6" s="44">
        <v>2.1899999999999999E-2</v>
      </c>
      <c r="DW6" s="44">
        <v>2.64E-2</v>
      </c>
      <c r="DX6" s="44">
        <v>2.0899999999999998E-2</v>
      </c>
      <c r="DY6" s="44">
        <v>2.0899999999999998E-2</v>
      </c>
      <c r="DZ6" s="44">
        <v>2.1899999999999999E-2</v>
      </c>
      <c r="EA6" s="44">
        <v>1.54E-2</v>
      </c>
      <c r="EB6" s="44">
        <v>2.29E-2</v>
      </c>
      <c r="EC6" s="44">
        <v>2.5899999999999999E-2</v>
      </c>
      <c r="ED6" s="44">
        <v>1.5900000000000001E-2</v>
      </c>
      <c r="EE6" s="44">
        <v>1.5900000000000001E-2</v>
      </c>
      <c r="EF6" s="44">
        <v>1.7399999999999999E-2</v>
      </c>
      <c r="EG6" s="44">
        <v>2.1899999999999999E-2</v>
      </c>
      <c r="EH6" s="44">
        <v>2.1899999999999999E-2</v>
      </c>
      <c r="EI6" s="44">
        <v>1.84E-2</v>
      </c>
      <c r="EJ6" s="44">
        <v>3.1899999999999998E-2</v>
      </c>
      <c r="EK6" s="44">
        <v>3.1399999999999997E-2</v>
      </c>
      <c r="EL6" s="44">
        <v>3.2899999999999999E-2</v>
      </c>
      <c r="EM6" s="44">
        <v>3.5400000000000001E-2</v>
      </c>
      <c r="EN6" s="44">
        <v>3.9899999999999998E-2</v>
      </c>
      <c r="EO6" s="44">
        <v>3.7400000000000003E-2</v>
      </c>
      <c r="EP6" s="44">
        <v>4.0899999999999999E-2</v>
      </c>
      <c r="EQ6" s="44">
        <v>2.5899999999999999E-2</v>
      </c>
      <c r="ER6" s="44">
        <v>2.7400000000000001E-2</v>
      </c>
      <c r="ES6" s="44">
        <v>2.5399999999999999E-2</v>
      </c>
      <c r="ET6" s="44">
        <v>1.6899999999999998E-2</v>
      </c>
      <c r="EU6" s="44">
        <v>1.49E-2</v>
      </c>
      <c r="EV6" s="44">
        <v>1.44E-2</v>
      </c>
      <c r="EW6" s="44">
        <v>1.44E-2</v>
      </c>
      <c r="EX6" s="44">
        <v>1.29E-2</v>
      </c>
      <c r="EY6" s="44">
        <v>1.3899999999999999E-2</v>
      </c>
      <c r="EZ6" s="44">
        <v>1.54E-2</v>
      </c>
      <c r="FA6" s="44">
        <v>1.9900000000000001E-2</v>
      </c>
      <c r="FB6" s="45">
        <v>1.89E-2</v>
      </c>
      <c r="FC6" s="45">
        <v>1.6400000000000001E-2</v>
      </c>
      <c r="FD6" s="45">
        <v>1.29E-2</v>
      </c>
      <c r="FE6" s="45">
        <v>1.77E-2</v>
      </c>
      <c r="FF6" s="45">
        <v>1.7399999999999999E-2</v>
      </c>
      <c r="FG6" s="45">
        <v>1.5900000000000001E-2</v>
      </c>
      <c r="FH6" s="45">
        <v>1.44E-2</v>
      </c>
      <c r="FI6" s="45">
        <v>1.3899999999999999E-2</v>
      </c>
      <c r="FJ6" s="45">
        <v>1.44E-2</v>
      </c>
      <c r="FK6" s="45">
        <v>1.3899999999999999E-2</v>
      </c>
      <c r="FL6" s="45">
        <v>1.04E-2</v>
      </c>
      <c r="FM6" s="45">
        <v>1.24E-2</v>
      </c>
      <c r="FN6" s="45">
        <v>8.3999999999999995E-3</v>
      </c>
      <c r="FO6" s="45">
        <v>1.3899999999999999E-2</v>
      </c>
      <c r="FP6" s="45">
        <v>1.29E-2</v>
      </c>
      <c r="FQ6" s="45">
        <v>1.6899999999999998E-2</v>
      </c>
      <c r="FR6" s="45">
        <v>1.49E-2</v>
      </c>
      <c r="FS6" s="45">
        <v>1.49E-2</v>
      </c>
      <c r="FT6" s="45">
        <v>1.7899999999999999E-2</v>
      </c>
      <c r="FU6" s="46">
        <v>1.49E-2</v>
      </c>
      <c r="FV6" s="46">
        <v>1.29E-2</v>
      </c>
      <c r="FW6" s="45">
        <v>1.84E-2</v>
      </c>
      <c r="FX6" s="45">
        <v>1.9900000000000001E-2</v>
      </c>
      <c r="FY6" s="45">
        <v>2.1399999999999999E-2</v>
      </c>
      <c r="FZ6" s="45">
        <v>1.29E-2</v>
      </c>
      <c r="GA6" s="45">
        <v>1.09E-2</v>
      </c>
      <c r="GB6" s="45">
        <v>1.14E-2</v>
      </c>
      <c r="GC6" s="45">
        <v>1.04E-2</v>
      </c>
      <c r="GD6" s="45">
        <v>5.8999999999999999E-3</v>
      </c>
      <c r="GE6" s="45">
        <v>4.8999999999999998E-3</v>
      </c>
      <c r="GF6" s="45">
        <v>5.4000000000000003E-3</v>
      </c>
      <c r="GG6" s="45">
        <v>1.09E-2</v>
      </c>
      <c r="GH6" s="45">
        <v>5.8999999999999999E-3</v>
      </c>
      <c r="GI6" s="45">
        <v>4.8999999999999998E-3</v>
      </c>
      <c r="GJ6" s="45">
        <v>9.9000000000000008E-3</v>
      </c>
      <c r="GK6" s="45">
        <v>9.4000000000000004E-3</v>
      </c>
      <c r="GL6" s="45">
        <v>1.49E-2</v>
      </c>
      <c r="GM6" s="45">
        <v>2.29E-2</v>
      </c>
      <c r="GN6" s="45">
        <v>1.9900000000000001E-2</v>
      </c>
      <c r="GO6" s="45">
        <v>1.6899999999999998E-2</v>
      </c>
      <c r="GP6" s="45">
        <v>1.5900000000000001E-2</v>
      </c>
      <c r="GQ6" s="45">
        <v>1.5900000000000001E-2</v>
      </c>
      <c r="GR6" s="45">
        <v>1.54E-2</v>
      </c>
      <c r="GS6" s="51">
        <v>1.54E-2</v>
      </c>
      <c r="GT6" s="51">
        <v>1.0699999999999999E-2</v>
      </c>
      <c r="GU6" s="51">
        <v>1.04E-2</v>
      </c>
      <c r="GV6" s="51">
        <v>1.34E-2</v>
      </c>
      <c r="GW6" s="59"/>
      <c r="GX6" s="59"/>
      <c r="GY6" s="59"/>
      <c r="GZ6" s="59"/>
      <c r="HA6" s="59"/>
      <c r="HB6" s="59"/>
      <c r="HC6" s="59"/>
      <c r="HD6" s="59"/>
      <c r="HE6" s="58"/>
      <c r="HF6" s="58"/>
      <c r="HG6" s="58"/>
      <c r="HH6" s="58"/>
      <c r="HI6" s="58"/>
      <c r="HJ6" s="58"/>
      <c r="HK6" s="58"/>
      <c r="HL6" s="41">
        <f t="shared" si="0"/>
        <v>-6.000000000000001E-3</v>
      </c>
      <c r="HM6" s="67"/>
      <c r="HN6" s="67"/>
      <c r="HO6" s="67"/>
      <c r="HP6" s="67"/>
      <c r="HQ6" s="86"/>
      <c r="HR6" s="100"/>
      <c r="HS6" s="67"/>
      <c r="HT6" s="67"/>
      <c r="HU6" s="67"/>
      <c r="HV6" s="67"/>
      <c r="HW6" s="67"/>
      <c r="HX6" s="67"/>
      <c r="HY6" s="67"/>
      <c r="HZ6" s="67"/>
      <c r="IA6" s="68"/>
      <c r="IB6" s="67"/>
      <c r="IC6" s="65"/>
      <c r="ID6" s="65"/>
      <c r="IE6" s="65"/>
      <c r="IF6" s="65"/>
      <c r="IG6" s="65"/>
      <c r="IH6" s="65"/>
      <c r="II6" s="65"/>
      <c r="IJ6" s="65"/>
      <c r="IK6" s="65"/>
      <c r="IL6" s="65"/>
      <c r="IM6" s="65"/>
      <c r="IN6" s="65"/>
      <c r="IO6" s="65"/>
      <c r="IP6" s="65"/>
      <c r="IQ6" s="65"/>
      <c r="IR6" s="65"/>
      <c r="IS6" s="65"/>
      <c r="IT6" s="65"/>
      <c r="IU6" s="65"/>
      <c r="IV6" s="65"/>
      <c r="IW6" s="65"/>
      <c r="IX6" s="65"/>
      <c r="IY6" s="65"/>
      <c r="IZ6" s="65"/>
      <c r="JA6" s="65"/>
      <c r="JB6" s="65"/>
      <c r="JC6" s="65"/>
      <c r="JD6" s="65"/>
      <c r="JE6" s="65"/>
      <c r="JF6" s="65"/>
      <c r="JG6" s="65"/>
      <c r="JH6" s="65"/>
      <c r="JI6" s="65"/>
      <c r="JJ6" s="65"/>
      <c r="JK6" s="65"/>
      <c r="JL6" s="65"/>
      <c r="JM6" s="65"/>
      <c r="JN6" s="65"/>
      <c r="JO6" s="92"/>
      <c r="JP6" s="92"/>
      <c r="JQ6" s="92"/>
      <c r="JR6" s="92"/>
      <c r="JS6" s="92"/>
      <c r="JT6" s="92"/>
      <c r="JU6" s="92"/>
      <c r="JV6" s="92"/>
      <c r="JW6" s="92"/>
      <c r="JX6" s="92"/>
      <c r="JY6" s="92"/>
      <c r="JZ6" s="92"/>
      <c r="KA6" s="92"/>
      <c r="KB6" s="92"/>
      <c r="KC6" s="92"/>
      <c r="KD6" s="92"/>
      <c r="KE6" s="92"/>
      <c r="KF6" s="92"/>
      <c r="KG6" s="92"/>
      <c r="KH6" s="92"/>
      <c r="KI6" s="92"/>
      <c r="KJ6" s="92"/>
      <c r="KK6" s="92"/>
      <c r="KL6" s="92"/>
      <c r="KM6" s="92"/>
      <c r="KN6" s="92"/>
      <c r="KO6" s="92"/>
      <c r="KP6" s="92"/>
      <c r="KQ6" s="92"/>
      <c r="KR6" s="92"/>
      <c r="KS6" s="92"/>
      <c r="KT6" s="92"/>
      <c r="KU6" s="92"/>
      <c r="KV6" s="92"/>
      <c r="KW6" s="92"/>
      <c r="KX6" s="92"/>
      <c r="KY6" s="92"/>
      <c r="KZ6" s="92"/>
      <c r="LA6" s="92"/>
      <c r="LB6" s="92"/>
      <c r="LC6" s="92"/>
      <c r="LD6" s="92"/>
      <c r="LE6" s="92"/>
      <c r="LF6" s="92"/>
      <c r="LG6" s="92"/>
      <c r="LH6" s="92"/>
      <c r="LI6" s="92"/>
      <c r="LJ6" s="92"/>
      <c r="LK6" s="92"/>
      <c r="LL6" s="92"/>
      <c r="LM6" s="92"/>
      <c r="LN6" s="473">
        <f t="shared" si="1"/>
        <v>0</v>
      </c>
    </row>
    <row r="7" spans="1:326" ht="14.7" customHeight="1">
      <c r="A7" s="1169"/>
      <c r="B7" s="37" t="s">
        <v>58</v>
      </c>
      <c r="C7" s="37" t="s">
        <v>58</v>
      </c>
      <c r="D7" s="37" t="s">
        <v>58</v>
      </c>
      <c r="E7" s="37" t="s">
        <v>57</v>
      </c>
      <c r="F7" s="37"/>
      <c r="G7" s="37"/>
      <c r="H7" s="37" t="s">
        <v>56</v>
      </c>
      <c r="I7" s="37" t="s">
        <v>56</v>
      </c>
      <c r="J7" s="37" t="s">
        <v>56</v>
      </c>
      <c r="K7" s="37" t="s">
        <v>55</v>
      </c>
      <c r="L7" s="37" t="s">
        <v>54</v>
      </c>
      <c r="M7" s="37" t="s">
        <v>54</v>
      </c>
      <c r="N7" s="37" t="s">
        <v>54</v>
      </c>
      <c r="O7" s="37"/>
      <c r="P7" s="738" t="s">
        <v>89</v>
      </c>
      <c r="Q7" s="590">
        <v>8.3000000000000001E-3</v>
      </c>
      <c r="R7" s="590">
        <v>8.3000000000000001E-3</v>
      </c>
      <c r="S7" s="590">
        <v>7.7999999999999996E-3</v>
      </c>
      <c r="T7" s="590">
        <v>5.7999999999999996E-3</v>
      </c>
      <c r="U7" s="590">
        <v>7.7999999999999996E-3</v>
      </c>
      <c r="V7" s="590">
        <v>9.2999999999999992E-3</v>
      </c>
      <c r="W7" s="590">
        <v>9.7999999999999997E-3</v>
      </c>
      <c r="X7" s="590">
        <v>9.2999999999999992E-3</v>
      </c>
      <c r="Y7" s="590">
        <v>1.18E-2</v>
      </c>
      <c r="Z7" s="590">
        <v>1.0800000000000001E-2</v>
      </c>
      <c r="AA7" s="590">
        <v>1.1299999999999999E-2</v>
      </c>
      <c r="AB7" s="590">
        <v>8.8000000000000005E-3</v>
      </c>
      <c r="AC7" s="590">
        <v>1.03E-2</v>
      </c>
      <c r="AD7" s="590">
        <v>1.0800000000000001E-2</v>
      </c>
      <c r="AE7" s="590">
        <v>8.8000000000000005E-3</v>
      </c>
      <c r="AF7" s="590">
        <v>9.7999999999999997E-3</v>
      </c>
      <c r="AG7" s="590">
        <v>9.2999999999999992E-3</v>
      </c>
      <c r="AH7" s="590">
        <v>8.7999999999999988E-3</v>
      </c>
      <c r="AI7" s="590">
        <v>8.2999999999999984E-3</v>
      </c>
      <c r="AJ7" s="48">
        <v>8.7999999999999988E-3</v>
      </c>
      <c r="AK7" s="48">
        <v>9.7999999999999997E-3</v>
      </c>
      <c r="AL7" s="47">
        <v>8.8000000000000005E-3</v>
      </c>
      <c r="AM7" s="48">
        <v>8.8000000000000005E-3</v>
      </c>
      <c r="AN7" s="48">
        <v>8.3000000000000001E-3</v>
      </c>
      <c r="AO7" s="48">
        <v>8.7999999999999988E-3</v>
      </c>
      <c r="AP7" s="48">
        <v>7.7999999999999996E-3</v>
      </c>
      <c r="AQ7" s="48">
        <v>8.3000000000000001E-3</v>
      </c>
      <c r="AR7" s="47">
        <v>7.3000000000000001E-3</v>
      </c>
      <c r="AS7" s="47">
        <v>9.2999999999999992E-3</v>
      </c>
      <c r="AT7" s="460">
        <v>9.2999999999999992E-3</v>
      </c>
      <c r="AU7" s="34">
        <v>7.7999999999999996E-3</v>
      </c>
      <c r="AV7" s="34">
        <v>9.7999999999999997E-3</v>
      </c>
      <c r="AW7" s="34">
        <v>7.3000000000000001E-3</v>
      </c>
      <c r="AX7" s="34">
        <v>8.8000000000000005E-3</v>
      </c>
      <c r="AY7" s="34">
        <v>9.7999999999999997E-3</v>
      </c>
      <c r="AZ7" s="35">
        <v>8.8000000000000005E-3</v>
      </c>
      <c r="BA7" s="35">
        <v>8.8000000000000005E-3</v>
      </c>
      <c r="BB7" s="35">
        <v>8.8000000000000005E-3</v>
      </c>
      <c r="BC7" s="34">
        <v>8.8000000000000005E-3</v>
      </c>
      <c r="BD7" s="34">
        <v>9.2999999999999992E-3</v>
      </c>
      <c r="BE7" s="34">
        <v>9.7999999999999997E-3</v>
      </c>
      <c r="BF7" s="35">
        <v>8.3000000000000001E-3</v>
      </c>
      <c r="BG7" s="34">
        <v>8.3000000000000001E-3</v>
      </c>
      <c r="BH7" s="35">
        <v>7.7999999999999996E-3</v>
      </c>
      <c r="BI7" s="34">
        <v>7.7999999999999996E-3</v>
      </c>
      <c r="BJ7" s="46">
        <v>8.8000000000000005E-3</v>
      </c>
      <c r="BK7" s="46">
        <v>5.7999999999999996E-3</v>
      </c>
      <c r="BL7" s="46">
        <v>1.38E-2</v>
      </c>
      <c r="BM7" s="46">
        <v>1.5800000000000002E-2</v>
      </c>
      <c r="BN7" s="46">
        <v>9.2999999999999992E-3</v>
      </c>
      <c r="BO7" s="46">
        <v>9.7999999999999997E-3</v>
      </c>
      <c r="BP7" s="46">
        <v>1.03E-2</v>
      </c>
      <c r="BQ7" s="46">
        <v>1.38E-2</v>
      </c>
      <c r="BR7" s="46">
        <v>1.3299999999999999E-2</v>
      </c>
      <c r="BS7" s="46">
        <v>1.5800000000000002E-2</v>
      </c>
      <c r="BT7" s="46">
        <v>1.8800000000000001E-2</v>
      </c>
      <c r="BU7" s="46">
        <v>2.0799999999999999E-2</v>
      </c>
      <c r="BV7" s="46">
        <v>1.43E-2</v>
      </c>
      <c r="BW7" s="46">
        <v>1.4800000000000001E-2</v>
      </c>
      <c r="BX7" s="46">
        <v>2.1299999999999999E-2</v>
      </c>
      <c r="BY7" s="46">
        <v>3.5299999999999998E-2</v>
      </c>
      <c r="BZ7" s="46">
        <v>2.58E-2</v>
      </c>
      <c r="CA7" s="46">
        <v>2.7799999999999998E-2</v>
      </c>
      <c r="CB7" s="46">
        <v>3.0800000000000001E-2</v>
      </c>
      <c r="CC7" s="46">
        <v>1.9800000000000002E-2</v>
      </c>
      <c r="CD7" s="46">
        <v>1.9800000000000002E-2</v>
      </c>
      <c r="CE7" s="46">
        <v>3.2800000000000003E-2</v>
      </c>
      <c r="CF7" s="46">
        <v>3.4799999999999998E-2</v>
      </c>
      <c r="CG7" s="46">
        <v>1.6799999999999999E-2</v>
      </c>
      <c r="CH7" s="46">
        <v>1.38E-2</v>
      </c>
      <c r="CI7" s="46">
        <v>1.38E-2</v>
      </c>
      <c r="CJ7" s="46">
        <v>1.5800000000000002E-2</v>
      </c>
      <c r="CK7" s="46">
        <v>1.5299999999999999E-2</v>
      </c>
      <c r="CL7" s="46">
        <v>1.6299999999999999E-2</v>
      </c>
      <c r="CM7" s="46">
        <v>5.7999999999999996E-3</v>
      </c>
      <c r="CN7" s="46">
        <v>5.7999999999999996E-3</v>
      </c>
      <c r="CO7" s="46">
        <v>9.2999999999999992E-3</v>
      </c>
      <c r="CP7" s="46">
        <v>6.3E-3</v>
      </c>
      <c r="CQ7" s="46">
        <v>8.8000000000000005E-3</v>
      </c>
      <c r="CR7" s="46">
        <v>6.3E-3</v>
      </c>
      <c r="CS7" s="46">
        <v>9.2999999999999992E-3</v>
      </c>
      <c r="CT7" s="46">
        <v>1.1299999999999999E-2</v>
      </c>
      <c r="CU7" s="46">
        <v>1.43E-2</v>
      </c>
      <c r="CV7" s="46">
        <v>2.0299999999999999E-2</v>
      </c>
      <c r="CW7" s="46">
        <v>2.3300000000000001E-2</v>
      </c>
      <c r="CX7" s="46">
        <v>2.58E-2</v>
      </c>
      <c r="CY7" s="46">
        <v>2.53E-2</v>
      </c>
      <c r="CZ7" s="46">
        <v>2.0299999999999999E-2</v>
      </c>
      <c r="DA7" s="46">
        <v>2.0299999999999999E-2</v>
      </c>
      <c r="DB7" s="46">
        <v>1.83E-2</v>
      </c>
      <c r="DC7" s="46">
        <v>1.83E-2</v>
      </c>
      <c r="DD7" s="46">
        <v>1.83E-2</v>
      </c>
      <c r="DE7" s="46">
        <v>1.83E-2</v>
      </c>
      <c r="DF7" s="46">
        <v>1.8800000000000001E-2</v>
      </c>
      <c r="DG7" s="46">
        <v>2.2800000000000001E-2</v>
      </c>
      <c r="DH7" s="46">
        <v>2.8299999999999999E-2</v>
      </c>
      <c r="DI7" s="46">
        <v>3.3799999999999997E-2</v>
      </c>
      <c r="DJ7" s="54">
        <v>4.3799999999999999E-2</v>
      </c>
      <c r="DK7" s="53">
        <v>4.1300000000000003E-2</v>
      </c>
      <c r="DL7" s="46">
        <v>3.3799999999999997E-2</v>
      </c>
      <c r="DM7" s="46">
        <v>3.4299999999999997E-2</v>
      </c>
      <c r="DN7" s="46">
        <v>3.0300000000000001E-2</v>
      </c>
      <c r="DO7" s="46">
        <v>2.18E-2</v>
      </c>
      <c r="DP7" s="46">
        <v>2.0299999999999999E-2</v>
      </c>
      <c r="DQ7" s="45">
        <v>2.4799999999999999E-2</v>
      </c>
      <c r="DR7" s="45">
        <v>2.2800000000000001E-2</v>
      </c>
      <c r="DS7" s="45">
        <v>2.7799999999999998E-2</v>
      </c>
      <c r="DT7" s="44">
        <v>2.4799999999999999E-2</v>
      </c>
      <c r="DU7" s="44">
        <v>2.1299999999999999E-2</v>
      </c>
      <c r="DV7" s="44">
        <v>2.3800000000000002E-2</v>
      </c>
      <c r="DW7" s="44">
        <v>2.8299999999999999E-2</v>
      </c>
      <c r="DX7" s="44">
        <v>2.2780000000000002E-2</v>
      </c>
      <c r="DY7" s="44">
        <v>2.2780000000000002E-2</v>
      </c>
      <c r="DZ7" s="44">
        <v>2.3800000000000002E-2</v>
      </c>
      <c r="EA7" s="44">
        <v>1.7299999999999999E-2</v>
      </c>
      <c r="EB7" s="44">
        <v>2.4799999999999999E-2</v>
      </c>
      <c r="EC7" s="44">
        <v>2.7799999999999998E-2</v>
      </c>
      <c r="ED7" s="44">
        <v>1.78E-2</v>
      </c>
      <c r="EE7" s="44">
        <v>1.78E-2</v>
      </c>
      <c r="EF7" s="44">
        <v>1.9300000000000001E-2</v>
      </c>
      <c r="EG7" s="44">
        <v>2.3800000000000002E-2</v>
      </c>
      <c r="EH7" s="44">
        <v>2.3800000000000002E-2</v>
      </c>
      <c r="EI7" s="44">
        <v>2.0299999999999999E-2</v>
      </c>
      <c r="EJ7" s="44">
        <v>3.3799999999999997E-2</v>
      </c>
      <c r="EK7" s="44">
        <v>3.3300000000000003E-2</v>
      </c>
      <c r="EL7" s="44">
        <v>3.4799999999999998E-2</v>
      </c>
      <c r="EM7" s="44">
        <v>3.73E-2</v>
      </c>
      <c r="EN7" s="44">
        <v>4.1799999999999997E-2</v>
      </c>
      <c r="EO7" s="44">
        <v>3.9300000000000002E-2</v>
      </c>
      <c r="EP7" s="44">
        <v>4.2799999999999998E-2</v>
      </c>
      <c r="EQ7" s="44">
        <v>2.7799999999999998E-2</v>
      </c>
      <c r="ER7" s="44">
        <v>2.93E-2</v>
      </c>
      <c r="ES7" s="44">
        <v>2.7300000000000001E-2</v>
      </c>
      <c r="ET7" s="44">
        <v>1.8800000000000001E-2</v>
      </c>
      <c r="EU7" s="44">
        <v>1.6799999999999999E-2</v>
      </c>
      <c r="EV7" s="44">
        <v>1.6299999999999999E-2</v>
      </c>
      <c r="EW7" s="44">
        <v>1.6299999999999999E-2</v>
      </c>
      <c r="EX7" s="44">
        <v>1.4800000000000001E-2</v>
      </c>
      <c r="EY7" s="44">
        <v>1.5800000000000002E-2</v>
      </c>
      <c r="EZ7" s="44">
        <v>1.7299999999999999E-2</v>
      </c>
      <c r="FA7" s="44">
        <v>2.18E-2</v>
      </c>
      <c r="FB7" s="45">
        <v>2.0799999999999999E-2</v>
      </c>
      <c r="FC7" s="45">
        <v>1.83E-2</v>
      </c>
      <c r="FD7" s="45">
        <v>1.4800000000000001E-2</v>
      </c>
      <c r="FE7" s="45">
        <v>1.9599999999999999E-2</v>
      </c>
      <c r="FF7" s="45">
        <v>1.9300000000000001E-2</v>
      </c>
      <c r="FG7" s="45">
        <v>1.78E-2</v>
      </c>
      <c r="FH7" s="45">
        <v>1.6299999999999999E-2</v>
      </c>
      <c r="FI7" s="45">
        <v>1.5800000000000002E-2</v>
      </c>
      <c r="FJ7" s="45">
        <v>1.6299999999999999E-2</v>
      </c>
      <c r="FK7" s="45">
        <v>1.5800000000000002E-2</v>
      </c>
      <c r="FL7" s="45">
        <v>1.23E-2</v>
      </c>
      <c r="FM7" s="45">
        <v>1.43E-2</v>
      </c>
      <c r="FN7" s="45">
        <v>1.03E-2</v>
      </c>
      <c r="FO7" s="45">
        <v>1.5800000000000002E-2</v>
      </c>
      <c r="FP7" s="45">
        <v>1.4800000000000001E-2</v>
      </c>
      <c r="FQ7" s="45">
        <v>1.8800000000000001E-2</v>
      </c>
      <c r="FR7" s="45">
        <v>1.6799999999999999E-2</v>
      </c>
      <c r="FS7" s="45">
        <v>1.6799999999999999E-2</v>
      </c>
      <c r="FT7" s="45">
        <v>1.9800000000000002E-2</v>
      </c>
      <c r="FU7" s="46">
        <v>1.6799999999999999E-2</v>
      </c>
      <c r="FV7" s="46">
        <v>1.4800000000000001E-2</v>
      </c>
      <c r="FW7" s="45">
        <v>2.0299999999999999E-2</v>
      </c>
      <c r="FX7" s="45">
        <v>2.18E-2</v>
      </c>
      <c r="FY7" s="45">
        <v>2.3300000000000001E-2</v>
      </c>
      <c r="FZ7" s="45">
        <v>1.4800000000000001E-2</v>
      </c>
      <c r="GA7" s="45">
        <v>1.2800000000000001E-2</v>
      </c>
      <c r="GB7" s="45">
        <v>1.3299999999999999E-2</v>
      </c>
      <c r="GC7" s="45">
        <v>1.23E-2</v>
      </c>
      <c r="GD7" s="45">
        <v>7.7999999999999996E-3</v>
      </c>
      <c r="GE7" s="45">
        <v>6.7999999999999996E-3</v>
      </c>
      <c r="GF7" s="45">
        <v>7.3000000000000001E-3</v>
      </c>
      <c r="GG7" s="45">
        <v>1.2800000000000001E-2</v>
      </c>
      <c r="GH7" s="45">
        <v>7.7999999999999996E-3</v>
      </c>
      <c r="GI7" s="45">
        <v>6.7999999999999996E-3</v>
      </c>
      <c r="GJ7" s="45">
        <v>1.18E-2</v>
      </c>
      <c r="GK7" s="45">
        <v>1.1299999999999999E-2</v>
      </c>
      <c r="GL7" s="45">
        <v>1.6799999999999999E-2</v>
      </c>
      <c r="GM7" s="45">
        <v>2.4799999999999999E-2</v>
      </c>
      <c r="GN7" s="45">
        <v>2.18E-2</v>
      </c>
      <c r="GO7" s="45">
        <v>1.8800000000000001E-2</v>
      </c>
      <c r="GP7" s="45">
        <v>1.78E-2</v>
      </c>
      <c r="GQ7" s="45">
        <v>1.78E-2</v>
      </c>
      <c r="GR7" s="45">
        <v>1.72E-2</v>
      </c>
      <c r="GS7" s="51">
        <v>1.7299999999999999E-2</v>
      </c>
      <c r="GT7" s="51">
        <v>1.26E-2</v>
      </c>
      <c r="GU7" s="51">
        <v>1.23E-2</v>
      </c>
      <c r="GV7" s="51">
        <v>1.5299999999999999E-2</v>
      </c>
      <c r="GW7" s="52" t="s">
        <v>88</v>
      </c>
      <c r="GX7" s="52" t="s">
        <v>87</v>
      </c>
      <c r="GY7" s="52" t="s">
        <v>81</v>
      </c>
      <c r="GZ7" s="52" t="s">
        <v>86</v>
      </c>
      <c r="HA7" s="52" t="s">
        <v>85</v>
      </c>
      <c r="HB7" s="52" t="s">
        <v>84</v>
      </c>
      <c r="HC7" s="52" t="s">
        <v>84</v>
      </c>
      <c r="HD7" s="52" t="s">
        <v>83</v>
      </c>
      <c r="HE7" s="52" t="s">
        <v>82</v>
      </c>
      <c r="HF7" s="52" t="s">
        <v>81</v>
      </c>
      <c r="HG7" s="52" t="s">
        <v>80</v>
      </c>
      <c r="HH7" s="52" t="s">
        <v>79</v>
      </c>
      <c r="HI7" s="52" t="s">
        <v>79</v>
      </c>
      <c r="HJ7" s="52" t="s">
        <v>78</v>
      </c>
      <c r="HK7" s="51" t="s">
        <v>77</v>
      </c>
      <c r="HL7" s="41">
        <f t="shared" si="0"/>
        <v>-6.0000000000000001E-3</v>
      </c>
      <c r="HM7" s="80" t="s">
        <v>123</v>
      </c>
      <c r="HN7" s="79" t="s">
        <v>77</v>
      </c>
      <c r="HO7" s="77" t="s">
        <v>58</v>
      </c>
      <c r="HP7" s="56">
        <v>1.5E-3</v>
      </c>
      <c r="HQ7" s="55"/>
      <c r="HR7" s="85">
        <v>1.32E-2</v>
      </c>
      <c r="HS7" s="80">
        <v>5.7000000000000002E-3</v>
      </c>
      <c r="HT7" s="84">
        <v>8.6999999999999994E-3</v>
      </c>
      <c r="HU7" s="84">
        <v>9.7000000000000003E-3</v>
      </c>
      <c r="HV7" s="84">
        <v>1.29E-2</v>
      </c>
      <c r="HW7" s="84">
        <v>1.6199999999999999E-2</v>
      </c>
      <c r="HX7" s="80">
        <v>1.4E-2</v>
      </c>
      <c r="HY7" s="84">
        <v>1.4999999999999999E-2</v>
      </c>
      <c r="HZ7" s="84">
        <v>1.7999999999999999E-2</v>
      </c>
      <c r="IA7" s="80">
        <v>1.2999999999999999E-2</v>
      </c>
      <c r="IB7" s="84">
        <v>1.35E-2</v>
      </c>
      <c r="IC7" s="80">
        <v>1.3299999999999999E-2</v>
      </c>
      <c r="ID7" s="84">
        <v>1.44E-2</v>
      </c>
      <c r="IE7" s="80">
        <v>1.38E-2</v>
      </c>
      <c r="IF7" s="84">
        <v>1.6400000000000001E-2</v>
      </c>
      <c r="IG7" s="80">
        <v>1.6199999999999999E-2</v>
      </c>
      <c r="IH7" s="84">
        <v>1.77E-2</v>
      </c>
      <c r="II7" s="84">
        <v>2.1000000000000001E-2</v>
      </c>
      <c r="IJ7" s="80">
        <v>1.4500000000000001E-2</v>
      </c>
      <c r="IK7" s="84">
        <v>1.7899999999999999E-2</v>
      </c>
      <c r="IL7" s="80">
        <v>1.7600000000000001E-2</v>
      </c>
      <c r="IM7" s="80">
        <v>1.4800000000000001E-2</v>
      </c>
      <c r="IN7" s="84">
        <v>1.4999999999999999E-2</v>
      </c>
      <c r="IO7" s="84">
        <v>1.5299999999999999E-2</v>
      </c>
      <c r="IP7" s="80">
        <v>1.4999999999999999E-2</v>
      </c>
      <c r="IQ7" s="84">
        <v>1.6E-2</v>
      </c>
      <c r="IR7" s="84">
        <v>1.7299999999999999E-2</v>
      </c>
      <c r="IS7" s="84">
        <v>1.7899999999999999E-2</v>
      </c>
      <c r="IT7" s="84">
        <v>2.0400000000000001E-2</v>
      </c>
      <c r="IU7" s="84">
        <v>2.1100000000000001E-2</v>
      </c>
      <c r="IV7" s="80">
        <v>1.8800000000000001E-2</v>
      </c>
      <c r="IW7" s="84">
        <v>2.06E-2</v>
      </c>
      <c r="IX7" s="80">
        <v>1.9099999999999999E-2</v>
      </c>
      <c r="IY7" s="84">
        <v>1.9400000000000001E-2</v>
      </c>
      <c r="IZ7" s="84">
        <v>2.06E-2</v>
      </c>
      <c r="JA7" s="84">
        <v>2.3599999999999999E-2</v>
      </c>
      <c r="JB7" s="80">
        <v>2.18E-2</v>
      </c>
      <c r="JC7" s="84">
        <v>2.58E-2</v>
      </c>
      <c r="JD7" s="80">
        <v>2.3300000000000001E-2</v>
      </c>
      <c r="JE7" s="80">
        <v>2.18E-2</v>
      </c>
      <c r="JF7" s="83">
        <v>2.18E-2</v>
      </c>
      <c r="JG7" s="84">
        <v>2.23E-2</v>
      </c>
      <c r="JH7" s="84">
        <v>2.3800000000000002E-2</v>
      </c>
      <c r="JI7" s="83">
        <v>2.3800000000000002E-2</v>
      </c>
      <c r="JJ7" s="80">
        <v>2.3300000000000001E-2</v>
      </c>
      <c r="JK7" s="80">
        <v>2.1299999999999999E-2</v>
      </c>
      <c r="JL7" s="80">
        <v>1.78E-2</v>
      </c>
      <c r="JM7" s="84">
        <v>2.0299999999999999E-2</v>
      </c>
      <c r="JN7" s="80">
        <v>1.9800000000000002E-2</v>
      </c>
      <c r="JO7" s="80">
        <v>1.6299999999999999E-2</v>
      </c>
      <c r="JP7" s="80">
        <v>1.2800000000000001E-2</v>
      </c>
      <c r="JQ7" s="84">
        <v>1.66E-2</v>
      </c>
      <c r="JR7" s="57">
        <v>1.66E-2</v>
      </c>
      <c r="JS7" s="84">
        <v>1.8800000000000001E-2</v>
      </c>
      <c r="JT7" s="84">
        <v>2.0299999999999999E-2</v>
      </c>
      <c r="JU7" s="80">
        <v>1.9300000000000001E-2</v>
      </c>
      <c r="JV7" s="84">
        <v>1.9800000000000002E-2</v>
      </c>
      <c r="JW7" s="80">
        <v>1.8800000000000001E-2</v>
      </c>
      <c r="JX7" s="84">
        <v>2.0400000000000001E-2</v>
      </c>
      <c r="JY7" s="84">
        <v>2.0799999999999999E-2</v>
      </c>
      <c r="JZ7" s="57">
        <v>2.0799999999999999E-2</v>
      </c>
      <c r="KA7" s="84">
        <v>2.1999999999999999E-2</v>
      </c>
      <c r="KB7" s="80">
        <v>2.1299999999999999E-2</v>
      </c>
      <c r="KC7" s="84">
        <v>2.1600000000000001E-2</v>
      </c>
      <c r="KD7" s="80">
        <v>2.0799999999999999E-2</v>
      </c>
      <c r="KE7" s="80">
        <v>1.9800000000000002E-2</v>
      </c>
      <c r="KF7" s="80">
        <v>1.7000000000000001E-2</v>
      </c>
      <c r="KG7" s="84">
        <v>1.78E-2</v>
      </c>
      <c r="KH7" s="80">
        <v>1.6799999999999999E-2</v>
      </c>
      <c r="KI7" s="80">
        <v>1.6E-2</v>
      </c>
      <c r="KJ7" s="80">
        <v>1.4800000000000001E-2</v>
      </c>
      <c r="KK7" s="84">
        <v>1.5299999999999999E-2</v>
      </c>
      <c r="KL7" s="84">
        <v>1.9300000000000001E-2</v>
      </c>
      <c r="KM7" s="80">
        <v>1.8599999999999998E-2</v>
      </c>
      <c r="KN7" s="84">
        <v>1.9300000000000001E-2</v>
      </c>
      <c r="KO7" s="84">
        <v>0.02</v>
      </c>
      <c r="KP7" s="84">
        <v>2.0299999999999999E-2</v>
      </c>
      <c r="KQ7" s="84">
        <v>2.18E-2</v>
      </c>
      <c r="KR7" s="80">
        <v>2.1299999999999999E-2</v>
      </c>
      <c r="KS7" s="80">
        <v>2.0799999999999999E-2</v>
      </c>
      <c r="KT7" s="84">
        <v>2.2800000000000001E-2</v>
      </c>
      <c r="KU7" s="80">
        <v>1.9900000000000001E-2</v>
      </c>
      <c r="KV7" s="84">
        <v>2.18E-2</v>
      </c>
      <c r="KW7" s="83">
        <v>2.18E-2</v>
      </c>
      <c r="KX7" s="84">
        <v>2.3900000000000001E-2</v>
      </c>
      <c r="KY7" s="84">
        <v>2.4299999999999999E-2</v>
      </c>
      <c r="KZ7" s="80">
        <v>2.2200000000000001E-2</v>
      </c>
      <c r="LA7" s="90">
        <v>2.2700000000000001E-2</v>
      </c>
      <c r="LB7" s="90">
        <v>2.5600000000000001E-2</v>
      </c>
      <c r="LC7" s="99">
        <v>2.3599999999999999E-2</v>
      </c>
      <c r="LD7" s="90">
        <v>2.3900000000000001E-2</v>
      </c>
      <c r="LE7" s="99">
        <v>2.3800000000000002E-2</v>
      </c>
      <c r="LF7" s="99">
        <v>2.23E-2</v>
      </c>
      <c r="LG7" s="99">
        <v>2.06E-2</v>
      </c>
      <c r="LH7" s="90">
        <v>2.18E-2</v>
      </c>
      <c r="LI7" s="90">
        <v>2.23E-2</v>
      </c>
      <c r="LJ7" s="90">
        <v>2.29E-2</v>
      </c>
      <c r="LK7" s="99">
        <v>1.83E-2</v>
      </c>
      <c r="LL7" s="84">
        <v>2.1000000000000001E-2</v>
      </c>
      <c r="LM7" s="99">
        <v>1.9800000000000002E-2</v>
      </c>
      <c r="LN7" s="473">
        <f t="shared" si="1"/>
        <v>0</v>
      </c>
    </row>
    <row r="8" spans="1:326" ht="14.7" customHeight="1">
      <c r="A8" s="1165" t="s">
        <v>35</v>
      </c>
      <c r="B8" s="49"/>
      <c r="C8" s="49"/>
      <c r="D8" s="49"/>
      <c r="E8" s="49"/>
      <c r="F8" s="49"/>
      <c r="G8" s="49"/>
      <c r="H8" s="49"/>
      <c r="I8" s="49"/>
      <c r="J8" s="49"/>
      <c r="K8" s="49"/>
      <c r="L8" s="49"/>
      <c r="M8" s="49"/>
      <c r="N8" s="49"/>
      <c r="O8" s="49"/>
      <c r="P8" s="739" t="s">
        <v>76</v>
      </c>
      <c r="Q8" s="38">
        <v>1.15E-2</v>
      </c>
      <c r="R8" s="38">
        <v>1.15E-2</v>
      </c>
      <c r="S8" s="38">
        <v>1.15E-2</v>
      </c>
      <c r="T8" s="38">
        <v>1.15E-2</v>
      </c>
      <c r="U8" s="38">
        <v>1.15E-2</v>
      </c>
      <c r="V8" s="38">
        <v>1.15E-2</v>
      </c>
      <c r="W8" s="38">
        <v>1.15E-2</v>
      </c>
      <c r="X8" s="38">
        <v>1.15E-2</v>
      </c>
      <c r="Y8" s="38">
        <v>1.15E-2</v>
      </c>
      <c r="Z8" s="38">
        <v>1.15E-2</v>
      </c>
      <c r="AA8" s="38">
        <v>1.15E-2</v>
      </c>
      <c r="AB8" s="38">
        <v>1.15E-2</v>
      </c>
      <c r="AC8" s="38">
        <v>1.15E-2</v>
      </c>
      <c r="AD8" s="38">
        <v>1.15E-2</v>
      </c>
      <c r="AE8" s="38">
        <v>1.15E-2</v>
      </c>
      <c r="AF8" s="38">
        <v>1.15E-2</v>
      </c>
      <c r="AG8" s="38">
        <v>1.15E-2</v>
      </c>
      <c r="AH8" s="38">
        <v>1.15E-2</v>
      </c>
      <c r="AI8" s="38">
        <v>1.15E-2</v>
      </c>
      <c r="AJ8" s="38">
        <v>1.15E-2</v>
      </c>
      <c r="AK8" s="38">
        <v>1.15E-2</v>
      </c>
      <c r="AL8" s="38">
        <v>1.15E-2</v>
      </c>
      <c r="AM8" s="38">
        <v>1.15E-2</v>
      </c>
      <c r="AN8" s="38">
        <v>1.15E-2</v>
      </c>
      <c r="AO8" s="38">
        <v>1.15E-2</v>
      </c>
      <c r="AP8" s="38">
        <v>1.15E-2</v>
      </c>
      <c r="AQ8" s="38">
        <v>1.15E-2</v>
      </c>
      <c r="AR8" s="38">
        <v>1.15E-2</v>
      </c>
      <c r="AS8" s="38">
        <v>1.15E-2</v>
      </c>
      <c r="AT8" s="38">
        <v>1.15E-2</v>
      </c>
      <c r="AU8" s="38">
        <v>1.15E-2</v>
      </c>
      <c r="AV8" s="38">
        <v>1.15E-2</v>
      </c>
      <c r="AW8" s="38">
        <v>1.15E-2</v>
      </c>
      <c r="AX8" s="38">
        <v>1.15E-2</v>
      </c>
      <c r="AY8" s="27">
        <v>1.15E-2</v>
      </c>
      <c r="AZ8" s="38">
        <v>1.15E-2</v>
      </c>
      <c r="BA8" s="38">
        <v>1.15E-2</v>
      </c>
      <c r="BB8" s="38">
        <v>1.15E-2</v>
      </c>
      <c r="BC8" s="38">
        <v>1.15E-2</v>
      </c>
      <c r="BD8" s="38">
        <v>1.15E-2</v>
      </c>
      <c r="BE8" s="38">
        <v>1.15E-2</v>
      </c>
      <c r="BF8" s="38">
        <v>1.15E-2</v>
      </c>
      <c r="BG8" s="39">
        <v>1.15E-2</v>
      </c>
      <c r="BH8" s="38">
        <v>1.2999999999999999E-2</v>
      </c>
      <c r="BI8" s="27">
        <v>1.2999999999999999E-2</v>
      </c>
      <c r="BJ8" s="27">
        <v>1.2999999999999999E-2</v>
      </c>
      <c r="BK8" s="27">
        <v>1.2999999999999999E-2</v>
      </c>
      <c r="BL8" s="27">
        <v>1.2999999999999999E-2</v>
      </c>
      <c r="BM8" s="27">
        <v>1.2999999999999999E-2</v>
      </c>
      <c r="BN8" s="27">
        <v>1.2999999999999999E-2</v>
      </c>
      <c r="BO8" s="27">
        <v>1.2999999999999999E-2</v>
      </c>
      <c r="BP8" s="27">
        <v>1.2999999999999999E-2</v>
      </c>
      <c r="BQ8" s="27">
        <v>1.2999999999999999E-2</v>
      </c>
      <c r="BR8" s="27">
        <v>1.2999999999999999E-2</v>
      </c>
      <c r="BS8" s="27">
        <v>1.2999999999999999E-2</v>
      </c>
      <c r="BT8" s="27">
        <v>1.2999999999999999E-2</v>
      </c>
      <c r="BU8" s="27">
        <v>1.2999999999999999E-2</v>
      </c>
      <c r="BV8" s="27">
        <v>1.2999999999999999E-2</v>
      </c>
      <c r="BW8" s="27">
        <v>1.2999999999999999E-2</v>
      </c>
      <c r="BX8" s="27">
        <v>1.2999999999999999E-2</v>
      </c>
      <c r="BY8" s="27">
        <v>1.2999999999999999E-2</v>
      </c>
      <c r="BZ8" s="27">
        <v>1.2999999999999999E-2</v>
      </c>
      <c r="CA8" s="27">
        <v>1.2999999999999999E-2</v>
      </c>
      <c r="CB8" s="27">
        <v>1.2999999999999999E-2</v>
      </c>
      <c r="CC8" s="27">
        <v>1.2999999999999999E-2</v>
      </c>
      <c r="CD8" s="27">
        <v>1.2999999999999999E-2</v>
      </c>
      <c r="CE8" s="27">
        <v>1.2999999999999999E-2</v>
      </c>
      <c r="CF8" s="27">
        <v>1.2999999999999999E-2</v>
      </c>
      <c r="CG8" s="27">
        <v>1.2999999999999999E-2</v>
      </c>
      <c r="CH8" s="27">
        <v>1.2999999999999999E-2</v>
      </c>
      <c r="CI8" s="27">
        <v>1.2999999999999999E-2</v>
      </c>
      <c r="CJ8" s="27">
        <v>1.2999999999999999E-2</v>
      </c>
      <c r="CK8" s="27">
        <v>1.2999999999999999E-2</v>
      </c>
      <c r="CL8" s="27">
        <v>1.2999999999999999E-2</v>
      </c>
      <c r="CM8" s="27">
        <v>1.2999999999999999E-2</v>
      </c>
      <c r="CN8" s="27">
        <v>1.2999999999999999E-2</v>
      </c>
      <c r="CO8" s="27">
        <v>1.2999999999999999E-2</v>
      </c>
      <c r="CP8" s="27">
        <v>1.2999999999999999E-2</v>
      </c>
      <c r="CQ8" s="27">
        <v>1.2999999999999999E-2</v>
      </c>
      <c r="CR8" s="27">
        <v>1.6E-2</v>
      </c>
      <c r="CS8" s="27">
        <v>1.6E-2</v>
      </c>
      <c r="CT8" s="27">
        <v>1.6E-2</v>
      </c>
      <c r="CU8" s="27">
        <v>1.7000000000000001E-2</v>
      </c>
      <c r="CV8" s="27">
        <v>1.7000000000000001E-2</v>
      </c>
      <c r="CW8" s="27">
        <v>1.7000000000000001E-2</v>
      </c>
      <c r="CX8" s="27">
        <v>1.7000000000000001E-2</v>
      </c>
      <c r="CY8" s="27">
        <v>1.7000000000000001E-2</v>
      </c>
      <c r="CZ8" s="27">
        <v>1.7000000000000001E-2</v>
      </c>
      <c r="DA8" s="27">
        <v>1.7000000000000001E-2</v>
      </c>
      <c r="DB8" s="27">
        <v>1.7000000000000001E-2</v>
      </c>
      <c r="DC8" s="27">
        <v>1.7000000000000001E-2</v>
      </c>
      <c r="DD8" s="27">
        <v>1.7000000000000001E-2</v>
      </c>
      <c r="DE8" s="27">
        <v>1.7000000000000001E-2</v>
      </c>
      <c r="DF8" s="27">
        <v>1.7000000000000001E-2</v>
      </c>
      <c r="DG8" s="27">
        <v>1.7000000000000001E-2</v>
      </c>
      <c r="DH8" s="27">
        <v>1.7000000000000001E-2</v>
      </c>
      <c r="DI8" s="27">
        <v>1.7000000000000001E-2</v>
      </c>
      <c r="DJ8" s="27">
        <v>1.7000000000000001E-2</v>
      </c>
      <c r="DK8" s="27">
        <v>1.7000000000000001E-2</v>
      </c>
      <c r="DL8" s="27">
        <v>1.7000000000000001E-2</v>
      </c>
      <c r="DM8" s="27">
        <v>1.7000000000000001E-2</v>
      </c>
      <c r="DN8" s="27">
        <v>1.7000000000000001E-2</v>
      </c>
      <c r="DO8" s="27">
        <v>1.7000000000000001E-2</v>
      </c>
      <c r="DP8" s="27">
        <v>1.7000000000000001E-2</v>
      </c>
      <c r="DQ8" s="27">
        <v>1.7000000000000001E-2</v>
      </c>
      <c r="DR8" s="27">
        <v>1.7000000000000001E-2</v>
      </c>
      <c r="DS8" s="27">
        <v>1.7000000000000001E-2</v>
      </c>
      <c r="DT8" s="27">
        <v>1.7000000000000001E-2</v>
      </c>
      <c r="DU8" s="27">
        <v>1.7000000000000001E-2</v>
      </c>
      <c r="DV8" s="27">
        <v>1.7000000000000001E-2</v>
      </c>
      <c r="DW8" s="27">
        <v>1.7000000000000001E-2</v>
      </c>
      <c r="DX8" s="27">
        <v>1.7000000000000001E-2</v>
      </c>
      <c r="DY8" s="27">
        <v>1.7000000000000001E-2</v>
      </c>
      <c r="DZ8" s="27">
        <v>1.7000000000000001E-2</v>
      </c>
      <c r="EA8" s="27">
        <v>1.7000000000000001E-2</v>
      </c>
      <c r="EB8" s="27">
        <v>1.7000000000000001E-2</v>
      </c>
      <c r="EC8" s="27">
        <v>1.7000000000000001E-2</v>
      </c>
      <c r="ED8" s="27">
        <v>1.7000000000000001E-2</v>
      </c>
      <c r="EE8" s="27">
        <v>1.7000000000000001E-2</v>
      </c>
      <c r="EF8" s="27">
        <v>1.7000000000000001E-2</v>
      </c>
      <c r="EG8" s="27">
        <v>1.7000000000000001E-2</v>
      </c>
      <c r="EH8" s="27">
        <v>1.7000000000000001E-2</v>
      </c>
      <c r="EI8" s="27">
        <v>1.7000000000000001E-2</v>
      </c>
      <c r="EJ8" s="27">
        <v>1.7000000000000001E-2</v>
      </c>
      <c r="EK8" s="27">
        <v>1.7000000000000001E-2</v>
      </c>
      <c r="EL8" s="27">
        <v>1.7000000000000001E-2</v>
      </c>
      <c r="EM8" s="27">
        <v>1.7000000000000001E-2</v>
      </c>
      <c r="EN8" s="27">
        <v>1.7000000000000001E-2</v>
      </c>
      <c r="EO8" s="27">
        <v>1.7000000000000001E-2</v>
      </c>
      <c r="EP8" s="27">
        <v>1.7000000000000001E-2</v>
      </c>
      <c r="EQ8" s="27">
        <v>1.7000000000000001E-2</v>
      </c>
      <c r="ER8" s="27">
        <v>1.7000000000000001E-2</v>
      </c>
      <c r="ES8" s="27">
        <v>1.7000000000000001E-2</v>
      </c>
      <c r="ET8" s="27">
        <v>1.7000000000000001E-2</v>
      </c>
      <c r="EU8" s="27">
        <v>1.7000000000000001E-2</v>
      </c>
      <c r="EV8" s="27">
        <v>1.7000000000000001E-2</v>
      </c>
      <c r="EW8" s="27">
        <v>1.7000000000000001E-2</v>
      </c>
      <c r="EX8" s="27">
        <v>1.7000000000000001E-2</v>
      </c>
      <c r="EY8" s="27">
        <v>1.7000000000000001E-2</v>
      </c>
      <c r="EZ8" s="27">
        <v>1.7000000000000001E-2</v>
      </c>
      <c r="FA8" s="27">
        <v>1.7000000000000001E-2</v>
      </c>
      <c r="FB8" s="27">
        <v>1.7000000000000001E-2</v>
      </c>
      <c r="FC8" s="27">
        <v>1.7000000000000001E-2</v>
      </c>
      <c r="FD8" s="27">
        <v>1.7000000000000001E-2</v>
      </c>
      <c r="FE8" s="27">
        <v>1.7000000000000001E-2</v>
      </c>
      <c r="FF8" s="27">
        <v>1.7000000000000001E-2</v>
      </c>
      <c r="FG8" s="27">
        <v>1.7000000000000001E-2</v>
      </c>
      <c r="FH8" s="27">
        <v>1.7000000000000001E-2</v>
      </c>
      <c r="FI8" s="27">
        <v>1.7000000000000001E-2</v>
      </c>
      <c r="FJ8" s="27">
        <v>1.55E-2</v>
      </c>
      <c r="FK8" s="27">
        <v>1.55E-2</v>
      </c>
      <c r="FL8" s="27">
        <v>1.55E-2</v>
      </c>
      <c r="FM8" s="27">
        <v>1.55E-2</v>
      </c>
      <c r="FN8" s="27">
        <v>1.55E-2</v>
      </c>
      <c r="FO8" s="27">
        <v>1.35E-2</v>
      </c>
      <c r="FP8" s="27">
        <v>1.35E-2</v>
      </c>
      <c r="FQ8" s="27">
        <v>1.35E-2</v>
      </c>
      <c r="FR8" s="27">
        <v>1.35E-2</v>
      </c>
      <c r="FS8" s="27">
        <v>1.35E-2</v>
      </c>
      <c r="FT8" s="27">
        <v>1.35E-2</v>
      </c>
      <c r="FU8" s="27">
        <v>1.35E-2</v>
      </c>
      <c r="FV8" s="27">
        <v>1.35E-2</v>
      </c>
      <c r="FW8" s="27">
        <v>1.35E-2</v>
      </c>
      <c r="FX8" s="27">
        <v>1.35E-2</v>
      </c>
      <c r="FY8" s="27">
        <v>1.35E-2</v>
      </c>
      <c r="FZ8" s="27">
        <v>1.35E-2</v>
      </c>
      <c r="GA8" s="27">
        <v>1.35E-2</v>
      </c>
      <c r="GB8" s="27">
        <v>1.35E-2</v>
      </c>
      <c r="GC8" s="27">
        <v>1.35E-2</v>
      </c>
      <c r="GD8" s="27">
        <v>1.35E-2</v>
      </c>
      <c r="GE8" s="27">
        <v>1.35E-2</v>
      </c>
      <c r="GF8" s="27">
        <v>1.35E-2</v>
      </c>
      <c r="GG8" s="27">
        <v>1.35E-2</v>
      </c>
      <c r="GH8" s="27">
        <v>1.35E-2</v>
      </c>
      <c r="GI8" s="27">
        <v>1.35E-2</v>
      </c>
      <c r="GJ8" s="27">
        <v>1.35E-2</v>
      </c>
      <c r="GK8" s="27">
        <v>1.35E-2</v>
      </c>
      <c r="GL8" s="27">
        <v>1.35E-2</v>
      </c>
      <c r="GM8" s="27">
        <v>1.35E-2</v>
      </c>
      <c r="GN8" s="27">
        <v>1.35E-2</v>
      </c>
      <c r="GO8" s="27">
        <v>1.35E-2</v>
      </c>
      <c r="GP8" s="27">
        <v>1.35E-2</v>
      </c>
      <c r="GQ8" s="27">
        <v>1.35E-2</v>
      </c>
      <c r="GR8" s="27">
        <v>1.35E-2</v>
      </c>
      <c r="GS8" s="27">
        <v>2.2499999999999999E-2</v>
      </c>
      <c r="GT8" s="27">
        <v>2.2499999999999999E-2</v>
      </c>
      <c r="GU8" s="27">
        <v>2.2499999999999999E-2</v>
      </c>
      <c r="GV8" s="27">
        <v>2.2499999999999999E-2</v>
      </c>
      <c r="GW8" s="49"/>
      <c r="GX8" s="49"/>
      <c r="GY8" s="49"/>
      <c r="GZ8" s="49"/>
      <c r="HA8" s="49"/>
      <c r="HB8" s="49"/>
      <c r="HC8" s="49"/>
      <c r="HD8" s="49"/>
      <c r="HE8" s="49"/>
      <c r="HF8" s="49"/>
      <c r="HG8" s="49"/>
      <c r="HH8" s="49"/>
      <c r="HI8" s="49"/>
      <c r="HJ8" s="49"/>
      <c r="HK8" s="27"/>
      <c r="HL8" s="41">
        <f t="shared" si="0"/>
        <v>0</v>
      </c>
      <c r="HM8" s="80"/>
      <c r="HN8" s="79"/>
      <c r="HO8" s="77"/>
      <c r="HP8" s="56"/>
      <c r="HQ8" s="55"/>
      <c r="HR8" s="85"/>
      <c r="HS8" s="80"/>
      <c r="HT8" s="84"/>
      <c r="HU8" s="84"/>
      <c r="HV8" s="84"/>
      <c r="HW8" s="84"/>
      <c r="HX8" s="80"/>
      <c r="HY8" s="84"/>
      <c r="HZ8" s="84"/>
      <c r="IA8" s="80"/>
      <c r="IB8" s="84"/>
      <c r="IC8" s="80"/>
      <c r="ID8" s="84"/>
      <c r="IE8" s="80"/>
      <c r="IF8" s="84"/>
      <c r="IG8" s="80"/>
      <c r="IH8" s="84"/>
      <c r="II8" s="84"/>
      <c r="IJ8" s="80"/>
      <c r="IK8" s="84"/>
      <c r="IL8" s="80"/>
      <c r="IM8" s="80"/>
      <c r="IN8" s="84"/>
      <c r="IO8" s="84"/>
      <c r="IP8" s="80"/>
      <c r="IQ8" s="84"/>
      <c r="IR8" s="84"/>
      <c r="IS8" s="84"/>
      <c r="IT8" s="84"/>
      <c r="IU8" s="84"/>
      <c r="IV8" s="80"/>
      <c r="IW8" s="84"/>
      <c r="IX8" s="80"/>
      <c r="IY8" s="84"/>
      <c r="IZ8" s="84"/>
      <c r="JA8" s="84"/>
      <c r="JB8" s="80"/>
      <c r="JC8" s="84"/>
      <c r="JD8" s="80"/>
      <c r="JE8" s="80"/>
      <c r="JF8" s="83"/>
      <c r="JG8" s="84"/>
      <c r="JH8" s="84"/>
      <c r="JI8" s="83"/>
      <c r="JJ8" s="80"/>
      <c r="JK8" s="80"/>
      <c r="JL8" s="80"/>
      <c r="JM8" s="84"/>
      <c r="JN8" s="80"/>
      <c r="JO8" s="80"/>
      <c r="JP8" s="80"/>
      <c r="JQ8" s="84"/>
      <c r="JR8" s="57"/>
      <c r="JS8" s="84"/>
      <c r="JT8" s="84"/>
      <c r="JU8" s="80"/>
      <c r="JV8" s="84"/>
      <c r="JW8" s="80"/>
      <c r="JX8" s="84"/>
      <c r="JY8" s="84"/>
      <c r="JZ8" s="57"/>
      <c r="KA8" s="84"/>
      <c r="KB8" s="80"/>
      <c r="KC8" s="84"/>
      <c r="KD8" s="80"/>
      <c r="KE8" s="80"/>
      <c r="KF8" s="80"/>
      <c r="KG8" s="84"/>
      <c r="KH8" s="80"/>
      <c r="KI8" s="80"/>
      <c r="KJ8" s="80"/>
      <c r="KK8" s="84"/>
      <c r="KL8" s="84"/>
      <c r="KM8" s="80"/>
      <c r="KN8" s="84"/>
      <c r="KO8" s="84"/>
      <c r="KP8" s="84"/>
      <c r="KQ8" s="84"/>
      <c r="KR8" s="80"/>
      <c r="KS8" s="80"/>
      <c r="KT8" s="84"/>
      <c r="KU8" s="80"/>
      <c r="KV8" s="84"/>
      <c r="KW8" s="83"/>
      <c r="KX8" s="84"/>
      <c r="KY8" s="84"/>
      <c r="KZ8" s="80"/>
      <c r="LA8" s="90"/>
      <c r="LB8" s="90"/>
      <c r="LC8" s="99"/>
      <c r="LD8" s="90"/>
      <c r="LE8" s="99"/>
      <c r="LF8" s="99"/>
      <c r="LG8" s="99"/>
      <c r="LH8" s="90"/>
      <c r="LI8" s="90"/>
      <c r="LJ8" s="90"/>
      <c r="LK8" s="99"/>
      <c r="LL8" s="84"/>
      <c r="LM8" s="99"/>
      <c r="LN8" s="473">
        <f t="shared" si="1"/>
        <v>0</v>
      </c>
    </row>
    <row r="9" spans="1:326" ht="14.25" customHeight="1">
      <c r="A9" s="1166"/>
      <c r="B9" s="49" t="s">
        <v>72</v>
      </c>
      <c r="C9" s="49" t="s">
        <v>72</v>
      </c>
      <c r="D9" s="49" t="s">
        <v>72</v>
      </c>
      <c r="E9" s="49" t="s">
        <v>72</v>
      </c>
      <c r="F9" s="49"/>
      <c r="G9" s="49"/>
      <c r="H9" s="49" t="s">
        <v>75</v>
      </c>
      <c r="I9" s="49" t="s">
        <v>75</v>
      </c>
      <c r="J9" s="49" t="s">
        <v>75</v>
      </c>
      <c r="K9" s="49" t="s">
        <v>75</v>
      </c>
      <c r="L9" s="49" t="s">
        <v>75</v>
      </c>
      <c r="M9" s="49" t="s">
        <v>75</v>
      </c>
      <c r="N9" s="49" t="s">
        <v>75</v>
      </c>
      <c r="O9" s="49"/>
      <c r="P9" s="739" t="s">
        <v>74</v>
      </c>
      <c r="Q9" s="38">
        <v>1.2E-2</v>
      </c>
      <c r="R9" s="38">
        <v>1.2E-2</v>
      </c>
      <c r="S9" s="38">
        <v>1.2E-2</v>
      </c>
      <c r="T9" s="38">
        <v>1.2E-2</v>
      </c>
      <c r="U9" s="38">
        <v>1.2E-2</v>
      </c>
      <c r="V9" s="38">
        <v>1.2E-2</v>
      </c>
      <c r="W9" s="38">
        <v>1.2E-2</v>
      </c>
      <c r="X9" s="38">
        <v>1.2E-2</v>
      </c>
      <c r="Y9" s="38">
        <v>1.2E-2</v>
      </c>
      <c r="Z9" s="38">
        <v>1.2E-2</v>
      </c>
      <c r="AA9" s="38">
        <v>1.2E-2</v>
      </c>
      <c r="AB9" s="38">
        <v>1.2E-2</v>
      </c>
      <c r="AC9" s="38">
        <v>1.2E-2</v>
      </c>
      <c r="AD9" s="38">
        <v>1.2E-2</v>
      </c>
      <c r="AE9" s="38">
        <v>1.2E-2</v>
      </c>
      <c r="AF9" s="38">
        <v>1.2E-2</v>
      </c>
      <c r="AG9" s="38">
        <v>1.2E-2</v>
      </c>
      <c r="AH9" s="38">
        <v>1.2E-2</v>
      </c>
      <c r="AI9" s="38">
        <v>1.2E-2</v>
      </c>
      <c r="AJ9" s="38">
        <v>1.2E-2</v>
      </c>
      <c r="AK9" s="38">
        <v>1.2E-2</v>
      </c>
      <c r="AL9" s="38">
        <v>1.2E-2</v>
      </c>
      <c r="AM9" s="38">
        <v>1.2E-2</v>
      </c>
      <c r="AN9" s="38">
        <v>1.2E-2</v>
      </c>
      <c r="AO9" s="38">
        <v>1.2E-2</v>
      </c>
      <c r="AP9" s="38">
        <v>1.2E-2</v>
      </c>
      <c r="AQ9" s="38">
        <v>1.2E-2</v>
      </c>
      <c r="AR9" s="38">
        <v>1.2E-2</v>
      </c>
      <c r="AS9" s="38">
        <v>1.2E-2</v>
      </c>
      <c r="AT9" s="38">
        <v>1.2E-2</v>
      </c>
      <c r="AU9" s="38">
        <v>1.2E-2</v>
      </c>
      <c r="AV9" s="38">
        <v>1.2E-2</v>
      </c>
      <c r="AW9" s="38">
        <v>1.2E-2</v>
      </c>
      <c r="AX9" s="38">
        <v>1.2E-2</v>
      </c>
      <c r="AY9" s="27">
        <v>1.2E-2</v>
      </c>
      <c r="AZ9" s="38">
        <v>1.2E-2</v>
      </c>
      <c r="BA9" s="38">
        <v>1.2E-2</v>
      </c>
      <c r="BB9" s="38">
        <v>1.2E-2</v>
      </c>
      <c r="BC9" s="38">
        <v>1.2E-2</v>
      </c>
      <c r="BD9" s="38">
        <v>1.2E-2</v>
      </c>
      <c r="BE9" s="38">
        <v>1.2E-2</v>
      </c>
      <c r="BF9" s="38">
        <v>1.2E-2</v>
      </c>
      <c r="BG9" s="39">
        <v>1.2E-2</v>
      </c>
      <c r="BH9" s="38">
        <v>1.35E-2</v>
      </c>
      <c r="BI9" s="27">
        <v>1.35E-2</v>
      </c>
      <c r="BJ9" s="27">
        <v>1.35E-2</v>
      </c>
      <c r="BK9" s="27">
        <v>1.35E-2</v>
      </c>
      <c r="BL9" s="27">
        <v>1.35E-2</v>
      </c>
      <c r="BM9" s="27">
        <v>1.35E-2</v>
      </c>
      <c r="BN9" s="27">
        <v>1.35E-2</v>
      </c>
      <c r="BO9" s="27">
        <v>1.35E-2</v>
      </c>
      <c r="BP9" s="27">
        <v>1.35E-2</v>
      </c>
      <c r="BQ9" s="27">
        <v>1.35E-2</v>
      </c>
      <c r="BR9" s="27">
        <v>1.35E-2</v>
      </c>
      <c r="BS9" s="27">
        <v>1.35E-2</v>
      </c>
      <c r="BT9" s="27">
        <v>1.35E-2</v>
      </c>
      <c r="BU9" s="27">
        <v>1.35E-2</v>
      </c>
      <c r="BV9" s="27">
        <v>1.35E-2</v>
      </c>
      <c r="BW9" s="27">
        <v>1.35E-2</v>
      </c>
      <c r="BX9" s="27">
        <v>1.35E-2</v>
      </c>
      <c r="BY9" s="27">
        <v>1.35E-2</v>
      </c>
      <c r="BZ9" s="27">
        <v>1.35E-2</v>
      </c>
      <c r="CA9" s="27">
        <v>1.35E-2</v>
      </c>
      <c r="CB9" s="27">
        <v>1.35E-2</v>
      </c>
      <c r="CC9" s="27">
        <v>1.35E-2</v>
      </c>
      <c r="CD9" s="27">
        <v>1.35E-2</v>
      </c>
      <c r="CE9" s="27">
        <v>1.35E-2</v>
      </c>
      <c r="CF9" s="27">
        <v>1.35E-2</v>
      </c>
      <c r="CG9" s="27">
        <v>1.35E-2</v>
      </c>
      <c r="CH9" s="27">
        <v>1.35E-2</v>
      </c>
      <c r="CI9" s="27">
        <v>1.35E-2</v>
      </c>
      <c r="CJ9" s="27">
        <v>1.35E-2</v>
      </c>
      <c r="CK9" s="27">
        <v>1.35E-2</v>
      </c>
      <c r="CL9" s="27">
        <v>1.35E-2</v>
      </c>
      <c r="CM9" s="27">
        <v>1.35E-2</v>
      </c>
      <c r="CN9" s="27">
        <v>1.35E-2</v>
      </c>
      <c r="CO9" s="27">
        <v>1.35E-2</v>
      </c>
      <c r="CP9" s="27">
        <v>1.35E-2</v>
      </c>
      <c r="CQ9" s="27">
        <v>1.35E-2</v>
      </c>
      <c r="CR9" s="27">
        <v>1.6500000000000001E-2</v>
      </c>
      <c r="CS9" s="27">
        <v>1.6500000000000001E-2</v>
      </c>
      <c r="CT9" s="27">
        <v>1.6500000000000001E-2</v>
      </c>
      <c r="CU9" s="27">
        <v>1.7500000000000002E-2</v>
      </c>
      <c r="CV9" s="27">
        <v>1.7500000000000002E-2</v>
      </c>
      <c r="CW9" s="27">
        <v>1.7500000000000002E-2</v>
      </c>
      <c r="CX9" s="27">
        <v>1.7500000000000002E-2</v>
      </c>
      <c r="CY9" s="27">
        <v>1.7500000000000002E-2</v>
      </c>
      <c r="CZ9" s="27">
        <v>1.7500000000000002E-2</v>
      </c>
      <c r="DA9" s="27">
        <v>1.7500000000000002E-2</v>
      </c>
      <c r="DB9" s="27">
        <v>1.7500000000000002E-2</v>
      </c>
      <c r="DC9" s="27">
        <v>1.7500000000000002E-2</v>
      </c>
      <c r="DD9" s="27">
        <v>1.7500000000000002E-2</v>
      </c>
      <c r="DE9" s="27">
        <v>1.7500000000000002E-2</v>
      </c>
      <c r="DF9" s="27">
        <v>1.7500000000000002E-2</v>
      </c>
      <c r="DG9" s="27">
        <v>1.7500000000000002E-2</v>
      </c>
      <c r="DH9" s="27">
        <v>1.7500000000000002E-2</v>
      </c>
      <c r="DI9" s="27">
        <v>1.7500000000000002E-2</v>
      </c>
      <c r="DJ9" s="27">
        <v>1.7500000000000002E-2</v>
      </c>
      <c r="DK9" s="27">
        <v>1.7500000000000002E-2</v>
      </c>
      <c r="DL9" s="27">
        <v>1.7500000000000002E-2</v>
      </c>
      <c r="DM9" s="27">
        <v>1.7500000000000002E-2</v>
      </c>
      <c r="DN9" s="27">
        <v>1.7500000000000002E-2</v>
      </c>
      <c r="DO9" s="27">
        <v>1.7500000000000002E-2</v>
      </c>
      <c r="DP9" s="27">
        <v>1.7500000000000002E-2</v>
      </c>
      <c r="DQ9" s="27">
        <v>1.7500000000000002E-2</v>
      </c>
      <c r="DR9" s="27">
        <v>1.7500000000000002E-2</v>
      </c>
      <c r="DS9" s="27">
        <v>1.7500000000000002E-2</v>
      </c>
      <c r="DT9" s="27">
        <v>1.7500000000000002E-2</v>
      </c>
      <c r="DU9" s="27">
        <v>1.7500000000000002E-2</v>
      </c>
      <c r="DV9" s="27">
        <v>1.7500000000000002E-2</v>
      </c>
      <c r="DW9" s="27">
        <v>1.7500000000000002E-2</v>
      </c>
      <c r="DX9" s="27">
        <v>1.7500000000000002E-2</v>
      </c>
      <c r="DY9" s="27">
        <v>1.7500000000000002E-2</v>
      </c>
      <c r="DZ9" s="27">
        <v>1.7500000000000002E-2</v>
      </c>
      <c r="EA9" s="27">
        <v>1.7500000000000002E-2</v>
      </c>
      <c r="EB9" s="27">
        <v>1.7500000000000002E-2</v>
      </c>
      <c r="EC9" s="27">
        <v>1.7500000000000002E-2</v>
      </c>
      <c r="ED9" s="27">
        <v>1.7500000000000002E-2</v>
      </c>
      <c r="EE9" s="27">
        <v>1.7500000000000002E-2</v>
      </c>
      <c r="EF9" s="27">
        <v>1.7500000000000002E-2</v>
      </c>
      <c r="EG9" s="27">
        <v>1.7500000000000002E-2</v>
      </c>
      <c r="EH9" s="27">
        <v>1.7500000000000002E-2</v>
      </c>
      <c r="EI9" s="27">
        <v>1.7500000000000002E-2</v>
      </c>
      <c r="EJ9" s="27">
        <v>1.7500000000000002E-2</v>
      </c>
      <c r="EK9" s="27">
        <v>1.7500000000000002E-2</v>
      </c>
      <c r="EL9" s="27">
        <v>1.7500000000000002E-2</v>
      </c>
      <c r="EM9" s="27">
        <v>1.7500000000000002E-2</v>
      </c>
      <c r="EN9" s="27">
        <v>1.7500000000000002E-2</v>
      </c>
      <c r="EO9" s="27">
        <v>1.7500000000000002E-2</v>
      </c>
      <c r="EP9" s="27">
        <v>1.7500000000000002E-2</v>
      </c>
      <c r="EQ9" s="27">
        <v>1.7500000000000002E-2</v>
      </c>
      <c r="ER9" s="27">
        <v>1.7500000000000002E-2</v>
      </c>
      <c r="ES9" s="27">
        <v>1.7500000000000002E-2</v>
      </c>
      <c r="ET9" s="27">
        <v>1.7500000000000002E-2</v>
      </c>
      <c r="EU9" s="27">
        <v>1.7500000000000002E-2</v>
      </c>
      <c r="EV9" s="27">
        <v>1.7500000000000002E-2</v>
      </c>
      <c r="EW9" s="27">
        <v>1.7500000000000002E-2</v>
      </c>
      <c r="EX9" s="27">
        <v>1.7500000000000002E-2</v>
      </c>
      <c r="EY9" s="27">
        <v>1.7500000000000002E-2</v>
      </c>
      <c r="EZ9" s="27">
        <v>1.7500000000000002E-2</v>
      </c>
      <c r="FA9" s="27">
        <v>1.7500000000000002E-2</v>
      </c>
      <c r="FB9" s="27">
        <v>1.7500000000000002E-2</v>
      </c>
      <c r="FC9" s="27">
        <v>1.7500000000000002E-2</v>
      </c>
      <c r="FD9" s="27">
        <v>1.7500000000000002E-2</v>
      </c>
      <c r="FE9" s="27">
        <v>1.7500000000000002E-2</v>
      </c>
      <c r="FF9" s="27">
        <v>1.7500000000000002E-2</v>
      </c>
      <c r="FG9" s="27">
        <v>1.7500000000000002E-2</v>
      </c>
      <c r="FH9" s="27">
        <v>1.7500000000000002E-2</v>
      </c>
      <c r="FI9" s="27">
        <v>1.7500000000000002E-2</v>
      </c>
      <c r="FJ9" s="27">
        <v>1.6500000000000001E-2</v>
      </c>
      <c r="FK9" s="27">
        <v>1.6500000000000001E-2</v>
      </c>
      <c r="FL9" s="27">
        <v>1.6500000000000001E-2</v>
      </c>
      <c r="FM9" s="27">
        <v>1.6500000000000001E-2</v>
      </c>
      <c r="FN9" s="27">
        <v>1.6500000000000001E-2</v>
      </c>
      <c r="FO9" s="27">
        <v>1.4500000000000001E-2</v>
      </c>
      <c r="FP9" s="27">
        <v>1.4500000000000001E-2</v>
      </c>
      <c r="FQ9" s="27">
        <v>1.4500000000000001E-2</v>
      </c>
      <c r="FR9" s="27">
        <v>1.4500000000000001E-2</v>
      </c>
      <c r="FS9" s="27">
        <v>1.4500000000000001E-2</v>
      </c>
      <c r="FT9" s="27">
        <v>1.4500000000000001E-2</v>
      </c>
      <c r="FU9" s="27">
        <v>1.4500000000000001E-2</v>
      </c>
      <c r="FV9" s="27">
        <v>1.4500000000000001E-2</v>
      </c>
      <c r="FW9" s="27">
        <v>1.4500000000000001E-2</v>
      </c>
      <c r="FX9" s="27">
        <v>1.4500000000000001E-2</v>
      </c>
      <c r="FY9" s="27">
        <v>1.4500000000000001E-2</v>
      </c>
      <c r="FZ9" s="27">
        <v>1.4500000000000001E-2</v>
      </c>
      <c r="GA9" s="27">
        <v>1.4500000000000001E-2</v>
      </c>
      <c r="GB9" s="27">
        <v>1.4500000000000001E-2</v>
      </c>
      <c r="GC9" s="27">
        <v>1.4500000000000001E-2</v>
      </c>
      <c r="GD9" s="27">
        <v>1.4500000000000001E-2</v>
      </c>
      <c r="GE9" s="27">
        <v>1.4500000000000001E-2</v>
      </c>
      <c r="GF9" s="27">
        <v>1.4500000000000001E-2</v>
      </c>
      <c r="GG9" s="27">
        <v>1.4500000000000001E-2</v>
      </c>
      <c r="GH9" s="27">
        <v>1.4500000000000001E-2</v>
      </c>
      <c r="GI9" s="27">
        <v>1.4500000000000001E-2</v>
      </c>
      <c r="GJ9" s="27">
        <v>1.4500000000000001E-2</v>
      </c>
      <c r="GK9" s="27">
        <v>1.4500000000000001E-2</v>
      </c>
      <c r="GL9" s="27">
        <v>1.4500000000000001E-2</v>
      </c>
      <c r="GM9" s="27">
        <v>1.4500000000000001E-2</v>
      </c>
      <c r="GN9" s="27">
        <v>1.4500000000000001E-2</v>
      </c>
      <c r="GO9" s="27">
        <v>1.4500000000000001E-2</v>
      </c>
      <c r="GP9" s="27">
        <v>1.4500000000000001E-2</v>
      </c>
      <c r="GQ9" s="27">
        <v>1.4500000000000001E-2</v>
      </c>
      <c r="GR9" s="27">
        <v>1.4500000000000001E-2</v>
      </c>
      <c r="GS9" s="27">
        <v>2.35E-2</v>
      </c>
      <c r="GT9" s="27">
        <v>2.35E-2</v>
      </c>
      <c r="GU9" s="27">
        <v>2.35E-2</v>
      </c>
      <c r="GV9" s="27">
        <v>2.35E-2</v>
      </c>
      <c r="GW9" s="49" t="s">
        <v>73</v>
      </c>
      <c r="GX9" s="49" t="s">
        <v>73</v>
      </c>
      <c r="GY9" s="49" t="s">
        <v>73</v>
      </c>
      <c r="GZ9" s="49" t="s">
        <v>73</v>
      </c>
      <c r="HA9" s="49" t="s">
        <v>73</v>
      </c>
      <c r="HB9" s="49" t="s">
        <v>73</v>
      </c>
      <c r="HC9" s="49" t="s">
        <v>73</v>
      </c>
      <c r="HD9" s="49" t="s">
        <v>73</v>
      </c>
      <c r="HE9" s="49" t="s">
        <v>73</v>
      </c>
      <c r="HF9" s="49" t="s">
        <v>72</v>
      </c>
      <c r="HG9" s="49" t="s">
        <v>72</v>
      </c>
      <c r="HH9" s="49" t="s">
        <v>72</v>
      </c>
      <c r="HI9" s="49" t="s">
        <v>72</v>
      </c>
      <c r="HJ9" s="49" t="s">
        <v>72</v>
      </c>
      <c r="HK9" s="49" t="s">
        <v>72</v>
      </c>
      <c r="HL9" s="41">
        <f t="shared" si="0"/>
        <v>0</v>
      </c>
      <c r="HM9" s="77" t="s">
        <v>72</v>
      </c>
      <c r="HN9" s="77" t="s">
        <v>72</v>
      </c>
      <c r="HO9" s="77" t="s">
        <v>72</v>
      </c>
      <c r="HP9" s="56">
        <v>0</v>
      </c>
      <c r="HQ9" s="55" t="s">
        <v>91</v>
      </c>
      <c r="HR9" s="85">
        <v>1.9E-2</v>
      </c>
      <c r="HS9" s="57">
        <v>1.9E-2</v>
      </c>
      <c r="HT9" s="57">
        <v>1.9E-2</v>
      </c>
      <c r="HU9" s="57">
        <v>1.9E-2</v>
      </c>
      <c r="HV9" s="57">
        <v>1.9E-2</v>
      </c>
      <c r="HW9" s="57">
        <v>1.9E-2</v>
      </c>
      <c r="HX9" s="57">
        <v>1.9E-2</v>
      </c>
      <c r="HY9" s="57">
        <v>1.9E-2</v>
      </c>
      <c r="HZ9" s="57">
        <v>1.9E-2</v>
      </c>
      <c r="IA9" s="57">
        <v>1.9E-2</v>
      </c>
      <c r="IB9" s="57">
        <v>1.9E-2</v>
      </c>
      <c r="IC9" s="57">
        <v>1.9E-2</v>
      </c>
      <c r="ID9" s="80">
        <v>1.7999999999999999E-2</v>
      </c>
      <c r="IE9" s="57">
        <v>1.7999999999999999E-2</v>
      </c>
      <c r="IF9" s="57">
        <v>1.7999999999999999E-2</v>
      </c>
      <c r="IG9" s="57">
        <v>1.7999999999999999E-2</v>
      </c>
      <c r="IH9" s="57">
        <v>1.7999999999999999E-2</v>
      </c>
      <c r="II9" s="57">
        <v>1.7999999999999999E-2</v>
      </c>
      <c r="IJ9" s="57">
        <v>1.7999999999999999E-2</v>
      </c>
      <c r="IK9" s="57">
        <v>1.7999999999999999E-2</v>
      </c>
      <c r="IL9" s="57">
        <v>1.7999999999999999E-2</v>
      </c>
      <c r="IM9" s="57">
        <v>1.7999999999999999E-2</v>
      </c>
      <c r="IN9" s="57">
        <v>1.7999999999999999E-2</v>
      </c>
      <c r="IO9" s="84">
        <v>1.9E-2</v>
      </c>
      <c r="IP9" s="83">
        <v>1.9E-2</v>
      </c>
      <c r="IQ9" s="83">
        <v>1.9E-2</v>
      </c>
      <c r="IR9" s="83">
        <v>1.9E-2</v>
      </c>
      <c r="IS9" s="83">
        <v>1.9E-2</v>
      </c>
      <c r="IT9" s="83">
        <v>1.9E-2</v>
      </c>
      <c r="IU9" s="84">
        <v>0.02</v>
      </c>
      <c r="IV9" s="83">
        <v>0.02</v>
      </c>
      <c r="IW9" s="83">
        <v>0.02</v>
      </c>
      <c r="IX9" s="83">
        <v>0.02</v>
      </c>
      <c r="IY9" s="83">
        <v>0.02</v>
      </c>
      <c r="IZ9" s="83">
        <v>0.02</v>
      </c>
      <c r="JA9" s="83">
        <v>0.02</v>
      </c>
      <c r="JB9" s="83">
        <v>0.02</v>
      </c>
      <c r="JC9" s="83">
        <v>0.02</v>
      </c>
      <c r="JD9" s="83">
        <v>0.02</v>
      </c>
      <c r="JE9" s="83">
        <v>0.02</v>
      </c>
      <c r="JF9" s="83">
        <v>0.02</v>
      </c>
      <c r="JG9" s="83">
        <v>0.02</v>
      </c>
      <c r="JH9" s="83">
        <v>0.02</v>
      </c>
      <c r="JI9" s="83">
        <v>0.02</v>
      </c>
      <c r="JJ9" s="83">
        <v>0.02</v>
      </c>
      <c r="JK9" s="83">
        <v>0.02</v>
      </c>
      <c r="JL9" s="83">
        <v>0.02</v>
      </c>
      <c r="JM9" s="83">
        <v>0.02</v>
      </c>
      <c r="JN9" s="83">
        <v>0.02</v>
      </c>
      <c r="JO9" s="83">
        <v>0.02</v>
      </c>
      <c r="JP9" s="83">
        <v>0.02</v>
      </c>
      <c r="JQ9" s="80">
        <v>1.7000000000000001E-2</v>
      </c>
      <c r="JR9" s="57">
        <v>1.7000000000000001E-2</v>
      </c>
      <c r="JS9" s="57">
        <v>1.7000000000000001E-2</v>
      </c>
      <c r="JT9" s="57">
        <v>1.7000000000000001E-2</v>
      </c>
      <c r="JU9" s="57">
        <v>1.7000000000000001E-2</v>
      </c>
      <c r="JV9" s="57">
        <v>1.7000000000000001E-2</v>
      </c>
      <c r="JW9" s="57">
        <v>1.7000000000000001E-2</v>
      </c>
      <c r="JX9" s="57">
        <v>1.7000000000000001E-2</v>
      </c>
      <c r="JY9" s="57">
        <v>1.7000000000000001E-2</v>
      </c>
      <c r="JZ9" s="84">
        <v>0.02</v>
      </c>
      <c r="KA9" s="57">
        <v>0.02</v>
      </c>
      <c r="KB9" s="57">
        <v>0.02</v>
      </c>
      <c r="KC9" s="57">
        <v>0.02</v>
      </c>
      <c r="KD9" s="57">
        <v>0.02</v>
      </c>
      <c r="KE9" s="57">
        <v>0.02</v>
      </c>
      <c r="KF9" s="57">
        <v>0.02</v>
      </c>
      <c r="KG9" s="57">
        <v>0.02</v>
      </c>
      <c r="KH9" s="57">
        <v>0.02</v>
      </c>
      <c r="KI9" s="57">
        <v>0.02</v>
      </c>
      <c r="KJ9" s="57">
        <v>0.02</v>
      </c>
      <c r="KK9" s="57">
        <v>0.02</v>
      </c>
      <c r="KL9" s="57">
        <v>0.02</v>
      </c>
      <c r="KM9" s="57">
        <v>0.02</v>
      </c>
      <c r="KN9" s="57">
        <v>0.02</v>
      </c>
      <c r="KO9" s="57">
        <v>0.02</v>
      </c>
      <c r="KP9" s="57">
        <v>0.02</v>
      </c>
      <c r="KQ9" s="57">
        <v>0.02</v>
      </c>
      <c r="KR9" s="57">
        <v>0.02</v>
      </c>
      <c r="KS9" s="57">
        <v>0.02</v>
      </c>
      <c r="KT9" s="83">
        <v>0.02</v>
      </c>
      <c r="KU9" s="83">
        <v>0.02</v>
      </c>
      <c r="KV9" s="83">
        <v>0.02</v>
      </c>
      <c r="KW9" s="83">
        <v>0.02</v>
      </c>
      <c r="KX9" s="83">
        <v>0.02</v>
      </c>
      <c r="KY9" s="83">
        <v>0.02</v>
      </c>
      <c r="KZ9" s="83">
        <v>0.02</v>
      </c>
      <c r="LA9" s="83">
        <v>0.02</v>
      </c>
      <c r="LB9" s="83">
        <v>0.02</v>
      </c>
      <c r="LC9" s="83">
        <v>0.02</v>
      </c>
      <c r="LD9" s="83">
        <v>0.02</v>
      </c>
      <c r="LE9" s="83">
        <v>0.02</v>
      </c>
      <c r="LF9" s="83">
        <v>0.02</v>
      </c>
      <c r="LG9" s="83">
        <v>0.02</v>
      </c>
      <c r="LH9" s="83">
        <v>0.02</v>
      </c>
      <c r="LI9" s="83">
        <v>0.02</v>
      </c>
      <c r="LJ9" s="83">
        <v>0.02</v>
      </c>
      <c r="LK9" s="83">
        <v>0.02</v>
      </c>
      <c r="LL9" s="89">
        <v>0.02</v>
      </c>
      <c r="LM9" s="83">
        <v>0.02</v>
      </c>
      <c r="LN9" s="473">
        <f t="shared" si="1"/>
        <v>0</v>
      </c>
    </row>
    <row r="10" spans="1:326" ht="14.7" customHeight="1">
      <c r="A10" s="1162" t="s">
        <v>16</v>
      </c>
      <c r="B10" s="42"/>
      <c r="C10" s="42"/>
      <c r="D10" s="42"/>
      <c r="E10" s="42"/>
      <c r="F10" s="42"/>
      <c r="G10" s="42"/>
      <c r="H10" s="42"/>
      <c r="I10" s="42"/>
      <c r="J10" s="42"/>
      <c r="K10" s="42"/>
      <c r="L10" s="42"/>
      <c r="M10" s="42"/>
      <c r="N10" s="42"/>
      <c r="O10" s="42"/>
      <c r="P10" s="627" t="s">
        <v>71</v>
      </c>
      <c r="Q10" s="48">
        <v>1.15E-2</v>
      </c>
      <c r="R10" s="48">
        <v>1.15E-2</v>
      </c>
      <c r="S10" s="48">
        <v>1.15E-2</v>
      </c>
      <c r="T10" s="48">
        <v>1.15E-2</v>
      </c>
      <c r="U10" s="47">
        <v>1.0500000000000001E-2</v>
      </c>
      <c r="V10" s="47">
        <v>1.0500000000000001E-2</v>
      </c>
      <c r="W10" s="47">
        <v>1.0500000000000001E-2</v>
      </c>
      <c r="X10" s="47">
        <v>1.0500000000000001E-2</v>
      </c>
      <c r="Y10" s="47">
        <v>1.0500000000000001E-2</v>
      </c>
      <c r="Z10" s="47">
        <v>1.0500000000000001E-2</v>
      </c>
      <c r="AA10" s="47">
        <v>1.0500000000000001E-2</v>
      </c>
      <c r="AB10" s="47">
        <v>1.0500000000000001E-2</v>
      </c>
      <c r="AC10" s="47">
        <v>1.0500000000000001E-2</v>
      </c>
      <c r="AD10" s="47">
        <v>1.0500000000000001E-2</v>
      </c>
      <c r="AE10" s="47">
        <v>1.0500000000000001E-2</v>
      </c>
      <c r="AF10" s="47">
        <v>1.0500000000000001E-2</v>
      </c>
      <c r="AG10" s="47">
        <v>1.0500000000000001E-2</v>
      </c>
      <c r="AH10" s="47">
        <v>1.0500000000000001E-2</v>
      </c>
      <c r="AI10" s="47">
        <v>1.0500000000000001E-2</v>
      </c>
      <c r="AJ10" s="47">
        <v>1.0500000000000001E-2</v>
      </c>
      <c r="AK10" s="47">
        <v>1.0500000000000001E-2</v>
      </c>
      <c r="AL10" s="47">
        <v>1.0500000000000001E-2</v>
      </c>
      <c r="AM10" s="47">
        <v>1.0500000000000001E-2</v>
      </c>
      <c r="AN10" s="47">
        <v>1.0500000000000001E-2</v>
      </c>
      <c r="AO10" s="47">
        <v>1.0500000000000001E-2</v>
      </c>
      <c r="AP10" s="47">
        <v>1.0500000000000001E-2</v>
      </c>
      <c r="AQ10" s="47">
        <v>1.0500000000000001E-2</v>
      </c>
      <c r="AR10" s="47">
        <v>1.0500000000000001E-2</v>
      </c>
      <c r="AS10" s="47">
        <v>1.0500000000000001E-2</v>
      </c>
      <c r="AT10" s="47">
        <v>1.0500000000000001E-2</v>
      </c>
      <c r="AU10" s="47">
        <v>1.0500000000000001E-2</v>
      </c>
      <c r="AV10" s="47">
        <v>1.0500000000000001E-2</v>
      </c>
      <c r="AW10" s="47">
        <v>1.0500000000000001E-2</v>
      </c>
      <c r="AX10" s="47">
        <v>1.0500000000000001E-2</v>
      </c>
      <c r="AY10" s="44">
        <v>1.0500000000000001E-2</v>
      </c>
      <c r="AZ10" s="47">
        <v>1.0500000000000001E-2</v>
      </c>
      <c r="BA10" s="47">
        <v>1.0500000000000001E-2</v>
      </c>
      <c r="BB10" s="47">
        <v>1.0500000000000001E-2</v>
      </c>
      <c r="BC10" s="47">
        <v>1.0500000000000001E-2</v>
      </c>
      <c r="BD10" s="47">
        <v>1.0500000000000001E-2</v>
      </c>
      <c r="BE10" s="47">
        <v>1.0500000000000001E-2</v>
      </c>
      <c r="BF10" s="47">
        <v>1.0500000000000001E-2</v>
      </c>
      <c r="BG10" s="47">
        <v>1.0500000000000001E-2</v>
      </c>
      <c r="BH10" s="47">
        <v>1.0500000000000001E-2</v>
      </c>
      <c r="BI10" s="44">
        <v>1.0500000000000001E-2</v>
      </c>
      <c r="BJ10" s="44">
        <v>1.0500000000000001E-2</v>
      </c>
      <c r="BK10" s="44">
        <v>1.4999999999999999E-2</v>
      </c>
      <c r="BL10" s="44">
        <v>1.4999999999999999E-2</v>
      </c>
      <c r="BM10" s="44">
        <v>1.4999999999999999E-2</v>
      </c>
      <c r="BN10" s="44">
        <v>1.4999999999999999E-2</v>
      </c>
      <c r="BO10" s="44">
        <v>1.4999999999999999E-2</v>
      </c>
      <c r="BP10" s="44">
        <v>1.4999999999999999E-2</v>
      </c>
      <c r="BQ10" s="44">
        <v>1.4999999999999999E-2</v>
      </c>
      <c r="BR10" s="44">
        <v>1.4999999999999999E-2</v>
      </c>
      <c r="BS10" s="44">
        <v>1.9E-2</v>
      </c>
      <c r="BT10" s="44">
        <v>1.9E-2</v>
      </c>
      <c r="BU10" s="44">
        <v>1.9E-2</v>
      </c>
      <c r="BV10" s="44">
        <v>1.9E-2</v>
      </c>
      <c r="BW10" s="44">
        <v>0.02</v>
      </c>
      <c r="BX10" s="44">
        <v>0.02</v>
      </c>
      <c r="BY10" s="44">
        <v>0.02</v>
      </c>
      <c r="BZ10" s="44">
        <v>0.02</v>
      </c>
      <c r="CA10" s="44">
        <v>0.02</v>
      </c>
      <c r="CB10" s="44">
        <v>0.02</v>
      </c>
      <c r="CC10" s="44">
        <v>1.7999999999999999E-2</v>
      </c>
      <c r="CD10" s="44">
        <v>2.8000000000000001E-2</v>
      </c>
      <c r="CE10" s="44">
        <v>2.8000000000000001E-2</v>
      </c>
      <c r="CF10" s="44">
        <v>1.2E-2</v>
      </c>
      <c r="CG10" s="44">
        <v>1.2E-2</v>
      </c>
      <c r="CH10" s="44">
        <v>1.2E-2</v>
      </c>
      <c r="CI10" s="44">
        <v>1.2E-2</v>
      </c>
      <c r="CJ10" s="44">
        <v>1.2E-2</v>
      </c>
      <c r="CK10" s="44">
        <v>1.2E-2</v>
      </c>
      <c r="CL10" s="44">
        <v>1.2E-2</v>
      </c>
      <c r="CM10" s="44">
        <v>1.2E-2</v>
      </c>
      <c r="CN10" s="44">
        <v>1.2E-2</v>
      </c>
      <c r="CO10" s="44">
        <v>1.2E-2</v>
      </c>
      <c r="CP10" s="44">
        <v>1.2E-2</v>
      </c>
      <c r="CQ10" s="44">
        <v>1.2E-2</v>
      </c>
      <c r="CR10" s="44">
        <v>1.4E-2</v>
      </c>
      <c r="CS10" s="44">
        <v>1.4E-2</v>
      </c>
      <c r="CT10" s="44">
        <v>9.4999999999999998E-3</v>
      </c>
      <c r="CU10" s="44">
        <v>1.7000000000000001E-2</v>
      </c>
      <c r="CV10" s="44">
        <v>1.7000000000000001E-2</v>
      </c>
      <c r="CW10" s="44">
        <v>1.7000000000000001E-2</v>
      </c>
      <c r="CX10" s="44">
        <v>1.7000000000000001E-2</v>
      </c>
      <c r="CY10" s="44">
        <v>1.7000000000000001E-2</v>
      </c>
      <c r="CZ10" s="44">
        <v>1.7000000000000001E-2</v>
      </c>
      <c r="DA10" s="44">
        <v>1.7000000000000001E-2</v>
      </c>
      <c r="DB10" s="44">
        <v>1.7000000000000001E-2</v>
      </c>
      <c r="DC10" s="44">
        <v>1.7000000000000001E-2</v>
      </c>
      <c r="DD10" s="44">
        <v>1.7000000000000001E-2</v>
      </c>
      <c r="DE10" s="44">
        <v>1.7000000000000001E-2</v>
      </c>
      <c r="DF10" s="44">
        <v>1.7000000000000001E-2</v>
      </c>
      <c r="DG10" s="44">
        <v>1.7000000000000001E-2</v>
      </c>
      <c r="DH10" s="44">
        <v>1.7000000000000001E-2</v>
      </c>
      <c r="DI10" s="44">
        <v>1.7000000000000001E-2</v>
      </c>
      <c r="DJ10" s="44">
        <v>1.7000000000000001E-2</v>
      </c>
      <c r="DK10" s="44">
        <v>1.7000000000000001E-2</v>
      </c>
      <c r="DL10" s="44">
        <v>1.7000000000000001E-2</v>
      </c>
      <c r="DM10" s="44">
        <v>1.7000000000000001E-2</v>
      </c>
      <c r="DN10" s="44">
        <v>1.7000000000000001E-2</v>
      </c>
      <c r="DO10" s="44">
        <v>1.7000000000000001E-2</v>
      </c>
      <c r="DP10" s="44">
        <v>1.7000000000000001E-2</v>
      </c>
      <c r="DQ10" s="44">
        <v>1.7000000000000001E-2</v>
      </c>
      <c r="DR10" s="44">
        <v>1.7000000000000001E-2</v>
      </c>
      <c r="DS10" s="44">
        <v>1.7000000000000001E-2</v>
      </c>
      <c r="DT10" s="44">
        <v>1.7000000000000001E-2</v>
      </c>
      <c r="DU10" s="44">
        <v>1.7000000000000001E-2</v>
      </c>
      <c r="DV10" s="44">
        <v>1.7000000000000001E-2</v>
      </c>
      <c r="DW10" s="44">
        <v>1.7000000000000001E-2</v>
      </c>
      <c r="DX10" s="44">
        <v>1.7000000000000001E-2</v>
      </c>
      <c r="DY10" s="44">
        <v>1.7000000000000001E-2</v>
      </c>
      <c r="DZ10" s="44">
        <v>1.7000000000000001E-2</v>
      </c>
      <c r="EA10" s="44">
        <v>1.7000000000000001E-2</v>
      </c>
      <c r="EB10" s="44">
        <v>1.7000000000000001E-2</v>
      </c>
      <c r="EC10" s="44">
        <v>1.7000000000000001E-2</v>
      </c>
      <c r="ED10" s="44">
        <v>1.7000000000000001E-2</v>
      </c>
      <c r="EE10" s="44">
        <v>1.7000000000000001E-2</v>
      </c>
      <c r="EF10" s="44">
        <v>1.7000000000000001E-2</v>
      </c>
      <c r="EG10" s="44">
        <v>1.7000000000000001E-2</v>
      </c>
      <c r="EH10" s="44">
        <v>1.7000000000000001E-2</v>
      </c>
      <c r="EI10" s="44">
        <v>1.7000000000000001E-2</v>
      </c>
      <c r="EJ10" s="44">
        <v>1.7000000000000001E-2</v>
      </c>
      <c r="EK10" s="44">
        <v>1.7000000000000001E-2</v>
      </c>
      <c r="EL10" s="44">
        <v>1.7000000000000001E-2</v>
      </c>
      <c r="EM10" s="44">
        <v>1.7000000000000001E-2</v>
      </c>
      <c r="EN10" s="44">
        <v>1.7000000000000001E-2</v>
      </c>
      <c r="EO10" s="44">
        <v>1.7000000000000001E-2</v>
      </c>
      <c r="EP10" s="44">
        <v>1.7000000000000001E-2</v>
      </c>
      <c r="EQ10" s="44">
        <v>1.7000000000000001E-2</v>
      </c>
      <c r="ER10" s="44">
        <v>1.7000000000000001E-2</v>
      </c>
      <c r="ES10" s="44">
        <v>1.7000000000000001E-2</v>
      </c>
      <c r="ET10" s="44">
        <v>1.7000000000000001E-2</v>
      </c>
      <c r="EU10" s="44">
        <v>1.7000000000000001E-2</v>
      </c>
      <c r="EV10" s="44">
        <v>1.7000000000000001E-2</v>
      </c>
      <c r="EW10" s="44">
        <v>1.7000000000000001E-2</v>
      </c>
      <c r="EX10" s="44">
        <v>1.7000000000000001E-2</v>
      </c>
      <c r="EY10" s="44">
        <v>1.7000000000000001E-2</v>
      </c>
      <c r="EZ10" s="44">
        <v>1.7000000000000001E-2</v>
      </c>
      <c r="FA10" s="44">
        <v>1.7000000000000001E-2</v>
      </c>
      <c r="FB10" s="44">
        <v>1.7000000000000001E-2</v>
      </c>
      <c r="FC10" s="44">
        <v>1.7000000000000001E-2</v>
      </c>
      <c r="FD10" s="44">
        <v>1.7000000000000001E-2</v>
      </c>
      <c r="FE10" s="44">
        <v>1.7000000000000001E-2</v>
      </c>
      <c r="FF10" s="44">
        <v>1.7000000000000001E-2</v>
      </c>
      <c r="FG10" s="44">
        <v>1.7000000000000001E-2</v>
      </c>
      <c r="FH10" s="44">
        <v>1.7000000000000001E-2</v>
      </c>
      <c r="FI10" s="44">
        <v>1.7000000000000001E-2</v>
      </c>
      <c r="FJ10" s="44">
        <v>1.7000000000000001E-2</v>
      </c>
      <c r="FK10" s="44">
        <v>1.7000000000000001E-2</v>
      </c>
      <c r="FL10" s="44">
        <v>1.7000000000000001E-2</v>
      </c>
      <c r="FM10" s="44">
        <v>1.7000000000000001E-2</v>
      </c>
      <c r="FN10" s="44">
        <v>1.7000000000000001E-2</v>
      </c>
      <c r="FO10" s="44">
        <v>1.7000000000000001E-2</v>
      </c>
      <c r="FP10" s="44">
        <v>1.6E-2</v>
      </c>
      <c r="FQ10" s="44">
        <v>1.6E-2</v>
      </c>
      <c r="FR10" s="44">
        <v>1.4E-2</v>
      </c>
      <c r="FS10" s="44">
        <v>1.4E-2</v>
      </c>
      <c r="FT10" s="44">
        <v>1.4E-2</v>
      </c>
      <c r="FU10" s="44">
        <v>1.4E-2</v>
      </c>
      <c r="FV10" s="44">
        <v>1.4E-2</v>
      </c>
      <c r="FW10" s="44">
        <v>1.4E-2</v>
      </c>
      <c r="FX10" s="44">
        <v>1.4E-2</v>
      </c>
      <c r="FY10" s="44">
        <v>1.4E-2</v>
      </c>
      <c r="FZ10" s="44">
        <v>1.4E-2</v>
      </c>
      <c r="GA10" s="44">
        <v>1.4E-2</v>
      </c>
      <c r="GB10" s="44">
        <v>1.4E-2</v>
      </c>
      <c r="GC10" s="44">
        <v>1.4E-2</v>
      </c>
      <c r="GD10" s="44">
        <v>1.4E-2</v>
      </c>
      <c r="GE10" s="44">
        <v>1.4E-2</v>
      </c>
      <c r="GF10" s="44">
        <v>1.4E-2</v>
      </c>
      <c r="GG10" s="44">
        <v>1.4E-2</v>
      </c>
      <c r="GH10" s="44">
        <v>1.4E-2</v>
      </c>
      <c r="GI10" s="44">
        <v>1.4E-2</v>
      </c>
      <c r="GJ10" s="44">
        <v>1.4E-2</v>
      </c>
      <c r="GK10" s="44">
        <v>1.4E-2</v>
      </c>
      <c r="GL10" s="44">
        <v>1.4E-2</v>
      </c>
      <c r="GM10" s="44">
        <v>1.4E-2</v>
      </c>
      <c r="GN10" s="44">
        <v>1.4E-2</v>
      </c>
      <c r="GO10" s="44">
        <v>1.4E-2</v>
      </c>
      <c r="GP10" s="44">
        <v>1.4E-2</v>
      </c>
      <c r="GQ10" s="44">
        <v>1.4E-2</v>
      </c>
      <c r="GR10" s="44">
        <v>1.4E-2</v>
      </c>
      <c r="GS10" s="43">
        <v>0.02</v>
      </c>
      <c r="GT10" s="43">
        <v>2.1999999999999999E-2</v>
      </c>
      <c r="GU10" s="43">
        <v>2.1999999999999999E-2</v>
      </c>
      <c r="GV10" s="43">
        <v>2.1999999999999999E-2</v>
      </c>
      <c r="GW10" s="42"/>
      <c r="GX10" s="42"/>
      <c r="GY10" s="42"/>
      <c r="GZ10" s="42"/>
      <c r="HA10" s="42"/>
      <c r="HB10" s="42"/>
      <c r="HC10" s="42"/>
      <c r="HD10" s="42"/>
      <c r="HE10" s="42"/>
      <c r="HF10" s="42"/>
      <c r="HG10" s="42"/>
      <c r="HH10" s="42"/>
      <c r="HI10" s="42"/>
      <c r="HJ10" s="42"/>
      <c r="HK10" s="42"/>
      <c r="HL10" s="41">
        <f t="shared" si="0"/>
        <v>-4.4999999999999988E-3</v>
      </c>
      <c r="HM10" s="78"/>
      <c r="HN10" s="77"/>
      <c r="HO10" s="77"/>
      <c r="HP10" s="56"/>
      <c r="HQ10" s="55"/>
      <c r="HR10" s="85"/>
      <c r="HS10" s="57"/>
      <c r="HT10" s="57"/>
      <c r="HU10" s="57"/>
      <c r="HV10" s="57"/>
      <c r="HW10" s="57"/>
      <c r="HX10" s="57"/>
      <c r="HY10" s="57"/>
      <c r="HZ10" s="57"/>
      <c r="IA10" s="57"/>
      <c r="IB10" s="57"/>
      <c r="IC10" s="57"/>
      <c r="ID10" s="80"/>
      <c r="IE10" s="57"/>
      <c r="IF10" s="57"/>
      <c r="IG10" s="57"/>
      <c r="IH10" s="57"/>
      <c r="II10" s="57"/>
      <c r="IJ10" s="57"/>
      <c r="IK10" s="57"/>
      <c r="IL10" s="57"/>
      <c r="IM10" s="57"/>
      <c r="IN10" s="57"/>
      <c r="IO10" s="84"/>
      <c r="IP10" s="83"/>
      <c r="IQ10" s="83"/>
      <c r="IR10" s="83"/>
      <c r="IS10" s="83"/>
      <c r="IT10" s="83"/>
      <c r="IU10" s="84"/>
      <c r="IV10" s="83"/>
      <c r="IW10" s="83"/>
      <c r="IX10" s="83"/>
      <c r="IY10" s="83"/>
      <c r="IZ10" s="83"/>
      <c r="JA10" s="83"/>
      <c r="JB10" s="83"/>
      <c r="JC10" s="83"/>
      <c r="JD10" s="83"/>
      <c r="JE10" s="83"/>
      <c r="JF10" s="83"/>
      <c r="JG10" s="83"/>
      <c r="JH10" s="83"/>
      <c r="JI10" s="83"/>
      <c r="JJ10" s="83"/>
      <c r="JK10" s="83"/>
      <c r="JL10" s="83"/>
      <c r="JM10" s="83"/>
      <c r="JN10" s="83"/>
      <c r="JO10" s="83"/>
      <c r="JP10" s="83"/>
      <c r="JQ10" s="80"/>
      <c r="JR10" s="57"/>
      <c r="JS10" s="57"/>
      <c r="JT10" s="57"/>
      <c r="JU10" s="57"/>
      <c r="JV10" s="57"/>
      <c r="JW10" s="57"/>
      <c r="JX10" s="57"/>
      <c r="JY10" s="57"/>
      <c r="JZ10" s="84"/>
      <c r="KA10" s="57"/>
      <c r="KB10" s="57"/>
      <c r="KC10" s="57"/>
      <c r="KD10" s="57"/>
      <c r="KE10" s="57"/>
      <c r="KF10" s="57"/>
      <c r="KG10" s="57"/>
      <c r="KH10" s="57"/>
      <c r="KI10" s="57"/>
      <c r="KJ10" s="57"/>
      <c r="KK10" s="57"/>
      <c r="KL10" s="57"/>
      <c r="KM10" s="57"/>
      <c r="KN10" s="57"/>
      <c r="KO10" s="57"/>
      <c r="KP10" s="57"/>
      <c r="KQ10" s="57"/>
      <c r="KR10" s="57"/>
      <c r="KS10" s="57"/>
      <c r="KT10" s="83"/>
      <c r="KU10" s="83"/>
      <c r="KV10" s="83"/>
      <c r="KW10" s="83"/>
      <c r="KX10" s="83"/>
      <c r="KY10" s="83"/>
      <c r="KZ10" s="83"/>
      <c r="LA10" s="83"/>
      <c r="LB10" s="83"/>
      <c r="LC10" s="83"/>
      <c r="LD10" s="83"/>
      <c r="LE10" s="83"/>
      <c r="LF10" s="83"/>
      <c r="LG10" s="83"/>
      <c r="LH10" s="83"/>
      <c r="LI10" s="83"/>
      <c r="LJ10" s="83"/>
      <c r="LK10" s="83"/>
      <c r="LL10" s="89"/>
      <c r="LM10" s="83"/>
      <c r="LN10" s="473">
        <f t="shared" si="1"/>
        <v>0</v>
      </c>
    </row>
    <row r="11" spans="1:326" ht="14.7" customHeight="1">
      <c r="A11" s="1163"/>
      <c r="B11" s="42" t="s">
        <v>67</v>
      </c>
      <c r="C11" s="42" t="s">
        <v>67</v>
      </c>
      <c r="D11" s="42" t="s">
        <v>67</v>
      </c>
      <c r="E11" s="42" t="s">
        <v>67</v>
      </c>
      <c r="F11" s="42"/>
      <c r="G11" s="42"/>
      <c r="H11" s="42" t="s">
        <v>67</v>
      </c>
      <c r="I11" s="42" t="s">
        <v>67</v>
      </c>
      <c r="J11" s="42" t="s">
        <v>67</v>
      </c>
      <c r="K11" s="42" t="s">
        <v>67</v>
      </c>
      <c r="L11" s="42" t="s">
        <v>67</v>
      </c>
      <c r="M11" s="42" t="s">
        <v>67</v>
      </c>
      <c r="N11" s="42" t="s">
        <v>67</v>
      </c>
      <c r="O11" s="42"/>
      <c r="P11" s="627" t="s">
        <v>70</v>
      </c>
      <c r="Q11" s="48">
        <v>1.2E-2</v>
      </c>
      <c r="R11" s="48">
        <v>1.2E-2</v>
      </c>
      <c r="S11" s="48">
        <v>1.2E-2</v>
      </c>
      <c r="T11" s="48">
        <v>1.2E-2</v>
      </c>
      <c r="U11" s="47">
        <v>1.15E-2</v>
      </c>
      <c r="V11" s="47">
        <v>1.15E-2</v>
      </c>
      <c r="W11" s="47">
        <v>1.15E-2</v>
      </c>
      <c r="X11" s="47">
        <v>1.15E-2</v>
      </c>
      <c r="Y11" s="47">
        <v>1.15E-2</v>
      </c>
      <c r="Z11" s="47">
        <v>1.15E-2</v>
      </c>
      <c r="AA11" s="47">
        <v>1.15E-2</v>
      </c>
      <c r="AB11" s="47">
        <v>1.15E-2</v>
      </c>
      <c r="AC11" s="47">
        <v>1.15E-2</v>
      </c>
      <c r="AD11" s="47">
        <v>1.15E-2</v>
      </c>
      <c r="AE11" s="47">
        <v>1.15E-2</v>
      </c>
      <c r="AF11" s="47">
        <v>1.15E-2</v>
      </c>
      <c r="AG11" s="47">
        <v>1.15E-2</v>
      </c>
      <c r="AH11" s="47">
        <v>1.15E-2</v>
      </c>
      <c r="AI11" s="47">
        <v>1.15E-2</v>
      </c>
      <c r="AJ11" s="47">
        <v>1.15E-2</v>
      </c>
      <c r="AK11" s="47">
        <v>1.15E-2</v>
      </c>
      <c r="AL11" s="47">
        <v>1.15E-2</v>
      </c>
      <c r="AM11" s="47">
        <v>1.15E-2</v>
      </c>
      <c r="AN11" s="47">
        <v>1.15E-2</v>
      </c>
      <c r="AO11" s="47">
        <v>1.15E-2</v>
      </c>
      <c r="AP11" s="47">
        <v>1.15E-2</v>
      </c>
      <c r="AQ11" s="47">
        <v>1.15E-2</v>
      </c>
      <c r="AR11" s="47">
        <v>1.15E-2</v>
      </c>
      <c r="AS11" s="47">
        <v>1.15E-2</v>
      </c>
      <c r="AT11" s="47">
        <v>1.15E-2</v>
      </c>
      <c r="AU11" s="47">
        <v>1.15E-2</v>
      </c>
      <c r="AV11" s="47">
        <v>1.15E-2</v>
      </c>
      <c r="AW11" s="47">
        <v>1.15E-2</v>
      </c>
      <c r="AX11" s="47">
        <v>1.15E-2</v>
      </c>
      <c r="AY11" s="44">
        <v>1.15E-2</v>
      </c>
      <c r="AZ11" s="47">
        <v>1.15E-2</v>
      </c>
      <c r="BA11" s="47">
        <v>1.15E-2</v>
      </c>
      <c r="BB11" s="47">
        <v>1.15E-2</v>
      </c>
      <c r="BC11" s="47">
        <v>1.15E-2</v>
      </c>
      <c r="BD11" s="47">
        <v>1.15E-2</v>
      </c>
      <c r="BE11" s="47">
        <v>1.15E-2</v>
      </c>
      <c r="BF11" s="47">
        <v>1.15E-2</v>
      </c>
      <c r="BG11" s="47">
        <v>1.15E-2</v>
      </c>
      <c r="BH11" s="47">
        <v>1.15E-2</v>
      </c>
      <c r="BI11" s="44">
        <v>1.15E-2</v>
      </c>
      <c r="BJ11" s="44">
        <v>1.15E-2</v>
      </c>
      <c r="BK11" s="44">
        <v>1.6E-2</v>
      </c>
      <c r="BL11" s="44">
        <v>1.6E-2</v>
      </c>
      <c r="BM11" s="44">
        <v>1.6E-2</v>
      </c>
      <c r="BN11" s="44">
        <v>1.6E-2</v>
      </c>
      <c r="BO11" s="44">
        <v>1.6E-2</v>
      </c>
      <c r="BP11" s="44">
        <v>1.6E-2</v>
      </c>
      <c r="BQ11" s="44">
        <v>1.6E-2</v>
      </c>
      <c r="BR11" s="44">
        <v>1.6E-2</v>
      </c>
      <c r="BS11" s="44">
        <v>1.95E-2</v>
      </c>
      <c r="BT11" s="44">
        <v>1.95E-2</v>
      </c>
      <c r="BU11" s="44">
        <v>1.95E-2</v>
      </c>
      <c r="BV11" s="44">
        <v>1.95E-2</v>
      </c>
      <c r="BW11" s="44">
        <v>2.0500000000000001E-2</v>
      </c>
      <c r="BX11" s="44">
        <v>2.0500000000000001E-2</v>
      </c>
      <c r="BY11" s="44">
        <v>2.0500000000000001E-2</v>
      </c>
      <c r="BZ11" s="44">
        <v>2.0500000000000001E-2</v>
      </c>
      <c r="CA11" s="44">
        <v>2.0500000000000001E-2</v>
      </c>
      <c r="CB11" s="44">
        <v>2.0500000000000001E-2</v>
      </c>
      <c r="CC11" s="44">
        <v>1.9E-2</v>
      </c>
      <c r="CD11" s="44">
        <v>2.9000000000000001E-2</v>
      </c>
      <c r="CE11" s="44">
        <v>2.9000000000000001E-2</v>
      </c>
      <c r="CF11" s="44">
        <v>1.2500000000000001E-2</v>
      </c>
      <c r="CG11" s="44">
        <v>1.2500000000000001E-2</v>
      </c>
      <c r="CH11" s="44">
        <v>1.2500000000000001E-2</v>
      </c>
      <c r="CI11" s="44">
        <v>1.2500000000000001E-2</v>
      </c>
      <c r="CJ11" s="44">
        <v>1.2500000000000001E-2</v>
      </c>
      <c r="CK11" s="44">
        <v>1.2500000000000001E-2</v>
      </c>
      <c r="CL11" s="44">
        <v>1.2500000000000001E-2</v>
      </c>
      <c r="CM11" s="44">
        <v>1.2500000000000001E-2</v>
      </c>
      <c r="CN11" s="44">
        <v>1.2500000000000001E-2</v>
      </c>
      <c r="CO11" s="44">
        <v>1.2500000000000001E-2</v>
      </c>
      <c r="CP11" s="44">
        <v>1.2500000000000001E-2</v>
      </c>
      <c r="CQ11" s="44">
        <v>1.2500000000000001E-2</v>
      </c>
      <c r="CR11" s="44">
        <v>1.4500000000000001E-2</v>
      </c>
      <c r="CS11" s="44">
        <v>1.4500000000000001E-2</v>
      </c>
      <c r="CT11" s="44">
        <v>0.01</v>
      </c>
      <c r="CU11" s="44">
        <v>1.7500000000000002E-2</v>
      </c>
      <c r="CV11" s="44">
        <v>1.7500000000000002E-2</v>
      </c>
      <c r="CW11" s="44">
        <v>1.7500000000000002E-2</v>
      </c>
      <c r="CX11" s="44">
        <v>1.7500000000000002E-2</v>
      </c>
      <c r="CY11" s="44">
        <v>1.7500000000000002E-2</v>
      </c>
      <c r="CZ11" s="44">
        <v>1.7500000000000002E-2</v>
      </c>
      <c r="DA11" s="44">
        <v>1.7500000000000002E-2</v>
      </c>
      <c r="DB11" s="44">
        <v>1.7500000000000002E-2</v>
      </c>
      <c r="DC11" s="44">
        <v>1.7500000000000002E-2</v>
      </c>
      <c r="DD11" s="44">
        <v>1.7500000000000002E-2</v>
      </c>
      <c r="DE11" s="44">
        <v>1.7500000000000002E-2</v>
      </c>
      <c r="DF11" s="44">
        <v>1.7500000000000002E-2</v>
      </c>
      <c r="DG11" s="44">
        <v>1.7500000000000002E-2</v>
      </c>
      <c r="DH11" s="44">
        <v>1.7500000000000002E-2</v>
      </c>
      <c r="DI11" s="44">
        <v>1.7500000000000002E-2</v>
      </c>
      <c r="DJ11" s="44">
        <v>1.7500000000000002E-2</v>
      </c>
      <c r="DK11" s="44">
        <v>1.7500000000000002E-2</v>
      </c>
      <c r="DL11" s="44">
        <v>1.7500000000000002E-2</v>
      </c>
      <c r="DM11" s="44">
        <v>1.7500000000000002E-2</v>
      </c>
      <c r="DN11" s="44">
        <v>1.7500000000000002E-2</v>
      </c>
      <c r="DO11" s="44">
        <v>1.7500000000000002E-2</v>
      </c>
      <c r="DP11" s="44">
        <v>1.7500000000000002E-2</v>
      </c>
      <c r="DQ11" s="44">
        <v>1.7500000000000002E-2</v>
      </c>
      <c r="DR11" s="44">
        <v>1.7500000000000002E-2</v>
      </c>
      <c r="DS11" s="44">
        <v>1.7500000000000002E-2</v>
      </c>
      <c r="DT11" s="44">
        <v>1.7500000000000002E-2</v>
      </c>
      <c r="DU11" s="44">
        <v>1.7500000000000002E-2</v>
      </c>
      <c r="DV11" s="44">
        <v>1.7500000000000002E-2</v>
      </c>
      <c r="DW11" s="44">
        <v>1.7500000000000002E-2</v>
      </c>
      <c r="DX11" s="44">
        <v>1.7500000000000002E-2</v>
      </c>
      <c r="DY11" s="44">
        <v>1.7500000000000002E-2</v>
      </c>
      <c r="DZ11" s="44">
        <v>1.7500000000000002E-2</v>
      </c>
      <c r="EA11" s="44">
        <v>1.7500000000000002E-2</v>
      </c>
      <c r="EB11" s="44">
        <v>1.7500000000000002E-2</v>
      </c>
      <c r="EC11" s="44">
        <v>1.7500000000000002E-2</v>
      </c>
      <c r="ED11" s="44">
        <v>1.7500000000000002E-2</v>
      </c>
      <c r="EE11" s="44">
        <v>1.7500000000000002E-2</v>
      </c>
      <c r="EF11" s="44">
        <v>1.7500000000000002E-2</v>
      </c>
      <c r="EG11" s="44">
        <v>1.7500000000000002E-2</v>
      </c>
      <c r="EH11" s="44">
        <v>1.7500000000000002E-2</v>
      </c>
      <c r="EI11" s="44">
        <v>1.7500000000000002E-2</v>
      </c>
      <c r="EJ11" s="44">
        <v>1.7500000000000002E-2</v>
      </c>
      <c r="EK11" s="44">
        <v>1.7500000000000002E-2</v>
      </c>
      <c r="EL11" s="44">
        <v>1.7500000000000002E-2</v>
      </c>
      <c r="EM11" s="44">
        <v>1.7500000000000002E-2</v>
      </c>
      <c r="EN11" s="44">
        <v>1.7500000000000002E-2</v>
      </c>
      <c r="EO11" s="44">
        <v>1.7500000000000002E-2</v>
      </c>
      <c r="EP11" s="44">
        <v>1.7500000000000002E-2</v>
      </c>
      <c r="EQ11" s="44">
        <v>1.7500000000000002E-2</v>
      </c>
      <c r="ER11" s="44">
        <v>1.7500000000000002E-2</v>
      </c>
      <c r="ES11" s="44">
        <v>1.7500000000000002E-2</v>
      </c>
      <c r="ET11" s="44">
        <v>1.7500000000000002E-2</v>
      </c>
      <c r="EU11" s="44">
        <v>1.7500000000000002E-2</v>
      </c>
      <c r="EV11" s="44">
        <v>1.7500000000000002E-2</v>
      </c>
      <c r="EW11" s="44">
        <v>1.7500000000000002E-2</v>
      </c>
      <c r="EX11" s="44">
        <v>1.7500000000000002E-2</v>
      </c>
      <c r="EY11" s="44">
        <v>1.7500000000000002E-2</v>
      </c>
      <c r="EZ11" s="44">
        <v>1.7500000000000002E-2</v>
      </c>
      <c r="FA11" s="44">
        <v>1.7500000000000002E-2</v>
      </c>
      <c r="FB11" s="44">
        <v>1.7500000000000002E-2</v>
      </c>
      <c r="FC11" s="44">
        <v>1.7500000000000002E-2</v>
      </c>
      <c r="FD11" s="44">
        <v>1.7500000000000002E-2</v>
      </c>
      <c r="FE11" s="44">
        <v>1.7500000000000002E-2</v>
      </c>
      <c r="FF11" s="44">
        <v>1.7500000000000002E-2</v>
      </c>
      <c r="FG11" s="44">
        <v>1.7500000000000002E-2</v>
      </c>
      <c r="FH11" s="44">
        <v>1.7500000000000002E-2</v>
      </c>
      <c r="FI11" s="44">
        <v>1.7500000000000002E-2</v>
      </c>
      <c r="FJ11" s="44">
        <v>1.7500000000000002E-2</v>
      </c>
      <c r="FK11" s="44">
        <v>1.7500000000000002E-2</v>
      </c>
      <c r="FL11" s="44">
        <v>1.7500000000000002E-2</v>
      </c>
      <c r="FM11" s="44">
        <v>1.7500000000000002E-2</v>
      </c>
      <c r="FN11" s="44">
        <v>1.7500000000000002E-2</v>
      </c>
      <c r="FO11" s="44">
        <v>1.7500000000000002E-2</v>
      </c>
      <c r="FP11" s="44">
        <v>1.6500000000000001E-2</v>
      </c>
      <c r="FQ11" s="44">
        <v>1.6500000000000001E-2</v>
      </c>
      <c r="FR11" s="44">
        <v>1.4999999999999999E-2</v>
      </c>
      <c r="FS11" s="44">
        <v>1.4999999999999999E-2</v>
      </c>
      <c r="FT11" s="44">
        <v>1.4999999999999999E-2</v>
      </c>
      <c r="FU11" s="44">
        <v>1.4999999999999999E-2</v>
      </c>
      <c r="FV11" s="44">
        <v>1.4999999999999999E-2</v>
      </c>
      <c r="FW11" s="44">
        <v>1.4999999999999999E-2</v>
      </c>
      <c r="FX11" s="44">
        <v>1.4999999999999999E-2</v>
      </c>
      <c r="FY11" s="44">
        <v>1.4999999999999999E-2</v>
      </c>
      <c r="FZ11" s="44">
        <v>1.4999999999999999E-2</v>
      </c>
      <c r="GA11" s="44">
        <v>1.4999999999999999E-2</v>
      </c>
      <c r="GB11" s="44">
        <v>1.4999999999999999E-2</v>
      </c>
      <c r="GC11" s="44">
        <v>1.4999999999999999E-2</v>
      </c>
      <c r="GD11" s="44">
        <v>1.4999999999999999E-2</v>
      </c>
      <c r="GE11" s="44">
        <v>1.4999999999999999E-2</v>
      </c>
      <c r="GF11" s="44">
        <v>1.4999999999999999E-2</v>
      </c>
      <c r="GG11" s="44">
        <v>1.4999999999999999E-2</v>
      </c>
      <c r="GH11" s="44">
        <v>1.4999999999999999E-2</v>
      </c>
      <c r="GI11" s="44">
        <v>1.4999999999999999E-2</v>
      </c>
      <c r="GJ11" s="44">
        <v>1.4999999999999999E-2</v>
      </c>
      <c r="GK11" s="44">
        <v>1.4999999999999999E-2</v>
      </c>
      <c r="GL11" s="44">
        <v>1.4999999999999999E-2</v>
      </c>
      <c r="GM11" s="44">
        <v>1.4999999999999999E-2</v>
      </c>
      <c r="GN11" s="44">
        <v>1.4999999999999999E-2</v>
      </c>
      <c r="GO11" s="44">
        <v>1.4999999999999999E-2</v>
      </c>
      <c r="GP11" s="44">
        <v>1.4999999999999999E-2</v>
      </c>
      <c r="GQ11" s="44">
        <v>1.4999999999999999E-2</v>
      </c>
      <c r="GR11" s="44">
        <v>1.4999999999999999E-2</v>
      </c>
      <c r="GS11" s="43">
        <v>2.1000000000000001E-2</v>
      </c>
      <c r="GT11" s="43">
        <v>2.3E-2</v>
      </c>
      <c r="GU11" s="43">
        <v>2.3E-2</v>
      </c>
      <c r="GV11" s="43">
        <v>2.3E-2</v>
      </c>
      <c r="GW11" s="42" t="s">
        <v>69</v>
      </c>
      <c r="GX11" s="42" t="s">
        <v>69</v>
      </c>
      <c r="GY11" s="42" t="s">
        <v>69</v>
      </c>
      <c r="GZ11" s="42" t="s">
        <v>69</v>
      </c>
      <c r="HA11" s="42" t="s">
        <v>68</v>
      </c>
      <c r="HB11" s="42" t="s">
        <v>68</v>
      </c>
      <c r="HC11" s="42" t="s">
        <v>68</v>
      </c>
      <c r="HD11" s="42" t="s">
        <v>68</v>
      </c>
      <c r="HE11" s="42" t="s">
        <v>68</v>
      </c>
      <c r="HF11" s="42" t="s">
        <v>68</v>
      </c>
      <c r="HG11" s="42" t="s">
        <v>68</v>
      </c>
      <c r="HH11" s="42" t="s">
        <v>68</v>
      </c>
      <c r="HI11" s="42" t="s">
        <v>68</v>
      </c>
      <c r="HJ11" s="42" t="s">
        <v>67</v>
      </c>
      <c r="HK11" s="42" t="s">
        <v>67</v>
      </c>
      <c r="HL11" s="41">
        <f t="shared" si="0"/>
        <v>-4.5000000000000005E-3</v>
      </c>
      <c r="HM11" s="78" t="s">
        <v>67</v>
      </c>
      <c r="HN11" s="77" t="s">
        <v>67</v>
      </c>
      <c r="HO11" s="77" t="s">
        <v>67</v>
      </c>
      <c r="HP11" s="56">
        <v>0</v>
      </c>
      <c r="HQ11" s="55"/>
      <c r="HR11" s="85">
        <v>1.9E-2</v>
      </c>
      <c r="HS11" s="57">
        <v>1.9E-2</v>
      </c>
      <c r="HT11" s="80">
        <v>1.7999999999999999E-2</v>
      </c>
      <c r="HU11" s="57">
        <v>1.7999999999999999E-2</v>
      </c>
      <c r="HV11" s="57">
        <v>1.7999999999999999E-2</v>
      </c>
      <c r="HW11" s="57">
        <v>1.7999999999999999E-2</v>
      </c>
      <c r="HX11" s="83">
        <v>1.7999999999999999E-2</v>
      </c>
      <c r="HY11" s="83">
        <v>1.7999999999999999E-2</v>
      </c>
      <c r="HZ11" s="83">
        <v>1.7999999999999999E-2</v>
      </c>
      <c r="IA11" s="83">
        <v>1.7999999999999999E-2</v>
      </c>
      <c r="IB11" s="83">
        <v>1.7999999999999999E-2</v>
      </c>
      <c r="IC11" s="57">
        <v>1.7999999999999999E-2</v>
      </c>
      <c r="ID11" s="57">
        <v>1.7999999999999999E-2</v>
      </c>
      <c r="IE11" s="83">
        <v>1.7999999999999999E-2</v>
      </c>
      <c r="IF11" s="83">
        <v>1.7999999999999999E-2</v>
      </c>
      <c r="IG11" s="83">
        <v>1.7999999999999999E-2</v>
      </c>
      <c r="IH11" s="83">
        <v>1.7999999999999999E-2</v>
      </c>
      <c r="II11" s="83">
        <v>1.7999999999999999E-2</v>
      </c>
      <c r="IJ11" s="83">
        <v>1.7999999999999999E-2</v>
      </c>
      <c r="IK11" s="83">
        <v>1.7999999999999999E-2</v>
      </c>
      <c r="IL11" s="83">
        <v>1.7999999999999999E-2</v>
      </c>
      <c r="IM11" s="83">
        <v>1.7999999999999999E-2</v>
      </c>
      <c r="IN11" s="83">
        <v>1.7999999999999999E-2</v>
      </c>
      <c r="IO11" s="83">
        <v>1.7999999999999999E-2</v>
      </c>
      <c r="IP11" s="84">
        <v>0.02</v>
      </c>
      <c r="IQ11" s="83">
        <v>0.02</v>
      </c>
      <c r="IR11" s="83">
        <v>0.02</v>
      </c>
      <c r="IS11" s="83">
        <v>0.02</v>
      </c>
      <c r="IT11" s="83">
        <v>0.02</v>
      </c>
      <c r="IU11" s="83">
        <v>0.02</v>
      </c>
      <c r="IV11" s="83">
        <v>0.02</v>
      </c>
      <c r="IW11" s="83">
        <v>0.02</v>
      </c>
      <c r="IX11" s="83">
        <v>0.02</v>
      </c>
      <c r="IY11" s="83">
        <v>0.02</v>
      </c>
      <c r="IZ11" s="83">
        <v>0.02</v>
      </c>
      <c r="JA11" s="83">
        <v>0.02</v>
      </c>
      <c r="JB11" s="83">
        <v>0.02</v>
      </c>
      <c r="JC11" s="83">
        <v>0.02</v>
      </c>
      <c r="JD11" s="83">
        <v>0.02</v>
      </c>
      <c r="JE11" s="83">
        <v>0.02</v>
      </c>
      <c r="JF11" s="83">
        <v>0.02</v>
      </c>
      <c r="JG11" s="83">
        <v>0.02</v>
      </c>
      <c r="JH11" s="83">
        <v>0.02</v>
      </c>
      <c r="JI11" s="83">
        <v>0.02</v>
      </c>
      <c r="JJ11" s="83">
        <v>0.02</v>
      </c>
      <c r="JK11" s="83">
        <v>0.02</v>
      </c>
      <c r="JL11" s="83">
        <v>0.02</v>
      </c>
      <c r="JM11" s="83">
        <v>0.02</v>
      </c>
      <c r="JN11" s="57">
        <v>0.02</v>
      </c>
      <c r="JO11" s="57">
        <v>0.02</v>
      </c>
      <c r="JP11" s="57">
        <v>0.02</v>
      </c>
      <c r="JQ11" s="57">
        <v>0.02</v>
      </c>
      <c r="JR11" s="57">
        <v>0.02</v>
      </c>
      <c r="JS11" s="57">
        <v>0.02</v>
      </c>
      <c r="JT11" s="57">
        <v>0.02</v>
      </c>
      <c r="JU11" s="57">
        <v>0.02</v>
      </c>
      <c r="JV11" s="57">
        <v>0.02</v>
      </c>
      <c r="JW11" s="57">
        <v>0.02</v>
      </c>
      <c r="JX11" s="57">
        <v>0.02</v>
      </c>
      <c r="JY11" s="57">
        <v>0.02</v>
      </c>
      <c r="JZ11" s="57">
        <v>0.02</v>
      </c>
      <c r="KA11" s="57">
        <v>0.02</v>
      </c>
      <c r="KB11" s="57">
        <v>0.02</v>
      </c>
      <c r="KC11" s="57">
        <v>0.02</v>
      </c>
      <c r="KD11" s="57">
        <v>0.02</v>
      </c>
      <c r="KE11" s="57">
        <v>0.02</v>
      </c>
      <c r="KF11" s="57">
        <v>0.02</v>
      </c>
      <c r="KG11" s="57">
        <v>0.02</v>
      </c>
      <c r="KH11" s="57">
        <v>0.02</v>
      </c>
      <c r="KI11" s="57">
        <v>0.02</v>
      </c>
      <c r="KJ11" s="57">
        <v>0.02</v>
      </c>
      <c r="KK11" s="57">
        <v>0.02</v>
      </c>
      <c r="KL11" s="57">
        <v>0.02</v>
      </c>
      <c r="KM11" s="57">
        <v>0.02</v>
      </c>
      <c r="KN11" s="57">
        <v>0.02</v>
      </c>
      <c r="KO11" s="57">
        <v>0.02</v>
      </c>
      <c r="KP11" s="57">
        <v>0.02</v>
      </c>
      <c r="KQ11" s="57">
        <v>0.02</v>
      </c>
      <c r="KR11" s="57">
        <v>0.02</v>
      </c>
      <c r="KS11" s="57">
        <v>0.02</v>
      </c>
      <c r="KT11" s="83">
        <v>0.02</v>
      </c>
      <c r="KU11" s="83">
        <v>0.02</v>
      </c>
      <c r="KV11" s="83">
        <v>0.02</v>
      </c>
      <c r="KW11" s="83">
        <v>0.02</v>
      </c>
      <c r="KX11" s="83">
        <v>0.02</v>
      </c>
      <c r="KY11" s="83">
        <v>0.02</v>
      </c>
      <c r="KZ11" s="83">
        <v>0.02</v>
      </c>
      <c r="LA11" s="83">
        <v>0.02</v>
      </c>
      <c r="LB11" s="83">
        <v>0.02</v>
      </c>
      <c r="LC11" s="83">
        <v>0.02</v>
      </c>
      <c r="LD11" s="83">
        <v>0.02</v>
      </c>
      <c r="LE11" s="83">
        <v>0.02</v>
      </c>
      <c r="LF11" s="83">
        <v>0.02</v>
      </c>
      <c r="LG11" s="83">
        <v>0.02</v>
      </c>
      <c r="LH11" s="83">
        <v>0.02</v>
      </c>
      <c r="LI11" s="83">
        <v>0.02</v>
      </c>
      <c r="LJ11" s="83">
        <v>0.02</v>
      </c>
      <c r="LK11" s="83">
        <v>0.02</v>
      </c>
      <c r="LL11" s="83">
        <v>0.02</v>
      </c>
      <c r="LM11" s="83">
        <v>0.02</v>
      </c>
      <c r="LN11" s="473">
        <f t="shared" si="1"/>
        <v>0</v>
      </c>
    </row>
    <row r="12" spans="1:326" ht="14.7" customHeight="1">
      <c r="A12" s="1164"/>
      <c r="B12" s="42"/>
      <c r="C12" s="42"/>
      <c r="D12" s="42"/>
      <c r="E12" s="42"/>
      <c r="F12" s="42"/>
      <c r="G12" s="42"/>
      <c r="H12" s="42"/>
      <c r="I12" s="42"/>
      <c r="J12" s="42"/>
      <c r="K12" s="42"/>
      <c r="L12" s="42"/>
      <c r="M12" s="42"/>
      <c r="N12" s="42"/>
      <c r="O12" s="42"/>
      <c r="P12" s="627" t="s">
        <v>66</v>
      </c>
      <c r="Q12" s="48">
        <v>1.2500000000000001E-2</v>
      </c>
      <c r="R12" s="48">
        <v>1.2500000000000001E-2</v>
      </c>
      <c r="S12" s="48">
        <v>1.2500000000000001E-2</v>
      </c>
      <c r="T12" s="48">
        <v>1.2500000000000001E-2</v>
      </c>
      <c r="U12" s="47">
        <v>1.2500000000000001E-2</v>
      </c>
      <c r="V12" s="47">
        <v>1.2500000000000001E-2</v>
      </c>
      <c r="W12" s="47">
        <v>1.2500000000000001E-2</v>
      </c>
      <c r="X12" s="47">
        <v>1.2500000000000001E-2</v>
      </c>
      <c r="Y12" s="47">
        <v>1.2500000000000001E-2</v>
      </c>
      <c r="Z12" s="47">
        <v>1.2500000000000001E-2</v>
      </c>
      <c r="AA12" s="47">
        <v>1.2500000000000001E-2</v>
      </c>
      <c r="AB12" s="47">
        <v>1.2500000000000001E-2</v>
      </c>
      <c r="AC12" s="47">
        <v>1.2500000000000001E-2</v>
      </c>
      <c r="AD12" s="47">
        <v>1.2500000000000001E-2</v>
      </c>
      <c r="AE12" s="47">
        <v>1.2500000000000001E-2</v>
      </c>
      <c r="AF12" s="47">
        <v>1.2500000000000001E-2</v>
      </c>
      <c r="AG12" s="47">
        <v>1.2500000000000001E-2</v>
      </c>
      <c r="AH12" s="47">
        <v>1.2500000000000001E-2</v>
      </c>
      <c r="AI12" s="47">
        <v>1.2500000000000001E-2</v>
      </c>
      <c r="AJ12" s="47">
        <v>1.2500000000000001E-2</v>
      </c>
      <c r="AK12" s="47">
        <v>1.2500000000000001E-2</v>
      </c>
      <c r="AL12" s="47">
        <v>1.2500000000000001E-2</v>
      </c>
      <c r="AM12" s="47">
        <v>1.2500000000000001E-2</v>
      </c>
      <c r="AN12" s="47">
        <v>1.2500000000000001E-2</v>
      </c>
      <c r="AO12" s="47">
        <v>1.2500000000000001E-2</v>
      </c>
      <c r="AP12" s="47">
        <v>1.2500000000000001E-2</v>
      </c>
      <c r="AQ12" s="47">
        <v>1.2500000000000001E-2</v>
      </c>
      <c r="AR12" s="47">
        <v>1.2500000000000001E-2</v>
      </c>
      <c r="AS12" s="47">
        <v>1.2500000000000001E-2</v>
      </c>
      <c r="AT12" s="47">
        <v>1.2500000000000001E-2</v>
      </c>
      <c r="AU12" s="47">
        <v>1.2500000000000001E-2</v>
      </c>
      <c r="AV12" s="47">
        <v>1.2500000000000001E-2</v>
      </c>
      <c r="AW12" s="47">
        <v>1.2500000000000001E-2</v>
      </c>
      <c r="AX12" s="47">
        <v>1.2500000000000001E-2</v>
      </c>
      <c r="AY12" s="44">
        <v>1.2500000000000001E-2</v>
      </c>
      <c r="AZ12" s="47">
        <v>1.2500000000000001E-2</v>
      </c>
      <c r="BA12" s="47">
        <v>1.2500000000000001E-2</v>
      </c>
      <c r="BB12" s="47">
        <v>1.2500000000000001E-2</v>
      </c>
      <c r="BC12" s="47">
        <v>1.2500000000000001E-2</v>
      </c>
      <c r="BD12" s="47">
        <v>1.2500000000000001E-2</v>
      </c>
      <c r="BE12" s="47">
        <v>1.2500000000000001E-2</v>
      </c>
      <c r="BF12" s="47">
        <v>1.2500000000000001E-2</v>
      </c>
      <c r="BG12" s="47">
        <v>1.2500000000000001E-2</v>
      </c>
      <c r="BH12" s="47">
        <v>1.2500000000000001E-2</v>
      </c>
      <c r="BI12" s="44">
        <v>1.2500000000000001E-2</v>
      </c>
      <c r="BJ12" s="44">
        <v>1.2500000000000001E-2</v>
      </c>
      <c r="BK12" s="44">
        <v>1.7000000000000001E-2</v>
      </c>
      <c r="BL12" s="44">
        <v>1.7000000000000001E-2</v>
      </c>
      <c r="BM12" s="44">
        <v>1.7000000000000001E-2</v>
      </c>
      <c r="BN12" s="44">
        <v>1.7000000000000001E-2</v>
      </c>
      <c r="BO12" s="44">
        <v>1.7000000000000001E-2</v>
      </c>
      <c r="BP12" s="44">
        <v>1.7000000000000001E-2</v>
      </c>
      <c r="BQ12" s="44">
        <v>1.7000000000000001E-2</v>
      </c>
      <c r="BR12" s="44">
        <v>1.7000000000000001E-2</v>
      </c>
      <c r="BS12" s="44">
        <v>0.02</v>
      </c>
      <c r="BT12" s="44">
        <v>0.02</v>
      </c>
      <c r="BU12" s="44">
        <v>0.02</v>
      </c>
      <c r="BV12" s="44">
        <v>0.02</v>
      </c>
      <c r="BW12" s="44">
        <v>2.1000000000000001E-2</v>
      </c>
      <c r="BX12" s="44">
        <v>2.1000000000000001E-2</v>
      </c>
      <c r="BY12" s="44">
        <v>2.1000000000000001E-2</v>
      </c>
      <c r="BZ12" s="44">
        <v>2.1000000000000001E-2</v>
      </c>
      <c r="CA12" s="44">
        <v>2.1000000000000001E-2</v>
      </c>
      <c r="CB12" s="44">
        <v>2.1000000000000001E-2</v>
      </c>
      <c r="CC12" s="44">
        <v>0.02</v>
      </c>
      <c r="CD12" s="44">
        <v>0.03</v>
      </c>
      <c r="CE12" s="44">
        <v>0.03</v>
      </c>
      <c r="CF12" s="44">
        <v>1.2999999999999999E-2</v>
      </c>
      <c r="CG12" s="44">
        <v>1.2999999999999999E-2</v>
      </c>
      <c r="CH12" s="44">
        <v>1.2999999999999999E-2</v>
      </c>
      <c r="CI12" s="44">
        <v>1.2999999999999999E-2</v>
      </c>
      <c r="CJ12" s="44">
        <v>1.2999999999999999E-2</v>
      </c>
      <c r="CK12" s="44">
        <v>1.2999999999999999E-2</v>
      </c>
      <c r="CL12" s="44">
        <v>1.2999999999999999E-2</v>
      </c>
      <c r="CM12" s="44">
        <v>1.2999999999999999E-2</v>
      </c>
      <c r="CN12" s="44">
        <v>1.2999999999999999E-2</v>
      </c>
      <c r="CO12" s="44">
        <v>1.2999999999999999E-2</v>
      </c>
      <c r="CP12" s="44">
        <v>1.2999999999999999E-2</v>
      </c>
      <c r="CQ12" s="44">
        <v>1.2999999999999999E-2</v>
      </c>
      <c r="CR12" s="44">
        <v>1.4999999999999999E-2</v>
      </c>
      <c r="CS12" s="44">
        <v>1.4999999999999999E-2</v>
      </c>
      <c r="CT12" s="44">
        <v>1.0500000000000001E-2</v>
      </c>
      <c r="CU12" s="44">
        <v>1.7999999999999999E-2</v>
      </c>
      <c r="CV12" s="44">
        <v>1.7999999999999999E-2</v>
      </c>
      <c r="CW12" s="44">
        <v>1.7999999999999999E-2</v>
      </c>
      <c r="CX12" s="44">
        <v>1.7999999999999999E-2</v>
      </c>
      <c r="CY12" s="44">
        <v>1.7999999999999999E-2</v>
      </c>
      <c r="CZ12" s="44">
        <v>1.7999999999999999E-2</v>
      </c>
      <c r="DA12" s="44">
        <v>1.7999999999999999E-2</v>
      </c>
      <c r="DB12" s="44">
        <v>1.7999999999999999E-2</v>
      </c>
      <c r="DC12" s="44">
        <v>1.7999999999999999E-2</v>
      </c>
      <c r="DD12" s="44">
        <v>1.7999999999999999E-2</v>
      </c>
      <c r="DE12" s="44">
        <v>1.7999999999999999E-2</v>
      </c>
      <c r="DF12" s="44">
        <v>1.7999999999999999E-2</v>
      </c>
      <c r="DG12" s="44">
        <v>1.7999999999999999E-2</v>
      </c>
      <c r="DH12" s="44">
        <v>1.7999999999999999E-2</v>
      </c>
      <c r="DI12" s="44">
        <v>1.7999999999999999E-2</v>
      </c>
      <c r="DJ12" s="44">
        <v>1.7999999999999999E-2</v>
      </c>
      <c r="DK12" s="44">
        <v>1.7999999999999999E-2</v>
      </c>
      <c r="DL12" s="44">
        <v>1.7999999999999999E-2</v>
      </c>
      <c r="DM12" s="44">
        <v>1.7999999999999999E-2</v>
      </c>
      <c r="DN12" s="44">
        <v>1.7999999999999999E-2</v>
      </c>
      <c r="DO12" s="44">
        <v>1.7999999999999999E-2</v>
      </c>
      <c r="DP12" s="44">
        <v>1.7999999999999999E-2</v>
      </c>
      <c r="DQ12" s="45">
        <v>1.7999999999999999E-2</v>
      </c>
      <c r="DR12" s="45">
        <v>1.7999999999999999E-2</v>
      </c>
      <c r="DS12" s="45">
        <v>1.7999999999999999E-2</v>
      </c>
      <c r="DT12" s="44">
        <v>1.7500000000000002E-2</v>
      </c>
      <c r="DU12" s="44"/>
      <c r="DV12" s="44"/>
      <c r="DW12" s="44"/>
      <c r="DX12" s="44"/>
      <c r="DY12" s="44"/>
      <c r="DZ12" s="44"/>
      <c r="EA12" s="44"/>
      <c r="EB12" s="44"/>
      <c r="EC12" s="44"/>
      <c r="ED12" s="44"/>
      <c r="EE12" s="44"/>
      <c r="EF12" s="44"/>
      <c r="EG12" s="44"/>
      <c r="EH12" s="44"/>
      <c r="EI12" s="44"/>
      <c r="EJ12" s="44"/>
      <c r="EK12" s="44"/>
      <c r="EL12" s="44"/>
      <c r="EM12" s="44"/>
      <c r="EN12" s="44"/>
      <c r="EO12" s="44"/>
      <c r="EP12" s="44"/>
      <c r="EQ12" s="44"/>
      <c r="ER12" s="44"/>
      <c r="ES12" s="44"/>
      <c r="ET12" s="44"/>
      <c r="EU12" s="44"/>
      <c r="EV12" s="44"/>
      <c r="EW12" s="44"/>
      <c r="EX12" s="44"/>
      <c r="EY12" s="44"/>
      <c r="EZ12" s="44"/>
      <c r="FA12" s="44"/>
      <c r="FB12" s="44"/>
      <c r="FC12" s="44"/>
      <c r="FD12" s="44"/>
      <c r="FE12" s="44"/>
      <c r="FF12" s="44"/>
      <c r="FG12" s="44"/>
      <c r="FH12" s="44"/>
      <c r="FI12" s="44"/>
      <c r="FJ12" s="44"/>
      <c r="FK12" s="44"/>
      <c r="FL12" s="44"/>
      <c r="FM12" s="44"/>
      <c r="FN12" s="44"/>
      <c r="FO12" s="44"/>
      <c r="FP12" s="44"/>
      <c r="FQ12" s="44"/>
      <c r="FR12" s="44"/>
      <c r="FS12" s="44"/>
      <c r="FT12" s="44"/>
      <c r="FU12" s="44"/>
      <c r="FV12" s="44"/>
      <c r="FW12" s="44"/>
      <c r="FX12" s="44"/>
      <c r="FY12" s="44"/>
      <c r="FZ12" s="44"/>
      <c r="GA12" s="44"/>
      <c r="GB12" s="44"/>
      <c r="GC12" s="44"/>
      <c r="GD12" s="44"/>
      <c r="GE12" s="44"/>
      <c r="GF12" s="44"/>
      <c r="GG12" s="44"/>
      <c r="GH12" s="44"/>
      <c r="GI12" s="44"/>
      <c r="GJ12" s="44"/>
      <c r="GK12" s="44"/>
      <c r="GL12" s="44"/>
      <c r="GM12" s="44"/>
      <c r="GN12" s="44"/>
      <c r="GO12" s="44"/>
      <c r="GP12" s="44"/>
      <c r="GQ12" s="44"/>
      <c r="GR12" s="44"/>
      <c r="GS12" s="43"/>
      <c r="GT12" s="43"/>
      <c r="GU12" s="43"/>
      <c r="GV12" s="43"/>
      <c r="GW12" s="42"/>
      <c r="GX12" s="42"/>
      <c r="GY12" s="42"/>
      <c r="GZ12" s="42"/>
      <c r="HA12" s="42"/>
      <c r="HB12" s="42"/>
      <c r="HC12" s="42"/>
      <c r="HD12" s="42"/>
      <c r="HE12" s="42"/>
      <c r="HF12" s="42"/>
      <c r="HG12" s="42"/>
      <c r="HH12" s="42"/>
      <c r="HI12" s="42"/>
      <c r="HJ12" s="42"/>
      <c r="HK12" s="42"/>
      <c r="HL12" s="41">
        <f t="shared" si="0"/>
        <v>-4.5000000000000005E-3</v>
      </c>
      <c r="HM12" s="19"/>
      <c r="HN12" s="19"/>
      <c r="HO12" s="19"/>
      <c r="HP12" s="20"/>
      <c r="HQ12" s="19"/>
      <c r="HR12" s="16"/>
      <c r="HS12" s="16"/>
      <c r="HT12" s="18"/>
      <c r="HU12" s="16"/>
      <c r="HV12" s="16"/>
      <c r="HW12" s="16"/>
      <c r="HX12" s="15"/>
      <c r="HY12" s="15"/>
      <c r="HZ12" s="15"/>
      <c r="IA12" s="15"/>
      <c r="IB12" s="15"/>
      <c r="IC12" s="16"/>
      <c r="ID12" s="16"/>
      <c r="IE12" s="15"/>
      <c r="IF12" s="15"/>
      <c r="IG12" s="15"/>
      <c r="IH12" s="15"/>
      <c r="II12" s="15"/>
      <c r="IJ12" s="15"/>
      <c r="IK12" s="15"/>
      <c r="IL12" s="15"/>
      <c r="IM12" s="15"/>
      <c r="IN12" s="15"/>
      <c r="IO12" s="15"/>
      <c r="IP12" s="17"/>
      <c r="IQ12" s="15"/>
      <c r="IR12" s="15"/>
      <c r="IS12" s="15"/>
      <c r="IT12" s="15"/>
      <c r="IU12" s="15"/>
      <c r="IV12" s="15"/>
      <c r="IW12" s="15"/>
      <c r="IX12" s="15"/>
      <c r="IY12" s="15"/>
      <c r="IZ12" s="15"/>
      <c r="JA12" s="15"/>
      <c r="JB12" s="15"/>
      <c r="JC12" s="15"/>
      <c r="JD12" s="15"/>
      <c r="JE12" s="15"/>
      <c r="JF12" s="15"/>
      <c r="JG12" s="15"/>
      <c r="JH12" s="15"/>
      <c r="JI12" s="15"/>
      <c r="JJ12" s="15"/>
      <c r="JK12" s="15"/>
      <c r="JL12" s="15"/>
      <c r="JM12" s="15"/>
      <c r="JN12" s="16"/>
      <c r="JO12" s="16"/>
      <c r="JP12" s="16"/>
      <c r="JQ12" s="16"/>
      <c r="JR12" s="16"/>
      <c r="JS12" s="16"/>
      <c r="JT12" s="16"/>
      <c r="JU12" s="16"/>
      <c r="JV12" s="16"/>
      <c r="JW12" s="16"/>
      <c r="JX12" s="16"/>
      <c r="JY12" s="16"/>
      <c r="JZ12" s="16"/>
      <c r="KA12" s="16"/>
      <c r="KB12" s="16"/>
      <c r="KC12" s="16"/>
      <c r="KD12" s="16"/>
      <c r="KE12" s="16"/>
      <c r="KF12" s="16"/>
      <c r="KG12" s="16"/>
      <c r="KH12" s="16"/>
      <c r="KI12" s="16"/>
      <c r="KJ12" s="16"/>
      <c r="KK12" s="16"/>
      <c r="KL12" s="16"/>
      <c r="KM12" s="16"/>
      <c r="KN12" s="16"/>
      <c r="KO12" s="16"/>
      <c r="KP12" s="16"/>
      <c r="KQ12" s="16"/>
      <c r="KR12" s="16"/>
      <c r="KS12" s="16"/>
      <c r="KT12" s="15"/>
      <c r="KU12" s="15"/>
      <c r="KV12" s="15"/>
      <c r="KW12" s="15"/>
      <c r="KX12" s="15"/>
      <c r="KY12" s="15"/>
      <c r="KZ12" s="15"/>
      <c r="LA12" s="15"/>
      <c r="LB12" s="15"/>
      <c r="LC12" s="15"/>
      <c r="LD12" s="15"/>
      <c r="LE12" s="15"/>
      <c r="LF12" s="15"/>
      <c r="LG12" s="15"/>
      <c r="LH12" s="15"/>
      <c r="LI12" s="15"/>
      <c r="LJ12" s="15"/>
      <c r="LK12" s="15"/>
      <c r="LL12" s="15"/>
      <c r="LM12" s="15"/>
      <c r="LN12" s="473">
        <f t="shared" si="1"/>
        <v>0</v>
      </c>
    </row>
    <row r="13" spans="1:326" ht="14.7" customHeight="1">
      <c r="A13" s="40" t="s">
        <v>12</v>
      </c>
      <c r="B13" s="27"/>
      <c r="C13" s="27"/>
      <c r="D13" s="27"/>
      <c r="E13" s="27"/>
      <c r="F13" s="27"/>
      <c r="G13" s="27"/>
      <c r="H13" s="27"/>
      <c r="I13" s="27"/>
      <c r="J13" s="27"/>
      <c r="K13" s="27"/>
      <c r="L13" s="27"/>
      <c r="M13" s="27"/>
      <c r="N13" s="27"/>
      <c r="O13" s="27"/>
      <c r="P13" s="38" t="s">
        <v>826</v>
      </c>
      <c r="Q13" s="38">
        <v>6.0000000000000001E-3</v>
      </c>
      <c r="R13" s="38">
        <v>6.0000000000000001E-3</v>
      </c>
      <c r="S13" s="38">
        <v>6.0000000000000001E-3</v>
      </c>
      <c r="T13" s="38">
        <v>6.0000000000000001E-3</v>
      </c>
      <c r="U13" s="38">
        <v>6.0000000000000001E-3</v>
      </c>
      <c r="V13" s="38">
        <v>6.0000000000000001E-3</v>
      </c>
      <c r="W13" s="38">
        <v>6.0000000000000001E-3</v>
      </c>
      <c r="X13" s="38">
        <v>6.0000000000000001E-3</v>
      </c>
      <c r="Y13" s="38">
        <v>6.0000000000000001E-3</v>
      </c>
      <c r="Z13" s="38">
        <v>6.0000000000000001E-3</v>
      </c>
      <c r="AA13" s="39">
        <v>6.0000000000000001E-3</v>
      </c>
      <c r="AB13" s="39">
        <v>8.9999999999999993E-3</v>
      </c>
      <c r="AC13" s="38">
        <v>6.0000000000000001E-3</v>
      </c>
      <c r="AD13" s="38">
        <v>6.0000000000000001E-3</v>
      </c>
      <c r="AE13" s="38">
        <v>6.0000000000000001E-3</v>
      </c>
      <c r="AF13" s="38">
        <v>6.0000000000000001E-3</v>
      </c>
      <c r="AG13" s="38">
        <v>6.0000000000000001E-3</v>
      </c>
      <c r="AH13" s="38">
        <v>6.0000000000000001E-3</v>
      </c>
      <c r="AI13" s="38">
        <v>6.0000000000000001E-3</v>
      </c>
      <c r="AJ13" s="38">
        <v>6.0000000000000001E-3</v>
      </c>
      <c r="AK13" s="38">
        <v>6.0000000000000001E-3</v>
      </c>
      <c r="AL13" s="38">
        <v>6.0000000000000001E-3</v>
      </c>
      <c r="AM13" s="38">
        <v>6.0000000000000001E-3</v>
      </c>
      <c r="AN13" s="39">
        <v>6.0000000000000001E-3</v>
      </c>
      <c r="AO13" s="38">
        <v>6.4999999999999997E-3</v>
      </c>
      <c r="AP13" s="38">
        <v>6.4999999999999997E-3</v>
      </c>
      <c r="AQ13" s="38">
        <v>6.4999999999999997E-3</v>
      </c>
      <c r="AR13" s="38">
        <v>6.4999999999999997E-3</v>
      </c>
      <c r="AS13" s="38">
        <v>6.4999999999999997E-3</v>
      </c>
      <c r="AT13" s="38">
        <v>6.4999999999999997E-3</v>
      </c>
      <c r="AU13" s="38">
        <v>6.4999999999999997E-3</v>
      </c>
      <c r="AV13" s="38">
        <v>6.4999999999999997E-3</v>
      </c>
      <c r="AW13" s="38">
        <v>6.4999999999999997E-3</v>
      </c>
      <c r="AX13" s="38">
        <v>6.4999999999999997E-3</v>
      </c>
      <c r="AY13" s="27">
        <v>6.4999999999999997E-3</v>
      </c>
      <c r="AZ13" s="38">
        <v>6.4999999999999997E-3</v>
      </c>
      <c r="BA13" s="38">
        <v>6.4999999999999997E-3</v>
      </c>
      <c r="BB13" s="38">
        <v>6.4999999999999997E-3</v>
      </c>
      <c r="BC13" s="38">
        <v>6.4999999999999997E-3</v>
      </c>
      <c r="BD13" s="39">
        <v>6.4999999999999997E-3</v>
      </c>
      <c r="BE13" s="38">
        <v>7.4999999999999997E-3</v>
      </c>
      <c r="BF13" s="38">
        <v>7.4999999999999997E-3</v>
      </c>
      <c r="BG13" s="38">
        <v>7.4999999999999997E-3</v>
      </c>
      <c r="BH13" s="38">
        <v>7.4999999999999997E-3</v>
      </c>
      <c r="BI13" s="27">
        <v>7.4999999999999997E-3</v>
      </c>
      <c r="BJ13" s="27"/>
      <c r="BK13" s="24"/>
      <c r="BL13" s="24"/>
      <c r="BM13" s="24"/>
      <c r="BN13" s="24"/>
      <c r="BO13" s="24"/>
      <c r="BP13" s="24"/>
      <c r="BQ13" s="24"/>
      <c r="BR13" s="24"/>
      <c r="BS13" s="24"/>
      <c r="BT13" s="24"/>
      <c r="BU13" s="24"/>
      <c r="BV13" s="24"/>
      <c r="BW13" s="24"/>
      <c r="BX13" s="24"/>
      <c r="BY13" s="24"/>
      <c r="BZ13" s="24"/>
      <c r="CA13" s="24"/>
      <c r="CB13" s="24"/>
      <c r="CC13" s="24"/>
      <c r="CD13" s="24"/>
      <c r="CE13" s="24"/>
      <c r="CF13" s="24"/>
      <c r="CG13" s="24"/>
      <c r="CH13" s="24"/>
      <c r="CI13" s="24"/>
      <c r="CJ13" s="24"/>
      <c r="CK13" s="24"/>
      <c r="CL13" s="24"/>
      <c r="CM13" s="24"/>
      <c r="CN13" s="24"/>
      <c r="CO13" s="24"/>
      <c r="CP13" s="24"/>
      <c r="CQ13" s="24"/>
      <c r="CR13" s="24"/>
      <c r="CS13" s="24"/>
      <c r="CT13" s="24"/>
      <c r="CU13" s="24"/>
      <c r="CV13" s="24"/>
      <c r="CW13" s="24"/>
      <c r="CX13" s="24"/>
      <c r="CY13" s="24"/>
      <c r="CZ13" s="24"/>
      <c r="DA13" s="24"/>
      <c r="DB13" s="24"/>
      <c r="DC13" s="24"/>
      <c r="DD13" s="24"/>
      <c r="DE13" s="24"/>
      <c r="DF13" s="24"/>
      <c r="DG13" s="24"/>
      <c r="DH13" s="24"/>
      <c r="DI13" s="24"/>
      <c r="DJ13" s="24"/>
      <c r="DK13" s="24"/>
      <c r="DL13" s="24"/>
      <c r="DM13" s="24"/>
      <c r="DN13" s="24"/>
      <c r="DO13" s="24"/>
      <c r="DP13" s="24"/>
      <c r="DQ13" s="25"/>
      <c r="DR13" s="25"/>
      <c r="DS13" s="25"/>
      <c r="DT13" s="24"/>
      <c r="DU13" s="24"/>
      <c r="DV13" s="24"/>
      <c r="DW13" s="24"/>
      <c r="DX13" s="24"/>
      <c r="DY13" s="24"/>
      <c r="DZ13" s="24"/>
      <c r="EA13" s="24"/>
      <c r="EB13" s="24"/>
      <c r="EC13" s="24"/>
      <c r="ED13" s="24"/>
      <c r="EE13" s="24"/>
      <c r="EF13" s="24"/>
      <c r="EG13" s="24"/>
      <c r="EH13" s="24"/>
      <c r="EI13" s="24"/>
      <c r="EJ13" s="24"/>
      <c r="EK13" s="24"/>
      <c r="EL13" s="24"/>
      <c r="EM13" s="24"/>
      <c r="EN13" s="24"/>
      <c r="EO13" s="24"/>
      <c r="EP13" s="24"/>
      <c r="EQ13" s="24"/>
      <c r="ER13" s="24"/>
      <c r="ES13" s="24"/>
      <c r="ET13" s="24"/>
      <c r="EU13" s="24"/>
      <c r="EV13" s="24"/>
      <c r="EW13" s="24"/>
      <c r="EX13" s="24"/>
      <c r="EY13" s="24"/>
      <c r="EZ13" s="24"/>
      <c r="FA13" s="24"/>
      <c r="FB13" s="24"/>
      <c r="FC13" s="24"/>
      <c r="FD13" s="24"/>
      <c r="FE13" s="24"/>
      <c r="FF13" s="24"/>
      <c r="FG13" s="24"/>
      <c r="FH13" s="24"/>
      <c r="FI13" s="24"/>
      <c r="FJ13" s="24"/>
      <c r="FK13" s="24"/>
      <c r="FL13" s="24"/>
      <c r="FM13" s="24"/>
      <c r="FN13" s="24"/>
      <c r="FO13" s="24"/>
      <c r="FP13" s="24"/>
      <c r="FQ13" s="24"/>
      <c r="FR13" s="24"/>
      <c r="FS13" s="24"/>
      <c r="FT13" s="24"/>
      <c r="FU13" s="24"/>
      <c r="FV13" s="24"/>
      <c r="FW13" s="24"/>
      <c r="FX13" s="24"/>
      <c r="FY13" s="24"/>
      <c r="FZ13" s="24"/>
      <c r="GA13" s="24"/>
      <c r="GB13" s="24"/>
      <c r="GC13" s="24"/>
      <c r="GD13" s="24"/>
      <c r="GE13" s="24"/>
      <c r="GF13" s="24"/>
      <c r="GG13" s="24"/>
      <c r="GH13" s="24"/>
      <c r="GI13" s="24"/>
      <c r="GJ13" s="24"/>
      <c r="GK13" s="24"/>
      <c r="GL13" s="24"/>
      <c r="GM13" s="24"/>
      <c r="GN13" s="24"/>
      <c r="GO13" s="24"/>
      <c r="GP13" s="24"/>
      <c r="GQ13" s="24"/>
      <c r="GR13" s="24"/>
      <c r="GS13" s="23"/>
      <c r="GT13" s="23"/>
      <c r="GU13" s="23"/>
      <c r="GV13" s="23"/>
      <c r="GW13" s="22"/>
      <c r="GX13" s="22"/>
      <c r="GY13" s="22"/>
      <c r="GZ13" s="22"/>
      <c r="HA13" s="22"/>
      <c r="HB13" s="22"/>
      <c r="HC13" s="22"/>
      <c r="HD13" s="22"/>
      <c r="HE13" s="22"/>
      <c r="HF13" s="22"/>
      <c r="HG13" s="22"/>
      <c r="HH13" s="22"/>
      <c r="HI13" s="22"/>
      <c r="HJ13" s="22"/>
      <c r="HK13" s="22"/>
      <c r="HL13" s="21"/>
      <c r="HM13" s="19"/>
      <c r="HN13" s="19"/>
      <c r="HO13" s="19"/>
      <c r="HP13" s="20"/>
      <c r="HQ13" s="19"/>
      <c r="HR13" s="16"/>
      <c r="HS13" s="16"/>
      <c r="HT13" s="18"/>
      <c r="HU13" s="16"/>
      <c r="HV13" s="16"/>
      <c r="HW13" s="16"/>
      <c r="HX13" s="15"/>
      <c r="HY13" s="15"/>
      <c r="HZ13" s="15"/>
      <c r="IA13" s="15"/>
      <c r="IB13" s="15"/>
      <c r="IC13" s="16"/>
      <c r="ID13" s="16"/>
      <c r="IE13" s="15"/>
      <c r="IF13" s="15"/>
      <c r="IG13" s="15"/>
      <c r="IH13" s="15"/>
      <c r="II13" s="15"/>
      <c r="IJ13" s="15"/>
      <c r="IK13" s="15"/>
      <c r="IL13" s="15"/>
      <c r="IM13" s="15"/>
      <c r="IN13" s="15"/>
      <c r="IO13" s="15"/>
      <c r="IP13" s="17"/>
      <c r="IQ13" s="15"/>
      <c r="IR13" s="15"/>
      <c r="IS13" s="15"/>
      <c r="IT13" s="15"/>
      <c r="IU13" s="15"/>
      <c r="IV13" s="15"/>
      <c r="IW13" s="15"/>
      <c r="IX13" s="15"/>
      <c r="IY13" s="15"/>
      <c r="IZ13" s="15"/>
      <c r="JA13" s="15"/>
      <c r="JB13" s="15"/>
      <c r="JC13" s="15"/>
      <c r="JD13" s="15"/>
      <c r="JE13" s="15"/>
      <c r="JF13" s="15"/>
      <c r="JG13" s="15"/>
      <c r="JH13" s="15"/>
      <c r="JI13" s="15"/>
      <c r="JJ13" s="15"/>
      <c r="JK13" s="15"/>
      <c r="JL13" s="15"/>
      <c r="JM13" s="15"/>
      <c r="JN13" s="16"/>
      <c r="JO13" s="16"/>
      <c r="JP13" s="16"/>
      <c r="JQ13" s="16"/>
      <c r="JR13" s="16"/>
      <c r="JS13" s="16"/>
      <c r="JT13" s="16"/>
      <c r="JU13" s="16"/>
      <c r="JV13" s="16"/>
      <c r="JW13" s="16"/>
      <c r="JX13" s="16"/>
      <c r="JY13" s="16"/>
      <c r="JZ13" s="16"/>
      <c r="KA13" s="16"/>
      <c r="KB13" s="16"/>
      <c r="KC13" s="16"/>
      <c r="KD13" s="16"/>
      <c r="KE13" s="16"/>
      <c r="KF13" s="16"/>
      <c r="KG13" s="16"/>
      <c r="KH13" s="16"/>
      <c r="KI13" s="16"/>
      <c r="KJ13" s="16"/>
      <c r="KK13" s="16"/>
      <c r="KL13" s="16"/>
      <c r="KM13" s="16"/>
      <c r="KN13" s="16"/>
      <c r="KO13" s="16"/>
      <c r="KP13" s="16"/>
      <c r="KQ13" s="16"/>
      <c r="KR13" s="16"/>
      <c r="KS13" s="16"/>
      <c r="KT13" s="15"/>
      <c r="KU13" s="15"/>
      <c r="KV13" s="15"/>
      <c r="KW13" s="15"/>
      <c r="KX13" s="15"/>
      <c r="KY13" s="15"/>
      <c r="KZ13" s="15"/>
      <c r="LA13" s="15"/>
      <c r="LB13" s="15"/>
      <c r="LC13" s="15"/>
      <c r="LD13" s="15"/>
      <c r="LE13" s="15"/>
      <c r="LF13" s="15"/>
      <c r="LG13" s="15"/>
      <c r="LH13" s="15"/>
      <c r="LI13" s="15"/>
      <c r="LJ13" s="15"/>
      <c r="LK13" s="15"/>
      <c r="LL13" s="15"/>
      <c r="LM13" s="15"/>
      <c r="LN13" s="473">
        <f t="shared" si="1"/>
        <v>0</v>
      </c>
    </row>
    <row r="14" spans="1:326" ht="14.7" customHeight="1">
      <c r="A14" s="696" t="s">
        <v>29</v>
      </c>
      <c r="B14" s="37"/>
      <c r="C14" s="37"/>
      <c r="D14" s="37"/>
      <c r="E14" s="37"/>
      <c r="F14" s="37"/>
      <c r="G14" s="37"/>
      <c r="H14" s="37"/>
      <c r="I14" s="37"/>
      <c r="J14" s="37"/>
      <c r="K14" s="37"/>
      <c r="L14" s="37"/>
      <c r="M14" s="37"/>
      <c r="N14" s="37"/>
      <c r="O14" s="37"/>
      <c r="P14" s="738" t="s">
        <v>827</v>
      </c>
      <c r="Q14" s="590">
        <v>3.8070000000000001E-3</v>
      </c>
      <c r="R14" s="590">
        <v>3.8070000000000001E-3</v>
      </c>
      <c r="S14" s="590">
        <v>2.7859999999999998E-3</v>
      </c>
      <c r="T14" s="590">
        <v>1.9E-3</v>
      </c>
      <c r="U14" s="590">
        <v>1.926E-3</v>
      </c>
      <c r="V14" s="590">
        <v>5.4000000000000003E-3</v>
      </c>
      <c r="W14" s="590">
        <v>3.8999999999999998E-3</v>
      </c>
      <c r="X14" s="590">
        <v>6.8019999999999999E-3</v>
      </c>
      <c r="Y14" s="590">
        <v>7.3419999999999996E-3</v>
      </c>
      <c r="Z14" s="590">
        <v>7.1079999999999997E-3</v>
      </c>
      <c r="AA14" s="590">
        <v>6.0169999999999998E-3</v>
      </c>
      <c r="AB14" s="590">
        <v>3.4650000000000002E-3</v>
      </c>
      <c r="AC14" s="590">
        <v>4.4450000000000002E-3</v>
      </c>
      <c r="AD14" s="590">
        <v>6.2480000000000001E-3</v>
      </c>
      <c r="AE14" s="590">
        <v>4.9509999999999997E-3</v>
      </c>
      <c r="AF14" s="590">
        <v>6.672E-3</v>
      </c>
      <c r="AG14" s="590">
        <v>5.1929999999999997E-3</v>
      </c>
      <c r="AH14" s="590">
        <v>4.254E-3</v>
      </c>
      <c r="AI14" s="590">
        <v>4.718E-3</v>
      </c>
      <c r="AJ14" s="48">
        <v>4.3140000000000001E-3</v>
      </c>
      <c r="AK14" s="48">
        <v>5.6940000000000003E-3</v>
      </c>
      <c r="AL14" s="48">
        <v>3.9909999999999998E-3</v>
      </c>
      <c r="AM14" s="48">
        <v>3.9399999999999999E-3</v>
      </c>
      <c r="AN14" s="48">
        <v>4.2079999999999999E-3</v>
      </c>
      <c r="AO14" s="48">
        <v>3.5070000000000001E-3</v>
      </c>
      <c r="AP14" s="48">
        <v>4.5849999999999997E-3</v>
      </c>
      <c r="AQ14" s="48">
        <v>4.1739999999999998E-3</v>
      </c>
      <c r="AR14" s="48">
        <v>3.4970000000000001E-3</v>
      </c>
      <c r="AS14" s="48">
        <v>4.2929999999999999E-3</v>
      </c>
      <c r="AT14" s="460">
        <v>4.4489999999999998E-3</v>
      </c>
      <c r="AU14" s="35">
        <v>3.0569999999999998E-3</v>
      </c>
      <c r="AV14" s="34">
        <v>4.8089999999999999E-3</v>
      </c>
      <c r="AW14" s="34">
        <v>3.4090000000000001E-3</v>
      </c>
      <c r="AX14" s="34">
        <v>4.4609999999999997E-3</v>
      </c>
      <c r="AY14" s="34">
        <v>5.0549999999999996E-3</v>
      </c>
      <c r="AZ14" s="34">
        <v>4.3699999999999998E-3</v>
      </c>
      <c r="BA14" s="34">
        <v>4.2370000000000003E-3</v>
      </c>
      <c r="BB14" s="34">
        <v>5.2230000000000002E-3</v>
      </c>
      <c r="BC14" s="34">
        <v>4.0600000000000002E-3</v>
      </c>
      <c r="BD14" s="34">
        <v>3.872E-3</v>
      </c>
      <c r="BE14" s="34">
        <v>2.4499999999999999E-3</v>
      </c>
      <c r="BF14" s="34">
        <v>3.2539999999999999E-3</v>
      </c>
      <c r="BG14" s="35">
        <v>2.4629999999999999E-3</v>
      </c>
      <c r="BH14" s="34">
        <v>2.4629999999999999E-3</v>
      </c>
      <c r="BI14" s="34"/>
      <c r="BJ14" s="26"/>
      <c r="BK14" s="24"/>
      <c r="BL14" s="24"/>
      <c r="BM14" s="24"/>
      <c r="BN14" s="24"/>
      <c r="BO14" s="24"/>
      <c r="BP14" s="24"/>
      <c r="BQ14" s="24"/>
      <c r="BR14" s="24"/>
      <c r="BS14" s="24"/>
      <c r="BT14" s="24"/>
      <c r="BU14" s="24"/>
      <c r="BV14" s="24"/>
      <c r="BW14" s="24"/>
      <c r="BX14" s="24"/>
      <c r="BY14" s="24"/>
      <c r="BZ14" s="24"/>
      <c r="CA14" s="24"/>
      <c r="CB14" s="24"/>
      <c r="CC14" s="24"/>
      <c r="CD14" s="24"/>
      <c r="CE14" s="24"/>
      <c r="CF14" s="24"/>
      <c r="CG14" s="24"/>
      <c r="CH14" s="24"/>
      <c r="CI14" s="24"/>
      <c r="CJ14" s="24"/>
      <c r="CK14" s="24"/>
      <c r="CL14" s="24"/>
      <c r="CM14" s="24"/>
      <c r="CN14" s="24"/>
      <c r="CO14" s="24"/>
      <c r="CP14" s="24"/>
      <c r="CQ14" s="24"/>
      <c r="CR14" s="24"/>
      <c r="CS14" s="24"/>
      <c r="CT14" s="24"/>
      <c r="CU14" s="24"/>
      <c r="CV14" s="24"/>
      <c r="CW14" s="24"/>
      <c r="CX14" s="24"/>
      <c r="CY14" s="24"/>
      <c r="CZ14" s="24"/>
      <c r="DA14" s="24"/>
      <c r="DB14" s="24"/>
      <c r="DC14" s="24"/>
      <c r="DD14" s="24"/>
      <c r="DE14" s="24"/>
      <c r="DF14" s="24"/>
      <c r="DG14" s="24"/>
      <c r="DH14" s="24"/>
      <c r="DI14" s="24"/>
      <c r="DJ14" s="24"/>
      <c r="DK14" s="24"/>
      <c r="DL14" s="24"/>
      <c r="DM14" s="24"/>
      <c r="DN14" s="24"/>
      <c r="DO14" s="24"/>
      <c r="DP14" s="24"/>
      <c r="DQ14" s="25"/>
      <c r="DR14" s="25"/>
      <c r="DS14" s="25"/>
      <c r="DT14" s="24"/>
      <c r="DU14" s="24"/>
      <c r="DV14" s="24"/>
      <c r="DW14" s="24"/>
      <c r="DX14" s="24"/>
      <c r="DY14" s="24"/>
      <c r="DZ14" s="24"/>
      <c r="EA14" s="24"/>
      <c r="EB14" s="24"/>
      <c r="EC14" s="24"/>
      <c r="ED14" s="24"/>
      <c r="EE14" s="24"/>
      <c r="EF14" s="24"/>
      <c r="EG14" s="24"/>
      <c r="EH14" s="24"/>
      <c r="EI14" s="24"/>
      <c r="EJ14" s="24"/>
      <c r="EK14" s="24"/>
      <c r="EL14" s="24"/>
      <c r="EM14" s="24"/>
      <c r="EN14" s="24"/>
      <c r="EO14" s="24"/>
      <c r="EP14" s="24"/>
      <c r="EQ14" s="24"/>
      <c r="ER14" s="24"/>
      <c r="ES14" s="24"/>
      <c r="ET14" s="24"/>
      <c r="EU14" s="24"/>
      <c r="EV14" s="24"/>
      <c r="EW14" s="24"/>
      <c r="EX14" s="24"/>
      <c r="EY14" s="24"/>
      <c r="EZ14" s="24"/>
      <c r="FA14" s="24"/>
      <c r="FB14" s="24"/>
      <c r="FC14" s="24"/>
      <c r="FD14" s="24"/>
      <c r="FE14" s="24"/>
      <c r="FF14" s="24"/>
      <c r="FG14" s="24"/>
      <c r="FH14" s="24"/>
      <c r="FI14" s="24"/>
      <c r="FJ14" s="24"/>
      <c r="FK14" s="24"/>
      <c r="FL14" s="24"/>
      <c r="FM14" s="24"/>
      <c r="FN14" s="24"/>
      <c r="FO14" s="24"/>
      <c r="FP14" s="24"/>
      <c r="FQ14" s="24"/>
      <c r="FR14" s="24"/>
      <c r="FS14" s="24"/>
      <c r="FT14" s="24"/>
      <c r="FU14" s="24"/>
      <c r="FV14" s="24"/>
      <c r="FW14" s="24"/>
      <c r="FX14" s="24"/>
      <c r="FY14" s="24"/>
      <c r="FZ14" s="24"/>
      <c r="GA14" s="24"/>
      <c r="GB14" s="24"/>
      <c r="GC14" s="24"/>
      <c r="GD14" s="24"/>
      <c r="GE14" s="24"/>
      <c r="GF14" s="24"/>
      <c r="GG14" s="24"/>
      <c r="GH14" s="24"/>
      <c r="GI14" s="24"/>
      <c r="GJ14" s="24"/>
      <c r="GK14" s="24"/>
      <c r="GL14" s="24"/>
      <c r="GM14" s="24"/>
      <c r="GN14" s="24"/>
      <c r="GO14" s="24"/>
      <c r="GP14" s="24"/>
      <c r="GQ14" s="24"/>
      <c r="GR14" s="24"/>
      <c r="GS14" s="23"/>
      <c r="GT14" s="23"/>
      <c r="GU14" s="23"/>
      <c r="GV14" s="23"/>
      <c r="GW14" s="22"/>
      <c r="GX14" s="22"/>
      <c r="GY14" s="22"/>
      <c r="GZ14" s="22"/>
      <c r="HA14" s="22"/>
      <c r="HB14" s="22"/>
      <c r="HC14" s="22"/>
      <c r="HD14" s="22"/>
      <c r="HE14" s="22"/>
      <c r="HF14" s="22"/>
      <c r="HG14" s="22"/>
      <c r="HH14" s="22"/>
      <c r="HI14" s="22"/>
      <c r="HJ14" s="22"/>
      <c r="HK14" s="22"/>
      <c r="HL14" s="21"/>
      <c r="HM14" s="19"/>
      <c r="HN14" s="19"/>
      <c r="HO14" s="19"/>
      <c r="HP14" s="20"/>
      <c r="HQ14" s="19"/>
      <c r="HR14" s="16"/>
      <c r="HS14" s="16"/>
      <c r="HT14" s="18"/>
      <c r="HU14" s="16"/>
      <c r="HV14" s="16"/>
      <c r="HW14" s="16"/>
      <c r="HX14" s="15"/>
      <c r="HY14" s="15"/>
      <c r="HZ14" s="15"/>
      <c r="IA14" s="15"/>
      <c r="IB14" s="15"/>
      <c r="IC14" s="16"/>
      <c r="ID14" s="16"/>
      <c r="IE14" s="15"/>
      <c r="IF14" s="15"/>
      <c r="IG14" s="15"/>
      <c r="IH14" s="15"/>
      <c r="II14" s="15"/>
      <c r="IJ14" s="15"/>
      <c r="IK14" s="15"/>
      <c r="IL14" s="15"/>
      <c r="IM14" s="15"/>
      <c r="IN14" s="15"/>
      <c r="IO14" s="15"/>
      <c r="IP14" s="17"/>
      <c r="IQ14" s="15"/>
      <c r="IR14" s="15"/>
      <c r="IS14" s="15"/>
      <c r="IT14" s="15"/>
      <c r="IU14" s="15"/>
      <c r="IV14" s="15"/>
      <c r="IW14" s="15"/>
      <c r="IX14" s="15"/>
      <c r="IY14" s="15"/>
      <c r="IZ14" s="15"/>
      <c r="JA14" s="15"/>
      <c r="JB14" s="15"/>
      <c r="JC14" s="15"/>
      <c r="JD14" s="15"/>
      <c r="JE14" s="15"/>
      <c r="JF14" s="15"/>
      <c r="JG14" s="15"/>
      <c r="JH14" s="15"/>
      <c r="JI14" s="15"/>
      <c r="JJ14" s="15"/>
      <c r="JK14" s="15"/>
      <c r="JL14" s="15"/>
      <c r="JM14" s="15"/>
      <c r="JN14" s="16"/>
      <c r="JO14" s="16"/>
      <c r="JP14" s="16"/>
      <c r="JQ14" s="16"/>
      <c r="JR14" s="16"/>
      <c r="JS14" s="16"/>
      <c r="JT14" s="16"/>
      <c r="JU14" s="16"/>
      <c r="JV14" s="16"/>
      <c r="JW14" s="16"/>
      <c r="JX14" s="16"/>
      <c r="JY14" s="16"/>
      <c r="JZ14" s="16"/>
      <c r="KA14" s="16"/>
      <c r="KB14" s="16"/>
      <c r="KC14" s="16"/>
      <c r="KD14" s="16"/>
      <c r="KE14" s="16"/>
      <c r="KF14" s="16"/>
      <c r="KG14" s="16"/>
      <c r="KH14" s="16"/>
      <c r="KI14" s="16"/>
      <c r="KJ14" s="16"/>
      <c r="KK14" s="16"/>
      <c r="KL14" s="16"/>
      <c r="KM14" s="16"/>
      <c r="KN14" s="16"/>
      <c r="KO14" s="16"/>
      <c r="KP14" s="16"/>
      <c r="KQ14" s="16"/>
      <c r="KR14" s="16"/>
      <c r="KS14" s="16"/>
      <c r="KT14" s="15"/>
      <c r="KU14" s="15"/>
      <c r="KV14" s="15"/>
      <c r="KW14" s="15"/>
      <c r="KX14" s="15"/>
      <c r="KY14" s="15"/>
      <c r="KZ14" s="15"/>
      <c r="LA14" s="15"/>
      <c r="LB14" s="15"/>
      <c r="LC14" s="15"/>
      <c r="LD14" s="15"/>
      <c r="LE14" s="15"/>
      <c r="LF14" s="15"/>
      <c r="LG14" s="15"/>
      <c r="LH14" s="15"/>
      <c r="LI14" s="15"/>
      <c r="LJ14" s="15"/>
      <c r="LK14" s="15"/>
      <c r="LL14" s="15"/>
      <c r="LM14" s="15"/>
      <c r="LN14" s="473">
        <f t="shared" si="1"/>
        <v>0</v>
      </c>
    </row>
    <row r="15" spans="1:326" ht="14.7" customHeight="1">
      <c r="A15" s="1159" t="s">
        <v>50</v>
      </c>
      <c r="B15" s="32" t="s">
        <v>63</v>
      </c>
      <c r="C15" s="32"/>
      <c r="D15" s="32"/>
      <c r="E15" s="32"/>
      <c r="F15" s="32"/>
      <c r="G15" s="32"/>
      <c r="H15" s="32"/>
      <c r="I15" s="32"/>
      <c r="J15" s="32"/>
      <c r="K15" s="32"/>
      <c r="L15" s="32"/>
      <c r="M15" s="32"/>
      <c r="N15" s="33"/>
      <c r="O15" s="32"/>
      <c r="P15" s="29" t="s">
        <v>62</v>
      </c>
      <c r="Q15" s="29">
        <v>8.9999999999999993E-3</v>
      </c>
      <c r="R15" s="29">
        <v>8.9999999999999993E-3</v>
      </c>
      <c r="S15" s="29">
        <v>8.9999999999999993E-3</v>
      </c>
      <c r="T15" s="29">
        <v>8.9999999999999993E-3</v>
      </c>
      <c r="U15" s="29">
        <v>8.9999999999999993E-3</v>
      </c>
      <c r="V15" s="29">
        <v>8.9999999999999993E-3</v>
      </c>
      <c r="W15" s="29">
        <v>8.9999999999999993E-3</v>
      </c>
      <c r="X15" s="29">
        <v>8.9999999999999993E-3</v>
      </c>
      <c r="Y15" s="29">
        <v>8.9999999999999993E-3</v>
      </c>
      <c r="Z15" s="29">
        <v>8.9999999999999993E-3</v>
      </c>
      <c r="AA15" s="29">
        <v>8.9999999999999993E-3</v>
      </c>
      <c r="AB15" s="29">
        <v>8.9999999999999993E-3</v>
      </c>
      <c r="AC15" s="29">
        <v>8.9999999999999993E-3</v>
      </c>
      <c r="AD15" s="29">
        <v>8.9999999999999993E-3</v>
      </c>
      <c r="AE15" s="29">
        <v>8.9999999999999993E-3</v>
      </c>
      <c r="AF15" s="29">
        <v>8.9999999999999993E-3</v>
      </c>
      <c r="AG15" s="29">
        <v>8.9999999999999993E-3</v>
      </c>
      <c r="AH15" s="29">
        <v>8.9999999999999993E-3</v>
      </c>
      <c r="AI15" s="29">
        <v>8.9999999999999993E-3</v>
      </c>
      <c r="AJ15" s="29">
        <v>8.9999999999999993E-3</v>
      </c>
      <c r="AK15" s="29">
        <v>8.9999999999999993E-3</v>
      </c>
      <c r="AL15" s="29">
        <v>8.9999999999999993E-3</v>
      </c>
      <c r="AM15" s="29">
        <v>8.9999999999999993E-3</v>
      </c>
      <c r="AN15" s="29">
        <v>8.9999999999999993E-3</v>
      </c>
      <c r="AO15" s="29">
        <v>8.9999999999999993E-3</v>
      </c>
      <c r="AP15" s="29">
        <v>8.9999999999999993E-3</v>
      </c>
      <c r="AQ15" s="29">
        <v>8.9999999999999993E-3</v>
      </c>
      <c r="AR15" s="29">
        <v>8.9999999999999993E-3</v>
      </c>
      <c r="AS15" s="29">
        <v>8.9999999999999993E-3</v>
      </c>
      <c r="AT15" s="29">
        <v>8.9999999999999993E-3</v>
      </c>
      <c r="AU15" s="29">
        <v>8.9999999999999993E-3</v>
      </c>
      <c r="AV15" s="29">
        <v>8.9999999999999993E-3</v>
      </c>
      <c r="AW15" s="29">
        <v>8.9999999999999993E-3</v>
      </c>
      <c r="AX15" s="29">
        <v>8.9999999999999993E-3</v>
      </c>
      <c r="AY15" s="30">
        <v>8.9999999999999993E-3</v>
      </c>
      <c r="AZ15" s="29">
        <v>8.9999999999999993E-3</v>
      </c>
      <c r="BA15" s="29">
        <v>8.9999999999999993E-3</v>
      </c>
      <c r="BB15" s="29">
        <v>8.9999999999999993E-3</v>
      </c>
      <c r="BC15" s="29">
        <v>8.9999999999999993E-3</v>
      </c>
      <c r="BD15" s="29">
        <v>8.9999999999999993E-3</v>
      </c>
      <c r="BE15" s="29">
        <v>8.9999999999999993E-3</v>
      </c>
      <c r="BF15" s="29">
        <v>8.9999999999999993E-3</v>
      </c>
      <c r="BG15" s="29">
        <v>8.9999999999999993E-3</v>
      </c>
      <c r="BH15" s="28">
        <v>8.9999999999999993E-3</v>
      </c>
      <c r="BI15" s="27"/>
      <c r="BJ15" s="26"/>
      <c r="BK15" s="24"/>
      <c r="BL15" s="24"/>
      <c r="BM15" s="24"/>
      <c r="BN15" s="24"/>
      <c r="BO15" s="24"/>
      <c r="BP15" s="24"/>
      <c r="BQ15" s="24"/>
      <c r="BR15" s="24"/>
      <c r="BS15" s="24"/>
      <c r="BT15" s="24"/>
      <c r="BU15" s="24"/>
      <c r="BV15" s="24"/>
      <c r="BW15" s="24"/>
      <c r="BX15" s="24"/>
      <c r="BY15" s="24"/>
      <c r="BZ15" s="24"/>
      <c r="CA15" s="24"/>
      <c r="CB15" s="24"/>
      <c r="CC15" s="24"/>
      <c r="CD15" s="24"/>
      <c r="CE15" s="24"/>
      <c r="CF15" s="24"/>
      <c r="CG15" s="24"/>
      <c r="CH15" s="24"/>
      <c r="CI15" s="24"/>
      <c r="CJ15" s="24"/>
      <c r="CK15" s="24"/>
      <c r="CL15" s="24"/>
      <c r="CM15" s="24"/>
      <c r="CN15" s="24"/>
      <c r="CO15" s="24"/>
      <c r="CP15" s="24"/>
      <c r="CQ15" s="24"/>
      <c r="CR15" s="24"/>
      <c r="CS15" s="24"/>
      <c r="CT15" s="24"/>
      <c r="CU15" s="24"/>
      <c r="CV15" s="24"/>
      <c r="CW15" s="24"/>
      <c r="CX15" s="24"/>
      <c r="CY15" s="24"/>
      <c r="CZ15" s="24"/>
      <c r="DA15" s="24"/>
      <c r="DB15" s="24"/>
      <c r="DC15" s="24"/>
      <c r="DD15" s="24"/>
      <c r="DE15" s="24"/>
      <c r="DF15" s="24"/>
      <c r="DG15" s="24"/>
      <c r="DH15" s="24"/>
      <c r="DI15" s="24"/>
      <c r="DJ15" s="24"/>
      <c r="DK15" s="24"/>
      <c r="DL15" s="24"/>
      <c r="DM15" s="24"/>
      <c r="DN15" s="24"/>
      <c r="DO15" s="24"/>
      <c r="DP15" s="24"/>
      <c r="DQ15" s="25"/>
      <c r="DR15" s="25"/>
      <c r="DS15" s="25"/>
      <c r="DT15" s="24"/>
      <c r="DU15" s="24"/>
      <c r="DV15" s="24"/>
      <c r="DW15" s="24"/>
      <c r="DX15" s="24"/>
      <c r="DY15" s="24"/>
      <c r="DZ15" s="24"/>
      <c r="EA15" s="24"/>
      <c r="EB15" s="24"/>
      <c r="EC15" s="24"/>
      <c r="ED15" s="24"/>
      <c r="EE15" s="24"/>
      <c r="EF15" s="24"/>
      <c r="EG15" s="24"/>
      <c r="EH15" s="24"/>
      <c r="EI15" s="24"/>
      <c r="EJ15" s="24"/>
      <c r="EK15" s="24"/>
      <c r="EL15" s="24"/>
      <c r="EM15" s="24"/>
      <c r="EN15" s="24"/>
      <c r="EO15" s="24"/>
      <c r="EP15" s="24"/>
      <c r="EQ15" s="24"/>
      <c r="ER15" s="24"/>
      <c r="ES15" s="24"/>
      <c r="ET15" s="24"/>
      <c r="EU15" s="24"/>
      <c r="EV15" s="24"/>
      <c r="EW15" s="24"/>
      <c r="EX15" s="24"/>
      <c r="EY15" s="24"/>
      <c r="EZ15" s="24"/>
      <c r="FA15" s="24"/>
      <c r="FB15" s="24"/>
      <c r="FC15" s="24"/>
      <c r="FD15" s="24"/>
      <c r="FE15" s="24"/>
      <c r="FF15" s="24"/>
      <c r="FG15" s="24"/>
      <c r="FH15" s="24"/>
      <c r="FI15" s="24"/>
      <c r="FJ15" s="24"/>
      <c r="FK15" s="24"/>
      <c r="FL15" s="24"/>
      <c r="FM15" s="24"/>
      <c r="FN15" s="24"/>
      <c r="FO15" s="24"/>
      <c r="FP15" s="24"/>
      <c r="FQ15" s="24"/>
      <c r="FR15" s="24"/>
      <c r="FS15" s="24"/>
      <c r="FT15" s="24"/>
      <c r="FU15" s="24"/>
      <c r="FV15" s="24"/>
      <c r="FW15" s="24"/>
      <c r="FX15" s="24"/>
      <c r="FY15" s="24"/>
      <c r="FZ15" s="24"/>
      <c r="GA15" s="24"/>
      <c r="GB15" s="24"/>
      <c r="GC15" s="24"/>
      <c r="GD15" s="24"/>
      <c r="GE15" s="24"/>
      <c r="GF15" s="24"/>
      <c r="GG15" s="24"/>
      <c r="GH15" s="24"/>
      <c r="GI15" s="24"/>
      <c r="GJ15" s="24"/>
      <c r="GK15" s="24"/>
      <c r="GL15" s="24"/>
      <c r="GM15" s="24"/>
      <c r="GN15" s="24"/>
      <c r="GO15" s="24"/>
      <c r="GP15" s="24"/>
      <c r="GQ15" s="24"/>
      <c r="GR15" s="24"/>
      <c r="GS15" s="23"/>
      <c r="GT15" s="23"/>
      <c r="GU15" s="23"/>
      <c r="GV15" s="23"/>
      <c r="GW15" s="22"/>
      <c r="GX15" s="22"/>
      <c r="GY15" s="22"/>
      <c r="GZ15" s="22"/>
      <c r="HA15" s="22"/>
      <c r="HB15" s="22"/>
      <c r="HC15" s="22"/>
      <c r="HD15" s="22"/>
      <c r="HE15" s="22"/>
      <c r="HF15" s="22"/>
      <c r="HG15" s="22"/>
      <c r="HH15" s="22"/>
      <c r="HI15" s="22"/>
      <c r="HJ15" s="22"/>
      <c r="HK15" s="22"/>
      <c r="HL15" s="21"/>
      <c r="HM15" s="19"/>
      <c r="HN15" s="19"/>
      <c r="HO15" s="19"/>
      <c r="HP15" s="20"/>
      <c r="HQ15" s="19"/>
      <c r="HR15" s="16"/>
      <c r="HS15" s="16"/>
      <c r="HT15" s="18"/>
      <c r="HU15" s="16"/>
      <c r="HV15" s="16"/>
      <c r="HW15" s="16"/>
      <c r="HX15" s="15"/>
      <c r="HY15" s="15"/>
      <c r="HZ15" s="15"/>
      <c r="IA15" s="15"/>
      <c r="IB15" s="15"/>
      <c r="IC15" s="16"/>
      <c r="ID15" s="16"/>
      <c r="IE15" s="15"/>
      <c r="IF15" s="15"/>
      <c r="IG15" s="15"/>
      <c r="IH15" s="15"/>
      <c r="II15" s="15"/>
      <c r="IJ15" s="15"/>
      <c r="IK15" s="15"/>
      <c r="IL15" s="15"/>
      <c r="IM15" s="15"/>
      <c r="IN15" s="15"/>
      <c r="IO15" s="15"/>
      <c r="IP15" s="17"/>
      <c r="IQ15" s="15"/>
      <c r="IR15" s="15"/>
      <c r="IS15" s="15"/>
      <c r="IT15" s="15"/>
      <c r="IU15" s="15"/>
      <c r="IV15" s="15"/>
      <c r="IW15" s="15"/>
      <c r="IX15" s="15"/>
      <c r="IY15" s="15"/>
      <c r="IZ15" s="15"/>
      <c r="JA15" s="15"/>
      <c r="JB15" s="15"/>
      <c r="JC15" s="15"/>
      <c r="JD15" s="15"/>
      <c r="JE15" s="15"/>
      <c r="JF15" s="15"/>
      <c r="JG15" s="15"/>
      <c r="JH15" s="15"/>
      <c r="JI15" s="15"/>
      <c r="JJ15" s="15"/>
      <c r="JK15" s="15"/>
      <c r="JL15" s="15"/>
      <c r="JM15" s="15"/>
      <c r="JN15" s="16"/>
      <c r="JO15" s="16"/>
      <c r="JP15" s="16"/>
      <c r="JQ15" s="16"/>
      <c r="JR15" s="16"/>
      <c r="JS15" s="16"/>
      <c r="JT15" s="16"/>
      <c r="JU15" s="16"/>
      <c r="JV15" s="16"/>
      <c r="JW15" s="16"/>
      <c r="JX15" s="16"/>
      <c r="JY15" s="16"/>
      <c r="JZ15" s="16"/>
      <c r="KA15" s="16"/>
      <c r="KB15" s="16"/>
      <c r="KC15" s="16"/>
      <c r="KD15" s="16"/>
      <c r="KE15" s="16"/>
      <c r="KF15" s="16"/>
      <c r="KG15" s="16"/>
      <c r="KH15" s="16"/>
      <c r="KI15" s="16"/>
      <c r="KJ15" s="16"/>
      <c r="KK15" s="16"/>
      <c r="KL15" s="16"/>
      <c r="KM15" s="16"/>
      <c r="KN15" s="16"/>
      <c r="KO15" s="16"/>
      <c r="KP15" s="16"/>
      <c r="KQ15" s="16"/>
      <c r="KR15" s="16"/>
      <c r="KS15" s="16"/>
      <c r="KT15" s="15"/>
      <c r="KU15" s="15"/>
      <c r="KV15" s="15"/>
      <c r="KW15" s="15"/>
      <c r="KX15" s="15"/>
      <c r="KY15" s="15"/>
      <c r="KZ15" s="15"/>
      <c r="LA15" s="15"/>
      <c r="LB15" s="15"/>
      <c r="LC15" s="15"/>
      <c r="LD15" s="15"/>
      <c r="LE15" s="15"/>
      <c r="LF15" s="15"/>
      <c r="LG15" s="15"/>
      <c r="LH15" s="15"/>
      <c r="LI15" s="15"/>
      <c r="LJ15" s="15"/>
      <c r="LK15" s="15"/>
      <c r="LL15" s="15"/>
      <c r="LM15" s="15"/>
      <c r="LN15" s="473">
        <f t="shared" si="1"/>
        <v>0</v>
      </c>
    </row>
    <row r="16" spans="1:326" ht="14.7" customHeight="1">
      <c r="A16" s="1160"/>
      <c r="B16" s="32"/>
      <c r="C16" s="32"/>
      <c r="D16" s="32"/>
      <c r="E16" s="32"/>
      <c r="F16" s="32"/>
      <c r="G16" s="32"/>
      <c r="H16" s="32"/>
      <c r="I16" s="32"/>
      <c r="J16" s="32"/>
      <c r="K16" s="32"/>
      <c r="L16" s="32"/>
      <c r="M16" s="32"/>
      <c r="N16" s="33"/>
      <c r="O16" s="32"/>
      <c r="P16" s="29" t="s">
        <v>61</v>
      </c>
      <c r="Q16" s="29">
        <v>8.9999999999999993E-3</v>
      </c>
      <c r="R16" s="29">
        <v>8.9999999999999993E-3</v>
      </c>
      <c r="S16" s="29">
        <v>8.9999999999999993E-3</v>
      </c>
      <c r="T16" s="29">
        <v>8.9999999999999993E-3</v>
      </c>
      <c r="U16" s="29">
        <v>8.9999999999999993E-3</v>
      </c>
      <c r="V16" s="29">
        <v>8.9999999999999993E-3</v>
      </c>
      <c r="W16" s="29">
        <v>8.9999999999999993E-3</v>
      </c>
      <c r="X16" s="29">
        <v>8.9999999999999993E-3</v>
      </c>
      <c r="Y16" s="29">
        <v>8.9999999999999993E-3</v>
      </c>
      <c r="Z16" s="29">
        <v>8.9999999999999993E-3</v>
      </c>
      <c r="AA16" s="29">
        <v>8.9999999999999993E-3</v>
      </c>
      <c r="AB16" s="29">
        <v>8.9999999999999993E-3</v>
      </c>
      <c r="AC16" s="29">
        <v>8.9999999999999993E-3</v>
      </c>
      <c r="AD16" s="29">
        <v>8.9999999999999993E-3</v>
      </c>
      <c r="AE16" s="29">
        <v>8.9999999999999993E-3</v>
      </c>
      <c r="AF16" s="29">
        <v>8.9999999999999993E-3</v>
      </c>
      <c r="AG16" s="29">
        <v>8.9999999999999993E-3</v>
      </c>
      <c r="AH16" s="29">
        <v>8.9999999999999993E-3</v>
      </c>
      <c r="AI16" s="29">
        <v>8.9999999999999993E-3</v>
      </c>
      <c r="AJ16" s="29">
        <v>8.9999999999999993E-3</v>
      </c>
      <c r="AK16" s="29">
        <v>8.9999999999999993E-3</v>
      </c>
      <c r="AL16" s="29">
        <v>8.9999999999999993E-3</v>
      </c>
      <c r="AM16" s="29">
        <v>8.9999999999999993E-3</v>
      </c>
      <c r="AN16" s="29">
        <v>8.9999999999999993E-3</v>
      </c>
      <c r="AO16" s="29">
        <v>8.9999999999999993E-3</v>
      </c>
      <c r="AP16" s="29">
        <v>8.9999999999999993E-3</v>
      </c>
      <c r="AQ16" s="29">
        <v>8.9999999999999993E-3</v>
      </c>
      <c r="AR16" s="29">
        <v>8.9999999999999993E-3</v>
      </c>
      <c r="AS16" s="29">
        <v>8.9999999999999993E-3</v>
      </c>
      <c r="AT16" s="29">
        <v>8.9999999999999993E-3</v>
      </c>
      <c r="AU16" s="29">
        <v>8.9999999999999993E-3</v>
      </c>
      <c r="AV16" s="29">
        <v>8.9999999999999993E-3</v>
      </c>
      <c r="AW16" s="29">
        <v>8.9999999999999993E-3</v>
      </c>
      <c r="AX16" s="29">
        <v>8.9999999999999993E-3</v>
      </c>
      <c r="AY16" s="30">
        <v>8.9999999999999993E-3</v>
      </c>
      <c r="AZ16" s="29">
        <v>8.9999999999999993E-3</v>
      </c>
      <c r="BA16" s="29">
        <v>8.9999999999999993E-3</v>
      </c>
      <c r="BB16" s="29">
        <v>8.9999999999999993E-3</v>
      </c>
      <c r="BC16" s="29">
        <v>8.9999999999999993E-3</v>
      </c>
      <c r="BD16" s="29">
        <v>8.9999999999999993E-3</v>
      </c>
      <c r="BE16" s="29">
        <v>8.9999999999999993E-3</v>
      </c>
      <c r="BF16" s="29">
        <v>8.9999999999999993E-3</v>
      </c>
      <c r="BG16" s="29">
        <v>8.9999999999999993E-3</v>
      </c>
      <c r="BH16" s="28">
        <v>8.9999999999999993E-3</v>
      </c>
      <c r="BI16" s="27"/>
      <c r="BJ16" s="26"/>
      <c r="BK16" s="24"/>
      <c r="BL16" s="24"/>
      <c r="BM16" s="24"/>
      <c r="BN16" s="24"/>
      <c r="BO16" s="24"/>
      <c r="BP16" s="24"/>
      <c r="BQ16" s="24"/>
      <c r="BR16" s="24"/>
      <c r="BS16" s="24"/>
      <c r="BT16" s="24"/>
      <c r="BU16" s="24"/>
      <c r="BV16" s="24"/>
      <c r="BW16" s="24"/>
      <c r="BX16" s="24"/>
      <c r="BY16" s="24"/>
      <c r="BZ16" s="24"/>
      <c r="CA16" s="24"/>
      <c r="CB16" s="24"/>
      <c r="CC16" s="24"/>
      <c r="CD16" s="24"/>
      <c r="CE16" s="24"/>
      <c r="CF16" s="24"/>
      <c r="CG16" s="24"/>
      <c r="CH16" s="24"/>
      <c r="CI16" s="24"/>
      <c r="CJ16" s="24"/>
      <c r="CK16" s="24"/>
      <c r="CL16" s="24"/>
      <c r="CM16" s="24"/>
      <c r="CN16" s="24"/>
      <c r="CO16" s="24"/>
      <c r="CP16" s="24"/>
      <c r="CQ16" s="24"/>
      <c r="CR16" s="24"/>
      <c r="CS16" s="24"/>
      <c r="CT16" s="24"/>
      <c r="CU16" s="24"/>
      <c r="CV16" s="24"/>
      <c r="CW16" s="24"/>
      <c r="CX16" s="24"/>
      <c r="CY16" s="24"/>
      <c r="CZ16" s="24"/>
      <c r="DA16" s="24"/>
      <c r="DB16" s="24"/>
      <c r="DC16" s="24"/>
      <c r="DD16" s="24"/>
      <c r="DE16" s="24"/>
      <c r="DF16" s="24"/>
      <c r="DG16" s="24"/>
      <c r="DH16" s="24"/>
      <c r="DI16" s="24"/>
      <c r="DJ16" s="24"/>
      <c r="DK16" s="24"/>
      <c r="DL16" s="24"/>
      <c r="DM16" s="24"/>
      <c r="DN16" s="24"/>
      <c r="DO16" s="24"/>
      <c r="DP16" s="24"/>
      <c r="DQ16" s="25"/>
      <c r="DR16" s="25"/>
      <c r="DS16" s="25"/>
      <c r="DT16" s="24"/>
      <c r="DU16" s="24"/>
      <c r="DV16" s="24"/>
      <c r="DW16" s="24"/>
      <c r="DX16" s="24"/>
      <c r="DY16" s="24"/>
      <c r="DZ16" s="24"/>
      <c r="EA16" s="24"/>
      <c r="EB16" s="24"/>
      <c r="EC16" s="24"/>
      <c r="ED16" s="24"/>
      <c r="EE16" s="24"/>
      <c r="EF16" s="24"/>
      <c r="EG16" s="24"/>
      <c r="EH16" s="24"/>
      <c r="EI16" s="24"/>
      <c r="EJ16" s="24"/>
      <c r="EK16" s="24"/>
      <c r="EL16" s="24"/>
      <c r="EM16" s="24"/>
      <c r="EN16" s="24"/>
      <c r="EO16" s="24"/>
      <c r="EP16" s="24"/>
      <c r="EQ16" s="24"/>
      <c r="ER16" s="24"/>
      <c r="ES16" s="24"/>
      <c r="ET16" s="24"/>
      <c r="EU16" s="24"/>
      <c r="EV16" s="24"/>
      <c r="EW16" s="24"/>
      <c r="EX16" s="24"/>
      <c r="EY16" s="24"/>
      <c r="EZ16" s="24"/>
      <c r="FA16" s="24"/>
      <c r="FB16" s="24"/>
      <c r="FC16" s="24"/>
      <c r="FD16" s="24"/>
      <c r="FE16" s="24"/>
      <c r="FF16" s="24"/>
      <c r="FG16" s="24"/>
      <c r="FH16" s="24"/>
      <c r="FI16" s="24"/>
      <c r="FJ16" s="24"/>
      <c r="FK16" s="24"/>
      <c r="FL16" s="24"/>
      <c r="FM16" s="24"/>
      <c r="FN16" s="24"/>
      <c r="FO16" s="24"/>
      <c r="FP16" s="24"/>
      <c r="FQ16" s="24"/>
      <c r="FR16" s="24"/>
      <c r="FS16" s="24"/>
      <c r="FT16" s="24"/>
      <c r="FU16" s="24"/>
      <c r="FV16" s="24"/>
      <c r="FW16" s="24"/>
      <c r="FX16" s="24"/>
      <c r="FY16" s="24"/>
      <c r="FZ16" s="24"/>
      <c r="GA16" s="24"/>
      <c r="GB16" s="24"/>
      <c r="GC16" s="24"/>
      <c r="GD16" s="24"/>
      <c r="GE16" s="24"/>
      <c r="GF16" s="24"/>
      <c r="GG16" s="24"/>
      <c r="GH16" s="24"/>
      <c r="GI16" s="24"/>
      <c r="GJ16" s="24"/>
      <c r="GK16" s="24"/>
      <c r="GL16" s="24"/>
      <c r="GM16" s="24"/>
      <c r="GN16" s="24"/>
      <c r="GO16" s="24"/>
      <c r="GP16" s="24"/>
      <c r="GQ16" s="24"/>
      <c r="GR16" s="24"/>
      <c r="GS16" s="23"/>
      <c r="GT16" s="23"/>
      <c r="GU16" s="23"/>
      <c r="GV16" s="23"/>
      <c r="GW16" s="22"/>
      <c r="GX16" s="22"/>
      <c r="GY16" s="22"/>
      <c r="GZ16" s="22"/>
      <c r="HA16" s="22"/>
      <c r="HB16" s="22"/>
      <c r="HC16" s="22"/>
      <c r="HD16" s="22"/>
      <c r="HE16" s="22"/>
      <c r="HF16" s="22"/>
      <c r="HG16" s="22"/>
      <c r="HH16" s="22"/>
      <c r="HI16" s="22"/>
      <c r="HJ16" s="22"/>
      <c r="HK16" s="22"/>
      <c r="HL16" s="21"/>
      <c r="HM16" s="19"/>
      <c r="HN16" s="19"/>
      <c r="HO16" s="19"/>
      <c r="HP16" s="20"/>
      <c r="HQ16" s="19"/>
      <c r="HR16" s="16"/>
      <c r="HS16" s="16"/>
      <c r="HT16" s="18"/>
      <c r="HU16" s="16"/>
      <c r="HV16" s="16"/>
      <c r="HW16" s="16"/>
      <c r="HX16" s="15"/>
      <c r="HY16" s="15"/>
      <c r="HZ16" s="15"/>
      <c r="IA16" s="15"/>
      <c r="IB16" s="15"/>
      <c r="IC16" s="16"/>
      <c r="ID16" s="16"/>
      <c r="IE16" s="15"/>
      <c r="IF16" s="15"/>
      <c r="IG16" s="15"/>
      <c r="IH16" s="15"/>
      <c r="II16" s="15"/>
      <c r="IJ16" s="15"/>
      <c r="IK16" s="15"/>
      <c r="IL16" s="15"/>
      <c r="IM16" s="15"/>
      <c r="IN16" s="15"/>
      <c r="IO16" s="15"/>
      <c r="IP16" s="17"/>
      <c r="IQ16" s="15"/>
      <c r="IR16" s="15"/>
      <c r="IS16" s="15"/>
      <c r="IT16" s="15"/>
      <c r="IU16" s="15"/>
      <c r="IV16" s="15"/>
      <c r="IW16" s="15"/>
      <c r="IX16" s="15"/>
      <c r="IY16" s="15"/>
      <c r="IZ16" s="15"/>
      <c r="JA16" s="15"/>
      <c r="JB16" s="15"/>
      <c r="JC16" s="15"/>
      <c r="JD16" s="15"/>
      <c r="JE16" s="15"/>
      <c r="JF16" s="15"/>
      <c r="JG16" s="15"/>
      <c r="JH16" s="15"/>
      <c r="JI16" s="15"/>
      <c r="JJ16" s="15"/>
      <c r="JK16" s="15"/>
      <c r="JL16" s="15"/>
      <c r="JM16" s="15"/>
      <c r="JN16" s="16"/>
      <c r="JO16" s="16"/>
      <c r="JP16" s="16"/>
      <c r="JQ16" s="16"/>
      <c r="JR16" s="16"/>
      <c r="JS16" s="16"/>
      <c r="JT16" s="16"/>
      <c r="JU16" s="16"/>
      <c r="JV16" s="16"/>
      <c r="JW16" s="16"/>
      <c r="JX16" s="16"/>
      <c r="JY16" s="16"/>
      <c r="JZ16" s="16"/>
      <c r="KA16" s="16"/>
      <c r="KB16" s="16"/>
      <c r="KC16" s="16"/>
      <c r="KD16" s="16"/>
      <c r="KE16" s="16"/>
      <c r="KF16" s="16"/>
      <c r="KG16" s="16"/>
      <c r="KH16" s="16"/>
      <c r="KI16" s="16"/>
      <c r="KJ16" s="16"/>
      <c r="KK16" s="16"/>
      <c r="KL16" s="16"/>
      <c r="KM16" s="16"/>
      <c r="KN16" s="16"/>
      <c r="KO16" s="16"/>
      <c r="KP16" s="16"/>
      <c r="KQ16" s="16"/>
      <c r="KR16" s="16"/>
      <c r="KS16" s="16"/>
      <c r="KT16" s="15"/>
      <c r="KU16" s="15"/>
      <c r="KV16" s="15"/>
      <c r="KW16" s="15"/>
      <c r="KX16" s="15"/>
      <c r="KY16" s="15"/>
      <c r="KZ16" s="15"/>
      <c r="LA16" s="15"/>
      <c r="LB16" s="15"/>
      <c r="LC16" s="15"/>
      <c r="LD16" s="15"/>
      <c r="LE16" s="15"/>
      <c r="LF16" s="15"/>
      <c r="LG16" s="15"/>
      <c r="LH16" s="15"/>
      <c r="LI16" s="15"/>
      <c r="LJ16" s="15"/>
      <c r="LK16" s="15"/>
      <c r="LL16" s="15"/>
      <c r="LM16" s="15"/>
      <c r="LN16" s="473">
        <f t="shared" si="1"/>
        <v>0</v>
      </c>
    </row>
    <row r="17" spans="1:326" ht="14.7" customHeight="1">
      <c r="A17" s="1160"/>
      <c r="B17" s="32"/>
      <c r="C17" s="32"/>
      <c r="D17" s="32"/>
      <c r="E17" s="32"/>
      <c r="F17" s="32"/>
      <c r="G17" s="32"/>
      <c r="H17" s="32"/>
      <c r="I17" s="32"/>
      <c r="J17" s="32"/>
      <c r="K17" s="32"/>
      <c r="L17" s="32"/>
      <c r="M17" s="32"/>
      <c r="N17" s="33"/>
      <c r="O17" s="32"/>
      <c r="P17" s="29" t="s">
        <v>60</v>
      </c>
      <c r="Q17" s="29">
        <v>9.4999999999999998E-3</v>
      </c>
      <c r="R17" s="29">
        <v>9.4999999999999998E-3</v>
      </c>
      <c r="S17" s="29">
        <v>9.4999999999999998E-3</v>
      </c>
      <c r="T17" s="29">
        <v>9.4999999999999998E-3</v>
      </c>
      <c r="U17" s="29">
        <v>9.4999999999999998E-3</v>
      </c>
      <c r="V17" s="29">
        <v>9.4999999999999998E-3</v>
      </c>
      <c r="W17" s="29">
        <v>9.4999999999999998E-3</v>
      </c>
      <c r="X17" s="29">
        <v>9.4999999999999998E-3</v>
      </c>
      <c r="Y17" s="29">
        <v>9.4999999999999998E-3</v>
      </c>
      <c r="Z17" s="29">
        <v>9.4999999999999998E-3</v>
      </c>
      <c r="AA17" s="29">
        <v>9.4999999999999998E-3</v>
      </c>
      <c r="AB17" s="29">
        <v>9.4999999999999998E-3</v>
      </c>
      <c r="AC17" s="29">
        <v>9.4999999999999998E-3</v>
      </c>
      <c r="AD17" s="29">
        <v>9.4999999999999998E-3</v>
      </c>
      <c r="AE17" s="29">
        <v>9.4999999999999998E-3</v>
      </c>
      <c r="AF17" s="29">
        <v>9.4999999999999998E-3</v>
      </c>
      <c r="AG17" s="29">
        <v>9.4999999999999998E-3</v>
      </c>
      <c r="AH17" s="29">
        <v>9.4999999999999998E-3</v>
      </c>
      <c r="AI17" s="29">
        <v>9.4999999999999998E-3</v>
      </c>
      <c r="AJ17" s="29">
        <v>9.4999999999999998E-3</v>
      </c>
      <c r="AK17" s="29">
        <v>9.4999999999999998E-3</v>
      </c>
      <c r="AL17" s="29">
        <v>9.4999999999999998E-3</v>
      </c>
      <c r="AM17" s="29">
        <v>9.4999999999999998E-3</v>
      </c>
      <c r="AN17" s="29">
        <v>9.4999999999999998E-3</v>
      </c>
      <c r="AO17" s="29">
        <v>9.4999999999999998E-3</v>
      </c>
      <c r="AP17" s="29">
        <v>9.4999999999999998E-3</v>
      </c>
      <c r="AQ17" s="29">
        <v>9.4999999999999998E-3</v>
      </c>
      <c r="AR17" s="29">
        <v>9.4999999999999998E-3</v>
      </c>
      <c r="AS17" s="29">
        <v>9.4999999999999998E-3</v>
      </c>
      <c r="AT17" s="29">
        <v>9.4999999999999998E-3</v>
      </c>
      <c r="AU17" s="29">
        <v>9.4999999999999998E-3</v>
      </c>
      <c r="AV17" s="29">
        <v>9.4999999999999998E-3</v>
      </c>
      <c r="AW17" s="29">
        <v>9.4999999999999998E-3</v>
      </c>
      <c r="AX17" s="29">
        <v>9.4999999999999998E-3</v>
      </c>
      <c r="AY17" s="30">
        <v>9.4999999999999998E-3</v>
      </c>
      <c r="AZ17" s="29">
        <v>9.4999999999999998E-3</v>
      </c>
      <c r="BA17" s="29">
        <v>9.4999999999999998E-3</v>
      </c>
      <c r="BB17" s="29">
        <v>9.4999999999999998E-3</v>
      </c>
      <c r="BC17" s="29">
        <v>9.4999999999999998E-3</v>
      </c>
      <c r="BD17" s="29">
        <v>9.4999999999999998E-3</v>
      </c>
      <c r="BE17" s="29">
        <v>9.4999999999999998E-3</v>
      </c>
      <c r="BF17" s="29">
        <v>9.4999999999999998E-3</v>
      </c>
      <c r="BG17" s="29">
        <v>9.4999999999999998E-3</v>
      </c>
      <c r="BH17" s="28">
        <v>9.4999999999999998E-3</v>
      </c>
      <c r="BI17" s="27"/>
      <c r="BJ17" s="26"/>
      <c r="BK17" s="24"/>
      <c r="BL17" s="24"/>
      <c r="BM17" s="24"/>
      <c r="BN17" s="24"/>
      <c r="BO17" s="24"/>
      <c r="BP17" s="24"/>
      <c r="BQ17" s="24"/>
      <c r="BR17" s="24"/>
      <c r="BS17" s="24"/>
      <c r="BT17" s="24"/>
      <c r="BU17" s="24"/>
      <c r="BV17" s="24"/>
      <c r="BW17" s="24"/>
      <c r="BX17" s="24"/>
      <c r="BY17" s="24"/>
      <c r="BZ17" s="24"/>
      <c r="CA17" s="24"/>
      <c r="CB17" s="24"/>
      <c r="CC17" s="24"/>
      <c r="CD17" s="24"/>
      <c r="CE17" s="24"/>
      <c r="CF17" s="24"/>
      <c r="CG17" s="24"/>
      <c r="CH17" s="24"/>
      <c r="CI17" s="24"/>
      <c r="CJ17" s="24"/>
      <c r="CK17" s="24"/>
      <c r="CL17" s="24"/>
      <c r="CM17" s="24"/>
      <c r="CN17" s="24"/>
      <c r="CO17" s="24"/>
      <c r="CP17" s="24"/>
      <c r="CQ17" s="24"/>
      <c r="CR17" s="24"/>
      <c r="CS17" s="24"/>
      <c r="CT17" s="24"/>
      <c r="CU17" s="24"/>
      <c r="CV17" s="24"/>
      <c r="CW17" s="24"/>
      <c r="CX17" s="24"/>
      <c r="CY17" s="24"/>
      <c r="CZ17" s="24"/>
      <c r="DA17" s="24"/>
      <c r="DB17" s="24"/>
      <c r="DC17" s="24"/>
      <c r="DD17" s="24"/>
      <c r="DE17" s="24"/>
      <c r="DF17" s="24"/>
      <c r="DG17" s="24"/>
      <c r="DH17" s="24"/>
      <c r="DI17" s="24"/>
      <c r="DJ17" s="24"/>
      <c r="DK17" s="24"/>
      <c r="DL17" s="24"/>
      <c r="DM17" s="24"/>
      <c r="DN17" s="24"/>
      <c r="DO17" s="24"/>
      <c r="DP17" s="24"/>
      <c r="DQ17" s="25"/>
      <c r="DR17" s="25"/>
      <c r="DS17" s="25"/>
      <c r="DT17" s="24"/>
      <c r="DU17" s="24"/>
      <c r="DV17" s="24"/>
      <c r="DW17" s="24"/>
      <c r="DX17" s="24"/>
      <c r="DY17" s="24"/>
      <c r="DZ17" s="24"/>
      <c r="EA17" s="24"/>
      <c r="EB17" s="24"/>
      <c r="EC17" s="24"/>
      <c r="ED17" s="24"/>
      <c r="EE17" s="24"/>
      <c r="EF17" s="24"/>
      <c r="EG17" s="24"/>
      <c r="EH17" s="24"/>
      <c r="EI17" s="24"/>
      <c r="EJ17" s="24"/>
      <c r="EK17" s="24"/>
      <c r="EL17" s="24"/>
      <c r="EM17" s="24"/>
      <c r="EN17" s="24"/>
      <c r="EO17" s="24"/>
      <c r="EP17" s="24"/>
      <c r="EQ17" s="24"/>
      <c r="ER17" s="24"/>
      <c r="ES17" s="24"/>
      <c r="ET17" s="24"/>
      <c r="EU17" s="24"/>
      <c r="EV17" s="24"/>
      <c r="EW17" s="24"/>
      <c r="EX17" s="24"/>
      <c r="EY17" s="24"/>
      <c r="EZ17" s="24"/>
      <c r="FA17" s="24"/>
      <c r="FB17" s="24"/>
      <c r="FC17" s="24"/>
      <c r="FD17" s="24"/>
      <c r="FE17" s="24"/>
      <c r="FF17" s="24"/>
      <c r="FG17" s="24"/>
      <c r="FH17" s="24"/>
      <c r="FI17" s="24"/>
      <c r="FJ17" s="24"/>
      <c r="FK17" s="24"/>
      <c r="FL17" s="24"/>
      <c r="FM17" s="24"/>
      <c r="FN17" s="24"/>
      <c r="FO17" s="24"/>
      <c r="FP17" s="24"/>
      <c r="FQ17" s="24"/>
      <c r="FR17" s="24"/>
      <c r="FS17" s="24"/>
      <c r="FT17" s="24"/>
      <c r="FU17" s="24"/>
      <c r="FV17" s="24"/>
      <c r="FW17" s="24"/>
      <c r="FX17" s="24"/>
      <c r="FY17" s="24"/>
      <c r="FZ17" s="24"/>
      <c r="GA17" s="24"/>
      <c r="GB17" s="24"/>
      <c r="GC17" s="24"/>
      <c r="GD17" s="24"/>
      <c r="GE17" s="24"/>
      <c r="GF17" s="24"/>
      <c r="GG17" s="24"/>
      <c r="GH17" s="24"/>
      <c r="GI17" s="24"/>
      <c r="GJ17" s="24"/>
      <c r="GK17" s="24"/>
      <c r="GL17" s="24"/>
      <c r="GM17" s="24"/>
      <c r="GN17" s="24"/>
      <c r="GO17" s="24"/>
      <c r="GP17" s="24"/>
      <c r="GQ17" s="24"/>
      <c r="GR17" s="24"/>
      <c r="GS17" s="23"/>
      <c r="GT17" s="23"/>
      <c r="GU17" s="23"/>
      <c r="GV17" s="23"/>
      <c r="GW17" s="22"/>
      <c r="GX17" s="22"/>
      <c r="GY17" s="22"/>
      <c r="GZ17" s="22"/>
      <c r="HA17" s="22"/>
      <c r="HB17" s="22"/>
      <c r="HC17" s="22"/>
      <c r="HD17" s="22"/>
      <c r="HE17" s="22"/>
      <c r="HF17" s="22"/>
      <c r="HG17" s="22"/>
      <c r="HH17" s="22"/>
      <c r="HI17" s="22"/>
      <c r="HJ17" s="22"/>
      <c r="HK17" s="22"/>
      <c r="HL17" s="21"/>
      <c r="HM17" s="19"/>
      <c r="HN17" s="19"/>
      <c r="HO17" s="19"/>
      <c r="HP17" s="20"/>
      <c r="HQ17" s="19"/>
      <c r="HR17" s="16"/>
      <c r="HS17" s="16"/>
      <c r="HT17" s="18"/>
      <c r="HU17" s="16"/>
      <c r="HV17" s="16"/>
      <c r="HW17" s="16"/>
      <c r="HX17" s="15"/>
      <c r="HY17" s="15"/>
      <c r="HZ17" s="15"/>
      <c r="IA17" s="15"/>
      <c r="IB17" s="15"/>
      <c r="IC17" s="16"/>
      <c r="ID17" s="16"/>
      <c r="IE17" s="15"/>
      <c r="IF17" s="15"/>
      <c r="IG17" s="15"/>
      <c r="IH17" s="15"/>
      <c r="II17" s="15"/>
      <c r="IJ17" s="15"/>
      <c r="IK17" s="15"/>
      <c r="IL17" s="15"/>
      <c r="IM17" s="15"/>
      <c r="IN17" s="15"/>
      <c r="IO17" s="15"/>
      <c r="IP17" s="17"/>
      <c r="IQ17" s="15"/>
      <c r="IR17" s="15"/>
      <c r="IS17" s="15"/>
      <c r="IT17" s="15"/>
      <c r="IU17" s="15"/>
      <c r="IV17" s="15"/>
      <c r="IW17" s="15"/>
      <c r="IX17" s="15"/>
      <c r="IY17" s="15"/>
      <c r="IZ17" s="15"/>
      <c r="JA17" s="15"/>
      <c r="JB17" s="15"/>
      <c r="JC17" s="15"/>
      <c r="JD17" s="15"/>
      <c r="JE17" s="15"/>
      <c r="JF17" s="15"/>
      <c r="JG17" s="15"/>
      <c r="JH17" s="15"/>
      <c r="JI17" s="15"/>
      <c r="JJ17" s="15"/>
      <c r="JK17" s="15"/>
      <c r="JL17" s="15"/>
      <c r="JM17" s="15"/>
      <c r="JN17" s="16"/>
      <c r="JO17" s="16"/>
      <c r="JP17" s="16"/>
      <c r="JQ17" s="16"/>
      <c r="JR17" s="16"/>
      <c r="JS17" s="16"/>
      <c r="JT17" s="16"/>
      <c r="JU17" s="16"/>
      <c r="JV17" s="16"/>
      <c r="JW17" s="16"/>
      <c r="JX17" s="16"/>
      <c r="JY17" s="16"/>
      <c r="JZ17" s="16"/>
      <c r="KA17" s="16"/>
      <c r="KB17" s="16"/>
      <c r="KC17" s="16"/>
      <c r="KD17" s="16"/>
      <c r="KE17" s="16"/>
      <c r="KF17" s="16"/>
      <c r="KG17" s="16"/>
      <c r="KH17" s="16"/>
      <c r="KI17" s="16"/>
      <c r="KJ17" s="16"/>
      <c r="KK17" s="16"/>
      <c r="KL17" s="16"/>
      <c r="KM17" s="16"/>
      <c r="KN17" s="16"/>
      <c r="KO17" s="16"/>
      <c r="KP17" s="16"/>
      <c r="KQ17" s="16"/>
      <c r="KR17" s="16"/>
      <c r="KS17" s="16"/>
      <c r="KT17" s="15"/>
      <c r="KU17" s="15"/>
      <c r="KV17" s="15"/>
      <c r="KW17" s="15"/>
      <c r="KX17" s="15"/>
      <c r="KY17" s="15"/>
      <c r="KZ17" s="15"/>
      <c r="LA17" s="15"/>
      <c r="LB17" s="15"/>
      <c r="LC17" s="15"/>
      <c r="LD17" s="15"/>
      <c r="LE17" s="15"/>
      <c r="LF17" s="15"/>
      <c r="LG17" s="15"/>
      <c r="LH17" s="15"/>
      <c r="LI17" s="15"/>
      <c r="LJ17" s="15"/>
      <c r="LK17" s="15"/>
      <c r="LL17" s="15"/>
      <c r="LM17" s="15"/>
      <c r="LN17" s="473">
        <f t="shared" si="1"/>
        <v>0</v>
      </c>
    </row>
    <row r="18" spans="1:326" ht="14.7" customHeight="1">
      <c r="A18" s="1160"/>
      <c r="B18" s="32"/>
      <c r="C18" s="32"/>
      <c r="D18" s="32"/>
      <c r="E18" s="32"/>
      <c r="F18" s="32"/>
      <c r="G18" s="32"/>
      <c r="H18" s="32"/>
      <c r="I18" s="32"/>
      <c r="J18" s="32"/>
      <c r="K18" s="32"/>
      <c r="L18" s="32"/>
      <c r="M18" s="32"/>
      <c r="N18" s="33"/>
      <c r="O18" s="32"/>
      <c r="P18" s="29" t="s">
        <v>59</v>
      </c>
      <c r="Q18" s="29">
        <v>1.0500000000000001E-2</v>
      </c>
      <c r="R18" s="29">
        <v>1.0500000000000001E-2</v>
      </c>
      <c r="S18" s="29">
        <v>1.0500000000000001E-2</v>
      </c>
      <c r="T18" s="29">
        <v>1.0500000000000001E-2</v>
      </c>
      <c r="U18" s="29">
        <v>1.0500000000000001E-2</v>
      </c>
      <c r="V18" s="29">
        <v>1.0500000000000001E-2</v>
      </c>
      <c r="W18" s="29">
        <v>1.0500000000000001E-2</v>
      </c>
      <c r="X18" s="29">
        <v>1.0500000000000001E-2</v>
      </c>
      <c r="Y18" s="29">
        <v>1.0500000000000001E-2</v>
      </c>
      <c r="Z18" s="29">
        <v>1.0500000000000001E-2</v>
      </c>
      <c r="AA18" s="29">
        <v>1.0500000000000001E-2</v>
      </c>
      <c r="AB18" s="29">
        <v>1.0500000000000001E-2</v>
      </c>
      <c r="AC18" s="29">
        <v>1.0500000000000001E-2</v>
      </c>
      <c r="AD18" s="29">
        <v>1.0500000000000001E-2</v>
      </c>
      <c r="AE18" s="29">
        <v>1.0500000000000001E-2</v>
      </c>
      <c r="AF18" s="29">
        <v>1.0500000000000001E-2</v>
      </c>
      <c r="AG18" s="29">
        <v>1.0500000000000001E-2</v>
      </c>
      <c r="AH18" s="29">
        <v>1.0500000000000001E-2</v>
      </c>
      <c r="AI18" s="29">
        <v>1.0500000000000001E-2</v>
      </c>
      <c r="AJ18" s="29">
        <v>1.0500000000000001E-2</v>
      </c>
      <c r="AK18" s="29">
        <v>1.0500000000000001E-2</v>
      </c>
      <c r="AL18" s="29">
        <v>1.0500000000000001E-2</v>
      </c>
      <c r="AM18" s="29">
        <v>1.0500000000000001E-2</v>
      </c>
      <c r="AN18" s="29">
        <v>1.0500000000000001E-2</v>
      </c>
      <c r="AO18" s="29">
        <v>1.0500000000000001E-2</v>
      </c>
      <c r="AP18" s="29">
        <v>1.0500000000000001E-2</v>
      </c>
      <c r="AQ18" s="29">
        <v>1.0500000000000001E-2</v>
      </c>
      <c r="AR18" s="29">
        <v>1.0500000000000001E-2</v>
      </c>
      <c r="AS18" s="29">
        <v>1.0500000000000001E-2</v>
      </c>
      <c r="AT18" s="29">
        <v>1.0500000000000001E-2</v>
      </c>
      <c r="AU18" s="29">
        <v>1.0500000000000001E-2</v>
      </c>
      <c r="AV18" s="29">
        <v>1.0500000000000001E-2</v>
      </c>
      <c r="AW18" s="29">
        <v>1.0500000000000001E-2</v>
      </c>
      <c r="AX18" s="29">
        <v>1.0500000000000001E-2</v>
      </c>
      <c r="AY18" s="30">
        <v>1.0500000000000001E-2</v>
      </c>
      <c r="AZ18" s="29">
        <v>1.0500000000000001E-2</v>
      </c>
      <c r="BA18" s="29">
        <v>1.0500000000000001E-2</v>
      </c>
      <c r="BB18" s="29">
        <v>1.0500000000000001E-2</v>
      </c>
      <c r="BC18" s="29">
        <v>1.0500000000000001E-2</v>
      </c>
      <c r="BD18" s="29">
        <v>1.0500000000000001E-2</v>
      </c>
      <c r="BE18" s="29">
        <v>1.0500000000000001E-2</v>
      </c>
      <c r="BF18" s="29">
        <v>1.0500000000000001E-2</v>
      </c>
      <c r="BG18" s="29">
        <v>1.0500000000000001E-2</v>
      </c>
      <c r="BH18" s="28">
        <v>1.0500000000000001E-2</v>
      </c>
      <c r="BI18" s="27"/>
      <c r="BJ18" s="26"/>
      <c r="BK18" s="24"/>
      <c r="BL18" s="24"/>
      <c r="BM18" s="24"/>
      <c r="BN18" s="24"/>
      <c r="BO18" s="24"/>
      <c r="BP18" s="24"/>
      <c r="BQ18" s="24"/>
      <c r="BR18" s="24"/>
      <c r="BS18" s="24"/>
      <c r="BT18" s="24"/>
      <c r="BU18" s="24"/>
      <c r="BV18" s="24"/>
      <c r="BW18" s="24"/>
      <c r="BX18" s="24"/>
      <c r="BY18" s="24"/>
      <c r="BZ18" s="24"/>
      <c r="CA18" s="24"/>
      <c r="CB18" s="24"/>
      <c r="CC18" s="24"/>
      <c r="CD18" s="24"/>
      <c r="CE18" s="24"/>
      <c r="CF18" s="24"/>
      <c r="CG18" s="24"/>
      <c r="CH18" s="24"/>
      <c r="CI18" s="24"/>
      <c r="CJ18" s="24"/>
      <c r="CK18" s="24"/>
      <c r="CL18" s="24"/>
      <c r="CM18" s="24"/>
      <c r="CN18" s="24"/>
      <c r="CO18" s="24"/>
      <c r="CP18" s="24"/>
      <c r="CQ18" s="24"/>
      <c r="CR18" s="24"/>
      <c r="CS18" s="24"/>
      <c r="CT18" s="24"/>
      <c r="CU18" s="24"/>
      <c r="CV18" s="24"/>
      <c r="CW18" s="24"/>
      <c r="CX18" s="24"/>
      <c r="CY18" s="24"/>
      <c r="CZ18" s="24"/>
      <c r="DA18" s="24"/>
      <c r="DB18" s="24"/>
      <c r="DC18" s="24"/>
      <c r="DD18" s="24"/>
      <c r="DE18" s="24"/>
      <c r="DF18" s="24"/>
      <c r="DG18" s="24"/>
      <c r="DH18" s="24"/>
      <c r="DI18" s="24"/>
      <c r="DJ18" s="24"/>
      <c r="DK18" s="24"/>
      <c r="DL18" s="24"/>
      <c r="DM18" s="24"/>
      <c r="DN18" s="24"/>
      <c r="DO18" s="24"/>
      <c r="DP18" s="24"/>
      <c r="DQ18" s="25"/>
      <c r="DR18" s="25"/>
      <c r="DS18" s="25"/>
      <c r="DT18" s="24"/>
      <c r="DU18" s="24"/>
      <c r="DV18" s="24"/>
      <c r="DW18" s="24"/>
      <c r="DX18" s="24"/>
      <c r="DY18" s="24"/>
      <c r="DZ18" s="24"/>
      <c r="EA18" s="24"/>
      <c r="EB18" s="24"/>
      <c r="EC18" s="24"/>
      <c r="ED18" s="24"/>
      <c r="EE18" s="24"/>
      <c r="EF18" s="24"/>
      <c r="EG18" s="24"/>
      <c r="EH18" s="24"/>
      <c r="EI18" s="24"/>
      <c r="EJ18" s="24"/>
      <c r="EK18" s="24"/>
      <c r="EL18" s="24"/>
      <c r="EM18" s="24"/>
      <c r="EN18" s="24"/>
      <c r="EO18" s="24"/>
      <c r="EP18" s="24"/>
      <c r="EQ18" s="24"/>
      <c r="ER18" s="24"/>
      <c r="ES18" s="24"/>
      <c r="ET18" s="24"/>
      <c r="EU18" s="24"/>
      <c r="EV18" s="24"/>
      <c r="EW18" s="24"/>
      <c r="EX18" s="24"/>
      <c r="EY18" s="24"/>
      <c r="EZ18" s="24"/>
      <c r="FA18" s="24"/>
      <c r="FB18" s="24"/>
      <c r="FC18" s="24"/>
      <c r="FD18" s="24"/>
      <c r="FE18" s="24"/>
      <c r="FF18" s="24"/>
      <c r="FG18" s="24"/>
      <c r="FH18" s="24"/>
      <c r="FI18" s="24"/>
      <c r="FJ18" s="24"/>
      <c r="FK18" s="24"/>
      <c r="FL18" s="24"/>
      <c r="FM18" s="24"/>
      <c r="FN18" s="24"/>
      <c r="FO18" s="24"/>
      <c r="FP18" s="24"/>
      <c r="FQ18" s="24"/>
      <c r="FR18" s="24"/>
      <c r="FS18" s="24"/>
      <c r="FT18" s="24"/>
      <c r="FU18" s="24"/>
      <c r="FV18" s="24"/>
      <c r="FW18" s="24"/>
      <c r="FX18" s="24"/>
      <c r="FY18" s="24"/>
      <c r="FZ18" s="24"/>
      <c r="GA18" s="24"/>
      <c r="GB18" s="24"/>
      <c r="GC18" s="24"/>
      <c r="GD18" s="24"/>
      <c r="GE18" s="24"/>
      <c r="GF18" s="24"/>
      <c r="GG18" s="24"/>
      <c r="GH18" s="24"/>
      <c r="GI18" s="24"/>
      <c r="GJ18" s="24"/>
      <c r="GK18" s="24"/>
      <c r="GL18" s="24"/>
      <c r="GM18" s="24"/>
      <c r="GN18" s="24"/>
      <c r="GO18" s="24"/>
      <c r="GP18" s="24"/>
      <c r="GQ18" s="24"/>
      <c r="GR18" s="24"/>
      <c r="GS18" s="23"/>
      <c r="GT18" s="23"/>
      <c r="GU18" s="23"/>
      <c r="GV18" s="23"/>
      <c r="GW18" s="22"/>
      <c r="GX18" s="22"/>
      <c r="GY18" s="22"/>
      <c r="GZ18" s="22"/>
      <c r="HA18" s="22"/>
      <c r="HB18" s="22"/>
      <c r="HC18" s="22"/>
      <c r="HD18" s="22"/>
      <c r="HE18" s="22"/>
      <c r="HF18" s="22"/>
      <c r="HG18" s="22"/>
      <c r="HH18" s="22"/>
      <c r="HI18" s="22"/>
      <c r="HJ18" s="22"/>
      <c r="HK18" s="22"/>
      <c r="HL18" s="21"/>
      <c r="HM18" s="19"/>
      <c r="HN18" s="19"/>
      <c r="HO18" s="19"/>
      <c r="HP18" s="20"/>
      <c r="HQ18" s="19"/>
      <c r="HR18" s="16"/>
      <c r="HS18" s="16"/>
      <c r="HT18" s="18"/>
      <c r="HU18" s="16"/>
      <c r="HV18" s="16"/>
      <c r="HW18" s="16"/>
      <c r="HX18" s="15"/>
      <c r="HY18" s="15"/>
      <c r="HZ18" s="15"/>
      <c r="IA18" s="15"/>
      <c r="IB18" s="15"/>
      <c r="IC18" s="16"/>
      <c r="ID18" s="16"/>
      <c r="IE18" s="15"/>
      <c r="IF18" s="15"/>
      <c r="IG18" s="15"/>
      <c r="IH18" s="15"/>
      <c r="II18" s="15"/>
      <c r="IJ18" s="15"/>
      <c r="IK18" s="15"/>
      <c r="IL18" s="15"/>
      <c r="IM18" s="15"/>
      <c r="IN18" s="15"/>
      <c r="IO18" s="15"/>
      <c r="IP18" s="17"/>
      <c r="IQ18" s="15"/>
      <c r="IR18" s="15"/>
      <c r="IS18" s="15"/>
      <c r="IT18" s="15"/>
      <c r="IU18" s="15"/>
      <c r="IV18" s="15"/>
      <c r="IW18" s="15"/>
      <c r="IX18" s="15"/>
      <c r="IY18" s="15"/>
      <c r="IZ18" s="15"/>
      <c r="JA18" s="15"/>
      <c r="JB18" s="15"/>
      <c r="JC18" s="15"/>
      <c r="JD18" s="15"/>
      <c r="JE18" s="15"/>
      <c r="JF18" s="15"/>
      <c r="JG18" s="15"/>
      <c r="JH18" s="15"/>
      <c r="JI18" s="15"/>
      <c r="JJ18" s="15"/>
      <c r="JK18" s="15"/>
      <c r="JL18" s="15"/>
      <c r="JM18" s="15"/>
      <c r="JN18" s="16"/>
      <c r="JO18" s="16"/>
      <c r="JP18" s="16"/>
      <c r="JQ18" s="16"/>
      <c r="JR18" s="16"/>
      <c r="JS18" s="16"/>
      <c r="JT18" s="16"/>
      <c r="JU18" s="16"/>
      <c r="JV18" s="16"/>
      <c r="JW18" s="16"/>
      <c r="JX18" s="16"/>
      <c r="JY18" s="16"/>
      <c r="JZ18" s="16"/>
      <c r="KA18" s="16"/>
      <c r="KB18" s="16"/>
      <c r="KC18" s="16"/>
      <c r="KD18" s="16"/>
      <c r="KE18" s="16"/>
      <c r="KF18" s="16"/>
      <c r="KG18" s="16"/>
      <c r="KH18" s="16"/>
      <c r="KI18" s="16"/>
      <c r="KJ18" s="16"/>
      <c r="KK18" s="16"/>
      <c r="KL18" s="16"/>
      <c r="KM18" s="16"/>
      <c r="KN18" s="16"/>
      <c r="KO18" s="16"/>
      <c r="KP18" s="16"/>
      <c r="KQ18" s="16"/>
      <c r="KR18" s="16"/>
      <c r="KS18" s="16"/>
      <c r="KT18" s="15"/>
      <c r="KU18" s="15"/>
      <c r="KV18" s="15"/>
      <c r="KW18" s="15"/>
      <c r="KX18" s="15"/>
      <c r="KY18" s="15"/>
      <c r="KZ18" s="15"/>
      <c r="LA18" s="15"/>
      <c r="LB18" s="15"/>
      <c r="LC18" s="15"/>
      <c r="LD18" s="15"/>
      <c r="LE18" s="15"/>
      <c r="LF18" s="15"/>
      <c r="LG18" s="15"/>
      <c r="LH18" s="15"/>
      <c r="LI18" s="15"/>
      <c r="LJ18" s="15"/>
      <c r="LK18" s="15"/>
      <c r="LL18" s="15"/>
      <c r="LM18" s="15"/>
      <c r="LN18" s="473">
        <f t="shared" si="1"/>
        <v>0</v>
      </c>
    </row>
    <row r="19" spans="1:326" ht="14.7" customHeight="1">
      <c r="A19" s="1161"/>
      <c r="B19" s="31" t="s">
        <v>58</v>
      </c>
      <c r="C19" s="31" t="s">
        <v>58</v>
      </c>
      <c r="D19" s="31" t="s">
        <v>58</v>
      </c>
      <c r="E19" s="31" t="s">
        <v>57</v>
      </c>
      <c r="F19" s="31"/>
      <c r="G19" s="31"/>
      <c r="H19" s="31" t="s">
        <v>56</v>
      </c>
      <c r="I19" s="31" t="s">
        <v>56</v>
      </c>
      <c r="J19" s="31" t="s">
        <v>56</v>
      </c>
      <c r="K19" s="31" t="s">
        <v>55</v>
      </c>
      <c r="L19" s="31" t="s">
        <v>54</v>
      </c>
      <c r="M19" s="31" t="s">
        <v>54</v>
      </c>
      <c r="N19" s="31" t="s">
        <v>54</v>
      </c>
      <c r="O19" s="31"/>
      <c r="P19" s="29" t="s">
        <v>53</v>
      </c>
      <c r="Q19" s="29">
        <v>1.15E-2</v>
      </c>
      <c r="R19" s="29">
        <v>1.15E-2</v>
      </c>
      <c r="S19" s="29">
        <v>1.15E-2</v>
      </c>
      <c r="T19" s="29">
        <v>1.15E-2</v>
      </c>
      <c r="U19" s="29">
        <v>1.15E-2</v>
      </c>
      <c r="V19" s="29">
        <v>1.15E-2</v>
      </c>
      <c r="W19" s="29">
        <v>1.15E-2</v>
      </c>
      <c r="X19" s="29">
        <v>1.15E-2</v>
      </c>
      <c r="Y19" s="29">
        <v>1.15E-2</v>
      </c>
      <c r="Z19" s="29">
        <v>1.15E-2</v>
      </c>
      <c r="AA19" s="29">
        <v>1.15E-2</v>
      </c>
      <c r="AB19" s="29">
        <v>1.15E-2</v>
      </c>
      <c r="AC19" s="29">
        <v>1.15E-2</v>
      </c>
      <c r="AD19" s="29">
        <v>1.15E-2</v>
      </c>
      <c r="AE19" s="29">
        <v>1.15E-2</v>
      </c>
      <c r="AF19" s="29">
        <v>1.15E-2</v>
      </c>
      <c r="AG19" s="29">
        <v>1.15E-2</v>
      </c>
      <c r="AH19" s="29">
        <v>1.15E-2</v>
      </c>
      <c r="AI19" s="29">
        <v>1.15E-2</v>
      </c>
      <c r="AJ19" s="29">
        <v>1.15E-2</v>
      </c>
      <c r="AK19" s="29">
        <v>1.15E-2</v>
      </c>
      <c r="AL19" s="29">
        <v>1.15E-2</v>
      </c>
      <c r="AM19" s="29">
        <v>1.15E-2</v>
      </c>
      <c r="AN19" s="29">
        <v>1.15E-2</v>
      </c>
      <c r="AO19" s="29">
        <v>1.15E-2</v>
      </c>
      <c r="AP19" s="29">
        <v>1.15E-2</v>
      </c>
      <c r="AQ19" s="29">
        <v>1.15E-2</v>
      </c>
      <c r="AR19" s="29">
        <v>1.15E-2</v>
      </c>
      <c r="AS19" s="29">
        <v>1.15E-2</v>
      </c>
      <c r="AT19" s="29">
        <v>1.15E-2</v>
      </c>
      <c r="AU19" s="29">
        <v>1.15E-2</v>
      </c>
      <c r="AV19" s="29">
        <v>1.15E-2</v>
      </c>
      <c r="AW19" s="29">
        <v>1.15E-2</v>
      </c>
      <c r="AX19" s="29">
        <v>1.15E-2</v>
      </c>
      <c r="AY19" s="30">
        <v>1.15E-2</v>
      </c>
      <c r="AZ19" s="29">
        <v>1.15E-2</v>
      </c>
      <c r="BA19" s="29">
        <v>1.15E-2</v>
      </c>
      <c r="BB19" s="29">
        <v>1.15E-2</v>
      </c>
      <c r="BC19" s="29">
        <v>1.15E-2</v>
      </c>
      <c r="BD19" s="29">
        <v>1.15E-2</v>
      </c>
      <c r="BE19" s="29">
        <v>1.15E-2</v>
      </c>
      <c r="BF19" s="29">
        <v>1.15E-2</v>
      </c>
      <c r="BG19" s="29">
        <v>1.15E-2</v>
      </c>
      <c r="BH19" s="28">
        <v>1.15E-2</v>
      </c>
      <c r="BI19" s="27"/>
      <c r="BJ19" s="26"/>
      <c r="BK19" s="24"/>
      <c r="BL19" s="24"/>
      <c r="BM19" s="24"/>
      <c r="BN19" s="24"/>
      <c r="BO19" s="24"/>
      <c r="BP19" s="24"/>
      <c r="BQ19" s="24"/>
      <c r="BR19" s="24"/>
      <c r="BS19" s="24"/>
      <c r="BT19" s="24"/>
      <c r="BU19" s="24"/>
      <c r="BV19" s="24"/>
      <c r="BW19" s="24"/>
      <c r="BX19" s="24"/>
      <c r="BY19" s="24"/>
      <c r="BZ19" s="24"/>
      <c r="CA19" s="24"/>
      <c r="CB19" s="24"/>
      <c r="CC19" s="24"/>
      <c r="CD19" s="24"/>
      <c r="CE19" s="24"/>
      <c r="CF19" s="24"/>
      <c r="CG19" s="24"/>
      <c r="CH19" s="24"/>
      <c r="CI19" s="24"/>
      <c r="CJ19" s="24"/>
      <c r="CK19" s="24"/>
      <c r="CL19" s="24"/>
      <c r="CM19" s="24"/>
      <c r="CN19" s="24"/>
      <c r="CO19" s="24"/>
      <c r="CP19" s="24"/>
      <c r="CQ19" s="24"/>
      <c r="CR19" s="24"/>
      <c r="CS19" s="24"/>
      <c r="CT19" s="24"/>
      <c r="CU19" s="24"/>
      <c r="CV19" s="24"/>
      <c r="CW19" s="24"/>
      <c r="CX19" s="24"/>
      <c r="CY19" s="24"/>
      <c r="CZ19" s="24"/>
      <c r="DA19" s="24"/>
      <c r="DB19" s="24"/>
      <c r="DC19" s="24"/>
      <c r="DD19" s="24"/>
      <c r="DE19" s="24"/>
      <c r="DF19" s="24"/>
      <c r="DG19" s="24"/>
      <c r="DH19" s="24"/>
      <c r="DI19" s="24"/>
      <c r="DJ19" s="24"/>
      <c r="DK19" s="24"/>
      <c r="DL19" s="24"/>
      <c r="DM19" s="24"/>
      <c r="DN19" s="24"/>
      <c r="DO19" s="24"/>
      <c r="DP19" s="24"/>
      <c r="DQ19" s="25"/>
      <c r="DR19" s="25"/>
      <c r="DS19" s="25"/>
      <c r="DT19" s="24"/>
      <c r="DU19" s="24"/>
      <c r="DV19" s="24"/>
      <c r="DW19" s="24"/>
      <c r="DX19" s="24"/>
      <c r="DY19" s="24"/>
      <c r="DZ19" s="24"/>
      <c r="EA19" s="24"/>
      <c r="EB19" s="24"/>
      <c r="EC19" s="24"/>
      <c r="ED19" s="24"/>
      <c r="EE19" s="24"/>
      <c r="EF19" s="24"/>
      <c r="EG19" s="24"/>
      <c r="EH19" s="24"/>
      <c r="EI19" s="24"/>
      <c r="EJ19" s="24"/>
      <c r="EK19" s="24"/>
      <c r="EL19" s="24"/>
      <c r="EM19" s="24"/>
      <c r="EN19" s="24"/>
      <c r="EO19" s="24"/>
      <c r="EP19" s="24"/>
      <c r="EQ19" s="24"/>
      <c r="ER19" s="24"/>
      <c r="ES19" s="24"/>
      <c r="ET19" s="24"/>
      <c r="EU19" s="24"/>
      <c r="EV19" s="24"/>
      <c r="EW19" s="24"/>
      <c r="EX19" s="24"/>
      <c r="EY19" s="24"/>
      <c r="EZ19" s="24"/>
      <c r="FA19" s="24"/>
      <c r="FB19" s="24"/>
      <c r="FC19" s="24"/>
      <c r="FD19" s="24"/>
      <c r="FE19" s="24"/>
      <c r="FF19" s="24"/>
      <c r="FG19" s="24"/>
      <c r="FH19" s="24"/>
      <c r="FI19" s="24"/>
      <c r="FJ19" s="24"/>
      <c r="FK19" s="24"/>
      <c r="FL19" s="24"/>
      <c r="FM19" s="24"/>
      <c r="FN19" s="24"/>
      <c r="FO19" s="24"/>
      <c r="FP19" s="24"/>
      <c r="FQ19" s="24"/>
      <c r="FR19" s="24"/>
      <c r="FS19" s="24"/>
      <c r="FT19" s="24"/>
      <c r="FU19" s="24"/>
      <c r="FV19" s="24"/>
      <c r="FW19" s="24"/>
      <c r="FX19" s="24"/>
      <c r="FY19" s="24"/>
      <c r="FZ19" s="24"/>
      <c r="GA19" s="24"/>
      <c r="GB19" s="24"/>
      <c r="GC19" s="24"/>
      <c r="GD19" s="24"/>
      <c r="GE19" s="24"/>
      <c r="GF19" s="24"/>
      <c r="GG19" s="24"/>
      <c r="GH19" s="24"/>
      <c r="GI19" s="24"/>
      <c r="GJ19" s="24"/>
      <c r="GK19" s="24"/>
      <c r="GL19" s="24"/>
      <c r="GM19" s="24"/>
      <c r="GN19" s="24"/>
      <c r="GO19" s="24"/>
      <c r="GP19" s="24"/>
      <c r="GQ19" s="24"/>
      <c r="GR19" s="24"/>
      <c r="GS19" s="23"/>
      <c r="GT19" s="23"/>
      <c r="GU19" s="23"/>
      <c r="GV19" s="23"/>
      <c r="GW19" s="22"/>
      <c r="GX19" s="22"/>
      <c r="GY19" s="22"/>
      <c r="GZ19" s="22"/>
      <c r="HA19" s="22"/>
      <c r="HB19" s="22"/>
      <c r="HC19" s="22"/>
      <c r="HD19" s="22"/>
      <c r="HE19" s="22"/>
      <c r="HF19" s="22"/>
      <c r="HG19" s="22"/>
      <c r="HH19" s="22"/>
      <c r="HI19" s="22"/>
      <c r="HJ19" s="22"/>
      <c r="HK19" s="22"/>
      <c r="HL19" s="21"/>
      <c r="HM19" s="19"/>
      <c r="HN19" s="19"/>
      <c r="HO19" s="19"/>
      <c r="HP19" s="20"/>
      <c r="HQ19" s="19"/>
      <c r="HR19" s="16"/>
      <c r="HS19" s="16"/>
      <c r="HT19" s="18"/>
      <c r="HU19" s="16"/>
      <c r="HV19" s="16"/>
      <c r="HW19" s="16"/>
      <c r="HX19" s="15"/>
      <c r="HY19" s="15"/>
      <c r="HZ19" s="15"/>
      <c r="IA19" s="15"/>
      <c r="IB19" s="15"/>
      <c r="IC19" s="16"/>
      <c r="ID19" s="16"/>
      <c r="IE19" s="15"/>
      <c r="IF19" s="15"/>
      <c r="IG19" s="15"/>
      <c r="IH19" s="15"/>
      <c r="II19" s="15"/>
      <c r="IJ19" s="15"/>
      <c r="IK19" s="15"/>
      <c r="IL19" s="15"/>
      <c r="IM19" s="15"/>
      <c r="IN19" s="15"/>
      <c r="IO19" s="15"/>
      <c r="IP19" s="17"/>
      <c r="IQ19" s="15"/>
      <c r="IR19" s="15"/>
      <c r="IS19" s="15"/>
      <c r="IT19" s="15"/>
      <c r="IU19" s="15"/>
      <c r="IV19" s="15"/>
      <c r="IW19" s="15"/>
      <c r="IX19" s="15"/>
      <c r="IY19" s="15"/>
      <c r="IZ19" s="15"/>
      <c r="JA19" s="15"/>
      <c r="JB19" s="15"/>
      <c r="JC19" s="15"/>
      <c r="JD19" s="15"/>
      <c r="JE19" s="15"/>
      <c r="JF19" s="15"/>
      <c r="JG19" s="15"/>
      <c r="JH19" s="15"/>
      <c r="JI19" s="15"/>
      <c r="JJ19" s="15"/>
      <c r="JK19" s="15"/>
      <c r="JL19" s="15"/>
      <c r="JM19" s="15"/>
      <c r="JN19" s="16"/>
      <c r="JO19" s="16"/>
      <c r="JP19" s="16"/>
      <c r="JQ19" s="16"/>
      <c r="JR19" s="16"/>
      <c r="JS19" s="16"/>
      <c r="JT19" s="16"/>
      <c r="JU19" s="16"/>
      <c r="JV19" s="16"/>
      <c r="JW19" s="16"/>
      <c r="JX19" s="16"/>
      <c r="JY19" s="16"/>
      <c r="JZ19" s="16"/>
      <c r="KA19" s="16"/>
      <c r="KB19" s="16"/>
      <c r="KC19" s="16"/>
      <c r="KD19" s="16"/>
      <c r="KE19" s="16"/>
      <c r="KF19" s="16"/>
      <c r="KG19" s="16"/>
      <c r="KH19" s="16"/>
      <c r="KI19" s="16"/>
      <c r="KJ19" s="16"/>
      <c r="KK19" s="16"/>
      <c r="KL19" s="16"/>
      <c r="KM19" s="16"/>
      <c r="KN19" s="16"/>
      <c r="KO19" s="16"/>
      <c r="KP19" s="16"/>
      <c r="KQ19" s="16"/>
      <c r="KR19" s="16"/>
      <c r="KS19" s="16"/>
      <c r="KT19" s="15"/>
      <c r="KU19" s="15"/>
      <c r="KV19" s="15"/>
      <c r="KW19" s="15"/>
      <c r="KX19" s="15"/>
      <c r="KY19" s="15"/>
      <c r="KZ19" s="15"/>
      <c r="LA19" s="15"/>
      <c r="LB19" s="15"/>
      <c r="LC19" s="15"/>
      <c r="LD19" s="15"/>
      <c r="LE19" s="15"/>
      <c r="LF19" s="15"/>
      <c r="LG19" s="15"/>
      <c r="LH19" s="15"/>
      <c r="LI19" s="15"/>
      <c r="LJ19" s="15"/>
      <c r="LK19" s="15"/>
      <c r="LL19" s="15"/>
      <c r="LM19" s="15"/>
      <c r="LN19" s="473">
        <f t="shared" si="1"/>
        <v>0</v>
      </c>
    </row>
    <row r="20" spans="1:326" ht="14.7" customHeight="1">
      <c r="A20" s="1167" t="s">
        <v>598</v>
      </c>
      <c r="B20" s="60"/>
      <c r="C20" s="60"/>
      <c r="D20" s="60"/>
      <c r="E20" s="60"/>
      <c r="F20" s="60"/>
      <c r="G20" s="60"/>
      <c r="H20" s="60"/>
      <c r="I20" s="60"/>
      <c r="J20" s="60"/>
      <c r="K20" s="60"/>
      <c r="L20" s="60"/>
      <c r="M20" s="60"/>
      <c r="N20" s="61"/>
      <c r="O20" s="60"/>
      <c r="P20" s="738" t="s">
        <v>219</v>
      </c>
      <c r="Q20" s="626">
        <v>3.5000000000000001E-3</v>
      </c>
      <c r="R20" s="626">
        <v>3.5000000000000001E-3</v>
      </c>
      <c r="S20" s="626">
        <v>3.5000000000000001E-3</v>
      </c>
      <c r="T20" s="626">
        <v>3.5000000000000001E-3</v>
      </c>
      <c r="U20" s="626">
        <v>3.5000000000000001E-3</v>
      </c>
      <c r="V20" s="626">
        <v>3.5000000000000001E-3</v>
      </c>
      <c r="W20" s="626">
        <v>3.5000000000000001E-3</v>
      </c>
      <c r="X20" s="626">
        <v>3.5000000000000001E-3</v>
      </c>
      <c r="Y20" s="626">
        <v>3.5000000000000001E-3</v>
      </c>
      <c r="Z20" s="626">
        <v>3.5000000000000001E-3</v>
      </c>
      <c r="AA20" s="626">
        <v>3.5000000000000001E-3</v>
      </c>
      <c r="AB20" s="626">
        <v>3.5000000000000001E-3</v>
      </c>
      <c r="AC20" s="626">
        <v>3.5000000000000001E-3</v>
      </c>
      <c r="AD20" s="626">
        <v>3.5000000000000001E-3</v>
      </c>
      <c r="AE20" s="626">
        <v>3.5000000000000001E-3</v>
      </c>
      <c r="AF20" s="626">
        <v>3.5000000000000001E-3</v>
      </c>
      <c r="AG20" s="614">
        <v>3.5000000000000001E-3</v>
      </c>
      <c r="AH20" s="614">
        <v>3.5000000000000001E-3</v>
      </c>
      <c r="AI20" s="590">
        <v>3.5000000000000001E-3</v>
      </c>
      <c r="AJ20" s="595" t="s">
        <v>599</v>
      </c>
      <c r="AK20" s="593"/>
      <c r="AL20" s="593"/>
      <c r="AM20" s="593"/>
      <c r="AN20" s="593"/>
      <c r="AO20" s="593"/>
      <c r="AP20" s="593"/>
      <c r="AQ20" s="593"/>
      <c r="AR20" s="593"/>
      <c r="AS20" s="593"/>
      <c r="AT20" s="593"/>
      <c r="AU20" s="593"/>
      <c r="AV20" s="593"/>
      <c r="AW20" s="593"/>
      <c r="AX20" s="593"/>
      <c r="AY20" s="592"/>
      <c r="AZ20" s="593"/>
      <c r="BA20" s="593"/>
      <c r="BB20" s="593"/>
      <c r="BC20" s="593"/>
      <c r="BD20" s="593"/>
      <c r="BE20" s="593"/>
      <c r="BF20" s="593"/>
      <c r="BG20" s="593"/>
      <c r="BH20" s="594"/>
      <c r="BI20" s="26"/>
      <c r="BJ20" s="26"/>
      <c r="BK20" s="24"/>
      <c r="BL20" s="24"/>
      <c r="BM20" s="24"/>
      <c r="BN20" s="24"/>
      <c r="BO20" s="24"/>
      <c r="BP20" s="24"/>
      <c r="BQ20" s="24"/>
      <c r="BR20" s="24"/>
      <c r="BS20" s="24"/>
      <c r="BT20" s="24"/>
      <c r="BU20" s="24"/>
      <c r="BV20" s="24"/>
      <c r="BW20" s="24"/>
      <c r="BX20" s="24"/>
      <c r="BY20" s="24"/>
      <c r="BZ20" s="24"/>
      <c r="CA20" s="24"/>
      <c r="CB20" s="24"/>
      <c r="CC20" s="24"/>
      <c r="CD20" s="24"/>
      <c r="CE20" s="24"/>
      <c r="CF20" s="24"/>
      <c r="CG20" s="24"/>
      <c r="CH20" s="24"/>
      <c r="CI20" s="24"/>
      <c r="CJ20" s="24"/>
      <c r="CK20" s="24"/>
      <c r="CL20" s="24"/>
      <c r="CM20" s="24"/>
      <c r="CN20" s="24"/>
      <c r="CO20" s="24"/>
      <c r="CP20" s="24"/>
      <c r="CQ20" s="24"/>
      <c r="CR20" s="24"/>
      <c r="CS20" s="24"/>
      <c r="CT20" s="24"/>
      <c r="CU20" s="24"/>
      <c r="CV20" s="24"/>
      <c r="CW20" s="24"/>
      <c r="CX20" s="24"/>
      <c r="CY20" s="24"/>
      <c r="CZ20" s="24"/>
      <c r="DA20" s="24"/>
      <c r="DB20" s="24"/>
      <c r="DC20" s="24"/>
      <c r="DD20" s="24"/>
      <c r="DE20" s="24"/>
      <c r="DF20" s="24"/>
      <c r="DG20" s="24"/>
      <c r="DH20" s="24"/>
      <c r="DI20" s="24"/>
      <c r="DJ20" s="24"/>
      <c r="DK20" s="24"/>
      <c r="DL20" s="24"/>
      <c r="DM20" s="24"/>
      <c r="DN20" s="24"/>
      <c r="DO20" s="24"/>
      <c r="DP20" s="24"/>
      <c r="DQ20" s="25"/>
      <c r="DR20" s="25"/>
      <c r="DS20" s="25"/>
      <c r="DT20" s="24"/>
      <c r="DU20" s="24"/>
      <c r="DV20" s="24"/>
      <c r="DW20" s="24"/>
      <c r="DX20" s="24"/>
      <c r="DY20" s="24"/>
      <c r="DZ20" s="24"/>
      <c r="EA20" s="24"/>
      <c r="EB20" s="24"/>
      <c r="EC20" s="24"/>
      <c r="ED20" s="24"/>
      <c r="EE20" s="24"/>
      <c r="EF20" s="24"/>
      <c r="EG20" s="24"/>
      <c r="EH20" s="24"/>
      <c r="EI20" s="24"/>
      <c r="EJ20" s="24"/>
      <c r="EK20" s="24"/>
      <c r="EL20" s="24"/>
      <c r="EM20" s="24"/>
      <c r="EN20" s="24"/>
      <c r="EO20" s="24"/>
      <c r="EP20" s="24"/>
      <c r="EQ20" s="24"/>
      <c r="ER20" s="24"/>
      <c r="ES20" s="24"/>
      <c r="ET20" s="24"/>
      <c r="EU20" s="24"/>
      <c r="EV20" s="24"/>
      <c r="EW20" s="24"/>
      <c r="EX20" s="24"/>
      <c r="EY20" s="24"/>
      <c r="EZ20" s="24"/>
      <c r="FA20" s="24"/>
      <c r="FB20" s="24"/>
      <c r="FC20" s="24"/>
      <c r="FD20" s="24"/>
      <c r="FE20" s="24"/>
      <c r="FF20" s="24"/>
      <c r="FG20" s="24"/>
      <c r="FH20" s="24"/>
      <c r="FI20" s="24"/>
      <c r="FJ20" s="24"/>
      <c r="FK20" s="24"/>
      <c r="FL20" s="24"/>
      <c r="FM20" s="24"/>
      <c r="FN20" s="24"/>
      <c r="FO20" s="24"/>
      <c r="FP20" s="24"/>
      <c r="FQ20" s="24"/>
      <c r="FR20" s="24"/>
      <c r="FS20" s="24"/>
      <c r="FT20" s="24"/>
      <c r="FU20" s="24"/>
      <c r="FV20" s="24"/>
      <c r="FW20" s="24"/>
      <c r="FX20" s="24"/>
      <c r="FY20" s="24"/>
      <c r="FZ20" s="24"/>
      <c r="GA20" s="24"/>
      <c r="GB20" s="24"/>
      <c r="GC20" s="24"/>
      <c r="GD20" s="24"/>
      <c r="GE20" s="24"/>
      <c r="GF20" s="24"/>
      <c r="GG20" s="24"/>
      <c r="GH20" s="24"/>
      <c r="GI20" s="24"/>
      <c r="GJ20" s="24"/>
      <c r="GK20" s="24"/>
      <c r="GL20" s="24"/>
      <c r="GM20" s="24"/>
      <c r="GN20" s="24"/>
      <c r="GO20" s="24"/>
      <c r="GP20" s="24"/>
      <c r="GQ20" s="24"/>
      <c r="GR20" s="24"/>
      <c r="GS20" s="23"/>
      <c r="GT20" s="23"/>
      <c r="GU20" s="23"/>
      <c r="GV20" s="23"/>
      <c r="GW20" s="22"/>
      <c r="GX20" s="22"/>
      <c r="GY20" s="22"/>
      <c r="GZ20" s="22"/>
      <c r="HA20" s="22"/>
      <c r="HB20" s="22"/>
      <c r="HC20" s="22"/>
      <c r="HD20" s="22"/>
      <c r="HE20" s="22"/>
      <c r="HF20" s="22"/>
      <c r="HG20" s="22"/>
      <c r="HH20" s="22"/>
      <c r="HI20" s="22"/>
      <c r="HJ20" s="22"/>
      <c r="HK20" s="22"/>
      <c r="HL20" s="21"/>
      <c r="HM20" s="19"/>
      <c r="HN20" s="19"/>
      <c r="HO20" s="19"/>
      <c r="HP20" s="20"/>
      <c r="HQ20" s="19"/>
      <c r="HR20" s="16"/>
      <c r="HS20" s="16"/>
      <c r="HT20" s="18"/>
      <c r="HU20" s="16"/>
      <c r="HV20" s="16"/>
      <c r="HW20" s="16"/>
      <c r="HX20" s="15"/>
      <c r="HY20" s="15"/>
      <c r="HZ20" s="15"/>
      <c r="IA20" s="15"/>
      <c r="IB20" s="15"/>
      <c r="IC20" s="16"/>
      <c r="ID20" s="16"/>
      <c r="IE20" s="15"/>
      <c r="IF20" s="15"/>
      <c r="IG20" s="15"/>
      <c r="IH20" s="15"/>
      <c r="II20" s="15"/>
      <c r="IJ20" s="15"/>
      <c r="IK20" s="15"/>
      <c r="IL20" s="15"/>
      <c r="IM20" s="15"/>
      <c r="IN20" s="15"/>
      <c r="IO20" s="15"/>
      <c r="IP20" s="17"/>
      <c r="IQ20" s="15"/>
      <c r="IR20" s="15"/>
      <c r="IS20" s="15"/>
      <c r="IT20" s="15"/>
      <c r="IU20" s="15"/>
      <c r="IV20" s="15"/>
      <c r="IW20" s="15"/>
      <c r="IX20" s="15"/>
      <c r="IY20" s="15"/>
      <c r="IZ20" s="15"/>
      <c r="JA20" s="15"/>
      <c r="JB20" s="15"/>
      <c r="JC20" s="15"/>
      <c r="JD20" s="15"/>
      <c r="JE20" s="15"/>
      <c r="JF20" s="15"/>
      <c r="JG20" s="15"/>
      <c r="JH20" s="15"/>
      <c r="JI20" s="15"/>
      <c r="JJ20" s="15"/>
      <c r="JK20" s="15"/>
      <c r="JL20" s="15"/>
      <c r="JM20" s="15"/>
      <c r="JN20" s="16"/>
      <c r="JO20" s="16"/>
      <c r="JP20" s="16"/>
      <c r="JQ20" s="16"/>
      <c r="JR20" s="16"/>
      <c r="JS20" s="16"/>
      <c r="JT20" s="16"/>
      <c r="JU20" s="16"/>
      <c r="JV20" s="16"/>
      <c r="JW20" s="16"/>
      <c r="JX20" s="16"/>
      <c r="JY20" s="16"/>
      <c r="JZ20" s="16"/>
      <c r="KA20" s="16"/>
      <c r="KB20" s="16"/>
      <c r="KC20" s="16"/>
      <c r="KD20" s="16"/>
      <c r="KE20" s="16"/>
      <c r="KF20" s="16"/>
      <c r="KG20" s="16"/>
      <c r="KH20" s="16"/>
      <c r="KI20" s="16"/>
      <c r="KJ20" s="16"/>
      <c r="KK20" s="16"/>
      <c r="KL20" s="16"/>
      <c r="KM20" s="16"/>
      <c r="KN20" s="16"/>
      <c r="KO20" s="16"/>
      <c r="KP20" s="16"/>
      <c r="KQ20" s="16"/>
      <c r="KR20" s="16"/>
      <c r="KS20" s="16"/>
      <c r="KT20" s="15"/>
      <c r="KU20" s="15"/>
      <c r="KV20" s="15"/>
      <c r="KW20" s="15"/>
      <c r="KX20" s="15"/>
      <c r="KY20" s="15"/>
      <c r="KZ20" s="15"/>
      <c r="LA20" s="15"/>
      <c r="LB20" s="15"/>
      <c r="LC20" s="15"/>
      <c r="LD20" s="15"/>
      <c r="LE20" s="15"/>
      <c r="LF20" s="15"/>
      <c r="LG20" s="15"/>
      <c r="LH20" s="15"/>
      <c r="LI20" s="15"/>
      <c r="LJ20" s="15"/>
      <c r="LK20" s="15"/>
      <c r="LL20" s="15"/>
      <c r="LM20" s="15"/>
      <c r="LN20" s="473">
        <f t="shared" si="1"/>
        <v>0</v>
      </c>
    </row>
    <row r="21" spans="1:326" ht="14.7" customHeight="1">
      <c r="A21" s="1168"/>
      <c r="B21" s="60"/>
      <c r="C21" s="60"/>
      <c r="D21" s="60"/>
      <c r="E21" s="60"/>
      <c r="F21" s="60"/>
      <c r="G21" s="60"/>
      <c r="H21" s="60"/>
      <c r="I21" s="60"/>
      <c r="J21" s="60"/>
      <c r="K21" s="60"/>
      <c r="L21" s="60"/>
      <c r="M21" s="60"/>
      <c r="N21" s="61"/>
      <c r="O21" s="60"/>
      <c r="P21" s="738" t="s">
        <v>218</v>
      </c>
      <c r="Q21" s="626">
        <v>4.4999999999999997E-3</v>
      </c>
      <c r="R21" s="626">
        <v>4.4999999999999997E-3</v>
      </c>
      <c r="S21" s="626">
        <v>4.4999999999999997E-3</v>
      </c>
      <c r="T21" s="626">
        <v>4.4999999999999997E-3</v>
      </c>
      <c r="U21" s="626">
        <v>4.4999999999999997E-3</v>
      </c>
      <c r="V21" s="626">
        <v>4.4999999999999997E-3</v>
      </c>
      <c r="W21" s="626">
        <v>4.4999999999999997E-3</v>
      </c>
      <c r="X21" s="626">
        <v>4.4999999999999997E-3</v>
      </c>
      <c r="Y21" s="626">
        <v>4.4999999999999997E-3</v>
      </c>
      <c r="Z21" s="626">
        <v>4.4999999999999997E-3</v>
      </c>
      <c r="AA21" s="626">
        <v>4.4999999999999997E-3</v>
      </c>
      <c r="AB21" s="626">
        <v>4.4999999999999997E-3</v>
      </c>
      <c r="AC21" s="626">
        <v>4.4999999999999997E-3</v>
      </c>
      <c r="AD21" s="626">
        <v>4.4999999999999997E-3</v>
      </c>
      <c r="AE21" s="626">
        <v>4.4999999999999997E-3</v>
      </c>
      <c r="AF21" s="626">
        <v>4.4999999999999997E-3</v>
      </c>
      <c r="AG21" s="614">
        <v>4.4999999999999997E-3</v>
      </c>
      <c r="AH21" s="614">
        <v>4.4999999999999997E-3</v>
      </c>
      <c r="AI21" s="590">
        <v>4.4999999999999997E-3</v>
      </c>
      <c r="AJ21" s="595" t="s">
        <v>599</v>
      </c>
      <c r="AK21" s="593"/>
      <c r="AL21" s="593"/>
      <c r="AM21" s="593"/>
      <c r="AN21" s="593"/>
      <c r="AO21" s="593"/>
      <c r="AP21" s="593"/>
      <c r="AQ21" s="593"/>
      <c r="AR21" s="593"/>
      <c r="AS21" s="593"/>
      <c r="AT21" s="593"/>
      <c r="AU21" s="593"/>
      <c r="AV21" s="593"/>
      <c r="AW21" s="593"/>
      <c r="AX21" s="593"/>
      <c r="AY21" s="592"/>
      <c r="AZ21" s="593"/>
      <c r="BA21" s="593"/>
      <c r="BB21" s="593"/>
      <c r="BC21" s="593"/>
      <c r="BD21" s="593"/>
      <c r="BE21" s="593"/>
      <c r="BF21" s="593"/>
      <c r="BG21" s="593"/>
      <c r="BH21" s="594"/>
      <c r="BI21" s="26"/>
      <c r="BJ21" s="26"/>
      <c r="BK21" s="24"/>
      <c r="BL21" s="24"/>
      <c r="BM21" s="24"/>
      <c r="BN21" s="24"/>
      <c r="BO21" s="24"/>
      <c r="BP21" s="24"/>
      <c r="BQ21" s="24"/>
      <c r="BR21" s="24"/>
      <c r="BS21" s="24"/>
      <c r="BT21" s="24"/>
      <c r="BU21" s="24"/>
      <c r="BV21" s="24"/>
      <c r="BW21" s="24"/>
      <c r="BX21" s="24"/>
      <c r="BY21" s="24"/>
      <c r="BZ21" s="24"/>
      <c r="CA21" s="24"/>
      <c r="CB21" s="24"/>
      <c r="CC21" s="24"/>
      <c r="CD21" s="24"/>
      <c r="CE21" s="24"/>
      <c r="CF21" s="24"/>
      <c r="CG21" s="24"/>
      <c r="CH21" s="24"/>
      <c r="CI21" s="24"/>
      <c r="CJ21" s="24"/>
      <c r="CK21" s="24"/>
      <c r="CL21" s="24"/>
      <c r="CM21" s="24"/>
      <c r="CN21" s="24"/>
      <c r="CO21" s="24"/>
      <c r="CP21" s="24"/>
      <c r="CQ21" s="24"/>
      <c r="CR21" s="24"/>
      <c r="CS21" s="24"/>
      <c r="CT21" s="24"/>
      <c r="CU21" s="24"/>
      <c r="CV21" s="24"/>
      <c r="CW21" s="24"/>
      <c r="CX21" s="24"/>
      <c r="CY21" s="24"/>
      <c r="CZ21" s="24"/>
      <c r="DA21" s="24"/>
      <c r="DB21" s="24"/>
      <c r="DC21" s="24"/>
      <c r="DD21" s="24"/>
      <c r="DE21" s="24"/>
      <c r="DF21" s="24"/>
      <c r="DG21" s="24"/>
      <c r="DH21" s="24"/>
      <c r="DI21" s="24"/>
      <c r="DJ21" s="24"/>
      <c r="DK21" s="24"/>
      <c r="DL21" s="24"/>
      <c r="DM21" s="24"/>
      <c r="DN21" s="24"/>
      <c r="DO21" s="24"/>
      <c r="DP21" s="24"/>
      <c r="DQ21" s="25"/>
      <c r="DR21" s="25"/>
      <c r="DS21" s="25"/>
      <c r="DT21" s="24"/>
      <c r="DU21" s="24"/>
      <c r="DV21" s="24"/>
      <c r="DW21" s="24"/>
      <c r="DX21" s="24"/>
      <c r="DY21" s="24"/>
      <c r="DZ21" s="24"/>
      <c r="EA21" s="24"/>
      <c r="EB21" s="24"/>
      <c r="EC21" s="24"/>
      <c r="ED21" s="24"/>
      <c r="EE21" s="24"/>
      <c r="EF21" s="24"/>
      <c r="EG21" s="24"/>
      <c r="EH21" s="24"/>
      <c r="EI21" s="24"/>
      <c r="EJ21" s="24"/>
      <c r="EK21" s="24"/>
      <c r="EL21" s="24"/>
      <c r="EM21" s="24"/>
      <c r="EN21" s="24"/>
      <c r="EO21" s="24"/>
      <c r="EP21" s="24"/>
      <c r="EQ21" s="24"/>
      <c r="ER21" s="24"/>
      <c r="ES21" s="24"/>
      <c r="ET21" s="24"/>
      <c r="EU21" s="24"/>
      <c r="EV21" s="24"/>
      <c r="EW21" s="24"/>
      <c r="EX21" s="24"/>
      <c r="EY21" s="24"/>
      <c r="EZ21" s="24"/>
      <c r="FA21" s="24"/>
      <c r="FB21" s="24"/>
      <c r="FC21" s="24"/>
      <c r="FD21" s="24"/>
      <c r="FE21" s="24"/>
      <c r="FF21" s="24"/>
      <c r="FG21" s="24"/>
      <c r="FH21" s="24"/>
      <c r="FI21" s="24"/>
      <c r="FJ21" s="24"/>
      <c r="FK21" s="24"/>
      <c r="FL21" s="24"/>
      <c r="FM21" s="24"/>
      <c r="FN21" s="24"/>
      <c r="FO21" s="24"/>
      <c r="FP21" s="24"/>
      <c r="FQ21" s="24"/>
      <c r="FR21" s="24"/>
      <c r="FS21" s="24"/>
      <c r="FT21" s="24"/>
      <c r="FU21" s="24"/>
      <c r="FV21" s="24"/>
      <c r="FW21" s="24"/>
      <c r="FX21" s="24"/>
      <c r="FY21" s="24"/>
      <c r="FZ21" s="24"/>
      <c r="GA21" s="24"/>
      <c r="GB21" s="24"/>
      <c r="GC21" s="24"/>
      <c r="GD21" s="24"/>
      <c r="GE21" s="24"/>
      <c r="GF21" s="24"/>
      <c r="GG21" s="24"/>
      <c r="GH21" s="24"/>
      <c r="GI21" s="24"/>
      <c r="GJ21" s="24"/>
      <c r="GK21" s="24"/>
      <c r="GL21" s="24"/>
      <c r="GM21" s="24"/>
      <c r="GN21" s="24"/>
      <c r="GO21" s="24"/>
      <c r="GP21" s="24"/>
      <c r="GQ21" s="24"/>
      <c r="GR21" s="24"/>
      <c r="GS21" s="23"/>
      <c r="GT21" s="23"/>
      <c r="GU21" s="23"/>
      <c r="GV21" s="23"/>
      <c r="GW21" s="22"/>
      <c r="GX21" s="22"/>
      <c r="GY21" s="22"/>
      <c r="GZ21" s="22"/>
      <c r="HA21" s="22"/>
      <c r="HB21" s="22"/>
      <c r="HC21" s="22"/>
      <c r="HD21" s="22"/>
      <c r="HE21" s="22"/>
      <c r="HF21" s="22"/>
      <c r="HG21" s="22"/>
      <c r="HH21" s="22"/>
      <c r="HI21" s="22"/>
      <c r="HJ21" s="22"/>
      <c r="HK21" s="22"/>
      <c r="HL21" s="21"/>
      <c r="HM21" s="19"/>
      <c r="HN21" s="19"/>
      <c r="HO21" s="19"/>
      <c r="HP21" s="20"/>
      <c r="HQ21" s="19"/>
      <c r="HR21" s="16"/>
      <c r="HS21" s="16"/>
      <c r="HT21" s="18"/>
      <c r="HU21" s="16"/>
      <c r="HV21" s="16"/>
      <c r="HW21" s="16"/>
      <c r="HX21" s="15"/>
      <c r="HY21" s="15"/>
      <c r="HZ21" s="15"/>
      <c r="IA21" s="15"/>
      <c r="IB21" s="15"/>
      <c r="IC21" s="16"/>
      <c r="ID21" s="16"/>
      <c r="IE21" s="15"/>
      <c r="IF21" s="15"/>
      <c r="IG21" s="15"/>
      <c r="IH21" s="15"/>
      <c r="II21" s="15"/>
      <c r="IJ21" s="15"/>
      <c r="IK21" s="15"/>
      <c r="IL21" s="15"/>
      <c r="IM21" s="15"/>
      <c r="IN21" s="15"/>
      <c r="IO21" s="15"/>
      <c r="IP21" s="17"/>
      <c r="IQ21" s="15"/>
      <c r="IR21" s="15"/>
      <c r="IS21" s="15"/>
      <c r="IT21" s="15"/>
      <c r="IU21" s="15"/>
      <c r="IV21" s="15"/>
      <c r="IW21" s="15"/>
      <c r="IX21" s="15"/>
      <c r="IY21" s="15"/>
      <c r="IZ21" s="15"/>
      <c r="JA21" s="15"/>
      <c r="JB21" s="15"/>
      <c r="JC21" s="15"/>
      <c r="JD21" s="15"/>
      <c r="JE21" s="15"/>
      <c r="JF21" s="15"/>
      <c r="JG21" s="15"/>
      <c r="JH21" s="15"/>
      <c r="JI21" s="15"/>
      <c r="JJ21" s="15"/>
      <c r="JK21" s="15"/>
      <c r="JL21" s="15"/>
      <c r="JM21" s="15"/>
      <c r="JN21" s="16"/>
      <c r="JO21" s="16"/>
      <c r="JP21" s="16"/>
      <c r="JQ21" s="16"/>
      <c r="JR21" s="16"/>
      <c r="JS21" s="16"/>
      <c r="JT21" s="16"/>
      <c r="JU21" s="16"/>
      <c r="JV21" s="16"/>
      <c r="JW21" s="16"/>
      <c r="JX21" s="16"/>
      <c r="JY21" s="16"/>
      <c r="JZ21" s="16"/>
      <c r="KA21" s="16"/>
      <c r="KB21" s="16"/>
      <c r="KC21" s="16"/>
      <c r="KD21" s="16"/>
      <c r="KE21" s="16"/>
      <c r="KF21" s="16"/>
      <c r="KG21" s="16"/>
      <c r="KH21" s="16"/>
      <c r="KI21" s="16"/>
      <c r="KJ21" s="16"/>
      <c r="KK21" s="16"/>
      <c r="KL21" s="16"/>
      <c r="KM21" s="16"/>
      <c r="KN21" s="16"/>
      <c r="KO21" s="16"/>
      <c r="KP21" s="16"/>
      <c r="KQ21" s="16"/>
      <c r="KR21" s="16"/>
      <c r="KS21" s="16"/>
      <c r="KT21" s="15"/>
      <c r="KU21" s="15"/>
      <c r="KV21" s="15"/>
      <c r="KW21" s="15"/>
      <c r="KX21" s="15"/>
      <c r="KY21" s="15"/>
      <c r="KZ21" s="15"/>
      <c r="LA21" s="15"/>
      <c r="LB21" s="15"/>
      <c r="LC21" s="15"/>
      <c r="LD21" s="15"/>
      <c r="LE21" s="15"/>
      <c r="LF21" s="15"/>
      <c r="LG21" s="15"/>
      <c r="LH21" s="15"/>
      <c r="LI21" s="15"/>
      <c r="LJ21" s="15"/>
      <c r="LK21" s="15"/>
      <c r="LL21" s="15"/>
      <c r="LM21" s="15"/>
      <c r="LN21" s="473">
        <f t="shared" si="1"/>
        <v>0</v>
      </c>
    </row>
    <row r="22" spans="1:326" ht="14.7" customHeight="1">
      <c r="A22" s="1168"/>
      <c r="B22" s="60"/>
      <c r="C22" s="60"/>
      <c r="D22" s="60"/>
      <c r="E22" s="60"/>
      <c r="F22" s="60"/>
      <c r="G22" s="60"/>
      <c r="H22" s="60"/>
      <c r="I22" s="60"/>
      <c r="J22" s="60"/>
      <c r="K22" s="60"/>
      <c r="L22" s="60"/>
      <c r="M22" s="60"/>
      <c r="N22" s="61"/>
      <c r="O22" s="60"/>
      <c r="P22" s="738" t="s">
        <v>217</v>
      </c>
      <c r="Q22" s="626">
        <v>5.0000000000000001E-3</v>
      </c>
      <c r="R22" s="626">
        <v>5.0000000000000001E-3</v>
      </c>
      <c r="S22" s="626">
        <v>5.0000000000000001E-3</v>
      </c>
      <c r="T22" s="626">
        <v>5.0000000000000001E-3</v>
      </c>
      <c r="U22" s="626">
        <v>5.0000000000000001E-3</v>
      </c>
      <c r="V22" s="626">
        <v>5.0000000000000001E-3</v>
      </c>
      <c r="W22" s="626">
        <v>5.0000000000000001E-3</v>
      </c>
      <c r="X22" s="626">
        <v>5.0000000000000001E-3</v>
      </c>
      <c r="Y22" s="626">
        <v>5.0000000000000001E-3</v>
      </c>
      <c r="Z22" s="626">
        <v>5.0000000000000001E-3</v>
      </c>
      <c r="AA22" s="626">
        <v>5.0000000000000001E-3</v>
      </c>
      <c r="AB22" s="626">
        <v>5.0000000000000001E-3</v>
      </c>
      <c r="AC22" s="626">
        <v>5.0000000000000001E-3</v>
      </c>
      <c r="AD22" s="626">
        <v>5.0000000000000001E-3</v>
      </c>
      <c r="AE22" s="626">
        <v>5.0000000000000001E-3</v>
      </c>
      <c r="AF22" s="626">
        <v>5.0000000000000001E-3</v>
      </c>
      <c r="AG22" s="614">
        <v>5.0000000000000001E-3</v>
      </c>
      <c r="AH22" s="614">
        <v>5.0000000000000001E-3</v>
      </c>
      <c r="AI22" s="590">
        <v>5.0000000000000001E-3</v>
      </c>
      <c r="AJ22" s="595" t="s">
        <v>599</v>
      </c>
      <c r="AK22" s="593"/>
      <c r="AL22" s="593"/>
      <c r="AM22" s="593"/>
      <c r="AN22" s="593"/>
      <c r="AO22" s="593"/>
      <c r="AP22" s="593"/>
      <c r="AQ22" s="593"/>
      <c r="AR22" s="593"/>
      <c r="AS22" s="593"/>
      <c r="AT22" s="593"/>
      <c r="AU22" s="593"/>
      <c r="AV22" s="593"/>
      <c r="AW22" s="593"/>
      <c r="AX22" s="593"/>
      <c r="AY22" s="592"/>
      <c r="AZ22" s="593"/>
      <c r="BA22" s="593"/>
      <c r="BB22" s="593"/>
      <c r="BC22" s="593"/>
      <c r="BD22" s="593"/>
      <c r="BE22" s="593"/>
      <c r="BF22" s="593"/>
      <c r="BG22" s="593"/>
      <c r="BH22" s="594"/>
      <c r="BI22" s="26"/>
      <c r="BJ22" s="26"/>
      <c r="BK22" s="24"/>
      <c r="BL22" s="24"/>
      <c r="BM22" s="24"/>
      <c r="BN22" s="24"/>
      <c r="BO22" s="24"/>
      <c r="BP22" s="24"/>
      <c r="BQ22" s="24"/>
      <c r="BR22" s="24"/>
      <c r="BS22" s="24"/>
      <c r="BT22" s="24"/>
      <c r="BU22" s="24"/>
      <c r="BV22" s="24"/>
      <c r="BW22" s="24"/>
      <c r="BX22" s="24"/>
      <c r="BY22" s="24"/>
      <c r="BZ22" s="24"/>
      <c r="CA22" s="24"/>
      <c r="CB22" s="24"/>
      <c r="CC22" s="24"/>
      <c r="CD22" s="24"/>
      <c r="CE22" s="24"/>
      <c r="CF22" s="24"/>
      <c r="CG22" s="24"/>
      <c r="CH22" s="24"/>
      <c r="CI22" s="24"/>
      <c r="CJ22" s="24"/>
      <c r="CK22" s="24"/>
      <c r="CL22" s="24"/>
      <c r="CM22" s="24"/>
      <c r="CN22" s="24"/>
      <c r="CO22" s="24"/>
      <c r="CP22" s="24"/>
      <c r="CQ22" s="24"/>
      <c r="CR22" s="24"/>
      <c r="CS22" s="24"/>
      <c r="CT22" s="24"/>
      <c r="CU22" s="24"/>
      <c r="CV22" s="24"/>
      <c r="CW22" s="24"/>
      <c r="CX22" s="24"/>
      <c r="CY22" s="24"/>
      <c r="CZ22" s="24"/>
      <c r="DA22" s="24"/>
      <c r="DB22" s="24"/>
      <c r="DC22" s="24"/>
      <c r="DD22" s="24"/>
      <c r="DE22" s="24"/>
      <c r="DF22" s="24"/>
      <c r="DG22" s="24"/>
      <c r="DH22" s="24"/>
      <c r="DI22" s="24"/>
      <c r="DJ22" s="24"/>
      <c r="DK22" s="24"/>
      <c r="DL22" s="24"/>
      <c r="DM22" s="24"/>
      <c r="DN22" s="24"/>
      <c r="DO22" s="24"/>
      <c r="DP22" s="24"/>
      <c r="DQ22" s="25"/>
      <c r="DR22" s="25"/>
      <c r="DS22" s="25"/>
      <c r="DT22" s="24"/>
      <c r="DU22" s="24"/>
      <c r="DV22" s="24"/>
      <c r="DW22" s="24"/>
      <c r="DX22" s="24"/>
      <c r="DY22" s="24"/>
      <c r="DZ22" s="24"/>
      <c r="EA22" s="24"/>
      <c r="EB22" s="24"/>
      <c r="EC22" s="24"/>
      <c r="ED22" s="24"/>
      <c r="EE22" s="24"/>
      <c r="EF22" s="24"/>
      <c r="EG22" s="24"/>
      <c r="EH22" s="24"/>
      <c r="EI22" s="24"/>
      <c r="EJ22" s="24"/>
      <c r="EK22" s="24"/>
      <c r="EL22" s="24"/>
      <c r="EM22" s="24"/>
      <c r="EN22" s="24"/>
      <c r="EO22" s="24"/>
      <c r="EP22" s="24"/>
      <c r="EQ22" s="24"/>
      <c r="ER22" s="24"/>
      <c r="ES22" s="24"/>
      <c r="ET22" s="24"/>
      <c r="EU22" s="24"/>
      <c r="EV22" s="24"/>
      <c r="EW22" s="24"/>
      <c r="EX22" s="24"/>
      <c r="EY22" s="24"/>
      <c r="EZ22" s="24"/>
      <c r="FA22" s="24"/>
      <c r="FB22" s="24"/>
      <c r="FC22" s="24"/>
      <c r="FD22" s="24"/>
      <c r="FE22" s="24"/>
      <c r="FF22" s="24"/>
      <c r="FG22" s="24"/>
      <c r="FH22" s="24"/>
      <c r="FI22" s="24"/>
      <c r="FJ22" s="24"/>
      <c r="FK22" s="24"/>
      <c r="FL22" s="24"/>
      <c r="FM22" s="24"/>
      <c r="FN22" s="24"/>
      <c r="FO22" s="24"/>
      <c r="FP22" s="24"/>
      <c r="FQ22" s="24"/>
      <c r="FR22" s="24"/>
      <c r="FS22" s="24"/>
      <c r="FT22" s="24"/>
      <c r="FU22" s="24"/>
      <c r="FV22" s="24"/>
      <c r="FW22" s="24"/>
      <c r="FX22" s="24"/>
      <c r="FY22" s="24"/>
      <c r="FZ22" s="24"/>
      <c r="GA22" s="24"/>
      <c r="GB22" s="24"/>
      <c r="GC22" s="24"/>
      <c r="GD22" s="24"/>
      <c r="GE22" s="24"/>
      <c r="GF22" s="24"/>
      <c r="GG22" s="24"/>
      <c r="GH22" s="24"/>
      <c r="GI22" s="24"/>
      <c r="GJ22" s="24"/>
      <c r="GK22" s="24"/>
      <c r="GL22" s="24"/>
      <c r="GM22" s="24"/>
      <c r="GN22" s="24"/>
      <c r="GO22" s="24"/>
      <c r="GP22" s="24"/>
      <c r="GQ22" s="24"/>
      <c r="GR22" s="24"/>
      <c r="GS22" s="23"/>
      <c r="GT22" s="23"/>
      <c r="GU22" s="23"/>
      <c r="GV22" s="23"/>
      <c r="GW22" s="22"/>
      <c r="GX22" s="22"/>
      <c r="GY22" s="22"/>
      <c r="GZ22" s="22"/>
      <c r="HA22" s="22"/>
      <c r="HB22" s="22"/>
      <c r="HC22" s="22"/>
      <c r="HD22" s="22"/>
      <c r="HE22" s="22"/>
      <c r="HF22" s="22"/>
      <c r="HG22" s="22"/>
      <c r="HH22" s="22"/>
      <c r="HI22" s="22"/>
      <c r="HJ22" s="22"/>
      <c r="HK22" s="22"/>
      <c r="HL22" s="21"/>
      <c r="HM22" s="19"/>
      <c r="HN22" s="19"/>
      <c r="HO22" s="19"/>
      <c r="HP22" s="20"/>
      <c r="HQ22" s="19"/>
      <c r="HR22" s="16"/>
      <c r="HS22" s="16"/>
      <c r="HT22" s="18"/>
      <c r="HU22" s="16"/>
      <c r="HV22" s="16"/>
      <c r="HW22" s="16"/>
      <c r="HX22" s="15"/>
      <c r="HY22" s="15"/>
      <c r="HZ22" s="15"/>
      <c r="IA22" s="15"/>
      <c r="IB22" s="15"/>
      <c r="IC22" s="16"/>
      <c r="ID22" s="16"/>
      <c r="IE22" s="15"/>
      <c r="IF22" s="15"/>
      <c r="IG22" s="15"/>
      <c r="IH22" s="15"/>
      <c r="II22" s="15"/>
      <c r="IJ22" s="15"/>
      <c r="IK22" s="15"/>
      <c r="IL22" s="15"/>
      <c r="IM22" s="15"/>
      <c r="IN22" s="15"/>
      <c r="IO22" s="15"/>
      <c r="IP22" s="17"/>
      <c r="IQ22" s="15"/>
      <c r="IR22" s="15"/>
      <c r="IS22" s="15"/>
      <c r="IT22" s="15"/>
      <c r="IU22" s="15"/>
      <c r="IV22" s="15"/>
      <c r="IW22" s="15"/>
      <c r="IX22" s="15"/>
      <c r="IY22" s="15"/>
      <c r="IZ22" s="15"/>
      <c r="JA22" s="15"/>
      <c r="JB22" s="15"/>
      <c r="JC22" s="15"/>
      <c r="JD22" s="15"/>
      <c r="JE22" s="15"/>
      <c r="JF22" s="15"/>
      <c r="JG22" s="15"/>
      <c r="JH22" s="15"/>
      <c r="JI22" s="15"/>
      <c r="JJ22" s="15"/>
      <c r="JK22" s="15"/>
      <c r="JL22" s="15"/>
      <c r="JM22" s="15"/>
      <c r="JN22" s="16"/>
      <c r="JO22" s="16"/>
      <c r="JP22" s="16"/>
      <c r="JQ22" s="16"/>
      <c r="JR22" s="16"/>
      <c r="JS22" s="16"/>
      <c r="JT22" s="16"/>
      <c r="JU22" s="16"/>
      <c r="JV22" s="16"/>
      <c r="JW22" s="16"/>
      <c r="JX22" s="16"/>
      <c r="JY22" s="16"/>
      <c r="JZ22" s="16"/>
      <c r="KA22" s="16"/>
      <c r="KB22" s="16"/>
      <c r="KC22" s="16"/>
      <c r="KD22" s="16"/>
      <c r="KE22" s="16"/>
      <c r="KF22" s="16"/>
      <c r="KG22" s="16"/>
      <c r="KH22" s="16"/>
      <c r="KI22" s="16"/>
      <c r="KJ22" s="16"/>
      <c r="KK22" s="16"/>
      <c r="KL22" s="16"/>
      <c r="KM22" s="16"/>
      <c r="KN22" s="16"/>
      <c r="KO22" s="16"/>
      <c r="KP22" s="16"/>
      <c r="KQ22" s="16"/>
      <c r="KR22" s="16"/>
      <c r="KS22" s="16"/>
      <c r="KT22" s="15"/>
      <c r="KU22" s="15"/>
      <c r="KV22" s="15"/>
      <c r="KW22" s="15"/>
      <c r="KX22" s="15"/>
      <c r="KY22" s="15"/>
      <c r="KZ22" s="15"/>
      <c r="LA22" s="15"/>
      <c r="LB22" s="15"/>
      <c r="LC22" s="15"/>
      <c r="LD22" s="15"/>
      <c r="LE22" s="15"/>
      <c r="LF22" s="15"/>
      <c r="LG22" s="15"/>
      <c r="LH22" s="15"/>
      <c r="LI22" s="15"/>
      <c r="LJ22" s="15"/>
      <c r="LK22" s="15"/>
      <c r="LL22" s="15"/>
      <c r="LM22" s="15"/>
      <c r="LN22" s="473">
        <f t="shared" si="1"/>
        <v>0</v>
      </c>
    </row>
    <row r="23" spans="1:326" ht="14.7" customHeight="1">
      <c r="A23" s="1169"/>
      <c r="B23" s="37" t="s">
        <v>58</v>
      </c>
      <c r="C23" s="37" t="s">
        <v>58</v>
      </c>
      <c r="D23" s="37" t="s">
        <v>58</v>
      </c>
      <c r="E23" s="37" t="s">
        <v>57</v>
      </c>
      <c r="F23" s="37"/>
      <c r="G23" s="37"/>
      <c r="H23" s="37" t="s">
        <v>56</v>
      </c>
      <c r="I23" s="37" t="s">
        <v>56</v>
      </c>
      <c r="J23" s="37" t="s">
        <v>56</v>
      </c>
      <c r="K23" s="37" t="s">
        <v>55</v>
      </c>
      <c r="L23" s="37" t="s">
        <v>54</v>
      </c>
      <c r="M23" s="37" t="s">
        <v>54</v>
      </c>
      <c r="N23" s="37" t="s">
        <v>54</v>
      </c>
      <c r="O23" s="37"/>
      <c r="P23" s="738" t="s">
        <v>216</v>
      </c>
      <c r="Q23" s="626">
        <v>6.0000000000000001E-3</v>
      </c>
      <c r="R23" s="626">
        <v>6.0000000000000001E-3</v>
      </c>
      <c r="S23" s="626">
        <v>6.0000000000000001E-3</v>
      </c>
      <c r="T23" s="626">
        <v>6.0000000000000001E-3</v>
      </c>
      <c r="U23" s="626">
        <v>6.0000000000000001E-3</v>
      </c>
      <c r="V23" s="626">
        <v>6.0000000000000001E-3</v>
      </c>
      <c r="W23" s="626">
        <v>6.0000000000000001E-3</v>
      </c>
      <c r="X23" s="626">
        <v>6.0000000000000001E-3</v>
      </c>
      <c r="Y23" s="626">
        <v>6.0000000000000001E-3</v>
      </c>
      <c r="Z23" s="626">
        <v>6.0000000000000001E-3</v>
      </c>
      <c r="AA23" s="626">
        <v>6.0000000000000001E-3</v>
      </c>
      <c r="AB23" s="626">
        <v>6.0000000000000001E-3</v>
      </c>
      <c r="AC23" s="626">
        <v>6.0000000000000001E-3</v>
      </c>
      <c r="AD23" s="626">
        <v>6.0000000000000001E-3</v>
      </c>
      <c r="AE23" s="626">
        <v>6.0000000000000001E-3</v>
      </c>
      <c r="AF23" s="626">
        <v>6.0000000000000001E-3</v>
      </c>
      <c r="AG23" s="614">
        <v>6.0000000000000001E-3</v>
      </c>
      <c r="AH23" s="614">
        <v>6.0000000000000001E-3</v>
      </c>
      <c r="AI23" s="590">
        <v>6.0000000000000001E-3</v>
      </c>
      <c r="AJ23" s="595" t="s">
        <v>599</v>
      </c>
      <c r="AK23" s="593"/>
      <c r="AL23" s="593"/>
      <c r="AM23" s="593"/>
      <c r="AN23" s="593"/>
      <c r="AO23" s="593"/>
      <c r="AP23" s="593"/>
      <c r="AQ23" s="593"/>
      <c r="AR23" s="593"/>
      <c r="AS23" s="593"/>
      <c r="AT23" s="593"/>
      <c r="AU23" s="593"/>
      <c r="AV23" s="593"/>
      <c r="AW23" s="593"/>
      <c r="AX23" s="593"/>
      <c r="AY23" s="592"/>
      <c r="AZ23" s="593"/>
      <c r="BA23" s="593"/>
      <c r="BB23" s="593"/>
      <c r="BC23" s="593"/>
      <c r="BD23" s="593"/>
      <c r="BE23" s="593"/>
      <c r="BF23" s="593"/>
      <c r="BG23" s="593"/>
      <c r="BH23" s="594"/>
      <c r="BI23" s="26"/>
      <c r="BJ23" s="26"/>
      <c r="BK23" s="24"/>
      <c r="BL23" s="24"/>
      <c r="BM23" s="24"/>
      <c r="BN23" s="24"/>
      <c r="BO23" s="24"/>
      <c r="BP23" s="24"/>
      <c r="BQ23" s="24"/>
      <c r="BR23" s="24"/>
      <c r="BS23" s="24"/>
      <c r="BT23" s="24"/>
      <c r="BU23" s="24"/>
      <c r="BV23" s="24"/>
      <c r="BW23" s="24"/>
      <c r="BX23" s="24"/>
      <c r="BY23" s="24"/>
      <c r="BZ23" s="24"/>
      <c r="CA23" s="24"/>
      <c r="CB23" s="24"/>
      <c r="CC23" s="24"/>
      <c r="CD23" s="24"/>
      <c r="CE23" s="24"/>
      <c r="CF23" s="24"/>
      <c r="CG23" s="24"/>
      <c r="CH23" s="24"/>
      <c r="CI23" s="24"/>
      <c r="CJ23" s="24"/>
      <c r="CK23" s="24"/>
      <c r="CL23" s="24"/>
      <c r="CM23" s="24"/>
      <c r="CN23" s="24"/>
      <c r="CO23" s="24"/>
      <c r="CP23" s="24"/>
      <c r="CQ23" s="24"/>
      <c r="CR23" s="24"/>
      <c r="CS23" s="24"/>
      <c r="CT23" s="24"/>
      <c r="CU23" s="24"/>
      <c r="CV23" s="24"/>
      <c r="CW23" s="24"/>
      <c r="CX23" s="24"/>
      <c r="CY23" s="24"/>
      <c r="CZ23" s="24"/>
      <c r="DA23" s="24"/>
      <c r="DB23" s="24"/>
      <c r="DC23" s="24"/>
      <c r="DD23" s="24"/>
      <c r="DE23" s="24"/>
      <c r="DF23" s="24"/>
      <c r="DG23" s="24"/>
      <c r="DH23" s="24"/>
      <c r="DI23" s="24"/>
      <c r="DJ23" s="24"/>
      <c r="DK23" s="24"/>
      <c r="DL23" s="24"/>
      <c r="DM23" s="24"/>
      <c r="DN23" s="24"/>
      <c r="DO23" s="24"/>
      <c r="DP23" s="24"/>
      <c r="DQ23" s="25"/>
      <c r="DR23" s="25"/>
      <c r="DS23" s="25"/>
      <c r="DT23" s="24"/>
      <c r="DU23" s="24"/>
      <c r="DV23" s="24"/>
      <c r="DW23" s="24"/>
      <c r="DX23" s="24"/>
      <c r="DY23" s="24"/>
      <c r="DZ23" s="24"/>
      <c r="EA23" s="24"/>
      <c r="EB23" s="24"/>
      <c r="EC23" s="24"/>
      <c r="ED23" s="24"/>
      <c r="EE23" s="24"/>
      <c r="EF23" s="24"/>
      <c r="EG23" s="24"/>
      <c r="EH23" s="24"/>
      <c r="EI23" s="24"/>
      <c r="EJ23" s="24"/>
      <c r="EK23" s="24"/>
      <c r="EL23" s="24"/>
      <c r="EM23" s="24"/>
      <c r="EN23" s="24"/>
      <c r="EO23" s="24"/>
      <c r="EP23" s="24"/>
      <c r="EQ23" s="24"/>
      <c r="ER23" s="24"/>
      <c r="ES23" s="24"/>
      <c r="ET23" s="24"/>
      <c r="EU23" s="24"/>
      <c r="EV23" s="24"/>
      <c r="EW23" s="24"/>
      <c r="EX23" s="24"/>
      <c r="EY23" s="24"/>
      <c r="EZ23" s="24"/>
      <c r="FA23" s="24"/>
      <c r="FB23" s="24"/>
      <c r="FC23" s="24"/>
      <c r="FD23" s="24"/>
      <c r="FE23" s="24"/>
      <c r="FF23" s="24"/>
      <c r="FG23" s="24"/>
      <c r="FH23" s="24"/>
      <c r="FI23" s="24"/>
      <c r="FJ23" s="24"/>
      <c r="FK23" s="24"/>
      <c r="FL23" s="24"/>
      <c r="FM23" s="24"/>
      <c r="FN23" s="24"/>
      <c r="FO23" s="24"/>
      <c r="FP23" s="24"/>
      <c r="FQ23" s="24"/>
      <c r="FR23" s="24"/>
      <c r="FS23" s="24"/>
      <c r="FT23" s="24"/>
      <c r="FU23" s="24"/>
      <c r="FV23" s="24"/>
      <c r="FW23" s="24"/>
      <c r="FX23" s="24"/>
      <c r="FY23" s="24"/>
      <c r="FZ23" s="24"/>
      <c r="GA23" s="24"/>
      <c r="GB23" s="24"/>
      <c r="GC23" s="24"/>
      <c r="GD23" s="24"/>
      <c r="GE23" s="24"/>
      <c r="GF23" s="24"/>
      <c r="GG23" s="24"/>
      <c r="GH23" s="24"/>
      <c r="GI23" s="24"/>
      <c r="GJ23" s="24"/>
      <c r="GK23" s="24"/>
      <c r="GL23" s="24"/>
      <c r="GM23" s="24"/>
      <c r="GN23" s="24"/>
      <c r="GO23" s="24"/>
      <c r="GP23" s="24"/>
      <c r="GQ23" s="24"/>
      <c r="GR23" s="24"/>
      <c r="GS23" s="23"/>
      <c r="GT23" s="23"/>
      <c r="GU23" s="23"/>
      <c r="GV23" s="23"/>
      <c r="GW23" s="22"/>
      <c r="GX23" s="22"/>
      <c r="GY23" s="22"/>
      <c r="GZ23" s="22"/>
      <c r="HA23" s="22"/>
      <c r="HB23" s="22"/>
      <c r="HC23" s="22"/>
      <c r="HD23" s="22"/>
      <c r="HE23" s="22"/>
      <c r="HF23" s="22"/>
      <c r="HG23" s="22"/>
      <c r="HH23" s="22"/>
      <c r="HI23" s="22"/>
      <c r="HJ23" s="22"/>
      <c r="HK23" s="22"/>
      <c r="HL23" s="21"/>
      <c r="HM23" s="19"/>
      <c r="HN23" s="19"/>
      <c r="HO23" s="19"/>
      <c r="HP23" s="20"/>
      <c r="HQ23" s="19"/>
      <c r="HR23" s="16"/>
      <c r="HS23" s="16"/>
      <c r="HT23" s="18"/>
      <c r="HU23" s="16"/>
      <c r="HV23" s="16"/>
      <c r="HW23" s="16"/>
      <c r="HX23" s="15"/>
      <c r="HY23" s="15"/>
      <c r="HZ23" s="15"/>
      <c r="IA23" s="15"/>
      <c r="IB23" s="15"/>
      <c r="IC23" s="16"/>
      <c r="ID23" s="16"/>
      <c r="IE23" s="15"/>
      <c r="IF23" s="15"/>
      <c r="IG23" s="15"/>
      <c r="IH23" s="15"/>
      <c r="II23" s="15"/>
      <c r="IJ23" s="15"/>
      <c r="IK23" s="15"/>
      <c r="IL23" s="15"/>
      <c r="IM23" s="15"/>
      <c r="IN23" s="15"/>
      <c r="IO23" s="15"/>
      <c r="IP23" s="17"/>
      <c r="IQ23" s="15"/>
      <c r="IR23" s="15"/>
      <c r="IS23" s="15"/>
      <c r="IT23" s="15"/>
      <c r="IU23" s="15"/>
      <c r="IV23" s="15"/>
      <c r="IW23" s="15"/>
      <c r="IX23" s="15"/>
      <c r="IY23" s="15"/>
      <c r="IZ23" s="15"/>
      <c r="JA23" s="15"/>
      <c r="JB23" s="15"/>
      <c r="JC23" s="15"/>
      <c r="JD23" s="15"/>
      <c r="JE23" s="15"/>
      <c r="JF23" s="15"/>
      <c r="JG23" s="15"/>
      <c r="JH23" s="15"/>
      <c r="JI23" s="15"/>
      <c r="JJ23" s="15"/>
      <c r="JK23" s="15"/>
      <c r="JL23" s="15"/>
      <c r="JM23" s="15"/>
      <c r="JN23" s="16"/>
      <c r="JO23" s="16"/>
      <c r="JP23" s="16"/>
      <c r="JQ23" s="16"/>
      <c r="JR23" s="16"/>
      <c r="JS23" s="16"/>
      <c r="JT23" s="16"/>
      <c r="JU23" s="16"/>
      <c r="JV23" s="16"/>
      <c r="JW23" s="16"/>
      <c r="JX23" s="16"/>
      <c r="JY23" s="16"/>
      <c r="JZ23" s="16"/>
      <c r="KA23" s="16"/>
      <c r="KB23" s="16"/>
      <c r="KC23" s="16"/>
      <c r="KD23" s="16"/>
      <c r="KE23" s="16"/>
      <c r="KF23" s="16"/>
      <c r="KG23" s="16"/>
      <c r="KH23" s="16"/>
      <c r="KI23" s="16"/>
      <c r="KJ23" s="16"/>
      <c r="KK23" s="16"/>
      <c r="KL23" s="16"/>
      <c r="KM23" s="16"/>
      <c r="KN23" s="16"/>
      <c r="KO23" s="16"/>
      <c r="KP23" s="16"/>
      <c r="KQ23" s="16"/>
      <c r="KR23" s="16"/>
      <c r="KS23" s="16"/>
      <c r="KT23" s="15"/>
      <c r="KU23" s="15"/>
      <c r="KV23" s="15"/>
      <c r="KW23" s="15"/>
      <c r="KX23" s="15"/>
      <c r="KY23" s="15"/>
      <c r="KZ23" s="15"/>
      <c r="LA23" s="15"/>
      <c r="LB23" s="15"/>
      <c r="LC23" s="15"/>
      <c r="LD23" s="15"/>
      <c r="LE23" s="15"/>
      <c r="LF23" s="15"/>
      <c r="LG23" s="15"/>
      <c r="LH23" s="15"/>
      <c r="LI23" s="15"/>
      <c r="LJ23" s="15"/>
      <c r="LK23" s="15"/>
      <c r="LL23" s="15"/>
      <c r="LM23" s="15"/>
      <c r="LN23" s="473">
        <f t="shared" si="1"/>
        <v>0</v>
      </c>
    </row>
    <row r="24" spans="1:326" ht="15" customHeight="1">
      <c r="AG24" s="14"/>
      <c r="AH24" s="14"/>
      <c r="AI24" s="14"/>
      <c r="AY24" s="14"/>
      <c r="BI24" s="14"/>
      <c r="BJ24" s="14"/>
      <c r="BK24" s="14"/>
      <c r="BL24" s="14"/>
      <c r="BM24" s="14"/>
      <c r="BN24" s="14"/>
      <c r="BO24" s="14"/>
      <c r="BP24" s="14"/>
      <c r="BQ24" s="14"/>
      <c r="BR24" s="14"/>
      <c r="BS24" s="14"/>
      <c r="BT24" s="14"/>
      <c r="BU24" s="14"/>
      <c r="BV24" s="14"/>
      <c r="BW24" s="14"/>
      <c r="BX24" s="14"/>
      <c r="BY24" s="14"/>
      <c r="BZ24" s="14"/>
      <c r="CA24" s="14"/>
      <c r="CB24" s="14"/>
      <c r="CC24" s="14"/>
      <c r="CD24" s="14"/>
      <c r="CE24" s="14"/>
      <c r="CF24" s="14"/>
      <c r="CG24" s="14"/>
      <c r="CH24" s="14"/>
      <c r="CI24" s="14"/>
      <c r="CJ24" s="14"/>
      <c r="CK24" s="14"/>
      <c r="CL24" s="14"/>
      <c r="CM24" s="14"/>
      <c r="CN24" s="14"/>
      <c r="CO24" s="14"/>
      <c r="CP24" s="14"/>
      <c r="CQ24" s="14"/>
      <c r="CR24" s="14"/>
      <c r="CS24" s="14"/>
      <c r="CT24" s="14"/>
      <c r="CU24" s="14"/>
      <c r="CV24" s="14"/>
      <c r="CW24" s="14"/>
      <c r="CX24" s="14"/>
      <c r="CY24" s="14"/>
      <c r="CZ24" s="14"/>
      <c r="DA24" s="14"/>
      <c r="DB24" s="14"/>
      <c r="DC24" s="14"/>
      <c r="DD24" s="14"/>
      <c r="DE24" s="14"/>
      <c r="DF24" s="14"/>
      <c r="DG24" s="14"/>
      <c r="DH24" s="14"/>
      <c r="DI24" s="14"/>
      <c r="DJ24" s="14"/>
      <c r="DK24" s="14"/>
      <c r="DL24" s="14"/>
      <c r="DM24" s="14"/>
      <c r="DN24" s="14"/>
      <c r="DO24" s="14"/>
      <c r="DP24" s="14"/>
      <c r="DQ24" s="14"/>
      <c r="DR24" s="14"/>
      <c r="DS24" s="14"/>
      <c r="DT24" s="14"/>
      <c r="DU24" s="14"/>
      <c r="DV24" s="14"/>
      <c r="DW24" s="14"/>
      <c r="DX24" s="14"/>
      <c r="DY24" s="14"/>
      <c r="DZ24" s="14"/>
      <c r="EA24" s="14"/>
      <c r="EB24" s="14"/>
      <c r="EC24" s="14"/>
      <c r="ED24" s="14"/>
      <c r="EE24" s="14"/>
      <c r="EF24" s="14"/>
      <c r="EG24" s="14"/>
      <c r="EH24" s="14"/>
      <c r="EI24" s="14"/>
      <c r="EJ24" s="14"/>
      <c r="EK24" s="14"/>
      <c r="EL24" s="14"/>
      <c r="EM24" s="14"/>
      <c r="EN24" s="14"/>
      <c r="EO24" s="14"/>
      <c r="EP24" s="14"/>
      <c r="EQ24" s="14"/>
      <c r="ER24" s="14"/>
      <c r="ES24" s="14"/>
      <c r="ET24" s="14"/>
      <c r="EU24" s="14"/>
      <c r="EV24" s="14"/>
      <c r="EW24" s="14"/>
      <c r="EX24" s="14"/>
      <c r="EY24" s="14"/>
      <c r="EZ24" s="14"/>
      <c r="FA24" s="14"/>
      <c r="FB24" s="14"/>
      <c r="FC24" s="14"/>
      <c r="FD24" s="14"/>
      <c r="FE24" s="14"/>
      <c r="FF24" s="14"/>
      <c r="FG24" s="14"/>
      <c r="FH24" s="14"/>
      <c r="FI24" s="14"/>
      <c r="FJ24" s="14"/>
      <c r="FK24" s="14"/>
      <c r="FL24" s="14"/>
      <c r="FM24" s="14"/>
      <c r="FN24" s="14"/>
      <c r="FO24" s="14"/>
      <c r="FP24" s="14"/>
      <c r="FQ24" s="14"/>
      <c r="FR24" s="14"/>
      <c r="FS24" s="14"/>
      <c r="FT24" s="14"/>
      <c r="FU24" s="14"/>
      <c r="FV24" s="14"/>
      <c r="FW24" s="14"/>
      <c r="FX24" s="14"/>
      <c r="FY24" s="14"/>
      <c r="FZ24" s="14"/>
      <c r="GA24" s="14"/>
      <c r="GB24" s="14"/>
      <c r="GC24" s="14"/>
      <c r="GD24" s="14"/>
      <c r="GE24" s="14"/>
      <c r="GF24" s="14"/>
      <c r="GG24" s="14"/>
      <c r="GH24" s="14"/>
      <c r="GI24" s="14"/>
      <c r="GJ24" s="14"/>
      <c r="GK24" s="14"/>
      <c r="GL24" s="14"/>
      <c r="GM24" s="14"/>
      <c r="GN24" s="14"/>
      <c r="GO24" s="14"/>
      <c r="GP24" s="14"/>
      <c r="GQ24" s="14"/>
      <c r="GR24" s="14"/>
      <c r="GS24" s="14"/>
      <c r="GT24" s="14"/>
      <c r="GU24" s="14"/>
      <c r="GV24" s="14"/>
      <c r="GW24" s="14"/>
      <c r="GX24" s="14"/>
      <c r="GY24" s="14"/>
      <c r="GZ24" s="14"/>
      <c r="HA24" s="14"/>
      <c r="HB24" s="14"/>
      <c r="HC24" s="14"/>
      <c r="HD24" s="14"/>
      <c r="HE24" s="14"/>
      <c r="HF24" s="14"/>
      <c r="HG24" s="14"/>
      <c r="HH24" s="14"/>
      <c r="HI24" s="14"/>
      <c r="HJ24" s="14"/>
      <c r="HK24" s="14"/>
      <c r="HL24" s="14"/>
      <c r="HM24" s="14"/>
      <c r="HN24" s="14"/>
      <c r="HO24" s="14"/>
      <c r="HP24" s="14"/>
      <c r="HQ24" s="14"/>
      <c r="HR24" s="14"/>
      <c r="HS24" s="14"/>
      <c r="HT24" s="14"/>
      <c r="HU24" s="14"/>
      <c r="HV24" s="14"/>
      <c r="HW24" s="14"/>
      <c r="HX24" s="14"/>
      <c r="HY24" s="14"/>
      <c r="HZ24" s="14"/>
      <c r="IA24" s="14"/>
      <c r="IB24" s="14"/>
      <c r="IC24" s="14"/>
      <c r="ID24" s="14"/>
      <c r="IE24" s="14"/>
      <c r="IF24" s="14"/>
      <c r="IG24" s="14"/>
      <c r="IH24" s="14"/>
      <c r="II24" s="14"/>
      <c r="IJ24" s="14"/>
      <c r="IK24" s="14"/>
      <c r="IL24" s="14"/>
      <c r="IM24" s="14"/>
      <c r="IN24" s="14"/>
      <c r="IO24" s="14"/>
      <c r="IP24" s="14"/>
      <c r="IQ24" s="14"/>
      <c r="IR24" s="14"/>
      <c r="IS24" s="14"/>
      <c r="IT24" s="14"/>
      <c r="IU24" s="14"/>
      <c r="IV24" s="14"/>
      <c r="IW24" s="14"/>
      <c r="IX24" s="14"/>
      <c r="IY24" s="14"/>
      <c r="IZ24" s="14"/>
      <c r="JA24" s="14"/>
      <c r="JB24" s="14"/>
      <c r="JC24" s="14"/>
      <c r="JD24" s="14"/>
      <c r="JE24" s="14"/>
      <c r="JF24" s="14"/>
      <c r="JG24" s="14"/>
      <c r="JH24" s="14"/>
      <c r="JI24" s="14"/>
      <c r="JJ24" s="14"/>
      <c r="JK24" s="14"/>
      <c r="JL24" s="14"/>
      <c r="JM24" s="14"/>
      <c r="JN24" s="14"/>
      <c r="JO24" s="14"/>
      <c r="JP24" s="14"/>
      <c r="JQ24" s="14"/>
      <c r="JR24" s="14"/>
      <c r="JS24" s="14"/>
      <c r="JT24" s="14"/>
      <c r="JU24" s="14"/>
      <c r="JV24" s="14"/>
      <c r="JW24" s="14"/>
      <c r="JX24" s="14"/>
      <c r="JY24" s="14"/>
      <c r="JZ24" s="14"/>
      <c r="KA24" s="14"/>
      <c r="KB24" s="14"/>
      <c r="KC24" s="14"/>
      <c r="KD24" s="14"/>
      <c r="KE24" s="14"/>
      <c r="KF24" s="14"/>
      <c r="KG24" s="14"/>
      <c r="KH24" s="14"/>
      <c r="KI24" s="14"/>
      <c r="KJ24" s="14"/>
      <c r="KK24" s="14"/>
      <c r="KL24" s="14"/>
      <c r="KM24" s="14"/>
      <c r="KN24" s="14"/>
      <c r="KO24" s="14"/>
      <c r="KP24" s="14"/>
      <c r="KQ24" s="14"/>
      <c r="KR24" s="14"/>
      <c r="KS24" s="14"/>
      <c r="KT24" s="14"/>
      <c r="KU24" s="14"/>
      <c r="KV24" s="14"/>
      <c r="KW24" s="14"/>
      <c r="KX24" s="14"/>
      <c r="KY24" s="14"/>
      <c r="KZ24" s="14"/>
      <c r="LA24" s="14"/>
      <c r="LB24" s="14"/>
      <c r="LC24" s="14"/>
      <c r="LD24" s="14"/>
      <c r="LE24" s="14"/>
      <c r="LF24" s="14"/>
      <c r="LG24" s="14"/>
      <c r="LH24" s="14"/>
      <c r="LI24" s="14"/>
      <c r="LJ24" s="14"/>
      <c r="LK24" s="14"/>
      <c r="LL24" s="14"/>
      <c r="LM24" s="14"/>
      <c r="LN24" s="14"/>
    </row>
    <row r="25" spans="1:326" ht="15.6">
      <c r="A25" s="72" t="s">
        <v>828</v>
      </c>
      <c r="B25" s="71"/>
      <c r="C25" s="71"/>
      <c r="D25" s="71"/>
      <c r="E25" s="71"/>
      <c r="F25" s="71"/>
      <c r="G25" s="71"/>
      <c r="H25" s="71"/>
      <c r="I25" s="71"/>
      <c r="J25" s="71"/>
      <c r="K25" s="71"/>
      <c r="L25" s="71"/>
      <c r="M25" s="71"/>
      <c r="N25" s="71"/>
      <c r="O25" s="1176">
        <f>O2</f>
        <v>46099</v>
      </c>
      <c r="P25" s="1177"/>
      <c r="Q25" s="1177"/>
      <c r="R25" s="1177"/>
      <c r="S25" s="1177"/>
      <c r="T25" s="1177"/>
      <c r="U25" s="1177"/>
      <c r="V25" s="1177"/>
      <c r="W25" s="1177"/>
      <c r="X25" s="1177"/>
      <c r="Y25" s="1177"/>
      <c r="Z25" s="1177"/>
      <c r="AA25" s="1177"/>
      <c r="AB25" s="1177"/>
      <c r="AC25" s="1177"/>
      <c r="AD25" s="1177"/>
      <c r="AE25" s="1177"/>
      <c r="AF25" s="1177"/>
      <c r="AG25" s="1177"/>
      <c r="AH25" s="1177"/>
      <c r="AI25" s="1177"/>
      <c r="AJ25" s="1177"/>
      <c r="AK25" s="1177"/>
      <c r="AL25" s="1177"/>
      <c r="AM25" s="1177"/>
      <c r="AN25" s="1177"/>
      <c r="AO25" s="1177"/>
      <c r="AP25" s="1177"/>
      <c r="AQ25" s="1177"/>
      <c r="AR25" s="1177"/>
      <c r="AS25" s="1177"/>
      <c r="AT25" s="1177"/>
      <c r="AU25" s="1177"/>
      <c r="AV25" s="1177"/>
      <c r="AW25" s="1177"/>
      <c r="AX25" s="1177"/>
      <c r="AY25" s="1177"/>
      <c r="AZ25" s="1177"/>
      <c r="BA25" s="1177"/>
      <c r="BB25" s="1177"/>
      <c r="BC25" s="1177"/>
      <c r="BD25" s="1177"/>
      <c r="BE25" s="1177"/>
      <c r="BF25" s="1177"/>
      <c r="BG25" s="1177"/>
      <c r="BH25" s="1177"/>
      <c r="BI25" s="1177"/>
      <c r="BJ25" s="1177"/>
      <c r="BK25" s="1177"/>
      <c r="BL25" s="1177"/>
      <c r="BM25" s="1177"/>
      <c r="BN25" s="1177"/>
      <c r="BO25" s="1177"/>
      <c r="BP25" s="1177"/>
      <c r="BQ25" s="1177"/>
      <c r="BR25" s="1177"/>
      <c r="BS25" s="1177"/>
      <c r="BT25" s="1177"/>
      <c r="BU25" s="1177"/>
      <c r="BV25" s="1177"/>
      <c r="BW25" s="1177"/>
      <c r="BX25" s="1177"/>
      <c r="BY25" s="1177"/>
      <c r="BZ25" s="1177"/>
      <c r="CA25" s="1177"/>
      <c r="CB25" s="1177"/>
      <c r="CC25" s="1177"/>
      <c r="CD25" s="1177"/>
      <c r="CE25" s="1177"/>
      <c r="CF25" s="1177"/>
      <c r="CG25" s="1177"/>
      <c r="CH25" s="1177"/>
      <c r="CI25" s="1177"/>
      <c r="CJ25" s="1177"/>
      <c r="CK25" s="1177"/>
      <c r="CL25" s="1177"/>
      <c r="CM25" s="1177"/>
      <c r="CN25" s="1177"/>
      <c r="CO25" s="1177"/>
      <c r="CP25" s="1177"/>
      <c r="CQ25" s="1177"/>
      <c r="CR25" s="1177"/>
      <c r="CS25" s="1177"/>
      <c r="CT25" s="1177"/>
      <c r="CU25" s="1177"/>
      <c r="CV25" s="1177"/>
      <c r="CW25" s="1177"/>
      <c r="CX25" s="1177"/>
      <c r="CY25" s="1177"/>
      <c r="CZ25" s="1177"/>
      <c r="DA25" s="1177"/>
      <c r="DB25" s="1177"/>
      <c r="DC25" s="1177"/>
      <c r="DD25" s="1177"/>
      <c r="DE25" s="1177"/>
      <c r="DF25" s="1177"/>
      <c r="DG25" s="1177"/>
      <c r="DH25" s="1177"/>
      <c r="DI25" s="1177"/>
      <c r="DJ25" s="1177"/>
      <c r="DK25" s="1177"/>
      <c r="DL25" s="1177"/>
      <c r="DM25" s="1177"/>
      <c r="DN25" s="1177"/>
      <c r="DO25" s="1177"/>
      <c r="DP25" s="1177"/>
      <c r="DQ25" s="1177"/>
      <c r="DR25" s="1177"/>
      <c r="DS25" s="1177"/>
      <c r="DT25" s="1177"/>
      <c r="DU25" s="1177"/>
      <c r="DV25" s="1177"/>
      <c r="DW25" s="1177"/>
      <c r="DX25" s="1177"/>
      <c r="DY25" s="1177"/>
      <c r="DZ25" s="1177"/>
      <c r="EA25" s="1177"/>
      <c r="EB25" s="1177"/>
      <c r="EC25" s="1177"/>
      <c r="ED25" s="1177"/>
      <c r="EE25" s="1177"/>
      <c r="EF25" s="1177"/>
      <c r="EG25" s="1177"/>
      <c r="EH25" s="1177"/>
      <c r="EI25" s="1177"/>
      <c r="EJ25" s="1177"/>
      <c r="EK25" s="1177"/>
      <c r="EL25" s="1177"/>
      <c r="EM25" s="1177"/>
      <c r="EN25" s="1177"/>
      <c r="EO25" s="1177"/>
      <c r="EP25" s="1177"/>
      <c r="EQ25" s="1177"/>
      <c r="ER25" s="1177"/>
      <c r="ES25" s="1177"/>
      <c r="ET25" s="1177"/>
      <c r="EU25" s="1177"/>
      <c r="EV25" s="1177"/>
      <c r="EW25" s="1177"/>
      <c r="EX25" s="1177"/>
      <c r="EY25" s="1177"/>
      <c r="EZ25" s="1177"/>
      <c r="FA25" s="1177"/>
      <c r="FB25" s="1177"/>
      <c r="FC25" s="1177"/>
      <c r="FD25" s="1177"/>
      <c r="FE25" s="1177"/>
      <c r="FF25" s="1177"/>
      <c r="FG25" s="1177"/>
      <c r="FH25" s="1177"/>
      <c r="FI25" s="1177"/>
      <c r="FJ25" s="1177"/>
      <c r="FK25" s="1177"/>
      <c r="FL25" s="1177"/>
      <c r="FM25" s="1177"/>
      <c r="FN25" s="1177"/>
      <c r="FO25" s="1177"/>
      <c r="FP25" s="1177"/>
      <c r="FQ25" s="1177"/>
      <c r="FR25" s="1177"/>
      <c r="FS25" s="1177"/>
      <c r="FT25" s="1177"/>
      <c r="FU25" s="1177"/>
      <c r="FV25" s="1177"/>
      <c r="FW25" s="1177"/>
      <c r="FX25" s="1177"/>
      <c r="FY25" s="1177"/>
      <c r="FZ25" s="1177"/>
      <c r="GA25" s="1177"/>
      <c r="GB25" s="1177"/>
      <c r="GC25" s="1177"/>
      <c r="GD25" s="1177"/>
      <c r="GE25" s="1177"/>
      <c r="GF25" s="1177"/>
      <c r="GG25" s="1177"/>
      <c r="GH25" s="1177"/>
      <c r="GI25" s="1177"/>
      <c r="GJ25" s="1177"/>
      <c r="GK25" s="1177"/>
      <c r="GL25" s="1177"/>
      <c r="GM25" s="1177"/>
      <c r="GN25" s="1177"/>
      <c r="GO25" s="1177"/>
      <c r="GP25" s="1177"/>
      <c r="GQ25" s="1177"/>
      <c r="GR25" s="1177"/>
      <c r="GS25" s="1177"/>
      <c r="GT25" s="1177"/>
      <c r="GU25" s="1177"/>
      <c r="GV25" s="1177"/>
      <c r="GW25" s="1177"/>
      <c r="GX25" s="1177"/>
      <c r="GY25" s="1177"/>
      <c r="GZ25" s="1177"/>
      <c r="HA25" s="1177"/>
      <c r="HB25" s="1177"/>
      <c r="HC25" s="1177"/>
      <c r="HD25" s="1177"/>
      <c r="HE25" s="1177"/>
      <c r="HF25" s="1177"/>
      <c r="HG25" s="1177"/>
      <c r="HH25" s="1177"/>
      <c r="HI25" s="1177"/>
      <c r="HJ25" s="1177"/>
      <c r="HK25" s="1177"/>
      <c r="HL25" s="1177"/>
      <c r="HM25" s="1177"/>
      <c r="HN25" s="1177"/>
      <c r="HO25" s="1177"/>
      <c r="HP25" s="1177"/>
      <c r="HQ25" s="1178"/>
      <c r="LN25" s="14"/>
    </row>
    <row r="26" spans="1:326">
      <c r="A26" s="67" t="s">
        <v>121</v>
      </c>
      <c r="B26" s="67" t="s">
        <v>111</v>
      </c>
      <c r="C26" s="67" t="s">
        <v>110</v>
      </c>
      <c r="D26" s="67" t="s">
        <v>109</v>
      </c>
      <c r="E26" s="67" t="s">
        <v>108</v>
      </c>
      <c r="F26" s="67" t="s">
        <v>107</v>
      </c>
      <c r="G26" s="67" t="s">
        <v>106</v>
      </c>
      <c r="H26" s="67" t="s">
        <v>105</v>
      </c>
      <c r="I26" s="67" t="s">
        <v>104</v>
      </c>
      <c r="J26" s="67" t="s">
        <v>103</v>
      </c>
      <c r="K26" s="67" t="s">
        <v>102</v>
      </c>
      <c r="L26" s="67" t="s">
        <v>101</v>
      </c>
      <c r="M26" s="67" t="s">
        <v>100</v>
      </c>
      <c r="N26" s="68" t="s">
        <v>99</v>
      </c>
      <c r="O26" s="67" t="s">
        <v>98</v>
      </c>
      <c r="P26" s="67" t="s">
        <v>120</v>
      </c>
      <c r="Q26" s="66">
        <f t="shared" ref="Q26:S26" si="2">Q3</f>
        <v>46099</v>
      </c>
      <c r="R26" s="66">
        <f t="shared" ref="R26" si="3">R3</f>
        <v>46092</v>
      </c>
      <c r="S26" s="66">
        <f t="shared" si="2"/>
        <v>46085</v>
      </c>
      <c r="T26" s="66">
        <f>S3</f>
        <v>46085</v>
      </c>
      <c r="U26" s="66">
        <f t="shared" ref="U26" si="4">U3</f>
        <v>46071</v>
      </c>
      <c r="V26" s="66">
        <f>V3</f>
        <v>46057</v>
      </c>
      <c r="W26" s="66">
        <f t="shared" ref="W26:AH26" si="5">W3</f>
        <v>46050</v>
      </c>
      <c r="X26" s="66">
        <f t="shared" si="5"/>
        <v>46043</v>
      </c>
      <c r="Y26" s="66">
        <f t="shared" si="5"/>
        <v>46036</v>
      </c>
      <c r="Z26" s="66">
        <f t="shared" si="5"/>
        <v>46029</v>
      </c>
      <c r="AA26" s="66">
        <f t="shared" si="5"/>
        <v>46022</v>
      </c>
      <c r="AB26" s="66">
        <f t="shared" si="5"/>
        <v>46015</v>
      </c>
      <c r="AC26" s="66">
        <f t="shared" si="5"/>
        <v>46008</v>
      </c>
      <c r="AD26" s="66">
        <f t="shared" si="5"/>
        <v>46001</v>
      </c>
      <c r="AE26" s="66">
        <f t="shared" si="5"/>
        <v>45994</v>
      </c>
      <c r="AF26" s="66">
        <f t="shared" si="5"/>
        <v>45987</v>
      </c>
      <c r="AG26" s="66">
        <f t="shared" si="5"/>
        <v>45980</v>
      </c>
      <c r="AH26" s="66">
        <f t="shared" si="5"/>
        <v>45973</v>
      </c>
      <c r="AI26" s="66">
        <f t="shared" ref="AI26:AS26" si="6">AI3</f>
        <v>45966</v>
      </c>
      <c r="AJ26" s="66">
        <f t="shared" si="6"/>
        <v>45959</v>
      </c>
      <c r="AK26" s="66">
        <f t="shared" si="6"/>
        <v>45952</v>
      </c>
      <c r="AL26" s="66">
        <f t="shared" si="6"/>
        <v>45945</v>
      </c>
      <c r="AM26" s="66">
        <f t="shared" si="6"/>
        <v>45938</v>
      </c>
      <c r="AN26" s="66">
        <f t="shared" si="6"/>
        <v>45931</v>
      </c>
      <c r="AO26" s="66">
        <f t="shared" si="6"/>
        <v>45924</v>
      </c>
      <c r="AP26" s="66">
        <f t="shared" si="6"/>
        <v>45917</v>
      </c>
      <c r="AQ26" s="66">
        <f t="shared" si="6"/>
        <v>45910</v>
      </c>
      <c r="AR26" s="66">
        <f t="shared" si="6"/>
        <v>45903</v>
      </c>
      <c r="AS26" s="66">
        <f t="shared" si="6"/>
        <v>45896</v>
      </c>
      <c r="AT26" s="66">
        <v>45889</v>
      </c>
      <c r="AU26" s="66">
        <v>45882</v>
      </c>
      <c r="AV26" s="66">
        <v>45875</v>
      </c>
      <c r="AW26" s="66">
        <v>45868</v>
      </c>
      <c r="AX26" s="66">
        <f>AX3</f>
        <v>45861</v>
      </c>
      <c r="AY26" s="70">
        <v>45854</v>
      </c>
      <c r="AZ26" s="66">
        <v>45847</v>
      </c>
      <c r="BA26" s="66">
        <v>45840</v>
      </c>
      <c r="BB26" s="66">
        <f>BB3</f>
        <v>45833</v>
      </c>
      <c r="BC26" s="66">
        <v>45826</v>
      </c>
      <c r="BD26" s="66">
        <f t="shared" ref="BD26:BK26" si="7">BD3</f>
        <v>45819</v>
      </c>
      <c r="BE26" s="66">
        <f t="shared" si="7"/>
        <v>45812</v>
      </c>
      <c r="BF26" s="66">
        <f t="shared" si="7"/>
        <v>45805</v>
      </c>
      <c r="BG26" s="66">
        <f t="shared" si="7"/>
        <v>45798</v>
      </c>
      <c r="BH26" s="66">
        <f t="shared" si="7"/>
        <v>45792</v>
      </c>
      <c r="BI26" s="66">
        <f t="shared" si="7"/>
        <v>45785</v>
      </c>
      <c r="BJ26" s="66">
        <f t="shared" si="7"/>
        <v>45412</v>
      </c>
      <c r="BK26" s="66">
        <f t="shared" si="7"/>
        <v>45763</v>
      </c>
      <c r="BL26" s="66">
        <v>45757</v>
      </c>
      <c r="BM26" s="66">
        <f t="shared" ref="BM26:CR26" si="8">BM3</f>
        <v>45750</v>
      </c>
      <c r="BN26" s="66">
        <f t="shared" si="8"/>
        <v>45742</v>
      </c>
      <c r="BO26" s="66">
        <f t="shared" si="8"/>
        <v>45736</v>
      </c>
      <c r="BP26" s="66">
        <f t="shared" si="8"/>
        <v>45729</v>
      </c>
      <c r="BQ26" s="66">
        <f t="shared" si="8"/>
        <v>45722</v>
      </c>
      <c r="BR26" s="66">
        <f t="shared" si="8"/>
        <v>45715</v>
      </c>
      <c r="BS26" s="66">
        <f t="shared" si="8"/>
        <v>45708</v>
      </c>
      <c r="BT26" s="66">
        <f>BS3</f>
        <v>45708</v>
      </c>
      <c r="BU26" s="66">
        <f t="shared" si="8"/>
        <v>45694</v>
      </c>
      <c r="BV26" s="66">
        <f t="shared" si="8"/>
        <v>45688</v>
      </c>
      <c r="BW26" s="66">
        <f t="shared" si="8"/>
        <v>45681</v>
      </c>
      <c r="BX26" s="66">
        <f t="shared" si="8"/>
        <v>45673</v>
      </c>
      <c r="BY26" s="66">
        <f t="shared" si="8"/>
        <v>45666</v>
      </c>
      <c r="BZ26" s="66">
        <f t="shared" si="8"/>
        <v>45659</v>
      </c>
      <c r="CA26" s="66">
        <f t="shared" si="8"/>
        <v>45652</v>
      </c>
      <c r="CB26" s="66">
        <f t="shared" si="8"/>
        <v>45645</v>
      </c>
      <c r="CC26" s="66">
        <f t="shared" si="8"/>
        <v>45638</v>
      </c>
      <c r="CD26" s="66">
        <f t="shared" si="8"/>
        <v>45631</v>
      </c>
      <c r="CE26" s="66">
        <f t="shared" si="8"/>
        <v>45625</v>
      </c>
      <c r="CF26" s="66">
        <f t="shared" si="8"/>
        <v>45617</v>
      </c>
      <c r="CG26" s="66">
        <f t="shared" si="8"/>
        <v>45610</v>
      </c>
      <c r="CH26" s="66">
        <f t="shared" si="8"/>
        <v>45603</v>
      </c>
      <c r="CI26" s="66">
        <f t="shared" si="8"/>
        <v>45595</v>
      </c>
      <c r="CJ26" s="66">
        <f t="shared" si="8"/>
        <v>45591</v>
      </c>
      <c r="CK26" s="66">
        <f t="shared" si="8"/>
        <v>45582</v>
      </c>
      <c r="CL26" s="66">
        <f t="shared" si="8"/>
        <v>45575</v>
      </c>
      <c r="CM26" s="66">
        <f t="shared" si="8"/>
        <v>45568</v>
      </c>
      <c r="CN26" s="66">
        <f t="shared" si="8"/>
        <v>45561</v>
      </c>
      <c r="CO26" s="66">
        <f t="shared" si="8"/>
        <v>45554</v>
      </c>
      <c r="CP26" s="66">
        <f t="shared" si="8"/>
        <v>45547</v>
      </c>
      <c r="CQ26" s="66">
        <f t="shared" si="8"/>
        <v>45540</v>
      </c>
      <c r="CR26" s="66">
        <f t="shared" si="8"/>
        <v>45533</v>
      </c>
      <c r="CS26" s="66">
        <f t="shared" ref="CS26:DV26" si="9">CS3</f>
        <v>45526</v>
      </c>
      <c r="CT26" s="66">
        <f>CS3</f>
        <v>45526</v>
      </c>
      <c r="CU26" s="66">
        <f t="shared" si="9"/>
        <v>45511</v>
      </c>
      <c r="CV26" s="66">
        <f t="shared" si="9"/>
        <v>45505</v>
      </c>
      <c r="CW26" s="66">
        <f t="shared" si="9"/>
        <v>45498</v>
      </c>
      <c r="CX26" s="66">
        <f t="shared" si="9"/>
        <v>45492</v>
      </c>
      <c r="CY26" s="66">
        <f t="shared" si="9"/>
        <v>45484</v>
      </c>
      <c r="CZ26" s="66">
        <f t="shared" si="9"/>
        <v>45477</v>
      </c>
      <c r="DA26" s="66">
        <f t="shared" si="9"/>
        <v>45470</v>
      </c>
      <c r="DB26" s="66">
        <f t="shared" si="9"/>
        <v>45464</v>
      </c>
      <c r="DC26" s="66">
        <f t="shared" si="9"/>
        <v>45456</v>
      </c>
      <c r="DD26" s="66">
        <f t="shared" si="9"/>
        <v>45449</v>
      </c>
      <c r="DE26" s="66">
        <f t="shared" si="9"/>
        <v>45442</v>
      </c>
      <c r="DF26" s="66" t="str">
        <f t="shared" si="9"/>
        <v>23/5/224</v>
      </c>
      <c r="DG26" s="66">
        <f t="shared" si="9"/>
        <v>45428</v>
      </c>
      <c r="DH26" s="66">
        <f t="shared" si="9"/>
        <v>45421</v>
      </c>
      <c r="DI26" s="66">
        <f t="shared" si="9"/>
        <v>45414</v>
      </c>
      <c r="DJ26" s="66">
        <f t="shared" si="9"/>
        <v>45407</v>
      </c>
      <c r="DK26" s="66">
        <f t="shared" si="9"/>
        <v>45400</v>
      </c>
      <c r="DL26" s="66">
        <f t="shared" si="9"/>
        <v>45393</v>
      </c>
      <c r="DM26" s="66">
        <f t="shared" si="9"/>
        <v>45386</v>
      </c>
      <c r="DN26" s="66">
        <f t="shared" si="9"/>
        <v>45378</v>
      </c>
      <c r="DO26" s="66">
        <f t="shared" si="9"/>
        <v>45372</v>
      </c>
      <c r="DP26" s="66">
        <f t="shared" si="9"/>
        <v>45365</v>
      </c>
      <c r="DQ26" s="66">
        <f t="shared" si="9"/>
        <v>45358</v>
      </c>
      <c r="DR26" s="66">
        <f t="shared" si="9"/>
        <v>45351</v>
      </c>
      <c r="DS26" s="66">
        <f t="shared" si="9"/>
        <v>45343</v>
      </c>
      <c r="DT26" s="66">
        <f>DS3</f>
        <v>45343</v>
      </c>
      <c r="DU26" s="66">
        <f t="shared" si="9"/>
        <v>45329</v>
      </c>
      <c r="DV26" s="66">
        <f t="shared" si="9"/>
        <v>45323</v>
      </c>
      <c r="DW26" s="66">
        <v>45316</v>
      </c>
      <c r="DX26" s="66">
        <f t="shared" ref="DX26:EV26" si="10">DX3</f>
        <v>45309</v>
      </c>
      <c r="DY26" s="66">
        <f t="shared" si="10"/>
        <v>45302</v>
      </c>
      <c r="DZ26" s="66">
        <f t="shared" si="10"/>
        <v>45295</v>
      </c>
      <c r="EA26" s="66">
        <f t="shared" si="10"/>
        <v>45288</v>
      </c>
      <c r="EB26" s="66">
        <f t="shared" si="10"/>
        <v>45281</v>
      </c>
      <c r="EC26" s="66">
        <f t="shared" si="10"/>
        <v>45274</v>
      </c>
      <c r="ED26" s="66">
        <f t="shared" si="10"/>
        <v>45267</v>
      </c>
      <c r="EE26" s="66">
        <f t="shared" si="10"/>
        <v>45260</v>
      </c>
      <c r="EF26" s="66">
        <f t="shared" si="10"/>
        <v>45253</v>
      </c>
      <c r="EG26" s="66">
        <f t="shared" si="10"/>
        <v>45246</v>
      </c>
      <c r="EH26" s="66">
        <f t="shared" si="10"/>
        <v>45239</v>
      </c>
      <c r="EI26" s="66">
        <f t="shared" si="10"/>
        <v>45232</v>
      </c>
      <c r="EJ26" s="66">
        <f t="shared" si="10"/>
        <v>45225</v>
      </c>
      <c r="EK26" s="66">
        <f t="shared" si="10"/>
        <v>45218</v>
      </c>
      <c r="EL26" s="66">
        <f t="shared" si="10"/>
        <v>45211</v>
      </c>
      <c r="EM26" s="66">
        <f t="shared" si="10"/>
        <v>45204</v>
      </c>
      <c r="EN26" s="66">
        <f t="shared" si="10"/>
        <v>45190</v>
      </c>
      <c r="EO26" s="66">
        <f t="shared" si="10"/>
        <v>45190</v>
      </c>
      <c r="EP26" s="66">
        <f t="shared" si="10"/>
        <v>45183</v>
      </c>
      <c r="EQ26" s="66">
        <f t="shared" si="10"/>
        <v>45176</v>
      </c>
      <c r="ER26" s="66">
        <f t="shared" si="10"/>
        <v>45168</v>
      </c>
      <c r="ES26" s="66">
        <f t="shared" si="10"/>
        <v>45162</v>
      </c>
      <c r="ET26" s="66">
        <f>ES3</f>
        <v>45162</v>
      </c>
      <c r="EU26" s="66">
        <f t="shared" si="10"/>
        <v>45148</v>
      </c>
      <c r="EV26" s="66">
        <f t="shared" si="10"/>
        <v>45141</v>
      </c>
      <c r="EW26" s="66">
        <v>45134</v>
      </c>
      <c r="EX26" s="66">
        <v>45127</v>
      </c>
      <c r="EY26" s="66">
        <v>45120</v>
      </c>
      <c r="EZ26" s="66">
        <v>45113</v>
      </c>
      <c r="FA26" s="66">
        <v>45105</v>
      </c>
      <c r="FB26" s="66">
        <v>45099</v>
      </c>
      <c r="FC26" s="66">
        <v>45092</v>
      </c>
      <c r="FD26" s="66">
        <v>45085</v>
      </c>
      <c r="FE26" s="66">
        <v>45076</v>
      </c>
      <c r="FF26" s="66">
        <v>45070</v>
      </c>
      <c r="FG26" s="66">
        <v>45063</v>
      </c>
      <c r="FH26" s="66">
        <v>45056</v>
      </c>
      <c r="FI26" s="66">
        <v>45049</v>
      </c>
      <c r="FJ26" s="66">
        <v>45042</v>
      </c>
      <c r="FK26" s="66">
        <v>45035</v>
      </c>
      <c r="FL26" s="66">
        <v>45028</v>
      </c>
      <c r="FM26" s="66">
        <v>45020</v>
      </c>
      <c r="FN26" s="66">
        <v>45014</v>
      </c>
      <c r="FO26" s="66">
        <v>45008</v>
      </c>
      <c r="FP26" s="66">
        <v>45002</v>
      </c>
      <c r="FQ26" s="66">
        <v>45000</v>
      </c>
      <c r="FR26" s="66">
        <v>44993</v>
      </c>
      <c r="FS26" s="66">
        <v>44986</v>
      </c>
      <c r="FT26" s="66">
        <v>44979</v>
      </c>
      <c r="FU26" s="66">
        <v>44972</v>
      </c>
      <c r="FV26" s="66">
        <v>44965</v>
      </c>
      <c r="FW26" s="66">
        <v>44958</v>
      </c>
      <c r="FX26" s="66">
        <v>44951</v>
      </c>
      <c r="FY26" s="66">
        <v>44944</v>
      </c>
      <c r="FZ26" s="66">
        <v>44937</v>
      </c>
      <c r="GA26" s="66">
        <v>44930</v>
      </c>
      <c r="GB26" s="66">
        <v>44923</v>
      </c>
      <c r="GC26" s="66">
        <v>44916</v>
      </c>
      <c r="GD26" s="66">
        <v>44910</v>
      </c>
      <c r="GE26" s="66">
        <v>44902</v>
      </c>
      <c r="GF26" s="66">
        <v>44896</v>
      </c>
      <c r="GG26" s="66">
        <v>44888</v>
      </c>
      <c r="GH26" s="66">
        <v>44881</v>
      </c>
      <c r="GI26" s="66">
        <v>44874</v>
      </c>
      <c r="GJ26" s="66">
        <v>44868</v>
      </c>
      <c r="GK26" s="66">
        <v>44839</v>
      </c>
      <c r="GL26" s="66">
        <v>44831</v>
      </c>
      <c r="GM26" s="66">
        <v>44826</v>
      </c>
      <c r="GN26" s="66">
        <v>44818</v>
      </c>
      <c r="GO26" s="66">
        <v>44811</v>
      </c>
      <c r="GP26" s="66">
        <v>44860</v>
      </c>
      <c r="GQ26" s="66">
        <v>44853</v>
      </c>
      <c r="GR26" s="66">
        <v>44846</v>
      </c>
      <c r="GS26" s="65" t="s">
        <v>119</v>
      </c>
      <c r="GT26" s="66">
        <v>44776</v>
      </c>
      <c r="GU26" s="66">
        <v>44769</v>
      </c>
      <c r="GV26" s="66">
        <v>44762</v>
      </c>
      <c r="GW26" s="66">
        <v>44755</v>
      </c>
      <c r="GX26" s="66">
        <v>44748</v>
      </c>
      <c r="GY26" s="66">
        <v>44741</v>
      </c>
      <c r="GZ26" s="69">
        <v>44733</v>
      </c>
      <c r="HA26" s="69">
        <v>44727</v>
      </c>
      <c r="HB26" s="69">
        <v>44720</v>
      </c>
      <c r="HC26" s="69">
        <v>44713</v>
      </c>
      <c r="HD26" s="69">
        <v>44706</v>
      </c>
      <c r="HE26" s="69">
        <v>44699</v>
      </c>
      <c r="HF26" s="69">
        <v>44690</v>
      </c>
      <c r="HG26" s="68" t="s">
        <v>118</v>
      </c>
      <c r="HH26" s="68" t="s">
        <v>117</v>
      </c>
      <c r="HI26" s="67" t="s">
        <v>116</v>
      </c>
      <c r="HJ26" s="67" t="s">
        <v>115</v>
      </c>
      <c r="HK26" s="67" t="s">
        <v>114</v>
      </c>
      <c r="HL26" s="67" t="s">
        <v>113</v>
      </c>
      <c r="HM26" s="67" t="s">
        <v>112</v>
      </c>
      <c r="HN26" s="67" t="s">
        <v>111</v>
      </c>
      <c r="HO26" s="67" t="s">
        <v>110</v>
      </c>
      <c r="HP26" s="67" t="s">
        <v>109</v>
      </c>
      <c r="HQ26" s="67" t="s">
        <v>108</v>
      </c>
      <c r="HR26" s="67" t="s">
        <v>107</v>
      </c>
      <c r="HS26" s="67" t="s">
        <v>106</v>
      </c>
      <c r="HT26" s="67" t="s">
        <v>105</v>
      </c>
      <c r="HU26" s="67" t="s">
        <v>104</v>
      </c>
      <c r="HV26" s="67" t="s">
        <v>103</v>
      </c>
      <c r="HW26" s="67" t="s">
        <v>102</v>
      </c>
      <c r="HX26" s="67" t="s">
        <v>101</v>
      </c>
      <c r="HY26" s="67" t="s">
        <v>100</v>
      </c>
      <c r="HZ26" s="68" t="s">
        <v>99</v>
      </c>
      <c r="IA26" s="67" t="s">
        <v>98</v>
      </c>
      <c r="IB26" s="65" t="s">
        <v>97</v>
      </c>
      <c r="IC26" s="66">
        <v>44818</v>
      </c>
      <c r="ID26" s="66">
        <v>44811</v>
      </c>
      <c r="IE26" s="65" t="s">
        <v>96</v>
      </c>
      <c r="LN26" s="468" t="s">
        <v>113</v>
      </c>
    </row>
    <row r="27" spans="1:326" ht="17.399999999999999">
      <c r="A27" s="1167" t="s">
        <v>20</v>
      </c>
      <c r="B27" s="60"/>
      <c r="C27" s="60"/>
      <c r="D27" s="60"/>
      <c r="E27" s="60"/>
      <c r="F27" s="60"/>
      <c r="G27" s="60"/>
      <c r="H27" s="60"/>
      <c r="I27" s="60"/>
      <c r="J27" s="60"/>
      <c r="K27" s="60"/>
      <c r="L27" s="60"/>
      <c r="M27" s="60"/>
      <c r="N27" s="61"/>
      <c r="O27" s="60"/>
      <c r="P27" s="738" t="s">
        <v>95</v>
      </c>
      <c r="Q27" s="851">
        <v>3.8999999999999998E-3</v>
      </c>
      <c r="R27" s="851">
        <v>3.8999999999999998E-3</v>
      </c>
      <c r="S27" s="590">
        <v>3.8999999999999998E-3</v>
      </c>
      <c r="T27" s="590">
        <v>3.3999999999999998E-3</v>
      </c>
      <c r="U27" s="590">
        <v>4.4000000000000003E-3</v>
      </c>
      <c r="V27" s="590">
        <v>3.8999999999999998E-3</v>
      </c>
      <c r="W27" s="590">
        <v>5.4000000000000003E-3</v>
      </c>
      <c r="X27" s="590">
        <v>4.8999999999999998E-3</v>
      </c>
      <c r="Y27" s="590">
        <v>6.4000000000000003E-3</v>
      </c>
      <c r="Z27" s="590">
        <v>5.4000000000000003E-3</v>
      </c>
      <c r="AA27" s="590">
        <v>6.4000000000000003E-3</v>
      </c>
      <c r="AB27" s="590">
        <v>4.8999999999999998E-3</v>
      </c>
      <c r="AC27" s="590">
        <v>5.8999999999999999E-3</v>
      </c>
      <c r="AD27" s="590">
        <v>6.8999999999999999E-3</v>
      </c>
      <c r="AE27" s="626">
        <v>6.4000000000000003E-3</v>
      </c>
      <c r="AF27" s="590">
        <v>6.4000000000000003E-3</v>
      </c>
      <c r="AG27" s="590">
        <v>4.4000000000000003E-3</v>
      </c>
      <c r="AH27" s="590">
        <v>5.899999999999999E-3</v>
      </c>
      <c r="AI27" s="590">
        <v>3.8999999999999994E-3</v>
      </c>
      <c r="AJ27" s="48">
        <v>4.3999999999999994E-3</v>
      </c>
      <c r="AK27" s="48">
        <v>6.3999999999999994E-3</v>
      </c>
      <c r="AL27" s="47">
        <v>5.8999999999999999E-3</v>
      </c>
      <c r="AM27" s="48">
        <v>5.8999999999999999E-3</v>
      </c>
      <c r="AN27" s="47">
        <v>3.8999999999999998E-3</v>
      </c>
      <c r="AO27" s="48">
        <v>3.8999999999999998E-3</v>
      </c>
      <c r="AP27" s="48">
        <v>2.8999999999999998E-3</v>
      </c>
      <c r="AQ27" s="48">
        <v>3.8999999999999998E-3</v>
      </c>
      <c r="AR27" s="47">
        <v>3.3999999999999998E-3</v>
      </c>
      <c r="AS27" s="47">
        <v>4.8999999999999998E-3</v>
      </c>
      <c r="AT27" s="460">
        <v>4.8999999999999998E-3</v>
      </c>
      <c r="AU27" s="34">
        <v>3.3999999999999998E-3</v>
      </c>
      <c r="AV27" s="34">
        <v>4.4000000000000003E-3</v>
      </c>
      <c r="AW27" s="34">
        <v>3.3999999999999998E-3</v>
      </c>
      <c r="AX27" s="34">
        <v>4.8999999999999998E-3</v>
      </c>
      <c r="AY27" s="46">
        <v>5.4000000000000003E-3</v>
      </c>
      <c r="AZ27" s="35">
        <v>5.4000000000000003E-3</v>
      </c>
      <c r="BA27" s="35">
        <v>5.4000000000000003E-3</v>
      </c>
      <c r="BB27" s="34">
        <v>5.4000000000000003E-3</v>
      </c>
      <c r="BC27" s="35">
        <v>4.8999999999999998E-3</v>
      </c>
      <c r="BD27" s="35">
        <v>4.8999999999999998E-3</v>
      </c>
      <c r="BE27" s="34">
        <v>4.8999999999999998E-3</v>
      </c>
      <c r="BF27" s="35">
        <v>3.8999999999999998E-3</v>
      </c>
      <c r="BG27" s="34">
        <v>3.8999999999999998E-3</v>
      </c>
      <c r="BH27" s="34">
        <v>2.8999999999999998E-3</v>
      </c>
      <c r="BI27" s="34">
        <v>3.8999999999999998E-3</v>
      </c>
      <c r="BJ27" s="46">
        <v>5.4000000000000003E-3</v>
      </c>
      <c r="BK27" s="46">
        <v>3.3999999999999998E-3</v>
      </c>
      <c r="BL27" s="46">
        <v>9.4000000000000004E-3</v>
      </c>
      <c r="BM27" s="46">
        <v>1.04E-2</v>
      </c>
      <c r="BN27" s="46">
        <v>7.9000000000000008E-3</v>
      </c>
      <c r="BO27" s="46">
        <v>7.9000000000000008E-3</v>
      </c>
      <c r="BP27" s="46">
        <v>8.3999999999999995E-3</v>
      </c>
      <c r="BQ27" s="46">
        <v>1.14E-2</v>
      </c>
      <c r="BR27" s="46">
        <v>1.09E-2</v>
      </c>
      <c r="BS27" s="46">
        <v>1.24E-2</v>
      </c>
      <c r="BT27" s="46">
        <v>1.44E-2</v>
      </c>
      <c r="BU27" s="46">
        <v>1.54E-2</v>
      </c>
      <c r="BV27" s="46">
        <v>1.1900000000000001E-2</v>
      </c>
      <c r="BW27" s="46">
        <v>1.29E-2</v>
      </c>
      <c r="BX27" s="46">
        <v>1.9400000000000001E-2</v>
      </c>
      <c r="BY27" s="46">
        <v>2.3900000000000001E-2</v>
      </c>
      <c r="BZ27" s="46">
        <v>2.0899999999999998E-2</v>
      </c>
      <c r="CA27" s="46">
        <v>2.4400000000000002E-2</v>
      </c>
      <c r="CB27" s="46">
        <v>2.4899999999999999E-2</v>
      </c>
      <c r="CC27" s="46">
        <v>2.0400000000000001E-2</v>
      </c>
      <c r="CD27" s="46">
        <v>1.9900000000000001E-2</v>
      </c>
      <c r="CE27" s="46">
        <v>2.5399999999999999E-2</v>
      </c>
      <c r="CF27" s="46">
        <v>2.5399999999999999E-2</v>
      </c>
      <c r="CG27" s="46">
        <v>1.29E-2</v>
      </c>
      <c r="CH27" s="46">
        <v>1.24E-2</v>
      </c>
      <c r="CI27" s="46">
        <v>1.24E-2</v>
      </c>
      <c r="CJ27" s="46">
        <v>1.24E-2</v>
      </c>
      <c r="CK27" s="46">
        <v>1.24E-2</v>
      </c>
      <c r="CL27" s="46">
        <v>1.14E-2</v>
      </c>
      <c r="CM27" s="46">
        <v>3.8999999999999998E-3</v>
      </c>
      <c r="CN27" s="46">
        <v>3.8999999999999998E-3</v>
      </c>
      <c r="CO27" s="46">
        <v>5.8999999999999999E-3</v>
      </c>
      <c r="CP27" s="46">
        <v>3.8999999999999998E-3</v>
      </c>
      <c r="CQ27" s="46">
        <v>3.8999999999999998E-3</v>
      </c>
      <c r="CR27" s="46">
        <v>4.4000000000000003E-3</v>
      </c>
      <c r="CS27" s="46">
        <v>6.4000000000000003E-3</v>
      </c>
      <c r="CT27" s="46">
        <v>7.4000000000000003E-3</v>
      </c>
      <c r="CU27" s="46">
        <v>9.9000000000000008E-3</v>
      </c>
      <c r="CV27" s="46">
        <v>1.5900000000000001E-2</v>
      </c>
      <c r="CW27" s="46">
        <v>1.7399999999999999E-2</v>
      </c>
      <c r="CX27" s="46">
        <v>1.9400000000000001E-2</v>
      </c>
      <c r="CY27" s="46">
        <v>1.9900000000000001E-2</v>
      </c>
      <c r="CZ27" s="46">
        <v>1.6899999999999998E-2</v>
      </c>
      <c r="DA27" s="46">
        <v>1.6400000000000001E-2</v>
      </c>
      <c r="DB27" s="46">
        <v>1.44E-2</v>
      </c>
      <c r="DC27" s="46">
        <v>1.44E-2</v>
      </c>
      <c r="DD27" s="46">
        <v>1.44E-2</v>
      </c>
      <c r="DE27" s="46">
        <v>1.44E-2</v>
      </c>
      <c r="DF27" s="46">
        <v>1.54E-2</v>
      </c>
      <c r="DG27" s="46">
        <v>1.89E-2</v>
      </c>
      <c r="DH27" s="46">
        <v>2.1899999999999999E-2</v>
      </c>
      <c r="DI27" s="46">
        <v>2.5899999999999999E-2</v>
      </c>
      <c r="DJ27" s="54">
        <v>3.1899999999999998E-2</v>
      </c>
      <c r="DK27" s="53">
        <v>2.8899999999999999E-2</v>
      </c>
      <c r="DL27" s="46">
        <v>2.5899999999999999E-2</v>
      </c>
      <c r="DM27" s="46">
        <v>2.64E-2</v>
      </c>
      <c r="DN27" s="46">
        <v>2.24E-2</v>
      </c>
      <c r="DO27" s="46">
        <v>1.6899999999999998E-2</v>
      </c>
      <c r="DP27" s="46">
        <v>1.6899999999999998E-2</v>
      </c>
      <c r="DQ27" s="45">
        <v>1.9400000000000001E-2</v>
      </c>
      <c r="DR27" s="45">
        <v>1.84E-2</v>
      </c>
      <c r="DS27" s="45">
        <v>2.0400000000000001E-2</v>
      </c>
      <c r="DT27" s="44">
        <v>1.89E-2</v>
      </c>
      <c r="DU27" s="44">
        <v>1.7399999999999999E-2</v>
      </c>
      <c r="DV27" s="44">
        <v>1.84E-2</v>
      </c>
      <c r="DW27" s="44">
        <v>2.0400000000000001E-2</v>
      </c>
      <c r="DX27" s="44">
        <v>1.6899999999999998E-2</v>
      </c>
      <c r="DY27" s="44">
        <v>1.6899999999999998E-2</v>
      </c>
      <c r="DZ27" s="44">
        <v>1.7899999999999999E-2</v>
      </c>
      <c r="EA27" s="44">
        <v>1.6400000000000001E-2</v>
      </c>
      <c r="EB27" s="44">
        <v>2.1399999999999999E-2</v>
      </c>
      <c r="EC27" s="44">
        <v>2.3900000000000001E-2</v>
      </c>
      <c r="ED27" s="44">
        <v>1.6899999999999998E-2</v>
      </c>
      <c r="EE27" s="44">
        <v>1.6899999999999998E-2</v>
      </c>
      <c r="EF27" s="44">
        <v>1.84E-2</v>
      </c>
      <c r="EG27" s="44">
        <v>2.0400000000000001E-2</v>
      </c>
      <c r="EH27" s="44">
        <v>2.0400000000000001E-2</v>
      </c>
      <c r="EI27" s="44">
        <v>2.0400000000000001E-2</v>
      </c>
      <c r="EJ27" s="44">
        <v>2.8400000000000002E-2</v>
      </c>
      <c r="EK27" s="44">
        <v>2.7900000000000001E-2</v>
      </c>
      <c r="EL27" s="44">
        <v>2.9399999999999999E-2</v>
      </c>
      <c r="EM27" s="44">
        <v>2.9399999999999999E-2</v>
      </c>
      <c r="EN27" s="44">
        <v>3.1399999999999997E-2</v>
      </c>
      <c r="EO27" s="44">
        <v>2.9899999999999999E-2</v>
      </c>
      <c r="EP27" s="44">
        <v>2.9899999999999999E-2</v>
      </c>
      <c r="EQ27" s="44">
        <v>2.1899999999999999E-2</v>
      </c>
      <c r="ER27" s="44">
        <v>2.24E-2</v>
      </c>
      <c r="ES27" s="44">
        <v>1.9900000000000001E-2</v>
      </c>
      <c r="ET27" s="44">
        <v>1.29E-2</v>
      </c>
      <c r="EU27" s="44">
        <v>1.1900000000000001E-2</v>
      </c>
      <c r="EV27" s="44">
        <v>1.24E-2</v>
      </c>
      <c r="EW27" s="44">
        <v>1.24E-2</v>
      </c>
      <c r="EX27" s="44">
        <v>1.1900000000000001E-2</v>
      </c>
      <c r="EY27" s="44">
        <v>1.1900000000000001E-2</v>
      </c>
      <c r="EZ27" s="44">
        <v>1.44E-2</v>
      </c>
      <c r="FA27" s="44">
        <v>1.49E-2</v>
      </c>
      <c r="FB27" s="45">
        <v>1.54E-2</v>
      </c>
      <c r="FC27" s="45">
        <v>1.34E-2</v>
      </c>
      <c r="FD27" s="45">
        <v>1.24E-2</v>
      </c>
      <c r="FE27" s="45">
        <v>1.3899999999999999E-2</v>
      </c>
      <c r="FF27" s="45">
        <v>1.44E-2</v>
      </c>
      <c r="FG27" s="45">
        <v>1.29E-2</v>
      </c>
      <c r="FH27" s="45">
        <v>1.1900000000000001E-2</v>
      </c>
      <c r="FI27" s="45">
        <v>1.14E-2</v>
      </c>
      <c r="FJ27" s="45">
        <v>1.1900000000000001E-2</v>
      </c>
      <c r="FK27" s="45">
        <v>1.14E-2</v>
      </c>
      <c r="FL27" s="46">
        <v>9.4000000000000004E-3</v>
      </c>
      <c r="FM27" s="45">
        <v>9.4000000000000004E-3</v>
      </c>
      <c r="FN27" s="45">
        <v>8.3999999999999995E-3</v>
      </c>
      <c r="FO27" s="45">
        <v>1.29E-2</v>
      </c>
      <c r="FP27" s="45">
        <v>1.29E-2</v>
      </c>
      <c r="FQ27" s="45">
        <v>1.54E-2</v>
      </c>
      <c r="FR27" s="45">
        <v>1.29E-2</v>
      </c>
      <c r="FS27" s="45">
        <v>1.3899999999999999E-2</v>
      </c>
      <c r="FT27" s="45">
        <v>1.54E-2</v>
      </c>
      <c r="FU27" s="46">
        <v>1.34E-2</v>
      </c>
      <c r="FV27" s="46">
        <v>1.24E-2</v>
      </c>
      <c r="FW27" s="45">
        <v>1.6899999999999998E-2</v>
      </c>
      <c r="FX27" s="45">
        <v>1.5900000000000001E-2</v>
      </c>
      <c r="FY27" s="45">
        <v>1.7399999999999999E-2</v>
      </c>
      <c r="FZ27" s="45">
        <v>1.1900000000000001E-2</v>
      </c>
      <c r="GA27" s="45">
        <v>1.04E-2</v>
      </c>
      <c r="GB27" s="45">
        <v>1.1900000000000001E-2</v>
      </c>
      <c r="GC27" s="45">
        <v>1.34E-2</v>
      </c>
      <c r="GD27" s="45">
        <v>1.34E-2</v>
      </c>
      <c r="GE27" s="45">
        <v>1.24E-2</v>
      </c>
      <c r="GF27" s="45">
        <v>1.1900000000000001E-2</v>
      </c>
      <c r="GG27" s="45">
        <v>1.44E-2</v>
      </c>
      <c r="GH27" s="45">
        <v>1.5900000000000001E-2</v>
      </c>
      <c r="GI27" s="45">
        <v>1.3899999999999999E-2</v>
      </c>
      <c r="GJ27" s="45">
        <v>1.5900000000000001E-2</v>
      </c>
      <c r="GK27" s="45">
        <v>1.09E-2</v>
      </c>
      <c r="GL27" s="45">
        <v>1.7899999999999999E-2</v>
      </c>
      <c r="GM27" s="45">
        <v>2.0899999999999998E-2</v>
      </c>
      <c r="GN27" s="45">
        <v>1.84E-2</v>
      </c>
      <c r="GO27" s="45">
        <v>1.6899999999999998E-2</v>
      </c>
      <c r="GP27" s="45">
        <v>1.44E-2</v>
      </c>
      <c r="GQ27" s="45">
        <v>1.34E-2</v>
      </c>
      <c r="GR27" s="45">
        <v>1.29E-2</v>
      </c>
      <c r="GS27" s="51">
        <v>1.29E-2</v>
      </c>
      <c r="GT27" s="51">
        <v>8.2000000000000007E-3</v>
      </c>
      <c r="GU27" s="51">
        <v>7.9000000000000008E-3</v>
      </c>
      <c r="GV27" s="51">
        <v>1.09E-2</v>
      </c>
      <c r="GW27" s="59"/>
      <c r="GX27" s="59"/>
      <c r="GY27" s="59"/>
      <c r="GZ27" s="59"/>
      <c r="HA27" s="59"/>
      <c r="HB27" s="59"/>
      <c r="HC27" s="59"/>
      <c r="HD27" s="59"/>
      <c r="HE27" s="58"/>
      <c r="HF27" s="58"/>
      <c r="HG27" s="58"/>
      <c r="HH27" s="58"/>
      <c r="HI27" s="58"/>
      <c r="HJ27" s="58"/>
      <c r="HK27" s="58"/>
      <c r="HL27" s="41">
        <f t="shared" ref="HL27:HL35" si="11">BH27-BQ27</f>
        <v>-8.5000000000000006E-3</v>
      </c>
      <c r="HM27" s="67"/>
      <c r="HN27" s="67"/>
      <c r="HO27" s="67"/>
      <c r="HP27" s="67"/>
      <c r="HQ27" s="86"/>
      <c r="HR27" s="1156" t="s">
        <v>208</v>
      </c>
      <c r="HS27" s="1157"/>
      <c r="HT27" s="1157"/>
      <c r="HU27" s="1157"/>
      <c r="HV27" s="1157"/>
      <c r="HW27" s="1157"/>
      <c r="HX27" s="1157"/>
      <c r="HY27" s="1157"/>
      <c r="HZ27" s="1157"/>
      <c r="IA27" s="1157"/>
      <c r="IB27" s="1157"/>
      <c r="IC27" s="1157"/>
      <c r="ID27" s="1157"/>
      <c r="IE27" s="1157"/>
      <c r="IF27" s="1157"/>
      <c r="IG27" s="1157"/>
      <c r="IH27" s="1157"/>
      <c r="II27" s="1157"/>
      <c r="IJ27" s="1157"/>
      <c r="IK27" s="1157"/>
      <c r="IL27" s="1157"/>
      <c r="IM27" s="1157"/>
      <c r="IN27" s="1157"/>
      <c r="IO27" s="1157"/>
      <c r="IP27" s="1157"/>
      <c r="IQ27" s="1157"/>
      <c r="IR27" s="1157"/>
      <c r="IS27" s="1157"/>
      <c r="IT27" s="1157"/>
      <c r="IU27" s="1157"/>
      <c r="IV27" s="1157"/>
      <c r="IW27" s="1157"/>
      <c r="IX27" s="1157"/>
      <c r="IY27" s="1157"/>
      <c r="IZ27" s="1157"/>
      <c r="JA27" s="1157"/>
      <c r="JB27" s="1157"/>
      <c r="JC27" s="1157"/>
      <c r="JD27" s="1157"/>
      <c r="JE27" s="1157"/>
      <c r="JF27" s="1157"/>
      <c r="JG27" s="1157"/>
      <c r="JH27" s="1157"/>
      <c r="JI27" s="1157"/>
      <c r="JJ27" s="1157"/>
      <c r="JK27" s="1157"/>
      <c r="JL27" s="1157"/>
      <c r="JM27" s="1157"/>
      <c r="JN27" s="1157"/>
      <c r="JO27" s="1157" t="s">
        <v>207</v>
      </c>
      <c r="JP27" s="1157"/>
      <c r="JQ27" s="1157"/>
      <c r="JR27" s="1157"/>
      <c r="JS27" s="1157"/>
      <c r="JT27" s="1157"/>
      <c r="JU27" s="1157"/>
      <c r="JV27" s="1157"/>
      <c r="JW27" s="1157"/>
      <c r="JX27" s="1157"/>
      <c r="JY27" s="1157"/>
      <c r="JZ27" s="1157"/>
      <c r="KA27" s="1157"/>
      <c r="KB27" s="1157"/>
      <c r="KC27" s="1157"/>
      <c r="KD27" s="1157"/>
      <c r="KE27" s="1157"/>
      <c r="KF27" s="1157"/>
      <c r="KG27" s="1157"/>
      <c r="KH27" s="1157"/>
      <c r="KI27" s="1157"/>
      <c r="KJ27" s="1157"/>
      <c r="KK27" s="1157"/>
      <c r="KL27" s="1157"/>
      <c r="KM27" s="1157"/>
      <c r="KN27" s="1157"/>
      <c r="KO27" s="1157"/>
      <c r="KP27" s="1157"/>
      <c r="KQ27" s="1157"/>
      <c r="KR27" s="1157"/>
      <c r="KS27" s="1157"/>
      <c r="KT27" s="1157"/>
      <c r="KU27" s="1157"/>
      <c r="KV27" s="1157"/>
      <c r="KW27" s="1157"/>
      <c r="KX27" s="1157"/>
      <c r="KY27" s="1157"/>
      <c r="KZ27" s="1157"/>
      <c r="LA27" s="1157"/>
      <c r="LB27" s="1157"/>
      <c r="LC27" s="1157"/>
      <c r="LD27" s="1157"/>
      <c r="LE27" s="1157"/>
      <c r="LF27" s="1157"/>
      <c r="LG27" s="1157"/>
      <c r="LH27" s="1157"/>
      <c r="LI27" s="1157"/>
      <c r="LJ27" s="1157"/>
      <c r="LK27" s="1157"/>
      <c r="LL27" s="1157"/>
      <c r="LM27" s="1158"/>
      <c r="LN27" s="473">
        <f t="shared" ref="LN27:LN46" si="12">Q27-R27</f>
        <v>0</v>
      </c>
    </row>
    <row r="28" spans="1:326">
      <c r="A28" s="1168"/>
      <c r="B28" s="60"/>
      <c r="C28" s="60"/>
      <c r="D28" s="60"/>
      <c r="E28" s="60"/>
      <c r="F28" s="60"/>
      <c r="G28" s="60"/>
      <c r="H28" s="60"/>
      <c r="I28" s="60"/>
      <c r="J28" s="60"/>
      <c r="K28" s="60"/>
      <c r="L28" s="60"/>
      <c r="M28" s="60"/>
      <c r="N28" s="61"/>
      <c r="O28" s="60"/>
      <c r="P28" s="738" t="s">
        <v>93</v>
      </c>
      <c r="Q28" s="851">
        <v>5.1999999999999998E-3</v>
      </c>
      <c r="R28" s="851">
        <v>5.1999999999999998E-3</v>
      </c>
      <c r="S28" s="590">
        <v>5.1999999999999998E-3</v>
      </c>
      <c r="T28" s="590">
        <v>4.7000000000000002E-3</v>
      </c>
      <c r="U28" s="590">
        <v>5.7000000000000002E-3</v>
      </c>
      <c r="V28" s="590">
        <v>5.1999999999999998E-3</v>
      </c>
      <c r="W28" s="590">
        <v>6.7000000000000002E-3</v>
      </c>
      <c r="X28" s="590">
        <v>6.1999999999999998E-3</v>
      </c>
      <c r="Y28" s="590">
        <v>7.7000000000000002E-3</v>
      </c>
      <c r="Z28" s="590">
        <v>6.7000000000000002E-3</v>
      </c>
      <c r="AA28" s="590">
        <v>7.7000000000000002E-3</v>
      </c>
      <c r="AB28" s="590">
        <v>6.1999999999999998E-3</v>
      </c>
      <c r="AC28" s="590">
        <v>7.1999999999999998E-3</v>
      </c>
      <c r="AD28" s="590">
        <v>8.2000000000000007E-3</v>
      </c>
      <c r="AE28" s="626">
        <v>7.7000000000000002E-3</v>
      </c>
      <c r="AF28" s="590">
        <v>7.7000000000000002E-3</v>
      </c>
      <c r="AG28" s="590">
        <v>5.7000000000000002E-3</v>
      </c>
      <c r="AH28" s="590">
        <v>7.1999999999999998E-3</v>
      </c>
      <c r="AI28" s="590">
        <v>5.1999999999999998E-3</v>
      </c>
      <c r="AJ28" s="48">
        <v>5.7000000000000002E-3</v>
      </c>
      <c r="AK28" s="48">
        <v>7.7000000000000002E-3</v>
      </c>
      <c r="AL28" s="47">
        <v>7.1999999999999998E-3</v>
      </c>
      <c r="AM28" s="48">
        <v>7.1999999999999998E-3</v>
      </c>
      <c r="AN28" s="47">
        <v>5.1999999999999998E-3</v>
      </c>
      <c r="AO28" s="48">
        <v>5.1999999999999998E-3</v>
      </c>
      <c r="AP28" s="48">
        <v>4.1999999999999997E-3</v>
      </c>
      <c r="AQ28" s="48">
        <v>5.1999999999999998E-3</v>
      </c>
      <c r="AR28" s="47">
        <v>4.7000000000000002E-3</v>
      </c>
      <c r="AS28" s="47">
        <v>6.1999999999999998E-3</v>
      </c>
      <c r="AT28" s="460">
        <v>6.1999999999999998E-3</v>
      </c>
      <c r="AU28" s="34">
        <v>4.7000000000000002E-3</v>
      </c>
      <c r="AV28" s="34">
        <v>5.7000000000000002E-3</v>
      </c>
      <c r="AW28" s="34">
        <v>4.7000000000000002E-3</v>
      </c>
      <c r="AX28" s="34">
        <v>6.1999999999999998E-3</v>
      </c>
      <c r="AY28" s="46">
        <v>6.7000000000000002E-3</v>
      </c>
      <c r="AZ28" s="35">
        <v>6.7000000000000002E-3</v>
      </c>
      <c r="BA28" s="35">
        <v>6.7000000000000002E-3</v>
      </c>
      <c r="BB28" s="34">
        <v>6.7000000000000002E-3</v>
      </c>
      <c r="BC28" s="35">
        <v>6.1999999999999998E-3</v>
      </c>
      <c r="BD28" s="35">
        <v>6.1999999999999998E-3</v>
      </c>
      <c r="BE28" s="34">
        <v>6.1999999999999998E-3</v>
      </c>
      <c r="BF28" s="35">
        <v>5.1999999999999998E-3</v>
      </c>
      <c r="BG28" s="34">
        <v>5.1999999999999998E-3</v>
      </c>
      <c r="BH28" s="34">
        <v>4.1999999999999997E-3</v>
      </c>
      <c r="BI28" s="34">
        <v>5.1999999999999998E-3</v>
      </c>
      <c r="BJ28" s="46">
        <v>6.7000000000000002E-3</v>
      </c>
      <c r="BK28" s="46">
        <v>4.7000000000000002E-3</v>
      </c>
      <c r="BL28" s="46">
        <v>1.0699999999999999E-2</v>
      </c>
      <c r="BM28" s="46">
        <v>1.17E-2</v>
      </c>
      <c r="BN28" s="46">
        <v>9.1999999999999998E-3</v>
      </c>
      <c r="BO28" s="46">
        <v>9.1999999999999998E-3</v>
      </c>
      <c r="BP28" s="46">
        <v>9.7000000000000003E-3</v>
      </c>
      <c r="BQ28" s="46">
        <v>1.2699999999999999E-2</v>
      </c>
      <c r="BR28" s="46">
        <v>1.2200000000000001E-2</v>
      </c>
      <c r="BS28" s="46">
        <v>1.37E-2</v>
      </c>
      <c r="BT28" s="46">
        <v>1.5699999999999999E-2</v>
      </c>
      <c r="BU28" s="46">
        <v>1.67E-2</v>
      </c>
      <c r="BV28" s="46">
        <v>1.32E-2</v>
      </c>
      <c r="BW28" s="46">
        <v>1.4200000000000001E-2</v>
      </c>
      <c r="BX28" s="46">
        <v>2.07E-2</v>
      </c>
      <c r="BY28" s="46">
        <v>2.52E-2</v>
      </c>
      <c r="BZ28" s="46">
        <v>2.2200000000000001E-2</v>
      </c>
      <c r="CA28" s="46">
        <v>2.5700000000000001E-2</v>
      </c>
      <c r="CB28" s="46">
        <v>2.6200000000000001E-2</v>
      </c>
      <c r="CC28" s="46">
        <v>2.1700000000000001E-2</v>
      </c>
      <c r="CD28" s="46">
        <v>2.12E-2</v>
      </c>
      <c r="CE28" s="46">
        <v>2.6700000000000002E-2</v>
      </c>
      <c r="CF28" s="46">
        <v>2.6700000000000002E-2</v>
      </c>
      <c r="CG28" s="46">
        <v>1.4200000000000001E-2</v>
      </c>
      <c r="CH28" s="46">
        <v>1.37E-2</v>
      </c>
      <c r="CI28" s="46">
        <v>1.37E-2</v>
      </c>
      <c r="CJ28" s="46">
        <v>1.37E-2</v>
      </c>
      <c r="CK28" s="46">
        <v>1.37E-2</v>
      </c>
      <c r="CL28" s="46">
        <v>1.2699999999999999E-2</v>
      </c>
      <c r="CM28" s="46">
        <v>5.1999999999999998E-3</v>
      </c>
      <c r="CN28" s="46">
        <v>5.1999999999999998E-3</v>
      </c>
      <c r="CO28" s="46">
        <v>7.1999999999999998E-3</v>
      </c>
      <c r="CP28" s="46">
        <v>5.1999999999999998E-3</v>
      </c>
      <c r="CQ28" s="46">
        <v>5.1999999999999998E-3</v>
      </c>
      <c r="CR28" s="46">
        <v>5.7000000000000002E-3</v>
      </c>
      <c r="CS28" s="46">
        <v>7.7000000000000002E-3</v>
      </c>
      <c r="CT28" s="46">
        <v>8.6999999999999994E-3</v>
      </c>
      <c r="CU28" s="46">
        <v>1.12E-2</v>
      </c>
      <c r="CV28" s="46">
        <v>1.72E-2</v>
      </c>
      <c r="CW28" s="46">
        <v>1.8700000000000001E-2</v>
      </c>
      <c r="CX28" s="46">
        <v>2.07E-2</v>
      </c>
      <c r="CY28" s="46">
        <v>2.12E-2</v>
      </c>
      <c r="CZ28" s="46">
        <v>1.8200000000000001E-2</v>
      </c>
      <c r="DA28" s="46">
        <v>1.77E-2</v>
      </c>
      <c r="DB28" s="46">
        <v>1.5699999999999999E-2</v>
      </c>
      <c r="DC28" s="46">
        <v>1.5699999999999999E-2</v>
      </c>
      <c r="DD28" s="46">
        <v>1.5699999999999999E-2</v>
      </c>
      <c r="DE28" s="46">
        <v>1.5699999999999999E-2</v>
      </c>
      <c r="DF28" s="46">
        <v>1.67E-2</v>
      </c>
      <c r="DG28" s="46">
        <v>2.0199999999999999E-2</v>
      </c>
      <c r="DH28" s="46">
        <v>2.3199999999999998E-2</v>
      </c>
      <c r="DI28" s="46">
        <v>2.7199999999999998E-2</v>
      </c>
      <c r="DJ28" s="54">
        <v>3.32E-2</v>
      </c>
      <c r="DK28" s="53">
        <v>3.0200000000000001E-2</v>
      </c>
      <c r="DL28" s="46">
        <v>2.7199999999999998E-2</v>
      </c>
      <c r="DM28" s="46">
        <v>2.7699999999999999E-2</v>
      </c>
      <c r="DN28" s="46">
        <v>2.3699999999999999E-2</v>
      </c>
      <c r="DO28" s="46">
        <v>1.8200000000000001E-2</v>
      </c>
      <c r="DP28" s="46">
        <v>1.8200000000000001E-2</v>
      </c>
      <c r="DQ28" s="45">
        <v>2.07E-2</v>
      </c>
      <c r="DR28" s="45">
        <v>1.9699999999999999E-2</v>
      </c>
      <c r="DS28" s="45">
        <v>2.1700000000000001E-2</v>
      </c>
      <c r="DT28" s="44">
        <v>2.0199999999999999E-2</v>
      </c>
      <c r="DU28" s="44">
        <v>1.8700000000000001E-2</v>
      </c>
      <c r="DV28" s="44">
        <v>1.9699999999999999E-2</v>
      </c>
      <c r="DW28" s="44">
        <v>2.1700000000000001E-2</v>
      </c>
      <c r="DX28" s="44">
        <v>1.8200000000000001E-2</v>
      </c>
      <c r="DY28" s="44">
        <v>1.8200000000000001E-2</v>
      </c>
      <c r="DZ28" s="44">
        <v>1.9199999999999998E-2</v>
      </c>
      <c r="EA28" s="44">
        <v>1.77E-2</v>
      </c>
      <c r="EB28" s="44">
        <v>2.2700000000000001E-2</v>
      </c>
      <c r="EC28" s="44">
        <v>2.52E-2</v>
      </c>
      <c r="ED28" s="44">
        <v>1.8200000000000001E-2</v>
      </c>
      <c r="EE28" s="44">
        <v>1.8200000000000001E-2</v>
      </c>
      <c r="EF28" s="44">
        <v>1.9699999999999999E-2</v>
      </c>
      <c r="EG28" s="44">
        <v>2.1700000000000001E-2</v>
      </c>
      <c r="EH28" s="44">
        <v>2.1700000000000001E-2</v>
      </c>
      <c r="EI28" s="44">
        <v>2.1700000000000001E-2</v>
      </c>
      <c r="EJ28" s="44">
        <v>2.9700000000000001E-2</v>
      </c>
      <c r="EK28" s="44">
        <v>2.92E-2</v>
      </c>
      <c r="EL28" s="44">
        <v>3.0700000000000002E-2</v>
      </c>
      <c r="EM28" s="44">
        <v>3.0700000000000002E-2</v>
      </c>
      <c r="EN28" s="44">
        <v>3.27E-2</v>
      </c>
      <c r="EO28" s="44">
        <v>3.1199999999999999E-2</v>
      </c>
      <c r="EP28" s="44">
        <v>3.1199999999999999E-2</v>
      </c>
      <c r="EQ28" s="44">
        <v>2.3199999999999998E-2</v>
      </c>
      <c r="ER28" s="44">
        <v>2.3699999999999999E-2</v>
      </c>
      <c r="ES28" s="44">
        <v>2.12E-2</v>
      </c>
      <c r="ET28" s="44">
        <v>1.4200000000000001E-2</v>
      </c>
      <c r="EU28" s="44">
        <v>1.32E-2</v>
      </c>
      <c r="EV28" s="44">
        <v>1.37E-2</v>
      </c>
      <c r="EW28" s="44">
        <v>1.37E-2</v>
      </c>
      <c r="EX28" s="44">
        <v>1.32E-2</v>
      </c>
      <c r="EY28" s="44">
        <v>1.32E-2</v>
      </c>
      <c r="EZ28" s="44">
        <v>1.5699999999999999E-2</v>
      </c>
      <c r="FA28" s="44">
        <v>1.6199999999999999E-2</v>
      </c>
      <c r="FB28" s="45">
        <v>1.67E-2</v>
      </c>
      <c r="FC28" s="45">
        <v>1.47E-2</v>
      </c>
      <c r="FD28" s="45">
        <v>1.37E-2</v>
      </c>
      <c r="FE28" s="45">
        <v>1.52E-2</v>
      </c>
      <c r="FF28" s="45">
        <v>1.5699999999999999E-2</v>
      </c>
      <c r="FG28" s="45">
        <v>1.4200000000000001E-2</v>
      </c>
      <c r="FH28" s="45">
        <v>1.32E-2</v>
      </c>
      <c r="FI28" s="45">
        <v>1.2699999999999999E-2</v>
      </c>
      <c r="FJ28" s="45">
        <v>1.32E-2</v>
      </c>
      <c r="FK28" s="45">
        <v>1.2699999999999999E-2</v>
      </c>
      <c r="FL28" s="46">
        <v>1.0699999999999999E-2</v>
      </c>
      <c r="FM28" s="45">
        <v>1.0699999999999999E-2</v>
      </c>
      <c r="FN28" s="45">
        <v>9.7000000000000003E-3</v>
      </c>
      <c r="FO28" s="45">
        <v>1.4200000000000001E-2</v>
      </c>
      <c r="FP28" s="45">
        <v>1.4200000000000001E-2</v>
      </c>
      <c r="FQ28" s="45">
        <v>1.67E-2</v>
      </c>
      <c r="FR28" s="45">
        <v>1.4200000000000001E-2</v>
      </c>
      <c r="FS28" s="45">
        <v>1.52E-2</v>
      </c>
      <c r="FT28" s="45">
        <v>1.67E-2</v>
      </c>
      <c r="FU28" s="46">
        <v>1.47E-2</v>
      </c>
      <c r="FV28" s="46">
        <v>1.37E-2</v>
      </c>
      <c r="FW28" s="45">
        <v>1.8200000000000001E-2</v>
      </c>
      <c r="FX28" s="45">
        <v>1.72E-2</v>
      </c>
      <c r="FY28" s="45">
        <v>1.8700000000000001E-2</v>
      </c>
      <c r="FZ28" s="45">
        <v>1.32E-2</v>
      </c>
      <c r="GA28" s="45">
        <v>1.17E-2</v>
      </c>
      <c r="GB28" s="45">
        <v>1.32E-2</v>
      </c>
      <c r="GC28" s="45">
        <v>1.47E-2</v>
      </c>
      <c r="GD28" s="45">
        <v>1.47E-2</v>
      </c>
      <c r="GE28" s="45">
        <v>1.37E-2</v>
      </c>
      <c r="GF28" s="45">
        <v>1.32E-2</v>
      </c>
      <c r="GG28" s="45">
        <v>1.5699999999999999E-2</v>
      </c>
      <c r="GH28" s="45">
        <v>1.72E-2</v>
      </c>
      <c r="GI28" s="45">
        <v>1.52E-2</v>
      </c>
      <c r="GJ28" s="45">
        <v>1.72E-2</v>
      </c>
      <c r="GK28" s="45">
        <v>1.2200000000000001E-2</v>
      </c>
      <c r="GL28" s="45">
        <v>1.9199999999999998E-2</v>
      </c>
      <c r="GM28" s="45">
        <v>2.2200000000000001E-2</v>
      </c>
      <c r="GN28" s="45">
        <v>1.9699999999999999E-2</v>
      </c>
      <c r="GO28" s="45">
        <v>1.8200000000000001E-2</v>
      </c>
      <c r="GP28" s="45">
        <v>1.5699999999999999E-2</v>
      </c>
      <c r="GQ28" s="45">
        <v>1.47E-2</v>
      </c>
      <c r="GR28" s="45">
        <v>1.4200000000000001E-2</v>
      </c>
      <c r="GS28" s="51">
        <v>1.4200000000000001E-2</v>
      </c>
      <c r="GT28" s="51">
        <v>9.4999999999999998E-3</v>
      </c>
      <c r="GU28" s="51">
        <v>9.1999999999999998E-3</v>
      </c>
      <c r="GV28" s="51">
        <v>1.2200000000000001E-2</v>
      </c>
      <c r="GW28" s="59"/>
      <c r="GX28" s="59"/>
      <c r="GY28" s="59"/>
      <c r="GZ28" s="59"/>
      <c r="HA28" s="59"/>
      <c r="HB28" s="59"/>
      <c r="HC28" s="59"/>
      <c r="HD28" s="59"/>
      <c r="HE28" s="58"/>
      <c r="HF28" s="58"/>
      <c r="HG28" s="58"/>
      <c r="HH28" s="58"/>
      <c r="HI28" s="58"/>
      <c r="HJ28" s="58"/>
      <c r="HK28" s="58"/>
      <c r="HL28" s="41">
        <f t="shared" si="11"/>
        <v>-8.5000000000000006E-3</v>
      </c>
      <c r="HM28" s="67"/>
      <c r="HN28" s="67"/>
      <c r="HO28" s="67"/>
      <c r="HP28" s="67"/>
      <c r="HQ28" s="86"/>
      <c r="HR28" s="67" t="s">
        <v>108</v>
      </c>
      <c r="HS28" s="67" t="s">
        <v>107</v>
      </c>
      <c r="HT28" s="67" t="s">
        <v>106</v>
      </c>
      <c r="HU28" s="67" t="s">
        <v>105</v>
      </c>
      <c r="HV28" s="67" t="s">
        <v>104</v>
      </c>
      <c r="HW28" s="67" t="s">
        <v>103</v>
      </c>
      <c r="HX28" s="67" t="s">
        <v>102</v>
      </c>
      <c r="HY28" s="67" t="s">
        <v>101</v>
      </c>
      <c r="HZ28" s="67" t="s">
        <v>100</v>
      </c>
      <c r="IA28" s="68" t="s">
        <v>99</v>
      </c>
      <c r="IB28" s="67" t="s">
        <v>98</v>
      </c>
      <c r="IC28" s="65" t="s">
        <v>97</v>
      </c>
      <c r="ID28" s="65" t="s">
        <v>206</v>
      </c>
      <c r="IE28" s="102" t="s">
        <v>118</v>
      </c>
      <c r="IF28" s="102" t="s">
        <v>205</v>
      </c>
      <c r="IG28" s="102" t="e">
        <f>IG51</f>
        <v>#REF!</v>
      </c>
      <c r="IH28" s="102" t="str">
        <f>IH51</f>
        <v>5月27日</v>
      </c>
      <c r="II28" s="102" t="s">
        <v>204</v>
      </c>
      <c r="IJ28" s="102" t="s">
        <v>203</v>
      </c>
      <c r="IK28" s="102" t="s">
        <v>202</v>
      </c>
      <c r="IL28" s="102" t="s">
        <v>201</v>
      </c>
      <c r="IM28" s="102" t="s">
        <v>200</v>
      </c>
      <c r="IN28" s="102" t="s">
        <v>199</v>
      </c>
      <c r="IO28" s="102" t="s">
        <v>198</v>
      </c>
      <c r="IP28" s="102" t="s">
        <v>197</v>
      </c>
      <c r="IQ28" s="102" t="s">
        <v>147</v>
      </c>
      <c r="IR28" s="102" t="s">
        <v>196</v>
      </c>
      <c r="IS28" s="102" t="s">
        <v>195</v>
      </c>
      <c r="IT28" s="102" t="s">
        <v>194</v>
      </c>
      <c r="IU28" s="102" t="s">
        <v>193</v>
      </c>
      <c r="IV28" s="102" t="s">
        <v>192</v>
      </c>
      <c r="IW28" s="102" t="s">
        <v>191</v>
      </c>
      <c r="IX28" s="102" t="s">
        <v>190</v>
      </c>
      <c r="IY28" s="102" t="s">
        <v>189</v>
      </c>
      <c r="IZ28" s="102" t="s">
        <v>188</v>
      </c>
      <c r="JA28" s="102" t="s">
        <v>187</v>
      </c>
      <c r="JB28" s="102" t="s">
        <v>186</v>
      </c>
      <c r="JC28" s="102" t="s">
        <v>185</v>
      </c>
      <c r="JD28" s="102" t="s">
        <v>184</v>
      </c>
      <c r="JE28" s="102" t="s">
        <v>183</v>
      </c>
      <c r="JF28" s="102" t="s">
        <v>182</v>
      </c>
      <c r="JG28" s="102" t="s">
        <v>181</v>
      </c>
      <c r="JH28" s="102" t="s">
        <v>180</v>
      </c>
      <c r="JI28" s="102" t="s">
        <v>179</v>
      </c>
      <c r="JJ28" s="102" t="s">
        <v>178</v>
      </c>
      <c r="JK28" s="102" t="s">
        <v>177</v>
      </c>
      <c r="JL28" s="102" t="s">
        <v>176</v>
      </c>
      <c r="JM28" s="102" t="s">
        <v>175</v>
      </c>
      <c r="JN28" s="102" t="s">
        <v>174</v>
      </c>
      <c r="JO28" s="101" t="str">
        <f>JO51</f>
        <v>1月6日</v>
      </c>
      <c r="JP28" s="101" t="str">
        <f>JP51</f>
        <v>1月13日</v>
      </c>
      <c r="JQ28" s="101" t="str">
        <f>JQ51</f>
        <v>1月20日</v>
      </c>
      <c r="JR28" s="101" t="str">
        <f>JR51</f>
        <v>1月27日</v>
      </c>
      <c r="JS28" s="101" t="s">
        <v>169</v>
      </c>
      <c r="JT28" s="101" t="s">
        <v>168</v>
      </c>
      <c r="JU28" s="101" t="s">
        <v>167</v>
      </c>
      <c r="JV28" s="101" t="s">
        <v>166</v>
      </c>
      <c r="JW28" s="101" t="s">
        <v>165</v>
      </c>
      <c r="JX28" s="101" t="s">
        <v>164</v>
      </c>
      <c r="JY28" s="101" t="s">
        <v>99</v>
      </c>
      <c r="JZ28" s="101" t="s">
        <v>103</v>
      </c>
      <c r="KA28" s="101" t="s">
        <v>163</v>
      </c>
      <c r="KB28" s="101" t="s">
        <v>162</v>
      </c>
      <c r="KC28" s="101" t="s">
        <v>161</v>
      </c>
      <c r="KD28" s="101" t="s">
        <v>160</v>
      </c>
      <c r="KE28" s="101" t="s">
        <v>159</v>
      </c>
      <c r="KF28" s="101" t="s">
        <v>158</v>
      </c>
      <c r="KG28" s="101" t="s">
        <v>157</v>
      </c>
      <c r="KH28" s="101" t="s">
        <v>156</v>
      </c>
      <c r="KI28" s="101" t="s">
        <v>155</v>
      </c>
      <c r="KJ28" s="101" t="s">
        <v>154</v>
      </c>
      <c r="KK28" s="92" t="s">
        <v>153</v>
      </c>
      <c r="KL28" s="92" t="s">
        <v>152</v>
      </c>
      <c r="KM28" s="92" t="s">
        <v>151</v>
      </c>
      <c r="KN28" s="92" t="s">
        <v>150</v>
      </c>
      <c r="KO28" s="92" t="s">
        <v>149</v>
      </c>
      <c r="KP28" s="92" t="s">
        <v>148</v>
      </c>
      <c r="KQ28" s="92" t="s">
        <v>147</v>
      </c>
      <c r="KR28" s="92" t="s">
        <v>146</v>
      </c>
      <c r="KS28" s="92" t="s">
        <v>145</v>
      </c>
      <c r="KT28" s="92" t="s">
        <v>144</v>
      </c>
      <c r="KU28" s="92" t="s">
        <v>143</v>
      </c>
      <c r="KV28" s="92" t="s">
        <v>142</v>
      </c>
      <c r="KW28" s="92" t="s">
        <v>141</v>
      </c>
      <c r="KX28" s="92" t="s">
        <v>140</v>
      </c>
      <c r="KY28" s="92" t="s">
        <v>139</v>
      </c>
      <c r="KZ28" s="92" t="s">
        <v>138</v>
      </c>
      <c r="LA28" s="92" t="s">
        <v>137</v>
      </c>
      <c r="LB28" s="92" t="s">
        <v>136</v>
      </c>
      <c r="LC28" s="92" t="s">
        <v>135</v>
      </c>
      <c r="LD28" s="92" t="s">
        <v>134</v>
      </c>
      <c r="LE28" s="92" t="s">
        <v>133</v>
      </c>
      <c r="LF28" s="92" t="s">
        <v>132</v>
      </c>
      <c r="LG28" s="92" t="s">
        <v>131</v>
      </c>
      <c r="LH28" s="92" t="s">
        <v>130</v>
      </c>
      <c r="LI28" s="92" t="s">
        <v>129</v>
      </c>
      <c r="LJ28" s="92" t="s">
        <v>128</v>
      </c>
      <c r="LK28" s="92" t="s">
        <v>127</v>
      </c>
      <c r="LL28" s="92" t="s">
        <v>126</v>
      </c>
      <c r="LM28" s="92" t="s">
        <v>125</v>
      </c>
      <c r="LN28" s="473">
        <f t="shared" si="12"/>
        <v>0</v>
      </c>
    </row>
    <row r="29" spans="1:326">
      <c r="A29" s="1168"/>
      <c r="B29" s="60"/>
      <c r="C29" s="60"/>
      <c r="D29" s="60"/>
      <c r="E29" s="60"/>
      <c r="F29" s="60"/>
      <c r="G29" s="60"/>
      <c r="H29" s="60"/>
      <c r="I29" s="60"/>
      <c r="J29" s="60"/>
      <c r="K29" s="60"/>
      <c r="L29" s="60"/>
      <c r="M29" s="60"/>
      <c r="N29" s="61"/>
      <c r="O29" s="60"/>
      <c r="P29" s="738" t="s">
        <v>90</v>
      </c>
      <c r="Q29" s="851">
        <v>6.4000000000000003E-3</v>
      </c>
      <c r="R29" s="851">
        <v>6.4000000000000003E-3</v>
      </c>
      <c r="S29" s="590">
        <v>6.4000000000000003E-3</v>
      </c>
      <c r="T29" s="590">
        <v>5.8999999999999999E-3</v>
      </c>
      <c r="U29" s="590">
        <v>6.8999999999999999E-3</v>
      </c>
      <c r="V29" s="590">
        <v>5.4000000000000003E-3</v>
      </c>
      <c r="W29" s="590">
        <v>7.9000000000000008E-3</v>
      </c>
      <c r="X29" s="590">
        <v>7.4000000000000003E-3</v>
      </c>
      <c r="Y29" s="590">
        <v>8.8999999999999999E-3</v>
      </c>
      <c r="Z29" s="590">
        <v>7.9000000000000008E-3</v>
      </c>
      <c r="AA29" s="590">
        <v>8.8999999999999999E-3</v>
      </c>
      <c r="AB29" s="590">
        <v>7.4000000000000003E-3</v>
      </c>
      <c r="AC29" s="590">
        <v>8.3999999999999995E-3</v>
      </c>
      <c r="AD29" s="590">
        <v>9.4000000000000004E-3</v>
      </c>
      <c r="AE29" s="626">
        <v>8.8999999999999999E-3</v>
      </c>
      <c r="AF29" s="590">
        <v>8.8999999999999999E-3</v>
      </c>
      <c r="AG29" s="590">
        <v>6.8999999999999999E-3</v>
      </c>
      <c r="AH29" s="590">
        <v>8.4000000000000012E-3</v>
      </c>
      <c r="AI29" s="590">
        <v>6.4000000000000012E-3</v>
      </c>
      <c r="AJ29" s="48">
        <v>6.9000000000000016E-3</v>
      </c>
      <c r="AK29" s="48">
        <v>8.9000000000000017E-3</v>
      </c>
      <c r="AL29" s="47">
        <v>8.4000000000000012E-3</v>
      </c>
      <c r="AM29" s="48">
        <v>8.4000000000000012E-3</v>
      </c>
      <c r="AN29" s="47">
        <v>6.4000000000000003E-3</v>
      </c>
      <c r="AO29" s="48">
        <v>6.4000000000000003E-3</v>
      </c>
      <c r="AP29" s="48">
        <v>5.4000000000000003E-3</v>
      </c>
      <c r="AQ29" s="48">
        <v>6.4000000000000003E-3</v>
      </c>
      <c r="AR29" s="47">
        <v>5.8999999999999999E-3</v>
      </c>
      <c r="AS29" s="47">
        <v>7.4000000000000003E-3</v>
      </c>
      <c r="AT29" s="460">
        <v>7.4000000000000003E-3</v>
      </c>
      <c r="AU29" s="34">
        <v>5.8999999999999999E-3</v>
      </c>
      <c r="AV29" s="34">
        <v>6.8999999999999999E-3</v>
      </c>
      <c r="AW29" s="34">
        <v>5.8999999999999999E-3</v>
      </c>
      <c r="AX29" s="34">
        <v>7.4000000000000003E-3</v>
      </c>
      <c r="AY29" s="46">
        <v>7.9000000000000008E-3</v>
      </c>
      <c r="AZ29" s="35">
        <v>7.9000000000000008E-3</v>
      </c>
      <c r="BA29" s="35">
        <v>7.9000000000000008E-3</v>
      </c>
      <c r="BB29" s="34">
        <v>7.9000000000000008E-3</v>
      </c>
      <c r="BC29" s="35">
        <v>7.4000000000000003E-3</v>
      </c>
      <c r="BD29" s="35">
        <v>7.4000000000000003E-3</v>
      </c>
      <c r="BE29" s="34">
        <v>7.4000000000000003E-3</v>
      </c>
      <c r="BF29" s="35">
        <v>6.4000000000000003E-3</v>
      </c>
      <c r="BG29" s="34">
        <v>6.4000000000000003E-3</v>
      </c>
      <c r="BH29" s="34">
        <v>5.4000000000000003E-3</v>
      </c>
      <c r="BI29" s="34">
        <v>6.4000000000000003E-3</v>
      </c>
      <c r="BJ29" s="46">
        <v>7.9000000000000008E-3</v>
      </c>
      <c r="BK29" s="46">
        <v>5.8999999999999999E-3</v>
      </c>
      <c r="BL29" s="46">
        <v>1.1900000000000001E-2</v>
      </c>
      <c r="BM29" s="46">
        <v>1.29E-2</v>
      </c>
      <c r="BN29" s="46">
        <v>1.04E-2</v>
      </c>
      <c r="BO29" s="46">
        <v>1.04E-2</v>
      </c>
      <c r="BP29" s="46">
        <v>1.09E-2</v>
      </c>
      <c r="BQ29" s="46">
        <v>1.3899999999999999E-2</v>
      </c>
      <c r="BR29" s="46">
        <v>1.34E-2</v>
      </c>
      <c r="BS29" s="46">
        <v>1.49E-2</v>
      </c>
      <c r="BT29" s="46">
        <v>1.6899999999999998E-2</v>
      </c>
      <c r="BU29" s="46">
        <v>1.7899999999999999E-2</v>
      </c>
      <c r="BV29" s="46">
        <v>1.44E-2</v>
      </c>
      <c r="BW29" s="46">
        <v>1.54E-2</v>
      </c>
      <c r="BX29" s="46">
        <v>2.1899999999999999E-2</v>
      </c>
      <c r="BY29" s="46">
        <v>2.64E-2</v>
      </c>
      <c r="BZ29" s="46">
        <v>2.3400000000000001E-2</v>
      </c>
      <c r="CA29" s="46">
        <v>2.69E-2</v>
      </c>
      <c r="CB29" s="46">
        <v>2.7400000000000001E-2</v>
      </c>
      <c r="CC29" s="46">
        <v>2.29E-2</v>
      </c>
      <c r="CD29" s="46">
        <v>2.24E-2</v>
      </c>
      <c r="CE29" s="46">
        <v>2.7900000000000001E-2</v>
      </c>
      <c r="CF29" s="46">
        <v>2.7900000000000001E-2</v>
      </c>
      <c r="CG29" s="46">
        <v>1.54E-2</v>
      </c>
      <c r="CH29" s="46">
        <v>1.49E-2</v>
      </c>
      <c r="CI29" s="46">
        <v>1.49E-2</v>
      </c>
      <c r="CJ29" s="46">
        <v>1.49E-2</v>
      </c>
      <c r="CK29" s="46">
        <v>1.49E-2</v>
      </c>
      <c r="CL29" s="46">
        <v>1.3899999999999999E-2</v>
      </c>
      <c r="CM29" s="46">
        <v>6.4000000000000003E-3</v>
      </c>
      <c r="CN29" s="46">
        <v>6.4000000000000003E-3</v>
      </c>
      <c r="CO29" s="46">
        <v>8.3999999999999995E-3</v>
      </c>
      <c r="CP29" s="46">
        <v>6.4000000000000003E-3</v>
      </c>
      <c r="CQ29" s="46">
        <v>6.4000000000000003E-3</v>
      </c>
      <c r="CR29" s="46">
        <v>6.8999999999999999E-3</v>
      </c>
      <c r="CS29" s="46">
        <v>8.8999999999999999E-3</v>
      </c>
      <c r="CT29" s="46">
        <v>9.9000000000000008E-3</v>
      </c>
      <c r="CU29" s="46">
        <v>1.24E-2</v>
      </c>
      <c r="CV29" s="46">
        <v>1.84E-2</v>
      </c>
      <c r="CW29" s="46">
        <v>1.9900000000000001E-2</v>
      </c>
      <c r="CX29" s="46">
        <v>2.1899999999999999E-2</v>
      </c>
      <c r="CY29" s="46">
        <v>2.24E-2</v>
      </c>
      <c r="CZ29" s="46">
        <v>1.9400000000000001E-2</v>
      </c>
      <c r="DA29" s="46">
        <v>1.89E-2</v>
      </c>
      <c r="DB29" s="46">
        <v>1.6899999999999998E-2</v>
      </c>
      <c r="DC29" s="46">
        <v>1.6899999999999998E-2</v>
      </c>
      <c r="DD29" s="46">
        <v>1.6899999999999998E-2</v>
      </c>
      <c r="DE29" s="46">
        <v>1.6899999999999998E-2</v>
      </c>
      <c r="DF29" s="46">
        <v>1.7899999999999999E-2</v>
      </c>
      <c r="DG29" s="46">
        <v>2.1399999999999999E-2</v>
      </c>
      <c r="DH29" s="46">
        <v>2.4400000000000002E-2</v>
      </c>
      <c r="DI29" s="46">
        <v>2.8400000000000002E-2</v>
      </c>
      <c r="DJ29" s="54">
        <v>3.44E-2</v>
      </c>
      <c r="DK29" s="53">
        <v>3.1399999999999997E-2</v>
      </c>
      <c r="DL29" s="46">
        <v>2.8400000000000002E-2</v>
      </c>
      <c r="DM29" s="46">
        <v>2.8899999999999999E-2</v>
      </c>
      <c r="DN29" s="46">
        <v>2.4899999999999999E-2</v>
      </c>
      <c r="DO29" s="46">
        <v>1.9400000000000001E-2</v>
      </c>
      <c r="DP29" s="46">
        <v>1.9400000000000001E-2</v>
      </c>
      <c r="DQ29" s="45">
        <v>2.1899999999999999E-2</v>
      </c>
      <c r="DR29" s="45">
        <v>2.0899999999999998E-2</v>
      </c>
      <c r="DS29" s="45">
        <v>2.29E-2</v>
      </c>
      <c r="DT29" s="44">
        <v>2.1399999999999999E-2</v>
      </c>
      <c r="DU29" s="44">
        <v>1.9900000000000001E-2</v>
      </c>
      <c r="DV29" s="44">
        <v>2.0899999999999998E-2</v>
      </c>
      <c r="DW29" s="44">
        <v>2.29E-2</v>
      </c>
      <c r="DX29" s="44">
        <v>1.9400000000000001E-2</v>
      </c>
      <c r="DY29" s="44">
        <v>1.9400000000000001E-2</v>
      </c>
      <c r="DZ29" s="44">
        <v>2.0400000000000001E-2</v>
      </c>
      <c r="EA29" s="44">
        <v>1.89E-2</v>
      </c>
      <c r="EB29" s="44">
        <v>2.3900000000000001E-2</v>
      </c>
      <c r="EC29" s="44">
        <v>2.64E-2</v>
      </c>
      <c r="ED29" s="44">
        <v>1.9400000000000001E-2</v>
      </c>
      <c r="EE29" s="44">
        <v>1.9400000000000001E-2</v>
      </c>
      <c r="EF29" s="44">
        <v>2.0899999999999998E-2</v>
      </c>
      <c r="EG29" s="44">
        <v>2.29E-2</v>
      </c>
      <c r="EH29" s="44">
        <v>2.29E-2</v>
      </c>
      <c r="EI29" s="44">
        <v>2.29E-2</v>
      </c>
      <c r="EJ29" s="44">
        <v>3.09E-2</v>
      </c>
      <c r="EK29" s="44">
        <v>3.04E-2</v>
      </c>
      <c r="EL29" s="44">
        <v>3.1899999999999998E-2</v>
      </c>
      <c r="EM29" s="44">
        <v>3.1899999999999998E-2</v>
      </c>
      <c r="EN29" s="44">
        <v>3.39E-2</v>
      </c>
      <c r="EO29" s="44">
        <v>3.2399999999999998E-2</v>
      </c>
      <c r="EP29" s="44">
        <v>3.2399999999999998E-2</v>
      </c>
      <c r="EQ29" s="44">
        <v>2.4400000000000002E-2</v>
      </c>
      <c r="ER29" s="44">
        <v>2.4899999999999999E-2</v>
      </c>
      <c r="ES29" s="44">
        <v>2.24E-2</v>
      </c>
      <c r="ET29" s="44">
        <v>1.54E-2</v>
      </c>
      <c r="EU29" s="44">
        <v>1.44E-2</v>
      </c>
      <c r="EV29" s="44">
        <v>1.49E-2</v>
      </c>
      <c r="EW29" s="44">
        <v>1.49E-2</v>
      </c>
      <c r="EX29" s="44">
        <v>1.44E-2</v>
      </c>
      <c r="EY29" s="44">
        <v>1.44E-2</v>
      </c>
      <c r="EZ29" s="44">
        <v>1.6899999999999998E-2</v>
      </c>
      <c r="FA29" s="44">
        <v>1.7399999999999999E-2</v>
      </c>
      <c r="FB29" s="45">
        <v>1.7899999999999999E-2</v>
      </c>
      <c r="FC29" s="45">
        <v>1.5900000000000001E-2</v>
      </c>
      <c r="FD29" s="45">
        <v>1.49E-2</v>
      </c>
      <c r="FE29" s="45">
        <v>1.6400000000000001E-2</v>
      </c>
      <c r="FF29" s="45">
        <v>1.6899999999999998E-2</v>
      </c>
      <c r="FG29" s="45">
        <v>1.54E-2</v>
      </c>
      <c r="FH29" s="45">
        <v>1.44E-2</v>
      </c>
      <c r="FI29" s="45">
        <v>1.3899999999999999E-2</v>
      </c>
      <c r="FJ29" s="45">
        <v>1.44E-2</v>
      </c>
      <c r="FK29" s="45">
        <v>1.3899999999999999E-2</v>
      </c>
      <c r="FL29" s="46">
        <v>1.1900000000000001E-2</v>
      </c>
      <c r="FM29" s="45">
        <v>1.1900000000000001E-2</v>
      </c>
      <c r="FN29" s="45">
        <v>1.09E-2</v>
      </c>
      <c r="FO29" s="45">
        <v>1.54E-2</v>
      </c>
      <c r="FP29" s="45">
        <v>1.54E-2</v>
      </c>
      <c r="FQ29" s="45">
        <v>1.7899999999999999E-2</v>
      </c>
      <c r="FR29" s="45">
        <v>1.54E-2</v>
      </c>
      <c r="FS29" s="45">
        <v>1.6400000000000001E-2</v>
      </c>
      <c r="FT29" s="45">
        <v>1.7899999999999999E-2</v>
      </c>
      <c r="FU29" s="46">
        <v>1.5900000000000001E-2</v>
      </c>
      <c r="FV29" s="46">
        <v>1.49E-2</v>
      </c>
      <c r="FW29" s="45">
        <v>1.9400000000000001E-2</v>
      </c>
      <c r="FX29" s="45">
        <v>1.84E-2</v>
      </c>
      <c r="FY29" s="45">
        <v>1.9900000000000001E-2</v>
      </c>
      <c r="FZ29" s="45">
        <v>1.44E-2</v>
      </c>
      <c r="GA29" s="45">
        <v>1.29E-2</v>
      </c>
      <c r="GB29" s="45">
        <v>1.44E-2</v>
      </c>
      <c r="GC29" s="45">
        <v>1.5900000000000001E-2</v>
      </c>
      <c r="GD29" s="45">
        <v>1.5900000000000001E-2</v>
      </c>
      <c r="GE29" s="45">
        <v>1.49E-2</v>
      </c>
      <c r="GF29" s="45">
        <v>1.44E-2</v>
      </c>
      <c r="GG29" s="45">
        <v>1.6899999999999998E-2</v>
      </c>
      <c r="GH29" s="45">
        <v>1.84E-2</v>
      </c>
      <c r="GI29" s="45">
        <v>1.6400000000000001E-2</v>
      </c>
      <c r="GJ29" s="45">
        <v>1.84E-2</v>
      </c>
      <c r="GK29" s="45">
        <v>1.34E-2</v>
      </c>
      <c r="GL29" s="45">
        <v>2.0400000000000001E-2</v>
      </c>
      <c r="GM29" s="45">
        <v>2.3400000000000001E-2</v>
      </c>
      <c r="GN29" s="45">
        <v>2.0899999999999998E-2</v>
      </c>
      <c r="GO29" s="45">
        <v>1.9400000000000001E-2</v>
      </c>
      <c r="GP29" s="45">
        <v>1.6899999999999998E-2</v>
      </c>
      <c r="GQ29" s="45">
        <v>1.5900000000000001E-2</v>
      </c>
      <c r="GR29" s="45">
        <v>1.54E-2</v>
      </c>
      <c r="GS29" s="51">
        <v>1.54E-2</v>
      </c>
      <c r="GT29" s="51">
        <v>1.0699999999999999E-2</v>
      </c>
      <c r="GU29" s="51">
        <v>1.04E-2</v>
      </c>
      <c r="GV29" s="51">
        <v>1.34E-2</v>
      </c>
      <c r="GW29" s="59"/>
      <c r="GX29" s="59"/>
      <c r="GY29" s="59"/>
      <c r="GZ29" s="59"/>
      <c r="HA29" s="59"/>
      <c r="HB29" s="59"/>
      <c r="HC29" s="59"/>
      <c r="HD29" s="59"/>
      <c r="HE29" s="58"/>
      <c r="HF29" s="58"/>
      <c r="HG29" s="58"/>
      <c r="HH29" s="58"/>
      <c r="HI29" s="58"/>
      <c r="HJ29" s="58"/>
      <c r="HK29" s="58"/>
      <c r="HL29" s="41">
        <f t="shared" si="11"/>
        <v>-8.4999999999999989E-3</v>
      </c>
      <c r="HM29" s="67"/>
      <c r="HN29" s="67"/>
      <c r="HO29" s="67"/>
      <c r="HP29" s="67"/>
      <c r="HQ29" s="86"/>
      <c r="HR29" s="100"/>
      <c r="HS29" s="67"/>
      <c r="HT29" s="67"/>
      <c r="HU29" s="67"/>
      <c r="HV29" s="67"/>
      <c r="HW29" s="67"/>
      <c r="HX29" s="67"/>
      <c r="HY29" s="67"/>
      <c r="HZ29" s="67"/>
      <c r="IA29" s="68"/>
      <c r="IB29" s="67"/>
      <c r="IC29" s="65"/>
      <c r="ID29" s="65"/>
      <c r="IE29" s="65"/>
      <c r="IF29" s="65"/>
      <c r="IG29" s="65"/>
      <c r="IH29" s="65"/>
      <c r="II29" s="65"/>
      <c r="IJ29" s="65"/>
      <c r="IK29" s="65"/>
      <c r="IL29" s="65"/>
      <c r="IM29" s="65"/>
      <c r="IN29" s="65"/>
      <c r="IO29" s="65"/>
      <c r="IP29" s="65"/>
      <c r="IQ29" s="65"/>
      <c r="IR29" s="65"/>
      <c r="IS29" s="65"/>
      <c r="IT29" s="65"/>
      <c r="IU29" s="65"/>
      <c r="IV29" s="65"/>
      <c r="IW29" s="65"/>
      <c r="IX29" s="65"/>
      <c r="IY29" s="65"/>
      <c r="IZ29" s="65"/>
      <c r="JA29" s="65"/>
      <c r="JB29" s="65"/>
      <c r="JC29" s="65"/>
      <c r="JD29" s="65"/>
      <c r="JE29" s="65"/>
      <c r="JF29" s="65"/>
      <c r="JG29" s="65"/>
      <c r="JH29" s="65"/>
      <c r="JI29" s="65"/>
      <c r="JJ29" s="65"/>
      <c r="JK29" s="65"/>
      <c r="JL29" s="65"/>
      <c r="JM29" s="65"/>
      <c r="JN29" s="65"/>
      <c r="JO29" s="92"/>
      <c r="JP29" s="92"/>
      <c r="JQ29" s="92"/>
      <c r="JR29" s="92"/>
      <c r="JS29" s="92"/>
      <c r="JT29" s="92"/>
      <c r="JU29" s="92"/>
      <c r="JV29" s="92"/>
      <c r="JW29" s="92"/>
      <c r="JX29" s="92"/>
      <c r="JY29" s="92"/>
      <c r="JZ29" s="92"/>
      <c r="KA29" s="92"/>
      <c r="KB29" s="92"/>
      <c r="KC29" s="92"/>
      <c r="KD29" s="92"/>
      <c r="KE29" s="92"/>
      <c r="KF29" s="92"/>
      <c r="KG29" s="92"/>
      <c r="KH29" s="92"/>
      <c r="KI29" s="92"/>
      <c r="KJ29" s="92"/>
      <c r="KK29" s="92"/>
      <c r="KL29" s="92"/>
      <c r="KM29" s="92"/>
      <c r="KN29" s="92"/>
      <c r="KO29" s="92"/>
      <c r="KP29" s="92"/>
      <c r="KQ29" s="92"/>
      <c r="KR29" s="92"/>
      <c r="KS29" s="92"/>
      <c r="KT29" s="92"/>
      <c r="KU29" s="92"/>
      <c r="KV29" s="92"/>
      <c r="KW29" s="92"/>
      <c r="KX29" s="92"/>
      <c r="KY29" s="92"/>
      <c r="KZ29" s="92"/>
      <c r="LA29" s="92"/>
      <c r="LB29" s="92"/>
      <c r="LC29" s="92"/>
      <c r="LD29" s="92"/>
      <c r="LE29" s="92"/>
      <c r="LF29" s="92"/>
      <c r="LG29" s="92"/>
      <c r="LH29" s="92"/>
      <c r="LI29" s="92"/>
      <c r="LJ29" s="92"/>
      <c r="LK29" s="92"/>
      <c r="LL29" s="92"/>
      <c r="LM29" s="92"/>
      <c r="LN29" s="473">
        <f t="shared" si="12"/>
        <v>0</v>
      </c>
    </row>
    <row r="30" spans="1:326">
      <c r="A30" s="1169"/>
      <c r="B30" s="37" t="s">
        <v>58</v>
      </c>
      <c r="C30" s="37" t="s">
        <v>58</v>
      </c>
      <c r="D30" s="37" t="s">
        <v>58</v>
      </c>
      <c r="E30" s="37" t="s">
        <v>57</v>
      </c>
      <c r="F30" s="37"/>
      <c r="G30" s="37"/>
      <c r="H30" s="37" t="s">
        <v>56</v>
      </c>
      <c r="I30" s="37" t="s">
        <v>56</v>
      </c>
      <c r="J30" s="37" t="s">
        <v>56</v>
      </c>
      <c r="K30" s="37" t="s">
        <v>55</v>
      </c>
      <c r="L30" s="37" t="s">
        <v>54</v>
      </c>
      <c r="M30" s="37" t="s">
        <v>54</v>
      </c>
      <c r="N30" s="37" t="s">
        <v>54</v>
      </c>
      <c r="O30" s="37"/>
      <c r="P30" s="738" t="s">
        <v>89</v>
      </c>
      <c r="Q30" s="851">
        <v>8.3000000000000001E-3</v>
      </c>
      <c r="R30" s="851">
        <v>8.3000000000000001E-3</v>
      </c>
      <c r="S30" s="590">
        <v>8.3000000000000001E-3</v>
      </c>
      <c r="T30" s="590">
        <v>7.7999999999999996E-3</v>
      </c>
      <c r="U30" s="590">
        <v>8.8000000000000005E-3</v>
      </c>
      <c r="V30" s="590">
        <v>8.3000000000000001E-3</v>
      </c>
      <c r="W30" s="590">
        <v>9.7999999999999997E-3</v>
      </c>
      <c r="X30" s="590">
        <v>9.2999999999999992E-3</v>
      </c>
      <c r="Y30" s="590">
        <v>1.0800000000000001E-2</v>
      </c>
      <c r="Z30" s="590">
        <v>9.7999999999999997E-3</v>
      </c>
      <c r="AA30" s="590">
        <v>1.0800000000000001E-2</v>
      </c>
      <c r="AB30" s="590">
        <v>9.2999999999999992E-3</v>
      </c>
      <c r="AC30" s="590">
        <v>1.03E-2</v>
      </c>
      <c r="AD30" s="590">
        <v>1.1299999999999999E-2</v>
      </c>
      <c r="AE30" s="626">
        <v>1.0800000000000001E-2</v>
      </c>
      <c r="AF30" s="590">
        <v>1.0800000000000001E-2</v>
      </c>
      <c r="AG30" s="590">
        <v>8.8000000000000005E-3</v>
      </c>
      <c r="AH30" s="590">
        <v>1.03E-2</v>
      </c>
      <c r="AI30" s="590">
        <v>8.3000000000000001E-3</v>
      </c>
      <c r="AJ30" s="48">
        <v>8.8000000000000005E-3</v>
      </c>
      <c r="AK30" s="48">
        <v>1.0800000000000001E-2</v>
      </c>
      <c r="AL30" s="47">
        <v>1.03E-2</v>
      </c>
      <c r="AM30" s="48">
        <v>1.03E-2</v>
      </c>
      <c r="AN30" s="47">
        <v>8.3000000000000001E-3</v>
      </c>
      <c r="AO30" s="48">
        <v>8.3000000000000001E-3</v>
      </c>
      <c r="AP30" s="48">
        <v>7.3000000000000001E-3</v>
      </c>
      <c r="AQ30" s="48">
        <v>8.3000000000000001E-3</v>
      </c>
      <c r="AR30" s="47">
        <v>7.7999999999999996E-3</v>
      </c>
      <c r="AS30" s="47">
        <v>9.2999999999999992E-3</v>
      </c>
      <c r="AT30" s="460">
        <v>9.2999999999999992E-3</v>
      </c>
      <c r="AU30" s="34">
        <v>7.7999999999999996E-3</v>
      </c>
      <c r="AV30" s="34">
        <v>8.8000000000000005E-3</v>
      </c>
      <c r="AW30" s="34">
        <v>7.7999999999999996E-3</v>
      </c>
      <c r="AX30" s="34">
        <v>9.2999999999999992E-3</v>
      </c>
      <c r="AY30" s="46">
        <v>9.7999999999999997E-3</v>
      </c>
      <c r="AZ30" s="35">
        <v>9.7999999999999997E-3</v>
      </c>
      <c r="BA30" s="35">
        <v>9.7999999999999997E-3</v>
      </c>
      <c r="BB30" s="34">
        <v>9.7999999999999997E-3</v>
      </c>
      <c r="BC30" s="35">
        <v>9.2999999999999992E-3</v>
      </c>
      <c r="BD30" s="35">
        <v>9.2999999999999992E-3</v>
      </c>
      <c r="BE30" s="34">
        <v>9.2999999999999992E-3</v>
      </c>
      <c r="BF30" s="35">
        <v>8.3000000000000001E-3</v>
      </c>
      <c r="BG30" s="34">
        <v>8.3000000000000001E-3</v>
      </c>
      <c r="BH30" s="34">
        <v>7.3000000000000001E-3</v>
      </c>
      <c r="BI30" s="34">
        <v>8.3000000000000001E-3</v>
      </c>
      <c r="BJ30" s="46">
        <v>9.7999999999999997E-3</v>
      </c>
      <c r="BK30" s="46">
        <v>7.7999999999999996E-3</v>
      </c>
      <c r="BL30" s="46">
        <v>1.38E-2</v>
      </c>
      <c r="BM30" s="46">
        <v>1.4800000000000001E-2</v>
      </c>
      <c r="BN30" s="46">
        <v>1.23E-2</v>
      </c>
      <c r="BO30" s="46">
        <v>1.23E-2</v>
      </c>
      <c r="BP30" s="46">
        <v>1.2800000000000001E-2</v>
      </c>
      <c r="BQ30" s="46">
        <v>1.5800000000000002E-2</v>
      </c>
      <c r="BR30" s="46">
        <v>1.5299999999999999E-2</v>
      </c>
      <c r="BS30" s="46">
        <v>1.6799999999999999E-2</v>
      </c>
      <c r="BT30" s="46">
        <v>1.8800000000000001E-2</v>
      </c>
      <c r="BU30" s="46">
        <v>1.9800000000000002E-2</v>
      </c>
      <c r="BV30" s="46">
        <v>1.6299999999999999E-2</v>
      </c>
      <c r="BW30" s="46">
        <v>1.7299999999999999E-2</v>
      </c>
      <c r="BX30" s="46">
        <v>2.3800000000000002E-2</v>
      </c>
      <c r="BY30" s="46">
        <v>2.8299999999999999E-2</v>
      </c>
      <c r="BZ30" s="46">
        <v>2.53E-2</v>
      </c>
      <c r="CA30" s="46">
        <v>2.8799999999999999E-2</v>
      </c>
      <c r="CB30" s="46">
        <v>2.93E-2</v>
      </c>
      <c r="CC30" s="46">
        <v>2.4799999999999999E-2</v>
      </c>
      <c r="CD30" s="46">
        <v>2.4299999999999999E-2</v>
      </c>
      <c r="CE30" s="46">
        <v>2.98E-2</v>
      </c>
      <c r="CF30" s="46">
        <v>2.98E-2</v>
      </c>
      <c r="CG30" s="46">
        <v>1.7299999999999999E-2</v>
      </c>
      <c r="CH30" s="46">
        <v>1.6799999999999999E-2</v>
      </c>
      <c r="CI30" s="46">
        <v>1.6799999999999999E-2</v>
      </c>
      <c r="CJ30" s="46">
        <v>1.6799999999999999E-2</v>
      </c>
      <c r="CK30" s="46">
        <v>1.6799999999999999E-2</v>
      </c>
      <c r="CL30" s="46">
        <v>1.5800000000000002E-2</v>
      </c>
      <c r="CM30" s="46">
        <v>8.3000000000000001E-3</v>
      </c>
      <c r="CN30" s="46">
        <v>8.3000000000000001E-3</v>
      </c>
      <c r="CO30" s="46">
        <v>1.03E-2</v>
      </c>
      <c r="CP30" s="46">
        <v>8.3000000000000001E-3</v>
      </c>
      <c r="CQ30" s="46">
        <v>8.3000000000000001E-3</v>
      </c>
      <c r="CR30" s="46">
        <v>8.8000000000000005E-3</v>
      </c>
      <c r="CS30" s="46">
        <v>1.0800000000000001E-2</v>
      </c>
      <c r="CT30" s="46">
        <v>1.18E-2</v>
      </c>
      <c r="CU30" s="46">
        <v>1.43E-2</v>
      </c>
      <c r="CV30" s="46">
        <v>2.0299999999999999E-2</v>
      </c>
      <c r="CW30" s="46">
        <v>2.18E-2</v>
      </c>
      <c r="CX30" s="46">
        <v>2.3800000000000002E-2</v>
      </c>
      <c r="CY30" s="46">
        <v>2.4299999999999999E-2</v>
      </c>
      <c r="CZ30" s="46">
        <v>2.1299999999999999E-2</v>
      </c>
      <c r="DA30" s="46">
        <v>2.0799999999999999E-2</v>
      </c>
      <c r="DB30" s="46">
        <v>1.8800000000000001E-2</v>
      </c>
      <c r="DC30" s="46">
        <v>1.8800000000000001E-2</v>
      </c>
      <c r="DD30" s="46">
        <v>1.8800000000000001E-2</v>
      </c>
      <c r="DE30" s="46">
        <v>1.8800000000000001E-2</v>
      </c>
      <c r="DF30" s="46">
        <v>1.9800000000000002E-2</v>
      </c>
      <c r="DG30" s="46">
        <v>2.3300000000000001E-2</v>
      </c>
      <c r="DH30" s="46">
        <v>2.63E-2</v>
      </c>
      <c r="DI30" s="46">
        <v>3.0300000000000001E-2</v>
      </c>
      <c r="DJ30" s="54">
        <v>3.6299999999999999E-2</v>
      </c>
      <c r="DK30" s="53">
        <v>3.3300000000000003E-2</v>
      </c>
      <c r="DL30" s="46">
        <v>3.0300000000000001E-2</v>
      </c>
      <c r="DM30" s="46">
        <v>3.0800000000000001E-2</v>
      </c>
      <c r="DN30" s="46">
        <v>2.6800000000000001E-2</v>
      </c>
      <c r="DO30" s="46">
        <v>2.1299999999999999E-2</v>
      </c>
      <c r="DP30" s="46">
        <v>2.1299999999999999E-2</v>
      </c>
      <c r="DQ30" s="45">
        <v>2.3800000000000002E-2</v>
      </c>
      <c r="DR30" s="45">
        <v>2.2800000000000001E-2</v>
      </c>
      <c r="DS30" s="45">
        <v>2.4799999999999999E-2</v>
      </c>
      <c r="DT30" s="44">
        <v>2.3300000000000001E-2</v>
      </c>
      <c r="DU30" s="44">
        <v>2.18E-2</v>
      </c>
      <c r="DV30" s="44">
        <v>2.2800000000000001E-2</v>
      </c>
      <c r="DW30" s="44">
        <v>2.4799999999999999E-2</v>
      </c>
      <c r="DX30" s="44">
        <v>2.1299999999999999E-2</v>
      </c>
      <c r="DY30" s="44">
        <v>2.1299999999999999E-2</v>
      </c>
      <c r="DZ30" s="44">
        <v>2.23E-2</v>
      </c>
      <c r="EA30" s="44">
        <v>2.0799999999999999E-2</v>
      </c>
      <c r="EB30" s="44">
        <v>2.58E-2</v>
      </c>
      <c r="EC30" s="44">
        <v>2.8299999999999999E-2</v>
      </c>
      <c r="ED30" s="44">
        <v>2.1299999999999999E-2</v>
      </c>
      <c r="EE30" s="44">
        <v>2.1299999999999999E-2</v>
      </c>
      <c r="EF30" s="44">
        <v>2.2800000000000001E-2</v>
      </c>
      <c r="EG30" s="44">
        <v>2.4799999999999999E-2</v>
      </c>
      <c r="EH30" s="44">
        <v>2.4799999999999999E-2</v>
      </c>
      <c r="EI30" s="44">
        <v>2.4799999999999999E-2</v>
      </c>
      <c r="EJ30" s="44">
        <v>3.2800000000000003E-2</v>
      </c>
      <c r="EK30" s="44">
        <v>3.2300000000000002E-2</v>
      </c>
      <c r="EL30" s="44">
        <v>3.3799999999999997E-2</v>
      </c>
      <c r="EM30" s="44">
        <v>3.3799999999999997E-2</v>
      </c>
      <c r="EN30" s="44">
        <v>3.5799999999999998E-2</v>
      </c>
      <c r="EO30" s="44">
        <v>3.4299999999999997E-2</v>
      </c>
      <c r="EP30" s="44">
        <v>3.4299999999999997E-2</v>
      </c>
      <c r="EQ30" s="44">
        <v>2.63E-2</v>
      </c>
      <c r="ER30" s="44">
        <v>2.6800000000000001E-2</v>
      </c>
      <c r="ES30" s="44">
        <v>2.4299999999999999E-2</v>
      </c>
      <c r="ET30" s="44">
        <v>1.7299999999999999E-2</v>
      </c>
      <c r="EU30" s="44">
        <v>1.6299999999999999E-2</v>
      </c>
      <c r="EV30" s="44">
        <v>1.6799999999999999E-2</v>
      </c>
      <c r="EW30" s="44">
        <v>1.6799999999999999E-2</v>
      </c>
      <c r="EX30" s="44">
        <v>1.6299999999999999E-2</v>
      </c>
      <c r="EY30" s="44">
        <v>1.6299999999999999E-2</v>
      </c>
      <c r="EZ30" s="44">
        <v>1.8800000000000001E-2</v>
      </c>
      <c r="FA30" s="44">
        <v>1.9300000000000001E-2</v>
      </c>
      <c r="FB30" s="45">
        <v>1.9800000000000002E-2</v>
      </c>
      <c r="FC30" s="45">
        <v>1.78E-2</v>
      </c>
      <c r="FD30" s="45">
        <v>1.6799999999999999E-2</v>
      </c>
      <c r="FE30" s="45">
        <v>1.83E-2</v>
      </c>
      <c r="FF30" s="45">
        <v>1.8800000000000001E-2</v>
      </c>
      <c r="FG30" s="45">
        <v>1.7299999999999999E-2</v>
      </c>
      <c r="FH30" s="45">
        <v>1.6299999999999999E-2</v>
      </c>
      <c r="FI30" s="45">
        <v>1.5800000000000002E-2</v>
      </c>
      <c r="FJ30" s="45">
        <v>1.6299999999999999E-2</v>
      </c>
      <c r="FK30" s="45">
        <v>1.5800000000000002E-2</v>
      </c>
      <c r="FL30" s="46">
        <v>1.38E-2</v>
      </c>
      <c r="FM30" s="45">
        <v>1.38E-2</v>
      </c>
      <c r="FN30" s="45">
        <v>1.2800000000000001E-2</v>
      </c>
      <c r="FO30" s="45">
        <v>1.7299999999999999E-2</v>
      </c>
      <c r="FP30" s="45">
        <v>1.7299999999999999E-2</v>
      </c>
      <c r="FQ30" s="45">
        <v>1.9800000000000002E-2</v>
      </c>
      <c r="FR30" s="45">
        <v>1.7299999999999999E-2</v>
      </c>
      <c r="FS30" s="45">
        <v>1.83E-2</v>
      </c>
      <c r="FT30" s="45">
        <v>1.9800000000000002E-2</v>
      </c>
      <c r="FU30" s="46">
        <v>1.78E-2</v>
      </c>
      <c r="FV30" s="46">
        <v>1.6799999999999999E-2</v>
      </c>
      <c r="FW30" s="45">
        <v>2.1299999999999999E-2</v>
      </c>
      <c r="FX30" s="45">
        <v>2.0299999999999999E-2</v>
      </c>
      <c r="FY30" s="45">
        <v>2.18E-2</v>
      </c>
      <c r="FZ30" s="45">
        <v>1.6299999999999999E-2</v>
      </c>
      <c r="GA30" s="45">
        <v>1.4800000000000001E-2</v>
      </c>
      <c r="GB30" s="45">
        <v>1.6299999999999999E-2</v>
      </c>
      <c r="GC30" s="45">
        <v>1.78E-2</v>
      </c>
      <c r="GD30" s="45">
        <v>1.78E-2</v>
      </c>
      <c r="GE30" s="45">
        <v>1.6799999999999999E-2</v>
      </c>
      <c r="GF30" s="45">
        <v>1.6299999999999999E-2</v>
      </c>
      <c r="GG30" s="45">
        <v>1.8800000000000001E-2</v>
      </c>
      <c r="GH30" s="45">
        <v>2.0299999999999999E-2</v>
      </c>
      <c r="GI30" s="45">
        <v>1.83E-2</v>
      </c>
      <c r="GJ30" s="45">
        <v>2.0299999999999999E-2</v>
      </c>
      <c r="GK30" s="45">
        <v>1.5299999999999999E-2</v>
      </c>
      <c r="GL30" s="45">
        <v>2.23E-2</v>
      </c>
      <c r="GM30" s="45">
        <v>2.53E-2</v>
      </c>
      <c r="GN30" s="45">
        <v>2.2800000000000001E-2</v>
      </c>
      <c r="GO30" s="45">
        <v>2.1299999999999999E-2</v>
      </c>
      <c r="GP30" s="45">
        <v>1.8800000000000001E-2</v>
      </c>
      <c r="GQ30" s="45">
        <v>1.78E-2</v>
      </c>
      <c r="GR30" s="45">
        <v>1.72E-2</v>
      </c>
      <c r="GS30" s="51">
        <v>1.7299999999999999E-2</v>
      </c>
      <c r="GT30" s="51">
        <v>1.26E-2</v>
      </c>
      <c r="GU30" s="51">
        <v>1.23E-2</v>
      </c>
      <c r="GV30" s="51">
        <v>1.5299999999999999E-2</v>
      </c>
      <c r="GW30" s="52" t="s">
        <v>88</v>
      </c>
      <c r="GX30" s="52" t="s">
        <v>87</v>
      </c>
      <c r="GY30" s="52" t="s">
        <v>81</v>
      </c>
      <c r="GZ30" s="52" t="s">
        <v>86</v>
      </c>
      <c r="HA30" s="52" t="s">
        <v>85</v>
      </c>
      <c r="HB30" s="52" t="s">
        <v>84</v>
      </c>
      <c r="HC30" s="52" t="s">
        <v>84</v>
      </c>
      <c r="HD30" s="52" t="s">
        <v>83</v>
      </c>
      <c r="HE30" s="52" t="s">
        <v>82</v>
      </c>
      <c r="HF30" s="52" t="s">
        <v>81</v>
      </c>
      <c r="HG30" s="52" t="s">
        <v>80</v>
      </c>
      <c r="HH30" s="52" t="s">
        <v>79</v>
      </c>
      <c r="HI30" s="52" t="s">
        <v>79</v>
      </c>
      <c r="HJ30" s="52" t="s">
        <v>78</v>
      </c>
      <c r="HK30" s="51" t="s">
        <v>77</v>
      </c>
      <c r="HL30" s="41">
        <f t="shared" si="11"/>
        <v>-8.5000000000000006E-3</v>
      </c>
      <c r="HM30" s="80" t="s">
        <v>123</v>
      </c>
      <c r="HN30" s="79" t="s">
        <v>77</v>
      </c>
      <c r="HO30" s="77" t="s">
        <v>58</v>
      </c>
      <c r="HP30" s="56">
        <v>1.5E-3</v>
      </c>
      <c r="HQ30" s="55"/>
      <c r="HR30" s="100"/>
      <c r="HS30" s="67"/>
      <c r="HT30" s="67"/>
      <c r="HU30" s="67"/>
      <c r="HV30" s="67"/>
      <c r="HW30" s="67"/>
      <c r="HX30" s="67"/>
      <c r="HY30" s="67"/>
      <c r="HZ30" s="67"/>
      <c r="IA30" s="68"/>
      <c r="IB30" s="67"/>
      <c r="IC30" s="65"/>
      <c r="ID30" s="65"/>
      <c r="IE30" s="65"/>
      <c r="IF30" s="65"/>
      <c r="IG30" s="65"/>
      <c r="IH30" s="65"/>
      <c r="II30" s="65"/>
      <c r="IJ30" s="65"/>
      <c r="IK30" s="65"/>
      <c r="IL30" s="65"/>
      <c r="IM30" s="65"/>
      <c r="IN30" s="65"/>
      <c r="IO30" s="65"/>
      <c r="IP30" s="65"/>
      <c r="IQ30" s="65"/>
      <c r="IR30" s="65"/>
      <c r="IS30" s="65"/>
      <c r="IT30" s="65"/>
      <c r="IU30" s="65"/>
      <c r="IV30" s="65"/>
      <c r="IW30" s="65"/>
      <c r="IX30" s="65"/>
      <c r="IY30" s="65"/>
      <c r="IZ30" s="65"/>
      <c r="JA30" s="65"/>
      <c r="JB30" s="65"/>
      <c r="JC30" s="65"/>
      <c r="JD30" s="65"/>
      <c r="JE30" s="65"/>
      <c r="JF30" s="65"/>
      <c r="JG30" s="65"/>
      <c r="JH30" s="65"/>
      <c r="JI30" s="65"/>
      <c r="JJ30" s="65"/>
      <c r="JK30" s="65"/>
      <c r="JL30" s="65"/>
      <c r="JM30" s="65"/>
      <c r="JN30" s="65"/>
      <c r="JO30" s="92"/>
      <c r="JP30" s="92"/>
      <c r="JQ30" s="92"/>
      <c r="JR30" s="92"/>
      <c r="JS30" s="92"/>
      <c r="JT30" s="92"/>
      <c r="JU30" s="92"/>
      <c r="JV30" s="92"/>
      <c r="JW30" s="92"/>
      <c r="JX30" s="92"/>
      <c r="JY30" s="92"/>
      <c r="JZ30" s="92"/>
      <c r="KA30" s="92"/>
      <c r="KB30" s="92"/>
      <c r="KC30" s="92"/>
      <c r="KD30" s="92"/>
      <c r="KE30" s="92"/>
      <c r="KF30" s="92"/>
      <c r="KG30" s="92"/>
      <c r="KH30" s="92"/>
      <c r="KI30" s="92"/>
      <c r="KJ30" s="92"/>
      <c r="KK30" s="92"/>
      <c r="KL30" s="92"/>
      <c r="KM30" s="92"/>
      <c r="KN30" s="92"/>
      <c r="KO30" s="92"/>
      <c r="KP30" s="92"/>
      <c r="KQ30" s="92"/>
      <c r="KR30" s="92"/>
      <c r="KS30" s="92"/>
      <c r="KT30" s="92"/>
      <c r="KU30" s="92"/>
      <c r="KV30" s="92"/>
      <c r="KW30" s="92"/>
      <c r="KX30" s="92"/>
      <c r="KY30" s="92"/>
      <c r="KZ30" s="92"/>
      <c r="LA30" s="92"/>
      <c r="LB30" s="92"/>
      <c r="LC30" s="92"/>
      <c r="LD30" s="92"/>
      <c r="LE30" s="92"/>
      <c r="LF30" s="92"/>
      <c r="LG30" s="92"/>
      <c r="LH30" s="92"/>
      <c r="LI30" s="92"/>
      <c r="LJ30" s="92"/>
      <c r="LK30" s="92"/>
      <c r="LL30" s="92"/>
      <c r="LM30" s="92"/>
      <c r="LN30" s="473">
        <f t="shared" si="12"/>
        <v>0</v>
      </c>
    </row>
    <row r="31" spans="1:326">
      <c r="A31" s="1165" t="s">
        <v>35</v>
      </c>
      <c r="B31" s="49"/>
      <c r="C31" s="49"/>
      <c r="D31" s="49"/>
      <c r="E31" s="49"/>
      <c r="F31" s="49"/>
      <c r="G31" s="49"/>
      <c r="H31" s="49"/>
      <c r="I31" s="49"/>
      <c r="J31" s="49"/>
      <c r="K31" s="49"/>
      <c r="L31" s="49"/>
      <c r="M31" s="49"/>
      <c r="N31" s="49"/>
      <c r="O31" s="49"/>
      <c r="P31" s="739" t="s">
        <v>76</v>
      </c>
      <c r="Q31" s="29">
        <v>1.2500000000000001E-2</v>
      </c>
      <c r="R31" s="29">
        <v>1.2500000000000001E-2</v>
      </c>
      <c r="S31" s="29">
        <v>1.2500000000000001E-2</v>
      </c>
      <c r="T31" s="29">
        <v>1.2500000000000001E-2</v>
      </c>
      <c r="U31" s="29">
        <v>1.2500000000000001E-2</v>
      </c>
      <c r="V31" s="29">
        <v>1.2500000000000001E-2</v>
      </c>
      <c r="W31" s="29">
        <v>1.2500000000000001E-2</v>
      </c>
      <c r="X31" s="29">
        <v>1.2500000000000001E-2</v>
      </c>
      <c r="Y31" s="29">
        <v>1.2500000000000001E-2</v>
      </c>
      <c r="Z31" s="29">
        <v>1.2500000000000001E-2</v>
      </c>
      <c r="AA31" s="29">
        <v>1.2500000000000001E-2</v>
      </c>
      <c r="AB31" s="29">
        <v>1.2500000000000001E-2</v>
      </c>
      <c r="AC31" s="29">
        <v>1.2500000000000001E-2</v>
      </c>
      <c r="AD31" s="29">
        <v>1.2500000000000001E-2</v>
      </c>
      <c r="AE31" s="29">
        <v>1.2500000000000001E-2</v>
      </c>
      <c r="AF31" s="29">
        <v>1.2500000000000001E-2</v>
      </c>
      <c r="AG31" s="29">
        <v>1.2500000000000001E-2</v>
      </c>
      <c r="AH31" s="29">
        <v>1.2500000000000001E-2</v>
      </c>
      <c r="AI31" s="29">
        <v>1.2500000000000001E-2</v>
      </c>
      <c r="AJ31" s="29">
        <v>1.2500000000000001E-2</v>
      </c>
      <c r="AK31" s="29">
        <v>1.2500000000000001E-2</v>
      </c>
      <c r="AL31" s="29">
        <v>1.2500000000000001E-2</v>
      </c>
      <c r="AM31" s="29">
        <v>1.2500000000000001E-2</v>
      </c>
      <c r="AN31" s="29">
        <v>1.2500000000000001E-2</v>
      </c>
      <c r="AO31" s="29">
        <v>1.2500000000000001E-2</v>
      </c>
      <c r="AP31" s="29">
        <v>1.2500000000000001E-2</v>
      </c>
      <c r="AQ31" s="29">
        <v>1.2500000000000001E-2</v>
      </c>
      <c r="AR31" s="28">
        <v>1.2500000000000001E-2</v>
      </c>
      <c r="AS31" s="29">
        <v>1.2999999999999999E-2</v>
      </c>
      <c r="AT31" s="29">
        <v>1.2999999999999999E-2</v>
      </c>
      <c r="AU31" s="28">
        <v>1.2999999999999999E-2</v>
      </c>
      <c r="AV31" s="29">
        <v>1.4E-2</v>
      </c>
      <c r="AW31" s="29">
        <v>1.4E-2</v>
      </c>
      <c r="AX31" s="29">
        <v>1.4E-2</v>
      </c>
      <c r="AY31" s="30">
        <v>1.4E-2</v>
      </c>
      <c r="AZ31" s="29">
        <v>1.4E-2</v>
      </c>
      <c r="BA31" s="29">
        <v>1.4E-2</v>
      </c>
      <c r="BB31" s="29">
        <v>1.4E-2</v>
      </c>
      <c r="BC31" s="29">
        <v>1.4E-2</v>
      </c>
      <c r="BD31" s="29">
        <v>1.4E-2</v>
      </c>
      <c r="BE31" s="29">
        <v>1.4E-2</v>
      </c>
      <c r="BF31" s="29">
        <v>1.4E-2</v>
      </c>
      <c r="BG31" s="28">
        <v>1.4E-2</v>
      </c>
      <c r="BH31" s="29">
        <v>1.6E-2</v>
      </c>
      <c r="BI31" s="28">
        <v>1.6E-2</v>
      </c>
      <c r="BJ31" s="30">
        <v>1.6500000000000001E-2</v>
      </c>
      <c r="BK31" s="30">
        <v>1.6500000000000001E-2</v>
      </c>
      <c r="BL31" s="30">
        <v>1.6500000000000001E-2</v>
      </c>
      <c r="BM31" s="30">
        <v>1.6500000000000001E-2</v>
      </c>
      <c r="BN31" s="30">
        <v>1.6500000000000001E-2</v>
      </c>
      <c r="BO31" s="30">
        <v>1.6500000000000001E-2</v>
      </c>
      <c r="BP31" s="30">
        <v>1.6500000000000001E-2</v>
      </c>
      <c r="BQ31" s="30">
        <v>1.6500000000000001E-2</v>
      </c>
      <c r="BR31" s="30">
        <v>1.6500000000000001E-2</v>
      </c>
      <c r="BS31" s="30">
        <v>1.6500000000000001E-2</v>
      </c>
      <c r="BT31" s="30">
        <v>1.6500000000000001E-2</v>
      </c>
      <c r="BU31" s="30">
        <v>1.6500000000000001E-2</v>
      </c>
      <c r="BV31" s="30">
        <v>1.6500000000000001E-2</v>
      </c>
      <c r="BW31" s="30">
        <v>1.6500000000000001E-2</v>
      </c>
      <c r="BX31" s="30">
        <v>1.6500000000000001E-2</v>
      </c>
      <c r="BY31" s="30">
        <v>1.6500000000000001E-2</v>
      </c>
      <c r="BZ31" s="30">
        <v>1.6500000000000001E-2</v>
      </c>
      <c r="CA31" s="30">
        <v>1.6500000000000001E-2</v>
      </c>
      <c r="CB31" s="30">
        <v>1.6500000000000001E-2</v>
      </c>
      <c r="CC31" s="30">
        <v>1.6500000000000001E-2</v>
      </c>
      <c r="CD31" s="30">
        <v>1.6500000000000001E-2</v>
      </c>
      <c r="CE31" s="30">
        <v>1.6500000000000001E-2</v>
      </c>
      <c r="CF31" s="30">
        <v>1.55E-2</v>
      </c>
      <c r="CG31" s="30">
        <v>1.55E-2</v>
      </c>
      <c r="CH31" s="30">
        <v>1.55E-2</v>
      </c>
      <c r="CI31" s="30">
        <v>1.55E-2</v>
      </c>
      <c r="CJ31" s="30">
        <v>1.55E-2</v>
      </c>
      <c r="CK31" s="30">
        <v>1.55E-2</v>
      </c>
      <c r="CL31" s="30">
        <v>1.55E-2</v>
      </c>
      <c r="CM31" s="30">
        <v>1.55E-2</v>
      </c>
      <c r="CN31" s="30">
        <v>1.55E-2</v>
      </c>
      <c r="CO31" s="30">
        <v>1.55E-2</v>
      </c>
      <c r="CP31" s="30">
        <v>1.55E-2</v>
      </c>
      <c r="CQ31" s="30">
        <v>1.55E-2</v>
      </c>
      <c r="CR31" s="30">
        <v>1.8499999999999999E-2</v>
      </c>
      <c r="CS31" s="30">
        <v>1.8499999999999999E-2</v>
      </c>
      <c r="CT31" s="30">
        <v>1.8499999999999999E-2</v>
      </c>
      <c r="CU31" s="30">
        <v>2.0500000000000001E-2</v>
      </c>
      <c r="CV31" s="30">
        <v>2.0500000000000001E-2</v>
      </c>
      <c r="CW31" s="30">
        <v>2.0500000000000001E-2</v>
      </c>
      <c r="CX31" s="30">
        <v>2.0500000000000001E-2</v>
      </c>
      <c r="CY31" s="30">
        <v>2.0500000000000001E-2</v>
      </c>
      <c r="CZ31" s="30">
        <v>2.0500000000000001E-2</v>
      </c>
      <c r="DA31" s="30">
        <v>2.0500000000000001E-2</v>
      </c>
      <c r="DB31" s="30">
        <v>2.0500000000000001E-2</v>
      </c>
      <c r="DC31" s="30">
        <v>2.0500000000000001E-2</v>
      </c>
      <c r="DD31" s="30">
        <v>2.0500000000000001E-2</v>
      </c>
      <c r="DE31" s="30">
        <v>2.0500000000000001E-2</v>
      </c>
      <c r="DF31" s="30">
        <v>2.0500000000000001E-2</v>
      </c>
      <c r="DG31" s="30">
        <v>2.0500000000000001E-2</v>
      </c>
      <c r="DH31" s="30">
        <v>2.0500000000000001E-2</v>
      </c>
      <c r="DI31" s="30">
        <v>2.0500000000000001E-2</v>
      </c>
      <c r="DJ31" s="30">
        <v>2.0500000000000001E-2</v>
      </c>
      <c r="DK31" s="30">
        <v>2.0500000000000001E-2</v>
      </c>
      <c r="DL31" s="30">
        <v>2.0500000000000001E-2</v>
      </c>
      <c r="DM31" s="30">
        <v>2.0500000000000001E-2</v>
      </c>
      <c r="DN31" s="30">
        <v>2.0500000000000001E-2</v>
      </c>
      <c r="DO31" s="30">
        <v>2.0500000000000001E-2</v>
      </c>
      <c r="DP31" s="30">
        <v>2.0500000000000001E-2</v>
      </c>
      <c r="DQ31" s="30">
        <v>2.0500000000000001E-2</v>
      </c>
      <c r="DR31" s="30">
        <v>2.0500000000000001E-2</v>
      </c>
      <c r="DS31" s="30">
        <v>2.0500000000000001E-2</v>
      </c>
      <c r="DT31" s="30">
        <v>2.0500000000000001E-2</v>
      </c>
      <c r="DU31" s="30">
        <v>2.0500000000000001E-2</v>
      </c>
      <c r="DV31" s="30">
        <v>2.0500000000000001E-2</v>
      </c>
      <c r="DW31" s="30">
        <v>2.0500000000000001E-2</v>
      </c>
      <c r="DX31" s="30">
        <v>2.0500000000000001E-2</v>
      </c>
      <c r="DY31" s="30">
        <v>2.0500000000000001E-2</v>
      </c>
      <c r="DZ31" s="30">
        <v>2.0500000000000001E-2</v>
      </c>
      <c r="EA31" s="30">
        <v>2.0500000000000001E-2</v>
      </c>
      <c r="EB31" s="30">
        <v>2.0500000000000001E-2</v>
      </c>
      <c r="EC31" s="30">
        <v>2.0500000000000001E-2</v>
      </c>
      <c r="ED31" s="30">
        <v>2.0500000000000001E-2</v>
      </c>
      <c r="EE31" s="30">
        <v>2.0500000000000001E-2</v>
      </c>
      <c r="EF31" s="30">
        <v>2.0500000000000001E-2</v>
      </c>
      <c r="EG31" s="30">
        <v>2.0500000000000001E-2</v>
      </c>
      <c r="EH31" s="30">
        <v>2.0500000000000001E-2</v>
      </c>
      <c r="EI31" s="30">
        <v>2.0500000000000001E-2</v>
      </c>
      <c r="EJ31" s="30">
        <v>2.0500000000000001E-2</v>
      </c>
      <c r="EK31" s="30">
        <v>2.0500000000000001E-2</v>
      </c>
      <c r="EL31" s="30">
        <v>2.0500000000000001E-2</v>
      </c>
      <c r="EM31" s="30">
        <v>2.0500000000000001E-2</v>
      </c>
      <c r="EN31" s="30">
        <v>2.0500000000000001E-2</v>
      </c>
      <c r="EO31" s="30">
        <v>2.0500000000000001E-2</v>
      </c>
      <c r="EP31" s="30">
        <v>2.0500000000000001E-2</v>
      </c>
      <c r="EQ31" s="30">
        <v>2.0500000000000001E-2</v>
      </c>
      <c r="ER31" s="30">
        <v>2.0500000000000001E-2</v>
      </c>
      <c r="ES31" s="30">
        <v>2.0500000000000001E-2</v>
      </c>
      <c r="ET31" s="30">
        <v>2.0500000000000001E-2</v>
      </c>
      <c r="EU31" s="30">
        <v>2.0500000000000001E-2</v>
      </c>
      <c r="EV31" s="30">
        <v>2.0500000000000001E-2</v>
      </c>
      <c r="EW31" s="30">
        <v>2.0500000000000001E-2</v>
      </c>
      <c r="EX31" s="30">
        <v>2.0500000000000001E-2</v>
      </c>
      <c r="EY31" s="30">
        <v>2.0500000000000001E-2</v>
      </c>
      <c r="EZ31" s="30">
        <v>2.0500000000000001E-2</v>
      </c>
      <c r="FA31" s="30">
        <v>2.0500000000000001E-2</v>
      </c>
      <c r="FB31" s="30">
        <v>2.0500000000000001E-2</v>
      </c>
      <c r="FC31" s="30">
        <v>2.0500000000000001E-2</v>
      </c>
      <c r="FD31" s="30">
        <v>2.0500000000000001E-2</v>
      </c>
      <c r="FE31" s="30">
        <v>2.0500000000000001E-2</v>
      </c>
      <c r="FF31" s="50">
        <v>2.0500000000000001E-2</v>
      </c>
      <c r="FG31" s="27">
        <v>2.1000000000000001E-2</v>
      </c>
      <c r="FH31" s="27">
        <v>2.1000000000000001E-2</v>
      </c>
      <c r="FI31" s="27">
        <v>2.1000000000000001E-2</v>
      </c>
      <c r="FJ31" s="27">
        <v>2.0500000000000001E-2</v>
      </c>
      <c r="FK31" s="27">
        <v>2.0500000000000001E-2</v>
      </c>
      <c r="FL31" s="27">
        <v>2.0500000000000001E-2</v>
      </c>
      <c r="FM31" s="27">
        <v>2.0500000000000001E-2</v>
      </c>
      <c r="FN31" s="27">
        <v>2.0500000000000001E-2</v>
      </c>
      <c r="FO31" s="27">
        <v>1.7000000000000001E-2</v>
      </c>
      <c r="FP31" s="27">
        <v>1.7000000000000001E-2</v>
      </c>
      <c r="FQ31" s="27">
        <v>1.7000000000000001E-2</v>
      </c>
      <c r="FR31" s="27">
        <v>1.7000000000000001E-2</v>
      </c>
      <c r="FS31" s="27">
        <v>1.7000000000000001E-2</v>
      </c>
      <c r="FT31" s="27">
        <v>1.7000000000000001E-2</v>
      </c>
      <c r="FU31" s="27">
        <v>1.7000000000000001E-2</v>
      </c>
      <c r="FV31" s="27">
        <v>1.7000000000000001E-2</v>
      </c>
      <c r="FW31" s="27">
        <v>1.7000000000000001E-2</v>
      </c>
      <c r="FX31" s="27">
        <v>1.7000000000000001E-2</v>
      </c>
      <c r="FY31" s="27">
        <v>1.7000000000000001E-2</v>
      </c>
      <c r="FZ31" s="27">
        <v>1.7000000000000001E-2</v>
      </c>
      <c r="GA31" s="27">
        <v>1.7000000000000001E-2</v>
      </c>
      <c r="GB31" s="27">
        <v>1.7000000000000001E-2</v>
      </c>
      <c r="GC31" s="27">
        <v>1.7000000000000001E-2</v>
      </c>
      <c r="GD31" s="27">
        <v>1.7000000000000001E-2</v>
      </c>
      <c r="GE31" s="27">
        <v>1.7000000000000001E-2</v>
      </c>
      <c r="GF31" s="27">
        <v>1.7000000000000001E-2</v>
      </c>
      <c r="GG31" s="27">
        <v>1.7000000000000001E-2</v>
      </c>
      <c r="GH31" s="27">
        <v>1.7000000000000001E-2</v>
      </c>
      <c r="GI31" s="27">
        <v>1.7000000000000001E-2</v>
      </c>
      <c r="GJ31" s="27">
        <v>1.7000000000000001E-2</v>
      </c>
      <c r="GK31" s="27">
        <v>1.7000000000000001E-2</v>
      </c>
      <c r="GL31" s="27">
        <v>1.7000000000000001E-2</v>
      </c>
      <c r="GM31" s="27">
        <v>1.7000000000000001E-2</v>
      </c>
      <c r="GN31" s="27">
        <v>1.7000000000000001E-2</v>
      </c>
      <c r="GO31" s="27">
        <v>2.2499999999999999E-2</v>
      </c>
      <c r="GP31" s="27">
        <v>2.2499999999999999E-2</v>
      </c>
      <c r="GQ31" s="27">
        <v>2.2499999999999999E-2</v>
      </c>
      <c r="GR31" s="27">
        <v>2.2499999999999999E-2</v>
      </c>
      <c r="GS31" s="27">
        <v>2.2499999999999999E-2</v>
      </c>
      <c r="GT31" s="27">
        <v>2.2499999999999999E-2</v>
      </c>
      <c r="GU31" s="27">
        <v>2.2499999999999999E-2</v>
      </c>
      <c r="GV31" s="27">
        <v>2.2499999999999999E-2</v>
      </c>
      <c r="GW31" s="49"/>
      <c r="GX31" s="49"/>
      <c r="GY31" s="49"/>
      <c r="GZ31" s="49"/>
      <c r="HA31" s="49"/>
      <c r="HB31" s="49"/>
      <c r="HC31" s="49"/>
      <c r="HD31" s="49"/>
      <c r="HE31" s="49"/>
      <c r="HF31" s="49"/>
      <c r="HG31" s="49"/>
      <c r="HH31" s="49"/>
      <c r="HI31" s="49"/>
      <c r="HJ31" s="49"/>
      <c r="HK31" s="27"/>
      <c r="HL31" s="41">
        <f t="shared" si="11"/>
        <v>-5.0000000000000044E-4</v>
      </c>
      <c r="HM31" s="80"/>
      <c r="HN31" s="79"/>
      <c r="HO31" s="77"/>
      <c r="HP31" s="56"/>
      <c r="HQ31" s="55"/>
      <c r="HR31" s="100"/>
      <c r="HS31" s="67"/>
      <c r="HT31" s="67"/>
      <c r="HU31" s="67"/>
      <c r="HV31" s="67"/>
      <c r="HW31" s="67"/>
      <c r="HX31" s="67"/>
      <c r="HY31" s="67"/>
      <c r="HZ31" s="67"/>
      <c r="IA31" s="68"/>
      <c r="IB31" s="67"/>
      <c r="IC31" s="65"/>
      <c r="ID31" s="65"/>
      <c r="IE31" s="65"/>
      <c r="IF31" s="65"/>
      <c r="IG31" s="65"/>
      <c r="IH31" s="65"/>
      <c r="II31" s="65"/>
      <c r="IJ31" s="65"/>
      <c r="IK31" s="65"/>
      <c r="IL31" s="65"/>
      <c r="IM31" s="65"/>
      <c r="IN31" s="65"/>
      <c r="IO31" s="65"/>
      <c r="IP31" s="65"/>
      <c r="IQ31" s="65"/>
      <c r="IR31" s="65"/>
      <c r="IS31" s="65"/>
      <c r="IT31" s="65"/>
      <c r="IU31" s="65"/>
      <c r="IV31" s="65"/>
      <c r="IW31" s="65"/>
      <c r="IX31" s="65"/>
      <c r="IY31" s="65"/>
      <c r="IZ31" s="65"/>
      <c r="JA31" s="65"/>
      <c r="JB31" s="65"/>
      <c r="JC31" s="65"/>
      <c r="JD31" s="65"/>
      <c r="JE31" s="65"/>
      <c r="JF31" s="65"/>
      <c r="JG31" s="65"/>
      <c r="JH31" s="65"/>
      <c r="JI31" s="65"/>
      <c r="JJ31" s="65"/>
      <c r="JK31" s="65"/>
      <c r="JL31" s="65"/>
      <c r="JM31" s="65"/>
      <c r="JN31" s="65"/>
      <c r="JO31" s="92"/>
      <c r="JP31" s="92"/>
      <c r="JQ31" s="92"/>
      <c r="JR31" s="92"/>
      <c r="JS31" s="92"/>
      <c r="JT31" s="92"/>
      <c r="JU31" s="92"/>
      <c r="JV31" s="92"/>
      <c r="JW31" s="92"/>
      <c r="JX31" s="92"/>
      <c r="JY31" s="92"/>
      <c r="JZ31" s="92"/>
      <c r="KA31" s="92"/>
      <c r="KB31" s="92"/>
      <c r="KC31" s="92"/>
      <c r="KD31" s="92"/>
      <c r="KE31" s="92"/>
      <c r="KF31" s="92"/>
      <c r="KG31" s="92"/>
      <c r="KH31" s="92"/>
      <c r="KI31" s="92"/>
      <c r="KJ31" s="92"/>
      <c r="KK31" s="92"/>
      <c r="KL31" s="92"/>
      <c r="KM31" s="92"/>
      <c r="KN31" s="92"/>
      <c r="KO31" s="92"/>
      <c r="KP31" s="92"/>
      <c r="KQ31" s="92"/>
      <c r="KR31" s="92"/>
      <c r="KS31" s="92"/>
      <c r="KT31" s="92"/>
      <c r="KU31" s="92"/>
      <c r="KV31" s="92"/>
      <c r="KW31" s="92"/>
      <c r="KX31" s="92"/>
      <c r="KY31" s="92"/>
      <c r="KZ31" s="92"/>
      <c r="LA31" s="92"/>
      <c r="LB31" s="92"/>
      <c r="LC31" s="92"/>
      <c r="LD31" s="92"/>
      <c r="LE31" s="92"/>
      <c r="LF31" s="92"/>
      <c r="LG31" s="92"/>
      <c r="LH31" s="92"/>
      <c r="LI31" s="92"/>
      <c r="LJ31" s="92"/>
      <c r="LK31" s="92"/>
      <c r="LL31" s="92"/>
      <c r="LM31" s="92"/>
      <c r="LN31" s="473">
        <f t="shared" si="12"/>
        <v>0</v>
      </c>
    </row>
    <row r="32" spans="1:326" ht="14.7" customHeight="1">
      <c r="A32" s="1166"/>
      <c r="B32" s="49" t="s">
        <v>72</v>
      </c>
      <c r="C32" s="49" t="s">
        <v>72</v>
      </c>
      <c r="D32" s="49" t="s">
        <v>72</v>
      </c>
      <c r="E32" s="49" t="s">
        <v>72</v>
      </c>
      <c r="F32" s="49"/>
      <c r="G32" s="49"/>
      <c r="H32" s="49" t="s">
        <v>75</v>
      </c>
      <c r="I32" s="49" t="s">
        <v>75</v>
      </c>
      <c r="J32" s="49" t="s">
        <v>75</v>
      </c>
      <c r="K32" s="49" t="s">
        <v>75</v>
      </c>
      <c r="L32" s="49" t="s">
        <v>75</v>
      </c>
      <c r="M32" s="49" t="s">
        <v>75</v>
      </c>
      <c r="N32" s="49" t="s">
        <v>75</v>
      </c>
      <c r="O32" s="49"/>
      <c r="P32" s="739" t="s">
        <v>74</v>
      </c>
      <c r="Q32" s="29">
        <v>1.2999999999999999E-2</v>
      </c>
      <c r="R32" s="29">
        <v>1.2999999999999999E-2</v>
      </c>
      <c r="S32" s="29">
        <v>1.2999999999999999E-2</v>
      </c>
      <c r="T32" s="29">
        <v>1.2999999999999999E-2</v>
      </c>
      <c r="U32" s="29">
        <v>1.2999999999999999E-2</v>
      </c>
      <c r="V32" s="29">
        <v>1.2999999999999999E-2</v>
      </c>
      <c r="W32" s="29">
        <v>1.2999999999999999E-2</v>
      </c>
      <c r="X32" s="29">
        <v>1.2999999999999999E-2</v>
      </c>
      <c r="Y32" s="29">
        <v>1.2999999999999999E-2</v>
      </c>
      <c r="Z32" s="29">
        <v>1.2999999999999999E-2</v>
      </c>
      <c r="AA32" s="29">
        <v>1.2999999999999999E-2</v>
      </c>
      <c r="AB32" s="29">
        <v>1.2999999999999999E-2</v>
      </c>
      <c r="AC32" s="29">
        <v>1.2999999999999999E-2</v>
      </c>
      <c r="AD32" s="29">
        <v>1.2999999999999999E-2</v>
      </c>
      <c r="AE32" s="29">
        <v>1.2999999999999999E-2</v>
      </c>
      <c r="AF32" s="29">
        <v>1.2999999999999999E-2</v>
      </c>
      <c r="AG32" s="29">
        <v>1.2999999999999999E-2</v>
      </c>
      <c r="AH32" s="29">
        <v>1.2999999999999999E-2</v>
      </c>
      <c r="AI32" s="29">
        <v>1.2999999999999999E-2</v>
      </c>
      <c r="AJ32" s="29">
        <v>1.2999999999999999E-2</v>
      </c>
      <c r="AK32" s="29">
        <v>1.2999999999999999E-2</v>
      </c>
      <c r="AL32" s="29">
        <v>1.2999999999999999E-2</v>
      </c>
      <c r="AM32" s="29">
        <v>1.2999999999999999E-2</v>
      </c>
      <c r="AN32" s="29">
        <v>1.2999999999999999E-2</v>
      </c>
      <c r="AO32" s="29">
        <v>1.2999999999999999E-2</v>
      </c>
      <c r="AP32" s="29">
        <v>1.2999999999999999E-2</v>
      </c>
      <c r="AQ32" s="29">
        <v>1.2999999999999999E-2</v>
      </c>
      <c r="AR32" s="28">
        <v>1.2999999999999999E-2</v>
      </c>
      <c r="AS32" s="29">
        <v>1.35E-2</v>
      </c>
      <c r="AT32" s="29">
        <v>1.35E-2</v>
      </c>
      <c r="AU32" s="28">
        <v>1.35E-2</v>
      </c>
      <c r="AV32" s="29">
        <v>1.4500000000000001E-2</v>
      </c>
      <c r="AW32" s="29">
        <v>1.4500000000000001E-2</v>
      </c>
      <c r="AX32" s="29">
        <v>1.4500000000000001E-2</v>
      </c>
      <c r="AY32" s="30">
        <v>1.4500000000000001E-2</v>
      </c>
      <c r="AZ32" s="29">
        <v>1.4500000000000001E-2</v>
      </c>
      <c r="BA32" s="29">
        <v>1.4500000000000001E-2</v>
      </c>
      <c r="BB32" s="29">
        <v>1.4500000000000001E-2</v>
      </c>
      <c r="BC32" s="29">
        <v>1.4500000000000001E-2</v>
      </c>
      <c r="BD32" s="29">
        <v>1.4500000000000001E-2</v>
      </c>
      <c r="BE32" s="29">
        <v>1.4500000000000001E-2</v>
      </c>
      <c r="BF32" s="29">
        <v>1.4500000000000001E-2</v>
      </c>
      <c r="BG32" s="28">
        <v>1.4500000000000001E-2</v>
      </c>
      <c r="BH32" s="29">
        <v>1.6500000000000001E-2</v>
      </c>
      <c r="BI32" s="28">
        <v>1.6500000000000001E-2</v>
      </c>
      <c r="BJ32" s="30">
        <v>1.7000000000000001E-2</v>
      </c>
      <c r="BK32" s="30">
        <v>1.7000000000000001E-2</v>
      </c>
      <c r="BL32" s="30">
        <v>1.7000000000000001E-2</v>
      </c>
      <c r="BM32" s="30">
        <v>1.7000000000000001E-2</v>
      </c>
      <c r="BN32" s="30">
        <v>1.7000000000000001E-2</v>
      </c>
      <c r="BO32" s="30">
        <v>1.7000000000000001E-2</v>
      </c>
      <c r="BP32" s="30">
        <v>1.7000000000000001E-2</v>
      </c>
      <c r="BQ32" s="30">
        <v>1.7000000000000001E-2</v>
      </c>
      <c r="BR32" s="30">
        <v>1.7000000000000001E-2</v>
      </c>
      <c r="BS32" s="30">
        <v>1.7000000000000001E-2</v>
      </c>
      <c r="BT32" s="30">
        <v>1.7000000000000001E-2</v>
      </c>
      <c r="BU32" s="30">
        <v>1.7000000000000001E-2</v>
      </c>
      <c r="BV32" s="30">
        <v>1.7000000000000001E-2</v>
      </c>
      <c r="BW32" s="30">
        <v>1.7000000000000001E-2</v>
      </c>
      <c r="BX32" s="30">
        <v>1.7000000000000001E-2</v>
      </c>
      <c r="BY32" s="30">
        <v>1.7000000000000001E-2</v>
      </c>
      <c r="BZ32" s="30">
        <v>1.7000000000000001E-2</v>
      </c>
      <c r="CA32" s="30">
        <v>1.7000000000000001E-2</v>
      </c>
      <c r="CB32" s="30">
        <v>1.7000000000000001E-2</v>
      </c>
      <c r="CC32" s="30">
        <v>1.7000000000000001E-2</v>
      </c>
      <c r="CD32" s="30">
        <v>1.7000000000000001E-2</v>
      </c>
      <c r="CE32" s="30">
        <v>1.7500000000000002E-2</v>
      </c>
      <c r="CF32" s="30">
        <v>1.6E-2</v>
      </c>
      <c r="CG32" s="30">
        <v>1.6E-2</v>
      </c>
      <c r="CH32" s="30">
        <v>1.6E-2</v>
      </c>
      <c r="CI32" s="30">
        <v>1.6E-2</v>
      </c>
      <c r="CJ32" s="30">
        <v>1.6E-2</v>
      </c>
      <c r="CK32" s="30">
        <v>1.6E-2</v>
      </c>
      <c r="CL32" s="30">
        <v>1.6E-2</v>
      </c>
      <c r="CM32" s="30">
        <v>1.6E-2</v>
      </c>
      <c r="CN32" s="30">
        <v>1.6E-2</v>
      </c>
      <c r="CO32" s="30">
        <v>1.6E-2</v>
      </c>
      <c r="CP32" s="30">
        <v>1.6E-2</v>
      </c>
      <c r="CQ32" s="30">
        <v>1.6E-2</v>
      </c>
      <c r="CR32" s="30">
        <v>1.9E-2</v>
      </c>
      <c r="CS32" s="30">
        <v>1.9E-2</v>
      </c>
      <c r="CT32" s="30">
        <v>1.9E-2</v>
      </c>
      <c r="CU32" s="30">
        <v>2.1000000000000001E-2</v>
      </c>
      <c r="CV32" s="30">
        <v>2.1000000000000001E-2</v>
      </c>
      <c r="CW32" s="30">
        <v>2.1000000000000001E-2</v>
      </c>
      <c r="CX32" s="30">
        <v>2.1000000000000001E-2</v>
      </c>
      <c r="CY32" s="30">
        <v>2.1000000000000001E-2</v>
      </c>
      <c r="CZ32" s="30">
        <v>2.1000000000000001E-2</v>
      </c>
      <c r="DA32" s="30">
        <v>2.1000000000000001E-2</v>
      </c>
      <c r="DB32" s="30">
        <v>2.1000000000000001E-2</v>
      </c>
      <c r="DC32" s="30">
        <v>2.1000000000000001E-2</v>
      </c>
      <c r="DD32" s="30">
        <v>2.1000000000000001E-2</v>
      </c>
      <c r="DE32" s="30">
        <v>2.1000000000000001E-2</v>
      </c>
      <c r="DF32" s="30">
        <v>2.1000000000000001E-2</v>
      </c>
      <c r="DG32" s="30">
        <v>2.1000000000000001E-2</v>
      </c>
      <c r="DH32" s="30">
        <v>2.1000000000000001E-2</v>
      </c>
      <c r="DI32" s="30">
        <v>2.1000000000000001E-2</v>
      </c>
      <c r="DJ32" s="30">
        <v>2.1000000000000001E-2</v>
      </c>
      <c r="DK32" s="30">
        <v>2.1000000000000001E-2</v>
      </c>
      <c r="DL32" s="30">
        <v>2.1000000000000001E-2</v>
      </c>
      <c r="DM32" s="30">
        <v>2.1000000000000001E-2</v>
      </c>
      <c r="DN32" s="30">
        <v>2.1000000000000001E-2</v>
      </c>
      <c r="DO32" s="30">
        <v>2.1000000000000001E-2</v>
      </c>
      <c r="DP32" s="30">
        <v>2.1000000000000001E-2</v>
      </c>
      <c r="DQ32" s="30">
        <v>2.1000000000000001E-2</v>
      </c>
      <c r="DR32" s="30">
        <v>2.1000000000000001E-2</v>
      </c>
      <c r="DS32" s="30">
        <v>2.1000000000000001E-2</v>
      </c>
      <c r="DT32" s="30">
        <v>2.1000000000000001E-2</v>
      </c>
      <c r="DU32" s="30">
        <v>2.1000000000000001E-2</v>
      </c>
      <c r="DV32" s="30">
        <v>2.1000000000000001E-2</v>
      </c>
      <c r="DW32" s="30">
        <v>2.1000000000000001E-2</v>
      </c>
      <c r="DX32" s="30">
        <v>2.1000000000000001E-2</v>
      </c>
      <c r="DY32" s="30">
        <v>2.1000000000000001E-2</v>
      </c>
      <c r="DZ32" s="30">
        <v>2.1000000000000001E-2</v>
      </c>
      <c r="EA32" s="30">
        <v>2.1000000000000001E-2</v>
      </c>
      <c r="EB32" s="30">
        <v>2.1000000000000001E-2</v>
      </c>
      <c r="EC32" s="30">
        <v>2.1000000000000001E-2</v>
      </c>
      <c r="ED32" s="30">
        <v>2.1000000000000001E-2</v>
      </c>
      <c r="EE32" s="30">
        <v>2.1000000000000001E-2</v>
      </c>
      <c r="EF32" s="30">
        <v>2.1000000000000001E-2</v>
      </c>
      <c r="EG32" s="30">
        <v>2.1000000000000001E-2</v>
      </c>
      <c r="EH32" s="30">
        <v>2.1000000000000001E-2</v>
      </c>
      <c r="EI32" s="30">
        <v>2.1000000000000001E-2</v>
      </c>
      <c r="EJ32" s="30">
        <v>2.1000000000000001E-2</v>
      </c>
      <c r="EK32" s="30">
        <v>2.1000000000000001E-2</v>
      </c>
      <c r="EL32" s="30">
        <v>2.1000000000000001E-2</v>
      </c>
      <c r="EM32" s="30">
        <v>2.1000000000000001E-2</v>
      </c>
      <c r="EN32" s="30">
        <v>2.1000000000000001E-2</v>
      </c>
      <c r="EO32" s="30">
        <v>2.1000000000000001E-2</v>
      </c>
      <c r="EP32" s="30">
        <v>2.1000000000000001E-2</v>
      </c>
      <c r="EQ32" s="30">
        <v>2.1000000000000001E-2</v>
      </c>
      <c r="ER32" s="30">
        <v>2.1000000000000001E-2</v>
      </c>
      <c r="ES32" s="30">
        <v>2.1000000000000001E-2</v>
      </c>
      <c r="ET32" s="30">
        <v>2.1000000000000001E-2</v>
      </c>
      <c r="EU32" s="30">
        <v>2.1000000000000001E-2</v>
      </c>
      <c r="EV32" s="30">
        <v>2.1000000000000001E-2</v>
      </c>
      <c r="EW32" s="30">
        <v>2.1000000000000001E-2</v>
      </c>
      <c r="EX32" s="30">
        <v>2.1000000000000001E-2</v>
      </c>
      <c r="EY32" s="30">
        <v>2.1000000000000001E-2</v>
      </c>
      <c r="EZ32" s="30">
        <v>2.1000000000000001E-2</v>
      </c>
      <c r="FA32" s="30">
        <v>2.1000000000000001E-2</v>
      </c>
      <c r="FB32" s="30">
        <v>2.1000000000000001E-2</v>
      </c>
      <c r="FC32" s="30">
        <v>2.1000000000000001E-2</v>
      </c>
      <c r="FD32" s="30">
        <v>2.1000000000000001E-2</v>
      </c>
      <c r="FE32" s="30">
        <v>2.1000000000000001E-2</v>
      </c>
      <c r="FF32" s="50">
        <v>2.1000000000000001E-2</v>
      </c>
      <c r="FG32" s="27">
        <v>2.1499999999999998E-2</v>
      </c>
      <c r="FH32" s="27">
        <v>2.1499999999999998E-2</v>
      </c>
      <c r="FI32" s="27">
        <v>2.1499999999999998E-2</v>
      </c>
      <c r="FJ32" s="27">
        <v>2.1499999999999998E-2</v>
      </c>
      <c r="FK32" s="27">
        <v>2.1499999999999998E-2</v>
      </c>
      <c r="FL32" s="27">
        <v>2.1499999999999998E-2</v>
      </c>
      <c r="FM32" s="27">
        <v>2.1499999999999998E-2</v>
      </c>
      <c r="FN32" s="27">
        <v>2.1499999999999998E-2</v>
      </c>
      <c r="FO32" s="27">
        <v>1.7999999999999999E-2</v>
      </c>
      <c r="FP32" s="27">
        <v>1.7999999999999999E-2</v>
      </c>
      <c r="FQ32" s="27">
        <v>1.7999999999999999E-2</v>
      </c>
      <c r="FR32" s="27">
        <v>1.7999999999999999E-2</v>
      </c>
      <c r="FS32" s="27">
        <v>1.7999999999999999E-2</v>
      </c>
      <c r="FT32" s="27">
        <v>1.7999999999999999E-2</v>
      </c>
      <c r="FU32" s="27">
        <v>1.7999999999999999E-2</v>
      </c>
      <c r="FV32" s="27">
        <v>1.7999999999999999E-2</v>
      </c>
      <c r="FW32" s="27">
        <v>1.7999999999999999E-2</v>
      </c>
      <c r="FX32" s="27">
        <v>1.7999999999999999E-2</v>
      </c>
      <c r="FY32" s="27">
        <v>1.7999999999999999E-2</v>
      </c>
      <c r="FZ32" s="27">
        <v>1.7999999999999999E-2</v>
      </c>
      <c r="GA32" s="27">
        <v>1.7999999999999999E-2</v>
      </c>
      <c r="GB32" s="27">
        <v>1.7999999999999999E-2</v>
      </c>
      <c r="GC32" s="27">
        <v>1.7999999999999999E-2</v>
      </c>
      <c r="GD32" s="27">
        <v>1.7999999999999999E-2</v>
      </c>
      <c r="GE32" s="27">
        <v>1.7999999999999999E-2</v>
      </c>
      <c r="GF32" s="27">
        <v>1.7999999999999999E-2</v>
      </c>
      <c r="GG32" s="27">
        <v>1.7999999999999999E-2</v>
      </c>
      <c r="GH32" s="27">
        <v>1.7999999999999999E-2</v>
      </c>
      <c r="GI32" s="27">
        <v>1.7999999999999999E-2</v>
      </c>
      <c r="GJ32" s="27">
        <v>1.7999999999999999E-2</v>
      </c>
      <c r="GK32" s="27">
        <v>1.7999999999999999E-2</v>
      </c>
      <c r="GL32" s="27">
        <v>1.7999999999999999E-2</v>
      </c>
      <c r="GM32" s="27">
        <v>1.7999999999999999E-2</v>
      </c>
      <c r="GN32" s="27">
        <v>1.7999999999999999E-2</v>
      </c>
      <c r="GO32" s="27">
        <v>2.35E-2</v>
      </c>
      <c r="GP32" s="27">
        <v>2.35E-2</v>
      </c>
      <c r="GQ32" s="27">
        <v>2.35E-2</v>
      </c>
      <c r="GR32" s="27">
        <v>2.35E-2</v>
      </c>
      <c r="GS32" s="27">
        <v>2.35E-2</v>
      </c>
      <c r="GT32" s="27">
        <v>2.35E-2</v>
      </c>
      <c r="GU32" s="27">
        <v>2.35E-2</v>
      </c>
      <c r="GV32" s="27">
        <v>2.35E-2</v>
      </c>
      <c r="GW32" s="49" t="s">
        <v>73</v>
      </c>
      <c r="GX32" s="49" t="s">
        <v>73</v>
      </c>
      <c r="GY32" s="49" t="s">
        <v>73</v>
      </c>
      <c r="GZ32" s="49" t="s">
        <v>73</v>
      </c>
      <c r="HA32" s="49" t="s">
        <v>73</v>
      </c>
      <c r="HB32" s="49" t="s">
        <v>73</v>
      </c>
      <c r="HC32" s="49" t="s">
        <v>73</v>
      </c>
      <c r="HD32" s="49" t="s">
        <v>73</v>
      </c>
      <c r="HE32" s="49" t="s">
        <v>73</v>
      </c>
      <c r="HF32" s="49" t="s">
        <v>72</v>
      </c>
      <c r="HG32" s="49" t="s">
        <v>72</v>
      </c>
      <c r="HH32" s="49" t="s">
        <v>72</v>
      </c>
      <c r="HI32" s="49" t="s">
        <v>72</v>
      </c>
      <c r="HJ32" s="49" t="s">
        <v>72</v>
      </c>
      <c r="HK32" s="49" t="s">
        <v>72</v>
      </c>
      <c r="HL32" s="41">
        <f t="shared" si="11"/>
        <v>-5.0000000000000044E-4</v>
      </c>
      <c r="HM32" s="77" t="s">
        <v>72</v>
      </c>
      <c r="HN32" s="77" t="s">
        <v>72</v>
      </c>
      <c r="HO32" s="77" t="s">
        <v>72</v>
      </c>
      <c r="HP32" s="56">
        <v>0</v>
      </c>
      <c r="HQ32" s="55" t="s">
        <v>91</v>
      </c>
      <c r="HR32" s="85">
        <v>1.32E-2</v>
      </c>
      <c r="HS32" s="80">
        <v>5.7000000000000002E-3</v>
      </c>
      <c r="HT32" s="84">
        <v>8.6999999999999994E-3</v>
      </c>
      <c r="HU32" s="84">
        <v>9.7000000000000003E-3</v>
      </c>
      <c r="HV32" s="84">
        <v>1.29E-2</v>
      </c>
      <c r="HW32" s="84">
        <v>1.6199999999999999E-2</v>
      </c>
      <c r="HX32" s="80">
        <v>1.4E-2</v>
      </c>
      <c r="HY32" s="84">
        <v>1.4999999999999999E-2</v>
      </c>
      <c r="HZ32" s="84">
        <v>1.7999999999999999E-2</v>
      </c>
      <c r="IA32" s="80">
        <v>1.2999999999999999E-2</v>
      </c>
      <c r="IB32" s="84">
        <v>1.35E-2</v>
      </c>
      <c r="IC32" s="80">
        <v>1.3299999999999999E-2</v>
      </c>
      <c r="ID32" s="84">
        <v>1.44E-2</v>
      </c>
      <c r="IE32" s="80">
        <v>1.38E-2</v>
      </c>
      <c r="IF32" s="84">
        <v>1.6400000000000001E-2</v>
      </c>
      <c r="IG32" s="80">
        <v>1.6199999999999999E-2</v>
      </c>
      <c r="IH32" s="84">
        <v>1.77E-2</v>
      </c>
      <c r="II32" s="84">
        <v>2.1000000000000001E-2</v>
      </c>
      <c r="IJ32" s="80">
        <v>1.4500000000000001E-2</v>
      </c>
      <c r="IK32" s="84">
        <v>1.7899999999999999E-2</v>
      </c>
      <c r="IL32" s="80">
        <v>1.7600000000000001E-2</v>
      </c>
      <c r="IM32" s="80">
        <v>1.4800000000000001E-2</v>
      </c>
      <c r="IN32" s="84">
        <v>1.4999999999999999E-2</v>
      </c>
      <c r="IO32" s="84">
        <v>1.5299999999999999E-2</v>
      </c>
      <c r="IP32" s="80">
        <v>1.4999999999999999E-2</v>
      </c>
      <c r="IQ32" s="84">
        <v>1.6E-2</v>
      </c>
      <c r="IR32" s="84">
        <v>1.7299999999999999E-2</v>
      </c>
      <c r="IS32" s="84">
        <v>1.7899999999999999E-2</v>
      </c>
      <c r="IT32" s="84">
        <v>2.0400000000000001E-2</v>
      </c>
      <c r="IU32" s="84">
        <v>2.1100000000000001E-2</v>
      </c>
      <c r="IV32" s="80">
        <v>1.8800000000000001E-2</v>
      </c>
      <c r="IW32" s="84">
        <v>2.06E-2</v>
      </c>
      <c r="IX32" s="80">
        <v>1.9099999999999999E-2</v>
      </c>
      <c r="IY32" s="84">
        <v>1.9400000000000001E-2</v>
      </c>
      <c r="IZ32" s="84">
        <v>2.06E-2</v>
      </c>
      <c r="JA32" s="84">
        <v>2.3599999999999999E-2</v>
      </c>
      <c r="JB32" s="80">
        <v>2.18E-2</v>
      </c>
      <c r="JC32" s="84">
        <v>2.58E-2</v>
      </c>
      <c r="JD32" s="80">
        <v>2.3300000000000001E-2</v>
      </c>
      <c r="JE32" s="80">
        <v>2.18E-2</v>
      </c>
      <c r="JF32" s="83">
        <v>2.18E-2</v>
      </c>
      <c r="JG32" s="84">
        <v>2.23E-2</v>
      </c>
      <c r="JH32" s="84">
        <v>2.3800000000000002E-2</v>
      </c>
      <c r="JI32" s="83">
        <v>2.3800000000000002E-2</v>
      </c>
      <c r="JJ32" s="80">
        <v>2.3300000000000001E-2</v>
      </c>
      <c r="JK32" s="80">
        <v>2.1299999999999999E-2</v>
      </c>
      <c r="JL32" s="80">
        <v>1.78E-2</v>
      </c>
      <c r="JM32" s="84">
        <v>2.0299999999999999E-2</v>
      </c>
      <c r="JN32" s="80">
        <v>1.9800000000000002E-2</v>
      </c>
      <c r="JO32" s="80">
        <v>1.6299999999999999E-2</v>
      </c>
      <c r="JP32" s="80">
        <v>1.2800000000000001E-2</v>
      </c>
      <c r="JQ32" s="84">
        <v>1.66E-2</v>
      </c>
      <c r="JR32" s="57">
        <v>1.66E-2</v>
      </c>
      <c r="JS32" s="84">
        <v>1.8800000000000001E-2</v>
      </c>
      <c r="JT32" s="84">
        <v>2.0299999999999999E-2</v>
      </c>
      <c r="JU32" s="80">
        <v>1.9300000000000001E-2</v>
      </c>
      <c r="JV32" s="84">
        <v>1.9800000000000002E-2</v>
      </c>
      <c r="JW32" s="80">
        <v>1.8800000000000001E-2</v>
      </c>
      <c r="JX32" s="84">
        <v>2.0400000000000001E-2</v>
      </c>
      <c r="JY32" s="84">
        <v>2.0799999999999999E-2</v>
      </c>
      <c r="JZ32" s="57">
        <v>2.0799999999999999E-2</v>
      </c>
      <c r="KA32" s="84">
        <v>2.1999999999999999E-2</v>
      </c>
      <c r="KB32" s="80">
        <v>2.1299999999999999E-2</v>
      </c>
      <c r="KC32" s="84">
        <v>2.1600000000000001E-2</v>
      </c>
      <c r="KD32" s="80">
        <v>2.0799999999999999E-2</v>
      </c>
      <c r="KE32" s="80">
        <v>1.9800000000000002E-2</v>
      </c>
      <c r="KF32" s="80">
        <v>1.7000000000000001E-2</v>
      </c>
      <c r="KG32" s="84">
        <v>1.78E-2</v>
      </c>
      <c r="KH32" s="80">
        <v>1.6799999999999999E-2</v>
      </c>
      <c r="KI32" s="80">
        <v>1.6E-2</v>
      </c>
      <c r="KJ32" s="80">
        <v>1.4800000000000001E-2</v>
      </c>
      <c r="KK32" s="84">
        <v>1.5299999999999999E-2</v>
      </c>
      <c r="KL32" s="84">
        <v>1.9300000000000001E-2</v>
      </c>
      <c r="KM32" s="80">
        <v>1.8599999999999998E-2</v>
      </c>
      <c r="KN32" s="84">
        <v>1.9300000000000001E-2</v>
      </c>
      <c r="KO32" s="84">
        <v>0.02</v>
      </c>
      <c r="KP32" s="84">
        <v>2.0299999999999999E-2</v>
      </c>
      <c r="KQ32" s="84">
        <v>2.18E-2</v>
      </c>
      <c r="KR32" s="80">
        <v>2.1299999999999999E-2</v>
      </c>
      <c r="KS32" s="80">
        <v>2.0799999999999999E-2</v>
      </c>
      <c r="KT32" s="84">
        <v>2.2800000000000001E-2</v>
      </c>
      <c r="KU32" s="80">
        <v>1.9900000000000001E-2</v>
      </c>
      <c r="KV32" s="84">
        <v>2.18E-2</v>
      </c>
      <c r="KW32" s="83">
        <v>2.18E-2</v>
      </c>
      <c r="KX32" s="84">
        <v>2.3900000000000001E-2</v>
      </c>
      <c r="KY32" s="84">
        <v>2.4299999999999999E-2</v>
      </c>
      <c r="KZ32" s="80">
        <v>2.2200000000000001E-2</v>
      </c>
      <c r="LA32" s="90">
        <v>2.2700000000000001E-2</v>
      </c>
      <c r="LB32" s="90">
        <v>2.5600000000000001E-2</v>
      </c>
      <c r="LC32" s="99">
        <v>2.3599999999999999E-2</v>
      </c>
      <c r="LD32" s="90">
        <v>2.3900000000000001E-2</v>
      </c>
      <c r="LE32" s="99">
        <v>2.3800000000000002E-2</v>
      </c>
      <c r="LF32" s="99">
        <v>2.23E-2</v>
      </c>
      <c r="LG32" s="99">
        <v>2.06E-2</v>
      </c>
      <c r="LH32" s="90">
        <v>2.18E-2</v>
      </c>
      <c r="LI32" s="90">
        <v>2.23E-2</v>
      </c>
      <c r="LJ32" s="90">
        <v>2.29E-2</v>
      </c>
      <c r="LK32" s="99">
        <v>1.83E-2</v>
      </c>
      <c r="LL32" s="84">
        <v>2.1000000000000001E-2</v>
      </c>
      <c r="LM32" s="99">
        <v>1.9800000000000002E-2</v>
      </c>
      <c r="LN32" s="473">
        <f t="shared" si="12"/>
        <v>0</v>
      </c>
    </row>
    <row r="33" spans="1:326" ht="14.7" customHeight="1">
      <c r="A33" s="1162" t="s">
        <v>16</v>
      </c>
      <c r="B33" s="42"/>
      <c r="C33" s="42"/>
      <c r="D33" s="42"/>
      <c r="E33" s="42"/>
      <c r="F33" s="42"/>
      <c r="G33" s="42"/>
      <c r="H33" s="42"/>
      <c r="I33" s="42"/>
      <c r="J33" s="42"/>
      <c r="K33" s="42"/>
      <c r="L33" s="42"/>
      <c r="M33" s="42"/>
      <c r="N33" s="42"/>
      <c r="O33" s="42"/>
      <c r="P33" s="627" t="s">
        <v>71</v>
      </c>
      <c r="Q33" s="48">
        <v>1.2500000000000001E-2</v>
      </c>
      <c r="R33" s="48">
        <v>1.2500000000000001E-2</v>
      </c>
      <c r="S33" s="48">
        <v>1.2500000000000001E-2</v>
      </c>
      <c r="T33" s="48">
        <v>1.2500000000000001E-2</v>
      </c>
      <c r="U33" s="47">
        <v>1.15E-2</v>
      </c>
      <c r="V33" s="47">
        <v>1.15E-2</v>
      </c>
      <c r="W33" s="47">
        <v>1.15E-2</v>
      </c>
      <c r="X33" s="47">
        <v>1.15E-2</v>
      </c>
      <c r="Y33" s="47">
        <v>1.15E-2</v>
      </c>
      <c r="Z33" s="47">
        <v>1.15E-2</v>
      </c>
      <c r="AA33" s="47">
        <v>1.15E-2</v>
      </c>
      <c r="AB33" s="47">
        <v>1.15E-2</v>
      </c>
      <c r="AC33" s="47">
        <v>1.15E-2</v>
      </c>
      <c r="AD33" s="47">
        <v>1.15E-2</v>
      </c>
      <c r="AE33" s="47">
        <v>1.15E-2</v>
      </c>
      <c r="AF33" s="47">
        <v>1.15E-2</v>
      </c>
      <c r="AG33" s="47">
        <v>1.15E-2</v>
      </c>
      <c r="AH33" s="47">
        <v>1.15E-2</v>
      </c>
      <c r="AI33" s="47">
        <v>1.15E-2</v>
      </c>
      <c r="AJ33" s="47">
        <v>1.15E-2</v>
      </c>
      <c r="AK33" s="47">
        <v>1.15E-2</v>
      </c>
      <c r="AL33" s="48">
        <v>1.15E-2</v>
      </c>
      <c r="AM33" s="47">
        <v>1.2500000000000001E-2</v>
      </c>
      <c r="AN33" s="47">
        <v>1.2500000000000001E-2</v>
      </c>
      <c r="AO33" s="47">
        <v>1.2500000000000001E-2</v>
      </c>
      <c r="AP33" s="47">
        <v>1.2500000000000001E-2</v>
      </c>
      <c r="AQ33" s="47">
        <v>1.2500000000000001E-2</v>
      </c>
      <c r="AR33" s="47">
        <v>1.2500000000000001E-2</v>
      </c>
      <c r="AS33" s="47">
        <v>1.2500000000000001E-2</v>
      </c>
      <c r="AT33" s="47">
        <v>1.2500000000000001E-2</v>
      </c>
      <c r="AU33" s="47">
        <v>1.2500000000000001E-2</v>
      </c>
      <c r="AV33" s="47">
        <v>1.2500000000000001E-2</v>
      </c>
      <c r="AW33" s="48">
        <v>1.2500000000000001E-2</v>
      </c>
      <c r="AX33" s="47">
        <v>1.2999999999999999E-2</v>
      </c>
      <c r="AY33" s="44">
        <v>1.2999999999999999E-2</v>
      </c>
      <c r="AZ33" s="47">
        <v>1.2999999999999999E-2</v>
      </c>
      <c r="BA33" s="47">
        <v>1.2999999999999999E-2</v>
      </c>
      <c r="BB33" s="47">
        <v>1.2999999999999999E-2</v>
      </c>
      <c r="BC33" s="47">
        <v>1.2999999999999999E-2</v>
      </c>
      <c r="BD33" s="47">
        <v>1.2999999999999999E-2</v>
      </c>
      <c r="BE33" s="47">
        <v>1.2999999999999999E-2</v>
      </c>
      <c r="BF33" s="47">
        <v>1.2999999999999999E-2</v>
      </c>
      <c r="BG33" s="47">
        <v>1.2999999999999999E-2</v>
      </c>
      <c r="BH33" s="47">
        <v>1.2999999999999999E-2</v>
      </c>
      <c r="BI33" s="44">
        <v>1.2999999999999999E-2</v>
      </c>
      <c r="BJ33" s="44">
        <v>1.2999999999999999E-2</v>
      </c>
      <c r="BK33" s="44">
        <v>1.7000000000000001E-2</v>
      </c>
      <c r="BL33" s="44">
        <v>1.7000000000000001E-2</v>
      </c>
      <c r="BM33" s="44">
        <v>1.7000000000000001E-2</v>
      </c>
      <c r="BN33" s="44">
        <v>1.7000000000000001E-2</v>
      </c>
      <c r="BO33" s="44">
        <v>1.7000000000000001E-2</v>
      </c>
      <c r="BP33" s="44">
        <v>1.7000000000000001E-2</v>
      </c>
      <c r="BQ33" s="44">
        <v>1.7000000000000001E-2</v>
      </c>
      <c r="BR33" s="44">
        <v>1.7000000000000001E-2</v>
      </c>
      <c r="BS33" s="44">
        <v>0.02</v>
      </c>
      <c r="BT33" s="44">
        <v>0.02</v>
      </c>
      <c r="BU33" s="44">
        <v>0.02</v>
      </c>
      <c r="BV33" s="44">
        <v>0.02</v>
      </c>
      <c r="BW33" s="44">
        <v>2.4E-2</v>
      </c>
      <c r="BX33" s="44">
        <v>2.4E-2</v>
      </c>
      <c r="BY33" s="44">
        <v>2.4E-2</v>
      </c>
      <c r="BZ33" s="44">
        <v>2.4E-2</v>
      </c>
      <c r="CA33" s="44">
        <v>2.4E-2</v>
      </c>
      <c r="CB33" s="44">
        <v>2.4E-2</v>
      </c>
      <c r="CC33" s="44">
        <v>2.3E-2</v>
      </c>
      <c r="CD33" s="44">
        <v>2.7E-2</v>
      </c>
      <c r="CE33" s="44">
        <v>2.7E-2</v>
      </c>
      <c r="CF33" s="44">
        <v>1.4999999999999999E-2</v>
      </c>
      <c r="CG33" s="44">
        <v>1.4999999999999999E-2</v>
      </c>
      <c r="CH33" s="44">
        <v>1.4999999999999999E-2</v>
      </c>
      <c r="CI33" s="44">
        <v>1.4999999999999999E-2</v>
      </c>
      <c r="CJ33" s="44">
        <v>1.4999999999999999E-2</v>
      </c>
      <c r="CK33" s="44">
        <v>1.4999999999999999E-2</v>
      </c>
      <c r="CL33" s="44">
        <v>1.4999999999999999E-2</v>
      </c>
      <c r="CM33" s="44">
        <v>1.4999999999999999E-2</v>
      </c>
      <c r="CN33" s="44">
        <v>1.4999999999999999E-2</v>
      </c>
      <c r="CO33" s="44">
        <v>1.4999999999999999E-2</v>
      </c>
      <c r="CP33" s="44">
        <v>1.4999999999999999E-2</v>
      </c>
      <c r="CQ33" s="44">
        <v>1.4999999999999999E-2</v>
      </c>
      <c r="CR33" s="44">
        <v>1.7000000000000001E-2</v>
      </c>
      <c r="CS33" s="44">
        <v>1.7000000000000001E-2</v>
      </c>
      <c r="CT33" s="44">
        <v>1.4E-2</v>
      </c>
      <c r="CU33" s="44">
        <v>2.1000000000000001E-2</v>
      </c>
      <c r="CV33" s="44">
        <v>2.1000000000000001E-2</v>
      </c>
      <c r="CW33" s="44">
        <v>2.1000000000000001E-2</v>
      </c>
      <c r="CX33" s="44">
        <v>2.1000000000000001E-2</v>
      </c>
      <c r="CY33" s="44">
        <v>2.1000000000000001E-2</v>
      </c>
      <c r="CZ33" s="44">
        <v>2.1000000000000001E-2</v>
      </c>
      <c r="DA33" s="44">
        <v>2.1000000000000001E-2</v>
      </c>
      <c r="DB33" s="44">
        <v>2.1000000000000001E-2</v>
      </c>
      <c r="DC33" s="44">
        <v>2.1000000000000001E-2</v>
      </c>
      <c r="DD33" s="44">
        <v>2.1000000000000001E-2</v>
      </c>
      <c r="DE33" s="44">
        <v>2.1000000000000001E-2</v>
      </c>
      <c r="DF33" s="44">
        <v>2.1000000000000001E-2</v>
      </c>
      <c r="DG33" s="44">
        <v>2.1000000000000001E-2</v>
      </c>
      <c r="DH33" s="44">
        <v>2.1000000000000001E-2</v>
      </c>
      <c r="DI33" s="44">
        <v>2.1000000000000001E-2</v>
      </c>
      <c r="DJ33" s="44">
        <v>2.1000000000000001E-2</v>
      </c>
      <c r="DK33" s="44">
        <v>2.1000000000000001E-2</v>
      </c>
      <c r="DL33" s="44">
        <v>2.1000000000000001E-2</v>
      </c>
      <c r="DM33" s="44">
        <v>2.1000000000000001E-2</v>
      </c>
      <c r="DN33" s="44">
        <v>2.1000000000000001E-2</v>
      </c>
      <c r="DO33" s="44">
        <v>2.1000000000000001E-2</v>
      </c>
      <c r="DP33" s="44">
        <v>2.1000000000000001E-2</v>
      </c>
      <c r="DQ33" s="44">
        <v>2.1000000000000001E-2</v>
      </c>
      <c r="DR33" s="44">
        <v>2.1000000000000001E-2</v>
      </c>
      <c r="DS33" s="44">
        <v>2.1000000000000001E-2</v>
      </c>
      <c r="DT33" s="44">
        <v>2.1000000000000001E-2</v>
      </c>
      <c r="DU33" s="44">
        <v>2.1000000000000001E-2</v>
      </c>
      <c r="DV33" s="44">
        <v>2.1000000000000001E-2</v>
      </c>
      <c r="DW33" s="44">
        <v>2.1000000000000001E-2</v>
      </c>
      <c r="DX33" s="44">
        <v>2.1000000000000001E-2</v>
      </c>
      <c r="DY33" s="44">
        <v>2.1000000000000001E-2</v>
      </c>
      <c r="DZ33" s="44">
        <v>2.1000000000000001E-2</v>
      </c>
      <c r="EA33" s="44">
        <v>2.1000000000000001E-2</v>
      </c>
      <c r="EB33" s="44">
        <v>2.1000000000000001E-2</v>
      </c>
      <c r="EC33" s="44">
        <v>2.1000000000000001E-2</v>
      </c>
      <c r="ED33" s="44">
        <v>2.1000000000000001E-2</v>
      </c>
      <c r="EE33" s="44">
        <v>2.1000000000000001E-2</v>
      </c>
      <c r="EF33" s="44">
        <v>2.1000000000000001E-2</v>
      </c>
      <c r="EG33" s="44">
        <v>2.1000000000000001E-2</v>
      </c>
      <c r="EH33" s="44">
        <v>2.1000000000000001E-2</v>
      </c>
      <c r="EI33" s="44">
        <v>2.1000000000000001E-2</v>
      </c>
      <c r="EJ33" s="44">
        <v>2.1000000000000001E-2</v>
      </c>
      <c r="EK33" s="44">
        <v>2.1000000000000001E-2</v>
      </c>
      <c r="EL33" s="44">
        <v>2.1000000000000001E-2</v>
      </c>
      <c r="EM33" s="44">
        <v>2.1000000000000001E-2</v>
      </c>
      <c r="EN33" s="44">
        <v>2.1000000000000001E-2</v>
      </c>
      <c r="EO33" s="44">
        <v>2.1000000000000001E-2</v>
      </c>
      <c r="EP33" s="44">
        <v>2.1000000000000001E-2</v>
      </c>
      <c r="EQ33" s="44">
        <v>2.1000000000000001E-2</v>
      </c>
      <c r="ER33" s="44">
        <v>2.1000000000000001E-2</v>
      </c>
      <c r="ES33" s="44">
        <v>2.1000000000000001E-2</v>
      </c>
      <c r="ET33" s="44">
        <v>2.1000000000000001E-2</v>
      </c>
      <c r="EU33" s="44">
        <v>2.1000000000000001E-2</v>
      </c>
      <c r="EV33" s="44">
        <v>2.1000000000000001E-2</v>
      </c>
      <c r="EW33" s="44">
        <v>2.1000000000000001E-2</v>
      </c>
      <c r="EX33" s="44">
        <v>2.1000000000000001E-2</v>
      </c>
      <c r="EY33" s="44">
        <v>2.1000000000000001E-2</v>
      </c>
      <c r="EZ33" s="44">
        <v>2.1000000000000001E-2</v>
      </c>
      <c r="FA33" s="44">
        <v>2.1000000000000001E-2</v>
      </c>
      <c r="FB33" s="44">
        <v>2.1000000000000001E-2</v>
      </c>
      <c r="FC33" s="44">
        <v>2.1000000000000001E-2</v>
      </c>
      <c r="FD33" s="44">
        <v>2.1000000000000001E-2</v>
      </c>
      <c r="FE33" s="44">
        <v>2.1000000000000001E-2</v>
      </c>
      <c r="FF33" s="44">
        <v>2.1000000000000001E-2</v>
      </c>
      <c r="FG33" s="44">
        <v>2.1000000000000001E-2</v>
      </c>
      <c r="FH33" s="44">
        <v>2.1000000000000001E-2</v>
      </c>
      <c r="FI33" s="44">
        <v>2.1000000000000001E-2</v>
      </c>
      <c r="FJ33" s="44">
        <v>2.1000000000000001E-2</v>
      </c>
      <c r="FK33" s="44">
        <v>2.1000000000000001E-2</v>
      </c>
      <c r="FL33" s="44">
        <v>2.1000000000000001E-2</v>
      </c>
      <c r="FM33" s="44">
        <v>2.1000000000000001E-2</v>
      </c>
      <c r="FN33" s="44">
        <v>2.1000000000000001E-2</v>
      </c>
      <c r="FO33" s="44">
        <v>2.1000000000000001E-2</v>
      </c>
      <c r="FP33" s="44">
        <v>2.1000000000000001E-2</v>
      </c>
      <c r="FQ33" s="44">
        <v>2.1000000000000001E-2</v>
      </c>
      <c r="FR33" s="44">
        <v>0.02</v>
      </c>
      <c r="FS33" s="44">
        <v>0.02</v>
      </c>
      <c r="FT33" s="44">
        <v>0.02</v>
      </c>
      <c r="FU33" s="44">
        <v>0.02</v>
      </c>
      <c r="FV33" s="44">
        <v>0.02</v>
      </c>
      <c r="FW33" s="44">
        <v>0.02</v>
      </c>
      <c r="FX33" s="44">
        <v>0.02</v>
      </c>
      <c r="FY33" s="44">
        <v>0.02</v>
      </c>
      <c r="FZ33" s="44">
        <v>0.02</v>
      </c>
      <c r="GA33" s="44">
        <v>0.02</v>
      </c>
      <c r="GB33" s="44">
        <v>0.02</v>
      </c>
      <c r="GC33" s="44">
        <v>0.02</v>
      </c>
      <c r="GD33" s="44">
        <v>0.02</v>
      </c>
      <c r="GE33" s="44">
        <v>0.02</v>
      </c>
      <c r="GF33" s="44">
        <v>0.02</v>
      </c>
      <c r="GG33" s="44">
        <v>0.02</v>
      </c>
      <c r="GH33" s="44">
        <v>0.02</v>
      </c>
      <c r="GI33" s="44">
        <v>0.02</v>
      </c>
      <c r="GJ33" s="44">
        <v>0.02</v>
      </c>
      <c r="GK33" s="44">
        <v>0.02</v>
      </c>
      <c r="GL33" s="44">
        <v>0.02</v>
      </c>
      <c r="GM33" s="44">
        <v>0.02</v>
      </c>
      <c r="GN33" s="44">
        <v>0.02</v>
      </c>
      <c r="GO33" s="44">
        <v>0.02</v>
      </c>
      <c r="GP33" s="44">
        <v>0.02</v>
      </c>
      <c r="GQ33" s="44">
        <v>0.02</v>
      </c>
      <c r="GR33" s="44">
        <v>0.02</v>
      </c>
      <c r="GS33" s="43">
        <v>0.02</v>
      </c>
      <c r="GT33" s="43">
        <v>2.1999999999999999E-2</v>
      </c>
      <c r="GU33" s="43">
        <v>2.1999999999999999E-2</v>
      </c>
      <c r="GV33" s="43">
        <v>2.1999999999999999E-2</v>
      </c>
      <c r="GW33" s="42"/>
      <c r="GX33" s="42"/>
      <c r="GY33" s="42"/>
      <c r="GZ33" s="42"/>
      <c r="HA33" s="42"/>
      <c r="HB33" s="42"/>
      <c r="HC33" s="42"/>
      <c r="HD33" s="42"/>
      <c r="HE33" s="42"/>
      <c r="HF33" s="42"/>
      <c r="HG33" s="42"/>
      <c r="HH33" s="42"/>
      <c r="HI33" s="42"/>
      <c r="HJ33" s="42"/>
      <c r="HK33" s="42"/>
      <c r="HL33" s="41">
        <f t="shared" si="11"/>
        <v>-4.0000000000000018E-3</v>
      </c>
      <c r="HM33" s="77"/>
      <c r="HN33" s="77"/>
      <c r="HO33" s="77"/>
      <c r="HP33" s="56"/>
      <c r="HQ33" s="55"/>
      <c r="HR33" s="85"/>
      <c r="HS33" s="80"/>
      <c r="HT33" s="84"/>
      <c r="HU33" s="84"/>
      <c r="HV33" s="84"/>
      <c r="HW33" s="84"/>
      <c r="HX33" s="80"/>
      <c r="HY33" s="84"/>
      <c r="HZ33" s="84"/>
      <c r="IA33" s="80"/>
      <c r="IB33" s="84"/>
      <c r="IC33" s="80"/>
      <c r="ID33" s="84"/>
      <c r="IE33" s="80"/>
      <c r="IF33" s="84"/>
      <c r="IG33" s="80"/>
      <c r="IH33" s="84"/>
      <c r="II33" s="84"/>
      <c r="IJ33" s="80"/>
      <c r="IK33" s="84"/>
      <c r="IL33" s="80"/>
      <c r="IM33" s="80"/>
      <c r="IN33" s="84"/>
      <c r="IO33" s="84"/>
      <c r="IP33" s="80"/>
      <c r="IQ33" s="84"/>
      <c r="IR33" s="84"/>
      <c r="IS33" s="84"/>
      <c r="IT33" s="84"/>
      <c r="IU33" s="84"/>
      <c r="IV33" s="80"/>
      <c r="IW33" s="84"/>
      <c r="IX33" s="80"/>
      <c r="IY33" s="84"/>
      <c r="IZ33" s="84"/>
      <c r="JA33" s="84"/>
      <c r="JB33" s="80"/>
      <c r="JC33" s="84"/>
      <c r="JD33" s="80"/>
      <c r="JE33" s="80"/>
      <c r="JF33" s="83"/>
      <c r="JG33" s="84"/>
      <c r="JH33" s="84"/>
      <c r="JI33" s="83"/>
      <c r="JJ33" s="80"/>
      <c r="JK33" s="80"/>
      <c r="JL33" s="80"/>
      <c r="JM33" s="84"/>
      <c r="JN33" s="80"/>
      <c r="JO33" s="80"/>
      <c r="JP33" s="80"/>
      <c r="JQ33" s="84"/>
      <c r="JR33" s="57"/>
      <c r="JS33" s="84"/>
      <c r="JT33" s="84"/>
      <c r="JU33" s="80"/>
      <c r="JV33" s="84"/>
      <c r="JW33" s="80"/>
      <c r="JX33" s="84"/>
      <c r="JY33" s="84"/>
      <c r="JZ33" s="57"/>
      <c r="KA33" s="84"/>
      <c r="KB33" s="80"/>
      <c r="KC33" s="84"/>
      <c r="KD33" s="80"/>
      <c r="KE33" s="80"/>
      <c r="KF33" s="80"/>
      <c r="KG33" s="84"/>
      <c r="KH33" s="80"/>
      <c r="KI33" s="80"/>
      <c r="KJ33" s="80"/>
      <c r="KK33" s="84"/>
      <c r="KL33" s="84"/>
      <c r="KM33" s="80"/>
      <c r="KN33" s="84"/>
      <c r="KO33" s="84"/>
      <c r="KP33" s="84"/>
      <c r="KQ33" s="84"/>
      <c r="KR33" s="80"/>
      <c r="KS33" s="80"/>
      <c r="KT33" s="84"/>
      <c r="KU33" s="80"/>
      <c r="KV33" s="84"/>
      <c r="KW33" s="83"/>
      <c r="KX33" s="84"/>
      <c r="KY33" s="84"/>
      <c r="KZ33" s="80"/>
      <c r="LA33" s="90"/>
      <c r="LB33" s="90"/>
      <c r="LC33" s="99"/>
      <c r="LD33" s="90"/>
      <c r="LE33" s="99"/>
      <c r="LF33" s="99"/>
      <c r="LG33" s="99"/>
      <c r="LH33" s="90"/>
      <c r="LI33" s="90"/>
      <c r="LJ33" s="90"/>
      <c r="LK33" s="99"/>
      <c r="LL33" s="84"/>
      <c r="LM33" s="99"/>
      <c r="LN33" s="473">
        <f t="shared" si="12"/>
        <v>0</v>
      </c>
    </row>
    <row r="34" spans="1:326" ht="14.7" customHeight="1">
      <c r="A34" s="1163"/>
      <c r="B34" s="42" t="s">
        <v>67</v>
      </c>
      <c r="C34" s="42" t="s">
        <v>67</v>
      </c>
      <c r="D34" s="42" t="s">
        <v>67</v>
      </c>
      <c r="E34" s="42" t="s">
        <v>67</v>
      </c>
      <c r="F34" s="42"/>
      <c r="G34" s="42"/>
      <c r="H34" s="42" t="s">
        <v>67</v>
      </c>
      <c r="I34" s="42" t="s">
        <v>67</v>
      </c>
      <c r="J34" s="42" t="s">
        <v>67</v>
      </c>
      <c r="K34" s="42" t="s">
        <v>67</v>
      </c>
      <c r="L34" s="42" t="s">
        <v>67</v>
      </c>
      <c r="M34" s="42" t="s">
        <v>67</v>
      </c>
      <c r="N34" s="42" t="s">
        <v>67</v>
      </c>
      <c r="O34" s="42"/>
      <c r="P34" s="627" t="s">
        <v>70</v>
      </c>
      <c r="Q34" s="48">
        <v>1.2999999999999999E-2</v>
      </c>
      <c r="R34" s="48">
        <v>1.2999999999999999E-2</v>
      </c>
      <c r="S34" s="48">
        <v>1.2999999999999999E-2</v>
      </c>
      <c r="T34" s="48">
        <v>1.2999999999999999E-2</v>
      </c>
      <c r="U34" s="47">
        <v>1.2500000000000001E-2</v>
      </c>
      <c r="V34" s="47">
        <v>1.2500000000000001E-2</v>
      </c>
      <c r="W34" s="47">
        <v>1.2500000000000001E-2</v>
      </c>
      <c r="X34" s="47">
        <v>1.2500000000000001E-2</v>
      </c>
      <c r="Y34" s="47">
        <v>1.2500000000000001E-2</v>
      </c>
      <c r="Z34" s="47">
        <v>1.2500000000000001E-2</v>
      </c>
      <c r="AA34" s="47">
        <v>1.2500000000000001E-2</v>
      </c>
      <c r="AB34" s="47">
        <v>1.2500000000000001E-2</v>
      </c>
      <c r="AC34" s="47">
        <v>1.2500000000000001E-2</v>
      </c>
      <c r="AD34" s="47">
        <v>1.2500000000000001E-2</v>
      </c>
      <c r="AE34" s="47">
        <v>1.2500000000000001E-2</v>
      </c>
      <c r="AF34" s="47">
        <v>1.2500000000000001E-2</v>
      </c>
      <c r="AG34" s="47">
        <v>1.2500000000000001E-2</v>
      </c>
      <c r="AH34" s="47">
        <v>1.2500000000000001E-2</v>
      </c>
      <c r="AI34" s="47">
        <v>1.2500000000000001E-2</v>
      </c>
      <c r="AJ34" s="47">
        <v>1.2500000000000001E-2</v>
      </c>
      <c r="AK34" s="47">
        <v>1.2500000000000001E-2</v>
      </c>
      <c r="AL34" s="48">
        <v>1.2500000000000001E-2</v>
      </c>
      <c r="AM34" s="47">
        <v>1.35E-2</v>
      </c>
      <c r="AN34" s="47">
        <v>1.35E-2</v>
      </c>
      <c r="AO34" s="47">
        <v>1.35E-2</v>
      </c>
      <c r="AP34" s="47">
        <v>1.35E-2</v>
      </c>
      <c r="AQ34" s="47">
        <v>1.35E-2</v>
      </c>
      <c r="AR34" s="47">
        <v>1.35E-2</v>
      </c>
      <c r="AS34" s="47">
        <v>1.35E-2</v>
      </c>
      <c r="AT34" s="47">
        <v>1.35E-2</v>
      </c>
      <c r="AU34" s="47">
        <v>1.35E-2</v>
      </c>
      <c r="AV34" s="47">
        <v>1.35E-2</v>
      </c>
      <c r="AW34" s="48">
        <v>1.35E-2</v>
      </c>
      <c r="AX34" s="47">
        <v>1.4E-2</v>
      </c>
      <c r="AY34" s="44">
        <v>1.4E-2</v>
      </c>
      <c r="AZ34" s="47">
        <v>1.4E-2</v>
      </c>
      <c r="BA34" s="47">
        <v>1.4E-2</v>
      </c>
      <c r="BB34" s="47">
        <v>1.4E-2</v>
      </c>
      <c r="BC34" s="47">
        <v>1.4E-2</v>
      </c>
      <c r="BD34" s="47">
        <v>1.4E-2</v>
      </c>
      <c r="BE34" s="47">
        <v>1.4E-2</v>
      </c>
      <c r="BF34" s="47">
        <v>1.4E-2</v>
      </c>
      <c r="BG34" s="47">
        <v>1.4E-2</v>
      </c>
      <c r="BH34" s="47">
        <v>1.4E-2</v>
      </c>
      <c r="BI34" s="44">
        <v>1.4E-2</v>
      </c>
      <c r="BJ34" s="44">
        <v>1.4E-2</v>
      </c>
      <c r="BK34" s="44">
        <v>1.7999999999999999E-2</v>
      </c>
      <c r="BL34" s="44">
        <v>1.7999999999999999E-2</v>
      </c>
      <c r="BM34" s="44">
        <v>1.7999999999999999E-2</v>
      </c>
      <c r="BN34" s="44">
        <v>1.7999999999999999E-2</v>
      </c>
      <c r="BO34" s="44">
        <v>1.7999999999999999E-2</v>
      </c>
      <c r="BP34" s="44">
        <v>1.7999999999999999E-2</v>
      </c>
      <c r="BQ34" s="44">
        <v>1.7999999999999999E-2</v>
      </c>
      <c r="BR34" s="44">
        <v>1.7999999999999999E-2</v>
      </c>
      <c r="BS34" s="44">
        <v>2.0500000000000001E-2</v>
      </c>
      <c r="BT34" s="44">
        <v>2.0500000000000001E-2</v>
      </c>
      <c r="BU34" s="44">
        <v>2.0500000000000001E-2</v>
      </c>
      <c r="BV34" s="44">
        <v>2.0500000000000001E-2</v>
      </c>
      <c r="BW34" s="44">
        <v>2.5000000000000001E-2</v>
      </c>
      <c r="BX34" s="44">
        <v>2.5000000000000001E-2</v>
      </c>
      <c r="BY34" s="44">
        <v>2.5000000000000001E-2</v>
      </c>
      <c r="BZ34" s="44">
        <v>2.5000000000000001E-2</v>
      </c>
      <c r="CA34" s="44">
        <v>2.5000000000000001E-2</v>
      </c>
      <c r="CB34" s="44">
        <v>2.5000000000000001E-2</v>
      </c>
      <c r="CC34" s="44">
        <v>2.4E-2</v>
      </c>
      <c r="CD34" s="44">
        <v>2.8000000000000001E-2</v>
      </c>
      <c r="CE34" s="44">
        <v>2.8000000000000001E-2</v>
      </c>
      <c r="CF34" s="44">
        <v>1.55E-2</v>
      </c>
      <c r="CG34" s="44">
        <v>1.55E-2</v>
      </c>
      <c r="CH34" s="44">
        <v>1.55E-2</v>
      </c>
      <c r="CI34" s="44">
        <v>1.55E-2</v>
      </c>
      <c r="CJ34" s="44">
        <v>1.55E-2</v>
      </c>
      <c r="CK34" s="44">
        <v>1.55E-2</v>
      </c>
      <c r="CL34" s="44">
        <v>1.55E-2</v>
      </c>
      <c r="CM34" s="44">
        <v>1.55E-2</v>
      </c>
      <c r="CN34" s="44">
        <v>1.55E-2</v>
      </c>
      <c r="CO34" s="44">
        <v>1.55E-2</v>
      </c>
      <c r="CP34" s="44">
        <v>1.55E-2</v>
      </c>
      <c r="CQ34" s="44">
        <v>1.55E-2</v>
      </c>
      <c r="CR34" s="44">
        <v>1.7500000000000002E-2</v>
      </c>
      <c r="CS34" s="44">
        <v>1.7500000000000002E-2</v>
      </c>
      <c r="CT34" s="44">
        <v>1.4500000000000001E-2</v>
      </c>
      <c r="CU34" s="44">
        <v>2.1000000000000001E-2</v>
      </c>
      <c r="CV34" s="44">
        <v>2.1000000000000001E-2</v>
      </c>
      <c r="CW34" s="44">
        <v>2.1000000000000001E-2</v>
      </c>
      <c r="CX34" s="44">
        <v>2.1000000000000001E-2</v>
      </c>
      <c r="CY34" s="44">
        <v>2.1000000000000001E-2</v>
      </c>
      <c r="CZ34" s="44">
        <v>2.1000000000000001E-2</v>
      </c>
      <c r="DA34" s="44">
        <v>2.1000000000000001E-2</v>
      </c>
      <c r="DB34" s="44">
        <v>2.1000000000000001E-2</v>
      </c>
      <c r="DC34" s="44">
        <v>2.1000000000000001E-2</v>
      </c>
      <c r="DD34" s="44">
        <v>2.1000000000000001E-2</v>
      </c>
      <c r="DE34" s="44">
        <v>2.1000000000000001E-2</v>
      </c>
      <c r="DF34" s="44">
        <v>2.1000000000000001E-2</v>
      </c>
      <c r="DG34" s="44">
        <v>2.1000000000000001E-2</v>
      </c>
      <c r="DH34" s="44">
        <v>2.1000000000000001E-2</v>
      </c>
      <c r="DI34" s="44">
        <v>2.1000000000000001E-2</v>
      </c>
      <c r="DJ34" s="44">
        <v>2.1000000000000001E-2</v>
      </c>
      <c r="DK34" s="44">
        <v>2.1000000000000001E-2</v>
      </c>
      <c r="DL34" s="44">
        <v>2.1000000000000001E-2</v>
      </c>
      <c r="DM34" s="44">
        <v>2.1000000000000001E-2</v>
      </c>
      <c r="DN34" s="44">
        <v>2.1000000000000001E-2</v>
      </c>
      <c r="DO34" s="44">
        <v>2.1000000000000001E-2</v>
      </c>
      <c r="DP34" s="44">
        <v>2.1000000000000001E-2</v>
      </c>
      <c r="DQ34" s="44">
        <v>2.1000000000000001E-2</v>
      </c>
      <c r="DR34" s="44">
        <v>2.1000000000000001E-2</v>
      </c>
      <c r="DS34" s="44">
        <v>2.1499999999999998E-2</v>
      </c>
      <c r="DT34" s="44">
        <v>2.1499999999999998E-2</v>
      </c>
      <c r="DU34" s="44">
        <v>2.1499999999999998E-2</v>
      </c>
      <c r="DV34" s="44">
        <v>2.1499999999999998E-2</v>
      </c>
      <c r="DW34" s="44">
        <v>2.1499999999999998E-2</v>
      </c>
      <c r="DX34" s="44">
        <v>2.1499999999999998E-2</v>
      </c>
      <c r="DY34" s="44">
        <v>2.1499999999999998E-2</v>
      </c>
      <c r="DZ34" s="44">
        <v>2.1499999999999998E-2</v>
      </c>
      <c r="EA34" s="44">
        <v>2.1499999999999998E-2</v>
      </c>
      <c r="EB34" s="44">
        <v>2.1499999999999998E-2</v>
      </c>
      <c r="EC34" s="44">
        <v>2.1499999999999998E-2</v>
      </c>
      <c r="ED34" s="44">
        <v>2.1499999999999998E-2</v>
      </c>
      <c r="EE34" s="44">
        <v>2.1499999999999998E-2</v>
      </c>
      <c r="EF34" s="44">
        <v>2.1499999999999998E-2</v>
      </c>
      <c r="EG34" s="44">
        <v>2.1499999999999998E-2</v>
      </c>
      <c r="EH34" s="44">
        <v>2.1499999999999998E-2</v>
      </c>
      <c r="EI34" s="44">
        <v>2.1499999999999998E-2</v>
      </c>
      <c r="EJ34" s="44">
        <v>2.1499999999999998E-2</v>
      </c>
      <c r="EK34" s="44">
        <v>2.1499999999999998E-2</v>
      </c>
      <c r="EL34" s="44">
        <v>2.1499999999999998E-2</v>
      </c>
      <c r="EM34" s="44">
        <v>2.1499999999999998E-2</v>
      </c>
      <c r="EN34" s="44">
        <v>2.1499999999999998E-2</v>
      </c>
      <c r="EO34" s="44">
        <v>2.1499999999999998E-2</v>
      </c>
      <c r="EP34" s="44">
        <v>2.1499999999999998E-2</v>
      </c>
      <c r="EQ34" s="44">
        <v>2.1499999999999998E-2</v>
      </c>
      <c r="ER34" s="44">
        <v>2.1499999999999998E-2</v>
      </c>
      <c r="ES34" s="44">
        <v>2.1499999999999998E-2</v>
      </c>
      <c r="ET34" s="44">
        <v>2.1499999999999998E-2</v>
      </c>
      <c r="EU34" s="44">
        <v>2.1499999999999998E-2</v>
      </c>
      <c r="EV34" s="44">
        <v>2.1499999999999998E-2</v>
      </c>
      <c r="EW34" s="44">
        <v>2.1499999999999998E-2</v>
      </c>
      <c r="EX34" s="44">
        <v>2.1499999999999998E-2</v>
      </c>
      <c r="EY34" s="44">
        <v>2.1499999999999998E-2</v>
      </c>
      <c r="EZ34" s="44">
        <v>2.1499999999999998E-2</v>
      </c>
      <c r="FA34" s="44">
        <v>2.1499999999999998E-2</v>
      </c>
      <c r="FB34" s="44">
        <v>2.1499999999999998E-2</v>
      </c>
      <c r="FC34" s="44">
        <v>2.1499999999999998E-2</v>
      </c>
      <c r="FD34" s="44">
        <v>2.1499999999999998E-2</v>
      </c>
      <c r="FE34" s="44">
        <v>2.1499999999999998E-2</v>
      </c>
      <c r="FF34" s="44">
        <v>2.1499999999999998E-2</v>
      </c>
      <c r="FG34" s="44">
        <v>2.1499999999999998E-2</v>
      </c>
      <c r="FH34" s="44">
        <v>2.1499999999999998E-2</v>
      </c>
      <c r="FI34" s="44">
        <v>2.1499999999999998E-2</v>
      </c>
      <c r="FJ34" s="44">
        <v>2.1499999999999998E-2</v>
      </c>
      <c r="FK34" s="44">
        <v>2.1499999999999998E-2</v>
      </c>
      <c r="FL34" s="44">
        <v>2.1499999999999998E-2</v>
      </c>
      <c r="FM34" s="44">
        <v>2.1499999999999998E-2</v>
      </c>
      <c r="FN34" s="44">
        <v>2.1499999999999998E-2</v>
      </c>
      <c r="FO34" s="44">
        <v>2.1499999999999998E-2</v>
      </c>
      <c r="FP34" s="44">
        <v>2.1499999999999998E-2</v>
      </c>
      <c r="FQ34" s="44">
        <v>2.1499999999999998E-2</v>
      </c>
      <c r="FR34" s="44">
        <v>2.1000000000000001E-2</v>
      </c>
      <c r="FS34" s="44">
        <v>2.1000000000000001E-2</v>
      </c>
      <c r="FT34" s="44">
        <v>2.1000000000000001E-2</v>
      </c>
      <c r="FU34" s="44">
        <v>2.1000000000000001E-2</v>
      </c>
      <c r="FV34" s="44">
        <v>2.1000000000000001E-2</v>
      </c>
      <c r="FW34" s="44">
        <v>2.1000000000000001E-2</v>
      </c>
      <c r="FX34" s="44">
        <v>2.1000000000000001E-2</v>
      </c>
      <c r="FY34" s="44">
        <v>2.1000000000000001E-2</v>
      </c>
      <c r="FZ34" s="44">
        <v>2.1000000000000001E-2</v>
      </c>
      <c r="GA34" s="44">
        <v>2.1000000000000001E-2</v>
      </c>
      <c r="GB34" s="44">
        <v>2.1000000000000001E-2</v>
      </c>
      <c r="GC34" s="44">
        <v>2.1000000000000001E-2</v>
      </c>
      <c r="GD34" s="44">
        <v>2.1000000000000001E-2</v>
      </c>
      <c r="GE34" s="44">
        <v>2.1000000000000001E-2</v>
      </c>
      <c r="GF34" s="44">
        <v>2.1000000000000001E-2</v>
      </c>
      <c r="GG34" s="44">
        <v>2.1000000000000001E-2</v>
      </c>
      <c r="GH34" s="44">
        <v>2.1000000000000001E-2</v>
      </c>
      <c r="GI34" s="44">
        <v>2.1000000000000001E-2</v>
      </c>
      <c r="GJ34" s="44">
        <v>2.1000000000000001E-2</v>
      </c>
      <c r="GK34" s="44">
        <v>2.1000000000000001E-2</v>
      </c>
      <c r="GL34" s="44">
        <v>2.1000000000000001E-2</v>
      </c>
      <c r="GM34" s="44">
        <v>2.1000000000000001E-2</v>
      </c>
      <c r="GN34" s="44">
        <v>2.1000000000000001E-2</v>
      </c>
      <c r="GO34" s="44">
        <v>2.1000000000000001E-2</v>
      </c>
      <c r="GP34" s="44">
        <v>2.1000000000000001E-2</v>
      </c>
      <c r="GQ34" s="44">
        <v>2.1000000000000001E-2</v>
      </c>
      <c r="GR34" s="44">
        <v>2.1000000000000001E-2</v>
      </c>
      <c r="GS34" s="43">
        <v>2.1000000000000001E-2</v>
      </c>
      <c r="GT34" s="43">
        <v>2.3E-2</v>
      </c>
      <c r="GU34" s="43">
        <v>2.3E-2</v>
      </c>
      <c r="GV34" s="43">
        <v>2.3E-2</v>
      </c>
      <c r="GW34" s="42" t="s">
        <v>69</v>
      </c>
      <c r="GX34" s="42" t="s">
        <v>69</v>
      </c>
      <c r="GY34" s="42" t="s">
        <v>69</v>
      </c>
      <c r="GZ34" s="42" t="s">
        <v>69</v>
      </c>
      <c r="HA34" s="42" t="s">
        <v>68</v>
      </c>
      <c r="HB34" s="42" t="s">
        <v>68</v>
      </c>
      <c r="HC34" s="42" t="s">
        <v>68</v>
      </c>
      <c r="HD34" s="42" t="s">
        <v>68</v>
      </c>
      <c r="HE34" s="42" t="s">
        <v>68</v>
      </c>
      <c r="HF34" s="42" t="s">
        <v>68</v>
      </c>
      <c r="HG34" s="42" t="s">
        <v>68</v>
      </c>
      <c r="HH34" s="42" t="s">
        <v>68</v>
      </c>
      <c r="HI34" s="42" t="s">
        <v>68</v>
      </c>
      <c r="HJ34" s="42" t="s">
        <v>67</v>
      </c>
      <c r="HK34" s="42" t="s">
        <v>67</v>
      </c>
      <c r="HL34" s="41">
        <f t="shared" si="11"/>
        <v>-3.9999999999999983E-3</v>
      </c>
      <c r="HM34" s="77" t="s">
        <v>67</v>
      </c>
      <c r="HN34" s="77" t="s">
        <v>67</v>
      </c>
      <c r="HO34" s="77" t="s">
        <v>67</v>
      </c>
      <c r="HP34" s="56">
        <v>0</v>
      </c>
      <c r="HQ34" s="55"/>
      <c r="HR34" s="85">
        <v>1.9E-2</v>
      </c>
      <c r="HS34" s="57">
        <v>1.9E-2</v>
      </c>
      <c r="HT34" s="57">
        <v>1.9E-2</v>
      </c>
      <c r="HU34" s="57">
        <v>1.9E-2</v>
      </c>
      <c r="HV34" s="57">
        <v>1.9E-2</v>
      </c>
      <c r="HW34" s="57">
        <v>1.9E-2</v>
      </c>
      <c r="HX34" s="57">
        <v>1.9E-2</v>
      </c>
      <c r="HY34" s="57">
        <v>1.9E-2</v>
      </c>
      <c r="HZ34" s="57">
        <v>1.9E-2</v>
      </c>
      <c r="IA34" s="57">
        <v>1.9E-2</v>
      </c>
      <c r="IB34" s="57">
        <v>1.9E-2</v>
      </c>
      <c r="IC34" s="57">
        <v>1.9E-2</v>
      </c>
      <c r="ID34" s="80">
        <v>1.7999999999999999E-2</v>
      </c>
      <c r="IE34" s="57">
        <v>1.7999999999999999E-2</v>
      </c>
      <c r="IF34" s="57">
        <v>1.7999999999999999E-2</v>
      </c>
      <c r="IG34" s="57">
        <v>1.7999999999999999E-2</v>
      </c>
      <c r="IH34" s="57">
        <v>1.7999999999999999E-2</v>
      </c>
      <c r="II34" s="57">
        <v>1.7999999999999999E-2</v>
      </c>
      <c r="IJ34" s="57">
        <v>1.7999999999999999E-2</v>
      </c>
      <c r="IK34" s="57">
        <v>1.7999999999999999E-2</v>
      </c>
      <c r="IL34" s="57">
        <v>1.7999999999999999E-2</v>
      </c>
      <c r="IM34" s="57">
        <v>1.7999999999999999E-2</v>
      </c>
      <c r="IN34" s="57">
        <v>1.7999999999999999E-2</v>
      </c>
      <c r="IO34" s="84">
        <v>1.9E-2</v>
      </c>
      <c r="IP34" s="83">
        <v>1.9E-2</v>
      </c>
      <c r="IQ34" s="83">
        <v>1.9E-2</v>
      </c>
      <c r="IR34" s="83">
        <v>1.9E-2</v>
      </c>
      <c r="IS34" s="83">
        <v>1.9E-2</v>
      </c>
      <c r="IT34" s="83">
        <v>1.9E-2</v>
      </c>
      <c r="IU34" s="84">
        <v>0.02</v>
      </c>
      <c r="IV34" s="83">
        <v>0.02</v>
      </c>
      <c r="IW34" s="83">
        <v>0.02</v>
      </c>
      <c r="IX34" s="83">
        <v>0.02</v>
      </c>
      <c r="IY34" s="83">
        <v>0.02</v>
      </c>
      <c r="IZ34" s="83">
        <v>0.02</v>
      </c>
      <c r="JA34" s="83">
        <v>0.02</v>
      </c>
      <c r="JB34" s="83">
        <v>0.02</v>
      </c>
      <c r="JC34" s="83">
        <v>0.02</v>
      </c>
      <c r="JD34" s="83">
        <v>0.02</v>
      </c>
      <c r="JE34" s="83">
        <v>0.02</v>
      </c>
      <c r="JF34" s="83">
        <v>0.02</v>
      </c>
      <c r="JG34" s="83">
        <v>0.02</v>
      </c>
      <c r="JH34" s="83">
        <v>0.02</v>
      </c>
      <c r="JI34" s="83">
        <v>0.02</v>
      </c>
      <c r="JJ34" s="83">
        <v>0.02</v>
      </c>
      <c r="JK34" s="83">
        <v>0.02</v>
      </c>
      <c r="JL34" s="83">
        <v>0.02</v>
      </c>
      <c r="JM34" s="83">
        <v>0.02</v>
      </c>
      <c r="JN34" s="83">
        <v>0.02</v>
      </c>
      <c r="JO34" s="83">
        <v>0.02</v>
      </c>
      <c r="JP34" s="83">
        <v>0.02</v>
      </c>
      <c r="JQ34" s="80">
        <v>1.7000000000000001E-2</v>
      </c>
      <c r="JR34" s="57">
        <v>1.7000000000000001E-2</v>
      </c>
      <c r="JS34" s="57">
        <v>1.7000000000000001E-2</v>
      </c>
      <c r="JT34" s="57">
        <v>1.7000000000000001E-2</v>
      </c>
      <c r="JU34" s="57">
        <v>1.7000000000000001E-2</v>
      </c>
      <c r="JV34" s="57">
        <v>1.7000000000000001E-2</v>
      </c>
      <c r="JW34" s="57">
        <v>1.7000000000000001E-2</v>
      </c>
      <c r="JX34" s="57">
        <v>1.7000000000000001E-2</v>
      </c>
      <c r="JY34" s="57">
        <v>1.7000000000000001E-2</v>
      </c>
      <c r="JZ34" s="84">
        <v>0.02</v>
      </c>
      <c r="KA34" s="57">
        <v>0.02</v>
      </c>
      <c r="KB34" s="57">
        <v>0.02</v>
      </c>
      <c r="KC34" s="57">
        <v>0.02</v>
      </c>
      <c r="KD34" s="57">
        <v>0.02</v>
      </c>
      <c r="KE34" s="57">
        <v>0.02</v>
      </c>
      <c r="KF34" s="57">
        <v>0.02</v>
      </c>
      <c r="KG34" s="57">
        <v>0.02</v>
      </c>
      <c r="KH34" s="57">
        <v>0.02</v>
      </c>
      <c r="KI34" s="57">
        <v>0.02</v>
      </c>
      <c r="KJ34" s="57">
        <v>0.02</v>
      </c>
      <c r="KK34" s="57">
        <v>0.02</v>
      </c>
      <c r="KL34" s="57">
        <v>0.02</v>
      </c>
      <c r="KM34" s="57">
        <v>0.02</v>
      </c>
      <c r="KN34" s="57">
        <v>0.02</v>
      </c>
      <c r="KO34" s="57">
        <v>0.02</v>
      </c>
      <c r="KP34" s="57">
        <v>0.02</v>
      </c>
      <c r="KQ34" s="57">
        <v>0.02</v>
      </c>
      <c r="KR34" s="57">
        <v>0.02</v>
      </c>
      <c r="KS34" s="57">
        <v>0.02</v>
      </c>
      <c r="KT34" s="83">
        <v>0.02</v>
      </c>
      <c r="KU34" s="83">
        <v>0.02</v>
      </c>
      <c r="KV34" s="83">
        <v>0.02</v>
      </c>
      <c r="KW34" s="83">
        <v>0.02</v>
      </c>
      <c r="KX34" s="83">
        <v>0.02</v>
      </c>
      <c r="KY34" s="83">
        <v>0.02</v>
      </c>
      <c r="KZ34" s="83">
        <v>0.02</v>
      </c>
      <c r="LA34" s="83">
        <v>0.02</v>
      </c>
      <c r="LB34" s="83">
        <v>0.02</v>
      </c>
      <c r="LC34" s="83">
        <v>0.02</v>
      </c>
      <c r="LD34" s="83">
        <v>0.02</v>
      </c>
      <c r="LE34" s="83">
        <v>0.02</v>
      </c>
      <c r="LF34" s="83">
        <v>0.02</v>
      </c>
      <c r="LG34" s="83">
        <v>0.02</v>
      </c>
      <c r="LH34" s="83">
        <v>0.02</v>
      </c>
      <c r="LI34" s="83">
        <v>0.02</v>
      </c>
      <c r="LJ34" s="83">
        <v>0.02</v>
      </c>
      <c r="LK34" s="83">
        <v>0.02</v>
      </c>
      <c r="LL34" s="89">
        <v>0.02</v>
      </c>
      <c r="LM34" s="83">
        <v>0.02</v>
      </c>
      <c r="LN34" s="473">
        <f t="shared" si="12"/>
        <v>0</v>
      </c>
    </row>
    <row r="35" spans="1:326" ht="14.7" customHeight="1">
      <c r="A35" s="1164"/>
      <c r="B35" s="42"/>
      <c r="C35" s="42"/>
      <c r="D35" s="42"/>
      <c r="E35" s="42"/>
      <c r="F35" s="42"/>
      <c r="G35" s="42"/>
      <c r="H35" s="42"/>
      <c r="I35" s="42"/>
      <c r="J35" s="42"/>
      <c r="K35" s="42"/>
      <c r="L35" s="42"/>
      <c r="M35" s="42"/>
      <c r="N35" s="42"/>
      <c r="O35" s="42"/>
      <c r="P35" s="627" t="s">
        <v>66</v>
      </c>
      <c r="Q35" s="48">
        <v>1.35E-2</v>
      </c>
      <c r="R35" s="48">
        <v>1.35E-2</v>
      </c>
      <c r="S35" s="48">
        <v>1.35E-2</v>
      </c>
      <c r="T35" s="48">
        <v>1.35E-2</v>
      </c>
      <c r="U35" s="47">
        <v>1.35E-2</v>
      </c>
      <c r="V35" s="47">
        <v>1.35E-2</v>
      </c>
      <c r="W35" s="47">
        <v>1.35E-2</v>
      </c>
      <c r="X35" s="47">
        <v>1.35E-2</v>
      </c>
      <c r="Y35" s="47">
        <v>1.35E-2</v>
      </c>
      <c r="Z35" s="47">
        <v>1.35E-2</v>
      </c>
      <c r="AA35" s="47">
        <v>1.35E-2</v>
      </c>
      <c r="AB35" s="47">
        <v>1.35E-2</v>
      </c>
      <c r="AC35" s="47">
        <v>1.35E-2</v>
      </c>
      <c r="AD35" s="47">
        <v>1.35E-2</v>
      </c>
      <c r="AE35" s="47">
        <v>1.35E-2</v>
      </c>
      <c r="AF35" s="47">
        <v>1.35E-2</v>
      </c>
      <c r="AG35" s="47">
        <v>1.35E-2</v>
      </c>
      <c r="AH35" s="47">
        <v>1.35E-2</v>
      </c>
      <c r="AI35" s="47">
        <v>1.35E-2</v>
      </c>
      <c r="AJ35" s="47">
        <v>1.35E-2</v>
      </c>
      <c r="AK35" s="47">
        <v>1.35E-2</v>
      </c>
      <c r="AL35" s="48">
        <v>1.35E-2</v>
      </c>
      <c r="AM35" s="47">
        <v>1.4500000000000001E-2</v>
      </c>
      <c r="AN35" s="47">
        <v>1.4500000000000001E-2</v>
      </c>
      <c r="AO35" s="47">
        <v>1.4500000000000001E-2</v>
      </c>
      <c r="AP35" s="47">
        <v>1.4500000000000001E-2</v>
      </c>
      <c r="AQ35" s="47">
        <v>1.4500000000000001E-2</v>
      </c>
      <c r="AR35" s="47">
        <v>1.4500000000000001E-2</v>
      </c>
      <c r="AS35" s="47">
        <v>1.4500000000000001E-2</v>
      </c>
      <c r="AT35" s="47">
        <v>1.4500000000000001E-2</v>
      </c>
      <c r="AU35" s="47">
        <v>1.4500000000000001E-2</v>
      </c>
      <c r="AV35" s="47">
        <v>1.4500000000000001E-2</v>
      </c>
      <c r="AW35" s="48">
        <v>1.4500000000000001E-2</v>
      </c>
      <c r="AX35" s="47">
        <v>1.4999999999999999E-2</v>
      </c>
      <c r="AY35" s="44">
        <v>1.4999999999999999E-2</v>
      </c>
      <c r="AZ35" s="47">
        <v>1.4999999999999999E-2</v>
      </c>
      <c r="BA35" s="47">
        <v>1.4999999999999999E-2</v>
      </c>
      <c r="BB35" s="47">
        <v>1.4999999999999999E-2</v>
      </c>
      <c r="BC35" s="47">
        <v>1.4999999999999999E-2</v>
      </c>
      <c r="BD35" s="47">
        <v>1.4999999999999999E-2</v>
      </c>
      <c r="BE35" s="47">
        <v>1.4999999999999999E-2</v>
      </c>
      <c r="BF35" s="47">
        <v>1.4999999999999999E-2</v>
      </c>
      <c r="BG35" s="47">
        <v>1.4999999999999999E-2</v>
      </c>
      <c r="BH35" s="47">
        <v>1.4999999999999999E-2</v>
      </c>
      <c r="BI35" s="44">
        <v>1.4999999999999999E-2</v>
      </c>
      <c r="BJ35" s="44">
        <v>1.4999999999999999E-2</v>
      </c>
      <c r="BK35" s="44">
        <v>1.9E-2</v>
      </c>
      <c r="BL35" s="44">
        <v>1.9E-2</v>
      </c>
      <c r="BM35" s="44">
        <v>1.9E-2</v>
      </c>
      <c r="BN35" s="44">
        <v>1.9E-2</v>
      </c>
      <c r="BO35" s="44">
        <v>1.9E-2</v>
      </c>
      <c r="BP35" s="44">
        <v>1.9E-2</v>
      </c>
      <c r="BQ35" s="44">
        <v>1.9E-2</v>
      </c>
      <c r="BR35" s="44">
        <v>1.9E-2</v>
      </c>
      <c r="BS35" s="44">
        <v>2.1000000000000001E-2</v>
      </c>
      <c r="BT35" s="44">
        <v>2.1000000000000001E-2</v>
      </c>
      <c r="BU35" s="44">
        <v>2.1000000000000001E-2</v>
      </c>
      <c r="BV35" s="44">
        <v>2.1000000000000001E-2</v>
      </c>
      <c r="BW35" s="44">
        <v>2.5999999999999999E-2</v>
      </c>
      <c r="BX35" s="44">
        <v>2.5999999999999999E-2</v>
      </c>
      <c r="BY35" s="44">
        <v>2.5999999999999999E-2</v>
      </c>
      <c r="BZ35" s="44">
        <v>2.5999999999999999E-2</v>
      </c>
      <c r="CA35" s="44">
        <v>2.5999999999999999E-2</v>
      </c>
      <c r="CB35" s="44">
        <v>2.5999999999999999E-2</v>
      </c>
      <c r="CC35" s="44">
        <v>2.5000000000000001E-2</v>
      </c>
      <c r="CD35" s="44">
        <v>2.9000000000000001E-2</v>
      </c>
      <c r="CE35" s="44">
        <v>2.9000000000000001E-2</v>
      </c>
      <c r="CF35" s="44">
        <v>1.6E-2</v>
      </c>
      <c r="CG35" s="44">
        <v>1.6E-2</v>
      </c>
      <c r="CH35" s="44">
        <v>1.6E-2</v>
      </c>
      <c r="CI35" s="44">
        <v>1.6E-2</v>
      </c>
      <c r="CJ35" s="44">
        <v>1.6E-2</v>
      </c>
      <c r="CK35" s="44">
        <v>1.6E-2</v>
      </c>
      <c r="CL35" s="44">
        <v>1.6E-2</v>
      </c>
      <c r="CM35" s="44">
        <v>1.6E-2</v>
      </c>
      <c r="CN35" s="44">
        <v>1.6E-2</v>
      </c>
      <c r="CO35" s="44">
        <v>1.6E-2</v>
      </c>
      <c r="CP35" s="44">
        <v>1.6E-2</v>
      </c>
      <c r="CQ35" s="44">
        <v>1.6E-2</v>
      </c>
      <c r="CR35" s="44">
        <v>1.7999999999999999E-2</v>
      </c>
      <c r="CS35" s="44">
        <v>1.7999999999999999E-2</v>
      </c>
      <c r="CT35" s="44">
        <v>1.4999999999999999E-2</v>
      </c>
      <c r="CU35" s="44">
        <v>2.1499999999999998E-2</v>
      </c>
      <c r="CV35" s="44">
        <v>2.1499999999999998E-2</v>
      </c>
      <c r="CW35" s="44">
        <v>2.1499999999999998E-2</v>
      </c>
      <c r="CX35" s="44">
        <v>2.1499999999999998E-2</v>
      </c>
      <c r="CY35" s="44">
        <v>2.1499999999999998E-2</v>
      </c>
      <c r="CZ35" s="44">
        <v>2.1499999999999998E-2</v>
      </c>
      <c r="DA35" s="44">
        <v>2.1499999999999998E-2</v>
      </c>
      <c r="DB35" s="44">
        <v>2.1499999999999998E-2</v>
      </c>
      <c r="DC35" s="44">
        <v>2.1499999999999998E-2</v>
      </c>
      <c r="DD35" s="44">
        <v>2.1499999999999998E-2</v>
      </c>
      <c r="DE35" s="44">
        <v>2.1499999999999998E-2</v>
      </c>
      <c r="DF35" s="44">
        <v>2.1499999999999998E-2</v>
      </c>
      <c r="DG35" s="44">
        <v>2.1499999999999998E-2</v>
      </c>
      <c r="DH35" s="44">
        <v>2.1499999999999998E-2</v>
      </c>
      <c r="DI35" s="44">
        <v>2.1499999999999998E-2</v>
      </c>
      <c r="DJ35" s="44">
        <v>2.1499999999999998E-2</v>
      </c>
      <c r="DK35" s="44">
        <v>2.1499999999999998E-2</v>
      </c>
      <c r="DL35" s="44">
        <v>2.1499999999999998E-2</v>
      </c>
      <c r="DM35" s="44">
        <v>2.1499999999999998E-2</v>
      </c>
      <c r="DN35" s="44">
        <v>2.1499999999999998E-2</v>
      </c>
      <c r="DO35" s="44">
        <v>2.1499999999999998E-2</v>
      </c>
      <c r="DP35" s="44">
        <v>2.1499999999999998E-2</v>
      </c>
      <c r="DQ35" s="44">
        <v>2.1499999999999998E-2</v>
      </c>
      <c r="DR35" s="44">
        <v>2.1499999999999998E-2</v>
      </c>
      <c r="DS35" s="45">
        <v>2.1999999999999999E-2</v>
      </c>
      <c r="DT35" s="44">
        <v>2.1499999999999998E-2</v>
      </c>
      <c r="DU35" s="44"/>
      <c r="DV35" s="44"/>
      <c r="DW35" s="44"/>
      <c r="DX35" s="44"/>
      <c r="DY35" s="44"/>
      <c r="DZ35" s="44"/>
      <c r="EA35" s="44"/>
      <c r="EB35" s="44"/>
      <c r="EC35" s="44"/>
      <c r="ED35" s="44"/>
      <c r="EE35" s="44"/>
      <c r="EF35" s="44"/>
      <c r="EG35" s="44"/>
      <c r="EH35" s="44"/>
      <c r="EI35" s="44"/>
      <c r="EJ35" s="44"/>
      <c r="EK35" s="44"/>
      <c r="EL35" s="44"/>
      <c r="EM35" s="44"/>
      <c r="EN35" s="44"/>
      <c r="EO35" s="44"/>
      <c r="EP35" s="44"/>
      <c r="EQ35" s="44"/>
      <c r="ER35" s="44"/>
      <c r="ES35" s="44"/>
      <c r="ET35" s="44"/>
      <c r="EU35" s="44"/>
      <c r="EV35" s="44"/>
      <c r="EW35" s="44"/>
      <c r="EX35" s="44"/>
      <c r="EY35" s="44"/>
      <c r="EZ35" s="44"/>
      <c r="FA35" s="44"/>
      <c r="FB35" s="44"/>
      <c r="FC35" s="44"/>
      <c r="FD35" s="44"/>
      <c r="FE35" s="44"/>
      <c r="FF35" s="44"/>
      <c r="FG35" s="44"/>
      <c r="FH35" s="44"/>
      <c r="FI35" s="44"/>
      <c r="FJ35" s="44"/>
      <c r="FK35" s="44"/>
      <c r="FL35" s="44"/>
      <c r="FM35" s="44"/>
      <c r="FN35" s="44"/>
      <c r="FO35" s="44"/>
      <c r="FP35" s="44"/>
      <c r="FQ35" s="44"/>
      <c r="FR35" s="44"/>
      <c r="FS35" s="44"/>
      <c r="FT35" s="44"/>
      <c r="FU35" s="44"/>
      <c r="FV35" s="44"/>
      <c r="FW35" s="44"/>
      <c r="FX35" s="44"/>
      <c r="FY35" s="44"/>
      <c r="FZ35" s="44"/>
      <c r="GA35" s="44"/>
      <c r="GB35" s="44"/>
      <c r="GC35" s="44"/>
      <c r="GD35" s="44"/>
      <c r="GE35" s="44"/>
      <c r="GF35" s="44"/>
      <c r="GG35" s="44"/>
      <c r="GH35" s="44"/>
      <c r="GI35" s="44"/>
      <c r="GJ35" s="44"/>
      <c r="GK35" s="44"/>
      <c r="GL35" s="44"/>
      <c r="GM35" s="44"/>
      <c r="GN35" s="44"/>
      <c r="GO35" s="44"/>
      <c r="GP35" s="44"/>
      <c r="GQ35" s="44"/>
      <c r="GR35" s="44"/>
      <c r="GS35" s="43"/>
      <c r="GT35" s="43"/>
      <c r="GU35" s="43"/>
      <c r="GV35" s="43"/>
      <c r="GW35" s="42"/>
      <c r="GX35" s="42"/>
      <c r="GY35" s="42"/>
      <c r="GZ35" s="42"/>
      <c r="HA35" s="42"/>
      <c r="HB35" s="42"/>
      <c r="HC35" s="42"/>
      <c r="HD35" s="42"/>
      <c r="HE35" s="42"/>
      <c r="HF35" s="42"/>
      <c r="HG35" s="42"/>
      <c r="HH35" s="42"/>
      <c r="HI35" s="42"/>
      <c r="HJ35" s="42"/>
      <c r="HK35" s="42"/>
      <c r="HL35" s="41">
        <f t="shared" si="11"/>
        <v>-4.0000000000000001E-3</v>
      </c>
      <c r="HM35" s="19"/>
      <c r="HN35" s="19"/>
      <c r="HO35" s="19"/>
      <c r="HP35" s="20"/>
      <c r="HQ35" s="98"/>
      <c r="HR35" s="85"/>
      <c r="HS35" s="57"/>
      <c r="HT35" s="57"/>
      <c r="HU35" s="57"/>
      <c r="HV35" s="57"/>
      <c r="HW35" s="57"/>
      <c r="HX35" s="57"/>
      <c r="HY35" s="57"/>
      <c r="HZ35" s="57"/>
      <c r="IA35" s="57"/>
      <c r="IB35" s="57"/>
      <c r="IC35" s="57"/>
      <c r="ID35" s="80"/>
      <c r="IE35" s="57"/>
      <c r="IF35" s="57"/>
      <c r="IG35" s="57"/>
      <c r="IH35" s="57"/>
      <c r="II35" s="57"/>
      <c r="IJ35" s="57"/>
      <c r="IK35" s="57"/>
      <c r="IL35" s="57"/>
      <c r="IM35" s="57"/>
      <c r="IN35" s="57"/>
      <c r="IO35" s="84"/>
      <c r="IP35" s="83"/>
      <c r="IQ35" s="83"/>
      <c r="IR35" s="83"/>
      <c r="IS35" s="83"/>
      <c r="IT35" s="83"/>
      <c r="IU35" s="84"/>
      <c r="IV35" s="83"/>
      <c r="IW35" s="83"/>
      <c r="IX35" s="83"/>
      <c r="IY35" s="83"/>
      <c r="IZ35" s="83"/>
      <c r="JA35" s="83"/>
      <c r="JB35" s="83"/>
      <c r="JC35" s="83"/>
      <c r="JD35" s="83"/>
      <c r="JE35" s="83"/>
      <c r="JF35" s="83"/>
      <c r="JG35" s="83"/>
      <c r="JH35" s="83"/>
      <c r="JI35" s="83"/>
      <c r="JJ35" s="83"/>
      <c r="JK35" s="83"/>
      <c r="JL35" s="83"/>
      <c r="JM35" s="83"/>
      <c r="JN35" s="83"/>
      <c r="JO35" s="83"/>
      <c r="JP35" s="83"/>
      <c r="JQ35" s="80"/>
      <c r="JR35" s="57"/>
      <c r="JS35" s="57"/>
      <c r="JT35" s="57"/>
      <c r="JU35" s="57"/>
      <c r="JV35" s="57"/>
      <c r="JW35" s="57"/>
      <c r="JX35" s="57"/>
      <c r="JY35" s="57"/>
      <c r="JZ35" s="84"/>
      <c r="KA35" s="57"/>
      <c r="KB35" s="57"/>
      <c r="KC35" s="57"/>
      <c r="KD35" s="57"/>
      <c r="KE35" s="57"/>
      <c r="KF35" s="57"/>
      <c r="KG35" s="57"/>
      <c r="KH35" s="57"/>
      <c r="KI35" s="57"/>
      <c r="KJ35" s="57"/>
      <c r="KK35" s="57"/>
      <c r="KL35" s="57"/>
      <c r="KM35" s="57"/>
      <c r="KN35" s="57"/>
      <c r="KO35" s="57"/>
      <c r="KP35" s="57"/>
      <c r="KQ35" s="57"/>
      <c r="KR35" s="57"/>
      <c r="KS35" s="57"/>
      <c r="KT35" s="83"/>
      <c r="KU35" s="83"/>
      <c r="KV35" s="83"/>
      <c r="KW35" s="83"/>
      <c r="KX35" s="83"/>
      <c r="KY35" s="83"/>
      <c r="KZ35" s="83"/>
      <c r="LA35" s="83"/>
      <c r="LB35" s="83"/>
      <c r="LC35" s="83"/>
      <c r="LD35" s="83"/>
      <c r="LE35" s="83"/>
      <c r="LF35" s="83"/>
      <c r="LG35" s="83"/>
      <c r="LH35" s="83"/>
      <c r="LI35" s="83"/>
      <c r="LJ35" s="83"/>
      <c r="LK35" s="83"/>
      <c r="LL35" s="89"/>
      <c r="LM35" s="83"/>
      <c r="LN35" s="473">
        <f t="shared" si="12"/>
        <v>0</v>
      </c>
    </row>
    <row r="36" spans="1:326" ht="14.7" customHeight="1">
      <c r="A36" s="40" t="s">
        <v>12</v>
      </c>
      <c r="B36" s="27"/>
      <c r="C36" s="27"/>
      <c r="D36" s="27"/>
      <c r="E36" s="27"/>
      <c r="F36" s="27"/>
      <c r="G36" s="27"/>
      <c r="H36" s="27"/>
      <c r="I36" s="27"/>
      <c r="J36" s="27"/>
      <c r="K36" s="27"/>
      <c r="L36" s="27"/>
      <c r="M36" s="27"/>
      <c r="N36" s="27"/>
      <c r="O36" s="27"/>
      <c r="P36" s="38" t="s">
        <v>826</v>
      </c>
      <c r="Q36" s="38">
        <v>8.0000000000000002E-3</v>
      </c>
      <c r="R36" s="38">
        <v>8.0000000000000002E-3</v>
      </c>
      <c r="S36" s="38">
        <v>8.0000000000000002E-3</v>
      </c>
      <c r="T36" s="38">
        <v>8.0000000000000002E-3</v>
      </c>
      <c r="U36" s="38">
        <v>8.0000000000000002E-3</v>
      </c>
      <c r="V36" s="38">
        <v>8.0000000000000002E-3</v>
      </c>
      <c r="W36" s="38">
        <v>8.0000000000000002E-3</v>
      </c>
      <c r="X36" s="38">
        <v>8.0000000000000002E-3</v>
      </c>
      <c r="Y36" s="38">
        <v>8.0000000000000002E-3</v>
      </c>
      <c r="Z36" s="38">
        <v>8.0000000000000002E-3</v>
      </c>
      <c r="AA36" s="39">
        <v>8.0000000000000002E-3</v>
      </c>
      <c r="AB36" s="39">
        <v>1.0999999999999999E-2</v>
      </c>
      <c r="AC36" s="38">
        <v>8.0000000000000002E-3</v>
      </c>
      <c r="AD36" s="38">
        <v>8.0000000000000002E-3</v>
      </c>
      <c r="AE36" s="38">
        <v>8.0000000000000002E-3</v>
      </c>
      <c r="AF36" s="38">
        <v>8.0000000000000002E-3</v>
      </c>
      <c r="AG36" s="27">
        <v>8.0000000000000002E-3</v>
      </c>
      <c r="AH36" s="27">
        <v>8.0000000000000002E-3</v>
      </c>
      <c r="AI36" s="27">
        <v>8.0000000000000002E-3</v>
      </c>
      <c r="AJ36" s="38">
        <v>8.0000000000000002E-3</v>
      </c>
      <c r="AK36" s="38">
        <v>8.0000000000000002E-3</v>
      </c>
      <c r="AL36" s="38">
        <v>8.0000000000000002E-3</v>
      </c>
      <c r="AM36" s="38">
        <v>8.0000000000000002E-3</v>
      </c>
      <c r="AN36" s="38">
        <v>8.0000000000000002E-3</v>
      </c>
      <c r="AO36" s="38">
        <v>8.0000000000000002E-3</v>
      </c>
      <c r="AP36" s="38">
        <v>8.0000000000000002E-3</v>
      </c>
      <c r="AQ36" s="38">
        <v>8.0000000000000002E-3</v>
      </c>
      <c r="AR36" s="38">
        <v>8.0000000000000002E-3</v>
      </c>
      <c r="AS36" s="38">
        <v>8.0000000000000002E-3</v>
      </c>
      <c r="AT36" s="38">
        <v>8.0000000000000002E-3</v>
      </c>
      <c r="AU36" s="38">
        <v>8.0000000000000002E-3</v>
      </c>
      <c r="AV36" s="38">
        <v>8.0000000000000002E-3</v>
      </c>
      <c r="AW36" s="38">
        <v>8.0000000000000002E-3</v>
      </c>
      <c r="AX36" s="38">
        <v>8.0000000000000002E-3</v>
      </c>
      <c r="AY36" s="27">
        <v>8.0000000000000002E-3</v>
      </c>
      <c r="AZ36" s="38">
        <v>8.0000000000000002E-3</v>
      </c>
      <c r="BA36" s="38">
        <v>8.0000000000000002E-3</v>
      </c>
      <c r="BB36" s="38">
        <v>8.0000000000000002E-3</v>
      </c>
      <c r="BC36" s="27">
        <v>8.0000000000000002E-3</v>
      </c>
      <c r="BD36" s="39">
        <v>8.0000000000000002E-3</v>
      </c>
      <c r="BE36" s="38">
        <v>8.9999999999999993E-3</v>
      </c>
      <c r="BF36" s="38">
        <v>8.9999999999999993E-3</v>
      </c>
      <c r="BG36" s="38">
        <v>8.9999999999999993E-3</v>
      </c>
      <c r="BH36" s="38">
        <v>8.9999999999999993E-3</v>
      </c>
      <c r="BI36" s="27">
        <v>8.9999999999999993E-3</v>
      </c>
      <c r="BJ36" s="27"/>
      <c r="BK36" s="24"/>
      <c r="BL36" s="24"/>
      <c r="BM36" s="24"/>
      <c r="BN36" s="24"/>
      <c r="BO36" s="24"/>
      <c r="BP36" s="24"/>
      <c r="BQ36" s="24"/>
      <c r="BR36" s="24"/>
      <c r="BS36" s="24"/>
      <c r="BT36" s="24"/>
      <c r="BU36" s="24"/>
      <c r="BV36" s="24"/>
      <c r="BW36" s="24"/>
      <c r="BX36" s="24"/>
      <c r="BY36" s="24"/>
      <c r="BZ36" s="24"/>
      <c r="CA36" s="24"/>
      <c r="CB36" s="24"/>
      <c r="CC36" s="24"/>
      <c r="CD36" s="24"/>
      <c r="CE36" s="24"/>
      <c r="CF36" s="24"/>
      <c r="CG36" s="24"/>
      <c r="CH36" s="24"/>
      <c r="CI36" s="24"/>
      <c r="CJ36" s="24"/>
      <c r="CK36" s="24"/>
      <c r="CL36" s="24"/>
      <c r="CM36" s="24"/>
      <c r="CN36" s="24"/>
      <c r="CO36" s="24"/>
      <c r="CP36" s="24"/>
      <c r="CQ36" s="24"/>
      <c r="CR36" s="24"/>
      <c r="CS36" s="24"/>
      <c r="CT36" s="24"/>
      <c r="CU36" s="24"/>
      <c r="CV36" s="24"/>
      <c r="CW36" s="24"/>
      <c r="CX36" s="24"/>
      <c r="CY36" s="24"/>
      <c r="CZ36" s="24"/>
      <c r="DA36" s="24"/>
      <c r="DB36" s="24"/>
      <c r="DC36" s="24"/>
      <c r="DD36" s="24"/>
      <c r="DE36" s="24"/>
      <c r="DF36" s="24"/>
      <c r="DG36" s="24"/>
      <c r="DH36" s="24"/>
      <c r="DI36" s="24"/>
      <c r="DJ36" s="24"/>
      <c r="DK36" s="24"/>
      <c r="DL36" s="24"/>
      <c r="DM36" s="24"/>
      <c r="DN36" s="24"/>
      <c r="DO36" s="24"/>
      <c r="DP36" s="24"/>
      <c r="DQ36" s="25"/>
      <c r="DR36" s="25"/>
      <c r="DS36" s="25"/>
      <c r="DT36" s="24"/>
      <c r="DU36" s="24"/>
      <c r="DV36" s="24"/>
      <c r="DW36" s="24"/>
      <c r="DX36" s="24"/>
      <c r="DY36" s="24"/>
      <c r="DZ36" s="24"/>
      <c r="EA36" s="24"/>
      <c r="EB36" s="24"/>
      <c r="EC36" s="24"/>
      <c r="ED36" s="24"/>
      <c r="EE36" s="24"/>
      <c r="EF36" s="24"/>
      <c r="EG36" s="24"/>
      <c r="EH36" s="24"/>
      <c r="EI36" s="24"/>
      <c r="EJ36" s="24"/>
      <c r="EK36" s="24"/>
      <c r="EL36" s="24"/>
      <c r="EM36" s="24"/>
      <c r="EN36" s="24"/>
      <c r="EO36" s="24"/>
      <c r="EP36" s="24"/>
      <c r="EQ36" s="24"/>
      <c r="ER36" s="24"/>
      <c r="ES36" s="24"/>
      <c r="ET36" s="24"/>
      <c r="EU36" s="24"/>
      <c r="EV36" s="24"/>
      <c r="EW36" s="24"/>
      <c r="EX36" s="24"/>
      <c r="EY36" s="24"/>
      <c r="EZ36" s="24"/>
      <c r="FA36" s="24"/>
      <c r="FB36" s="24"/>
      <c r="FC36" s="24"/>
      <c r="FD36" s="24"/>
      <c r="FE36" s="24"/>
      <c r="FF36" s="24"/>
      <c r="FG36" s="24"/>
      <c r="FH36" s="24"/>
      <c r="FI36" s="24"/>
      <c r="FJ36" s="24"/>
      <c r="FK36" s="24"/>
      <c r="FL36" s="24"/>
      <c r="FM36" s="24"/>
      <c r="FN36" s="24"/>
      <c r="FO36" s="24"/>
      <c r="FP36" s="24"/>
      <c r="FQ36" s="24"/>
      <c r="FR36" s="24"/>
      <c r="FS36" s="24"/>
      <c r="FT36" s="24"/>
      <c r="FU36" s="24"/>
      <c r="FV36" s="24"/>
      <c r="FW36" s="24"/>
      <c r="FX36" s="24"/>
      <c r="FY36" s="24"/>
      <c r="FZ36" s="24"/>
      <c r="GA36" s="24"/>
      <c r="GB36" s="24"/>
      <c r="GC36" s="24"/>
      <c r="GD36" s="24"/>
      <c r="GE36" s="24"/>
      <c r="GF36" s="24"/>
      <c r="GG36" s="24"/>
      <c r="GH36" s="24"/>
      <c r="GI36" s="24"/>
      <c r="GJ36" s="24"/>
      <c r="GK36" s="24"/>
      <c r="GL36" s="24"/>
      <c r="GM36" s="24"/>
      <c r="GN36" s="24"/>
      <c r="GO36" s="24"/>
      <c r="GP36" s="24"/>
      <c r="GQ36" s="24"/>
      <c r="GR36" s="24"/>
      <c r="GS36" s="23"/>
      <c r="GT36" s="23"/>
      <c r="GU36" s="23"/>
      <c r="GV36" s="23"/>
      <c r="GW36" s="22"/>
      <c r="GX36" s="22"/>
      <c r="GY36" s="22"/>
      <c r="GZ36" s="22"/>
      <c r="HA36" s="22"/>
      <c r="HB36" s="22"/>
      <c r="HC36" s="22"/>
      <c r="HD36" s="22"/>
      <c r="HE36" s="22"/>
      <c r="HF36" s="22"/>
      <c r="HG36" s="22"/>
      <c r="HH36" s="22"/>
      <c r="HI36" s="22"/>
      <c r="HJ36" s="22"/>
      <c r="HK36" s="22"/>
      <c r="HL36" s="21"/>
      <c r="HM36" s="19"/>
      <c r="HN36" s="19"/>
      <c r="HO36" s="19"/>
      <c r="HP36" s="20"/>
      <c r="HQ36" s="19"/>
      <c r="HR36" s="16"/>
      <c r="HS36" s="16"/>
      <c r="HT36" s="18"/>
      <c r="HU36" s="16"/>
      <c r="HV36" s="16"/>
      <c r="HW36" s="16"/>
      <c r="HX36" s="15"/>
      <c r="HY36" s="15"/>
      <c r="HZ36" s="15"/>
      <c r="IA36" s="15"/>
      <c r="IB36" s="15"/>
      <c r="IC36" s="16"/>
      <c r="ID36" s="16"/>
      <c r="IE36" s="15"/>
      <c r="IF36" s="15"/>
      <c r="IG36" s="15"/>
      <c r="IH36" s="15"/>
      <c r="II36" s="15"/>
      <c r="IJ36" s="15"/>
      <c r="IK36" s="15"/>
      <c r="IL36" s="15"/>
      <c r="IM36" s="15"/>
      <c r="IN36" s="15"/>
      <c r="IO36" s="15"/>
      <c r="IP36" s="17"/>
      <c r="IQ36" s="15"/>
      <c r="IR36" s="15"/>
      <c r="IS36" s="15"/>
      <c r="IT36" s="15"/>
      <c r="IU36" s="15"/>
      <c r="IV36" s="15"/>
      <c r="IW36" s="15"/>
      <c r="IX36" s="15"/>
      <c r="IY36" s="15"/>
      <c r="IZ36" s="15"/>
      <c r="JA36" s="15"/>
      <c r="JB36" s="15"/>
      <c r="JC36" s="15"/>
      <c r="JD36" s="15"/>
      <c r="JE36" s="15"/>
      <c r="JF36" s="15"/>
      <c r="JG36" s="15"/>
      <c r="JH36" s="15"/>
      <c r="JI36" s="15"/>
      <c r="JJ36" s="15"/>
      <c r="JK36" s="15"/>
      <c r="JL36" s="15"/>
      <c r="JM36" s="15"/>
      <c r="JN36" s="16"/>
      <c r="JO36" s="16"/>
      <c r="JP36" s="16"/>
      <c r="JQ36" s="16"/>
      <c r="JR36" s="16"/>
      <c r="JS36" s="16"/>
      <c r="JT36" s="16"/>
      <c r="JU36" s="16"/>
      <c r="JV36" s="16"/>
      <c r="JW36" s="16"/>
      <c r="JX36" s="16"/>
      <c r="JY36" s="16"/>
      <c r="JZ36" s="16"/>
      <c r="KA36" s="16"/>
      <c r="KB36" s="16"/>
      <c r="KC36" s="16"/>
      <c r="KD36" s="16"/>
      <c r="KE36" s="16"/>
      <c r="KF36" s="16"/>
      <c r="KG36" s="16"/>
      <c r="KH36" s="16"/>
      <c r="KI36" s="16"/>
      <c r="KJ36" s="16"/>
      <c r="KK36" s="16"/>
      <c r="KL36" s="16"/>
      <c r="KM36" s="16"/>
      <c r="KN36" s="16"/>
      <c r="KO36" s="16"/>
      <c r="KP36" s="16"/>
      <c r="KQ36" s="16"/>
      <c r="KR36" s="16"/>
      <c r="KS36" s="16"/>
      <c r="KT36" s="15"/>
      <c r="KU36" s="15"/>
      <c r="KV36" s="15"/>
      <c r="KW36" s="15"/>
      <c r="KX36" s="15"/>
      <c r="KY36" s="15"/>
      <c r="KZ36" s="15"/>
      <c r="LA36" s="15"/>
      <c r="LB36" s="15"/>
      <c r="LC36" s="15"/>
      <c r="LD36" s="15"/>
      <c r="LE36" s="15"/>
      <c r="LF36" s="15"/>
      <c r="LG36" s="15"/>
      <c r="LH36" s="15"/>
      <c r="LI36" s="15"/>
      <c r="LJ36" s="15"/>
      <c r="LK36" s="15"/>
      <c r="LL36" s="15"/>
      <c r="LM36" s="15"/>
      <c r="LN36" s="473">
        <f t="shared" si="12"/>
        <v>0</v>
      </c>
    </row>
    <row r="37" spans="1:326" ht="14.7" customHeight="1">
      <c r="A37" s="696" t="s">
        <v>29</v>
      </c>
      <c r="B37" s="37"/>
      <c r="C37" s="37"/>
      <c r="D37" s="37"/>
      <c r="E37" s="37"/>
      <c r="F37" s="37"/>
      <c r="G37" s="37"/>
      <c r="H37" s="37"/>
      <c r="I37" s="37"/>
      <c r="J37" s="37"/>
      <c r="K37" s="37"/>
      <c r="L37" s="37"/>
      <c r="M37" s="37"/>
      <c r="N37" s="37"/>
      <c r="O37" s="37"/>
      <c r="P37" s="738" t="s">
        <v>827</v>
      </c>
      <c r="Q37" s="590">
        <v>5.6160000000000003E-3</v>
      </c>
      <c r="R37" s="590">
        <v>5.6160000000000003E-3</v>
      </c>
      <c r="S37" s="590">
        <v>4.5960000000000003E-3</v>
      </c>
      <c r="T37" s="590">
        <v>3.7720000000000002E-3</v>
      </c>
      <c r="U37" s="590">
        <v>4.1019999999999997E-3</v>
      </c>
      <c r="V37" s="590">
        <v>6.6E-3</v>
      </c>
      <c r="W37" s="590">
        <v>5.3E-3</v>
      </c>
      <c r="X37" s="590">
        <v>7.3590000000000001E-3</v>
      </c>
      <c r="Y37" s="590">
        <v>6.7799999999999996E-3</v>
      </c>
      <c r="Z37" s="590">
        <v>7.4910000000000003E-3</v>
      </c>
      <c r="AA37" s="590">
        <v>6.8430000000000001E-3</v>
      </c>
      <c r="AB37" s="590">
        <v>4.9959999999999996E-3</v>
      </c>
      <c r="AC37" s="590">
        <v>5.6680000000000003E-3</v>
      </c>
      <c r="AD37" s="590">
        <v>7.3660000000000002E-3</v>
      </c>
      <c r="AE37" s="590">
        <v>6.3200000000000001E-3</v>
      </c>
      <c r="AF37" s="590">
        <v>8.2740000000000001E-3</v>
      </c>
      <c r="AG37" s="590">
        <v>6.3470000000000002E-3</v>
      </c>
      <c r="AH37" s="590">
        <v>5.6119999999999998E-3</v>
      </c>
      <c r="AI37" s="590">
        <v>6.4799999999999996E-3</v>
      </c>
      <c r="AJ37" s="48">
        <v>6.0239999999999998E-3</v>
      </c>
      <c r="AK37" s="48">
        <v>6.894E-3</v>
      </c>
      <c r="AL37" s="48">
        <v>5.8069999999999997E-3</v>
      </c>
      <c r="AM37" s="48">
        <v>6.0089999999999996E-3</v>
      </c>
      <c r="AN37" s="48">
        <v>6.2300000000000003E-3</v>
      </c>
      <c r="AO37" s="48">
        <v>5.2480000000000001E-3</v>
      </c>
      <c r="AP37" s="48">
        <v>5.391E-3</v>
      </c>
      <c r="AQ37" s="48">
        <v>5.855E-3</v>
      </c>
      <c r="AR37" s="48">
        <v>5.6020000000000002E-3</v>
      </c>
      <c r="AS37" s="48">
        <v>5.5799999999999999E-3</v>
      </c>
      <c r="AT37" s="460">
        <v>6.0650000000000001E-3</v>
      </c>
      <c r="AU37" s="34">
        <v>5.117E-3</v>
      </c>
      <c r="AV37" s="34">
        <v>6.3410000000000003E-3</v>
      </c>
      <c r="AW37" s="34">
        <v>5.5180000000000003E-3</v>
      </c>
      <c r="AX37" s="34">
        <v>6.0850000000000001E-3</v>
      </c>
      <c r="AY37" s="34">
        <v>6.5630000000000003E-3</v>
      </c>
      <c r="AZ37" s="34">
        <v>5.8739999999999999E-3</v>
      </c>
      <c r="BA37" s="34">
        <v>6.4980000000000003E-3</v>
      </c>
      <c r="BB37" s="34">
        <v>6.5770000000000004E-3</v>
      </c>
      <c r="BC37" s="34">
        <v>5.5420000000000001E-3</v>
      </c>
      <c r="BD37" s="34">
        <v>5.1659999999999996E-3</v>
      </c>
      <c r="BE37" s="34">
        <v>4.8859999999999997E-3</v>
      </c>
      <c r="BF37" s="34">
        <v>4.5570000000000003E-3</v>
      </c>
      <c r="BG37" s="35">
        <v>3.6979999999999999E-3</v>
      </c>
      <c r="BH37" s="34">
        <v>3.6979999999999999E-3</v>
      </c>
      <c r="BI37" s="34"/>
      <c r="BJ37" s="26"/>
      <c r="BK37" s="24"/>
      <c r="BL37" s="24"/>
      <c r="BM37" s="24"/>
      <c r="BN37" s="24"/>
      <c r="BO37" s="24"/>
      <c r="BP37" s="24"/>
      <c r="BQ37" s="24"/>
      <c r="BR37" s="24"/>
      <c r="BS37" s="24"/>
      <c r="BT37" s="24"/>
      <c r="BU37" s="24"/>
      <c r="BV37" s="24"/>
      <c r="BW37" s="24"/>
      <c r="BX37" s="24"/>
      <c r="BY37" s="24"/>
      <c r="BZ37" s="24"/>
      <c r="CA37" s="24"/>
      <c r="CB37" s="24"/>
      <c r="CC37" s="24"/>
      <c r="CD37" s="24"/>
      <c r="CE37" s="24"/>
      <c r="CF37" s="24"/>
      <c r="CG37" s="24"/>
      <c r="CH37" s="24"/>
      <c r="CI37" s="24"/>
      <c r="CJ37" s="24"/>
      <c r="CK37" s="24"/>
      <c r="CL37" s="24"/>
      <c r="CM37" s="24"/>
      <c r="CN37" s="24"/>
      <c r="CO37" s="24"/>
      <c r="CP37" s="24"/>
      <c r="CQ37" s="24"/>
      <c r="CR37" s="24"/>
      <c r="CS37" s="24"/>
      <c r="CT37" s="24"/>
      <c r="CU37" s="24"/>
      <c r="CV37" s="24"/>
      <c r="CW37" s="24"/>
      <c r="CX37" s="24"/>
      <c r="CY37" s="24"/>
      <c r="CZ37" s="24"/>
      <c r="DA37" s="24"/>
      <c r="DB37" s="24"/>
      <c r="DC37" s="24"/>
      <c r="DD37" s="24"/>
      <c r="DE37" s="24"/>
      <c r="DF37" s="24"/>
      <c r="DG37" s="24"/>
      <c r="DH37" s="24"/>
      <c r="DI37" s="24"/>
      <c r="DJ37" s="24"/>
      <c r="DK37" s="24"/>
      <c r="DL37" s="24"/>
      <c r="DM37" s="24"/>
      <c r="DN37" s="24"/>
      <c r="DO37" s="24"/>
      <c r="DP37" s="24"/>
      <c r="DQ37" s="25"/>
      <c r="DR37" s="25"/>
      <c r="DS37" s="25"/>
      <c r="DT37" s="24"/>
      <c r="DU37" s="24"/>
      <c r="DV37" s="24"/>
      <c r="DW37" s="24"/>
      <c r="DX37" s="24"/>
      <c r="DY37" s="24"/>
      <c r="DZ37" s="24"/>
      <c r="EA37" s="24"/>
      <c r="EB37" s="24"/>
      <c r="EC37" s="24"/>
      <c r="ED37" s="24"/>
      <c r="EE37" s="24"/>
      <c r="EF37" s="24"/>
      <c r="EG37" s="24"/>
      <c r="EH37" s="24"/>
      <c r="EI37" s="24"/>
      <c r="EJ37" s="24"/>
      <c r="EK37" s="24"/>
      <c r="EL37" s="24"/>
      <c r="EM37" s="24"/>
      <c r="EN37" s="24"/>
      <c r="EO37" s="24"/>
      <c r="EP37" s="24"/>
      <c r="EQ37" s="24"/>
      <c r="ER37" s="24"/>
      <c r="ES37" s="24"/>
      <c r="ET37" s="24"/>
      <c r="EU37" s="24"/>
      <c r="EV37" s="24"/>
      <c r="EW37" s="24"/>
      <c r="EX37" s="24"/>
      <c r="EY37" s="24"/>
      <c r="EZ37" s="24"/>
      <c r="FA37" s="24"/>
      <c r="FB37" s="24"/>
      <c r="FC37" s="24"/>
      <c r="FD37" s="24"/>
      <c r="FE37" s="24"/>
      <c r="FF37" s="24"/>
      <c r="FG37" s="24"/>
      <c r="FH37" s="24"/>
      <c r="FI37" s="24"/>
      <c r="FJ37" s="24"/>
      <c r="FK37" s="24"/>
      <c r="FL37" s="24"/>
      <c r="FM37" s="24"/>
      <c r="FN37" s="24"/>
      <c r="FO37" s="24"/>
      <c r="FP37" s="24"/>
      <c r="FQ37" s="24"/>
      <c r="FR37" s="24"/>
      <c r="FS37" s="24"/>
      <c r="FT37" s="24"/>
      <c r="FU37" s="24"/>
      <c r="FV37" s="24"/>
      <c r="FW37" s="24"/>
      <c r="FX37" s="24"/>
      <c r="FY37" s="24"/>
      <c r="FZ37" s="24"/>
      <c r="GA37" s="24"/>
      <c r="GB37" s="24"/>
      <c r="GC37" s="24"/>
      <c r="GD37" s="24"/>
      <c r="GE37" s="24"/>
      <c r="GF37" s="24"/>
      <c r="GG37" s="24"/>
      <c r="GH37" s="24"/>
      <c r="GI37" s="24"/>
      <c r="GJ37" s="24"/>
      <c r="GK37" s="24"/>
      <c r="GL37" s="24"/>
      <c r="GM37" s="24"/>
      <c r="GN37" s="24"/>
      <c r="GO37" s="24"/>
      <c r="GP37" s="24"/>
      <c r="GQ37" s="24"/>
      <c r="GR37" s="24"/>
      <c r="GS37" s="23"/>
      <c r="GT37" s="23"/>
      <c r="GU37" s="23"/>
      <c r="GV37" s="23"/>
      <c r="GW37" s="22"/>
      <c r="GX37" s="22"/>
      <c r="GY37" s="22"/>
      <c r="GZ37" s="22"/>
      <c r="HA37" s="22"/>
      <c r="HB37" s="22"/>
      <c r="HC37" s="22"/>
      <c r="HD37" s="22"/>
      <c r="HE37" s="22"/>
      <c r="HF37" s="22"/>
      <c r="HG37" s="22"/>
      <c r="HH37" s="22"/>
      <c r="HI37" s="22"/>
      <c r="HJ37" s="22"/>
      <c r="HK37" s="22"/>
      <c r="HL37" s="21"/>
      <c r="HM37" s="19"/>
      <c r="HN37" s="19"/>
      <c r="HO37" s="19"/>
      <c r="HP37" s="20"/>
      <c r="HQ37" s="19"/>
      <c r="HR37" s="16"/>
      <c r="HS37" s="16"/>
      <c r="HT37" s="18"/>
      <c r="HU37" s="16"/>
      <c r="HV37" s="16"/>
      <c r="HW37" s="16"/>
      <c r="HX37" s="15"/>
      <c r="HY37" s="15"/>
      <c r="HZ37" s="15"/>
      <c r="IA37" s="15"/>
      <c r="IB37" s="15"/>
      <c r="IC37" s="16"/>
      <c r="ID37" s="16"/>
      <c r="IE37" s="15"/>
      <c r="IF37" s="15"/>
      <c r="IG37" s="15"/>
      <c r="IH37" s="15"/>
      <c r="II37" s="15"/>
      <c r="IJ37" s="15"/>
      <c r="IK37" s="15"/>
      <c r="IL37" s="15"/>
      <c r="IM37" s="15"/>
      <c r="IN37" s="15"/>
      <c r="IO37" s="15"/>
      <c r="IP37" s="17"/>
      <c r="IQ37" s="15"/>
      <c r="IR37" s="15"/>
      <c r="IS37" s="15"/>
      <c r="IT37" s="15"/>
      <c r="IU37" s="15"/>
      <c r="IV37" s="15"/>
      <c r="IW37" s="15"/>
      <c r="IX37" s="15"/>
      <c r="IY37" s="15"/>
      <c r="IZ37" s="15"/>
      <c r="JA37" s="15"/>
      <c r="JB37" s="15"/>
      <c r="JC37" s="15"/>
      <c r="JD37" s="15"/>
      <c r="JE37" s="15"/>
      <c r="JF37" s="15"/>
      <c r="JG37" s="15"/>
      <c r="JH37" s="15"/>
      <c r="JI37" s="15"/>
      <c r="JJ37" s="15"/>
      <c r="JK37" s="15"/>
      <c r="JL37" s="15"/>
      <c r="JM37" s="15"/>
      <c r="JN37" s="16"/>
      <c r="JO37" s="16"/>
      <c r="JP37" s="16"/>
      <c r="JQ37" s="16"/>
      <c r="JR37" s="16"/>
      <c r="JS37" s="16"/>
      <c r="JT37" s="16"/>
      <c r="JU37" s="16"/>
      <c r="JV37" s="16"/>
      <c r="JW37" s="16"/>
      <c r="JX37" s="16"/>
      <c r="JY37" s="16"/>
      <c r="JZ37" s="16"/>
      <c r="KA37" s="16"/>
      <c r="KB37" s="16"/>
      <c r="KC37" s="16"/>
      <c r="KD37" s="16"/>
      <c r="KE37" s="16"/>
      <c r="KF37" s="16"/>
      <c r="KG37" s="16"/>
      <c r="KH37" s="16"/>
      <c r="KI37" s="16"/>
      <c r="KJ37" s="16"/>
      <c r="KK37" s="16"/>
      <c r="KL37" s="16"/>
      <c r="KM37" s="16"/>
      <c r="KN37" s="16"/>
      <c r="KO37" s="16"/>
      <c r="KP37" s="16"/>
      <c r="KQ37" s="16"/>
      <c r="KR37" s="16"/>
      <c r="KS37" s="16"/>
      <c r="KT37" s="15"/>
      <c r="KU37" s="15"/>
      <c r="KV37" s="15"/>
      <c r="KW37" s="15"/>
      <c r="KX37" s="15"/>
      <c r="KY37" s="15"/>
      <c r="KZ37" s="15"/>
      <c r="LA37" s="15"/>
      <c r="LB37" s="15"/>
      <c r="LC37" s="15"/>
      <c r="LD37" s="15"/>
      <c r="LE37" s="15"/>
      <c r="LF37" s="15"/>
      <c r="LG37" s="15"/>
      <c r="LH37" s="15"/>
      <c r="LI37" s="15"/>
      <c r="LJ37" s="15"/>
      <c r="LK37" s="15"/>
      <c r="LL37" s="15"/>
      <c r="LM37" s="15"/>
      <c r="LN37" s="473">
        <f t="shared" si="12"/>
        <v>0</v>
      </c>
    </row>
    <row r="38" spans="1:326" ht="14.7" customHeight="1">
      <c r="A38" s="1159" t="s">
        <v>50</v>
      </c>
      <c r="B38" s="32" t="s">
        <v>63</v>
      </c>
      <c r="C38" s="32"/>
      <c r="D38" s="32"/>
      <c r="E38" s="32"/>
      <c r="F38" s="32"/>
      <c r="G38" s="32"/>
      <c r="H38" s="32"/>
      <c r="I38" s="32"/>
      <c r="J38" s="32"/>
      <c r="K38" s="32"/>
      <c r="L38" s="32"/>
      <c r="M38" s="32"/>
      <c r="N38" s="33"/>
      <c r="O38" s="32"/>
      <c r="P38" s="29" t="s">
        <v>62</v>
      </c>
      <c r="Q38" s="29">
        <v>0.01</v>
      </c>
      <c r="R38" s="29">
        <v>0.01</v>
      </c>
      <c r="S38" s="29">
        <v>0.01</v>
      </c>
      <c r="T38" s="29">
        <v>0.01</v>
      </c>
      <c r="U38" s="29">
        <v>0.01</v>
      </c>
      <c r="V38" s="29">
        <v>0.01</v>
      </c>
      <c r="W38" s="29">
        <v>0.01</v>
      </c>
      <c r="X38" s="29">
        <v>0.01</v>
      </c>
      <c r="Y38" s="29">
        <v>0.01</v>
      </c>
      <c r="Z38" s="29">
        <v>0.01</v>
      </c>
      <c r="AA38" s="29">
        <v>0.01</v>
      </c>
      <c r="AB38" s="29">
        <v>0.01</v>
      </c>
      <c r="AC38" s="29">
        <v>0.01</v>
      </c>
      <c r="AD38" s="29">
        <v>0.01</v>
      </c>
      <c r="AE38" s="29">
        <v>0.01</v>
      </c>
      <c r="AF38" s="29">
        <v>0.01</v>
      </c>
      <c r="AG38" s="29">
        <v>0.01</v>
      </c>
      <c r="AH38" s="29">
        <v>0.01</v>
      </c>
      <c r="AI38" s="29">
        <v>0.01</v>
      </c>
      <c r="AJ38" s="29">
        <v>0.01</v>
      </c>
      <c r="AK38" s="29">
        <v>0.01</v>
      </c>
      <c r="AL38" s="29">
        <v>0.01</v>
      </c>
      <c r="AM38" s="29">
        <v>0.01</v>
      </c>
      <c r="AN38" s="29">
        <v>0.01</v>
      </c>
      <c r="AO38" s="29">
        <v>0.01</v>
      </c>
      <c r="AP38" s="29">
        <v>0.01</v>
      </c>
      <c r="AQ38" s="29">
        <v>0.01</v>
      </c>
      <c r="AR38" s="29">
        <v>0.01</v>
      </c>
      <c r="AS38" s="29">
        <v>0.01</v>
      </c>
      <c r="AT38" s="29">
        <v>0.01</v>
      </c>
      <c r="AU38" s="29">
        <v>0.01</v>
      </c>
      <c r="AV38" s="29">
        <v>0.01</v>
      </c>
      <c r="AW38" s="29">
        <v>0.01</v>
      </c>
      <c r="AX38" s="29">
        <v>0.01</v>
      </c>
      <c r="AY38" s="30">
        <v>0.01</v>
      </c>
      <c r="AZ38" s="29">
        <v>0.01</v>
      </c>
      <c r="BA38" s="29">
        <v>0.01</v>
      </c>
      <c r="BB38" s="29">
        <v>0.01</v>
      </c>
      <c r="BC38" s="29">
        <v>0.01</v>
      </c>
      <c r="BD38" s="29">
        <v>0.01</v>
      </c>
      <c r="BE38" s="29">
        <v>0.01</v>
      </c>
      <c r="BF38" s="29">
        <v>0.01</v>
      </c>
      <c r="BG38" s="29">
        <v>0.01</v>
      </c>
      <c r="BH38" s="28">
        <v>0.01</v>
      </c>
      <c r="BI38" s="27"/>
      <c r="BJ38" s="26"/>
      <c r="BK38" s="24"/>
      <c r="BL38" s="24"/>
      <c r="BM38" s="24"/>
      <c r="BN38" s="24"/>
      <c r="BO38" s="24"/>
      <c r="BP38" s="24"/>
      <c r="BQ38" s="24"/>
      <c r="BR38" s="24"/>
      <c r="BS38" s="24"/>
      <c r="BT38" s="24"/>
      <c r="BU38" s="24"/>
      <c r="BV38" s="24"/>
      <c r="BW38" s="24"/>
      <c r="BX38" s="24"/>
      <c r="BY38" s="24"/>
      <c r="BZ38" s="24"/>
      <c r="CA38" s="24"/>
      <c r="CB38" s="24"/>
      <c r="CC38" s="24"/>
      <c r="CD38" s="24"/>
      <c r="CE38" s="24"/>
      <c r="CF38" s="24"/>
      <c r="CG38" s="24"/>
      <c r="CH38" s="24"/>
      <c r="CI38" s="24"/>
      <c r="CJ38" s="24"/>
      <c r="CK38" s="24"/>
      <c r="CL38" s="24"/>
      <c r="CM38" s="24"/>
      <c r="CN38" s="24"/>
      <c r="CO38" s="24"/>
      <c r="CP38" s="24"/>
      <c r="CQ38" s="24"/>
      <c r="CR38" s="24"/>
      <c r="CS38" s="24"/>
      <c r="CT38" s="24"/>
      <c r="CU38" s="24"/>
      <c r="CV38" s="24"/>
      <c r="CW38" s="24"/>
      <c r="CX38" s="24"/>
      <c r="CY38" s="24"/>
      <c r="CZ38" s="24"/>
      <c r="DA38" s="24"/>
      <c r="DB38" s="24"/>
      <c r="DC38" s="24"/>
      <c r="DD38" s="24"/>
      <c r="DE38" s="24"/>
      <c r="DF38" s="24"/>
      <c r="DG38" s="24"/>
      <c r="DH38" s="24"/>
      <c r="DI38" s="24"/>
      <c r="DJ38" s="24"/>
      <c r="DK38" s="24"/>
      <c r="DL38" s="24"/>
      <c r="DM38" s="24"/>
      <c r="DN38" s="24"/>
      <c r="DO38" s="24"/>
      <c r="DP38" s="24"/>
      <c r="DQ38" s="25"/>
      <c r="DR38" s="25"/>
      <c r="DS38" s="25"/>
      <c r="DT38" s="24"/>
      <c r="DU38" s="24"/>
      <c r="DV38" s="24"/>
      <c r="DW38" s="24"/>
      <c r="DX38" s="24"/>
      <c r="DY38" s="24"/>
      <c r="DZ38" s="24"/>
      <c r="EA38" s="24"/>
      <c r="EB38" s="24"/>
      <c r="EC38" s="24"/>
      <c r="ED38" s="24"/>
      <c r="EE38" s="24"/>
      <c r="EF38" s="24"/>
      <c r="EG38" s="24"/>
      <c r="EH38" s="24"/>
      <c r="EI38" s="24"/>
      <c r="EJ38" s="24"/>
      <c r="EK38" s="24"/>
      <c r="EL38" s="24"/>
      <c r="EM38" s="24"/>
      <c r="EN38" s="24"/>
      <c r="EO38" s="24"/>
      <c r="EP38" s="24"/>
      <c r="EQ38" s="24"/>
      <c r="ER38" s="24"/>
      <c r="ES38" s="24"/>
      <c r="ET38" s="24"/>
      <c r="EU38" s="24"/>
      <c r="EV38" s="24"/>
      <c r="EW38" s="24"/>
      <c r="EX38" s="24"/>
      <c r="EY38" s="24"/>
      <c r="EZ38" s="24"/>
      <c r="FA38" s="24"/>
      <c r="FB38" s="24"/>
      <c r="FC38" s="24"/>
      <c r="FD38" s="24"/>
      <c r="FE38" s="24"/>
      <c r="FF38" s="24"/>
      <c r="FG38" s="24"/>
      <c r="FH38" s="24"/>
      <c r="FI38" s="24"/>
      <c r="FJ38" s="24"/>
      <c r="FK38" s="24"/>
      <c r="FL38" s="24"/>
      <c r="FM38" s="24"/>
      <c r="FN38" s="24"/>
      <c r="FO38" s="24"/>
      <c r="FP38" s="24"/>
      <c r="FQ38" s="24"/>
      <c r="FR38" s="24"/>
      <c r="FS38" s="24"/>
      <c r="FT38" s="24"/>
      <c r="FU38" s="24"/>
      <c r="FV38" s="24"/>
      <c r="FW38" s="24"/>
      <c r="FX38" s="24"/>
      <c r="FY38" s="24"/>
      <c r="FZ38" s="24"/>
      <c r="GA38" s="24"/>
      <c r="GB38" s="24"/>
      <c r="GC38" s="24"/>
      <c r="GD38" s="24"/>
      <c r="GE38" s="24"/>
      <c r="GF38" s="24"/>
      <c r="GG38" s="24"/>
      <c r="GH38" s="24"/>
      <c r="GI38" s="24"/>
      <c r="GJ38" s="24"/>
      <c r="GK38" s="24"/>
      <c r="GL38" s="24"/>
      <c r="GM38" s="24"/>
      <c r="GN38" s="24"/>
      <c r="GO38" s="24"/>
      <c r="GP38" s="24"/>
      <c r="GQ38" s="24"/>
      <c r="GR38" s="24"/>
      <c r="GS38" s="23"/>
      <c r="GT38" s="23"/>
      <c r="GU38" s="23"/>
      <c r="GV38" s="23"/>
      <c r="GW38" s="22"/>
      <c r="GX38" s="22"/>
      <c r="GY38" s="22"/>
      <c r="GZ38" s="22"/>
      <c r="HA38" s="22"/>
      <c r="HB38" s="22"/>
      <c r="HC38" s="22"/>
      <c r="HD38" s="22"/>
      <c r="HE38" s="22"/>
      <c r="HF38" s="22"/>
      <c r="HG38" s="22"/>
      <c r="HH38" s="22"/>
      <c r="HI38" s="22"/>
      <c r="HJ38" s="22"/>
      <c r="HK38" s="22"/>
      <c r="HL38" s="21"/>
      <c r="HM38" s="19"/>
      <c r="HN38" s="19"/>
      <c r="HO38" s="19"/>
      <c r="HP38" s="20"/>
      <c r="HQ38" s="19"/>
      <c r="HR38" s="16"/>
      <c r="HS38" s="16"/>
      <c r="HT38" s="18"/>
      <c r="HU38" s="16"/>
      <c r="HV38" s="16"/>
      <c r="HW38" s="16"/>
      <c r="HX38" s="15"/>
      <c r="HY38" s="15"/>
      <c r="HZ38" s="15"/>
      <c r="IA38" s="15"/>
      <c r="IB38" s="15"/>
      <c r="IC38" s="16"/>
      <c r="ID38" s="16"/>
      <c r="IE38" s="15"/>
      <c r="IF38" s="15"/>
      <c r="IG38" s="15"/>
      <c r="IH38" s="15"/>
      <c r="II38" s="15"/>
      <c r="IJ38" s="15"/>
      <c r="IK38" s="15"/>
      <c r="IL38" s="15"/>
      <c r="IM38" s="15"/>
      <c r="IN38" s="15"/>
      <c r="IO38" s="15"/>
      <c r="IP38" s="17"/>
      <c r="IQ38" s="15"/>
      <c r="IR38" s="15"/>
      <c r="IS38" s="15"/>
      <c r="IT38" s="15"/>
      <c r="IU38" s="15"/>
      <c r="IV38" s="15"/>
      <c r="IW38" s="15"/>
      <c r="IX38" s="15"/>
      <c r="IY38" s="15"/>
      <c r="IZ38" s="15"/>
      <c r="JA38" s="15"/>
      <c r="JB38" s="15"/>
      <c r="JC38" s="15"/>
      <c r="JD38" s="15"/>
      <c r="JE38" s="15"/>
      <c r="JF38" s="15"/>
      <c r="JG38" s="15"/>
      <c r="JH38" s="15"/>
      <c r="JI38" s="15"/>
      <c r="JJ38" s="15"/>
      <c r="JK38" s="15"/>
      <c r="JL38" s="15"/>
      <c r="JM38" s="15"/>
      <c r="JN38" s="16"/>
      <c r="JO38" s="16"/>
      <c r="JP38" s="16"/>
      <c r="JQ38" s="16"/>
      <c r="JR38" s="16"/>
      <c r="JS38" s="16"/>
      <c r="JT38" s="16"/>
      <c r="JU38" s="16"/>
      <c r="JV38" s="16"/>
      <c r="JW38" s="16"/>
      <c r="JX38" s="16"/>
      <c r="JY38" s="16"/>
      <c r="JZ38" s="16"/>
      <c r="KA38" s="16"/>
      <c r="KB38" s="16"/>
      <c r="KC38" s="16"/>
      <c r="KD38" s="16"/>
      <c r="KE38" s="16"/>
      <c r="KF38" s="16"/>
      <c r="KG38" s="16"/>
      <c r="KH38" s="16"/>
      <c r="KI38" s="16"/>
      <c r="KJ38" s="16"/>
      <c r="KK38" s="16"/>
      <c r="KL38" s="16"/>
      <c r="KM38" s="16"/>
      <c r="KN38" s="16"/>
      <c r="KO38" s="16"/>
      <c r="KP38" s="16"/>
      <c r="KQ38" s="16"/>
      <c r="KR38" s="16"/>
      <c r="KS38" s="16"/>
      <c r="KT38" s="15"/>
      <c r="KU38" s="15"/>
      <c r="KV38" s="15"/>
      <c r="KW38" s="15"/>
      <c r="KX38" s="15"/>
      <c r="KY38" s="15"/>
      <c r="KZ38" s="15"/>
      <c r="LA38" s="15"/>
      <c r="LB38" s="15"/>
      <c r="LC38" s="15"/>
      <c r="LD38" s="15"/>
      <c r="LE38" s="15"/>
      <c r="LF38" s="15"/>
      <c r="LG38" s="15"/>
      <c r="LH38" s="15"/>
      <c r="LI38" s="15"/>
      <c r="LJ38" s="15"/>
      <c r="LK38" s="15"/>
      <c r="LL38" s="15"/>
      <c r="LM38" s="15"/>
      <c r="LN38" s="473">
        <f t="shared" si="12"/>
        <v>0</v>
      </c>
    </row>
    <row r="39" spans="1:326" ht="14.7" customHeight="1">
      <c r="A39" s="1160"/>
      <c r="B39" s="32"/>
      <c r="C39" s="32"/>
      <c r="D39" s="32"/>
      <c r="E39" s="32"/>
      <c r="F39" s="32"/>
      <c r="G39" s="32"/>
      <c r="H39" s="32"/>
      <c r="I39" s="32"/>
      <c r="J39" s="32"/>
      <c r="K39" s="32"/>
      <c r="L39" s="32"/>
      <c r="M39" s="32"/>
      <c r="N39" s="33"/>
      <c r="O39" s="32"/>
      <c r="P39" s="29" t="s">
        <v>61</v>
      </c>
      <c r="Q39" s="29">
        <v>0.01</v>
      </c>
      <c r="R39" s="29">
        <v>0.01</v>
      </c>
      <c r="S39" s="29">
        <v>0.01</v>
      </c>
      <c r="T39" s="29">
        <v>0.01</v>
      </c>
      <c r="U39" s="29">
        <v>0.01</v>
      </c>
      <c r="V39" s="29">
        <v>0.01</v>
      </c>
      <c r="W39" s="29">
        <v>0.01</v>
      </c>
      <c r="X39" s="29">
        <v>0.01</v>
      </c>
      <c r="Y39" s="29">
        <v>0.01</v>
      </c>
      <c r="Z39" s="29">
        <v>0.01</v>
      </c>
      <c r="AA39" s="29">
        <v>0.01</v>
      </c>
      <c r="AB39" s="29">
        <v>0.01</v>
      </c>
      <c r="AC39" s="29">
        <v>0.01</v>
      </c>
      <c r="AD39" s="29">
        <v>0.01</v>
      </c>
      <c r="AE39" s="29">
        <v>0.01</v>
      </c>
      <c r="AF39" s="29">
        <v>0.01</v>
      </c>
      <c r="AG39" s="29">
        <v>0.01</v>
      </c>
      <c r="AH39" s="29">
        <v>0.01</v>
      </c>
      <c r="AI39" s="29">
        <v>0.01</v>
      </c>
      <c r="AJ39" s="29">
        <v>0.01</v>
      </c>
      <c r="AK39" s="29">
        <v>0.01</v>
      </c>
      <c r="AL39" s="29">
        <v>0.01</v>
      </c>
      <c r="AM39" s="29">
        <v>0.01</v>
      </c>
      <c r="AN39" s="29">
        <v>0.01</v>
      </c>
      <c r="AO39" s="29">
        <v>0.01</v>
      </c>
      <c r="AP39" s="29">
        <v>0.01</v>
      </c>
      <c r="AQ39" s="29">
        <v>0.01</v>
      </c>
      <c r="AR39" s="29">
        <v>0.01</v>
      </c>
      <c r="AS39" s="29">
        <v>0.01</v>
      </c>
      <c r="AT39" s="29">
        <v>0.01</v>
      </c>
      <c r="AU39" s="29">
        <v>0.01</v>
      </c>
      <c r="AV39" s="29">
        <v>0.01</v>
      </c>
      <c r="AW39" s="29">
        <v>0.01</v>
      </c>
      <c r="AX39" s="29">
        <v>0.01</v>
      </c>
      <c r="AY39" s="30">
        <v>0.01</v>
      </c>
      <c r="AZ39" s="29">
        <v>0.01</v>
      </c>
      <c r="BA39" s="29">
        <v>0.01</v>
      </c>
      <c r="BB39" s="29">
        <v>0.01</v>
      </c>
      <c r="BC39" s="29">
        <v>0.01</v>
      </c>
      <c r="BD39" s="29">
        <v>0.01</v>
      </c>
      <c r="BE39" s="29">
        <v>0.01</v>
      </c>
      <c r="BF39" s="29">
        <v>0.01</v>
      </c>
      <c r="BG39" s="29">
        <v>0.01</v>
      </c>
      <c r="BH39" s="28">
        <v>0.01</v>
      </c>
      <c r="BI39" s="27"/>
      <c r="BJ39" s="26"/>
      <c r="BK39" s="24"/>
      <c r="BL39" s="24"/>
      <c r="BM39" s="24"/>
      <c r="BN39" s="24"/>
      <c r="BO39" s="24"/>
      <c r="BP39" s="24"/>
      <c r="BQ39" s="24"/>
      <c r="BR39" s="24"/>
      <c r="BS39" s="24"/>
      <c r="BT39" s="24"/>
      <c r="BU39" s="24"/>
      <c r="BV39" s="24"/>
      <c r="BW39" s="24"/>
      <c r="BX39" s="24"/>
      <c r="BY39" s="24"/>
      <c r="BZ39" s="24"/>
      <c r="CA39" s="24"/>
      <c r="CB39" s="24"/>
      <c r="CC39" s="24"/>
      <c r="CD39" s="24"/>
      <c r="CE39" s="24"/>
      <c r="CF39" s="24"/>
      <c r="CG39" s="24"/>
      <c r="CH39" s="24"/>
      <c r="CI39" s="24"/>
      <c r="CJ39" s="24"/>
      <c r="CK39" s="24"/>
      <c r="CL39" s="24"/>
      <c r="CM39" s="24"/>
      <c r="CN39" s="24"/>
      <c r="CO39" s="24"/>
      <c r="CP39" s="24"/>
      <c r="CQ39" s="24"/>
      <c r="CR39" s="24"/>
      <c r="CS39" s="24"/>
      <c r="CT39" s="24"/>
      <c r="CU39" s="24"/>
      <c r="CV39" s="24"/>
      <c r="CW39" s="24"/>
      <c r="CX39" s="24"/>
      <c r="CY39" s="24"/>
      <c r="CZ39" s="24"/>
      <c r="DA39" s="24"/>
      <c r="DB39" s="24"/>
      <c r="DC39" s="24"/>
      <c r="DD39" s="24"/>
      <c r="DE39" s="24"/>
      <c r="DF39" s="24"/>
      <c r="DG39" s="24"/>
      <c r="DH39" s="24"/>
      <c r="DI39" s="24"/>
      <c r="DJ39" s="24"/>
      <c r="DK39" s="24"/>
      <c r="DL39" s="24"/>
      <c r="DM39" s="24"/>
      <c r="DN39" s="24"/>
      <c r="DO39" s="24"/>
      <c r="DP39" s="24"/>
      <c r="DQ39" s="25"/>
      <c r="DR39" s="25"/>
      <c r="DS39" s="25"/>
      <c r="DT39" s="24"/>
      <c r="DU39" s="24"/>
      <c r="DV39" s="24"/>
      <c r="DW39" s="24"/>
      <c r="DX39" s="24"/>
      <c r="DY39" s="24"/>
      <c r="DZ39" s="24"/>
      <c r="EA39" s="24"/>
      <c r="EB39" s="24"/>
      <c r="EC39" s="24"/>
      <c r="ED39" s="24"/>
      <c r="EE39" s="24"/>
      <c r="EF39" s="24"/>
      <c r="EG39" s="24"/>
      <c r="EH39" s="24"/>
      <c r="EI39" s="24"/>
      <c r="EJ39" s="24"/>
      <c r="EK39" s="24"/>
      <c r="EL39" s="24"/>
      <c r="EM39" s="24"/>
      <c r="EN39" s="24"/>
      <c r="EO39" s="24"/>
      <c r="EP39" s="24"/>
      <c r="EQ39" s="24"/>
      <c r="ER39" s="24"/>
      <c r="ES39" s="24"/>
      <c r="ET39" s="24"/>
      <c r="EU39" s="24"/>
      <c r="EV39" s="24"/>
      <c r="EW39" s="24"/>
      <c r="EX39" s="24"/>
      <c r="EY39" s="24"/>
      <c r="EZ39" s="24"/>
      <c r="FA39" s="24"/>
      <c r="FB39" s="24"/>
      <c r="FC39" s="24"/>
      <c r="FD39" s="24"/>
      <c r="FE39" s="24"/>
      <c r="FF39" s="24"/>
      <c r="FG39" s="24"/>
      <c r="FH39" s="24"/>
      <c r="FI39" s="24"/>
      <c r="FJ39" s="24"/>
      <c r="FK39" s="24"/>
      <c r="FL39" s="24"/>
      <c r="FM39" s="24"/>
      <c r="FN39" s="24"/>
      <c r="FO39" s="24"/>
      <c r="FP39" s="24"/>
      <c r="FQ39" s="24"/>
      <c r="FR39" s="24"/>
      <c r="FS39" s="24"/>
      <c r="FT39" s="24"/>
      <c r="FU39" s="24"/>
      <c r="FV39" s="24"/>
      <c r="FW39" s="24"/>
      <c r="FX39" s="24"/>
      <c r="FY39" s="24"/>
      <c r="FZ39" s="24"/>
      <c r="GA39" s="24"/>
      <c r="GB39" s="24"/>
      <c r="GC39" s="24"/>
      <c r="GD39" s="24"/>
      <c r="GE39" s="24"/>
      <c r="GF39" s="24"/>
      <c r="GG39" s="24"/>
      <c r="GH39" s="24"/>
      <c r="GI39" s="24"/>
      <c r="GJ39" s="24"/>
      <c r="GK39" s="24"/>
      <c r="GL39" s="24"/>
      <c r="GM39" s="24"/>
      <c r="GN39" s="24"/>
      <c r="GO39" s="24"/>
      <c r="GP39" s="24"/>
      <c r="GQ39" s="24"/>
      <c r="GR39" s="24"/>
      <c r="GS39" s="23"/>
      <c r="GT39" s="23"/>
      <c r="GU39" s="23"/>
      <c r="GV39" s="23"/>
      <c r="GW39" s="22"/>
      <c r="GX39" s="22"/>
      <c r="GY39" s="22"/>
      <c r="GZ39" s="22"/>
      <c r="HA39" s="22"/>
      <c r="HB39" s="22"/>
      <c r="HC39" s="22"/>
      <c r="HD39" s="22"/>
      <c r="HE39" s="22"/>
      <c r="HF39" s="22"/>
      <c r="HG39" s="22"/>
      <c r="HH39" s="22"/>
      <c r="HI39" s="22"/>
      <c r="HJ39" s="22"/>
      <c r="HK39" s="22"/>
      <c r="HL39" s="21"/>
      <c r="HM39" s="19"/>
      <c r="HN39" s="19"/>
      <c r="HO39" s="19"/>
      <c r="HP39" s="20"/>
      <c r="HQ39" s="19"/>
      <c r="HR39" s="16"/>
      <c r="HS39" s="16"/>
      <c r="HT39" s="18"/>
      <c r="HU39" s="16"/>
      <c r="HV39" s="16"/>
      <c r="HW39" s="16"/>
      <c r="HX39" s="15"/>
      <c r="HY39" s="15"/>
      <c r="HZ39" s="15"/>
      <c r="IA39" s="15"/>
      <c r="IB39" s="15"/>
      <c r="IC39" s="16"/>
      <c r="ID39" s="16"/>
      <c r="IE39" s="15"/>
      <c r="IF39" s="15"/>
      <c r="IG39" s="15"/>
      <c r="IH39" s="15"/>
      <c r="II39" s="15"/>
      <c r="IJ39" s="15"/>
      <c r="IK39" s="15"/>
      <c r="IL39" s="15"/>
      <c r="IM39" s="15"/>
      <c r="IN39" s="15"/>
      <c r="IO39" s="15"/>
      <c r="IP39" s="17"/>
      <c r="IQ39" s="15"/>
      <c r="IR39" s="15"/>
      <c r="IS39" s="15"/>
      <c r="IT39" s="15"/>
      <c r="IU39" s="15"/>
      <c r="IV39" s="15"/>
      <c r="IW39" s="15"/>
      <c r="IX39" s="15"/>
      <c r="IY39" s="15"/>
      <c r="IZ39" s="15"/>
      <c r="JA39" s="15"/>
      <c r="JB39" s="15"/>
      <c r="JC39" s="15"/>
      <c r="JD39" s="15"/>
      <c r="JE39" s="15"/>
      <c r="JF39" s="15"/>
      <c r="JG39" s="15"/>
      <c r="JH39" s="15"/>
      <c r="JI39" s="15"/>
      <c r="JJ39" s="15"/>
      <c r="JK39" s="15"/>
      <c r="JL39" s="15"/>
      <c r="JM39" s="15"/>
      <c r="JN39" s="16"/>
      <c r="JO39" s="16"/>
      <c r="JP39" s="16"/>
      <c r="JQ39" s="16"/>
      <c r="JR39" s="16"/>
      <c r="JS39" s="16"/>
      <c r="JT39" s="16"/>
      <c r="JU39" s="16"/>
      <c r="JV39" s="16"/>
      <c r="JW39" s="16"/>
      <c r="JX39" s="16"/>
      <c r="JY39" s="16"/>
      <c r="JZ39" s="16"/>
      <c r="KA39" s="16"/>
      <c r="KB39" s="16"/>
      <c r="KC39" s="16"/>
      <c r="KD39" s="16"/>
      <c r="KE39" s="16"/>
      <c r="KF39" s="16"/>
      <c r="KG39" s="16"/>
      <c r="KH39" s="16"/>
      <c r="KI39" s="16"/>
      <c r="KJ39" s="16"/>
      <c r="KK39" s="16"/>
      <c r="KL39" s="16"/>
      <c r="KM39" s="16"/>
      <c r="KN39" s="16"/>
      <c r="KO39" s="16"/>
      <c r="KP39" s="16"/>
      <c r="KQ39" s="16"/>
      <c r="KR39" s="16"/>
      <c r="KS39" s="16"/>
      <c r="KT39" s="15"/>
      <c r="KU39" s="15"/>
      <c r="KV39" s="15"/>
      <c r="KW39" s="15"/>
      <c r="KX39" s="15"/>
      <c r="KY39" s="15"/>
      <c r="KZ39" s="15"/>
      <c r="LA39" s="15"/>
      <c r="LB39" s="15"/>
      <c r="LC39" s="15"/>
      <c r="LD39" s="15"/>
      <c r="LE39" s="15"/>
      <c r="LF39" s="15"/>
      <c r="LG39" s="15"/>
      <c r="LH39" s="15"/>
      <c r="LI39" s="15"/>
      <c r="LJ39" s="15"/>
      <c r="LK39" s="15"/>
      <c r="LL39" s="15"/>
      <c r="LM39" s="15"/>
      <c r="LN39" s="473">
        <f t="shared" si="12"/>
        <v>0</v>
      </c>
    </row>
    <row r="40" spans="1:326" ht="14.7" customHeight="1">
      <c r="A40" s="1160"/>
      <c r="B40" s="32"/>
      <c r="C40" s="32"/>
      <c r="D40" s="32"/>
      <c r="E40" s="32"/>
      <c r="F40" s="32"/>
      <c r="G40" s="32"/>
      <c r="H40" s="32"/>
      <c r="I40" s="32"/>
      <c r="J40" s="32"/>
      <c r="K40" s="32"/>
      <c r="L40" s="32"/>
      <c r="M40" s="32"/>
      <c r="N40" s="33"/>
      <c r="O40" s="32"/>
      <c r="P40" s="29" t="s">
        <v>60</v>
      </c>
      <c r="Q40" s="29">
        <v>1.0500000000000001E-2</v>
      </c>
      <c r="R40" s="29">
        <v>1.0500000000000001E-2</v>
      </c>
      <c r="S40" s="29">
        <v>1.0500000000000001E-2</v>
      </c>
      <c r="T40" s="29">
        <v>1.0500000000000001E-2</v>
      </c>
      <c r="U40" s="29">
        <v>1.0500000000000001E-2</v>
      </c>
      <c r="V40" s="29">
        <v>1.0500000000000001E-2</v>
      </c>
      <c r="W40" s="29">
        <v>1.0500000000000001E-2</v>
      </c>
      <c r="X40" s="29">
        <v>1.0500000000000001E-2</v>
      </c>
      <c r="Y40" s="29">
        <v>1.0500000000000001E-2</v>
      </c>
      <c r="Z40" s="29">
        <v>1.0500000000000001E-2</v>
      </c>
      <c r="AA40" s="29">
        <v>1.0500000000000001E-2</v>
      </c>
      <c r="AB40" s="29">
        <v>1.0500000000000001E-2</v>
      </c>
      <c r="AC40" s="29">
        <v>1.0500000000000001E-2</v>
      </c>
      <c r="AD40" s="29">
        <v>1.0500000000000001E-2</v>
      </c>
      <c r="AE40" s="29">
        <v>1.0500000000000001E-2</v>
      </c>
      <c r="AF40" s="29">
        <v>1.0500000000000001E-2</v>
      </c>
      <c r="AG40" s="29">
        <v>1.0500000000000001E-2</v>
      </c>
      <c r="AH40" s="29">
        <v>1.0500000000000001E-2</v>
      </c>
      <c r="AI40" s="29">
        <v>1.0500000000000001E-2</v>
      </c>
      <c r="AJ40" s="29">
        <v>1.0500000000000001E-2</v>
      </c>
      <c r="AK40" s="29">
        <v>1.0500000000000001E-2</v>
      </c>
      <c r="AL40" s="29">
        <v>1.0500000000000001E-2</v>
      </c>
      <c r="AM40" s="29">
        <v>1.0500000000000001E-2</v>
      </c>
      <c r="AN40" s="29">
        <v>1.0500000000000001E-2</v>
      </c>
      <c r="AO40" s="29">
        <v>1.0500000000000001E-2</v>
      </c>
      <c r="AP40" s="29">
        <v>1.0500000000000001E-2</v>
      </c>
      <c r="AQ40" s="29">
        <v>1.0500000000000001E-2</v>
      </c>
      <c r="AR40" s="29">
        <v>1.0500000000000001E-2</v>
      </c>
      <c r="AS40" s="29">
        <v>1.0500000000000001E-2</v>
      </c>
      <c r="AT40" s="29">
        <v>1.0500000000000001E-2</v>
      </c>
      <c r="AU40" s="29">
        <v>1.0500000000000001E-2</v>
      </c>
      <c r="AV40" s="29">
        <v>1.0500000000000001E-2</v>
      </c>
      <c r="AW40" s="29">
        <v>1.0500000000000001E-2</v>
      </c>
      <c r="AX40" s="29">
        <v>1.0500000000000001E-2</v>
      </c>
      <c r="AY40" s="30">
        <v>1.0500000000000001E-2</v>
      </c>
      <c r="AZ40" s="29">
        <v>1.0500000000000001E-2</v>
      </c>
      <c r="BA40" s="29">
        <v>1.0500000000000001E-2</v>
      </c>
      <c r="BB40" s="29">
        <v>1.0500000000000001E-2</v>
      </c>
      <c r="BC40" s="29">
        <v>1.0500000000000001E-2</v>
      </c>
      <c r="BD40" s="29">
        <v>1.0500000000000001E-2</v>
      </c>
      <c r="BE40" s="29">
        <v>1.0500000000000001E-2</v>
      </c>
      <c r="BF40" s="29">
        <v>1.0500000000000001E-2</v>
      </c>
      <c r="BG40" s="29">
        <v>1.0500000000000001E-2</v>
      </c>
      <c r="BH40" s="28">
        <v>1.0500000000000001E-2</v>
      </c>
      <c r="BI40" s="27"/>
      <c r="BJ40" s="26"/>
      <c r="BK40" s="24"/>
      <c r="BL40" s="24"/>
      <c r="BM40" s="24"/>
      <c r="BN40" s="24"/>
      <c r="BO40" s="24"/>
      <c r="BP40" s="24"/>
      <c r="BQ40" s="24"/>
      <c r="BR40" s="24"/>
      <c r="BS40" s="24"/>
      <c r="BT40" s="24"/>
      <c r="BU40" s="24"/>
      <c r="BV40" s="24"/>
      <c r="BW40" s="24"/>
      <c r="BX40" s="24"/>
      <c r="BY40" s="24"/>
      <c r="BZ40" s="24"/>
      <c r="CA40" s="24"/>
      <c r="CB40" s="24"/>
      <c r="CC40" s="24"/>
      <c r="CD40" s="24"/>
      <c r="CE40" s="24"/>
      <c r="CF40" s="24"/>
      <c r="CG40" s="24"/>
      <c r="CH40" s="24"/>
      <c r="CI40" s="24"/>
      <c r="CJ40" s="24"/>
      <c r="CK40" s="24"/>
      <c r="CL40" s="24"/>
      <c r="CM40" s="24"/>
      <c r="CN40" s="24"/>
      <c r="CO40" s="24"/>
      <c r="CP40" s="24"/>
      <c r="CQ40" s="24"/>
      <c r="CR40" s="24"/>
      <c r="CS40" s="24"/>
      <c r="CT40" s="24"/>
      <c r="CU40" s="24"/>
      <c r="CV40" s="24"/>
      <c r="CW40" s="24"/>
      <c r="CX40" s="24"/>
      <c r="CY40" s="24"/>
      <c r="CZ40" s="24"/>
      <c r="DA40" s="24"/>
      <c r="DB40" s="24"/>
      <c r="DC40" s="24"/>
      <c r="DD40" s="24"/>
      <c r="DE40" s="24"/>
      <c r="DF40" s="24"/>
      <c r="DG40" s="24"/>
      <c r="DH40" s="24"/>
      <c r="DI40" s="24"/>
      <c r="DJ40" s="24"/>
      <c r="DK40" s="24"/>
      <c r="DL40" s="24"/>
      <c r="DM40" s="24"/>
      <c r="DN40" s="24"/>
      <c r="DO40" s="24"/>
      <c r="DP40" s="24"/>
      <c r="DQ40" s="25"/>
      <c r="DR40" s="25"/>
      <c r="DS40" s="25"/>
      <c r="DT40" s="24"/>
      <c r="DU40" s="24"/>
      <c r="DV40" s="24"/>
      <c r="DW40" s="24"/>
      <c r="DX40" s="24"/>
      <c r="DY40" s="24"/>
      <c r="DZ40" s="24"/>
      <c r="EA40" s="24"/>
      <c r="EB40" s="24"/>
      <c r="EC40" s="24"/>
      <c r="ED40" s="24"/>
      <c r="EE40" s="24"/>
      <c r="EF40" s="24"/>
      <c r="EG40" s="24"/>
      <c r="EH40" s="24"/>
      <c r="EI40" s="24"/>
      <c r="EJ40" s="24"/>
      <c r="EK40" s="24"/>
      <c r="EL40" s="24"/>
      <c r="EM40" s="24"/>
      <c r="EN40" s="24"/>
      <c r="EO40" s="24"/>
      <c r="EP40" s="24"/>
      <c r="EQ40" s="24"/>
      <c r="ER40" s="24"/>
      <c r="ES40" s="24"/>
      <c r="ET40" s="24"/>
      <c r="EU40" s="24"/>
      <c r="EV40" s="24"/>
      <c r="EW40" s="24"/>
      <c r="EX40" s="24"/>
      <c r="EY40" s="24"/>
      <c r="EZ40" s="24"/>
      <c r="FA40" s="24"/>
      <c r="FB40" s="24"/>
      <c r="FC40" s="24"/>
      <c r="FD40" s="24"/>
      <c r="FE40" s="24"/>
      <c r="FF40" s="24"/>
      <c r="FG40" s="24"/>
      <c r="FH40" s="24"/>
      <c r="FI40" s="24"/>
      <c r="FJ40" s="24"/>
      <c r="FK40" s="24"/>
      <c r="FL40" s="24"/>
      <c r="FM40" s="24"/>
      <c r="FN40" s="24"/>
      <c r="FO40" s="24"/>
      <c r="FP40" s="24"/>
      <c r="FQ40" s="24"/>
      <c r="FR40" s="24"/>
      <c r="FS40" s="24"/>
      <c r="FT40" s="24"/>
      <c r="FU40" s="24"/>
      <c r="FV40" s="24"/>
      <c r="FW40" s="24"/>
      <c r="FX40" s="24"/>
      <c r="FY40" s="24"/>
      <c r="FZ40" s="24"/>
      <c r="GA40" s="24"/>
      <c r="GB40" s="24"/>
      <c r="GC40" s="24"/>
      <c r="GD40" s="24"/>
      <c r="GE40" s="24"/>
      <c r="GF40" s="24"/>
      <c r="GG40" s="24"/>
      <c r="GH40" s="24"/>
      <c r="GI40" s="24"/>
      <c r="GJ40" s="24"/>
      <c r="GK40" s="24"/>
      <c r="GL40" s="24"/>
      <c r="GM40" s="24"/>
      <c r="GN40" s="24"/>
      <c r="GO40" s="24"/>
      <c r="GP40" s="24"/>
      <c r="GQ40" s="24"/>
      <c r="GR40" s="24"/>
      <c r="GS40" s="23"/>
      <c r="GT40" s="23"/>
      <c r="GU40" s="23"/>
      <c r="GV40" s="23"/>
      <c r="GW40" s="22"/>
      <c r="GX40" s="22"/>
      <c r="GY40" s="22"/>
      <c r="GZ40" s="22"/>
      <c r="HA40" s="22"/>
      <c r="HB40" s="22"/>
      <c r="HC40" s="22"/>
      <c r="HD40" s="22"/>
      <c r="HE40" s="22"/>
      <c r="HF40" s="22"/>
      <c r="HG40" s="22"/>
      <c r="HH40" s="22"/>
      <c r="HI40" s="22"/>
      <c r="HJ40" s="22"/>
      <c r="HK40" s="22"/>
      <c r="HL40" s="21"/>
      <c r="HM40" s="19"/>
      <c r="HN40" s="19"/>
      <c r="HO40" s="19"/>
      <c r="HP40" s="20"/>
      <c r="HQ40" s="19"/>
      <c r="HR40" s="16"/>
      <c r="HS40" s="16"/>
      <c r="HT40" s="18"/>
      <c r="HU40" s="16"/>
      <c r="HV40" s="16"/>
      <c r="HW40" s="16"/>
      <c r="HX40" s="15"/>
      <c r="HY40" s="15"/>
      <c r="HZ40" s="15"/>
      <c r="IA40" s="15"/>
      <c r="IB40" s="15"/>
      <c r="IC40" s="16"/>
      <c r="ID40" s="16"/>
      <c r="IE40" s="15"/>
      <c r="IF40" s="15"/>
      <c r="IG40" s="15"/>
      <c r="IH40" s="15"/>
      <c r="II40" s="15"/>
      <c r="IJ40" s="15"/>
      <c r="IK40" s="15"/>
      <c r="IL40" s="15"/>
      <c r="IM40" s="15"/>
      <c r="IN40" s="15"/>
      <c r="IO40" s="15"/>
      <c r="IP40" s="17"/>
      <c r="IQ40" s="15"/>
      <c r="IR40" s="15"/>
      <c r="IS40" s="15"/>
      <c r="IT40" s="15"/>
      <c r="IU40" s="15"/>
      <c r="IV40" s="15"/>
      <c r="IW40" s="15"/>
      <c r="IX40" s="15"/>
      <c r="IY40" s="15"/>
      <c r="IZ40" s="15"/>
      <c r="JA40" s="15"/>
      <c r="JB40" s="15"/>
      <c r="JC40" s="15"/>
      <c r="JD40" s="15"/>
      <c r="JE40" s="15"/>
      <c r="JF40" s="15"/>
      <c r="JG40" s="15"/>
      <c r="JH40" s="15"/>
      <c r="JI40" s="15"/>
      <c r="JJ40" s="15"/>
      <c r="JK40" s="15"/>
      <c r="JL40" s="15"/>
      <c r="JM40" s="15"/>
      <c r="JN40" s="16"/>
      <c r="JO40" s="16"/>
      <c r="JP40" s="16"/>
      <c r="JQ40" s="16"/>
      <c r="JR40" s="16"/>
      <c r="JS40" s="16"/>
      <c r="JT40" s="16"/>
      <c r="JU40" s="16"/>
      <c r="JV40" s="16"/>
      <c r="JW40" s="16"/>
      <c r="JX40" s="16"/>
      <c r="JY40" s="16"/>
      <c r="JZ40" s="16"/>
      <c r="KA40" s="16"/>
      <c r="KB40" s="16"/>
      <c r="KC40" s="16"/>
      <c r="KD40" s="16"/>
      <c r="KE40" s="16"/>
      <c r="KF40" s="16"/>
      <c r="KG40" s="16"/>
      <c r="KH40" s="16"/>
      <c r="KI40" s="16"/>
      <c r="KJ40" s="16"/>
      <c r="KK40" s="16"/>
      <c r="KL40" s="16"/>
      <c r="KM40" s="16"/>
      <c r="KN40" s="16"/>
      <c r="KO40" s="16"/>
      <c r="KP40" s="16"/>
      <c r="KQ40" s="16"/>
      <c r="KR40" s="16"/>
      <c r="KS40" s="16"/>
      <c r="KT40" s="15"/>
      <c r="KU40" s="15"/>
      <c r="KV40" s="15"/>
      <c r="KW40" s="15"/>
      <c r="KX40" s="15"/>
      <c r="KY40" s="15"/>
      <c r="KZ40" s="15"/>
      <c r="LA40" s="15"/>
      <c r="LB40" s="15"/>
      <c r="LC40" s="15"/>
      <c r="LD40" s="15"/>
      <c r="LE40" s="15"/>
      <c r="LF40" s="15"/>
      <c r="LG40" s="15"/>
      <c r="LH40" s="15"/>
      <c r="LI40" s="15"/>
      <c r="LJ40" s="15"/>
      <c r="LK40" s="15"/>
      <c r="LL40" s="15"/>
      <c r="LM40" s="15"/>
      <c r="LN40" s="473">
        <f t="shared" si="12"/>
        <v>0</v>
      </c>
    </row>
    <row r="41" spans="1:326" ht="14.7" customHeight="1">
      <c r="A41" s="1160"/>
      <c r="B41" s="32"/>
      <c r="C41" s="32"/>
      <c r="D41" s="32"/>
      <c r="E41" s="32"/>
      <c r="F41" s="32"/>
      <c r="G41" s="32"/>
      <c r="H41" s="32"/>
      <c r="I41" s="32"/>
      <c r="J41" s="32"/>
      <c r="K41" s="32"/>
      <c r="L41" s="32"/>
      <c r="M41" s="32"/>
      <c r="N41" s="33"/>
      <c r="O41" s="32"/>
      <c r="P41" s="29" t="s">
        <v>59</v>
      </c>
      <c r="Q41" s="29">
        <v>1.15E-2</v>
      </c>
      <c r="R41" s="29">
        <v>1.15E-2</v>
      </c>
      <c r="S41" s="29">
        <v>1.15E-2</v>
      </c>
      <c r="T41" s="29">
        <v>1.15E-2</v>
      </c>
      <c r="U41" s="29">
        <v>1.15E-2</v>
      </c>
      <c r="V41" s="29">
        <v>1.15E-2</v>
      </c>
      <c r="W41" s="29">
        <v>1.15E-2</v>
      </c>
      <c r="X41" s="29">
        <v>1.15E-2</v>
      </c>
      <c r="Y41" s="29">
        <v>1.15E-2</v>
      </c>
      <c r="Z41" s="29">
        <v>1.15E-2</v>
      </c>
      <c r="AA41" s="29">
        <v>1.15E-2</v>
      </c>
      <c r="AB41" s="29">
        <v>1.15E-2</v>
      </c>
      <c r="AC41" s="29">
        <v>1.15E-2</v>
      </c>
      <c r="AD41" s="29">
        <v>1.15E-2</v>
      </c>
      <c r="AE41" s="29">
        <v>1.15E-2</v>
      </c>
      <c r="AF41" s="29">
        <v>1.15E-2</v>
      </c>
      <c r="AG41" s="29">
        <v>1.15E-2</v>
      </c>
      <c r="AH41" s="29">
        <v>1.15E-2</v>
      </c>
      <c r="AI41" s="29">
        <v>1.15E-2</v>
      </c>
      <c r="AJ41" s="29">
        <v>1.15E-2</v>
      </c>
      <c r="AK41" s="29">
        <v>1.15E-2</v>
      </c>
      <c r="AL41" s="29">
        <v>1.15E-2</v>
      </c>
      <c r="AM41" s="29">
        <v>1.15E-2</v>
      </c>
      <c r="AN41" s="29">
        <v>1.15E-2</v>
      </c>
      <c r="AO41" s="29">
        <v>1.15E-2</v>
      </c>
      <c r="AP41" s="29">
        <v>1.15E-2</v>
      </c>
      <c r="AQ41" s="29">
        <v>1.15E-2</v>
      </c>
      <c r="AR41" s="29">
        <v>1.15E-2</v>
      </c>
      <c r="AS41" s="29">
        <v>1.15E-2</v>
      </c>
      <c r="AT41" s="29">
        <v>1.15E-2</v>
      </c>
      <c r="AU41" s="29">
        <v>1.15E-2</v>
      </c>
      <c r="AV41" s="29">
        <v>1.15E-2</v>
      </c>
      <c r="AW41" s="29">
        <v>1.15E-2</v>
      </c>
      <c r="AX41" s="29">
        <v>1.15E-2</v>
      </c>
      <c r="AY41" s="30">
        <v>1.15E-2</v>
      </c>
      <c r="AZ41" s="29">
        <v>1.15E-2</v>
      </c>
      <c r="BA41" s="29">
        <v>1.15E-2</v>
      </c>
      <c r="BB41" s="29">
        <v>1.15E-2</v>
      </c>
      <c r="BC41" s="29">
        <v>1.15E-2</v>
      </c>
      <c r="BD41" s="29">
        <v>1.15E-2</v>
      </c>
      <c r="BE41" s="29">
        <v>1.15E-2</v>
      </c>
      <c r="BF41" s="29">
        <v>1.15E-2</v>
      </c>
      <c r="BG41" s="29">
        <v>1.15E-2</v>
      </c>
      <c r="BH41" s="28">
        <v>1.15E-2</v>
      </c>
      <c r="BI41" s="27"/>
      <c r="BJ41" s="26"/>
      <c r="BK41" s="24"/>
      <c r="BL41" s="24"/>
      <c r="BM41" s="24"/>
      <c r="BN41" s="24"/>
      <c r="BO41" s="24"/>
      <c r="BP41" s="24"/>
      <c r="BQ41" s="24"/>
      <c r="BR41" s="24"/>
      <c r="BS41" s="24"/>
      <c r="BT41" s="24"/>
      <c r="BU41" s="24"/>
      <c r="BV41" s="24"/>
      <c r="BW41" s="24"/>
      <c r="BX41" s="24"/>
      <c r="BY41" s="24"/>
      <c r="BZ41" s="24"/>
      <c r="CA41" s="24"/>
      <c r="CB41" s="24"/>
      <c r="CC41" s="24"/>
      <c r="CD41" s="24"/>
      <c r="CE41" s="24"/>
      <c r="CF41" s="24"/>
      <c r="CG41" s="24"/>
      <c r="CH41" s="24"/>
      <c r="CI41" s="24"/>
      <c r="CJ41" s="24"/>
      <c r="CK41" s="24"/>
      <c r="CL41" s="24"/>
      <c r="CM41" s="24"/>
      <c r="CN41" s="24"/>
      <c r="CO41" s="24"/>
      <c r="CP41" s="24"/>
      <c r="CQ41" s="24"/>
      <c r="CR41" s="24"/>
      <c r="CS41" s="24"/>
      <c r="CT41" s="24"/>
      <c r="CU41" s="24"/>
      <c r="CV41" s="24"/>
      <c r="CW41" s="24"/>
      <c r="CX41" s="24"/>
      <c r="CY41" s="24"/>
      <c r="CZ41" s="24"/>
      <c r="DA41" s="24"/>
      <c r="DB41" s="24"/>
      <c r="DC41" s="24"/>
      <c r="DD41" s="24"/>
      <c r="DE41" s="24"/>
      <c r="DF41" s="24"/>
      <c r="DG41" s="24"/>
      <c r="DH41" s="24"/>
      <c r="DI41" s="24"/>
      <c r="DJ41" s="24"/>
      <c r="DK41" s="24"/>
      <c r="DL41" s="24"/>
      <c r="DM41" s="24"/>
      <c r="DN41" s="24"/>
      <c r="DO41" s="24"/>
      <c r="DP41" s="24"/>
      <c r="DQ41" s="25"/>
      <c r="DR41" s="25"/>
      <c r="DS41" s="25"/>
      <c r="DT41" s="24"/>
      <c r="DU41" s="24"/>
      <c r="DV41" s="24"/>
      <c r="DW41" s="24"/>
      <c r="DX41" s="24"/>
      <c r="DY41" s="24"/>
      <c r="DZ41" s="24"/>
      <c r="EA41" s="24"/>
      <c r="EB41" s="24"/>
      <c r="EC41" s="24"/>
      <c r="ED41" s="24"/>
      <c r="EE41" s="24"/>
      <c r="EF41" s="24"/>
      <c r="EG41" s="24"/>
      <c r="EH41" s="24"/>
      <c r="EI41" s="24"/>
      <c r="EJ41" s="24"/>
      <c r="EK41" s="24"/>
      <c r="EL41" s="24"/>
      <c r="EM41" s="24"/>
      <c r="EN41" s="24"/>
      <c r="EO41" s="24"/>
      <c r="EP41" s="24"/>
      <c r="EQ41" s="24"/>
      <c r="ER41" s="24"/>
      <c r="ES41" s="24"/>
      <c r="ET41" s="24"/>
      <c r="EU41" s="24"/>
      <c r="EV41" s="24"/>
      <c r="EW41" s="24"/>
      <c r="EX41" s="24"/>
      <c r="EY41" s="24"/>
      <c r="EZ41" s="24"/>
      <c r="FA41" s="24"/>
      <c r="FB41" s="24"/>
      <c r="FC41" s="24"/>
      <c r="FD41" s="24"/>
      <c r="FE41" s="24"/>
      <c r="FF41" s="24"/>
      <c r="FG41" s="24"/>
      <c r="FH41" s="24"/>
      <c r="FI41" s="24"/>
      <c r="FJ41" s="24"/>
      <c r="FK41" s="24"/>
      <c r="FL41" s="24"/>
      <c r="FM41" s="24"/>
      <c r="FN41" s="24"/>
      <c r="FO41" s="24"/>
      <c r="FP41" s="24"/>
      <c r="FQ41" s="24"/>
      <c r="FR41" s="24"/>
      <c r="FS41" s="24"/>
      <c r="FT41" s="24"/>
      <c r="FU41" s="24"/>
      <c r="FV41" s="24"/>
      <c r="FW41" s="24"/>
      <c r="FX41" s="24"/>
      <c r="FY41" s="24"/>
      <c r="FZ41" s="24"/>
      <c r="GA41" s="24"/>
      <c r="GB41" s="24"/>
      <c r="GC41" s="24"/>
      <c r="GD41" s="24"/>
      <c r="GE41" s="24"/>
      <c r="GF41" s="24"/>
      <c r="GG41" s="24"/>
      <c r="GH41" s="24"/>
      <c r="GI41" s="24"/>
      <c r="GJ41" s="24"/>
      <c r="GK41" s="24"/>
      <c r="GL41" s="24"/>
      <c r="GM41" s="24"/>
      <c r="GN41" s="24"/>
      <c r="GO41" s="24"/>
      <c r="GP41" s="24"/>
      <c r="GQ41" s="24"/>
      <c r="GR41" s="24"/>
      <c r="GS41" s="23"/>
      <c r="GT41" s="23"/>
      <c r="GU41" s="23"/>
      <c r="GV41" s="23"/>
      <c r="GW41" s="22"/>
      <c r="GX41" s="22"/>
      <c r="GY41" s="22"/>
      <c r="GZ41" s="22"/>
      <c r="HA41" s="22"/>
      <c r="HB41" s="22"/>
      <c r="HC41" s="22"/>
      <c r="HD41" s="22"/>
      <c r="HE41" s="22"/>
      <c r="HF41" s="22"/>
      <c r="HG41" s="22"/>
      <c r="HH41" s="22"/>
      <c r="HI41" s="22"/>
      <c r="HJ41" s="22"/>
      <c r="HK41" s="22"/>
      <c r="HL41" s="21"/>
      <c r="HM41" s="19"/>
      <c r="HN41" s="19"/>
      <c r="HO41" s="19"/>
      <c r="HP41" s="20"/>
      <c r="HQ41" s="19"/>
      <c r="HR41" s="16"/>
      <c r="HS41" s="16"/>
      <c r="HT41" s="18"/>
      <c r="HU41" s="16"/>
      <c r="HV41" s="16"/>
      <c r="HW41" s="16"/>
      <c r="HX41" s="15"/>
      <c r="HY41" s="15"/>
      <c r="HZ41" s="15"/>
      <c r="IA41" s="15"/>
      <c r="IB41" s="15"/>
      <c r="IC41" s="16"/>
      <c r="ID41" s="16"/>
      <c r="IE41" s="15"/>
      <c r="IF41" s="15"/>
      <c r="IG41" s="15"/>
      <c r="IH41" s="15"/>
      <c r="II41" s="15"/>
      <c r="IJ41" s="15"/>
      <c r="IK41" s="15"/>
      <c r="IL41" s="15"/>
      <c r="IM41" s="15"/>
      <c r="IN41" s="15"/>
      <c r="IO41" s="15"/>
      <c r="IP41" s="17"/>
      <c r="IQ41" s="15"/>
      <c r="IR41" s="15"/>
      <c r="IS41" s="15"/>
      <c r="IT41" s="15"/>
      <c r="IU41" s="15"/>
      <c r="IV41" s="15"/>
      <c r="IW41" s="15"/>
      <c r="IX41" s="15"/>
      <c r="IY41" s="15"/>
      <c r="IZ41" s="15"/>
      <c r="JA41" s="15"/>
      <c r="JB41" s="15"/>
      <c r="JC41" s="15"/>
      <c r="JD41" s="15"/>
      <c r="JE41" s="15"/>
      <c r="JF41" s="15"/>
      <c r="JG41" s="15"/>
      <c r="JH41" s="15"/>
      <c r="JI41" s="15"/>
      <c r="JJ41" s="15"/>
      <c r="JK41" s="15"/>
      <c r="JL41" s="15"/>
      <c r="JM41" s="15"/>
      <c r="JN41" s="16"/>
      <c r="JO41" s="16"/>
      <c r="JP41" s="16"/>
      <c r="JQ41" s="16"/>
      <c r="JR41" s="16"/>
      <c r="JS41" s="16"/>
      <c r="JT41" s="16"/>
      <c r="JU41" s="16"/>
      <c r="JV41" s="16"/>
      <c r="JW41" s="16"/>
      <c r="JX41" s="16"/>
      <c r="JY41" s="16"/>
      <c r="JZ41" s="16"/>
      <c r="KA41" s="16"/>
      <c r="KB41" s="16"/>
      <c r="KC41" s="16"/>
      <c r="KD41" s="16"/>
      <c r="KE41" s="16"/>
      <c r="KF41" s="16"/>
      <c r="KG41" s="16"/>
      <c r="KH41" s="16"/>
      <c r="KI41" s="16"/>
      <c r="KJ41" s="16"/>
      <c r="KK41" s="16"/>
      <c r="KL41" s="16"/>
      <c r="KM41" s="16"/>
      <c r="KN41" s="16"/>
      <c r="KO41" s="16"/>
      <c r="KP41" s="16"/>
      <c r="KQ41" s="16"/>
      <c r="KR41" s="16"/>
      <c r="KS41" s="16"/>
      <c r="KT41" s="15"/>
      <c r="KU41" s="15"/>
      <c r="KV41" s="15"/>
      <c r="KW41" s="15"/>
      <c r="KX41" s="15"/>
      <c r="KY41" s="15"/>
      <c r="KZ41" s="15"/>
      <c r="LA41" s="15"/>
      <c r="LB41" s="15"/>
      <c r="LC41" s="15"/>
      <c r="LD41" s="15"/>
      <c r="LE41" s="15"/>
      <c r="LF41" s="15"/>
      <c r="LG41" s="15"/>
      <c r="LH41" s="15"/>
      <c r="LI41" s="15"/>
      <c r="LJ41" s="15"/>
      <c r="LK41" s="15"/>
      <c r="LL41" s="15"/>
      <c r="LM41" s="15"/>
      <c r="LN41" s="473">
        <f t="shared" si="12"/>
        <v>0</v>
      </c>
    </row>
    <row r="42" spans="1:326" ht="14.7" customHeight="1">
      <c r="A42" s="1161"/>
      <c r="B42" s="31" t="s">
        <v>58</v>
      </c>
      <c r="C42" s="31" t="s">
        <v>58</v>
      </c>
      <c r="D42" s="31" t="s">
        <v>58</v>
      </c>
      <c r="E42" s="31" t="s">
        <v>57</v>
      </c>
      <c r="F42" s="31"/>
      <c r="G42" s="31"/>
      <c r="H42" s="31" t="s">
        <v>56</v>
      </c>
      <c r="I42" s="31" t="s">
        <v>56</v>
      </c>
      <c r="J42" s="31" t="s">
        <v>56</v>
      </c>
      <c r="K42" s="31" t="s">
        <v>55</v>
      </c>
      <c r="L42" s="31" t="s">
        <v>54</v>
      </c>
      <c r="M42" s="31" t="s">
        <v>54</v>
      </c>
      <c r="N42" s="31" t="s">
        <v>54</v>
      </c>
      <c r="O42" s="31"/>
      <c r="P42" s="29" t="s">
        <v>53</v>
      </c>
      <c r="Q42" s="29">
        <v>1.2500000000000001E-2</v>
      </c>
      <c r="R42" s="29">
        <v>1.2500000000000001E-2</v>
      </c>
      <c r="S42" s="29">
        <v>1.2500000000000001E-2</v>
      </c>
      <c r="T42" s="29">
        <v>1.2500000000000001E-2</v>
      </c>
      <c r="U42" s="29">
        <v>1.2500000000000001E-2</v>
      </c>
      <c r="V42" s="29">
        <v>1.2500000000000001E-2</v>
      </c>
      <c r="W42" s="29">
        <v>1.2500000000000001E-2</v>
      </c>
      <c r="X42" s="29">
        <v>1.2500000000000001E-2</v>
      </c>
      <c r="Y42" s="29">
        <v>1.2500000000000001E-2</v>
      </c>
      <c r="Z42" s="29">
        <v>1.2500000000000001E-2</v>
      </c>
      <c r="AA42" s="29">
        <v>1.2500000000000001E-2</v>
      </c>
      <c r="AB42" s="29">
        <v>1.2500000000000001E-2</v>
      </c>
      <c r="AC42" s="29">
        <v>1.2500000000000001E-2</v>
      </c>
      <c r="AD42" s="29">
        <v>1.2500000000000001E-2</v>
      </c>
      <c r="AE42" s="29">
        <v>1.2500000000000001E-2</v>
      </c>
      <c r="AF42" s="29">
        <v>1.2500000000000001E-2</v>
      </c>
      <c r="AG42" s="29">
        <v>1.2500000000000001E-2</v>
      </c>
      <c r="AH42" s="29">
        <v>1.2500000000000001E-2</v>
      </c>
      <c r="AI42" s="29">
        <v>1.2500000000000001E-2</v>
      </c>
      <c r="AJ42" s="29">
        <v>1.2500000000000001E-2</v>
      </c>
      <c r="AK42" s="29">
        <v>1.2500000000000001E-2</v>
      </c>
      <c r="AL42" s="29">
        <v>1.2500000000000001E-2</v>
      </c>
      <c r="AM42" s="29">
        <v>1.2500000000000001E-2</v>
      </c>
      <c r="AN42" s="29">
        <v>1.2500000000000001E-2</v>
      </c>
      <c r="AO42" s="29">
        <v>1.2500000000000001E-2</v>
      </c>
      <c r="AP42" s="29">
        <v>1.2500000000000001E-2</v>
      </c>
      <c r="AQ42" s="29">
        <v>1.2500000000000001E-2</v>
      </c>
      <c r="AR42" s="29">
        <v>1.2500000000000001E-2</v>
      </c>
      <c r="AS42" s="29">
        <v>1.2500000000000001E-2</v>
      </c>
      <c r="AT42" s="29">
        <v>1.2500000000000001E-2</v>
      </c>
      <c r="AU42" s="29">
        <v>1.2500000000000001E-2</v>
      </c>
      <c r="AV42" s="29">
        <v>1.2500000000000001E-2</v>
      </c>
      <c r="AW42" s="29">
        <v>1.2500000000000001E-2</v>
      </c>
      <c r="AX42" s="29">
        <v>1.2500000000000001E-2</v>
      </c>
      <c r="AY42" s="30">
        <v>1.2500000000000001E-2</v>
      </c>
      <c r="AZ42" s="29">
        <v>1.2500000000000001E-2</v>
      </c>
      <c r="BA42" s="29">
        <v>1.2500000000000001E-2</v>
      </c>
      <c r="BB42" s="29">
        <v>1.2500000000000001E-2</v>
      </c>
      <c r="BC42" s="29">
        <v>1.2500000000000001E-2</v>
      </c>
      <c r="BD42" s="29">
        <v>1.2500000000000001E-2</v>
      </c>
      <c r="BE42" s="29">
        <v>1.2500000000000001E-2</v>
      </c>
      <c r="BF42" s="29">
        <v>1.2500000000000001E-2</v>
      </c>
      <c r="BG42" s="29">
        <v>1.2500000000000001E-2</v>
      </c>
      <c r="BH42" s="28">
        <v>1.2500000000000001E-2</v>
      </c>
      <c r="BI42" s="27"/>
      <c r="BJ42" s="26"/>
      <c r="BK42" s="24"/>
      <c r="BL42" s="24"/>
      <c r="BM42" s="24"/>
      <c r="BN42" s="24"/>
      <c r="BO42" s="24"/>
      <c r="BP42" s="24"/>
      <c r="BQ42" s="24"/>
      <c r="BR42" s="24"/>
      <c r="BS42" s="24"/>
      <c r="BT42" s="24"/>
      <c r="BU42" s="24"/>
      <c r="BV42" s="24"/>
      <c r="BW42" s="24"/>
      <c r="BX42" s="24"/>
      <c r="BY42" s="24"/>
      <c r="BZ42" s="24"/>
      <c r="CA42" s="24"/>
      <c r="CB42" s="24"/>
      <c r="CC42" s="24"/>
      <c r="CD42" s="24"/>
      <c r="CE42" s="24"/>
      <c r="CF42" s="24"/>
      <c r="CG42" s="24"/>
      <c r="CH42" s="24"/>
      <c r="CI42" s="24"/>
      <c r="CJ42" s="24"/>
      <c r="CK42" s="24"/>
      <c r="CL42" s="24"/>
      <c r="CM42" s="24"/>
      <c r="CN42" s="24"/>
      <c r="CO42" s="24"/>
      <c r="CP42" s="24"/>
      <c r="CQ42" s="24"/>
      <c r="CR42" s="24"/>
      <c r="CS42" s="24"/>
      <c r="CT42" s="24"/>
      <c r="CU42" s="24"/>
      <c r="CV42" s="24"/>
      <c r="CW42" s="24"/>
      <c r="CX42" s="24"/>
      <c r="CY42" s="24"/>
      <c r="CZ42" s="24"/>
      <c r="DA42" s="24"/>
      <c r="DB42" s="24"/>
      <c r="DC42" s="24"/>
      <c r="DD42" s="24"/>
      <c r="DE42" s="24"/>
      <c r="DF42" s="24"/>
      <c r="DG42" s="24"/>
      <c r="DH42" s="24"/>
      <c r="DI42" s="24"/>
      <c r="DJ42" s="24"/>
      <c r="DK42" s="24"/>
      <c r="DL42" s="24"/>
      <c r="DM42" s="24"/>
      <c r="DN42" s="24"/>
      <c r="DO42" s="24"/>
      <c r="DP42" s="24"/>
      <c r="DQ42" s="25"/>
      <c r="DR42" s="25"/>
      <c r="DS42" s="25"/>
      <c r="DT42" s="24"/>
      <c r="DU42" s="24"/>
      <c r="DV42" s="24"/>
      <c r="DW42" s="24"/>
      <c r="DX42" s="24"/>
      <c r="DY42" s="24"/>
      <c r="DZ42" s="24"/>
      <c r="EA42" s="24"/>
      <c r="EB42" s="24"/>
      <c r="EC42" s="24"/>
      <c r="ED42" s="24"/>
      <c r="EE42" s="24"/>
      <c r="EF42" s="24"/>
      <c r="EG42" s="24"/>
      <c r="EH42" s="24"/>
      <c r="EI42" s="24"/>
      <c r="EJ42" s="24"/>
      <c r="EK42" s="24"/>
      <c r="EL42" s="24"/>
      <c r="EM42" s="24"/>
      <c r="EN42" s="24"/>
      <c r="EO42" s="24"/>
      <c r="EP42" s="24"/>
      <c r="EQ42" s="24"/>
      <c r="ER42" s="24"/>
      <c r="ES42" s="24"/>
      <c r="ET42" s="24"/>
      <c r="EU42" s="24"/>
      <c r="EV42" s="24"/>
      <c r="EW42" s="24"/>
      <c r="EX42" s="24"/>
      <c r="EY42" s="24"/>
      <c r="EZ42" s="24"/>
      <c r="FA42" s="24"/>
      <c r="FB42" s="24"/>
      <c r="FC42" s="24"/>
      <c r="FD42" s="24"/>
      <c r="FE42" s="24"/>
      <c r="FF42" s="24"/>
      <c r="FG42" s="24"/>
      <c r="FH42" s="24"/>
      <c r="FI42" s="24"/>
      <c r="FJ42" s="24"/>
      <c r="FK42" s="24"/>
      <c r="FL42" s="24"/>
      <c r="FM42" s="24"/>
      <c r="FN42" s="24"/>
      <c r="FO42" s="24"/>
      <c r="FP42" s="24"/>
      <c r="FQ42" s="24"/>
      <c r="FR42" s="24"/>
      <c r="FS42" s="24"/>
      <c r="FT42" s="24"/>
      <c r="FU42" s="24"/>
      <c r="FV42" s="24"/>
      <c r="FW42" s="24"/>
      <c r="FX42" s="24"/>
      <c r="FY42" s="24"/>
      <c r="FZ42" s="24"/>
      <c r="GA42" s="24"/>
      <c r="GB42" s="24"/>
      <c r="GC42" s="24"/>
      <c r="GD42" s="24"/>
      <c r="GE42" s="24"/>
      <c r="GF42" s="24"/>
      <c r="GG42" s="24"/>
      <c r="GH42" s="24"/>
      <c r="GI42" s="24"/>
      <c r="GJ42" s="24"/>
      <c r="GK42" s="24"/>
      <c r="GL42" s="24"/>
      <c r="GM42" s="24"/>
      <c r="GN42" s="24"/>
      <c r="GO42" s="24"/>
      <c r="GP42" s="24"/>
      <c r="GQ42" s="24"/>
      <c r="GR42" s="24"/>
      <c r="GS42" s="23"/>
      <c r="GT42" s="23"/>
      <c r="GU42" s="23"/>
      <c r="GV42" s="23"/>
      <c r="GW42" s="22"/>
      <c r="GX42" s="22"/>
      <c r="GY42" s="22"/>
      <c r="GZ42" s="22"/>
      <c r="HA42" s="22"/>
      <c r="HB42" s="22"/>
      <c r="HC42" s="22"/>
      <c r="HD42" s="22"/>
      <c r="HE42" s="22"/>
      <c r="HF42" s="22"/>
      <c r="HG42" s="22"/>
      <c r="HH42" s="22"/>
      <c r="HI42" s="22"/>
      <c r="HJ42" s="22"/>
      <c r="HK42" s="22"/>
      <c r="HL42" s="21"/>
      <c r="HM42" s="19"/>
      <c r="HN42" s="19"/>
      <c r="HO42" s="19"/>
      <c r="HP42" s="20"/>
      <c r="HQ42" s="19"/>
      <c r="HR42" s="16"/>
      <c r="HS42" s="16"/>
      <c r="HT42" s="18"/>
      <c r="HU42" s="16"/>
      <c r="HV42" s="16"/>
      <c r="HW42" s="16"/>
      <c r="HX42" s="15"/>
      <c r="HY42" s="15"/>
      <c r="HZ42" s="15"/>
      <c r="IA42" s="15"/>
      <c r="IB42" s="15"/>
      <c r="IC42" s="16"/>
      <c r="ID42" s="16"/>
      <c r="IE42" s="15"/>
      <c r="IF42" s="15"/>
      <c r="IG42" s="15"/>
      <c r="IH42" s="15"/>
      <c r="II42" s="15"/>
      <c r="IJ42" s="15"/>
      <c r="IK42" s="15"/>
      <c r="IL42" s="15"/>
      <c r="IM42" s="15"/>
      <c r="IN42" s="15"/>
      <c r="IO42" s="15"/>
      <c r="IP42" s="17"/>
      <c r="IQ42" s="15"/>
      <c r="IR42" s="15"/>
      <c r="IS42" s="15"/>
      <c r="IT42" s="15"/>
      <c r="IU42" s="15"/>
      <c r="IV42" s="15"/>
      <c r="IW42" s="15"/>
      <c r="IX42" s="15"/>
      <c r="IY42" s="15"/>
      <c r="IZ42" s="15"/>
      <c r="JA42" s="15"/>
      <c r="JB42" s="15"/>
      <c r="JC42" s="15"/>
      <c r="JD42" s="15"/>
      <c r="JE42" s="15"/>
      <c r="JF42" s="15"/>
      <c r="JG42" s="15"/>
      <c r="JH42" s="15"/>
      <c r="JI42" s="15"/>
      <c r="JJ42" s="15"/>
      <c r="JK42" s="15"/>
      <c r="JL42" s="15"/>
      <c r="JM42" s="15"/>
      <c r="JN42" s="16"/>
      <c r="JO42" s="16"/>
      <c r="JP42" s="16"/>
      <c r="JQ42" s="16"/>
      <c r="JR42" s="16"/>
      <c r="JS42" s="16"/>
      <c r="JT42" s="16"/>
      <c r="JU42" s="16"/>
      <c r="JV42" s="16"/>
      <c r="JW42" s="16"/>
      <c r="JX42" s="16"/>
      <c r="JY42" s="16"/>
      <c r="JZ42" s="16"/>
      <c r="KA42" s="16"/>
      <c r="KB42" s="16"/>
      <c r="KC42" s="16"/>
      <c r="KD42" s="16"/>
      <c r="KE42" s="16"/>
      <c r="KF42" s="16"/>
      <c r="KG42" s="16"/>
      <c r="KH42" s="16"/>
      <c r="KI42" s="16"/>
      <c r="KJ42" s="16"/>
      <c r="KK42" s="16"/>
      <c r="KL42" s="16"/>
      <c r="KM42" s="16"/>
      <c r="KN42" s="16"/>
      <c r="KO42" s="16"/>
      <c r="KP42" s="16"/>
      <c r="KQ42" s="16"/>
      <c r="KR42" s="16"/>
      <c r="KS42" s="16"/>
      <c r="KT42" s="15"/>
      <c r="KU42" s="15"/>
      <c r="KV42" s="15"/>
      <c r="KW42" s="15"/>
      <c r="KX42" s="15"/>
      <c r="KY42" s="15"/>
      <c r="KZ42" s="15"/>
      <c r="LA42" s="15"/>
      <c r="LB42" s="15"/>
      <c r="LC42" s="15"/>
      <c r="LD42" s="15"/>
      <c r="LE42" s="15"/>
      <c r="LF42" s="15"/>
      <c r="LG42" s="15"/>
      <c r="LH42" s="15"/>
      <c r="LI42" s="15"/>
      <c r="LJ42" s="15"/>
      <c r="LK42" s="15"/>
      <c r="LL42" s="15"/>
      <c r="LM42" s="15"/>
      <c r="LN42" s="473">
        <f t="shared" si="12"/>
        <v>0</v>
      </c>
    </row>
    <row r="43" spans="1:326" ht="14.7" customHeight="1">
      <c r="A43" s="1167" t="s">
        <v>598</v>
      </c>
      <c r="B43" s="60"/>
      <c r="C43" s="60"/>
      <c r="D43" s="60"/>
      <c r="E43" s="60"/>
      <c r="F43" s="60"/>
      <c r="G43" s="60"/>
      <c r="H43" s="60"/>
      <c r="I43" s="60"/>
      <c r="J43" s="60"/>
      <c r="K43" s="60"/>
      <c r="L43" s="60"/>
      <c r="M43" s="60"/>
      <c r="N43" s="61"/>
      <c r="O43" s="60"/>
      <c r="P43" s="738" t="s">
        <v>219</v>
      </c>
      <c r="Q43" s="626">
        <v>4.4999999999999997E-3</v>
      </c>
      <c r="R43" s="626">
        <v>4.4999999999999997E-3</v>
      </c>
      <c r="S43" s="626">
        <v>4.4999999999999997E-3</v>
      </c>
      <c r="T43" s="626">
        <v>4.4999999999999997E-3</v>
      </c>
      <c r="U43" s="626">
        <v>4.4999999999999997E-3</v>
      </c>
      <c r="V43" s="626">
        <v>4.4999999999999997E-3</v>
      </c>
      <c r="W43" s="626">
        <v>4.4999999999999997E-3</v>
      </c>
      <c r="X43" s="626">
        <v>4.4999999999999997E-3</v>
      </c>
      <c r="Y43" s="626">
        <v>4.4999999999999997E-3</v>
      </c>
      <c r="Z43" s="626">
        <v>4.4999999999999997E-3</v>
      </c>
      <c r="AA43" s="626">
        <v>4.4999999999999997E-3</v>
      </c>
      <c r="AB43" s="626">
        <v>4.4999999999999997E-3</v>
      </c>
      <c r="AC43" s="626">
        <v>4.4999999999999997E-3</v>
      </c>
      <c r="AD43" s="626">
        <v>4.4999999999999997E-3</v>
      </c>
      <c r="AE43" s="626">
        <v>4.4999999999999997E-3</v>
      </c>
      <c r="AF43" s="626">
        <v>4.4999999999999997E-3</v>
      </c>
      <c r="AG43" s="614">
        <v>4.4999999999999997E-3</v>
      </c>
      <c r="AH43" s="614">
        <v>4.4999999999999997E-3</v>
      </c>
      <c r="AI43" s="590">
        <v>4.4999999999999997E-3</v>
      </c>
      <c r="AJ43" s="595" t="s">
        <v>599</v>
      </c>
      <c r="AK43" s="593"/>
      <c r="AL43" s="593"/>
      <c r="AM43" s="593"/>
      <c r="AN43" s="593"/>
      <c r="AO43" s="593"/>
      <c r="AP43" s="593"/>
      <c r="AQ43" s="593"/>
      <c r="AR43" s="593"/>
      <c r="AS43" s="593"/>
      <c r="AT43" s="593"/>
      <c r="AU43" s="593"/>
      <c r="AV43" s="593"/>
      <c r="AW43" s="593"/>
      <c r="AX43" s="593"/>
      <c r="AY43" s="592"/>
      <c r="AZ43" s="593"/>
      <c r="BA43" s="593"/>
      <c r="BB43" s="593"/>
      <c r="BC43" s="593"/>
      <c r="BD43" s="593"/>
      <c r="BE43" s="593"/>
      <c r="BF43" s="593"/>
      <c r="BG43" s="593"/>
      <c r="BH43" s="594"/>
      <c r="BI43" s="26"/>
      <c r="BJ43" s="26"/>
      <c r="BK43" s="24"/>
      <c r="BL43" s="24"/>
      <c r="BM43" s="24"/>
      <c r="BN43" s="24"/>
      <c r="BO43" s="24"/>
      <c r="BP43" s="24"/>
      <c r="BQ43" s="24"/>
      <c r="BR43" s="24"/>
      <c r="BS43" s="24"/>
      <c r="BT43" s="24"/>
      <c r="BU43" s="24"/>
      <c r="BV43" s="24"/>
      <c r="BW43" s="24"/>
      <c r="BX43" s="24"/>
      <c r="BY43" s="24"/>
      <c r="BZ43" s="24"/>
      <c r="CA43" s="24"/>
      <c r="CB43" s="24"/>
      <c r="CC43" s="24"/>
      <c r="CD43" s="24"/>
      <c r="CE43" s="24"/>
      <c r="CF43" s="24"/>
      <c r="CG43" s="24"/>
      <c r="CH43" s="24"/>
      <c r="CI43" s="24"/>
      <c r="CJ43" s="24"/>
      <c r="CK43" s="24"/>
      <c r="CL43" s="24"/>
      <c r="CM43" s="24"/>
      <c r="CN43" s="24"/>
      <c r="CO43" s="24"/>
      <c r="CP43" s="24"/>
      <c r="CQ43" s="24"/>
      <c r="CR43" s="24"/>
      <c r="CS43" s="24"/>
      <c r="CT43" s="24"/>
      <c r="CU43" s="24"/>
      <c r="CV43" s="24"/>
      <c r="CW43" s="24"/>
      <c r="CX43" s="24"/>
      <c r="CY43" s="24"/>
      <c r="CZ43" s="24"/>
      <c r="DA43" s="24"/>
      <c r="DB43" s="24"/>
      <c r="DC43" s="24"/>
      <c r="DD43" s="24"/>
      <c r="DE43" s="24"/>
      <c r="DF43" s="24"/>
      <c r="DG43" s="24"/>
      <c r="DH43" s="24"/>
      <c r="DI43" s="24"/>
      <c r="DJ43" s="24"/>
      <c r="DK43" s="24"/>
      <c r="DL43" s="24"/>
      <c r="DM43" s="24"/>
      <c r="DN43" s="24"/>
      <c r="DO43" s="24"/>
      <c r="DP43" s="24"/>
      <c r="DQ43" s="25"/>
      <c r="DR43" s="25"/>
      <c r="DS43" s="25"/>
      <c r="DT43" s="24"/>
      <c r="DU43" s="24"/>
      <c r="DV43" s="24"/>
      <c r="DW43" s="24"/>
      <c r="DX43" s="24"/>
      <c r="DY43" s="24"/>
      <c r="DZ43" s="24"/>
      <c r="EA43" s="24"/>
      <c r="EB43" s="24"/>
      <c r="EC43" s="24"/>
      <c r="ED43" s="24"/>
      <c r="EE43" s="24"/>
      <c r="EF43" s="24"/>
      <c r="EG43" s="24"/>
      <c r="EH43" s="24"/>
      <c r="EI43" s="24"/>
      <c r="EJ43" s="24"/>
      <c r="EK43" s="24"/>
      <c r="EL43" s="24"/>
      <c r="EM43" s="24"/>
      <c r="EN43" s="24"/>
      <c r="EO43" s="24"/>
      <c r="EP43" s="24"/>
      <c r="EQ43" s="24"/>
      <c r="ER43" s="24"/>
      <c r="ES43" s="24"/>
      <c r="ET43" s="24"/>
      <c r="EU43" s="24"/>
      <c r="EV43" s="24"/>
      <c r="EW43" s="24"/>
      <c r="EX43" s="24"/>
      <c r="EY43" s="24"/>
      <c r="EZ43" s="24"/>
      <c r="FA43" s="24"/>
      <c r="FB43" s="24"/>
      <c r="FC43" s="24"/>
      <c r="FD43" s="24"/>
      <c r="FE43" s="24"/>
      <c r="FF43" s="24"/>
      <c r="FG43" s="24"/>
      <c r="FH43" s="24"/>
      <c r="FI43" s="24"/>
      <c r="FJ43" s="24"/>
      <c r="FK43" s="24"/>
      <c r="FL43" s="24"/>
      <c r="FM43" s="24"/>
      <c r="FN43" s="24"/>
      <c r="FO43" s="24"/>
      <c r="FP43" s="24"/>
      <c r="FQ43" s="24"/>
      <c r="FR43" s="24"/>
      <c r="FS43" s="24"/>
      <c r="FT43" s="24"/>
      <c r="FU43" s="24"/>
      <c r="FV43" s="24"/>
      <c r="FW43" s="24"/>
      <c r="FX43" s="24"/>
      <c r="FY43" s="24"/>
      <c r="FZ43" s="24"/>
      <c r="GA43" s="24"/>
      <c r="GB43" s="24"/>
      <c r="GC43" s="24"/>
      <c r="GD43" s="24"/>
      <c r="GE43" s="24"/>
      <c r="GF43" s="24"/>
      <c r="GG43" s="24"/>
      <c r="GH43" s="24"/>
      <c r="GI43" s="24"/>
      <c r="GJ43" s="24"/>
      <c r="GK43" s="24"/>
      <c r="GL43" s="24"/>
      <c r="GM43" s="24"/>
      <c r="GN43" s="24"/>
      <c r="GO43" s="24"/>
      <c r="GP43" s="24"/>
      <c r="GQ43" s="24"/>
      <c r="GR43" s="24"/>
      <c r="GS43" s="23"/>
      <c r="GT43" s="23"/>
      <c r="GU43" s="23"/>
      <c r="GV43" s="23"/>
      <c r="GW43" s="22"/>
      <c r="GX43" s="22"/>
      <c r="GY43" s="22"/>
      <c r="GZ43" s="22"/>
      <c r="HA43" s="22"/>
      <c r="HB43" s="22"/>
      <c r="HC43" s="22"/>
      <c r="HD43" s="22"/>
      <c r="HE43" s="22"/>
      <c r="HF43" s="22"/>
      <c r="HG43" s="22"/>
      <c r="HH43" s="22"/>
      <c r="HI43" s="22"/>
      <c r="HJ43" s="22"/>
      <c r="HK43" s="22"/>
      <c r="HL43" s="21"/>
      <c r="HM43" s="19"/>
      <c r="HN43" s="19"/>
      <c r="HO43" s="19"/>
      <c r="HP43" s="20"/>
      <c r="HQ43" s="19"/>
      <c r="HR43" s="16"/>
      <c r="HS43" s="16"/>
      <c r="HT43" s="18"/>
      <c r="HU43" s="16"/>
      <c r="HV43" s="16"/>
      <c r="HW43" s="16"/>
      <c r="HX43" s="15"/>
      <c r="HY43" s="15"/>
      <c r="HZ43" s="15"/>
      <c r="IA43" s="15"/>
      <c r="IB43" s="15"/>
      <c r="IC43" s="16"/>
      <c r="ID43" s="16"/>
      <c r="IE43" s="15"/>
      <c r="IF43" s="15"/>
      <c r="IG43" s="15"/>
      <c r="IH43" s="15"/>
      <c r="II43" s="15"/>
      <c r="IJ43" s="15"/>
      <c r="IK43" s="15"/>
      <c r="IL43" s="15"/>
      <c r="IM43" s="15"/>
      <c r="IN43" s="15"/>
      <c r="IO43" s="15"/>
      <c r="IP43" s="17"/>
      <c r="IQ43" s="15"/>
      <c r="IR43" s="15"/>
      <c r="IS43" s="15"/>
      <c r="IT43" s="15"/>
      <c r="IU43" s="15"/>
      <c r="IV43" s="15"/>
      <c r="IW43" s="15"/>
      <c r="IX43" s="15"/>
      <c r="IY43" s="15"/>
      <c r="IZ43" s="15"/>
      <c r="JA43" s="15"/>
      <c r="JB43" s="15"/>
      <c r="JC43" s="15"/>
      <c r="JD43" s="15"/>
      <c r="JE43" s="15"/>
      <c r="JF43" s="15"/>
      <c r="JG43" s="15"/>
      <c r="JH43" s="15"/>
      <c r="JI43" s="15"/>
      <c r="JJ43" s="15"/>
      <c r="JK43" s="15"/>
      <c r="JL43" s="15"/>
      <c r="JM43" s="15"/>
      <c r="JN43" s="16"/>
      <c r="JO43" s="16"/>
      <c r="JP43" s="16"/>
      <c r="JQ43" s="16"/>
      <c r="JR43" s="16"/>
      <c r="JS43" s="16"/>
      <c r="JT43" s="16"/>
      <c r="JU43" s="16"/>
      <c r="JV43" s="16"/>
      <c r="JW43" s="16"/>
      <c r="JX43" s="16"/>
      <c r="JY43" s="16"/>
      <c r="JZ43" s="16"/>
      <c r="KA43" s="16"/>
      <c r="KB43" s="16"/>
      <c r="KC43" s="16"/>
      <c r="KD43" s="16"/>
      <c r="KE43" s="16"/>
      <c r="KF43" s="16"/>
      <c r="KG43" s="16"/>
      <c r="KH43" s="16"/>
      <c r="KI43" s="16"/>
      <c r="KJ43" s="16"/>
      <c r="KK43" s="16"/>
      <c r="KL43" s="16"/>
      <c r="KM43" s="16"/>
      <c r="KN43" s="16"/>
      <c r="KO43" s="16"/>
      <c r="KP43" s="16"/>
      <c r="KQ43" s="16"/>
      <c r="KR43" s="16"/>
      <c r="KS43" s="16"/>
      <c r="KT43" s="15"/>
      <c r="KU43" s="15"/>
      <c r="KV43" s="15"/>
      <c r="KW43" s="15"/>
      <c r="KX43" s="15"/>
      <c r="KY43" s="15"/>
      <c r="KZ43" s="15"/>
      <c r="LA43" s="15"/>
      <c r="LB43" s="15"/>
      <c r="LC43" s="15"/>
      <c r="LD43" s="15"/>
      <c r="LE43" s="15"/>
      <c r="LF43" s="15"/>
      <c r="LG43" s="15"/>
      <c r="LH43" s="15"/>
      <c r="LI43" s="15"/>
      <c r="LJ43" s="15"/>
      <c r="LK43" s="15"/>
      <c r="LL43" s="15"/>
      <c r="LM43" s="15"/>
      <c r="LN43" s="473">
        <f t="shared" si="12"/>
        <v>0</v>
      </c>
    </row>
    <row r="44" spans="1:326" ht="14.7" customHeight="1">
      <c r="A44" s="1168"/>
      <c r="B44" s="60"/>
      <c r="C44" s="60"/>
      <c r="D44" s="60"/>
      <c r="E44" s="60"/>
      <c r="F44" s="60"/>
      <c r="G44" s="60"/>
      <c r="H44" s="60"/>
      <c r="I44" s="60"/>
      <c r="J44" s="60"/>
      <c r="K44" s="60"/>
      <c r="L44" s="60"/>
      <c r="M44" s="60"/>
      <c r="N44" s="61"/>
      <c r="O44" s="60"/>
      <c r="P44" s="738" t="s">
        <v>218</v>
      </c>
      <c r="Q44" s="626">
        <v>5.4999999999999997E-3</v>
      </c>
      <c r="R44" s="626">
        <v>5.4999999999999997E-3</v>
      </c>
      <c r="S44" s="626">
        <v>5.4999999999999997E-3</v>
      </c>
      <c r="T44" s="626">
        <v>5.4999999999999997E-3</v>
      </c>
      <c r="U44" s="626">
        <v>5.4999999999999997E-3</v>
      </c>
      <c r="V44" s="626">
        <v>5.4999999999999997E-3</v>
      </c>
      <c r="W44" s="626">
        <v>5.4999999999999997E-3</v>
      </c>
      <c r="X44" s="626">
        <v>5.4999999999999997E-3</v>
      </c>
      <c r="Y44" s="626">
        <v>5.4999999999999997E-3</v>
      </c>
      <c r="Z44" s="626">
        <v>5.4999999999999997E-3</v>
      </c>
      <c r="AA44" s="626">
        <v>5.4999999999999997E-3</v>
      </c>
      <c r="AB44" s="626">
        <v>5.4999999999999997E-3</v>
      </c>
      <c r="AC44" s="626">
        <v>5.4999999999999997E-3</v>
      </c>
      <c r="AD44" s="626">
        <v>5.4999999999999997E-3</v>
      </c>
      <c r="AE44" s="626">
        <v>5.4999999999999997E-3</v>
      </c>
      <c r="AF44" s="626">
        <v>5.4999999999999997E-3</v>
      </c>
      <c r="AG44" s="614">
        <v>5.4999999999999997E-3</v>
      </c>
      <c r="AH44" s="614">
        <v>5.4999999999999997E-3</v>
      </c>
      <c r="AI44" s="590">
        <v>5.4999999999999997E-3</v>
      </c>
      <c r="AJ44" s="595" t="s">
        <v>599</v>
      </c>
      <c r="AK44" s="593"/>
      <c r="AL44" s="593"/>
      <c r="AM44" s="593"/>
      <c r="AN44" s="593"/>
      <c r="AO44" s="593"/>
      <c r="AP44" s="593"/>
      <c r="AQ44" s="593"/>
      <c r="AR44" s="593"/>
      <c r="AS44" s="593"/>
      <c r="AT44" s="593"/>
      <c r="AU44" s="593"/>
      <c r="AV44" s="593"/>
      <c r="AW44" s="593"/>
      <c r="AX44" s="593"/>
      <c r="AY44" s="592"/>
      <c r="AZ44" s="593"/>
      <c r="BA44" s="593"/>
      <c r="BB44" s="593"/>
      <c r="BC44" s="593"/>
      <c r="BD44" s="593"/>
      <c r="BE44" s="593"/>
      <c r="BF44" s="593"/>
      <c r="BG44" s="593"/>
      <c r="BH44" s="594"/>
      <c r="BI44" s="26"/>
      <c r="BJ44" s="26"/>
      <c r="BK44" s="24"/>
      <c r="BL44" s="24"/>
      <c r="BM44" s="24"/>
      <c r="BN44" s="24"/>
      <c r="BO44" s="24"/>
      <c r="BP44" s="24"/>
      <c r="BQ44" s="24"/>
      <c r="BR44" s="24"/>
      <c r="BS44" s="24"/>
      <c r="BT44" s="24"/>
      <c r="BU44" s="24"/>
      <c r="BV44" s="24"/>
      <c r="BW44" s="24"/>
      <c r="BX44" s="24"/>
      <c r="BY44" s="24"/>
      <c r="BZ44" s="24"/>
      <c r="CA44" s="24"/>
      <c r="CB44" s="24"/>
      <c r="CC44" s="24"/>
      <c r="CD44" s="24"/>
      <c r="CE44" s="24"/>
      <c r="CF44" s="24"/>
      <c r="CG44" s="24"/>
      <c r="CH44" s="24"/>
      <c r="CI44" s="24"/>
      <c r="CJ44" s="24"/>
      <c r="CK44" s="24"/>
      <c r="CL44" s="24"/>
      <c r="CM44" s="24"/>
      <c r="CN44" s="24"/>
      <c r="CO44" s="24"/>
      <c r="CP44" s="24"/>
      <c r="CQ44" s="24"/>
      <c r="CR44" s="24"/>
      <c r="CS44" s="24"/>
      <c r="CT44" s="24"/>
      <c r="CU44" s="24"/>
      <c r="CV44" s="24"/>
      <c r="CW44" s="24"/>
      <c r="CX44" s="24"/>
      <c r="CY44" s="24"/>
      <c r="CZ44" s="24"/>
      <c r="DA44" s="24"/>
      <c r="DB44" s="24"/>
      <c r="DC44" s="24"/>
      <c r="DD44" s="24"/>
      <c r="DE44" s="24"/>
      <c r="DF44" s="24"/>
      <c r="DG44" s="24"/>
      <c r="DH44" s="24"/>
      <c r="DI44" s="24"/>
      <c r="DJ44" s="24"/>
      <c r="DK44" s="24"/>
      <c r="DL44" s="24"/>
      <c r="DM44" s="24"/>
      <c r="DN44" s="24"/>
      <c r="DO44" s="24"/>
      <c r="DP44" s="24"/>
      <c r="DQ44" s="25"/>
      <c r="DR44" s="25"/>
      <c r="DS44" s="25"/>
      <c r="DT44" s="24"/>
      <c r="DU44" s="24"/>
      <c r="DV44" s="24"/>
      <c r="DW44" s="24"/>
      <c r="DX44" s="24"/>
      <c r="DY44" s="24"/>
      <c r="DZ44" s="24"/>
      <c r="EA44" s="24"/>
      <c r="EB44" s="24"/>
      <c r="EC44" s="24"/>
      <c r="ED44" s="24"/>
      <c r="EE44" s="24"/>
      <c r="EF44" s="24"/>
      <c r="EG44" s="24"/>
      <c r="EH44" s="24"/>
      <c r="EI44" s="24"/>
      <c r="EJ44" s="24"/>
      <c r="EK44" s="24"/>
      <c r="EL44" s="24"/>
      <c r="EM44" s="24"/>
      <c r="EN44" s="24"/>
      <c r="EO44" s="24"/>
      <c r="EP44" s="24"/>
      <c r="EQ44" s="24"/>
      <c r="ER44" s="24"/>
      <c r="ES44" s="24"/>
      <c r="ET44" s="24"/>
      <c r="EU44" s="24"/>
      <c r="EV44" s="24"/>
      <c r="EW44" s="24"/>
      <c r="EX44" s="24"/>
      <c r="EY44" s="24"/>
      <c r="EZ44" s="24"/>
      <c r="FA44" s="24"/>
      <c r="FB44" s="24"/>
      <c r="FC44" s="24"/>
      <c r="FD44" s="24"/>
      <c r="FE44" s="24"/>
      <c r="FF44" s="24"/>
      <c r="FG44" s="24"/>
      <c r="FH44" s="24"/>
      <c r="FI44" s="24"/>
      <c r="FJ44" s="24"/>
      <c r="FK44" s="24"/>
      <c r="FL44" s="24"/>
      <c r="FM44" s="24"/>
      <c r="FN44" s="24"/>
      <c r="FO44" s="24"/>
      <c r="FP44" s="24"/>
      <c r="FQ44" s="24"/>
      <c r="FR44" s="24"/>
      <c r="FS44" s="24"/>
      <c r="FT44" s="24"/>
      <c r="FU44" s="24"/>
      <c r="FV44" s="24"/>
      <c r="FW44" s="24"/>
      <c r="FX44" s="24"/>
      <c r="FY44" s="24"/>
      <c r="FZ44" s="24"/>
      <c r="GA44" s="24"/>
      <c r="GB44" s="24"/>
      <c r="GC44" s="24"/>
      <c r="GD44" s="24"/>
      <c r="GE44" s="24"/>
      <c r="GF44" s="24"/>
      <c r="GG44" s="24"/>
      <c r="GH44" s="24"/>
      <c r="GI44" s="24"/>
      <c r="GJ44" s="24"/>
      <c r="GK44" s="24"/>
      <c r="GL44" s="24"/>
      <c r="GM44" s="24"/>
      <c r="GN44" s="24"/>
      <c r="GO44" s="24"/>
      <c r="GP44" s="24"/>
      <c r="GQ44" s="24"/>
      <c r="GR44" s="24"/>
      <c r="GS44" s="23"/>
      <c r="GT44" s="23"/>
      <c r="GU44" s="23"/>
      <c r="GV44" s="23"/>
      <c r="GW44" s="22"/>
      <c r="GX44" s="22"/>
      <c r="GY44" s="22"/>
      <c r="GZ44" s="22"/>
      <c r="HA44" s="22"/>
      <c r="HB44" s="22"/>
      <c r="HC44" s="22"/>
      <c r="HD44" s="22"/>
      <c r="HE44" s="22"/>
      <c r="HF44" s="22"/>
      <c r="HG44" s="22"/>
      <c r="HH44" s="22"/>
      <c r="HI44" s="22"/>
      <c r="HJ44" s="22"/>
      <c r="HK44" s="22"/>
      <c r="HL44" s="21"/>
      <c r="HM44" s="19"/>
      <c r="HN44" s="19"/>
      <c r="HO44" s="19"/>
      <c r="HP44" s="20"/>
      <c r="HQ44" s="19"/>
      <c r="HR44" s="16"/>
      <c r="HS44" s="16"/>
      <c r="HT44" s="18"/>
      <c r="HU44" s="16"/>
      <c r="HV44" s="16"/>
      <c r="HW44" s="16"/>
      <c r="HX44" s="15"/>
      <c r="HY44" s="15"/>
      <c r="HZ44" s="15"/>
      <c r="IA44" s="15"/>
      <c r="IB44" s="15"/>
      <c r="IC44" s="16"/>
      <c r="ID44" s="16"/>
      <c r="IE44" s="15"/>
      <c r="IF44" s="15"/>
      <c r="IG44" s="15"/>
      <c r="IH44" s="15"/>
      <c r="II44" s="15"/>
      <c r="IJ44" s="15"/>
      <c r="IK44" s="15"/>
      <c r="IL44" s="15"/>
      <c r="IM44" s="15"/>
      <c r="IN44" s="15"/>
      <c r="IO44" s="15"/>
      <c r="IP44" s="17"/>
      <c r="IQ44" s="15"/>
      <c r="IR44" s="15"/>
      <c r="IS44" s="15"/>
      <c r="IT44" s="15"/>
      <c r="IU44" s="15"/>
      <c r="IV44" s="15"/>
      <c r="IW44" s="15"/>
      <c r="IX44" s="15"/>
      <c r="IY44" s="15"/>
      <c r="IZ44" s="15"/>
      <c r="JA44" s="15"/>
      <c r="JB44" s="15"/>
      <c r="JC44" s="15"/>
      <c r="JD44" s="15"/>
      <c r="JE44" s="15"/>
      <c r="JF44" s="15"/>
      <c r="JG44" s="15"/>
      <c r="JH44" s="15"/>
      <c r="JI44" s="15"/>
      <c r="JJ44" s="15"/>
      <c r="JK44" s="15"/>
      <c r="JL44" s="15"/>
      <c r="JM44" s="15"/>
      <c r="JN44" s="16"/>
      <c r="JO44" s="16"/>
      <c r="JP44" s="16"/>
      <c r="JQ44" s="16"/>
      <c r="JR44" s="16"/>
      <c r="JS44" s="16"/>
      <c r="JT44" s="16"/>
      <c r="JU44" s="16"/>
      <c r="JV44" s="16"/>
      <c r="JW44" s="16"/>
      <c r="JX44" s="16"/>
      <c r="JY44" s="16"/>
      <c r="JZ44" s="16"/>
      <c r="KA44" s="16"/>
      <c r="KB44" s="16"/>
      <c r="KC44" s="16"/>
      <c r="KD44" s="16"/>
      <c r="KE44" s="16"/>
      <c r="KF44" s="16"/>
      <c r="KG44" s="16"/>
      <c r="KH44" s="16"/>
      <c r="KI44" s="16"/>
      <c r="KJ44" s="16"/>
      <c r="KK44" s="16"/>
      <c r="KL44" s="16"/>
      <c r="KM44" s="16"/>
      <c r="KN44" s="16"/>
      <c r="KO44" s="16"/>
      <c r="KP44" s="16"/>
      <c r="KQ44" s="16"/>
      <c r="KR44" s="16"/>
      <c r="KS44" s="16"/>
      <c r="KT44" s="15"/>
      <c r="KU44" s="15"/>
      <c r="KV44" s="15"/>
      <c r="KW44" s="15"/>
      <c r="KX44" s="15"/>
      <c r="KY44" s="15"/>
      <c r="KZ44" s="15"/>
      <c r="LA44" s="15"/>
      <c r="LB44" s="15"/>
      <c r="LC44" s="15"/>
      <c r="LD44" s="15"/>
      <c r="LE44" s="15"/>
      <c r="LF44" s="15"/>
      <c r="LG44" s="15"/>
      <c r="LH44" s="15"/>
      <c r="LI44" s="15"/>
      <c r="LJ44" s="15"/>
      <c r="LK44" s="15"/>
      <c r="LL44" s="15"/>
      <c r="LM44" s="15"/>
      <c r="LN44" s="473">
        <f t="shared" si="12"/>
        <v>0</v>
      </c>
    </row>
    <row r="45" spans="1:326" ht="14.7" customHeight="1">
      <c r="A45" s="1168"/>
      <c r="B45" s="60"/>
      <c r="C45" s="60"/>
      <c r="D45" s="60"/>
      <c r="E45" s="60"/>
      <c r="F45" s="60"/>
      <c r="G45" s="60"/>
      <c r="H45" s="60"/>
      <c r="I45" s="60"/>
      <c r="J45" s="60"/>
      <c r="K45" s="60"/>
      <c r="L45" s="60"/>
      <c r="M45" s="60"/>
      <c r="N45" s="61"/>
      <c r="O45" s="60"/>
      <c r="P45" s="738" t="s">
        <v>217</v>
      </c>
      <c r="Q45" s="626">
        <v>6.0000000000000001E-3</v>
      </c>
      <c r="R45" s="626">
        <v>6.0000000000000001E-3</v>
      </c>
      <c r="S45" s="626">
        <v>6.0000000000000001E-3</v>
      </c>
      <c r="T45" s="626">
        <v>6.0000000000000001E-3</v>
      </c>
      <c r="U45" s="626">
        <v>6.0000000000000001E-3</v>
      </c>
      <c r="V45" s="626">
        <v>6.0000000000000001E-3</v>
      </c>
      <c r="W45" s="626">
        <v>6.0000000000000001E-3</v>
      </c>
      <c r="X45" s="626">
        <v>6.0000000000000001E-3</v>
      </c>
      <c r="Y45" s="626">
        <v>6.0000000000000001E-3</v>
      </c>
      <c r="Z45" s="626">
        <v>6.0000000000000001E-3</v>
      </c>
      <c r="AA45" s="626">
        <v>6.0000000000000001E-3</v>
      </c>
      <c r="AB45" s="626">
        <v>6.0000000000000001E-3</v>
      </c>
      <c r="AC45" s="626">
        <v>6.0000000000000001E-3</v>
      </c>
      <c r="AD45" s="626">
        <v>6.0000000000000001E-3</v>
      </c>
      <c r="AE45" s="626">
        <v>6.0000000000000001E-3</v>
      </c>
      <c r="AF45" s="626">
        <v>6.0000000000000001E-3</v>
      </c>
      <c r="AG45" s="614">
        <v>6.0000000000000001E-3</v>
      </c>
      <c r="AH45" s="614">
        <v>6.0000000000000001E-3</v>
      </c>
      <c r="AI45" s="590">
        <v>6.0000000000000001E-3</v>
      </c>
      <c r="AJ45" s="595" t="s">
        <v>599</v>
      </c>
      <c r="AK45" s="593"/>
      <c r="AL45" s="593"/>
      <c r="AM45" s="593"/>
      <c r="AN45" s="593"/>
      <c r="AO45" s="593"/>
      <c r="AP45" s="593"/>
      <c r="AQ45" s="593"/>
      <c r="AR45" s="593"/>
      <c r="AS45" s="593"/>
      <c r="AT45" s="593"/>
      <c r="AU45" s="593"/>
      <c r="AV45" s="593"/>
      <c r="AW45" s="593"/>
      <c r="AX45" s="593"/>
      <c r="AY45" s="592"/>
      <c r="AZ45" s="593"/>
      <c r="BA45" s="593"/>
      <c r="BB45" s="593"/>
      <c r="BC45" s="593"/>
      <c r="BD45" s="593"/>
      <c r="BE45" s="593"/>
      <c r="BF45" s="593"/>
      <c r="BG45" s="593"/>
      <c r="BH45" s="594"/>
      <c r="BI45" s="26"/>
      <c r="BJ45" s="26"/>
      <c r="BK45" s="24"/>
      <c r="BL45" s="24"/>
      <c r="BM45" s="24"/>
      <c r="BN45" s="24"/>
      <c r="BO45" s="24"/>
      <c r="BP45" s="24"/>
      <c r="BQ45" s="24"/>
      <c r="BR45" s="24"/>
      <c r="BS45" s="24"/>
      <c r="BT45" s="24"/>
      <c r="BU45" s="24"/>
      <c r="BV45" s="24"/>
      <c r="BW45" s="24"/>
      <c r="BX45" s="24"/>
      <c r="BY45" s="24"/>
      <c r="BZ45" s="24"/>
      <c r="CA45" s="24"/>
      <c r="CB45" s="24"/>
      <c r="CC45" s="24"/>
      <c r="CD45" s="24"/>
      <c r="CE45" s="24"/>
      <c r="CF45" s="24"/>
      <c r="CG45" s="24"/>
      <c r="CH45" s="24"/>
      <c r="CI45" s="24"/>
      <c r="CJ45" s="24"/>
      <c r="CK45" s="24"/>
      <c r="CL45" s="24"/>
      <c r="CM45" s="24"/>
      <c r="CN45" s="24"/>
      <c r="CO45" s="24"/>
      <c r="CP45" s="24"/>
      <c r="CQ45" s="24"/>
      <c r="CR45" s="24"/>
      <c r="CS45" s="24"/>
      <c r="CT45" s="24"/>
      <c r="CU45" s="24"/>
      <c r="CV45" s="24"/>
      <c r="CW45" s="24"/>
      <c r="CX45" s="24"/>
      <c r="CY45" s="24"/>
      <c r="CZ45" s="24"/>
      <c r="DA45" s="24"/>
      <c r="DB45" s="24"/>
      <c r="DC45" s="24"/>
      <c r="DD45" s="24"/>
      <c r="DE45" s="24"/>
      <c r="DF45" s="24"/>
      <c r="DG45" s="24"/>
      <c r="DH45" s="24"/>
      <c r="DI45" s="24"/>
      <c r="DJ45" s="24"/>
      <c r="DK45" s="24"/>
      <c r="DL45" s="24"/>
      <c r="DM45" s="24"/>
      <c r="DN45" s="24"/>
      <c r="DO45" s="24"/>
      <c r="DP45" s="24"/>
      <c r="DQ45" s="25"/>
      <c r="DR45" s="25"/>
      <c r="DS45" s="25"/>
      <c r="DT45" s="24"/>
      <c r="DU45" s="24"/>
      <c r="DV45" s="24"/>
      <c r="DW45" s="24"/>
      <c r="DX45" s="24"/>
      <c r="DY45" s="24"/>
      <c r="DZ45" s="24"/>
      <c r="EA45" s="24"/>
      <c r="EB45" s="24"/>
      <c r="EC45" s="24"/>
      <c r="ED45" s="24"/>
      <c r="EE45" s="24"/>
      <c r="EF45" s="24"/>
      <c r="EG45" s="24"/>
      <c r="EH45" s="24"/>
      <c r="EI45" s="24"/>
      <c r="EJ45" s="24"/>
      <c r="EK45" s="24"/>
      <c r="EL45" s="24"/>
      <c r="EM45" s="24"/>
      <c r="EN45" s="24"/>
      <c r="EO45" s="24"/>
      <c r="EP45" s="24"/>
      <c r="EQ45" s="24"/>
      <c r="ER45" s="24"/>
      <c r="ES45" s="24"/>
      <c r="ET45" s="24"/>
      <c r="EU45" s="24"/>
      <c r="EV45" s="24"/>
      <c r="EW45" s="24"/>
      <c r="EX45" s="24"/>
      <c r="EY45" s="24"/>
      <c r="EZ45" s="24"/>
      <c r="FA45" s="24"/>
      <c r="FB45" s="24"/>
      <c r="FC45" s="24"/>
      <c r="FD45" s="24"/>
      <c r="FE45" s="24"/>
      <c r="FF45" s="24"/>
      <c r="FG45" s="24"/>
      <c r="FH45" s="24"/>
      <c r="FI45" s="24"/>
      <c r="FJ45" s="24"/>
      <c r="FK45" s="24"/>
      <c r="FL45" s="24"/>
      <c r="FM45" s="24"/>
      <c r="FN45" s="24"/>
      <c r="FO45" s="24"/>
      <c r="FP45" s="24"/>
      <c r="FQ45" s="24"/>
      <c r="FR45" s="24"/>
      <c r="FS45" s="24"/>
      <c r="FT45" s="24"/>
      <c r="FU45" s="24"/>
      <c r="FV45" s="24"/>
      <c r="FW45" s="24"/>
      <c r="FX45" s="24"/>
      <c r="FY45" s="24"/>
      <c r="FZ45" s="24"/>
      <c r="GA45" s="24"/>
      <c r="GB45" s="24"/>
      <c r="GC45" s="24"/>
      <c r="GD45" s="24"/>
      <c r="GE45" s="24"/>
      <c r="GF45" s="24"/>
      <c r="GG45" s="24"/>
      <c r="GH45" s="24"/>
      <c r="GI45" s="24"/>
      <c r="GJ45" s="24"/>
      <c r="GK45" s="24"/>
      <c r="GL45" s="24"/>
      <c r="GM45" s="24"/>
      <c r="GN45" s="24"/>
      <c r="GO45" s="24"/>
      <c r="GP45" s="24"/>
      <c r="GQ45" s="24"/>
      <c r="GR45" s="24"/>
      <c r="GS45" s="23"/>
      <c r="GT45" s="23"/>
      <c r="GU45" s="23"/>
      <c r="GV45" s="23"/>
      <c r="GW45" s="22"/>
      <c r="GX45" s="22"/>
      <c r="GY45" s="22"/>
      <c r="GZ45" s="22"/>
      <c r="HA45" s="22"/>
      <c r="HB45" s="22"/>
      <c r="HC45" s="22"/>
      <c r="HD45" s="22"/>
      <c r="HE45" s="22"/>
      <c r="HF45" s="22"/>
      <c r="HG45" s="22"/>
      <c r="HH45" s="22"/>
      <c r="HI45" s="22"/>
      <c r="HJ45" s="22"/>
      <c r="HK45" s="22"/>
      <c r="HL45" s="21"/>
      <c r="HM45" s="19"/>
      <c r="HN45" s="19"/>
      <c r="HO45" s="19"/>
      <c r="HP45" s="20"/>
      <c r="HQ45" s="19"/>
      <c r="HR45" s="16"/>
      <c r="HS45" s="16"/>
      <c r="HT45" s="18"/>
      <c r="HU45" s="16"/>
      <c r="HV45" s="16"/>
      <c r="HW45" s="16"/>
      <c r="HX45" s="15"/>
      <c r="HY45" s="15"/>
      <c r="HZ45" s="15"/>
      <c r="IA45" s="15"/>
      <c r="IB45" s="15"/>
      <c r="IC45" s="16"/>
      <c r="ID45" s="16"/>
      <c r="IE45" s="15"/>
      <c r="IF45" s="15"/>
      <c r="IG45" s="15"/>
      <c r="IH45" s="15"/>
      <c r="II45" s="15"/>
      <c r="IJ45" s="15"/>
      <c r="IK45" s="15"/>
      <c r="IL45" s="15"/>
      <c r="IM45" s="15"/>
      <c r="IN45" s="15"/>
      <c r="IO45" s="15"/>
      <c r="IP45" s="17"/>
      <c r="IQ45" s="15"/>
      <c r="IR45" s="15"/>
      <c r="IS45" s="15"/>
      <c r="IT45" s="15"/>
      <c r="IU45" s="15"/>
      <c r="IV45" s="15"/>
      <c r="IW45" s="15"/>
      <c r="IX45" s="15"/>
      <c r="IY45" s="15"/>
      <c r="IZ45" s="15"/>
      <c r="JA45" s="15"/>
      <c r="JB45" s="15"/>
      <c r="JC45" s="15"/>
      <c r="JD45" s="15"/>
      <c r="JE45" s="15"/>
      <c r="JF45" s="15"/>
      <c r="JG45" s="15"/>
      <c r="JH45" s="15"/>
      <c r="JI45" s="15"/>
      <c r="JJ45" s="15"/>
      <c r="JK45" s="15"/>
      <c r="JL45" s="15"/>
      <c r="JM45" s="15"/>
      <c r="JN45" s="16"/>
      <c r="JO45" s="16"/>
      <c r="JP45" s="16"/>
      <c r="JQ45" s="16"/>
      <c r="JR45" s="16"/>
      <c r="JS45" s="16"/>
      <c r="JT45" s="16"/>
      <c r="JU45" s="16"/>
      <c r="JV45" s="16"/>
      <c r="JW45" s="16"/>
      <c r="JX45" s="16"/>
      <c r="JY45" s="16"/>
      <c r="JZ45" s="16"/>
      <c r="KA45" s="16"/>
      <c r="KB45" s="16"/>
      <c r="KC45" s="16"/>
      <c r="KD45" s="16"/>
      <c r="KE45" s="16"/>
      <c r="KF45" s="16"/>
      <c r="KG45" s="16"/>
      <c r="KH45" s="16"/>
      <c r="KI45" s="16"/>
      <c r="KJ45" s="16"/>
      <c r="KK45" s="16"/>
      <c r="KL45" s="16"/>
      <c r="KM45" s="16"/>
      <c r="KN45" s="16"/>
      <c r="KO45" s="16"/>
      <c r="KP45" s="16"/>
      <c r="KQ45" s="16"/>
      <c r="KR45" s="16"/>
      <c r="KS45" s="16"/>
      <c r="KT45" s="15"/>
      <c r="KU45" s="15"/>
      <c r="KV45" s="15"/>
      <c r="KW45" s="15"/>
      <c r="KX45" s="15"/>
      <c r="KY45" s="15"/>
      <c r="KZ45" s="15"/>
      <c r="LA45" s="15"/>
      <c r="LB45" s="15"/>
      <c r="LC45" s="15"/>
      <c r="LD45" s="15"/>
      <c r="LE45" s="15"/>
      <c r="LF45" s="15"/>
      <c r="LG45" s="15"/>
      <c r="LH45" s="15"/>
      <c r="LI45" s="15"/>
      <c r="LJ45" s="15"/>
      <c r="LK45" s="15"/>
      <c r="LL45" s="15"/>
      <c r="LM45" s="15"/>
      <c r="LN45" s="473">
        <f t="shared" si="12"/>
        <v>0</v>
      </c>
    </row>
    <row r="46" spans="1:326" ht="14.7" customHeight="1">
      <c r="A46" s="1169"/>
      <c r="B46" s="37" t="s">
        <v>58</v>
      </c>
      <c r="C46" s="37" t="s">
        <v>58</v>
      </c>
      <c r="D46" s="37" t="s">
        <v>58</v>
      </c>
      <c r="E46" s="37" t="s">
        <v>57</v>
      </c>
      <c r="F46" s="37"/>
      <c r="G46" s="37"/>
      <c r="H46" s="37" t="s">
        <v>56</v>
      </c>
      <c r="I46" s="37" t="s">
        <v>56</v>
      </c>
      <c r="J46" s="37" t="s">
        <v>56</v>
      </c>
      <c r="K46" s="37" t="s">
        <v>55</v>
      </c>
      <c r="L46" s="37" t="s">
        <v>54</v>
      </c>
      <c r="M46" s="37" t="s">
        <v>54</v>
      </c>
      <c r="N46" s="37" t="s">
        <v>54</v>
      </c>
      <c r="O46" s="37"/>
      <c r="P46" s="738" t="s">
        <v>216</v>
      </c>
      <c r="Q46" s="626">
        <v>7.0000000000000001E-3</v>
      </c>
      <c r="R46" s="626">
        <v>7.0000000000000001E-3</v>
      </c>
      <c r="S46" s="626">
        <v>7.0000000000000001E-3</v>
      </c>
      <c r="T46" s="626">
        <v>7.0000000000000001E-3</v>
      </c>
      <c r="U46" s="626">
        <v>7.0000000000000001E-3</v>
      </c>
      <c r="V46" s="626">
        <v>7.0000000000000001E-3</v>
      </c>
      <c r="W46" s="626">
        <v>7.0000000000000001E-3</v>
      </c>
      <c r="X46" s="626">
        <v>7.0000000000000001E-3</v>
      </c>
      <c r="Y46" s="626">
        <v>7.0000000000000001E-3</v>
      </c>
      <c r="Z46" s="626">
        <v>7.0000000000000001E-3</v>
      </c>
      <c r="AA46" s="626">
        <v>7.0000000000000001E-3</v>
      </c>
      <c r="AB46" s="626">
        <v>7.0000000000000001E-3</v>
      </c>
      <c r="AC46" s="626">
        <v>7.0000000000000001E-3</v>
      </c>
      <c r="AD46" s="626">
        <v>7.0000000000000001E-3</v>
      </c>
      <c r="AE46" s="626">
        <v>7.0000000000000001E-3</v>
      </c>
      <c r="AF46" s="626">
        <v>7.0000000000000001E-3</v>
      </c>
      <c r="AG46" s="614">
        <v>7.0000000000000001E-3</v>
      </c>
      <c r="AH46" s="614">
        <v>7.0000000000000001E-3</v>
      </c>
      <c r="AI46" s="590">
        <v>7.0000000000000001E-3</v>
      </c>
      <c r="AJ46" s="595" t="s">
        <v>599</v>
      </c>
      <c r="AK46" s="593"/>
      <c r="AL46" s="593"/>
      <c r="AM46" s="593"/>
      <c r="AN46" s="593"/>
      <c r="AO46" s="593"/>
      <c r="AP46" s="593"/>
      <c r="AQ46" s="593"/>
      <c r="AR46" s="593"/>
      <c r="AS46" s="593"/>
      <c r="AT46" s="593"/>
      <c r="AU46" s="593"/>
      <c r="AV46" s="593"/>
      <c r="AW46" s="593"/>
      <c r="AX46" s="593"/>
      <c r="AY46" s="592"/>
      <c r="AZ46" s="593"/>
      <c r="BA46" s="593"/>
      <c r="BB46" s="593"/>
      <c r="BC46" s="593"/>
      <c r="BD46" s="593"/>
      <c r="BE46" s="593"/>
      <c r="BF46" s="593"/>
      <c r="BG46" s="593"/>
      <c r="BH46" s="594"/>
      <c r="BI46" s="26"/>
      <c r="BJ46" s="26"/>
      <c r="BK46" s="24"/>
      <c r="BL46" s="24"/>
      <c r="BM46" s="24"/>
      <c r="BN46" s="24"/>
      <c r="BO46" s="24"/>
      <c r="BP46" s="24"/>
      <c r="BQ46" s="24"/>
      <c r="BR46" s="24"/>
      <c r="BS46" s="24"/>
      <c r="BT46" s="24"/>
      <c r="BU46" s="24"/>
      <c r="BV46" s="24"/>
      <c r="BW46" s="24"/>
      <c r="BX46" s="24"/>
      <c r="BY46" s="24"/>
      <c r="BZ46" s="24"/>
      <c r="CA46" s="24"/>
      <c r="CB46" s="24"/>
      <c r="CC46" s="24"/>
      <c r="CD46" s="24"/>
      <c r="CE46" s="24"/>
      <c r="CF46" s="24"/>
      <c r="CG46" s="24"/>
      <c r="CH46" s="24"/>
      <c r="CI46" s="24"/>
      <c r="CJ46" s="24"/>
      <c r="CK46" s="24"/>
      <c r="CL46" s="24"/>
      <c r="CM46" s="24"/>
      <c r="CN46" s="24"/>
      <c r="CO46" s="24"/>
      <c r="CP46" s="24"/>
      <c r="CQ46" s="24"/>
      <c r="CR46" s="24"/>
      <c r="CS46" s="24"/>
      <c r="CT46" s="24"/>
      <c r="CU46" s="24"/>
      <c r="CV46" s="24"/>
      <c r="CW46" s="24"/>
      <c r="CX46" s="24"/>
      <c r="CY46" s="24"/>
      <c r="CZ46" s="24"/>
      <c r="DA46" s="24"/>
      <c r="DB46" s="24"/>
      <c r="DC46" s="24"/>
      <c r="DD46" s="24"/>
      <c r="DE46" s="24"/>
      <c r="DF46" s="24"/>
      <c r="DG46" s="24"/>
      <c r="DH46" s="24"/>
      <c r="DI46" s="24"/>
      <c r="DJ46" s="24"/>
      <c r="DK46" s="24"/>
      <c r="DL46" s="24"/>
      <c r="DM46" s="24"/>
      <c r="DN46" s="24"/>
      <c r="DO46" s="24"/>
      <c r="DP46" s="24"/>
      <c r="DQ46" s="25"/>
      <c r="DR46" s="25"/>
      <c r="DS46" s="25"/>
      <c r="DT46" s="24"/>
      <c r="DU46" s="24"/>
      <c r="DV46" s="24"/>
      <c r="DW46" s="24"/>
      <c r="DX46" s="24"/>
      <c r="DY46" s="24"/>
      <c r="DZ46" s="24"/>
      <c r="EA46" s="24"/>
      <c r="EB46" s="24"/>
      <c r="EC46" s="24"/>
      <c r="ED46" s="24"/>
      <c r="EE46" s="24"/>
      <c r="EF46" s="24"/>
      <c r="EG46" s="24"/>
      <c r="EH46" s="24"/>
      <c r="EI46" s="24"/>
      <c r="EJ46" s="24"/>
      <c r="EK46" s="24"/>
      <c r="EL46" s="24"/>
      <c r="EM46" s="24"/>
      <c r="EN46" s="24"/>
      <c r="EO46" s="24"/>
      <c r="EP46" s="24"/>
      <c r="EQ46" s="24"/>
      <c r="ER46" s="24"/>
      <c r="ES46" s="24"/>
      <c r="ET46" s="24"/>
      <c r="EU46" s="24"/>
      <c r="EV46" s="24"/>
      <c r="EW46" s="24"/>
      <c r="EX46" s="24"/>
      <c r="EY46" s="24"/>
      <c r="EZ46" s="24"/>
      <c r="FA46" s="24"/>
      <c r="FB46" s="24"/>
      <c r="FC46" s="24"/>
      <c r="FD46" s="24"/>
      <c r="FE46" s="24"/>
      <c r="FF46" s="24"/>
      <c r="FG46" s="24"/>
      <c r="FH46" s="24"/>
      <c r="FI46" s="24"/>
      <c r="FJ46" s="24"/>
      <c r="FK46" s="24"/>
      <c r="FL46" s="24"/>
      <c r="FM46" s="24"/>
      <c r="FN46" s="24"/>
      <c r="FO46" s="24"/>
      <c r="FP46" s="24"/>
      <c r="FQ46" s="24"/>
      <c r="FR46" s="24"/>
      <c r="FS46" s="24"/>
      <c r="FT46" s="24"/>
      <c r="FU46" s="24"/>
      <c r="FV46" s="24"/>
      <c r="FW46" s="24"/>
      <c r="FX46" s="24"/>
      <c r="FY46" s="24"/>
      <c r="FZ46" s="24"/>
      <c r="GA46" s="24"/>
      <c r="GB46" s="24"/>
      <c r="GC46" s="24"/>
      <c r="GD46" s="24"/>
      <c r="GE46" s="24"/>
      <c r="GF46" s="24"/>
      <c r="GG46" s="24"/>
      <c r="GH46" s="24"/>
      <c r="GI46" s="24"/>
      <c r="GJ46" s="24"/>
      <c r="GK46" s="24"/>
      <c r="GL46" s="24"/>
      <c r="GM46" s="24"/>
      <c r="GN46" s="24"/>
      <c r="GO46" s="24"/>
      <c r="GP46" s="24"/>
      <c r="GQ46" s="24"/>
      <c r="GR46" s="24"/>
      <c r="GS46" s="23"/>
      <c r="GT46" s="23"/>
      <c r="GU46" s="23"/>
      <c r="GV46" s="23"/>
      <c r="GW46" s="22"/>
      <c r="GX46" s="22"/>
      <c r="GY46" s="22"/>
      <c r="GZ46" s="22"/>
      <c r="HA46" s="22"/>
      <c r="HB46" s="22"/>
      <c r="HC46" s="22"/>
      <c r="HD46" s="22"/>
      <c r="HE46" s="22"/>
      <c r="HF46" s="22"/>
      <c r="HG46" s="22"/>
      <c r="HH46" s="22"/>
      <c r="HI46" s="22"/>
      <c r="HJ46" s="22"/>
      <c r="HK46" s="22"/>
      <c r="HL46" s="21"/>
      <c r="HM46" s="19"/>
      <c r="HN46" s="19"/>
      <c r="HO46" s="19"/>
      <c r="HP46" s="20"/>
      <c r="HQ46" s="19"/>
      <c r="HR46" s="16"/>
      <c r="HS46" s="16"/>
      <c r="HT46" s="18"/>
      <c r="HU46" s="16"/>
      <c r="HV46" s="16"/>
      <c r="HW46" s="16"/>
      <c r="HX46" s="15"/>
      <c r="HY46" s="15"/>
      <c r="HZ46" s="15"/>
      <c r="IA46" s="15"/>
      <c r="IB46" s="15"/>
      <c r="IC46" s="16"/>
      <c r="ID46" s="16"/>
      <c r="IE46" s="15"/>
      <c r="IF46" s="15"/>
      <c r="IG46" s="15"/>
      <c r="IH46" s="15"/>
      <c r="II46" s="15"/>
      <c r="IJ46" s="15"/>
      <c r="IK46" s="15"/>
      <c r="IL46" s="15"/>
      <c r="IM46" s="15"/>
      <c r="IN46" s="15"/>
      <c r="IO46" s="15"/>
      <c r="IP46" s="17"/>
      <c r="IQ46" s="15"/>
      <c r="IR46" s="15"/>
      <c r="IS46" s="15"/>
      <c r="IT46" s="15"/>
      <c r="IU46" s="15"/>
      <c r="IV46" s="15"/>
      <c r="IW46" s="15"/>
      <c r="IX46" s="15"/>
      <c r="IY46" s="15"/>
      <c r="IZ46" s="15"/>
      <c r="JA46" s="15"/>
      <c r="JB46" s="15"/>
      <c r="JC46" s="15"/>
      <c r="JD46" s="15"/>
      <c r="JE46" s="15"/>
      <c r="JF46" s="15"/>
      <c r="JG46" s="15"/>
      <c r="JH46" s="15"/>
      <c r="JI46" s="15"/>
      <c r="JJ46" s="15"/>
      <c r="JK46" s="15"/>
      <c r="JL46" s="15"/>
      <c r="JM46" s="15"/>
      <c r="JN46" s="16"/>
      <c r="JO46" s="16"/>
      <c r="JP46" s="16"/>
      <c r="JQ46" s="16"/>
      <c r="JR46" s="16"/>
      <c r="JS46" s="16"/>
      <c r="JT46" s="16"/>
      <c r="JU46" s="16"/>
      <c r="JV46" s="16"/>
      <c r="JW46" s="16"/>
      <c r="JX46" s="16"/>
      <c r="JY46" s="16"/>
      <c r="JZ46" s="16"/>
      <c r="KA46" s="16"/>
      <c r="KB46" s="16"/>
      <c r="KC46" s="16"/>
      <c r="KD46" s="16"/>
      <c r="KE46" s="16"/>
      <c r="KF46" s="16"/>
      <c r="KG46" s="16"/>
      <c r="KH46" s="16"/>
      <c r="KI46" s="16"/>
      <c r="KJ46" s="16"/>
      <c r="KK46" s="16"/>
      <c r="KL46" s="16"/>
      <c r="KM46" s="16"/>
      <c r="KN46" s="16"/>
      <c r="KO46" s="16"/>
      <c r="KP46" s="16"/>
      <c r="KQ46" s="16"/>
      <c r="KR46" s="16"/>
      <c r="KS46" s="16"/>
      <c r="KT46" s="15"/>
      <c r="KU46" s="15"/>
      <c r="KV46" s="15"/>
      <c r="KW46" s="15"/>
      <c r="KX46" s="15"/>
      <c r="KY46" s="15"/>
      <c r="KZ46" s="15"/>
      <c r="LA46" s="15"/>
      <c r="LB46" s="15"/>
      <c r="LC46" s="15"/>
      <c r="LD46" s="15"/>
      <c r="LE46" s="15"/>
      <c r="LF46" s="15"/>
      <c r="LG46" s="15"/>
      <c r="LH46" s="15"/>
      <c r="LI46" s="15"/>
      <c r="LJ46" s="15"/>
      <c r="LK46" s="15"/>
      <c r="LL46" s="15"/>
      <c r="LM46" s="15"/>
      <c r="LN46" s="473">
        <f t="shared" si="12"/>
        <v>0</v>
      </c>
    </row>
    <row r="47" spans="1:326">
      <c r="AJ47" s="12"/>
      <c r="AK47" s="12"/>
      <c r="AL47" s="12"/>
      <c r="AM47" s="12"/>
      <c r="AN47" s="12"/>
      <c r="AO47" s="12"/>
      <c r="AP47" s="12"/>
      <c r="AQ47" s="12"/>
      <c r="AR47" s="12"/>
      <c r="AS47" s="12"/>
      <c r="AT47" s="12"/>
      <c r="AU47" s="12"/>
      <c r="AV47" s="12"/>
      <c r="AW47" s="12"/>
      <c r="AX47" s="12"/>
      <c r="AZ47" s="12"/>
      <c r="BA47" s="12"/>
      <c r="BB47" s="12"/>
      <c r="BC47" s="12"/>
      <c r="BD47" s="12"/>
      <c r="BE47" s="12"/>
      <c r="BF47" s="12"/>
      <c r="BG47" s="12"/>
      <c r="BH47" s="12"/>
      <c r="HL47" s="12"/>
      <c r="LN47" s="473"/>
    </row>
    <row r="48" spans="1:326" ht="15.6">
      <c r="A48" s="72" t="s">
        <v>829</v>
      </c>
      <c r="B48" s="71"/>
      <c r="C48" s="71"/>
      <c r="D48" s="71"/>
      <c r="E48" s="71"/>
      <c r="F48" s="71"/>
      <c r="G48" s="71"/>
      <c r="H48" s="71"/>
      <c r="I48" s="71"/>
      <c r="J48" s="71"/>
      <c r="K48" s="71"/>
      <c r="L48" s="71"/>
      <c r="M48" s="71"/>
      <c r="N48" s="71"/>
      <c r="O48" s="1176">
        <f>O2</f>
        <v>46099</v>
      </c>
      <c r="P48" s="1177"/>
      <c r="Q48" s="1177"/>
      <c r="R48" s="1177"/>
      <c r="S48" s="1177"/>
      <c r="T48" s="1177"/>
      <c r="U48" s="1177"/>
      <c r="V48" s="1177"/>
      <c r="W48" s="1177"/>
      <c r="X48" s="1177"/>
      <c r="Y48" s="1177"/>
      <c r="Z48" s="1177"/>
      <c r="AA48" s="1177"/>
      <c r="AB48" s="1177"/>
      <c r="AC48" s="1177"/>
      <c r="AD48" s="1177"/>
      <c r="AE48" s="1177"/>
      <c r="AF48" s="1177"/>
      <c r="AG48" s="1177"/>
      <c r="AH48" s="1177"/>
      <c r="AI48" s="1177"/>
      <c r="AJ48" s="1177"/>
      <c r="AK48" s="1177"/>
      <c r="AL48" s="1177"/>
      <c r="AM48" s="1177"/>
      <c r="AN48" s="1177"/>
      <c r="AO48" s="1177"/>
      <c r="AP48" s="1177"/>
      <c r="AQ48" s="1177"/>
      <c r="AR48" s="1177"/>
      <c r="AS48" s="1177"/>
      <c r="AT48" s="1177"/>
      <c r="AU48" s="1177"/>
      <c r="AV48" s="1177"/>
      <c r="AW48" s="1177"/>
      <c r="AX48" s="1177"/>
      <c r="AY48" s="1177"/>
      <c r="AZ48" s="1177"/>
      <c r="BA48" s="1177"/>
      <c r="BB48" s="1177"/>
      <c r="BC48" s="1177"/>
      <c r="BD48" s="1177"/>
      <c r="BE48" s="1177"/>
      <c r="BF48" s="1177"/>
      <c r="BG48" s="1177"/>
      <c r="BH48" s="1177"/>
      <c r="BI48" s="1177"/>
      <c r="BJ48" s="1177"/>
      <c r="BK48" s="1177"/>
      <c r="BL48" s="1177"/>
      <c r="BM48" s="1177"/>
      <c r="BN48" s="1177"/>
      <c r="BO48" s="1177"/>
      <c r="BP48" s="1177"/>
      <c r="BQ48" s="1177"/>
      <c r="BR48" s="1177"/>
      <c r="BS48" s="1177"/>
      <c r="BT48" s="1177"/>
      <c r="BU48" s="1177"/>
      <c r="BV48" s="1177"/>
      <c r="BW48" s="1177"/>
      <c r="BX48" s="1177"/>
      <c r="BY48" s="1177"/>
      <c r="BZ48" s="1177"/>
      <c r="CA48" s="1177"/>
      <c r="CB48" s="1177"/>
      <c r="CC48" s="1177"/>
      <c r="CD48" s="1177"/>
      <c r="CE48" s="1177"/>
      <c r="CF48" s="1177"/>
      <c r="CG48" s="1177"/>
      <c r="CH48" s="1177"/>
      <c r="CI48" s="1177"/>
      <c r="CJ48" s="1177"/>
      <c r="CK48" s="1177"/>
      <c r="CL48" s="1177"/>
      <c r="CM48" s="1177"/>
      <c r="CN48" s="1177"/>
      <c r="CO48" s="1177"/>
      <c r="CP48" s="1177"/>
      <c r="CQ48" s="1177"/>
      <c r="CR48" s="1177"/>
      <c r="CS48" s="1177"/>
      <c r="CT48" s="1177"/>
      <c r="CU48" s="1177"/>
      <c r="CV48" s="1177"/>
      <c r="CW48" s="1177"/>
      <c r="CX48" s="1177"/>
      <c r="CY48" s="1177"/>
      <c r="CZ48" s="1177"/>
      <c r="DA48" s="1177"/>
      <c r="DB48" s="1177"/>
      <c r="DC48" s="1177"/>
      <c r="DD48" s="1177"/>
      <c r="DE48" s="1177"/>
      <c r="DF48" s="1177"/>
      <c r="DG48" s="1177"/>
      <c r="DH48" s="1177"/>
      <c r="DI48" s="1177"/>
      <c r="DJ48" s="1177"/>
      <c r="DK48" s="1177"/>
      <c r="DL48" s="1177"/>
      <c r="DM48" s="1177"/>
      <c r="DN48" s="1177"/>
      <c r="DO48" s="1177"/>
      <c r="DP48" s="1177"/>
      <c r="DQ48" s="1177"/>
      <c r="DR48" s="1177"/>
      <c r="DS48" s="1177"/>
      <c r="DT48" s="1177"/>
      <c r="DU48" s="1177"/>
      <c r="DV48" s="1177"/>
      <c r="DW48" s="1177"/>
      <c r="DX48" s="1177"/>
      <c r="DY48" s="1177"/>
      <c r="DZ48" s="1177"/>
      <c r="EA48" s="1177"/>
      <c r="EB48" s="1177"/>
      <c r="EC48" s="1177"/>
      <c r="ED48" s="1177"/>
      <c r="EE48" s="1177"/>
      <c r="EF48" s="1177"/>
      <c r="EG48" s="1177"/>
      <c r="EH48" s="1177"/>
      <c r="EI48" s="1177"/>
      <c r="EJ48" s="1177"/>
      <c r="EK48" s="1177"/>
      <c r="EL48" s="1177"/>
      <c r="EM48" s="1177"/>
      <c r="EN48" s="1177"/>
      <c r="EO48" s="1177"/>
      <c r="EP48" s="1177"/>
      <c r="EQ48" s="1177"/>
      <c r="ER48" s="1177"/>
      <c r="ES48" s="1177"/>
      <c r="ET48" s="1177"/>
      <c r="EU48" s="1177"/>
      <c r="EV48" s="1177"/>
      <c r="EW48" s="1177"/>
      <c r="EX48" s="1177"/>
      <c r="EY48" s="1177"/>
      <c r="EZ48" s="1177"/>
      <c r="FA48" s="1177"/>
      <c r="FB48" s="1177"/>
      <c r="FC48" s="1177"/>
      <c r="FD48" s="1177"/>
      <c r="FE48" s="1177"/>
      <c r="FF48" s="1177"/>
      <c r="FG48" s="1177"/>
      <c r="FH48" s="1177"/>
      <c r="FI48" s="1177"/>
      <c r="FJ48" s="1177"/>
      <c r="FK48" s="1177"/>
      <c r="FL48" s="1177"/>
      <c r="FM48" s="1177"/>
      <c r="FN48" s="1177"/>
      <c r="FO48" s="1177"/>
      <c r="FP48" s="1177"/>
      <c r="FQ48" s="1177"/>
      <c r="FR48" s="1177"/>
      <c r="FS48" s="1177"/>
      <c r="FT48" s="1177"/>
      <c r="FU48" s="1177"/>
      <c r="FV48" s="1177"/>
      <c r="FW48" s="1177"/>
      <c r="FX48" s="1177"/>
      <c r="FY48" s="1177"/>
      <c r="FZ48" s="1177"/>
      <c r="GA48" s="1177"/>
      <c r="GB48" s="1177"/>
      <c r="GC48" s="1177"/>
      <c r="GD48" s="1177"/>
      <c r="GE48" s="1177"/>
      <c r="GF48" s="1177"/>
      <c r="GG48" s="1177"/>
      <c r="GH48" s="1177"/>
      <c r="GI48" s="1177"/>
      <c r="GJ48" s="1177"/>
      <c r="GK48" s="1177"/>
      <c r="GL48" s="1177"/>
      <c r="GM48" s="1177"/>
      <c r="GN48" s="1177"/>
      <c r="GO48" s="1177"/>
      <c r="GP48" s="1177"/>
      <c r="GQ48" s="1177"/>
      <c r="GR48" s="1177"/>
      <c r="GS48" s="1177"/>
      <c r="GT48" s="1177"/>
      <c r="GU48" s="1177"/>
      <c r="GV48" s="1177"/>
      <c r="GW48" s="1177"/>
      <c r="GX48" s="1177"/>
      <c r="GY48" s="1177"/>
      <c r="GZ48" s="1177"/>
      <c r="HA48" s="1177"/>
      <c r="HB48" s="1177"/>
      <c r="HC48" s="1177"/>
      <c r="HD48" s="1177"/>
      <c r="HE48" s="1177"/>
      <c r="HF48" s="1177"/>
      <c r="HG48" s="1177"/>
      <c r="HH48" s="1177"/>
      <c r="HI48" s="1177"/>
      <c r="HJ48" s="1177"/>
      <c r="HK48" s="1177"/>
      <c r="HL48" s="1177"/>
      <c r="HM48" s="1177"/>
      <c r="HN48" s="1177"/>
      <c r="HO48" s="1177"/>
      <c r="HP48" s="1177"/>
      <c r="HQ48" s="1178"/>
      <c r="LN48" s="473"/>
    </row>
    <row r="49" spans="1:326" s="91" customFormat="1">
      <c r="A49" s="93" t="s">
        <v>121</v>
      </c>
      <c r="B49" s="67" t="s">
        <v>111</v>
      </c>
      <c r="C49" s="67" t="s">
        <v>110</v>
      </c>
      <c r="D49" s="67" t="s">
        <v>109</v>
      </c>
      <c r="E49" s="67" t="s">
        <v>108</v>
      </c>
      <c r="F49" s="67" t="s">
        <v>107</v>
      </c>
      <c r="G49" s="67" t="s">
        <v>106</v>
      </c>
      <c r="H49" s="67" t="s">
        <v>105</v>
      </c>
      <c r="I49" s="67" t="s">
        <v>104</v>
      </c>
      <c r="J49" s="67" t="s">
        <v>103</v>
      </c>
      <c r="K49" s="67" t="s">
        <v>102</v>
      </c>
      <c r="L49" s="67" t="s">
        <v>101</v>
      </c>
      <c r="M49" s="67" t="s">
        <v>100</v>
      </c>
      <c r="N49" s="68" t="s">
        <v>99</v>
      </c>
      <c r="O49" s="67" t="s">
        <v>98</v>
      </c>
      <c r="P49" s="67" t="s">
        <v>120</v>
      </c>
      <c r="Q49" s="66">
        <f t="shared" ref="Q49:S49" si="13">Q3</f>
        <v>46099</v>
      </c>
      <c r="R49" s="66">
        <f t="shared" ref="R49" si="14">R3</f>
        <v>46092</v>
      </c>
      <c r="S49" s="66">
        <f t="shared" si="13"/>
        <v>46085</v>
      </c>
      <c r="T49" s="66">
        <f>S3</f>
        <v>46085</v>
      </c>
      <c r="U49" s="66">
        <f t="shared" ref="U49" si="15">U3</f>
        <v>46071</v>
      </c>
      <c r="V49" s="66">
        <f>V3</f>
        <v>46057</v>
      </c>
      <c r="W49" s="66">
        <f t="shared" ref="W49:AH49" si="16">W3</f>
        <v>46050</v>
      </c>
      <c r="X49" s="66">
        <f t="shared" si="16"/>
        <v>46043</v>
      </c>
      <c r="Y49" s="66">
        <f t="shared" si="16"/>
        <v>46036</v>
      </c>
      <c r="Z49" s="66">
        <f t="shared" si="16"/>
        <v>46029</v>
      </c>
      <c r="AA49" s="66">
        <f t="shared" si="16"/>
        <v>46022</v>
      </c>
      <c r="AB49" s="66">
        <f t="shared" si="16"/>
        <v>46015</v>
      </c>
      <c r="AC49" s="66">
        <f t="shared" si="16"/>
        <v>46008</v>
      </c>
      <c r="AD49" s="66">
        <f t="shared" si="16"/>
        <v>46001</v>
      </c>
      <c r="AE49" s="66">
        <f t="shared" si="16"/>
        <v>45994</v>
      </c>
      <c r="AF49" s="66">
        <f t="shared" si="16"/>
        <v>45987</v>
      </c>
      <c r="AG49" s="66">
        <f t="shared" si="16"/>
        <v>45980</v>
      </c>
      <c r="AH49" s="66">
        <f t="shared" si="16"/>
        <v>45973</v>
      </c>
      <c r="AI49" s="66">
        <f t="shared" ref="AI49:AS49" si="17">AI3</f>
        <v>45966</v>
      </c>
      <c r="AJ49" s="66">
        <f t="shared" si="17"/>
        <v>45959</v>
      </c>
      <c r="AK49" s="66">
        <f t="shared" si="17"/>
        <v>45952</v>
      </c>
      <c r="AL49" s="66">
        <f t="shared" si="17"/>
        <v>45945</v>
      </c>
      <c r="AM49" s="66">
        <f t="shared" si="17"/>
        <v>45938</v>
      </c>
      <c r="AN49" s="66">
        <f t="shared" si="17"/>
        <v>45931</v>
      </c>
      <c r="AO49" s="66">
        <f t="shared" si="17"/>
        <v>45924</v>
      </c>
      <c r="AP49" s="66">
        <f t="shared" si="17"/>
        <v>45917</v>
      </c>
      <c r="AQ49" s="66">
        <f t="shared" si="17"/>
        <v>45910</v>
      </c>
      <c r="AR49" s="66">
        <f t="shared" si="17"/>
        <v>45903</v>
      </c>
      <c r="AS49" s="66">
        <f t="shared" si="17"/>
        <v>45896</v>
      </c>
      <c r="AT49" s="66">
        <v>45889</v>
      </c>
      <c r="AU49" s="66">
        <v>45882</v>
      </c>
      <c r="AV49" s="66">
        <v>45875</v>
      </c>
      <c r="AW49" s="66">
        <v>45868</v>
      </c>
      <c r="AX49" s="66">
        <f>AX3</f>
        <v>45861</v>
      </c>
      <c r="AY49" s="70">
        <v>45854</v>
      </c>
      <c r="AZ49" s="66">
        <v>45847</v>
      </c>
      <c r="BA49" s="66">
        <v>45840</v>
      </c>
      <c r="BB49" s="66">
        <f>BB3</f>
        <v>45833</v>
      </c>
      <c r="BC49" s="66">
        <v>45826</v>
      </c>
      <c r="BD49" s="66">
        <f t="shared" ref="BD49:CI49" si="18">BD3</f>
        <v>45819</v>
      </c>
      <c r="BE49" s="66">
        <f t="shared" si="18"/>
        <v>45812</v>
      </c>
      <c r="BF49" s="66">
        <f t="shared" si="18"/>
        <v>45805</v>
      </c>
      <c r="BG49" s="66">
        <f t="shared" si="18"/>
        <v>45798</v>
      </c>
      <c r="BH49" s="66">
        <f t="shared" si="18"/>
        <v>45792</v>
      </c>
      <c r="BI49" s="66">
        <f t="shared" si="18"/>
        <v>45785</v>
      </c>
      <c r="BJ49" s="66">
        <f t="shared" si="18"/>
        <v>45412</v>
      </c>
      <c r="BK49" s="66">
        <f t="shared" si="18"/>
        <v>45763</v>
      </c>
      <c r="BL49" s="66">
        <f t="shared" si="18"/>
        <v>46092</v>
      </c>
      <c r="BM49" s="66">
        <f t="shared" si="18"/>
        <v>45750</v>
      </c>
      <c r="BN49" s="66">
        <f t="shared" si="18"/>
        <v>45742</v>
      </c>
      <c r="BO49" s="66">
        <f t="shared" si="18"/>
        <v>45736</v>
      </c>
      <c r="BP49" s="66">
        <f t="shared" si="18"/>
        <v>45729</v>
      </c>
      <c r="BQ49" s="66">
        <f t="shared" si="18"/>
        <v>45722</v>
      </c>
      <c r="BR49" s="66">
        <f t="shared" si="18"/>
        <v>45715</v>
      </c>
      <c r="BS49" s="66">
        <f t="shared" si="18"/>
        <v>45708</v>
      </c>
      <c r="BT49" s="66">
        <f>BS3</f>
        <v>45708</v>
      </c>
      <c r="BU49" s="66">
        <f t="shared" si="18"/>
        <v>45694</v>
      </c>
      <c r="BV49" s="66">
        <f t="shared" si="18"/>
        <v>45688</v>
      </c>
      <c r="BW49" s="66">
        <f t="shared" si="18"/>
        <v>45681</v>
      </c>
      <c r="BX49" s="66">
        <f t="shared" si="18"/>
        <v>45673</v>
      </c>
      <c r="BY49" s="66">
        <f t="shared" si="18"/>
        <v>45666</v>
      </c>
      <c r="BZ49" s="66">
        <f t="shared" si="18"/>
        <v>45659</v>
      </c>
      <c r="CA49" s="66">
        <f t="shared" si="18"/>
        <v>45652</v>
      </c>
      <c r="CB49" s="66">
        <f t="shared" si="18"/>
        <v>45645</v>
      </c>
      <c r="CC49" s="66">
        <f t="shared" si="18"/>
        <v>45638</v>
      </c>
      <c r="CD49" s="66">
        <f t="shared" si="18"/>
        <v>45631</v>
      </c>
      <c r="CE49" s="66">
        <f t="shared" si="18"/>
        <v>45625</v>
      </c>
      <c r="CF49" s="66">
        <f t="shared" si="18"/>
        <v>45617</v>
      </c>
      <c r="CG49" s="66">
        <f t="shared" si="18"/>
        <v>45610</v>
      </c>
      <c r="CH49" s="66">
        <f t="shared" si="18"/>
        <v>45603</v>
      </c>
      <c r="CI49" s="66">
        <f t="shared" si="18"/>
        <v>45595</v>
      </c>
      <c r="CJ49" s="66">
        <f t="shared" ref="CJ49:DO49" si="19">CJ3</f>
        <v>45591</v>
      </c>
      <c r="CK49" s="66">
        <f t="shared" si="19"/>
        <v>45582</v>
      </c>
      <c r="CL49" s="66">
        <f t="shared" si="19"/>
        <v>45575</v>
      </c>
      <c r="CM49" s="66">
        <f t="shared" si="19"/>
        <v>45568</v>
      </c>
      <c r="CN49" s="66">
        <f t="shared" si="19"/>
        <v>45561</v>
      </c>
      <c r="CO49" s="66">
        <f t="shared" si="19"/>
        <v>45554</v>
      </c>
      <c r="CP49" s="66">
        <f t="shared" si="19"/>
        <v>45547</v>
      </c>
      <c r="CQ49" s="66">
        <f t="shared" si="19"/>
        <v>45540</v>
      </c>
      <c r="CR49" s="66">
        <f t="shared" si="19"/>
        <v>45533</v>
      </c>
      <c r="CS49" s="66">
        <f t="shared" si="19"/>
        <v>45526</v>
      </c>
      <c r="CT49" s="66">
        <f>CS3</f>
        <v>45526</v>
      </c>
      <c r="CU49" s="66">
        <f t="shared" si="19"/>
        <v>45511</v>
      </c>
      <c r="CV49" s="66">
        <f t="shared" si="19"/>
        <v>45505</v>
      </c>
      <c r="CW49" s="66">
        <f t="shared" si="19"/>
        <v>45498</v>
      </c>
      <c r="CX49" s="66">
        <f t="shared" si="19"/>
        <v>45492</v>
      </c>
      <c r="CY49" s="66">
        <f t="shared" si="19"/>
        <v>45484</v>
      </c>
      <c r="CZ49" s="66">
        <f t="shared" si="19"/>
        <v>45477</v>
      </c>
      <c r="DA49" s="66">
        <f t="shared" si="19"/>
        <v>45470</v>
      </c>
      <c r="DB49" s="66">
        <f t="shared" si="19"/>
        <v>45464</v>
      </c>
      <c r="DC49" s="66">
        <f t="shared" si="19"/>
        <v>45456</v>
      </c>
      <c r="DD49" s="66">
        <f t="shared" si="19"/>
        <v>45449</v>
      </c>
      <c r="DE49" s="66">
        <f t="shared" si="19"/>
        <v>45442</v>
      </c>
      <c r="DF49" s="66" t="str">
        <f t="shared" si="19"/>
        <v>23/5/224</v>
      </c>
      <c r="DG49" s="66">
        <f t="shared" si="19"/>
        <v>45428</v>
      </c>
      <c r="DH49" s="66">
        <f t="shared" si="19"/>
        <v>45421</v>
      </c>
      <c r="DI49" s="66">
        <f t="shared" si="19"/>
        <v>45414</v>
      </c>
      <c r="DJ49" s="66">
        <f t="shared" si="19"/>
        <v>45407</v>
      </c>
      <c r="DK49" s="66">
        <f t="shared" si="19"/>
        <v>45400</v>
      </c>
      <c r="DL49" s="66">
        <f t="shared" si="19"/>
        <v>45393</v>
      </c>
      <c r="DM49" s="66">
        <f t="shared" si="19"/>
        <v>45386</v>
      </c>
      <c r="DN49" s="66">
        <f t="shared" si="19"/>
        <v>45378</v>
      </c>
      <c r="DO49" s="66">
        <f t="shared" si="19"/>
        <v>45372</v>
      </c>
      <c r="DP49" s="66">
        <f t="shared" ref="DP49:EV49" si="20">DP3</f>
        <v>45365</v>
      </c>
      <c r="DQ49" s="66">
        <f t="shared" si="20"/>
        <v>45358</v>
      </c>
      <c r="DR49" s="66">
        <f t="shared" si="20"/>
        <v>45351</v>
      </c>
      <c r="DS49" s="66">
        <f t="shared" si="20"/>
        <v>45343</v>
      </c>
      <c r="DT49" s="66">
        <f>DS3</f>
        <v>45343</v>
      </c>
      <c r="DU49" s="66">
        <f t="shared" si="20"/>
        <v>45329</v>
      </c>
      <c r="DV49" s="66">
        <f t="shared" si="20"/>
        <v>45323</v>
      </c>
      <c r="DW49" s="66">
        <f t="shared" si="20"/>
        <v>45316</v>
      </c>
      <c r="DX49" s="66">
        <f t="shared" si="20"/>
        <v>45309</v>
      </c>
      <c r="DY49" s="66">
        <f t="shared" si="20"/>
        <v>45302</v>
      </c>
      <c r="DZ49" s="66">
        <f t="shared" si="20"/>
        <v>45295</v>
      </c>
      <c r="EA49" s="66">
        <f t="shared" si="20"/>
        <v>45288</v>
      </c>
      <c r="EB49" s="66">
        <f t="shared" si="20"/>
        <v>45281</v>
      </c>
      <c r="EC49" s="66">
        <f t="shared" si="20"/>
        <v>45274</v>
      </c>
      <c r="ED49" s="66">
        <f t="shared" si="20"/>
        <v>45267</v>
      </c>
      <c r="EE49" s="66">
        <f t="shared" si="20"/>
        <v>45260</v>
      </c>
      <c r="EF49" s="66">
        <f t="shared" si="20"/>
        <v>45253</v>
      </c>
      <c r="EG49" s="66">
        <f t="shared" si="20"/>
        <v>45246</v>
      </c>
      <c r="EH49" s="66">
        <f t="shared" si="20"/>
        <v>45239</v>
      </c>
      <c r="EI49" s="66">
        <f t="shared" si="20"/>
        <v>45232</v>
      </c>
      <c r="EJ49" s="66">
        <f t="shared" si="20"/>
        <v>45225</v>
      </c>
      <c r="EK49" s="66">
        <f t="shared" si="20"/>
        <v>45218</v>
      </c>
      <c r="EL49" s="66">
        <f t="shared" si="20"/>
        <v>45211</v>
      </c>
      <c r="EM49" s="66">
        <f t="shared" si="20"/>
        <v>45204</v>
      </c>
      <c r="EN49" s="66">
        <f t="shared" si="20"/>
        <v>45190</v>
      </c>
      <c r="EO49" s="66">
        <f t="shared" si="20"/>
        <v>45190</v>
      </c>
      <c r="EP49" s="66">
        <f t="shared" si="20"/>
        <v>45183</v>
      </c>
      <c r="EQ49" s="66">
        <f t="shared" si="20"/>
        <v>45176</v>
      </c>
      <c r="ER49" s="66">
        <f t="shared" si="20"/>
        <v>45168</v>
      </c>
      <c r="ES49" s="66">
        <f t="shared" si="20"/>
        <v>45162</v>
      </c>
      <c r="ET49" s="66">
        <f>ES3</f>
        <v>45162</v>
      </c>
      <c r="EU49" s="66">
        <f t="shared" si="20"/>
        <v>45148</v>
      </c>
      <c r="EV49" s="66">
        <f t="shared" si="20"/>
        <v>45141</v>
      </c>
      <c r="EW49" s="66">
        <v>45134</v>
      </c>
      <c r="EX49" s="66">
        <v>45127</v>
      </c>
      <c r="EY49" s="66">
        <v>45120</v>
      </c>
      <c r="EZ49" s="66">
        <v>45113</v>
      </c>
      <c r="FA49" s="66">
        <v>45105</v>
      </c>
      <c r="FB49" s="66">
        <v>45099</v>
      </c>
      <c r="FC49" s="66">
        <v>45092</v>
      </c>
      <c r="FD49" s="66">
        <v>45085</v>
      </c>
      <c r="FE49" s="66">
        <v>45076</v>
      </c>
      <c r="FF49" s="66">
        <v>45070</v>
      </c>
      <c r="FG49" s="66">
        <v>45063</v>
      </c>
      <c r="FH49" s="66">
        <v>45056</v>
      </c>
      <c r="FI49" s="66">
        <v>45049</v>
      </c>
      <c r="FJ49" s="66">
        <v>45042</v>
      </c>
      <c r="FK49" s="66">
        <v>45035</v>
      </c>
      <c r="FL49" s="66">
        <v>45028</v>
      </c>
      <c r="FM49" s="66">
        <v>45020</v>
      </c>
      <c r="FN49" s="66">
        <v>45014</v>
      </c>
      <c r="FO49" s="66">
        <v>45008</v>
      </c>
      <c r="FP49" s="66">
        <v>45002</v>
      </c>
      <c r="FQ49" s="66">
        <v>45000</v>
      </c>
      <c r="FR49" s="66">
        <v>44993</v>
      </c>
      <c r="FS49" s="66">
        <v>44986</v>
      </c>
      <c r="FT49" s="66">
        <v>44979</v>
      </c>
      <c r="FU49" s="66">
        <v>44972</v>
      </c>
      <c r="FV49" s="66">
        <v>44965</v>
      </c>
      <c r="FW49" s="66">
        <v>44958</v>
      </c>
      <c r="FX49" s="66">
        <v>44951</v>
      </c>
      <c r="FY49" s="66">
        <v>44944</v>
      </c>
      <c r="FZ49" s="66">
        <v>44937</v>
      </c>
      <c r="GA49" s="66">
        <v>44930</v>
      </c>
      <c r="GB49" s="66">
        <v>44923</v>
      </c>
      <c r="GC49" s="66">
        <v>44916</v>
      </c>
      <c r="GD49" s="66">
        <v>44910</v>
      </c>
      <c r="GE49" s="66">
        <v>44902</v>
      </c>
      <c r="GF49" s="66">
        <v>44896</v>
      </c>
      <c r="GG49" s="66">
        <v>44888</v>
      </c>
      <c r="GH49" s="66">
        <v>44881</v>
      </c>
      <c r="GI49" s="66">
        <v>44874</v>
      </c>
      <c r="GJ49" s="66">
        <v>44868</v>
      </c>
      <c r="GK49" s="66">
        <v>44839</v>
      </c>
      <c r="GL49" s="66">
        <v>44831</v>
      </c>
      <c r="GM49" s="66">
        <v>44826</v>
      </c>
      <c r="GN49" s="66">
        <v>44818</v>
      </c>
      <c r="GO49" s="66">
        <v>44811</v>
      </c>
      <c r="GP49" s="66">
        <v>44860</v>
      </c>
      <c r="GQ49" s="66">
        <v>44853</v>
      </c>
      <c r="GR49" s="66">
        <v>44846</v>
      </c>
      <c r="GS49" s="65" t="s">
        <v>119</v>
      </c>
      <c r="GT49" s="66">
        <v>44776</v>
      </c>
      <c r="GU49" s="66">
        <v>44769</v>
      </c>
      <c r="GV49" s="66">
        <v>44762</v>
      </c>
      <c r="GW49" s="66">
        <v>44755</v>
      </c>
      <c r="GX49" s="66">
        <v>44748</v>
      </c>
      <c r="GY49" s="66">
        <v>44741</v>
      </c>
      <c r="GZ49" s="69">
        <v>44733</v>
      </c>
      <c r="HA49" s="69">
        <v>44727</v>
      </c>
      <c r="HB49" s="69">
        <v>44720</v>
      </c>
      <c r="HC49" s="69">
        <v>44713</v>
      </c>
      <c r="HD49" s="69">
        <v>44706</v>
      </c>
      <c r="HE49" s="69">
        <v>44699</v>
      </c>
      <c r="HF49" s="69">
        <v>44690</v>
      </c>
      <c r="HG49" s="68" t="s">
        <v>118</v>
      </c>
      <c r="HH49" s="68" t="s">
        <v>117</v>
      </c>
      <c r="HI49" s="67" t="s">
        <v>116</v>
      </c>
      <c r="HJ49" s="67" t="s">
        <v>115</v>
      </c>
      <c r="HK49" s="67" t="s">
        <v>114</v>
      </c>
      <c r="HL49" s="67" t="s">
        <v>113</v>
      </c>
      <c r="HM49" s="67" t="s">
        <v>112</v>
      </c>
      <c r="HN49" s="67" t="s">
        <v>111</v>
      </c>
      <c r="HO49" s="67" t="s">
        <v>110</v>
      </c>
      <c r="HP49" s="67" t="s">
        <v>109</v>
      </c>
      <c r="HQ49" s="67" t="s">
        <v>108</v>
      </c>
      <c r="HR49" s="67" t="s">
        <v>107</v>
      </c>
      <c r="HS49" s="67" t="s">
        <v>106</v>
      </c>
      <c r="HT49" s="67" t="s">
        <v>105</v>
      </c>
      <c r="HU49" s="67" t="s">
        <v>104</v>
      </c>
      <c r="HV49" s="67" t="s">
        <v>103</v>
      </c>
      <c r="HW49" s="67" t="s">
        <v>102</v>
      </c>
      <c r="HX49" s="67" t="s">
        <v>101</v>
      </c>
      <c r="HY49" s="67" t="s">
        <v>100</v>
      </c>
      <c r="HZ49" s="68" t="s">
        <v>99</v>
      </c>
      <c r="IA49" s="67" t="s">
        <v>98</v>
      </c>
      <c r="IB49" s="65" t="s">
        <v>97</v>
      </c>
      <c r="IC49" s="66">
        <v>44818</v>
      </c>
      <c r="ID49" s="66">
        <v>44811</v>
      </c>
      <c r="IE49" s="65" t="s">
        <v>96</v>
      </c>
      <c r="IF49" s="16"/>
      <c r="IG49" s="16"/>
      <c r="IH49" s="16"/>
      <c r="II49" s="16"/>
      <c r="IJ49" s="16"/>
      <c r="IK49" s="16"/>
      <c r="IL49" s="16"/>
      <c r="IM49" s="16"/>
      <c r="IN49" s="16"/>
      <c r="IO49" s="16"/>
      <c r="IP49" s="16"/>
      <c r="IQ49" s="16"/>
      <c r="IR49" s="16"/>
      <c r="IS49" s="16"/>
      <c r="IT49" s="16"/>
      <c r="IU49" s="16"/>
      <c r="IV49" s="16"/>
      <c r="IW49" s="16"/>
      <c r="IX49" s="16"/>
      <c r="IY49" s="16"/>
      <c r="IZ49" s="16"/>
      <c r="JA49" s="16"/>
      <c r="JB49" s="16"/>
      <c r="JC49" s="16"/>
      <c r="JD49" s="16"/>
      <c r="JE49" s="16"/>
      <c r="JF49" s="16"/>
      <c r="JG49" s="16"/>
      <c r="JH49" s="16"/>
      <c r="JI49" s="16"/>
      <c r="JJ49" s="16"/>
      <c r="JK49" s="16"/>
      <c r="JL49" s="16"/>
      <c r="JM49" s="16"/>
      <c r="JN49" s="16"/>
      <c r="JO49" s="16"/>
      <c r="JP49" s="16"/>
      <c r="JQ49" s="16"/>
      <c r="JR49" s="16"/>
      <c r="JS49" s="16"/>
      <c r="JT49" s="16"/>
      <c r="JU49" s="16"/>
      <c r="JV49" s="16"/>
      <c r="JW49" s="16"/>
      <c r="JX49" s="16"/>
      <c r="JY49" s="16"/>
      <c r="JZ49" s="16"/>
      <c r="KA49" s="16"/>
      <c r="KB49" s="16"/>
      <c r="KC49" s="16"/>
      <c r="KD49" s="16"/>
      <c r="KE49" s="16"/>
      <c r="KF49" s="16"/>
      <c r="KG49" s="16"/>
      <c r="KH49" s="16"/>
      <c r="KI49" s="16"/>
      <c r="KJ49" s="16"/>
      <c r="KK49" s="16"/>
      <c r="KL49" s="16"/>
      <c r="KM49" s="16"/>
      <c r="KN49" s="16"/>
      <c r="KO49" s="16"/>
      <c r="KP49" s="16"/>
      <c r="KQ49" s="16"/>
      <c r="KR49" s="16"/>
      <c r="KS49" s="16"/>
      <c r="KT49" s="16"/>
      <c r="KU49" s="16"/>
      <c r="KV49" s="16"/>
      <c r="KW49" s="16"/>
      <c r="KX49" s="16"/>
      <c r="KY49" s="16"/>
      <c r="KZ49" s="97"/>
      <c r="LA49" s="97"/>
      <c r="LB49" s="97"/>
      <c r="LC49" s="16"/>
      <c r="LD49" s="16"/>
      <c r="LE49" s="16"/>
      <c r="LF49" s="16"/>
      <c r="LG49" s="16"/>
      <c r="LH49" s="16"/>
      <c r="LI49" s="16"/>
      <c r="LJ49" s="16"/>
      <c r="LK49" s="16"/>
      <c r="LL49" s="16"/>
      <c r="LM49" s="16"/>
      <c r="LN49" s="468" t="s">
        <v>113</v>
      </c>
    </row>
    <row r="50" spans="1:326" ht="17.399999999999999">
      <c r="A50" s="1167" t="s">
        <v>20</v>
      </c>
      <c r="B50" s="60"/>
      <c r="C50" s="60"/>
      <c r="D50" s="60"/>
      <c r="E50" s="60"/>
      <c r="F50" s="60"/>
      <c r="G50" s="60"/>
      <c r="H50" s="60"/>
      <c r="I50" s="60"/>
      <c r="J50" s="60"/>
      <c r="K50" s="60"/>
      <c r="L50" s="60"/>
      <c r="M50" s="60"/>
      <c r="N50" s="61"/>
      <c r="O50" s="60"/>
      <c r="P50" s="738" t="s">
        <v>95</v>
      </c>
      <c r="Q50" s="590">
        <v>6.4000000000000003E-3</v>
      </c>
      <c r="R50" s="590">
        <v>6.4000000000000003E-3</v>
      </c>
      <c r="S50" s="590">
        <v>7.4000000000000003E-3</v>
      </c>
      <c r="T50" s="590">
        <v>6.4000000000000003E-3</v>
      </c>
      <c r="U50" s="590">
        <v>7.4000000000000003E-3</v>
      </c>
      <c r="V50" s="590">
        <v>6.8999999999999999E-3</v>
      </c>
      <c r="W50" s="590">
        <v>7.4000000000000003E-3</v>
      </c>
      <c r="X50" s="590">
        <v>6.8999999999999999E-3</v>
      </c>
      <c r="Y50" s="590">
        <v>8.3999999999999995E-3</v>
      </c>
      <c r="Z50" s="590">
        <v>8.8999999999999999E-3</v>
      </c>
      <c r="AA50" s="590">
        <v>8.3999999999999995E-3</v>
      </c>
      <c r="AB50" s="626">
        <v>8.8999999999999999E-3</v>
      </c>
      <c r="AC50" s="590">
        <v>8.8999999999999999E-3</v>
      </c>
      <c r="AD50" s="590">
        <v>9.9000000000000008E-3</v>
      </c>
      <c r="AE50" s="626">
        <v>9.4000000000000004E-3</v>
      </c>
      <c r="AF50" s="590">
        <v>9.4000000000000004E-3</v>
      </c>
      <c r="AG50" s="590">
        <v>7.9000000000000008E-3</v>
      </c>
      <c r="AH50" s="614">
        <v>7.4000000000000012E-3</v>
      </c>
      <c r="AI50" s="590">
        <v>7.4000000000000012E-3</v>
      </c>
      <c r="AJ50" s="48">
        <v>8.4000000000000012E-3</v>
      </c>
      <c r="AK50" s="48">
        <v>9.4000000000000004E-3</v>
      </c>
      <c r="AL50" s="47">
        <v>8.8999999999999999E-3</v>
      </c>
      <c r="AM50" s="48">
        <v>8.8999999999999999E-3</v>
      </c>
      <c r="AN50" s="47">
        <v>7.4000000000000003E-3</v>
      </c>
      <c r="AO50" s="48">
        <v>7.4000000000000003E-3</v>
      </c>
      <c r="AP50" s="48">
        <v>6.9000000000000008E-3</v>
      </c>
      <c r="AQ50" s="48">
        <v>7.9000000000000008E-3</v>
      </c>
      <c r="AR50" s="47">
        <v>6.8999999999999999E-3</v>
      </c>
      <c r="AS50" s="47">
        <v>7.9000000000000008E-3</v>
      </c>
      <c r="AT50" s="460">
        <v>7.9000000000000008E-3</v>
      </c>
      <c r="AU50" s="34">
        <v>6.4000000000000003E-3</v>
      </c>
      <c r="AV50" s="34">
        <v>7.4000000000000003E-3</v>
      </c>
      <c r="AW50" s="34">
        <v>6.4000000000000003E-3</v>
      </c>
      <c r="AX50" s="34">
        <v>7.9000000000000008E-3</v>
      </c>
      <c r="AY50" s="46">
        <v>8.3999999999999995E-3</v>
      </c>
      <c r="AZ50" s="35">
        <v>8.3999999999999995E-3</v>
      </c>
      <c r="BA50" s="35">
        <v>8.3999999999999995E-3</v>
      </c>
      <c r="BB50" s="34">
        <v>8.3999999999999995E-3</v>
      </c>
      <c r="BC50" s="35">
        <v>7.9000000000000008E-3</v>
      </c>
      <c r="BD50" s="35">
        <v>7.9000000000000008E-3</v>
      </c>
      <c r="BE50" s="34">
        <v>7.9000000000000008E-3</v>
      </c>
      <c r="BF50" s="35">
        <v>6.8999999999999999E-3</v>
      </c>
      <c r="BG50" s="34">
        <v>6.8999999999999999E-3</v>
      </c>
      <c r="BH50" s="34">
        <v>5.8999999999999999E-3</v>
      </c>
      <c r="BI50" s="34">
        <v>7.4000000000000003E-3</v>
      </c>
      <c r="BJ50" s="46">
        <v>8.8999999999999999E-3</v>
      </c>
      <c r="BK50" s="46">
        <v>6.8999999999999999E-3</v>
      </c>
      <c r="BL50" s="46">
        <v>1.1900000000000001E-2</v>
      </c>
      <c r="BM50" s="46">
        <v>1.34E-2</v>
      </c>
      <c r="BN50" s="46">
        <v>1.14E-2</v>
      </c>
      <c r="BO50" s="46">
        <v>1.14E-2</v>
      </c>
      <c r="BP50" s="46">
        <v>1.1900000000000001E-2</v>
      </c>
      <c r="BQ50" s="46">
        <v>1.44E-2</v>
      </c>
      <c r="BR50" s="46">
        <v>1.44E-2</v>
      </c>
      <c r="BS50" s="46">
        <v>1.54E-2</v>
      </c>
      <c r="BT50" s="46">
        <v>1.6400000000000001E-2</v>
      </c>
      <c r="BU50" s="46">
        <v>1.7399999999999999E-2</v>
      </c>
      <c r="BV50" s="46">
        <v>1.49E-2</v>
      </c>
      <c r="BW50" s="46">
        <v>1.5900000000000001E-2</v>
      </c>
      <c r="BX50" s="46">
        <v>2.0400000000000001E-2</v>
      </c>
      <c r="BY50" s="46">
        <v>2.1899999999999999E-2</v>
      </c>
      <c r="BZ50" s="46">
        <v>1.9900000000000001E-2</v>
      </c>
      <c r="CA50" s="46">
        <v>2.29E-2</v>
      </c>
      <c r="CB50" s="46">
        <v>2.24E-2</v>
      </c>
      <c r="CC50" s="46">
        <v>2.1399999999999999E-2</v>
      </c>
      <c r="CD50" s="46">
        <v>1.9900000000000001E-2</v>
      </c>
      <c r="CE50" s="46">
        <v>2.3900000000000001E-2</v>
      </c>
      <c r="CF50" s="46">
        <v>2.29E-2</v>
      </c>
      <c r="CG50" s="46">
        <v>1.44E-2</v>
      </c>
      <c r="CH50" s="46">
        <v>1.29E-2</v>
      </c>
      <c r="CI50" s="46">
        <v>1.29E-2</v>
      </c>
      <c r="CJ50" s="46">
        <v>1.34E-2</v>
      </c>
      <c r="CK50" s="46">
        <v>1.34E-2</v>
      </c>
      <c r="CL50" s="46">
        <v>1.24E-2</v>
      </c>
      <c r="CM50" s="46">
        <v>6.8999999999999999E-3</v>
      </c>
      <c r="CN50" s="46">
        <v>6.8999999999999999E-3</v>
      </c>
      <c r="CO50" s="46">
        <v>9.4000000000000004E-3</v>
      </c>
      <c r="CP50" s="46">
        <v>6.8999999999999999E-3</v>
      </c>
      <c r="CQ50" s="46">
        <v>7.4000000000000003E-3</v>
      </c>
      <c r="CR50" s="46">
        <v>7.4000000000000003E-3</v>
      </c>
      <c r="CS50" s="46">
        <v>9.4000000000000004E-3</v>
      </c>
      <c r="CT50" s="46">
        <v>1.04E-2</v>
      </c>
      <c r="CU50" s="46">
        <v>1.09E-2</v>
      </c>
      <c r="CV50" s="46">
        <v>1.7899999999999999E-2</v>
      </c>
      <c r="CW50" s="46">
        <v>1.89E-2</v>
      </c>
      <c r="CX50" s="46">
        <v>2.0400000000000001E-2</v>
      </c>
      <c r="CY50" s="46">
        <v>2.0400000000000001E-2</v>
      </c>
      <c r="CZ50" s="46">
        <v>1.7899999999999999E-2</v>
      </c>
      <c r="DA50" s="46">
        <v>1.7899999999999999E-2</v>
      </c>
      <c r="DB50" s="46">
        <v>1.7399999999999999E-2</v>
      </c>
      <c r="DC50" s="46">
        <v>1.7399999999999999E-2</v>
      </c>
      <c r="DD50" s="46">
        <v>1.7399999999999999E-2</v>
      </c>
      <c r="DE50" s="46">
        <v>1.7399999999999999E-2</v>
      </c>
      <c r="DF50" s="46">
        <v>1.84E-2</v>
      </c>
      <c r="DG50" s="46">
        <v>2.0899999999999998E-2</v>
      </c>
      <c r="DH50" s="46">
        <v>2.29E-2</v>
      </c>
      <c r="DI50" s="46">
        <v>2.5399999999999999E-2</v>
      </c>
      <c r="DJ50" s="54">
        <v>2.7400000000000001E-2</v>
      </c>
      <c r="DK50" s="53">
        <v>2.64E-2</v>
      </c>
      <c r="DL50" s="46">
        <v>2.3400000000000001E-2</v>
      </c>
      <c r="DM50" s="46">
        <v>2.3400000000000001E-2</v>
      </c>
      <c r="DN50" s="46">
        <v>2.1399999999999999E-2</v>
      </c>
      <c r="DO50" s="46">
        <v>1.89E-2</v>
      </c>
      <c r="DP50" s="46">
        <v>1.84E-2</v>
      </c>
      <c r="DQ50" s="45">
        <v>2.0400000000000001E-2</v>
      </c>
      <c r="DR50" s="45">
        <v>1.9400000000000001E-2</v>
      </c>
      <c r="DS50" s="45">
        <v>2.1399999999999999E-2</v>
      </c>
      <c r="DT50" s="46">
        <v>2.0899999999999998E-2</v>
      </c>
      <c r="DU50" s="46">
        <v>1.84E-2</v>
      </c>
      <c r="DV50" s="46">
        <v>1.89E-2</v>
      </c>
      <c r="DW50" s="46">
        <v>2.0899999999999998E-2</v>
      </c>
      <c r="DX50" s="46">
        <v>1.7899999999999999E-2</v>
      </c>
      <c r="DY50" s="46">
        <v>1.7899999999999999E-2</v>
      </c>
      <c r="DZ50" s="46">
        <v>2.0400000000000001E-2</v>
      </c>
      <c r="EA50" s="46">
        <v>1.9900000000000001E-2</v>
      </c>
      <c r="EB50" s="46">
        <v>2.3900000000000001E-2</v>
      </c>
      <c r="EC50" s="46">
        <v>2.4899999999999999E-2</v>
      </c>
      <c r="ED50" s="46">
        <v>2.0400000000000001E-2</v>
      </c>
      <c r="EE50" s="46">
        <v>2.0400000000000001E-2</v>
      </c>
      <c r="EF50" s="46">
        <v>2.1399999999999999E-2</v>
      </c>
      <c r="EG50" s="46">
        <v>2.3400000000000001E-2</v>
      </c>
      <c r="EH50" s="46">
        <v>2.3400000000000001E-2</v>
      </c>
      <c r="EI50" s="46">
        <v>2.3900000000000001E-2</v>
      </c>
      <c r="EJ50" s="46">
        <v>2.9399999999999999E-2</v>
      </c>
      <c r="EK50" s="46">
        <v>2.7900000000000001E-2</v>
      </c>
      <c r="EL50" s="46">
        <v>2.9899999999999999E-2</v>
      </c>
      <c r="EM50" s="46">
        <v>2.8400000000000002E-2</v>
      </c>
      <c r="EN50" s="46">
        <v>2.9899999999999999E-2</v>
      </c>
      <c r="EO50" s="46">
        <v>2.8899999999999999E-2</v>
      </c>
      <c r="EP50" s="46">
        <v>2.7900000000000001E-2</v>
      </c>
      <c r="EQ50" s="46">
        <v>2.3400000000000001E-2</v>
      </c>
      <c r="ER50" s="46">
        <v>2.29E-2</v>
      </c>
      <c r="ES50" s="46">
        <v>2.24E-2</v>
      </c>
      <c r="ET50" s="46">
        <v>1.5900000000000001E-2</v>
      </c>
      <c r="EU50" s="46">
        <v>1.6400000000000001E-2</v>
      </c>
      <c r="EV50" s="46">
        <v>1.6400000000000001E-2</v>
      </c>
      <c r="EW50" s="46">
        <v>1.6400000000000001E-2</v>
      </c>
      <c r="EX50" s="46">
        <v>1.54E-2</v>
      </c>
      <c r="EY50" s="46">
        <v>1.54E-2</v>
      </c>
      <c r="EZ50" s="46">
        <v>1.6899999999999998E-2</v>
      </c>
      <c r="FA50" s="46">
        <v>1.7399999999999999E-2</v>
      </c>
      <c r="FB50" s="45">
        <v>1.77E-2</v>
      </c>
      <c r="FC50" s="46">
        <v>1.54E-2</v>
      </c>
      <c r="FD50" s="45">
        <v>1.54E-2</v>
      </c>
      <c r="FE50" s="45">
        <v>1.49E-2</v>
      </c>
      <c r="FF50" s="45">
        <v>1.5900000000000001E-2</v>
      </c>
      <c r="FG50" s="45">
        <v>1.44E-2</v>
      </c>
      <c r="FH50" s="45">
        <v>1.49E-2</v>
      </c>
      <c r="FI50" s="45">
        <v>1.44E-2</v>
      </c>
      <c r="FJ50" s="45">
        <v>1.5900000000000001E-2</v>
      </c>
      <c r="FK50" s="45">
        <v>1.49E-2</v>
      </c>
      <c r="FL50" s="45">
        <v>1.44E-2</v>
      </c>
      <c r="FM50" s="45">
        <v>1.49E-2</v>
      </c>
      <c r="FN50" s="45">
        <v>1.34E-2</v>
      </c>
      <c r="FO50" s="45">
        <v>1.7899999999999999E-2</v>
      </c>
      <c r="FP50" s="45">
        <v>1.9400000000000001E-2</v>
      </c>
      <c r="FQ50" s="45">
        <v>2.0899999999999998E-2</v>
      </c>
      <c r="FR50" s="45">
        <v>1.6899999999999998E-2</v>
      </c>
      <c r="FS50" s="45">
        <v>1.6899999999999998E-2</v>
      </c>
      <c r="FT50" s="45">
        <v>1.89E-2</v>
      </c>
      <c r="FU50" s="46">
        <v>1.6400000000000001E-2</v>
      </c>
      <c r="FV50" s="46">
        <v>1.6899999999999998E-2</v>
      </c>
      <c r="FW50" s="45">
        <v>2.0400000000000001E-2</v>
      </c>
      <c r="FX50" s="45">
        <v>1.9400000000000001E-2</v>
      </c>
      <c r="FY50" s="45">
        <v>2.0400000000000001E-2</v>
      </c>
      <c r="FZ50" s="45">
        <v>1.6899999999999998E-2</v>
      </c>
      <c r="GA50" s="45">
        <v>1.6899999999999998E-2</v>
      </c>
      <c r="GB50" s="45">
        <v>1.7899999999999999E-2</v>
      </c>
      <c r="GC50" s="45">
        <v>1.9400000000000001E-2</v>
      </c>
      <c r="GD50" s="45">
        <v>2.0400000000000001E-2</v>
      </c>
      <c r="GE50" s="45">
        <v>1.89E-2</v>
      </c>
      <c r="GF50" s="45">
        <v>1.9400000000000001E-2</v>
      </c>
      <c r="GG50" s="45">
        <v>1.9900000000000001E-2</v>
      </c>
      <c r="GH50" s="45">
        <v>2.24E-2</v>
      </c>
      <c r="GI50" s="45">
        <v>1.7399999999999999E-2</v>
      </c>
      <c r="GJ50" s="45">
        <v>1.89E-2</v>
      </c>
      <c r="GK50" s="45">
        <v>1.49E-2</v>
      </c>
      <c r="GL50" s="45">
        <v>2.1399999999999999E-2</v>
      </c>
      <c r="GM50" s="45">
        <v>2.4899999999999999E-2</v>
      </c>
      <c r="GN50" s="45">
        <v>1.9900000000000001E-2</v>
      </c>
      <c r="GO50" s="45">
        <v>1.84E-2</v>
      </c>
      <c r="GP50" s="45">
        <v>1.84E-2</v>
      </c>
      <c r="GQ50" s="45">
        <v>1.7399999999999999E-2</v>
      </c>
      <c r="GR50" s="45">
        <v>1.6400000000000001E-2</v>
      </c>
      <c r="GS50" s="51">
        <v>1.5900000000000001E-2</v>
      </c>
      <c r="GT50" s="51">
        <v>1.32E-2</v>
      </c>
      <c r="GU50" s="51">
        <v>1.44E-2</v>
      </c>
      <c r="GV50" s="51">
        <v>1.7899999999999999E-2</v>
      </c>
      <c r="GW50" s="59"/>
      <c r="GX50" s="59"/>
      <c r="GY50" s="59"/>
      <c r="GZ50" s="59"/>
      <c r="HA50" s="59"/>
      <c r="HB50" s="59"/>
      <c r="HC50" s="59"/>
      <c r="HD50" s="59"/>
      <c r="HE50" s="58"/>
      <c r="HF50" s="58"/>
      <c r="HG50" s="58"/>
      <c r="HH50" s="58"/>
      <c r="HI50" s="58"/>
      <c r="HJ50" s="58"/>
      <c r="HK50" s="58"/>
      <c r="HL50" s="41">
        <f t="shared" ref="HL50:HL58" si="21">BH50-BQ50</f>
        <v>-8.5000000000000006E-3</v>
      </c>
      <c r="HM50" s="67"/>
      <c r="HN50" s="67"/>
      <c r="HO50" s="67"/>
      <c r="HP50" s="67"/>
      <c r="HQ50" s="86"/>
      <c r="HR50" s="1156" t="s">
        <v>208</v>
      </c>
      <c r="HS50" s="1157"/>
      <c r="HT50" s="1157"/>
      <c r="HU50" s="1157"/>
      <c r="HV50" s="1157"/>
      <c r="HW50" s="1157"/>
      <c r="HX50" s="1157"/>
      <c r="HY50" s="1157"/>
      <c r="HZ50" s="1157"/>
      <c r="IA50" s="1157"/>
      <c r="IB50" s="1157"/>
      <c r="IC50" s="1157"/>
      <c r="ID50" s="1157"/>
      <c r="IE50" s="1157"/>
      <c r="IF50" s="1157"/>
      <c r="IG50" s="1157"/>
      <c r="IH50" s="1157"/>
      <c r="II50" s="1157"/>
      <c r="IJ50" s="1157"/>
      <c r="IK50" s="1157"/>
      <c r="IL50" s="1157"/>
      <c r="IM50" s="1157"/>
      <c r="IN50" s="1157"/>
      <c r="IO50" s="1157"/>
      <c r="IP50" s="1157"/>
      <c r="IQ50" s="1157"/>
      <c r="IR50" s="1157"/>
      <c r="IS50" s="1157"/>
      <c r="IT50" s="1157"/>
      <c r="IU50" s="1157"/>
      <c r="IV50" s="1157"/>
      <c r="IW50" s="1157"/>
      <c r="IX50" s="1157"/>
      <c r="IY50" s="1157"/>
      <c r="IZ50" s="1157"/>
      <c r="JA50" s="1157"/>
      <c r="JB50" s="1157"/>
      <c r="JC50" s="1157"/>
      <c r="JD50" s="1157"/>
      <c r="JE50" s="1157"/>
      <c r="JF50" s="1157"/>
      <c r="JG50" s="1157"/>
      <c r="JH50" s="1157"/>
      <c r="JI50" s="1157"/>
      <c r="JJ50" s="1157"/>
      <c r="JK50" s="1157"/>
      <c r="JL50" s="1157"/>
      <c r="JM50" s="1157"/>
      <c r="JN50" s="1157"/>
      <c r="JO50" s="1157" t="s">
        <v>207</v>
      </c>
      <c r="JP50" s="1157"/>
      <c r="JQ50" s="1157"/>
      <c r="JR50" s="1157"/>
      <c r="JS50" s="1157"/>
      <c r="JT50" s="1157"/>
      <c r="JU50" s="1157"/>
      <c r="JV50" s="1157"/>
      <c r="JW50" s="1157"/>
      <c r="JX50" s="1157"/>
      <c r="JY50" s="1157"/>
      <c r="JZ50" s="1157"/>
      <c r="KA50" s="1157"/>
      <c r="KB50" s="1157"/>
      <c r="KC50" s="1157"/>
      <c r="KD50" s="1157"/>
      <c r="KE50" s="1157"/>
      <c r="KF50" s="1157"/>
      <c r="KG50" s="1157"/>
      <c r="KH50" s="1157"/>
      <c r="KI50" s="1157"/>
      <c r="KJ50" s="1157"/>
      <c r="KK50" s="1157"/>
      <c r="KL50" s="1157"/>
      <c r="KM50" s="1157"/>
      <c r="KN50" s="1157"/>
      <c r="KO50" s="1157"/>
      <c r="KP50" s="1157"/>
      <c r="KQ50" s="1157"/>
      <c r="KR50" s="1157"/>
      <c r="KS50" s="1157"/>
      <c r="KT50" s="1157"/>
      <c r="KU50" s="1157"/>
      <c r="KV50" s="1157"/>
      <c r="KW50" s="1157"/>
      <c r="KX50" s="1157"/>
      <c r="KY50" s="1157"/>
      <c r="KZ50" s="1157"/>
      <c r="LA50" s="1157"/>
      <c r="LB50" s="1157"/>
      <c r="LC50" s="1157"/>
      <c r="LD50" s="1157"/>
      <c r="LE50" s="1157"/>
      <c r="LF50" s="1157"/>
      <c r="LG50" s="1157"/>
      <c r="LH50" s="1157"/>
      <c r="LI50" s="1157"/>
      <c r="LJ50" s="1157"/>
      <c r="LK50" s="1157"/>
      <c r="LL50" s="1157"/>
      <c r="LM50" s="1158"/>
      <c r="LN50" s="473">
        <f t="shared" ref="LN50:LN69" si="22">Q50-R50</f>
        <v>0</v>
      </c>
    </row>
    <row r="51" spans="1:326">
      <c r="A51" s="1168"/>
      <c r="B51" s="60"/>
      <c r="C51" s="60"/>
      <c r="D51" s="60"/>
      <c r="E51" s="60"/>
      <c r="F51" s="60"/>
      <c r="G51" s="60"/>
      <c r="H51" s="60"/>
      <c r="I51" s="60"/>
      <c r="J51" s="60"/>
      <c r="K51" s="60"/>
      <c r="L51" s="60"/>
      <c r="M51" s="60"/>
      <c r="N51" s="61"/>
      <c r="O51" s="60"/>
      <c r="P51" s="738" t="s">
        <v>93</v>
      </c>
      <c r="Q51" s="590">
        <v>7.7000000000000002E-3</v>
      </c>
      <c r="R51" s="590">
        <v>7.7000000000000002E-3</v>
      </c>
      <c r="S51" s="590">
        <v>8.6999999999999994E-3</v>
      </c>
      <c r="T51" s="590">
        <v>7.7000000000000002E-3</v>
      </c>
      <c r="U51" s="590">
        <v>8.6999999999999994E-3</v>
      </c>
      <c r="V51" s="590">
        <v>8.2000000000000007E-3</v>
      </c>
      <c r="W51" s="590">
        <v>8.6999999999999994E-3</v>
      </c>
      <c r="X51" s="590">
        <v>8.2000000000000007E-3</v>
      </c>
      <c r="Y51" s="590">
        <v>9.7000000000000003E-3</v>
      </c>
      <c r="Z51" s="590">
        <v>1.0200000000000001E-2</v>
      </c>
      <c r="AA51" s="590">
        <v>9.7000000000000003E-3</v>
      </c>
      <c r="AB51" s="626">
        <v>1.0200000000000001E-2</v>
      </c>
      <c r="AC51" s="590">
        <v>1.0200000000000001E-2</v>
      </c>
      <c r="AD51" s="590">
        <v>1.12E-2</v>
      </c>
      <c r="AE51" s="626">
        <v>1.0699999999999999E-2</v>
      </c>
      <c r="AF51" s="590">
        <v>1.0699999999999999E-2</v>
      </c>
      <c r="AG51" s="590">
        <v>9.1999999999999998E-3</v>
      </c>
      <c r="AH51" s="614">
        <v>8.6999999999999994E-3</v>
      </c>
      <c r="AI51" s="590">
        <v>8.6999999999999994E-3</v>
      </c>
      <c r="AJ51" s="48">
        <v>9.7000000000000003E-3</v>
      </c>
      <c r="AK51" s="48">
        <v>1.0699999999999999E-2</v>
      </c>
      <c r="AL51" s="47">
        <v>1.0199999999999999E-2</v>
      </c>
      <c r="AM51" s="48">
        <v>1.0199999999999999E-2</v>
      </c>
      <c r="AN51" s="47">
        <v>8.6999999999999994E-3</v>
      </c>
      <c r="AO51" s="48">
        <v>8.6999999999999994E-3</v>
      </c>
      <c r="AP51" s="48">
        <v>8.199999999999999E-3</v>
      </c>
      <c r="AQ51" s="48">
        <v>9.1999999999999998E-3</v>
      </c>
      <c r="AR51" s="47">
        <v>8.2000000000000007E-3</v>
      </c>
      <c r="AS51" s="47">
        <v>9.1999999999999998E-3</v>
      </c>
      <c r="AT51" s="460">
        <v>9.1999999999999998E-3</v>
      </c>
      <c r="AU51" s="34">
        <v>7.7000000000000002E-3</v>
      </c>
      <c r="AV51" s="34">
        <v>8.6999999999999994E-3</v>
      </c>
      <c r="AW51" s="34">
        <v>7.7000000000000002E-3</v>
      </c>
      <c r="AX51" s="34">
        <v>9.1999999999999998E-3</v>
      </c>
      <c r="AY51" s="46">
        <v>9.7000000000000003E-3</v>
      </c>
      <c r="AZ51" s="35">
        <v>9.7000000000000003E-3</v>
      </c>
      <c r="BA51" s="35">
        <v>9.7000000000000003E-3</v>
      </c>
      <c r="BB51" s="34">
        <v>9.7000000000000003E-3</v>
      </c>
      <c r="BC51" s="35">
        <v>9.1999999999999998E-3</v>
      </c>
      <c r="BD51" s="35">
        <v>9.1999999999999998E-3</v>
      </c>
      <c r="BE51" s="34">
        <v>9.1999999999999998E-3</v>
      </c>
      <c r="BF51" s="35">
        <v>8.2000000000000007E-3</v>
      </c>
      <c r="BG51" s="34">
        <v>8.2000000000000007E-3</v>
      </c>
      <c r="BH51" s="34">
        <v>7.1999999999999998E-3</v>
      </c>
      <c r="BI51" s="34">
        <v>8.6999999999999994E-3</v>
      </c>
      <c r="BJ51" s="46">
        <v>1.0200000000000001E-2</v>
      </c>
      <c r="BK51" s="46">
        <v>8.2000000000000007E-3</v>
      </c>
      <c r="BL51" s="46">
        <v>1.32E-2</v>
      </c>
      <c r="BM51" s="46">
        <v>1.47E-2</v>
      </c>
      <c r="BN51" s="46">
        <v>1.2699999999999999E-2</v>
      </c>
      <c r="BO51" s="46">
        <v>1.2699999999999999E-2</v>
      </c>
      <c r="BP51" s="46">
        <v>1.32E-2</v>
      </c>
      <c r="BQ51" s="46">
        <v>1.5699999999999999E-2</v>
      </c>
      <c r="BR51" s="46">
        <v>1.5699999999999999E-2</v>
      </c>
      <c r="BS51" s="46">
        <v>1.67E-2</v>
      </c>
      <c r="BT51" s="46">
        <v>1.77E-2</v>
      </c>
      <c r="BU51" s="46">
        <v>1.8700000000000001E-2</v>
      </c>
      <c r="BV51" s="46">
        <v>1.6199999999999999E-2</v>
      </c>
      <c r="BW51" s="46">
        <v>1.72E-2</v>
      </c>
      <c r="BX51" s="46">
        <v>2.1700000000000001E-2</v>
      </c>
      <c r="BY51" s="46">
        <v>2.3199999999999998E-2</v>
      </c>
      <c r="BZ51" s="46">
        <v>2.12E-2</v>
      </c>
      <c r="CA51" s="46">
        <v>2.4199999999999999E-2</v>
      </c>
      <c r="CB51" s="46">
        <v>2.3699999999999999E-2</v>
      </c>
      <c r="CC51" s="46">
        <v>2.2700000000000001E-2</v>
      </c>
      <c r="CD51" s="46">
        <v>2.12E-2</v>
      </c>
      <c r="CE51" s="46">
        <v>2.52E-2</v>
      </c>
      <c r="CF51" s="46">
        <v>2.4199999999999999E-2</v>
      </c>
      <c r="CG51" s="46">
        <v>1.5699999999999999E-2</v>
      </c>
      <c r="CH51" s="46">
        <v>1.4200000000000001E-2</v>
      </c>
      <c r="CI51" s="46">
        <v>1.4200000000000001E-2</v>
      </c>
      <c r="CJ51" s="46">
        <v>1.47E-2</v>
      </c>
      <c r="CK51" s="46">
        <v>1.47E-2</v>
      </c>
      <c r="CL51" s="46">
        <v>1.37E-2</v>
      </c>
      <c r="CM51" s="46">
        <v>8.2000000000000007E-3</v>
      </c>
      <c r="CN51" s="46">
        <v>8.2000000000000007E-3</v>
      </c>
      <c r="CO51" s="46">
        <v>1.0699999999999999E-2</v>
      </c>
      <c r="CP51" s="46">
        <v>8.2000000000000007E-3</v>
      </c>
      <c r="CQ51" s="46">
        <v>8.6999999999999994E-3</v>
      </c>
      <c r="CR51" s="46">
        <v>8.6999999999999994E-3</v>
      </c>
      <c r="CS51" s="46">
        <v>1.0699999999999999E-2</v>
      </c>
      <c r="CT51" s="46">
        <v>1.17E-2</v>
      </c>
      <c r="CU51" s="46">
        <v>1.2200000000000001E-2</v>
      </c>
      <c r="CV51" s="46">
        <v>1.9199999999999998E-2</v>
      </c>
      <c r="CW51" s="46">
        <v>2.0199999999999999E-2</v>
      </c>
      <c r="CX51" s="46">
        <v>2.1700000000000001E-2</v>
      </c>
      <c r="CY51" s="46">
        <v>2.1700000000000001E-2</v>
      </c>
      <c r="CZ51" s="46">
        <v>1.9199999999999998E-2</v>
      </c>
      <c r="DA51" s="46">
        <v>1.9199999999999998E-2</v>
      </c>
      <c r="DB51" s="46">
        <v>1.8700000000000001E-2</v>
      </c>
      <c r="DC51" s="46">
        <v>1.8700000000000001E-2</v>
      </c>
      <c r="DD51" s="46">
        <v>1.8700000000000001E-2</v>
      </c>
      <c r="DE51" s="46">
        <v>1.8700000000000001E-2</v>
      </c>
      <c r="DF51" s="46">
        <v>1.9699999999999999E-2</v>
      </c>
      <c r="DG51" s="46">
        <v>2.2200000000000001E-2</v>
      </c>
      <c r="DH51" s="46">
        <v>2.4199999999999999E-2</v>
      </c>
      <c r="DI51" s="46">
        <v>2.6700000000000002E-2</v>
      </c>
      <c r="DJ51" s="54">
        <v>2.87E-2</v>
      </c>
      <c r="DK51" s="53">
        <v>2.7699999999999999E-2</v>
      </c>
      <c r="DL51" s="46">
        <v>2.47E-2</v>
      </c>
      <c r="DM51" s="46">
        <v>2.47E-2</v>
      </c>
      <c r="DN51" s="46">
        <v>2.2700000000000001E-2</v>
      </c>
      <c r="DO51" s="46">
        <v>2.0199999999999999E-2</v>
      </c>
      <c r="DP51" s="46">
        <v>1.9699999999999999E-2</v>
      </c>
      <c r="DQ51" s="45">
        <v>2.1700000000000001E-2</v>
      </c>
      <c r="DR51" s="45">
        <v>2.07E-2</v>
      </c>
      <c r="DS51" s="45">
        <v>2.2700000000000001E-2</v>
      </c>
      <c r="DT51" s="46">
        <v>2.2200000000000001E-2</v>
      </c>
      <c r="DU51" s="46">
        <v>1.9699999999999999E-2</v>
      </c>
      <c r="DV51" s="46">
        <v>2.0199999999999999E-2</v>
      </c>
      <c r="DW51" s="46">
        <v>2.2200000000000001E-2</v>
      </c>
      <c r="DX51" s="46">
        <v>1.9199999999999998E-2</v>
      </c>
      <c r="DY51" s="46">
        <v>1.9199999999999998E-2</v>
      </c>
      <c r="DZ51" s="46">
        <v>2.1700000000000001E-2</v>
      </c>
      <c r="EA51" s="46">
        <v>2.12E-2</v>
      </c>
      <c r="EB51" s="46">
        <v>2.52E-2</v>
      </c>
      <c r="EC51" s="46">
        <v>2.6200000000000001E-2</v>
      </c>
      <c r="ED51" s="46">
        <v>2.1700000000000001E-2</v>
      </c>
      <c r="EE51" s="46">
        <v>2.1700000000000001E-2</v>
      </c>
      <c r="EF51" s="46">
        <v>2.2700000000000001E-2</v>
      </c>
      <c r="EG51" s="46">
        <v>2.47E-2</v>
      </c>
      <c r="EH51" s="46">
        <v>2.47E-2</v>
      </c>
      <c r="EI51" s="46">
        <v>2.52E-2</v>
      </c>
      <c r="EJ51" s="46">
        <v>3.0700000000000002E-2</v>
      </c>
      <c r="EK51" s="46">
        <v>2.92E-2</v>
      </c>
      <c r="EL51" s="46">
        <v>3.1199999999999999E-2</v>
      </c>
      <c r="EM51" s="46">
        <v>2.9700000000000001E-2</v>
      </c>
      <c r="EN51" s="46">
        <v>3.1199999999999999E-2</v>
      </c>
      <c r="EO51" s="46">
        <v>3.0200000000000001E-2</v>
      </c>
      <c r="EP51" s="46">
        <v>2.92E-2</v>
      </c>
      <c r="EQ51" s="46">
        <v>2.47E-2</v>
      </c>
      <c r="ER51" s="46">
        <v>2.4199999999999999E-2</v>
      </c>
      <c r="ES51" s="46">
        <v>2.3699999999999999E-2</v>
      </c>
      <c r="ET51" s="46">
        <v>1.72E-2</v>
      </c>
      <c r="EU51" s="46">
        <v>1.77E-2</v>
      </c>
      <c r="EV51" s="46">
        <v>1.77E-2</v>
      </c>
      <c r="EW51" s="46">
        <v>1.77E-2</v>
      </c>
      <c r="EX51" s="46">
        <v>1.67E-2</v>
      </c>
      <c r="EY51" s="46">
        <v>1.67E-2</v>
      </c>
      <c r="EZ51" s="46">
        <v>1.8200000000000001E-2</v>
      </c>
      <c r="FA51" s="46">
        <v>1.8700000000000001E-2</v>
      </c>
      <c r="FB51" s="45">
        <v>1.9E-2</v>
      </c>
      <c r="FC51" s="46">
        <v>1.5699999999999999E-2</v>
      </c>
      <c r="FD51" s="45">
        <v>1.5699999999999999E-2</v>
      </c>
      <c r="FE51" s="45">
        <v>1.6199999999999999E-2</v>
      </c>
      <c r="FF51" s="45">
        <v>1.72E-2</v>
      </c>
      <c r="FG51" s="45">
        <v>1.5699999999999999E-2</v>
      </c>
      <c r="FH51" s="45">
        <v>1.6199999999999999E-2</v>
      </c>
      <c r="FI51" s="45">
        <v>1.5699999999999999E-2</v>
      </c>
      <c r="FJ51" s="45">
        <v>1.72E-2</v>
      </c>
      <c r="FK51" s="45">
        <v>1.6199999999999999E-2</v>
      </c>
      <c r="FL51" s="45">
        <v>1.5699999999999999E-2</v>
      </c>
      <c r="FM51" s="45">
        <v>1.6199999999999999E-2</v>
      </c>
      <c r="FN51" s="45">
        <v>1.47E-2</v>
      </c>
      <c r="FO51" s="45">
        <v>1.9199999999999998E-2</v>
      </c>
      <c r="FP51" s="45">
        <v>2.07E-2</v>
      </c>
      <c r="FQ51" s="45">
        <v>2.2200000000000001E-2</v>
      </c>
      <c r="FR51" s="45">
        <v>1.8200000000000001E-2</v>
      </c>
      <c r="FS51" s="45">
        <v>1.8200000000000001E-2</v>
      </c>
      <c r="FT51" s="45">
        <v>2.0199999999999999E-2</v>
      </c>
      <c r="FU51" s="46">
        <v>1.77E-2</v>
      </c>
      <c r="FV51" s="46">
        <v>1.8200000000000001E-2</v>
      </c>
      <c r="FW51" s="45">
        <v>2.1700000000000001E-2</v>
      </c>
      <c r="FX51" s="45">
        <v>2.07E-2</v>
      </c>
      <c r="FY51" s="45">
        <v>2.1700000000000001E-2</v>
      </c>
      <c r="FZ51" s="45">
        <v>1.8200000000000001E-2</v>
      </c>
      <c r="GA51" s="45">
        <v>1.8200000000000001E-2</v>
      </c>
      <c r="GB51" s="45">
        <v>1.9199999999999998E-2</v>
      </c>
      <c r="GC51" s="45">
        <v>2.07E-2</v>
      </c>
      <c r="GD51" s="45">
        <v>2.1700000000000001E-2</v>
      </c>
      <c r="GE51" s="45">
        <v>2.0199999999999999E-2</v>
      </c>
      <c r="GF51" s="45">
        <v>2.07E-2</v>
      </c>
      <c r="GG51" s="45">
        <v>2.12E-2</v>
      </c>
      <c r="GH51" s="45">
        <v>2.3699999999999999E-2</v>
      </c>
      <c r="GI51" s="45">
        <v>1.8700000000000001E-2</v>
      </c>
      <c r="GJ51" s="45">
        <v>2.0199999999999999E-2</v>
      </c>
      <c r="GK51" s="45">
        <v>1.6199999999999999E-2</v>
      </c>
      <c r="GL51" s="45">
        <v>2.2700000000000001E-2</v>
      </c>
      <c r="GM51" s="45">
        <v>2.6200000000000001E-2</v>
      </c>
      <c r="GN51" s="45">
        <v>2.12E-2</v>
      </c>
      <c r="GO51" s="45">
        <v>1.9699999999999999E-2</v>
      </c>
      <c r="GP51" s="45">
        <v>1.9699999999999999E-2</v>
      </c>
      <c r="GQ51" s="45">
        <v>1.8700000000000001E-2</v>
      </c>
      <c r="GR51" s="45">
        <v>1.77E-2</v>
      </c>
      <c r="GS51" s="51">
        <v>1.72E-2</v>
      </c>
      <c r="GT51" s="51">
        <f>GU51-0.12%</f>
        <v>1.4499999999999999E-2</v>
      </c>
      <c r="GU51" s="51">
        <v>1.5699999999999999E-2</v>
      </c>
      <c r="GV51" s="51">
        <v>1.9199999999999998E-2</v>
      </c>
      <c r="GW51" s="59"/>
      <c r="GX51" s="59"/>
      <c r="GY51" s="59"/>
      <c r="GZ51" s="59"/>
      <c r="HA51" s="59"/>
      <c r="HB51" s="59"/>
      <c r="HC51" s="59"/>
      <c r="HD51" s="59"/>
      <c r="HE51" s="58"/>
      <c r="HF51" s="58"/>
      <c r="HG51" s="58"/>
      <c r="HH51" s="58"/>
      <c r="HI51" s="58"/>
      <c r="HJ51" s="58"/>
      <c r="HK51" s="58"/>
      <c r="HL51" s="41">
        <f t="shared" si="21"/>
        <v>-8.4999999999999989E-3</v>
      </c>
      <c r="HM51" s="67"/>
      <c r="HN51" s="67"/>
      <c r="HO51" s="67"/>
      <c r="HP51" s="67"/>
      <c r="HQ51" s="86"/>
      <c r="HR51" s="67" t="s">
        <v>108</v>
      </c>
      <c r="HS51" s="67" t="s">
        <v>107</v>
      </c>
      <c r="HT51" s="67" t="s">
        <v>106</v>
      </c>
      <c r="HU51" s="67" t="s">
        <v>105</v>
      </c>
      <c r="HV51" s="67" t="s">
        <v>104</v>
      </c>
      <c r="HW51" s="67" t="s">
        <v>103</v>
      </c>
      <c r="HX51" s="67" t="s">
        <v>102</v>
      </c>
      <c r="HY51" s="67" t="s">
        <v>101</v>
      </c>
      <c r="HZ51" s="67" t="s">
        <v>100</v>
      </c>
      <c r="IA51" s="68" t="s">
        <v>99</v>
      </c>
      <c r="IB51" s="67" t="s">
        <v>98</v>
      </c>
      <c r="IC51" s="65" t="s">
        <v>97</v>
      </c>
      <c r="ID51" s="65" t="s">
        <v>206</v>
      </c>
      <c r="IE51" s="65" t="s">
        <v>118</v>
      </c>
      <c r="IF51" s="65" t="s">
        <v>205</v>
      </c>
      <c r="IG51" s="65" t="e">
        <f>[3]RGD!M3</f>
        <v>#REF!</v>
      </c>
      <c r="IH51" s="65" t="str">
        <f>[4]SGD!N3</f>
        <v>5月27日</v>
      </c>
      <c r="II51" s="65" t="s">
        <v>204</v>
      </c>
      <c r="IJ51" s="65" t="s">
        <v>203</v>
      </c>
      <c r="IK51" s="65" t="s">
        <v>202</v>
      </c>
      <c r="IL51" s="65" t="s">
        <v>201</v>
      </c>
      <c r="IM51" s="65" t="s">
        <v>200</v>
      </c>
      <c r="IN51" s="65" t="s">
        <v>199</v>
      </c>
      <c r="IO51" s="65" t="s">
        <v>198</v>
      </c>
      <c r="IP51" s="65" t="s">
        <v>197</v>
      </c>
      <c r="IQ51" s="65" t="s">
        <v>147</v>
      </c>
      <c r="IR51" s="65" t="s">
        <v>196</v>
      </c>
      <c r="IS51" s="65" t="s">
        <v>195</v>
      </c>
      <c r="IT51" s="65" t="s">
        <v>194</v>
      </c>
      <c r="IU51" s="65" t="s">
        <v>193</v>
      </c>
      <c r="IV51" s="65" t="s">
        <v>192</v>
      </c>
      <c r="IW51" s="65" t="s">
        <v>191</v>
      </c>
      <c r="IX51" s="65" t="s">
        <v>190</v>
      </c>
      <c r="IY51" s="65" t="s">
        <v>189</v>
      </c>
      <c r="IZ51" s="65" t="s">
        <v>188</v>
      </c>
      <c r="JA51" s="65" t="s">
        <v>187</v>
      </c>
      <c r="JB51" s="65" t="s">
        <v>186</v>
      </c>
      <c r="JC51" s="65" t="s">
        <v>185</v>
      </c>
      <c r="JD51" s="65" t="s">
        <v>184</v>
      </c>
      <c r="JE51" s="65" t="s">
        <v>183</v>
      </c>
      <c r="JF51" s="65" t="s">
        <v>182</v>
      </c>
      <c r="JG51" s="65" t="s">
        <v>181</v>
      </c>
      <c r="JH51" s="65" t="s">
        <v>180</v>
      </c>
      <c r="JI51" s="65" t="s">
        <v>179</v>
      </c>
      <c r="JJ51" s="65" t="s">
        <v>178</v>
      </c>
      <c r="JK51" s="65" t="s">
        <v>177</v>
      </c>
      <c r="JL51" s="65" t="s">
        <v>176</v>
      </c>
      <c r="JM51" s="65" t="s">
        <v>175</v>
      </c>
      <c r="JN51" s="65" t="s">
        <v>174</v>
      </c>
      <c r="JO51" s="92" t="s">
        <v>173</v>
      </c>
      <c r="JP51" s="92" t="s">
        <v>172</v>
      </c>
      <c r="JQ51" s="92" t="s">
        <v>171</v>
      </c>
      <c r="JR51" s="92" t="s">
        <v>170</v>
      </c>
      <c r="JS51" s="92" t="s">
        <v>169</v>
      </c>
      <c r="JT51" s="92" t="s">
        <v>168</v>
      </c>
      <c r="JU51" s="92" t="s">
        <v>167</v>
      </c>
      <c r="JV51" s="92" t="s">
        <v>166</v>
      </c>
      <c r="JW51" s="92" t="s">
        <v>165</v>
      </c>
      <c r="JX51" s="92" t="s">
        <v>164</v>
      </c>
      <c r="JY51" s="92" t="s">
        <v>99</v>
      </c>
      <c r="JZ51" s="92" t="s">
        <v>103</v>
      </c>
      <c r="KA51" s="92" t="s">
        <v>163</v>
      </c>
      <c r="KB51" s="92" t="s">
        <v>162</v>
      </c>
      <c r="KC51" s="92" t="s">
        <v>161</v>
      </c>
      <c r="KD51" s="92" t="s">
        <v>160</v>
      </c>
      <c r="KE51" s="92" t="s">
        <v>159</v>
      </c>
      <c r="KF51" s="92" t="s">
        <v>158</v>
      </c>
      <c r="KG51" s="92" t="s">
        <v>157</v>
      </c>
      <c r="KH51" s="92" t="s">
        <v>156</v>
      </c>
      <c r="KI51" s="92" t="s">
        <v>155</v>
      </c>
      <c r="KJ51" s="92" t="s">
        <v>154</v>
      </c>
      <c r="KK51" s="92" t="s">
        <v>153</v>
      </c>
      <c r="KL51" s="92" t="s">
        <v>152</v>
      </c>
      <c r="KM51" s="92" t="s">
        <v>151</v>
      </c>
      <c r="KN51" s="92" t="s">
        <v>150</v>
      </c>
      <c r="KO51" s="92" t="s">
        <v>149</v>
      </c>
      <c r="KP51" s="92" t="s">
        <v>148</v>
      </c>
      <c r="KQ51" s="92" t="s">
        <v>147</v>
      </c>
      <c r="KR51" s="92" t="s">
        <v>146</v>
      </c>
      <c r="KS51" s="92" t="s">
        <v>145</v>
      </c>
      <c r="KT51" s="92" t="s">
        <v>144</v>
      </c>
      <c r="KU51" s="92" t="s">
        <v>143</v>
      </c>
      <c r="KV51" s="92" t="s">
        <v>142</v>
      </c>
      <c r="KW51" s="92" t="s">
        <v>141</v>
      </c>
      <c r="KX51" s="92" t="s">
        <v>140</v>
      </c>
      <c r="KY51" s="92" t="s">
        <v>139</v>
      </c>
      <c r="KZ51" s="92" t="s">
        <v>138</v>
      </c>
      <c r="LA51" s="92" t="s">
        <v>137</v>
      </c>
      <c r="LB51" s="92" t="s">
        <v>136</v>
      </c>
      <c r="LC51" s="92" t="s">
        <v>135</v>
      </c>
      <c r="LD51" s="92" t="s">
        <v>134</v>
      </c>
      <c r="LE51" s="92" t="s">
        <v>133</v>
      </c>
      <c r="LF51" s="92" t="s">
        <v>132</v>
      </c>
      <c r="LG51" s="92" t="s">
        <v>131</v>
      </c>
      <c r="LH51" s="92" t="s">
        <v>130</v>
      </c>
      <c r="LI51" s="92" t="s">
        <v>129</v>
      </c>
      <c r="LJ51" s="92" t="s">
        <v>128</v>
      </c>
      <c r="LK51" s="92" t="s">
        <v>127</v>
      </c>
      <c r="LL51" s="92" t="s">
        <v>126</v>
      </c>
      <c r="LM51" s="92" t="s">
        <v>125</v>
      </c>
      <c r="LN51" s="473">
        <f t="shared" si="22"/>
        <v>0</v>
      </c>
    </row>
    <row r="52" spans="1:326" ht="14.7" customHeight="1">
      <c r="A52" s="1168"/>
      <c r="B52" s="60"/>
      <c r="C52" s="60"/>
      <c r="D52" s="60"/>
      <c r="E52" s="60"/>
      <c r="F52" s="60"/>
      <c r="G52" s="60"/>
      <c r="H52" s="60"/>
      <c r="I52" s="60"/>
      <c r="J52" s="60"/>
      <c r="K52" s="60"/>
      <c r="L52" s="60"/>
      <c r="M52" s="60"/>
      <c r="N52" s="61"/>
      <c r="O52" s="60"/>
      <c r="P52" s="738" t="s">
        <v>90</v>
      </c>
      <c r="Q52" s="590">
        <v>8.8999999999999999E-3</v>
      </c>
      <c r="R52" s="590">
        <v>8.8999999999999999E-3</v>
      </c>
      <c r="S52" s="590">
        <v>9.9000000000000008E-3</v>
      </c>
      <c r="T52" s="590">
        <v>8.8999999999999999E-3</v>
      </c>
      <c r="U52" s="590">
        <v>9.9000000000000008E-3</v>
      </c>
      <c r="V52" s="590">
        <v>9.4000000000000004E-3</v>
      </c>
      <c r="W52" s="590">
        <v>9.9000000000000008E-3</v>
      </c>
      <c r="X52" s="590">
        <v>9.4000000000000004E-3</v>
      </c>
      <c r="Y52" s="590">
        <v>1.09E-2</v>
      </c>
      <c r="Z52" s="590">
        <v>1.14E-2</v>
      </c>
      <c r="AA52" s="590">
        <v>1.09E-2</v>
      </c>
      <c r="AB52" s="626">
        <v>1.14E-2</v>
      </c>
      <c r="AC52" s="590">
        <v>1.14E-2</v>
      </c>
      <c r="AD52" s="590">
        <v>1.24E-2</v>
      </c>
      <c r="AE52" s="626">
        <v>1.1900000000000001E-2</v>
      </c>
      <c r="AF52" s="590">
        <v>1.1900000000000001E-2</v>
      </c>
      <c r="AG52" s="590">
        <v>1.04E-2</v>
      </c>
      <c r="AH52" s="614">
        <v>9.8999999999999991E-3</v>
      </c>
      <c r="AI52" s="590">
        <v>9.8999999999999991E-3</v>
      </c>
      <c r="AJ52" s="48">
        <v>1.09E-2</v>
      </c>
      <c r="AK52" s="48">
        <v>1.1899999999999999E-2</v>
      </c>
      <c r="AL52" s="47">
        <v>1.1399999999999999E-2</v>
      </c>
      <c r="AM52" s="48">
        <v>1.1399999999999999E-2</v>
      </c>
      <c r="AN52" s="47">
        <v>9.8999999999999991E-3</v>
      </c>
      <c r="AO52" s="48">
        <v>9.8999999999999991E-3</v>
      </c>
      <c r="AP52" s="48">
        <v>9.3999999999999986E-3</v>
      </c>
      <c r="AQ52" s="48">
        <v>1.04E-2</v>
      </c>
      <c r="AR52" s="47">
        <v>9.4000000000000004E-3</v>
      </c>
      <c r="AS52" s="47">
        <v>1.04E-2</v>
      </c>
      <c r="AT52" s="460">
        <v>1.04E-2</v>
      </c>
      <c r="AU52" s="34">
        <v>8.8999999999999999E-3</v>
      </c>
      <c r="AV52" s="34">
        <v>9.9000000000000008E-3</v>
      </c>
      <c r="AW52" s="34">
        <v>8.8999999999999999E-3</v>
      </c>
      <c r="AX52" s="34">
        <v>1.04E-2</v>
      </c>
      <c r="AY52" s="46">
        <v>1.09E-2</v>
      </c>
      <c r="AZ52" s="35">
        <v>1.09E-2</v>
      </c>
      <c r="BA52" s="35">
        <v>1.09E-2</v>
      </c>
      <c r="BB52" s="34">
        <v>1.09E-2</v>
      </c>
      <c r="BC52" s="35">
        <v>1.04E-2</v>
      </c>
      <c r="BD52" s="35">
        <v>1.04E-2</v>
      </c>
      <c r="BE52" s="34">
        <v>1.04E-2</v>
      </c>
      <c r="BF52" s="35">
        <v>9.4000000000000004E-3</v>
      </c>
      <c r="BG52" s="34">
        <v>9.4000000000000004E-3</v>
      </c>
      <c r="BH52" s="34">
        <v>8.3999999999999995E-3</v>
      </c>
      <c r="BI52" s="34">
        <v>9.9000000000000008E-3</v>
      </c>
      <c r="BJ52" s="46">
        <v>1.14E-2</v>
      </c>
      <c r="BK52" s="46">
        <v>9.4000000000000004E-3</v>
      </c>
      <c r="BL52" s="46">
        <v>1.44E-2</v>
      </c>
      <c r="BM52" s="46">
        <v>1.5900000000000001E-2</v>
      </c>
      <c r="BN52" s="46">
        <v>1.3899999999999999E-2</v>
      </c>
      <c r="BO52" s="46">
        <v>1.3899999999999999E-2</v>
      </c>
      <c r="BP52" s="46">
        <v>1.44E-2</v>
      </c>
      <c r="BQ52" s="46">
        <v>1.6899999999999998E-2</v>
      </c>
      <c r="BR52" s="46">
        <v>1.6899999999999998E-2</v>
      </c>
      <c r="BS52" s="46">
        <v>1.7899999999999999E-2</v>
      </c>
      <c r="BT52" s="46">
        <v>1.89E-2</v>
      </c>
      <c r="BU52" s="46">
        <v>1.9900000000000001E-2</v>
      </c>
      <c r="BV52" s="46">
        <v>1.7399999999999999E-2</v>
      </c>
      <c r="BW52" s="46">
        <v>1.84E-2</v>
      </c>
      <c r="BX52" s="46">
        <v>2.29E-2</v>
      </c>
      <c r="BY52" s="46">
        <v>2.4400000000000002E-2</v>
      </c>
      <c r="BZ52" s="46">
        <v>2.24E-2</v>
      </c>
      <c r="CA52" s="46">
        <v>2.5399999999999999E-2</v>
      </c>
      <c r="CB52" s="46">
        <v>2.4899999999999999E-2</v>
      </c>
      <c r="CC52" s="46">
        <v>2.3900000000000001E-2</v>
      </c>
      <c r="CD52" s="46">
        <v>2.24E-2</v>
      </c>
      <c r="CE52" s="46">
        <v>2.64E-2</v>
      </c>
      <c r="CF52" s="46">
        <v>2.5399999999999999E-2</v>
      </c>
      <c r="CG52" s="46">
        <v>1.6899999999999998E-2</v>
      </c>
      <c r="CH52" s="46">
        <v>1.54E-2</v>
      </c>
      <c r="CI52" s="46">
        <v>1.54E-2</v>
      </c>
      <c r="CJ52" s="46">
        <v>1.5900000000000001E-2</v>
      </c>
      <c r="CK52" s="46">
        <v>1.5900000000000001E-2</v>
      </c>
      <c r="CL52" s="46">
        <v>1.49E-2</v>
      </c>
      <c r="CM52" s="46">
        <v>9.4000000000000004E-3</v>
      </c>
      <c r="CN52" s="46">
        <v>9.4000000000000004E-3</v>
      </c>
      <c r="CO52" s="46">
        <v>1.1900000000000001E-2</v>
      </c>
      <c r="CP52" s="46">
        <v>9.4000000000000004E-3</v>
      </c>
      <c r="CQ52" s="46">
        <v>9.9000000000000008E-3</v>
      </c>
      <c r="CR52" s="46">
        <v>9.9000000000000008E-3</v>
      </c>
      <c r="CS52" s="46">
        <v>1.1900000000000001E-2</v>
      </c>
      <c r="CT52" s="46">
        <v>1.29E-2</v>
      </c>
      <c r="CU52" s="46">
        <v>1.34E-2</v>
      </c>
      <c r="CV52" s="46">
        <v>2.0400000000000001E-2</v>
      </c>
      <c r="CW52" s="46">
        <v>2.1399999999999999E-2</v>
      </c>
      <c r="CX52" s="46">
        <v>2.29E-2</v>
      </c>
      <c r="CY52" s="46">
        <v>2.29E-2</v>
      </c>
      <c r="CZ52" s="46">
        <v>2.0400000000000001E-2</v>
      </c>
      <c r="DA52" s="46">
        <v>2.0400000000000001E-2</v>
      </c>
      <c r="DB52" s="46">
        <v>1.9900000000000001E-2</v>
      </c>
      <c r="DC52" s="46">
        <v>1.9900000000000001E-2</v>
      </c>
      <c r="DD52" s="46">
        <v>1.9900000000000001E-2</v>
      </c>
      <c r="DE52" s="46">
        <v>1.9900000000000001E-2</v>
      </c>
      <c r="DF52" s="46">
        <v>2.0899999999999998E-2</v>
      </c>
      <c r="DG52" s="46">
        <v>2.3400000000000001E-2</v>
      </c>
      <c r="DH52" s="46">
        <v>2.5399999999999999E-2</v>
      </c>
      <c r="DI52" s="46">
        <v>2.7900000000000001E-2</v>
      </c>
      <c r="DJ52" s="54">
        <v>2.9899999999999999E-2</v>
      </c>
      <c r="DK52" s="53">
        <v>2.8899999999999999E-2</v>
      </c>
      <c r="DL52" s="46">
        <v>2.5899999999999999E-2</v>
      </c>
      <c r="DM52" s="46">
        <v>2.5899999999999999E-2</v>
      </c>
      <c r="DN52" s="46">
        <v>2.3900000000000001E-2</v>
      </c>
      <c r="DO52" s="46">
        <v>2.1399999999999999E-2</v>
      </c>
      <c r="DP52" s="46">
        <v>2.0899999999999998E-2</v>
      </c>
      <c r="DQ52" s="45">
        <v>2.29E-2</v>
      </c>
      <c r="DR52" s="45">
        <v>2.1899999999999999E-2</v>
      </c>
      <c r="DS52" s="45">
        <v>2.3900000000000001E-2</v>
      </c>
      <c r="DT52" s="46">
        <v>2.3400000000000001E-2</v>
      </c>
      <c r="DU52" s="46">
        <v>2.0899999999999998E-2</v>
      </c>
      <c r="DV52" s="46">
        <v>2.1399999999999999E-2</v>
      </c>
      <c r="DW52" s="46">
        <v>2.3400000000000001E-2</v>
      </c>
      <c r="DX52" s="46">
        <v>2.0400000000000001E-2</v>
      </c>
      <c r="DY52" s="46">
        <v>2.0400000000000001E-2</v>
      </c>
      <c r="DZ52" s="46">
        <v>2.29E-2</v>
      </c>
      <c r="EA52" s="46">
        <v>2.24E-2</v>
      </c>
      <c r="EB52" s="46">
        <v>2.64E-2</v>
      </c>
      <c r="EC52" s="46">
        <v>2.7400000000000001E-2</v>
      </c>
      <c r="ED52" s="46">
        <v>2.29E-2</v>
      </c>
      <c r="EE52" s="46">
        <v>2.29E-2</v>
      </c>
      <c r="EF52" s="46">
        <v>2.3900000000000001E-2</v>
      </c>
      <c r="EG52" s="46">
        <v>2.5899999999999999E-2</v>
      </c>
      <c r="EH52" s="46">
        <v>2.5899999999999999E-2</v>
      </c>
      <c r="EI52" s="46">
        <v>2.64E-2</v>
      </c>
      <c r="EJ52" s="46">
        <v>3.1899999999999998E-2</v>
      </c>
      <c r="EK52" s="46">
        <v>3.04E-2</v>
      </c>
      <c r="EL52" s="46">
        <v>3.2399999999999998E-2</v>
      </c>
      <c r="EM52" s="46">
        <v>3.09E-2</v>
      </c>
      <c r="EN52" s="46">
        <v>3.2399999999999998E-2</v>
      </c>
      <c r="EO52" s="46">
        <v>3.1399999999999997E-2</v>
      </c>
      <c r="EP52" s="46">
        <v>3.04E-2</v>
      </c>
      <c r="EQ52" s="46">
        <v>2.5899999999999999E-2</v>
      </c>
      <c r="ER52" s="46">
        <v>2.5399999999999999E-2</v>
      </c>
      <c r="ES52" s="46">
        <v>2.4899999999999999E-2</v>
      </c>
      <c r="ET52" s="46">
        <v>1.84E-2</v>
      </c>
      <c r="EU52" s="46">
        <v>1.89E-2</v>
      </c>
      <c r="EV52" s="46">
        <v>1.89E-2</v>
      </c>
      <c r="EW52" s="46">
        <v>1.89E-2</v>
      </c>
      <c r="EX52" s="46">
        <v>1.7899999999999999E-2</v>
      </c>
      <c r="EY52" s="46">
        <v>1.7899999999999999E-2</v>
      </c>
      <c r="EZ52" s="46">
        <v>1.9400000000000001E-2</v>
      </c>
      <c r="FA52" s="46">
        <v>1.9900000000000001E-2</v>
      </c>
      <c r="FB52" s="45">
        <v>2.0199999999999999E-2</v>
      </c>
      <c r="FC52" s="46">
        <v>1.7899999999999999E-2</v>
      </c>
      <c r="FD52" s="45">
        <v>1.7899999999999999E-2</v>
      </c>
      <c r="FE52" s="45">
        <v>1.7399999999999999E-2</v>
      </c>
      <c r="FF52" s="45">
        <v>1.84E-2</v>
      </c>
      <c r="FG52" s="45">
        <v>1.6899999999999998E-2</v>
      </c>
      <c r="FH52" s="45">
        <v>1.7399999999999999E-2</v>
      </c>
      <c r="FI52" s="45">
        <v>1.6899999999999998E-2</v>
      </c>
      <c r="FJ52" s="45">
        <v>1.84E-2</v>
      </c>
      <c r="FK52" s="45">
        <v>1.7399999999999999E-2</v>
      </c>
      <c r="FL52" s="45">
        <v>1.6899999999999998E-2</v>
      </c>
      <c r="FM52" s="45">
        <v>1.7399999999999999E-2</v>
      </c>
      <c r="FN52" s="45">
        <v>1.5900000000000001E-2</v>
      </c>
      <c r="FO52" s="45">
        <v>2.0400000000000001E-2</v>
      </c>
      <c r="FP52" s="45">
        <v>2.1899999999999999E-2</v>
      </c>
      <c r="FQ52" s="45">
        <v>2.3400000000000001E-2</v>
      </c>
      <c r="FR52" s="45">
        <v>1.9400000000000001E-2</v>
      </c>
      <c r="FS52" s="45">
        <v>1.9400000000000001E-2</v>
      </c>
      <c r="FT52" s="45">
        <v>2.1399999999999999E-2</v>
      </c>
      <c r="FU52" s="46">
        <v>1.89E-2</v>
      </c>
      <c r="FV52" s="46">
        <v>1.9400000000000001E-2</v>
      </c>
      <c r="FW52" s="45">
        <v>2.29E-2</v>
      </c>
      <c r="FX52" s="45">
        <v>2.1899999999999999E-2</v>
      </c>
      <c r="FY52" s="45">
        <v>2.29E-2</v>
      </c>
      <c r="FZ52" s="45">
        <v>1.9400000000000001E-2</v>
      </c>
      <c r="GA52" s="45">
        <v>1.9400000000000001E-2</v>
      </c>
      <c r="GB52" s="45">
        <v>2.0400000000000001E-2</v>
      </c>
      <c r="GC52" s="45">
        <v>2.1899999999999999E-2</v>
      </c>
      <c r="GD52" s="45">
        <v>2.29E-2</v>
      </c>
      <c r="GE52" s="45">
        <v>2.1399999999999999E-2</v>
      </c>
      <c r="GF52" s="45">
        <v>2.1899999999999999E-2</v>
      </c>
      <c r="GG52" s="45">
        <v>2.24E-2</v>
      </c>
      <c r="GH52" s="45">
        <v>2.4899999999999999E-2</v>
      </c>
      <c r="GI52" s="45">
        <v>1.9900000000000001E-2</v>
      </c>
      <c r="GJ52" s="45">
        <v>2.1399999999999999E-2</v>
      </c>
      <c r="GK52" s="45">
        <v>1.7399999999999999E-2</v>
      </c>
      <c r="GL52" s="45">
        <v>2.3900000000000001E-2</v>
      </c>
      <c r="GM52" s="45">
        <v>2.7400000000000001E-2</v>
      </c>
      <c r="GN52" s="45">
        <v>2.24E-2</v>
      </c>
      <c r="GO52" s="45">
        <v>2.0899999999999998E-2</v>
      </c>
      <c r="GP52" s="45">
        <v>2.0899999999999998E-2</v>
      </c>
      <c r="GQ52" s="45">
        <v>1.9900000000000001E-2</v>
      </c>
      <c r="GR52" s="45">
        <v>1.89E-2</v>
      </c>
      <c r="GS52" s="51">
        <v>1.84E-2</v>
      </c>
      <c r="GT52" s="51">
        <f>GU52-0.12%</f>
        <v>1.5699999999999999E-2</v>
      </c>
      <c r="GU52" s="51">
        <v>1.6899999999999998E-2</v>
      </c>
      <c r="GV52" s="51">
        <v>2.0400000000000001E-2</v>
      </c>
      <c r="GW52" s="59"/>
      <c r="GX52" s="59"/>
      <c r="GY52" s="59"/>
      <c r="GZ52" s="59"/>
      <c r="HA52" s="59"/>
      <c r="HB52" s="59"/>
      <c r="HC52" s="59"/>
      <c r="HD52" s="59"/>
      <c r="HE52" s="58"/>
      <c r="HF52" s="58"/>
      <c r="HG52" s="58"/>
      <c r="HH52" s="58"/>
      <c r="HI52" s="58"/>
      <c r="HJ52" s="58"/>
      <c r="HK52" s="58"/>
      <c r="HL52" s="41">
        <f t="shared" si="21"/>
        <v>-8.4999999999999989E-3</v>
      </c>
      <c r="HM52" s="67"/>
      <c r="HN52" s="67"/>
      <c r="HO52" s="67"/>
      <c r="HP52" s="67"/>
      <c r="HQ52" s="86"/>
      <c r="HR52" s="85">
        <v>2.2700000000000001E-2</v>
      </c>
      <c r="HS52" s="80">
        <v>1.5599999999999999E-2</v>
      </c>
      <c r="HT52" s="84">
        <v>1.95E-2</v>
      </c>
      <c r="HU52" s="80">
        <v>1.7399999999999999E-2</v>
      </c>
      <c r="HV52" s="84">
        <v>0.02</v>
      </c>
      <c r="HW52" s="84">
        <v>2.9100000000000001E-2</v>
      </c>
      <c r="HX52" s="84">
        <v>2.93E-2</v>
      </c>
      <c r="HY52" s="80">
        <v>2.8799999999999999E-2</v>
      </c>
      <c r="HZ52" s="84">
        <v>3.0800000000000001E-2</v>
      </c>
      <c r="IA52" s="80">
        <v>2.7900000000000001E-2</v>
      </c>
      <c r="IB52" s="80">
        <v>2.7199999999999998E-2</v>
      </c>
      <c r="IC52" s="80">
        <v>2.4799999999999999E-2</v>
      </c>
      <c r="ID52" s="84">
        <v>2.5899999999999999E-2</v>
      </c>
      <c r="IE52" s="80">
        <v>2.5000000000000001E-2</v>
      </c>
      <c r="IF52" s="84">
        <v>2.7E-2</v>
      </c>
      <c r="IG52" s="80">
        <v>2.4299999999999999E-2</v>
      </c>
      <c r="IH52" s="84">
        <v>2.46E-2</v>
      </c>
      <c r="II52" s="84">
        <v>2.63E-2</v>
      </c>
      <c r="IJ52" s="80">
        <v>2.3E-2</v>
      </c>
      <c r="IK52" s="84">
        <v>2.3800000000000002E-2</v>
      </c>
      <c r="IL52" s="80">
        <v>2.3199999999999998E-2</v>
      </c>
      <c r="IM52" s="80">
        <v>2.23E-2</v>
      </c>
      <c r="IN52" s="80">
        <v>2.1899999999999999E-2</v>
      </c>
      <c r="IO52" s="84">
        <v>2.3300000000000001E-2</v>
      </c>
      <c r="IP52" s="80">
        <v>2.2700000000000001E-2</v>
      </c>
      <c r="IQ52" s="84">
        <v>2.3699999999999999E-2</v>
      </c>
      <c r="IR52" s="84">
        <v>2.5600000000000001E-2</v>
      </c>
      <c r="IS52" s="80">
        <v>2.4799999999999999E-2</v>
      </c>
      <c r="IT52" s="84">
        <v>2.7199999999999998E-2</v>
      </c>
      <c r="IU52" s="84">
        <v>2.7799999999999998E-2</v>
      </c>
      <c r="IV52" s="84">
        <v>2.8299999999999999E-2</v>
      </c>
      <c r="IW52" s="84">
        <v>2.8799999999999999E-2</v>
      </c>
      <c r="IX52" s="83">
        <v>2.8799999999999999E-2</v>
      </c>
      <c r="IY52" s="80">
        <v>2.7799999999999998E-2</v>
      </c>
      <c r="IZ52" s="83">
        <v>2.7799999999999998E-2</v>
      </c>
      <c r="JA52" s="84">
        <v>2.8799999999999999E-2</v>
      </c>
      <c r="JB52" s="80">
        <v>2.8299999999999999E-2</v>
      </c>
      <c r="JC52" s="84">
        <v>3.0800000000000001E-2</v>
      </c>
      <c r="JD52" s="80">
        <v>2.98E-2</v>
      </c>
      <c r="JE52" s="80">
        <v>2.8799999999999999E-2</v>
      </c>
      <c r="JF52" s="83">
        <v>2.8799999999999999E-2</v>
      </c>
      <c r="JG52" s="84">
        <v>2.93E-2</v>
      </c>
      <c r="JH52" s="84">
        <v>3.0300000000000001E-2</v>
      </c>
      <c r="JI52" s="83">
        <v>3.0300000000000001E-2</v>
      </c>
      <c r="JJ52" s="80">
        <v>2.98E-2</v>
      </c>
      <c r="JK52" s="80">
        <v>2.8799999999999999E-2</v>
      </c>
      <c r="JL52" s="80">
        <v>2.58E-2</v>
      </c>
      <c r="JM52" s="84">
        <v>2.63E-2</v>
      </c>
      <c r="JN52" s="80">
        <v>2.53E-2</v>
      </c>
      <c r="JO52" s="80">
        <v>2.4299999999999999E-2</v>
      </c>
      <c r="JP52" s="80">
        <v>2.23E-2</v>
      </c>
      <c r="JQ52" s="84">
        <v>2.3800000000000002E-2</v>
      </c>
      <c r="JR52" s="57">
        <v>2.3800000000000002E-2</v>
      </c>
      <c r="JS52" s="84">
        <v>2.53E-2</v>
      </c>
      <c r="JT52" s="84">
        <v>2.7300000000000001E-2</v>
      </c>
      <c r="JU52" s="57">
        <v>2.7300000000000001E-2</v>
      </c>
      <c r="JV52" s="84">
        <v>2.7799999999999998E-2</v>
      </c>
      <c r="JW52" s="80">
        <v>2.7300000000000001E-2</v>
      </c>
      <c r="JX52" s="84">
        <v>2.8299999999999999E-2</v>
      </c>
      <c r="JY52" s="84">
        <v>2.93E-2</v>
      </c>
      <c r="JZ52" s="57">
        <v>2.93E-2</v>
      </c>
      <c r="KA52" s="84">
        <v>2.98E-2</v>
      </c>
      <c r="KB52" s="80">
        <v>2.8799999999999999E-2</v>
      </c>
      <c r="KC52" s="57">
        <v>2.8799999999999999E-2</v>
      </c>
      <c r="KD52" s="80">
        <v>2.8000000000000001E-2</v>
      </c>
      <c r="KE52" s="80">
        <v>2.63E-2</v>
      </c>
      <c r="KF52" s="80">
        <v>2.41E-2</v>
      </c>
      <c r="KG52" s="84">
        <v>2.4299999999999999E-2</v>
      </c>
      <c r="KH52" s="80">
        <v>2.3800000000000002E-2</v>
      </c>
      <c r="KI52" s="80">
        <v>2.2599999999999999E-2</v>
      </c>
      <c r="KJ52" s="84">
        <v>2.3599999999999999E-2</v>
      </c>
      <c r="KK52" s="80">
        <v>2.3300000000000001E-2</v>
      </c>
      <c r="KL52" s="84">
        <v>2.63E-2</v>
      </c>
      <c r="KM52" s="80">
        <v>2.4799999999999999E-2</v>
      </c>
      <c r="KN52" s="84">
        <v>2.5399999999999999E-2</v>
      </c>
      <c r="KO52" s="80">
        <v>2.47E-2</v>
      </c>
      <c r="KP52" s="84">
        <v>2.53E-2</v>
      </c>
      <c r="KQ52" s="84">
        <v>2.7199999999999998E-2</v>
      </c>
      <c r="KR52" s="84">
        <v>2.7300000000000001E-2</v>
      </c>
      <c r="KS52" s="80">
        <v>2.6800000000000001E-2</v>
      </c>
      <c r="KT52" s="84">
        <v>2.7099999999999999E-2</v>
      </c>
      <c r="KU52" s="80">
        <v>2.6200000000000001E-2</v>
      </c>
      <c r="KV52" s="83">
        <v>2.6200000000000001E-2</v>
      </c>
      <c r="KW52" s="84">
        <v>2.6800000000000001E-2</v>
      </c>
      <c r="KX52" s="84">
        <v>2.81E-2</v>
      </c>
      <c r="KY52" s="80">
        <v>2.75E-2</v>
      </c>
      <c r="KZ52" s="84">
        <v>2.7300000000000001E-2</v>
      </c>
      <c r="LA52" s="90">
        <v>2.8799999999999999E-2</v>
      </c>
      <c r="LB52" s="90">
        <v>2.98E-2</v>
      </c>
      <c r="LC52" s="80">
        <v>2.9100000000000001E-2</v>
      </c>
      <c r="LD52" s="84">
        <v>2.98E-2</v>
      </c>
      <c r="LE52" s="83">
        <v>2.98E-2</v>
      </c>
      <c r="LF52" s="80">
        <v>2.8299999999999999E-2</v>
      </c>
      <c r="LG52" s="80">
        <v>2.7799999999999998E-2</v>
      </c>
      <c r="LH52" s="84">
        <v>2.86E-2</v>
      </c>
      <c r="LI52" s="80">
        <v>2.8000000000000001E-2</v>
      </c>
      <c r="LJ52" s="84">
        <v>2.9100000000000001E-2</v>
      </c>
      <c r="LK52" s="80">
        <v>2.7300000000000001E-2</v>
      </c>
      <c r="LL52" s="84">
        <v>2.8299999999999999E-2</v>
      </c>
      <c r="LM52" s="80">
        <v>2.7799999999999998E-2</v>
      </c>
      <c r="LN52" s="473">
        <f t="shared" si="22"/>
        <v>0</v>
      </c>
    </row>
    <row r="53" spans="1:326">
      <c r="A53" s="1169"/>
      <c r="B53" s="37" t="s">
        <v>58</v>
      </c>
      <c r="C53" s="37" t="s">
        <v>58</v>
      </c>
      <c r="D53" s="37" t="s">
        <v>58</v>
      </c>
      <c r="E53" s="37" t="s">
        <v>57</v>
      </c>
      <c r="F53" s="37"/>
      <c r="G53" s="37"/>
      <c r="H53" s="37" t="s">
        <v>56</v>
      </c>
      <c r="I53" s="37" t="s">
        <v>56</v>
      </c>
      <c r="J53" s="37" t="s">
        <v>56</v>
      </c>
      <c r="K53" s="37" t="s">
        <v>55</v>
      </c>
      <c r="L53" s="37" t="s">
        <v>54</v>
      </c>
      <c r="M53" s="37" t="s">
        <v>54</v>
      </c>
      <c r="N53" s="37" t="s">
        <v>54</v>
      </c>
      <c r="O53" s="37"/>
      <c r="P53" s="738" t="s">
        <v>89</v>
      </c>
      <c r="Q53" s="590">
        <v>1.0800000000000001E-2</v>
      </c>
      <c r="R53" s="590">
        <v>1.0800000000000001E-2</v>
      </c>
      <c r="S53" s="590">
        <v>1.18E-2</v>
      </c>
      <c r="T53" s="590">
        <v>1.0800000000000001E-2</v>
      </c>
      <c r="U53" s="590">
        <v>1.18E-2</v>
      </c>
      <c r="V53" s="590">
        <v>1.1299999999999999E-2</v>
      </c>
      <c r="W53" s="590">
        <v>1.18E-2</v>
      </c>
      <c r="X53" s="590">
        <v>1.1299999999999999E-2</v>
      </c>
      <c r="Y53" s="590">
        <v>1.2800000000000001E-2</v>
      </c>
      <c r="Z53" s="590">
        <v>1.3299999999999999E-2</v>
      </c>
      <c r="AA53" s="590">
        <v>1.2800000000000001E-2</v>
      </c>
      <c r="AB53" s="626">
        <v>1.3299999999999999E-2</v>
      </c>
      <c r="AC53" s="590">
        <v>1.3299999999999999E-2</v>
      </c>
      <c r="AD53" s="590">
        <v>1.43E-2</v>
      </c>
      <c r="AE53" s="626">
        <v>1.38E-2</v>
      </c>
      <c r="AF53" s="590">
        <v>1.38E-2</v>
      </c>
      <c r="AG53" s="590">
        <v>1.23E-2</v>
      </c>
      <c r="AH53" s="614">
        <v>1.1799999999999998E-2</v>
      </c>
      <c r="AI53" s="590">
        <v>1.1799999999999998E-2</v>
      </c>
      <c r="AJ53" s="48">
        <v>1.2799999999999999E-2</v>
      </c>
      <c r="AK53" s="48">
        <v>1.3799999999999998E-2</v>
      </c>
      <c r="AL53" s="47">
        <v>1.3299999999999998E-2</v>
      </c>
      <c r="AM53" s="48">
        <v>1.3299999999999998E-2</v>
      </c>
      <c r="AN53" s="47">
        <v>1.1799999999999998E-2</v>
      </c>
      <c r="AO53" s="48">
        <v>1.1799999999999998E-2</v>
      </c>
      <c r="AP53" s="48">
        <v>1.1299999999999998E-2</v>
      </c>
      <c r="AQ53" s="48">
        <v>1.2299999999999998E-2</v>
      </c>
      <c r="AR53" s="47">
        <v>1.1299999999999999E-2</v>
      </c>
      <c r="AS53" s="47">
        <v>1.23E-2</v>
      </c>
      <c r="AT53" s="460">
        <v>1.23E-2</v>
      </c>
      <c r="AU53" s="34">
        <v>1.0800000000000001E-2</v>
      </c>
      <c r="AV53" s="34">
        <v>1.18E-2</v>
      </c>
      <c r="AW53" s="34">
        <v>1.0800000000000001E-2</v>
      </c>
      <c r="AX53" s="34">
        <v>1.23E-2</v>
      </c>
      <c r="AY53" s="46">
        <v>1.2800000000000001E-2</v>
      </c>
      <c r="AZ53" s="35">
        <v>1.2800000000000001E-2</v>
      </c>
      <c r="BA53" s="35">
        <v>1.2800000000000001E-2</v>
      </c>
      <c r="BB53" s="34">
        <v>1.2800000000000001E-2</v>
      </c>
      <c r="BC53" s="35">
        <v>1.23E-2</v>
      </c>
      <c r="BD53" s="35">
        <v>1.23E-2</v>
      </c>
      <c r="BE53" s="34">
        <v>1.23E-2</v>
      </c>
      <c r="BF53" s="35">
        <v>1.1299999999999999E-2</v>
      </c>
      <c r="BG53" s="34">
        <v>1.1299999999999999E-2</v>
      </c>
      <c r="BH53" s="34">
        <v>1.03E-2</v>
      </c>
      <c r="BI53" s="34">
        <v>1.18E-2</v>
      </c>
      <c r="BJ53" s="46">
        <v>1.3299999999999999E-2</v>
      </c>
      <c r="BK53" s="46">
        <v>1.1299999999999999E-2</v>
      </c>
      <c r="BL53" s="46">
        <v>1.6299999999999999E-2</v>
      </c>
      <c r="BM53" s="46">
        <v>1.78E-2</v>
      </c>
      <c r="BN53" s="46">
        <v>1.5800000000000002E-2</v>
      </c>
      <c r="BO53" s="46">
        <v>1.5800000000000002E-2</v>
      </c>
      <c r="BP53" s="46">
        <v>1.6299999999999999E-2</v>
      </c>
      <c r="BQ53" s="46">
        <v>1.8800000000000001E-2</v>
      </c>
      <c r="BR53" s="46">
        <v>1.8800000000000001E-2</v>
      </c>
      <c r="BS53" s="46">
        <v>1.9800000000000002E-2</v>
      </c>
      <c r="BT53" s="46">
        <v>2.0799999999999999E-2</v>
      </c>
      <c r="BU53" s="46">
        <v>2.18E-2</v>
      </c>
      <c r="BV53" s="46">
        <v>1.9300000000000001E-2</v>
      </c>
      <c r="BW53" s="46">
        <v>2.0299999999999999E-2</v>
      </c>
      <c r="BX53" s="46">
        <v>2.4799999999999999E-2</v>
      </c>
      <c r="BY53" s="46">
        <v>2.63E-2</v>
      </c>
      <c r="BZ53" s="46">
        <v>2.4299999999999999E-2</v>
      </c>
      <c r="CA53" s="46">
        <v>2.7300000000000001E-2</v>
      </c>
      <c r="CB53" s="46">
        <v>2.6800000000000001E-2</v>
      </c>
      <c r="CC53" s="46">
        <v>2.53E-2</v>
      </c>
      <c r="CD53" s="46">
        <v>2.4299999999999999E-2</v>
      </c>
      <c r="CE53" s="46">
        <v>2.8299999999999999E-2</v>
      </c>
      <c r="CF53" s="46">
        <v>2.7300000000000001E-2</v>
      </c>
      <c r="CG53" s="46">
        <v>1.8800000000000001E-2</v>
      </c>
      <c r="CH53" s="46">
        <v>1.7299999999999999E-2</v>
      </c>
      <c r="CI53" s="46">
        <v>1.7299999999999999E-2</v>
      </c>
      <c r="CJ53" s="46">
        <v>1.78E-2</v>
      </c>
      <c r="CK53" s="46">
        <v>1.78E-2</v>
      </c>
      <c r="CL53" s="46">
        <v>1.6799999999999999E-2</v>
      </c>
      <c r="CM53" s="46">
        <v>1.1299999999999999E-2</v>
      </c>
      <c r="CN53" s="46">
        <v>1.1299999999999999E-2</v>
      </c>
      <c r="CO53" s="46">
        <v>1.38E-2</v>
      </c>
      <c r="CP53" s="46">
        <v>1.1299999999999999E-2</v>
      </c>
      <c r="CQ53" s="46">
        <v>1.18E-2</v>
      </c>
      <c r="CR53" s="46">
        <v>1.18E-2</v>
      </c>
      <c r="CS53" s="46">
        <v>1.38E-2</v>
      </c>
      <c r="CT53" s="46">
        <v>1.4800000000000001E-2</v>
      </c>
      <c r="CU53" s="46">
        <v>1.5299999999999999E-2</v>
      </c>
      <c r="CV53" s="46">
        <v>2.23E-2</v>
      </c>
      <c r="CW53" s="46">
        <v>2.3300000000000001E-2</v>
      </c>
      <c r="CX53" s="46">
        <v>2.4799999999999999E-2</v>
      </c>
      <c r="CY53" s="46">
        <v>2.4799999999999999E-2</v>
      </c>
      <c r="CZ53" s="46">
        <v>2.23E-2</v>
      </c>
      <c r="DA53" s="46">
        <v>2.23E-2</v>
      </c>
      <c r="DB53" s="46">
        <v>2.18E-2</v>
      </c>
      <c r="DC53" s="46">
        <v>2.18E-2</v>
      </c>
      <c r="DD53" s="46">
        <v>2.18E-2</v>
      </c>
      <c r="DE53" s="46">
        <v>2.18E-2</v>
      </c>
      <c r="DF53" s="46">
        <v>2.2800000000000001E-2</v>
      </c>
      <c r="DG53" s="46">
        <v>2.53E-2</v>
      </c>
      <c r="DH53" s="46">
        <v>2.7300000000000001E-2</v>
      </c>
      <c r="DI53" s="46">
        <v>2.98E-2</v>
      </c>
      <c r="DJ53" s="54">
        <v>3.1800000000000002E-2</v>
      </c>
      <c r="DK53" s="53">
        <v>3.0800000000000001E-2</v>
      </c>
      <c r="DL53" s="46">
        <v>2.7799999999999998E-2</v>
      </c>
      <c r="DM53" s="46">
        <v>2.7799999999999998E-2</v>
      </c>
      <c r="DN53" s="46">
        <v>2.58E-2</v>
      </c>
      <c r="DO53" s="46">
        <v>2.3300000000000001E-2</v>
      </c>
      <c r="DP53" s="46">
        <v>2.2800000000000001E-2</v>
      </c>
      <c r="DQ53" s="45">
        <v>2.4799999999999999E-2</v>
      </c>
      <c r="DR53" s="45">
        <v>2.3800000000000002E-2</v>
      </c>
      <c r="DS53" s="45">
        <v>2.58E-2</v>
      </c>
      <c r="DT53" s="46">
        <v>2.53E-2</v>
      </c>
      <c r="DU53" s="46">
        <v>2.2800000000000001E-2</v>
      </c>
      <c r="DV53" s="46">
        <v>2.3300000000000001E-2</v>
      </c>
      <c r="DW53" s="46">
        <v>2.53E-2</v>
      </c>
      <c r="DX53" s="46">
        <v>2.23E-2</v>
      </c>
      <c r="DY53" s="46">
        <v>2.23E-2</v>
      </c>
      <c r="DZ53" s="46">
        <v>2.4799999999999999E-2</v>
      </c>
      <c r="EA53" s="46">
        <v>2.4299999999999999E-2</v>
      </c>
      <c r="EB53" s="46">
        <v>2.8299999999999999E-2</v>
      </c>
      <c r="EC53" s="46">
        <v>2.93E-2</v>
      </c>
      <c r="ED53" s="46">
        <v>2.4799999999999999E-2</v>
      </c>
      <c r="EE53" s="46">
        <v>2.4799999999999999E-2</v>
      </c>
      <c r="EF53" s="46">
        <v>2.58E-2</v>
      </c>
      <c r="EG53" s="46">
        <v>2.7799999999999998E-2</v>
      </c>
      <c r="EH53" s="46">
        <v>2.7799999999999998E-2</v>
      </c>
      <c r="EI53" s="46">
        <v>2.8299999999999999E-2</v>
      </c>
      <c r="EJ53" s="46">
        <v>3.3799999999999997E-2</v>
      </c>
      <c r="EK53" s="46">
        <v>3.2300000000000002E-2</v>
      </c>
      <c r="EL53" s="46">
        <v>3.4299999999999997E-2</v>
      </c>
      <c r="EM53" s="46">
        <v>3.2800000000000003E-2</v>
      </c>
      <c r="EN53" s="46">
        <v>3.4299999999999997E-2</v>
      </c>
      <c r="EO53" s="46">
        <v>3.3300000000000003E-2</v>
      </c>
      <c r="EP53" s="46">
        <v>3.2300000000000002E-2</v>
      </c>
      <c r="EQ53" s="46">
        <v>2.7799999999999998E-2</v>
      </c>
      <c r="ER53" s="46">
        <v>2.7300000000000001E-2</v>
      </c>
      <c r="ES53" s="46">
        <v>2.6800000000000001E-2</v>
      </c>
      <c r="ET53" s="46">
        <v>2.0299999999999999E-2</v>
      </c>
      <c r="EU53" s="46">
        <v>2.0799999999999999E-2</v>
      </c>
      <c r="EV53" s="46">
        <v>2.0799999999999999E-2</v>
      </c>
      <c r="EW53" s="46">
        <v>2.0799999999999999E-2</v>
      </c>
      <c r="EX53" s="46">
        <v>1.9800000000000002E-2</v>
      </c>
      <c r="EY53" s="46">
        <v>1.9800000000000002E-2</v>
      </c>
      <c r="EZ53" s="46">
        <v>2.1299999999999999E-2</v>
      </c>
      <c r="FA53" s="46">
        <v>2.18E-2</v>
      </c>
      <c r="FB53" s="45">
        <v>2.2100000000000002E-2</v>
      </c>
      <c r="FC53" s="46">
        <v>1.9800000000000002E-2</v>
      </c>
      <c r="FD53" s="45">
        <v>1.9800000000000002E-2</v>
      </c>
      <c r="FE53" s="45">
        <v>1.9300000000000001E-2</v>
      </c>
      <c r="FF53" s="45">
        <v>2.0299999999999999E-2</v>
      </c>
      <c r="FG53" s="45">
        <v>1.8800000000000001E-2</v>
      </c>
      <c r="FH53" s="45">
        <v>1.9300000000000001E-2</v>
      </c>
      <c r="FI53" s="45">
        <v>1.8800000000000001E-2</v>
      </c>
      <c r="FJ53" s="45">
        <v>2.0299999999999999E-2</v>
      </c>
      <c r="FK53" s="45">
        <v>1.9300000000000001E-2</v>
      </c>
      <c r="FL53" s="45">
        <v>1.8800000000000001E-2</v>
      </c>
      <c r="FM53" s="45">
        <v>1.9300000000000001E-2</v>
      </c>
      <c r="FN53" s="45">
        <v>1.78E-2</v>
      </c>
      <c r="FO53" s="45">
        <v>2.23E-2</v>
      </c>
      <c r="FP53" s="45">
        <v>2.3800000000000002E-2</v>
      </c>
      <c r="FQ53" s="45">
        <v>2.53E-2</v>
      </c>
      <c r="FR53" s="45">
        <v>2.1299999999999999E-2</v>
      </c>
      <c r="FS53" s="45">
        <v>2.1299999999999999E-2</v>
      </c>
      <c r="FT53" s="45">
        <v>2.3300000000000001E-2</v>
      </c>
      <c r="FU53" s="46">
        <v>2.0799999999999999E-2</v>
      </c>
      <c r="FV53" s="46">
        <v>2.1299999999999999E-2</v>
      </c>
      <c r="FW53" s="45">
        <v>2.4799999999999999E-2</v>
      </c>
      <c r="FX53" s="45">
        <v>2.3800000000000002E-2</v>
      </c>
      <c r="FY53" s="45">
        <v>2.4799999999999999E-2</v>
      </c>
      <c r="FZ53" s="45">
        <v>2.1299999999999999E-2</v>
      </c>
      <c r="GA53" s="45">
        <v>2.1299999999999999E-2</v>
      </c>
      <c r="GB53" s="45">
        <v>2.23E-2</v>
      </c>
      <c r="GC53" s="45">
        <v>2.3800000000000002E-2</v>
      </c>
      <c r="GD53" s="45">
        <v>2.4799999999999999E-2</v>
      </c>
      <c r="GE53" s="45">
        <v>2.3300000000000001E-2</v>
      </c>
      <c r="GF53" s="45">
        <v>2.3800000000000002E-2</v>
      </c>
      <c r="GG53" s="45">
        <v>2.4299999999999999E-2</v>
      </c>
      <c r="GH53" s="45">
        <v>2.6800000000000001E-2</v>
      </c>
      <c r="GI53" s="45">
        <v>2.18E-2</v>
      </c>
      <c r="GJ53" s="45">
        <v>2.3300000000000001E-2</v>
      </c>
      <c r="GK53" s="45">
        <v>1.9300000000000001E-2</v>
      </c>
      <c r="GL53" s="45">
        <v>2.58E-2</v>
      </c>
      <c r="GM53" s="45">
        <v>2.93E-2</v>
      </c>
      <c r="GN53" s="45">
        <v>2.4299999999999999E-2</v>
      </c>
      <c r="GO53" s="45">
        <v>2.2800000000000001E-2</v>
      </c>
      <c r="GP53" s="45">
        <v>2.2800000000000001E-2</v>
      </c>
      <c r="GQ53" s="45">
        <v>2.18E-2</v>
      </c>
      <c r="GR53" s="45">
        <v>2.0799999999999999E-2</v>
      </c>
      <c r="GS53" s="51">
        <v>2.0299999999999999E-2</v>
      </c>
      <c r="GT53" s="51">
        <f>GU53-0.12%</f>
        <v>1.7600000000000001E-2</v>
      </c>
      <c r="GU53" s="51">
        <v>1.8800000000000001E-2</v>
      </c>
      <c r="GV53" s="51">
        <v>2.23E-2</v>
      </c>
      <c r="GW53" s="52" t="s">
        <v>88</v>
      </c>
      <c r="GX53" s="52" t="s">
        <v>87</v>
      </c>
      <c r="GY53" s="52" t="s">
        <v>81</v>
      </c>
      <c r="GZ53" s="52" t="s">
        <v>86</v>
      </c>
      <c r="HA53" s="52" t="s">
        <v>85</v>
      </c>
      <c r="HB53" s="52" t="s">
        <v>84</v>
      </c>
      <c r="HC53" s="52" t="s">
        <v>84</v>
      </c>
      <c r="HD53" s="52" t="s">
        <v>83</v>
      </c>
      <c r="HE53" s="52" t="s">
        <v>82</v>
      </c>
      <c r="HF53" s="52" t="s">
        <v>81</v>
      </c>
      <c r="HG53" s="52" t="s">
        <v>80</v>
      </c>
      <c r="HH53" s="52" t="s">
        <v>79</v>
      </c>
      <c r="HI53" s="52" t="s">
        <v>79</v>
      </c>
      <c r="HJ53" s="52" t="s">
        <v>78</v>
      </c>
      <c r="HK53" s="51" t="s">
        <v>77</v>
      </c>
      <c r="HL53" s="41">
        <f t="shared" si="21"/>
        <v>-8.5000000000000006E-3</v>
      </c>
      <c r="HM53" s="80" t="s">
        <v>123</v>
      </c>
      <c r="HN53" s="79" t="s">
        <v>77</v>
      </c>
      <c r="HO53" s="77" t="s">
        <v>58</v>
      </c>
      <c r="HP53" s="56">
        <v>1.5E-3</v>
      </c>
      <c r="HQ53" s="55"/>
      <c r="HR53" s="85">
        <v>2.1999999999999999E-2</v>
      </c>
      <c r="HS53" s="57">
        <v>2.1999999999999999E-2</v>
      </c>
      <c r="HT53" s="57">
        <v>2.1999999999999999E-2</v>
      </c>
      <c r="HU53" s="57">
        <v>2.1999999999999999E-2</v>
      </c>
      <c r="HV53" s="83">
        <v>2.1999999999999999E-2</v>
      </c>
      <c r="HW53" s="83">
        <v>2.1999999999999999E-2</v>
      </c>
      <c r="HX53" s="83">
        <v>2.1999999999999999E-2</v>
      </c>
      <c r="HY53" s="83">
        <v>2.1999999999999999E-2</v>
      </c>
      <c r="HZ53" s="83">
        <v>2.1999999999999999E-2</v>
      </c>
      <c r="IA53" s="83">
        <v>2.1999999999999999E-2</v>
      </c>
      <c r="IB53" s="83">
        <v>2.1999999999999999E-2</v>
      </c>
      <c r="IC53" s="80">
        <v>2.0500000000000001E-2</v>
      </c>
      <c r="ID53" s="57">
        <v>2.0500000000000001E-2</v>
      </c>
      <c r="IE53" s="83">
        <v>2.0500000000000001E-2</v>
      </c>
      <c r="IF53" s="84">
        <v>2.1000000000000001E-2</v>
      </c>
      <c r="IG53" s="83">
        <v>2.1000000000000001E-2</v>
      </c>
      <c r="IH53" s="83">
        <v>2.1000000000000001E-2</v>
      </c>
      <c r="II53" s="83">
        <v>2.1000000000000001E-2</v>
      </c>
      <c r="IJ53" s="83">
        <v>2.1000000000000001E-2</v>
      </c>
      <c r="IK53" s="83">
        <v>2.1000000000000001E-2</v>
      </c>
      <c r="IL53" s="83">
        <v>2.1000000000000001E-2</v>
      </c>
      <c r="IM53" s="83">
        <v>2.1000000000000001E-2</v>
      </c>
      <c r="IN53" s="83">
        <v>2.1000000000000001E-2</v>
      </c>
      <c r="IO53" s="84">
        <v>2.1999999999999999E-2</v>
      </c>
      <c r="IP53" s="83">
        <v>2.1999999999999999E-2</v>
      </c>
      <c r="IQ53" s="83">
        <v>2.1999999999999999E-2</v>
      </c>
      <c r="IR53" s="83">
        <v>2.1999999999999999E-2</v>
      </c>
      <c r="IS53" s="83">
        <v>2.1999999999999999E-2</v>
      </c>
      <c r="IT53" s="83">
        <v>2.1999999999999999E-2</v>
      </c>
      <c r="IU53" s="84">
        <v>2.3E-2</v>
      </c>
      <c r="IV53" s="83">
        <v>2.3E-2</v>
      </c>
      <c r="IW53" s="83">
        <v>2.3E-2</v>
      </c>
      <c r="IX53" s="83">
        <v>2.3E-2</v>
      </c>
      <c r="IY53" s="83">
        <v>2.3E-2</v>
      </c>
      <c r="IZ53" s="83">
        <v>2.3E-2</v>
      </c>
      <c r="JA53" s="83">
        <v>2.3E-2</v>
      </c>
      <c r="JB53" s="83">
        <v>2.3E-2</v>
      </c>
      <c r="JC53" s="83">
        <v>2.3E-2</v>
      </c>
      <c r="JD53" s="83">
        <v>2.3E-2</v>
      </c>
      <c r="JE53" s="83">
        <v>2.3E-2</v>
      </c>
      <c r="JF53" s="83">
        <v>2.3E-2</v>
      </c>
      <c r="JG53" s="83">
        <v>2.3E-2</v>
      </c>
      <c r="JH53" s="83">
        <v>2.3E-2</v>
      </c>
      <c r="JI53" s="83">
        <v>2.3E-2</v>
      </c>
      <c r="JJ53" s="83">
        <v>2.3E-2</v>
      </c>
      <c r="JK53" s="83">
        <v>2.3E-2</v>
      </c>
      <c r="JL53" s="89">
        <v>2.1999999999999999E-2</v>
      </c>
      <c r="JM53" s="89">
        <v>2.3E-2</v>
      </c>
      <c r="JN53" s="83">
        <v>2.3E-2</v>
      </c>
      <c r="JO53" s="83">
        <v>2.3E-2</v>
      </c>
      <c r="JP53" s="83">
        <v>2.3E-2</v>
      </c>
      <c r="JQ53" s="80">
        <v>2.2499999999999999E-2</v>
      </c>
      <c r="JR53" s="57">
        <v>2.2499999999999999E-2</v>
      </c>
      <c r="JS53" s="57">
        <v>2.2499999999999999E-2</v>
      </c>
      <c r="JT53" s="57">
        <v>2.2499999999999999E-2</v>
      </c>
      <c r="JU53" s="57">
        <v>2.2499999999999999E-2</v>
      </c>
      <c r="JV53" s="57">
        <v>2.2499999999999999E-2</v>
      </c>
      <c r="JW53" s="57">
        <v>2.2499999999999999E-2</v>
      </c>
      <c r="JX53" s="57">
        <v>2.2499999999999999E-2</v>
      </c>
      <c r="JY53" s="57">
        <v>2.2499999999999999E-2</v>
      </c>
      <c r="JZ53" s="84">
        <v>2.3E-2</v>
      </c>
      <c r="KA53" s="57">
        <v>2.3E-2</v>
      </c>
      <c r="KB53" s="57">
        <v>2.3E-2</v>
      </c>
      <c r="KC53" s="57">
        <v>2.3E-2</v>
      </c>
      <c r="KD53" s="57">
        <v>2.3E-2</v>
      </c>
      <c r="KE53" s="57">
        <v>2.3E-2</v>
      </c>
      <c r="KF53" s="57">
        <v>2.3E-2</v>
      </c>
      <c r="KG53" s="57">
        <v>2.3E-2</v>
      </c>
      <c r="KH53" s="57">
        <v>2.3E-2</v>
      </c>
      <c r="KI53" s="57">
        <v>2.3E-2</v>
      </c>
      <c r="KJ53" s="57">
        <v>2.3E-2</v>
      </c>
      <c r="KK53" s="57">
        <v>2.3E-2</v>
      </c>
      <c r="KL53" s="57">
        <v>2.3E-2</v>
      </c>
      <c r="KM53" s="57">
        <v>2.3E-2</v>
      </c>
      <c r="KN53" s="57">
        <v>2.3E-2</v>
      </c>
      <c r="KO53" s="57">
        <v>2.3E-2</v>
      </c>
      <c r="KP53" s="57">
        <v>2.3E-2</v>
      </c>
      <c r="KQ53" s="57">
        <v>2.3E-2</v>
      </c>
      <c r="KR53" s="57">
        <v>2.3E-2</v>
      </c>
      <c r="KS53" s="57">
        <v>2.3E-2</v>
      </c>
      <c r="KT53" s="57">
        <v>2.3E-2</v>
      </c>
      <c r="KU53" s="57">
        <v>2.3E-2</v>
      </c>
      <c r="KV53" s="57">
        <v>2.3E-2</v>
      </c>
      <c r="KW53" s="57">
        <v>2.3E-2</v>
      </c>
      <c r="KX53" s="57">
        <v>2.3E-2</v>
      </c>
      <c r="KY53" s="57">
        <v>2.3E-2</v>
      </c>
      <c r="KZ53" s="57">
        <v>2.3E-2</v>
      </c>
      <c r="LA53" s="57">
        <v>2.3E-2</v>
      </c>
      <c r="LB53" s="57">
        <v>2.3E-2</v>
      </c>
      <c r="LC53" s="57">
        <v>2.3E-2</v>
      </c>
      <c r="LD53" s="57">
        <v>2.3E-2</v>
      </c>
      <c r="LE53" s="57">
        <v>2.3E-2</v>
      </c>
      <c r="LF53" s="57">
        <v>2.3E-2</v>
      </c>
      <c r="LG53" s="57">
        <v>2.3E-2</v>
      </c>
      <c r="LH53" s="57">
        <v>2.3E-2</v>
      </c>
      <c r="LI53" s="57">
        <v>2.3E-2</v>
      </c>
      <c r="LJ53" s="57">
        <v>2.3E-2</v>
      </c>
      <c r="LK53" s="57">
        <v>2.3E-2</v>
      </c>
      <c r="LL53" s="57">
        <v>2.3E-2</v>
      </c>
      <c r="LM53" s="57">
        <v>2.3E-2</v>
      </c>
      <c r="LN53" s="473">
        <f t="shared" si="22"/>
        <v>0</v>
      </c>
    </row>
    <row r="54" spans="1:326">
      <c r="A54" s="1165" t="s">
        <v>35</v>
      </c>
      <c r="B54" s="49"/>
      <c r="C54" s="49"/>
      <c r="D54" s="49"/>
      <c r="E54" s="49"/>
      <c r="F54" s="49"/>
      <c r="G54" s="49"/>
      <c r="H54" s="49"/>
      <c r="I54" s="49"/>
      <c r="J54" s="49"/>
      <c r="K54" s="49"/>
      <c r="L54" s="49"/>
      <c r="M54" s="49"/>
      <c r="N54" s="49"/>
      <c r="O54" s="49"/>
      <c r="P54" s="739" t="s">
        <v>76</v>
      </c>
      <c r="Q54" s="29">
        <v>1.2999999999999999E-2</v>
      </c>
      <c r="R54" s="29">
        <v>1.2999999999999999E-2</v>
      </c>
      <c r="S54" s="29">
        <v>1.2999999999999999E-2</v>
      </c>
      <c r="T54" s="29">
        <v>1.2999999999999999E-2</v>
      </c>
      <c r="U54" s="29">
        <v>1.2999999999999999E-2</v>
      </c>
      <c r="V54" s="29">
        <v>1.2999999999999999E-2</v>
      </c>
      <c r="W54" s="29">
        <v>1.2999999999999999E-2</v>
      </c>
      <c r="X54" s="29">
        <v>1.2999999999999999E-2</v>
      </c>
      <c r="Y54" s="29">
        <v>1.2999999999999999E-2</v>
      </c>
      <c r="Z54" s="29">
        <v>1.2999999999999999E-2</v>
      </c>
      <c r="AA54" s="29">
        <v>1.2999999999999999E-2</v>
      </c>
      <c r="AB54" s="29">
        <v>1.2999999999999999E-2</v>
      </c>
      <c r="AC54" s="29">
        <v>1.2999999999999999E-2</v>
      </c>
      <c r="AD54" s="29">
        <v>1.2999999999999999E-2</v>
      </c>
      <c r="AE54" s="29">
        <v>1.2999999999999999E-2</v>
      </c>
      <c r="AF54" s="29">
        <v>1.2999999999999999E-2</v>
      </c>
      <c r="AG54" s="29">
        <v>1.2999999999999999E-2</v>
      </c>
      <c r="AH54" s="29">
        <v>1.2999999999999999E-2</v>
      </c>
      <c r="AI54" s="29">
        <v>1.2999999999999999E-2</v>
      </c>
      <c r="AJ54" s="29">
        <v>1.2999999999999999E-2</v>
      </c>
      <c r="AK54" s="29">
        <v>1.2999999999999999E-2</v>
      </c>
      <c r="AL54" s="29">
        <v>1.2999999999999999E-2</v>
      </c>
      <c r="AM54" s="29">
        <v>1.2999999999999999E-2</v>
      </c>
      <c r="AN54" s="29">
        <v>1.2999999999999999E-2</v>
      </c>
      <c r="AO54" s="29">
        <v>1.2999999999999999E-2</v>
      </c>
      <c r="AP54" s="29">
        <v>1.2999999999999999E-2</v>
      </c>
      <c r="AQ54" s="29">
        <v>1.2999999999999999E-2</v>
      </c>
      <c r="AR54" s="28">
        <v>1.2999999999999999E-2</v>
      </c>
      <c r="AS54" s="29">
        <v>1.35E-2</v>
      </c>
      <c r="AT54" s="29">
        <v>1.35E-2</v>
      </c>
      <c r="AU54" s="28">
        <v>1.35E-2</v>
      </c>
      <c r="AV54" s="29">
        <v>1.4500000000000001E-2</v>
      </c>
      <c r="AW54" s="29">
        <v>1.4500000000000001E-2</v>
      </c>
      <c r="AX54" s="29">
        <v>1.4500000000000001E-2</v>
      </c>
      <c r="AY54" s="30">
        <v>1.4500000000000001E-2</v>
      </c>
      <c r="AZ54" s="29">
        <v>1.4500000000000001E-2</v>
      </c>
      <c r="BA54" s="29">
        <v>1.4500000000000001E-2</v>
      </c>
      <c r="BB54" s="29">
        <v>1.4500000000000001E-2</v>
      </c>
      <c r="BC54" s="29">
        <v>1.4500000000000001E-2</v>
      </c>
      <c r="BD54" s="29">
        <v>1.4500000000000001E-2</v>
      </c>
      <c r="BE54" s="29">
        <v>1.4500000000000001E-2</v>
      </c>
      <c r="BF54" s="29">
        <v>1.4500000000000001E-2</v>
      </c>
      <c r="BG54" s="28">
        <v>1.4500000000000001E-2</v>
      </c>
      <c r="BH54" s="29">
        <v>1.7500000000000002E-2</v>
      </c>
      <c r="BI54" s="28">
        <v>1.7500000000000002E-2</v>
      </c>
      <c r="BJ54" s="30">
        <v>1.7999999999999999E-2</v>
      </c>
      <c r="BK54" s="30">
        <v>1.7999999999999999E-2</v>
      </c>
      <c r="BL54" s="30">
        <v>1.7999999999999999E-2</v>
      </c>
      <c r="BM54" s="30">
        <v>1.7999999999999999E-2</v>
      </c>
      <c r="BN54" s="30">
        <v>1.7999999999999999E-2</v>
      </c>
      <c r="BO54" s="30">
        <v>1.7999999999999999E-2</v>
      </c>
      <c r="BP54" s="30">
        <v>1.7999999999999999E-2</v>
      </c>
      <c r="BQ54" s="30">
        <v>1.7999999999999999E-2</v>
      </c>
      <c r="BR54" s="30">
        <v>1.7999999999999999E-2</v>
      </c>
      <c r="BS54" s="30">
        <v>1.7999999999999999E-2</v>
      </c>
      <c r="BT54" s="30">
        <v>1.7999999999999999E-2</v>
      </c>
      <c r="BU54" s="30">
        <v>1.7999999999999999E-2</v>
      </c>
      <c r="BV54" s="30">
        <v>1.7999999999999999E-2</v>
      </c>
      <c r="BW54" s="30">
        <v>1.7999999999999999E-2</v>
      </c>
      <c r="BX54" s="30">
        <v>1.7999999999999999E-2</v>
      </c>
      <c r="BY54" s="30">
        <v>1.7999999999999999E-2</v>
      </c>
      <c r="BZ54" s="30">
        <v>1.7999999999999999E-2</v>
      </c>
      <c r="CA54" s="30">
        <v>1.7999999999999999E-2</v>
      </c>
      <c r="CB54" s="30">
        <v>1.7999999999999999E-2</v>
      </c>
      <c r="CC54" s="30">
        <v>1.7999999999999999E-2</v>
      </c>
      <c r="CD54" s="30">
        <v>1.7999999999999999E-2</v>
      </c>
      <c r="CE54" s="30">
        <v>1.7999999999999999E-2</v>
      </c>
      <c r="CF54" s="30">
        <v>1.6500000000000001E-2</v>
      </c>
      <c r="CG54" s="30">
        <v>1.6500000000000001E-2</v>
      </c>
      <c r="CH54" s="30">
        <v>1.6500000000000001E-2</v>
      </c>
      <c r="CI54" s="30">
        <v>1.6500000000000001E-2</v>
      </c>
      <c r="CJ54" s="30">
        <v>1.6500000000000001E-2</v>
      </c>
      <c r="CK54" s="30">
        <v>1.6500000000000001E-2</v>
      </c>
      <c r="CL54" s="30">
        <v>1.6500000000000001E-2</v>
      </c>
      <c r="CM54" s="30">
        <v>1.7000000000000001E-2</v>
      </c>
      <c r="CN54" s="30">
        <v>1.7000000000000001E-2</v>
      </c>
      <c r="CO54" s="30">
        <v>1.7000000000000001E-2</v>
      </c>
      <c r="CP54" s="30">
        <v>1.7000000000000001E-2</v>
      </c>
      <c r="CQ54" s="30">
        <v>1.7999999999999999E-2</v>
      </c>
      <c r="CR54" s="30">
        <v>1.95E-2</v>
      </c>
      <c r="CS54" s="30">
        <v>1.95E-2</v>
      </c>
      <c r="CT54" s="30">
        <v>1.95E-2</v>
      </c>
      <c r="CU54" s="30">
        <v>2.1499999999999998E-2</v>
      </c>
      <c r="CV54" s="30">
        <v>2.1499999999999998E-2</v>
      </c>
      <c r="CW54" s="30">
        <v>2.1499999999999998E-2</v>
      </c>
      <c r="CX54" s="30">
        <v>2.1499999999999998E-2</v>
      </c>
      <c r="CY54" s="30">
        <v>2.1499999999999998E-2</v>
      </c>
      <c r="CZ54" s="30">
        <v>2.1499999999999998E-2</v>
      </c>
      <c r="DA54" s="30">
        <v>2.1499999999999998E-2</v>
      </c>
      <c r="DB54" s="30">
        <v>2.1499999999999998E-2</v>
      </c>
      <c r="DC54" s="30">
        <v>2.1499999999999998E-2</v>
      </c>
      <c r="DD54" s="30">
        <v>2.1499999999999998E-2</v>
      </c>
      <c r="DE54" s="30">
        <v>2.1499999999999998E-2</v>
      </c>
      <c r="DF54" s="30">
        <v>2.1499999999999998E-2</v>
      </c>
      <c r="DG54" s="30">
        <v>2.1499999999999998E-2</v>
      </c>
      <c r="DH54" s="30">
        <v>2.1499999999999998E-2</v>
      </c>
      <c r="DI54" s="30">
        <v>2.1499999999999998E-2</v>
      </c>
      <c r="DJ54" s="30">
        <v>2.1499999999999998E-2</v>
      </c>
      <c r="DK54" s="30">
        <v>2.1499999999999998E-2</v>
      </c>
      <c r="DL54" s="30">
        <v>2.1499999999999998E-2</v>
      </c>
      <c r="DM54" s="30">
        <v>2.1499999999999998E-2</v>
      </c>
      <c r="DN54" s="30">
        <v>2.1499999999999998E-2</v>
      </c>
      <c r="DO54" s="30">
        <v>2.1499999999999998E-2</v>
      </c>
      <c r="DP54" s="30">
        <v>2.1499999999999998E-2</v>
      </c>
      <c r="DQ54" s="30">
        <v>2.1499999999999998E-2</v>
      </c>
      <c r="DR54" s="30">
        <v>2.1499999999999998E-2</v>
      </c>
      <c r="DS54" s="30">
        <v>2.1499999999999998E-2</v>
      </c>
      <c r="DT54" s="30">
        <v>2.1499999999999998E-2</v>
      </c>
      <c r="DU54" s="30">
        <v>2.1499999999999998E-2</v>
      </c>
      <c r="DV54" s="30">
        <v>2.1499999999999998E-2</v>
      </c>
      <c r="DW54" s="30">
        <v>2.1499999999999998E-2</v>
      </c>
      <c r="DX54" s="30">
        <v>2.1499999999999998E-2</v>
      </c>
      <c r="DY54" s="30">
        <v>2.1499999999999998E-2</v>
      </c>
      <c r="DZ54" s="30">
        <v>2.1499999999999998E-2</v>
      </c>
      <c r="EA54" s="30">
        <v>2.1499999999999998E-2</v>
      </c>
      <c r="EB54" s="30">
        <v>2.1499999999999998E-2</v>
      </c>
      <c r="EC54" s="30">
        <v>2.1499999999999998E-2</v>
      </c>
      <c r="ED54" s="30">
        <v>2.1499999999999998E-2</v>
      </c>
      <c r="EE54" s="30">
        <v>2.1499999999999998E-2</v>
      </c>
      <c r="EF54" s="30">
        <v>2.1499999999999998E-2</v>
      </c>
      <c r="EG54" s="30">
        <v>2.1499999999999998E-2</v>
      </c>
      <c r="EH54" s="30">
        <v>2.1499999999999998E-2</v>
      </c>
      <c r="EI54" s="30">
        <v>2.1499999999999998E-2</v>
      </c>
      <c r="EJ54" s="30">
        <v>2.1499999999999998E-2</v>
      </c>
      <c r="EK54" s="30">
        <v>2.1499999999999998E-2</v>
      </c>
      <c r="EL54" s="30">
        <v>2.1499999999999998E-2</v>
      </c>
      <c r="EM54" s="30">
        <v>2.1499999999999998E-2</v>
      </c>
      <c r="EN54" s="30">
        <v>2.1499999999999998E-2</v>
      </c>
      <c r="EO54" s="30">
        <v>2.1499999999999998E-2</v>
      </c>
      <c r="EP54" s="30">
        <v>2.1499999999999998E-2</v>
      </c>
      <c r="EQ54" s="30">
        <v>2.1499999999999998E-2</v>
      </c>
      <c r="ER54" s="30">
        <v>2.1499999999999998E-2</v>
      </c>
      <c r="ES54" s="30">
        <v>2.1499999999999998E-2</v>
      </c>
      <c r="ET54" s="30">
        <v>2.1499999999999998E-2</v>
      </c>
      <c r="EU54" s="30">
        <v>2.1499999999999998E-2</v>
      </c>
      <c r="EV54" s="30">
        <v>2.1499999999999998E-2</v>
      </c>
      <c r="EW54" s="30">
        <v>2.1499999999999998E-2</v>
      </c>
      <c r="EX54" s="30">
        <v>2.1499999999999998E-2</v>
      </c>
      <c r="EY54" s="30">
        <v>2.1499999999999998E-2</v>
      </c>
      <c r="EZ54" s="30">
        <v>2.1499999999999998E-2</v>
      </c>
      <c r="FA54" s="30">
        <v>2.1499999999999998E-2</v>
      </c>
      <c r="FB54" s="30">
        <v>2.1499999999999998E-2</v>
      </c>
      <c r="FC54" s="30">
        <v>2.1499999999999998E-2</v>
      </c>
      <c r="FD54" s="30">
        <v>2.1499999999999998E-2</v>
      </c>
      <c r="FE54" s="30">
        <v>2.1499999999999998E-2</v>
      </c>
      <c r="FF54" s="50">
        <v>2.1499999999999998E-2</v>
      </c>
      <c r="FG54" s="27">
        <v>2.2499999999999999E-2</v>
      </c>
      <c r="FH54" s="27">
        <v>2.2499999999999999E-2</v>
      </c>
      <c r="FI54" s="27">
        <v>2.2499999999999999E-2</v>
      </c>
      <c r="FJ54" s="27">
        <v>2.1999999999999999E-2</v>
      </c>
      <c r="FK54" s="27">
        <v>2.1999999999999999E-2</v>
      </c>
      <c r="FL54" s="27">
        <v>2.1999999999999999E-2</v>
      </c>
      <c r="FM54" s="27">
        <v>2.1999999999999999E-2</v>
      </c>
      <c r="FN54" s="27">
        <v>2.1999999999999999E-2</v>
      </c>
      <c r="FO54" s="27">
        <v>0.02</v>
      </c>
      <c r="FP54" s="27">
        <v>0.02</v>
      </c>
      <c r="FQ54" s="27">
        <v>0.02</v>
      </c>
      <c r="FR54" s="27">
        <v>0.02</v>
      </c>
      <c r="FS54" s="27">
        <v>0.02</v>
      </c>
      <c r="FT54" s="27">
        <v>0.02</v>
      </c>
      <c r="FU54" s="27">
        <v>0.02</v>
      </c>
      <c r="FV54" s="27">
        <v>0.02</v>
      </c>
      <c r="FW54" s="27">
        <v>0.02</v>
      </c>
      <c r="FX54" s="27">
        <v>0.02</v>
      </c>
      <c r="FY54" s="27">
        <v>0.02</v>
      </c>
      <c r="FZ54" s="27">
        <v>0.02</v>
      </c>
      <c r="GA54" s="27">
        <v>0.02</v>
      </c>
      <c r="GB54" s="27">
        <v>0.02</v>
      </c>
      <c r="GC54" s="27">
        <v>0.02</v>
      </c>
      <c r="GD54" s="27">
        <v>0.02</v>
      </c>
      <c r="GE54" s="27">
        <v>0.02</v>
      </c>
      <c r="GF54" s="27">
        <v>0.02</v>
      </c>
      <c r="GG54" s="27">
        <v>0.02</v>
      </c>
      <c r="GH54" s="27">
        <v>0.02</v>
      </c>
      <c r="GI54" s="27">
        <v>0.02</v>
      </c>
      <c r="GJ54" s="27">
        <v>0.02</v>
      </c>
      <c r="GK54" s="27">
        <v>0.02</v>
      </c>
      <c r="GL54" s="27">
        <v>0.02</v>
      </c>
      <c r="GM54" s="27">
        <v>0.02</v>
      </c>
      <c r="GN54" s="27">
        <v>0.02</v>
      </c>
      <c r="GO54" s="27">
        <v>2.35E-2</v>
      </c>
      <c r="GP54" s="27">
        <v>2.35E-2</v>
      </c>
      <c r="GQ54" s="27">
        <v>2.35E-2</v>
      </c>
      <c r="GR54" s="27">
        <v>2.35E-2</v>
      </c>
      <c r="GS54" s="27">
        <v>2.35E-2</v>
      </c>
      <c r="GT54" s="27">
        <v>2.35E-2</v>
      </c>
      <c r="GU54" s="27">
        <v>2.35E-2</v>
      </c>
      <c r="GV54" s="27">
        <v>2.35E-2</v>
      </c>
      <c r="GW54" s="49"/>
      <c r="GX54" s="49"/>
      <c r="GY54" s="49"/>
      <c r="GZ54" s="49"/>
      <c r="HA54" s="49"/>
      <c r="HB54" s="49"/>
      <c r="HC54" s="49"/>
      <c r="HD54" s="49"/>
      <c r="HE54" s="49"/>
      <c r="HF54" s="49"/>
      <c r="HG54" s="49"/>
      <c r="HH54" s="49"/>
      <c r="HI54" s="49"/>
      <c r="HJ54" s="49"/>
      <c r="HK54" s="27"/>
      <c r="HL54" s="41">
        <f t="shared" si="21"/>
        <v>-4.9999999999999697E-4</v>
      </c>
      <c r="HM54" s="80"/>
      <c r="HN54" s="79"/>
      <c r="HO54" s="77"/>
      <c r="HP54" s="56"/>
      <c r="HQ54" s="55"/>
      <c r="HR54" s="85">
        <v>2.1000000000000001E-2</v>
      </c>
      <c r="HS54" s="57">
        <v>2.1000000000000001E-2</v>
      </c>
      <c r="HT54" s="80">
        <v>0.02</v>
      </c>
      <c r="HU54" s="57">
        <v>0.02</v>
      </c>
      <c r="HV54" s="83">
        <v>0.02</v>
      </c>
      <c r="HW54" s="83">
        <v>0.02</v>
      </c>
      <c r="HX54" s="83">
        <v>0.02</v>
      </c>
      <c r="HY54" s="83">
        <v>0.02</v>
      </c>
      <c r="HZ54" s="83">
        <v>0.02</v>
      </c>
      <c r="IA54" s="83">
        <v>0.02</v>
      </c>
      <c r="IB54" s="83">
        <v>0.02</v>
      </c>
      <c r="IC54" s="57">
        <v>0.02</v>
      </c>
      <c r="ID54" s="57">
        <v>0.02</v>
      </c>
      <c r="IE54" s="83">
        <v>0.02</v>
      </c>
      <c r="IF54" s="57">
        <v>0.02</v>
      </c>
      <c r="IG54" s="83">
        <v>0.02</v>
      </c>
      <c r="IH54" s="57">
        <v>0.02</v>
      </c>
      <c r="II54" s="83">
        <v>0.02</v>
      </c>
      <c r="IJ54" s="83">
        <v>0.02</v>
      </c>
      <c r="IK54" s="83">
        <v>0.02</v>
      </c>
      <c r="IL54" s="83">
        <v>0.02</v>
      </c>
      <c r="IM54" s="83">
        <v>0.02</v>
      </c>
      <c r="IN54" s="83">
        <v>0.02</v>
      </c>
      <c r="IO54" s="83">
        <v>0.02</v>
      </c>
      <c r="IP54" s="84">
        <v>2.1999999999999999E-2</v>
      </c>
      <c r="IQ54" s="83">
        <v>2.1999999999999999E-2</v>
      </c>
      <c r="IR54" s="83">
        <v>2.1999999999999999E-2</v>
      </c>
      <c r="IS54" s="83">
        <v>2.1999999999999999E-2</v>
      </c>
      <c r="IT54" s="83">
        <v>2.1999999999999999E-2</v>
      </c>
      <c r="IU54" s="83">
        <v>2.1999999999999999E-2</v>
      </c>
      <c r="IV54" s="84">
        <v>2.3E-2</v>
      </c>
      <c r="IW54" s="83">
        <v>2.3E-2</v>
      </c>
      <c r="IX54" s="83">
        <v>2.3E-2</v>
      </c>
      <c r="IY54" s="83">
        <v>2.3E-2</v>
      </c>
      <c r="IZ54" s="83">
        <v>2.3E-2</v>
      </c>
      <c r="JA54" s="83">
        <v>2.3E-2</v>
      </c>
      <c r="JB54" s="83">
        <v>2.3E-2</v>
      </c>
      <c r="JC54" s="83">
        <v>2.3E-2</v>
      </c>
      <c r="JD54" s="83">
        <v>2.3E-2</v>
      </c>
      <c r="JE54" s="83">
        <v>2.3E-2</v>
      </c>
      <c r="JF54" s="83">
        <v>2.3E-2</v>
      </c>
      <c r="JG54" s="83">
        <v>2.3E-2</v>
      </c>
      <c r="JH54" s="83">
        <v>2.3E-2</v>
      </c>
      <c r="JI54" s="83">
        <v>2.3E-2</v>
      </c>
      <c r="JJ54" s="83">
        <v>2.3E-2</v>
      </c>
      <c r="JK54" s="83">
        <v>2.3E-2</v>
      </c>
      <c r="JL54" s="83">
        <v>2.3E-2</v>
      </c>
      <c r="JM54" s="83">
        <v>2.3E-2</v>
      </c>
      <c r="JN54" s="57">
        <v>2.3E-2</v>
      </c>
      <c r="JO54" s="57">
        <v>2.3E-2</v>
      </c>
      <c r="JP54" s="57">
        <v>2.3E-2</v>
      </c>
      <c r="JQ54" s="57">
        <v>2.3E-2</v>
      </c>
      <c r="JR54" s="57">
        <v>2.3E-2</v>
      </c>
      <c r="JS54" s="57">
        <v>2.3E-2</v>
      </c>
      <c r="JT54" s="57">
        <v>2.3E-2</v>
      </c>
      <c r="JU54" s="57">
        <v>2.3E-2</v>
      </c>
      <c r="JV54" s="57">
        <v>2.3E-2</v>
      </c>
      <c r="JW54" s="57">
        <v>2.3E-2</v>
      </c>
      <c r="JX54" s="57">
        <v>2.3E-2</v>
      </c>
      <c r="JY54" s="57">
        <v>2.3E-2</v>
      </c>
      <c r="JZ54" s="57">
        <v>2.3E-2</v>
      </c>
      <c r="KA54" s="57">
        <v>2.3E-2</v>
      </c>
      <c r="KB54" s="57">
        <v>2.3E-2</v>
      </c>
      <c r="KC54" s="57">
        <v>2.3E-2</v>
      </c>
      <c r="KD54" s="57">
        <v>2.3E-2</v>
      </c>
      <c r="KE54" s="57">
        <v>2.3E-2</v>
      </c>
      <c r="KF54" s="57">
        <v>2.3E-2</v>
      </c>
      <c r="KG54" s="57">
        <v>2.3E-2</v>
      </c>
      <c r="KH54" s="57">
        <v>2.3E-2</v>
      </c>
      <c r="KI54" s="57">
        <v>2.3E-2</v>
      </c>
      <c r="KJ54" s="57">
        <v>2.3E-2</v>
      </c>
      <c r="KK54" s="57">
        <v>2.3E-2</v>
      </c>
      <c r="KL54" s="57">
        <v>2.3E-2</v>
      </c>
      <c r="KM54" s="57">
        <v>2.3E-2</v>
      </c>
      <c r="KN54" s="57">
        <v>2.3E-2</v>
      </c>
      <c r="KO54" s="57">
        <v>2.3E-2</v>
      </c>
      <c r="KP54" s="57">
        <v>2.3E-2</v>
      </c>
      <c r="KQ54" s="57">
        <v>2.3E-2</v>
      </c>
      <c r="KR54" s="57">
        <v>2.3E-2</v>
      </c>
      <c r="KS54" s="57">
        <v>2.3E-2</v>
      </c>
      <c r="KT54" s="57">
        <v>2.3E-2</v>
      </c>
      <c r="KU54" s="57">
        <v>2.3E-2</v>
      </c>
      <c r="KV54" s="57">
        <v>2.3E-2</v>
      </c>
      <c r="KW54" s="57">
        <v>2.3E-2</v>
      </c>
      <c r="KX54" s="57">
        <v>2.3E-2</v>
      </c>
      <c r="KY54" s="57">
        <v>2.3E-2</v>
      </c>
      <c r="KZ54" s="57">
        <v>2.3E-2</v>
      </c>
      <c r="LA54" s="57">
        <v>2.3E-2</v>
      </c>
      <c r="LB54" s="57">
        <v>2.3E-2</v>
      </c>
      <c r="LC54" s="57">
        <v>2.3E-2</v>
      </c>
      <c r="LD54" s="57">
        <v>2.3E-2</v>
      </c>
      <c r="LE54" s="57">
        <v>2.3E-2</v>
      </c>
      <c r="LF54" s="57">
        <v>2.3E-2</v>
      </c>
      <c r="LG54" s="57">
        <v>2.3E-2</v>
      </c>
      <c r="LH54" s="57">
        <v>2.3E-2</v>
      </c>
      <c r="LI54" s="57">
        <v>2.3E-2</v>
      </c>
      <c r="LJ54" s="57">
        <v>2.3E-2</v>
      </c>
      <c r="LK54" s="57">
        <v>2.3E-2</v>
      </c>
      <c r="LL54" s="57">
        <v>2.3E-2</v>
      </c>
      <c r="LM54" s="57">
        <v>2.3E-2</v>
      </c>
      <c r="LN54" s="473">
        <f t="shared" si="22"/>
        <v>0</v>
      </c>
    </row>
    <row r="55" spans="1:326">
      <c r="A55" s="1166"/>
      <c r="B55" s="49" t="s">
        <v>72</v>
      </c>
      <c r="C55" s="49" t="s">
        <v>72</v>
      </c>
      <c r="D55" s="49" t="s">
        <v>72</v>
      </c>
      <c r="E55" s="49" t="s">
        <v>72</v>
      </c>
      <c r="F55" s="49"/>
      <c r="G55" s="49"/>
      <c r="H55" s="49" t="s">
        <v>75</v>
      </c>
      <c r="I55" s="49" t="s">
        <v>75</v>
      </c>
      <c r="J55" s="49" t="s">
        <v>75</v>
      </c>
      <c r="K55" s="49" t="s">
        <v>75</v>
      </c>
      <c r="L55" s="49" t="s">
        <v>75</v>
      </c>
      <c r="M55" s="49" t="s">
        <v>75</v>
      </c>
      <c r="N55" s="49" t="s">
        <v>75</v>
      </c>
      <c r="O55" s="49"/>
      <c r="P55" s="739" t="s">
        <v>74</v>
      </c>
      <c r="Q55" s="29">
        <v>1.35E-2</v>
      </c>
      <c r="R55" s="29">
        <v>1.35E-2</v>
      </c>
      <c r="S55" s="29">
        <v>1.35E-2</v>
      </c>
      <c r="T55" s="29">
        <v>1.35E-2</v>
      </c>
      <c r="U55" s="29">
        <v>1.35E-2</v>
      </c>
      <c r="V55" s="29">
        <v>1.35E-2</v>
      </c>
      <c r="W55" s="29">
        <v>1.35E-2</v>
      </c>
      <c r="X55" s="29">
        <v>1.35E-2</v>
      </c>
      <c r="Y55" s="29">
        <v>1.35E-2</v>
      </c>
      <c r="Z55" s="29">
        <v>1.35E-2</v>
      </c>
      <c r="AA55" s="29">
        <v>1.35E-2</v>
      </c>
      <c r="AB55" s="29">
        <v>1.35E-2</v>
      </c>
      <c r="AC55" s="29">
        <v>1.35E-2</v>
      </c>
      <c r="AD55" s="29">
        <v>1.35E-2</v>
      </c>
      <c r="AE55" s="29">
        <v>1.35E-2</v>
      </c>
      <c r="AF55" s="29">
        <v>1.35E-2</v>
      </c>
      <c r="AG55" s="29">
        <v>1.35E-2</v>
      </c>
      <c r="AH55" s="29">
        <v>1.35E-2</v>
      </c>
      <c r="AI55" s="29">
        <v>1.35E-2</v>
      </c>
      <c r="AJ55" s="29">
        <v>1.35E-2</v>
      </c>
      <c r="AK55" s="29">
        <v>1.35E-2</v>
      </c>
      <c r="AL55" s="29">
        <v>1.35E-2</v>
      </c>
      <c r="AM55" s="29">
        <v>1.35E-2</v>
      </c>
      <c r="AN55" s="29">
        <v>1.35E-2</v>
      </c>
      <c r="AO55" s="29">
        <v>1.35E-2</v>
      </c>
      <c r="AP55" s="29">
        <v>1.35E-2</v>
      </c>
      <c r="AQ55" s="29">
        <v>1.35E-2</v>
      </c>
      <c r="AR55" s="28">
        <v>1.35E-2</v>
      </c>
      <c r="AS55" s="29">
        <v>1.4E-2</v>
      </c>
      <c r="AT55" s="29">
        <v>1.4E-2</v>
      </c>
      <c r="AU55" s="28">
        <v>1.4E-2</v>
      </c>
      <c r="AV55" s="29">
        <v>1.4999999999999999E-2</v>
      </c>
      <c r="AW55" s="29">
        <v>1.4999999999999999E-2</v>
      </c>
      <c r="AX55" s="29">
        <v>1.4999999999999999E-2</v>
      </c>
      <c r="AY55" s="30">
        <v>1.4999999999999999E-2</v>
      </c>
      <c r="AZ55" s="29">
        <v>1.4999999999999999E-2</v>
      </c>
      <c r="BA55" s="29">
        <v>1.4999999999999999E-2</v>
      </c>
      <c r="BB55" s="29">
        <v>1.4999999999999999E-2</v>
      </c>
      <c r="BC55" s="29">
        <v>1.4999999999999999E-2</v>
      </c>
      <c r="BD55" s="29">
        <v>1.4999999999999999E-2</v>
      </c>
      <c r="BE55" s="29">
        <v>1.4999999999999999E-2</v>
      </c>
      <c r="BF55" s="29">
        <v>1.4999999999999999E-2</v>
      </c>
      <c r="BG55" s="28">
        <v>1.4999999999999999E-2</v>
      </c>
      <c r="BH55" s="29">
        <v>1.7999999999999999E-2</v>
      </c>
      <c r="BI55" s="28">
        <v>1.7999999999999999E-2</v>
      </c>
      <c r="BJ55" s="30">
        <v>1.8499999999999999E-2</v>
      </c>
      <c r="BK55" s="30">
        <v>1.8499999999999999E-2</v>
      </c>
      <c r="BL55" s="30">
        <v>1.8499999999999999E-2</v>
      </c>
      <c r="BM55" s="30">
        <v>1.8499999999999999E-2</v>
      </c>
      <c r="BN55" s="30">
        <v>1.8499999999999999E-2</v>
      </c>
      <c r="BO55" s="30">
        <v>1.8499999999999999E-2</v>
      </c>
      <c r="BP55" s="30">
        <v>1.8499999999999999E-2</v>
      </c>
      <c r="BQ55" s="30">
        <v>1.8499999999999999E-2</v>
      </c>
      <c r="BR55" s="30">
        <v>1.8499999999999999E-2</v>
      </c>
      <c r="BS55" s="30">
        <v>1.8499999999999999E-2</v>
      </c>
      <c r="BT55" s="30">
        <v>1.8499999999999999E-2</v>
      </c>
      <c r="BU55" s="30">
        <v>1.8499999999999999E-2</v>
      </c>
      <c r="BV55" s="30">
        <v>1.8499999999999999E-2</v>
      </c>
      <c r="BW55" s="30">
        <v>1.8499999999999999E-2</v>
      </c>
      <c r="BX55" s="30">
        <v>1.8499999999999999E-2</v>
      </c>
      <c r="BY55" s="30">
        <v>1.8499999999999999E-2</v>
      </c>
      <c r="BZ55" s="30">
        <v>1.8499999999999999E-2</v>
      </c>
      <c r="CA55" s="30">
        <v>1.8499999999999999E-2</v>
      </c>
      <c r="CB55" s="30">
        <v>1.8499999999999999E-2</v>
      </c>
      <c r="CC55" s="30">
        <v>1.8499999999999999E-2</v>
      </c>
      <c r="CD55" s="30">
        <v>1.8499999999999999E-2</v>
      </c>
      <c r="CE55" s="30">
        <v>1.8499999999999999E-2</v>
      </c>
      <c r="CF55" s="30">
        <v>1.7000000000000001E-2</v>
      </c>
      <c r="CG55" s="30">
        <v>1.7000000000000001E-2</v>
      </c>
      <c r="CH55" s="30">
        <v>1.7000000000000001E-2</v>
      </c>
      <c r="CI55" s="30">
        <v>1.7000000000000001E-2</v>
      </c>
      <c r="CJ55" s="30">
        <v>1.7000000000000001E-2</v>
      </c>
      <c r="CK55" s="30">
        <v>1.7000000000000001E-2</v>
      </c>
      <c r="CL55" s="30">
        <v>1.7000000000000001E-2</v>
      </c>
      <c r="CM55" s="30">
        <v>1.7500000000000002E-2</v>
      </c>
      <c r="CN55" s="30">
        <v>1.7500000000000002E-2</v>
      </c>
      <c r="CO55" s="30">
        <v>1.7500000000000002E-2</v>
      </c>
      <c r="CP55" s="30">
        <v>1.7500000000000002E-2</v>
      </c>
      <c r="CQ55" s="30">
        <v>1.8499999999999999E-2</v>
      </c>
      <c r="CR55" s="30">
        <v>0.02</v>
      </c>
      <c r="CS55" s="30">
        <v>0.02</v>
      </c>
      <c r="CT55" s="30">
        <v>0.02</v>
      </c>
      <c r="CU55" s="30">
        <v>2.1999999999999999E-2</v>
      </c>
      <c r="CV55" s="30">
        <v>2.1999999999999999E-2</v>
      </c>
      <c r="CW55" s="30">
        <v>2.1999999999999999E-2</v>
      </c>
      <c r="CX55" s="30">
        <v>2.1999999999999999E-2</v>
      </c>
      <c r="CY55" s="30">
        <v>2.1999999999999999E-2</v>
      </c>
      <c r="CZ55" s="30">
        <v>2.1999999999999999E-2</v>
      </c>
      <c r="DA55" s="30">
        <v>2.1999999999999999E-2</v>
      </c>
      <c r="DB55" s="30">
        <v>2.1999999999999999E-2</v>
      </c>
      <c r="DC55" s="30">
        <v>2.1999999999999999E-2</v>
      </c>
      <c r="DD55" s="30">
        <v>2.1999999999999999E-2</v>
      </c>
      <c r="DE55" s="30">
        <v>2.1999999999999999E-2</v>
      </c>
      <c r="DF55" s="30">
        <v>2.1999999999999999E-2</v>
      </c>
      <c r="DG55" s="30">
        <v>2.1999999999999999E-2</v>
      </c>
      <c r="DH55" s="30">
        <v>2.1999999999999999E-2</v>
      </c>
      <c r="DI55" s="30">
        <v>2.1999999999999999E-2</v>
      </c>
      <c r="DJ55" s="30">
        <v>2.1999999999999999E-2</v>
      </c>
      <c r="DK55" s="30">
        <v>2.1999999999999999E-2</v>
      </c>
      <c r="DL55" s="30">
        <v>2.1999999999999999E-2</v>
      </c>
      <c r="DM55" s="30">
        <v>2.1999999999999999E-2</v>
      </c>
      <c r="DN55" s="30">
        <v>2.1999999999999999E-2</v>
      </c>
      <c r="DO55" s="30">
        <v>2.1999999999999999E-2</v>
      </c>
      <c r="DP55" s="30">
        <v>2.1999999999999999E-2</v>
      </c>
      <c r="DQ55" s="30">
        <v>2.1999999999999999E-2</v>
      </c>
      <c r="DR55" s="30">
        <v>2.1999999999999999E-2</v>
      </c>
      <c r="DS55" s="30">
        <v>2.1999999999999999E-2</v>
      </c>
      <c r="DT55" s="30">
        <v>2.1999999999999999E-2</v>
      </c>
      <c r="DU55" s="30">
        <v>2.1999999999999999E-2</v>
      </c>
      <c r="DV55" s="30">
        <v>2.1999999999999999E-2</v>
      </c>
      <c r="DW55" s="30">
        <v>2.1999999999999999E-2</v>
      </c>
      <c r="DX55" s="30">
        <v>2.1999999999999999E-2</v>
      </c>
      <c r="DY55" s="30">
        <v>2.1999999999999999E-2</v>
      </c>
      <c r="DZ55" s="30">
        <v>2.1999999999999999E-2</v>
      </c>
      <c r="EA55" s="30">
        <v>2.1999999999999999E-2</v>
      </c>
      <c r="EB55" s="30">
        <v>2.1999999999999999E-2</v>
      </c>
      <c r="EC55" s="30">
        <v>2.1999999999999999E-2</v>
      </c>
      <c r="ED55" s="30">
        <v>2.1999999999999999E-2</v>
      </c>
      <c r="EE55" s="30">
        <v>2.1999999999999999E-2</v>
      </c>
      <c r="EF55" s="30">
        <v>2.1999999999999999E-2</v>
      </c>
      <c r="EG55" s="30">
        <v>2.1999999999999999E-2</v>
      </c>
      <c r="EH55" s="30">
        <v>2.1999999999999999E-2</v>
      </c>
      <c r="EI55" s="30">
        <v>2.1999999999999999E-2</v>
      </c>
      <c r="EJ55" s="30">
        <v>2.1999999999999999E-2</v>
      </c>
      <c r="EK55" s="30">
        <v>2.1999999999999999E-2</v>
      </c>
      <c r="EL55" s="30">
        <v>2.1999999999999999E-2</v>
      </c>
      <c r="EM55" s="30">
        <v>2.1999999999999999E-2</v>
      </c>
      <c r="EN55" s="30">
        <v>2.1999999999999999E-2</v>
      </c>
      <c r="EO55" s="30">
        <v>2.1999999999999999E-2</v>
      </c>
      <c r="EP55" s="30">
        <v>2.1999999999999999E-2</v>
      </c>
      <c r="EQ55" s="30">
        <v>2.1999999999999999E-2</v>
      </c>
      <c r="ER55" s="30">
        <v>2.1999999999999999E-2</v>
      </c>
      <c r="ES55" s="30">
        <v>2.1999999999999999E-2</v>
      </c>
      <c r="ET55" s="30">
        <v>2.1999999999999999E-2</v>
      </c>
      <c r="EU55" s="30">
        <v>2.1999999999999999E-2</v>
      </c>
      <c r="EV55" s="30">
        <v>2.1999999999999999E-2</v>
      </c>
      <c r="EW55" s="30">
        <v>2.1999999999999999E-2</v>
      </c>
      <c r="EX55" s="30">
        <v>2.1999999999999999E-2</v>
      </c>
      <c r="EY55" s="30">
        <v>2.1999999999999999E-2</v>
      </c>
      <c r="EZ55" s="30">
        <v>2.1999999999999999E-2</v>
      </c>
      <c r="FA55" s="30">
        <v>2.1999999999999999E-2</v>
      </c>
      <c r="FB55" s="30">
        <v>2.1999999999999999E-2</v>
      </c>
      <c r="FC55" s="30">
        <v>2.1999999999999999E-2</v>
      </c>
      <c r="FD55" s="30">
        <v>2.1999999999999999E-2</v>
      </c>
      <c r="FE55" s="30">
        <v>2.1999999999999999E-2</v>
      </c>
      <c r="FF55" s="50">
        <v>2.1999999999999999E-2</v>
      </c>
      <c r="FG55" s="27">
        <v>2.3E-2</v>
      </c>
      <c r="FH55" s="27">
        <v>2.3E-2</v>
      </c>
      <c r="FI55" s="27">
        <v>2.3E-2</v>
      </c>
      <c r="FJ55" s="27">
        <v>2.3E-2</v>
      </c>
      <c r="FK55" s="27">
        <v>2.3E-2</v>
      </c>
      <c r="FL55" s="27">
        <v>2.3E-2</v>
      </c>
      <c r="FM55" s="27">
        <v>2.3E-2</v>
      </c>
      <c r="FN55" s="27">
        <v>2.3E-2</v>
      </c>
      <c r="FO55" s="27">
        <v>2.1000000000000001E-2</v>
      </c>
      <c r="FP55" s="27">
        <v>2.1000000000000001E-2</v>
      </c>
      <c r="FQ55" s="27">
        <v>2.1000000000000001E-2</v>
      </c>
      <c r="FR55" s="27">
        <v>2.1000000000000001E-2</v>
      </c>
      <c r="FS55" s="27">
        <v>2.1000000000000001E-2</v>
      </c>
      <c r="FT55" s="27">
        <v>2.1000000000000001E-2</v>
      </c>
      <c r="FU55" s="27">
        <v>2.1000000000000001E-2</v>
      </c>
      <c r="FV55" s="27">
        <v>2.1000000000000001E-2</v>
      </c>
      <c r="FW55" s="27">
        <v>2.1000000000000001E-2</v>
      </c>
      <c r="FX55" s="27">
        <v>2.1000000000000001E-2</v>
      </c>
      <c r="FY55" s="27">
        <v>2.1000000000000001E-2</v>
      </c>
      <c r="FZ55" s="27">
        <v>2.1000000000000001E-2</v>
      </c>
      <c r="GA55" s="27">
        <v>2.1000000000000001E-2</v>
      </c>
      <c r="GB55" s="27">
        <v>2.1000000000000001E-2</v>
      </c>
      <c r="GC55" s="27">
        <v>2.1000000000000001E-2</v>
      </c>
      <c r="GD55" s="27">
        <v>2.1000000000000001E-2</v>
      </c>
      <c r="GE55" s="27">
        <v>2.1000000000000001E-2</v>
      </c>
      <c r="GF55" s="27">
        <v>2.1000000000000001E-2</v>
      </c>
      <c r="GG55" s="27">
        <v>2.1000000000000001E-2</v>
      </c>
      <c r="GH55" s="27">
        <v>2.1000000000000001E-2</v>
      </c>
      <c r="GI55" s="27">
        <v>2.1000000000000001E-2</v>
      </c>
      <c r="GJ55" s="27">
        <v>2.1000000000000001E-2</v>
      </c>
      <c r="GK55" s="27">
        <v>2.1000000000000001E-2</v>
      </c>
      <c r="GL55" s="27">
        <v>2.1000000000000001E-2</v>
      </c>
      <c r="GM55" s="27">
        <v>2.1000000000000001E-2</v>
      </c>
      <c r="GN55" s="27">
        <v>2.1000000000000001E-2</v>
      </c>
      <c r="GO55" s="27">
        <v>2.4500000000000001E-2</v>
      </c>
      <c r="GP55" s="27">
        <v>2.4500000000000001E-2</v>
      </c>
      <c r="GQ55" s="27">
        <v>2.4500000000000001E-2</v>
      </c>
      <c r="GR55" s="27">
        <v>2.4500000000000001E-2</v>
      </c>
      <c r="GS55" s="27">
        <v>2.4500000000000001E-2</v>
      </c>
      <c r="GT55" s="27">
        <v>2.4500000000000001E-2</v>
      </c>
      <c r="GU55" s="27">
        <v>2.4500000000000001E-2</v>
      </c>
      <c r="GV55" s="27">
        <v>2.4500000000000001E-2</v>
      </c>
      <c r="GW55" s="49" t="s">
        <v>73</v>
      </c>
      <c r="GX55" s="49" t="s">
        <v>73</v>
      </c>
      <c r="GY55" s="49" t="s">
        <v>73</v>
      </c>
      <c r="GZ55" s="49" t="s">
        <v>73</v>
      </c>
      <c r="HA55" s="49" t="s">
        <v>73</v>
      </c>
      <c r="HB55" s="49" t="s">
        <v>73</v>
      </c>
      <c r="HC55" s="49" t="s">
        <v>73</v>
      </c>
      <c r="HD55" s="49" t="s">
        <v>73</v>
      </c>
      <c r="HE55" s="49" t="s">
        <v>73</v>
      </c>
      <c r="HF55" s="49" t="s">
        <v>72</v>
      </c>
      <c r="HG55" s="49" t="s">
        <v>72</v>
      </c>
      <c r="HH55" s="49" t="s">
        <v>72</v>
      </c>
      <c r="HI55" s="49" t="s">
        <v>72</v>
      </c>
      <c r="HJ55" s="49" t="s">
        <v>72</v>
      </c>
      <c r="HK55" s="49" t="s">
        <v>72</v>
      </c>
      <c r="HL55" s="41">
        <f t="shared" si="21"/>
        <v>-5.0000000000000044E-4</v>
      </c>
      <c r="HM55" s="77" t="s">
        <v>72</v>
      </c>
      <c r="HN55" s="77" t="s">
        <v>72</v>
      </c>
      <c r="HO55" s="77" t="s">
        <v>72</v>
      </c>
      <c r="HP55" s="56">
        <v>0</v>
      </c>
      <c r="HQ55" s="55" t="s">
        <v>91</v>
      </c>
      <c r="LN55" s="473">
        <f t="shared" si="22"/>
        <v>0</v>
      </c>
    </row>
    <row r="56" spans="1:326">
      <c r="A56" s="1162" t="s">
        <v>16</v>
      </c>
      <c r="B56" s="42"/>
      <c r="C56" s="42"/>
      <c r="D56" s="42"/>
      <c r="E56" s="42"/>
      <c r="F56" s="42"/>
      <c r="G56" s="42"/>
      <c r="H56" s="42"/>
      <c r="I56" s="42"/>
      <c r="J56" s="42"/>
      <c r="K56" s="42"/>
      <c r="L56" s="42"/>
      <c r="M56" s="42"/>
      <c r="N56" s="42"/>
      <c r="O56" s="42"/>
      <c r="P56" s="627" t="s">
        <v>71</v>
      </c>
      <c r="Q56" s="35">
        <v>1.2999999999999999E-2</v>
      </c>
      <c r="R56" s="35">
        <v>1.2999999999999999E-2</v>
      </c>
      <c r="S56" s="34">
        <v>1.2999999999999999E-2</v>
      </c>
      <c r="T56" s="34">
        <v>1.2999999999999999E-2</v>
      </c>
      <c r="U56" s="35">
        <v>1.2E-2</v>
      </c>
      <c r="V56" s="35">
        <v>1.2E-2</v>
      </c>
      <c r="W56" s="35">
        <v>1.2E-2</v>
      </c>
      <c r="X56" s="35">
        <v>1.2E-2</v>
      </c>
      <c r="Y56" s="35">
        <v>1.2E-2</v>
      </c>
      <c r="Z56" s="35">
        <v>1.2E-2</v>
      </c>
      <c r="AA56" s="35">
        <v>1.2E-2</v>
      </c>
      <c r="AB56" s="35">
        <v>1.2E-2</v>
      </c>
      <c r="AC56" s="35">
        <v>1.2E-2</v>
      </c>
      <c r="AD56" s="35">
        <v>1.2E-2</v>
      </c>
      <c r="AE56" s="35">
        <v>1.2E-2</v>
      </c>
      <c r="AF56" s="35">
        <v>1.2E-2</v>
      </c>
      <c r="AG56" s="35">
        <v>1.2E-2</v>
      </c>
      <c r="AH56" s="35">
        <v>1.2E-2</v>
      </c>
      <c r="AI56" s="35">
        <v>1.2E-2</v>
      </c>
      <c r="AJ56" s="35">
        <v>1.2E-2</v>
      </c>
      <c r="AK56" s="35">
        <v>1.2E-2</v>
      </c>
      <c r="AL56" s="34">
        <v>1.2E-2</v>
      </c>
      <c r="AM56" s="35">
        <v>1.2999999999999999E-2</v>
      </c>
      <c r="AN56" s="35">
        <v>1.2999999999999999E-2</v>
      </c>
      <c r="AO56" s="35">
        <v>1.2999999999999999E-2</v>
      </c>
      <c r="AP56" s="35">
        <v>1.2999999999999999E-2</v>
      </c>
      <c r="AQ56" s="35">
        <v>1.2999999999999999E-2</v>
      </c>
      <c r="AR56" s="35">
        <v>1.2999999999999999E-2</v>
      </c>
      <c r="AS56" s="35">
        <v>1.2999999999999999E-2</v>
      </c>
      <c r="AT56" s="35">
        <v>1.2999999999999999E-2</v>
      </c>
      <c r="AU56" s="35">
        <v>1.2999999999999999E-2</v>
      </c>
      <c r="AV56" s="35">
        <v>1.2999999999999999E-2</v>
      </c>
      <c r="AW56" s="34">
        <v>1.2999999999999999E-2</v>
      </c>
      <c r="AX56" s="35">
        <v>1.35E-2</v>
      </c>
      <c r="AY56" s="35">
        <v>1.35E-2</v>
      </c>
      <c r="AZ56" s="34">
        <v>1.35E-2</v>
      </c>
      <c r="BA56" s="35">
        <v>1.35E-2</v>
      </c>
      <c r="BB56" s="35">
        <v>1.35E-2</v>
      </c>
      <c r="BC56" s="35">
        <v>1.35E-2</v>
      </c>
      <c r="BD56" s="35">
        <v>1.35E-2</v>
      </c>
      <c r="BE56" s="35">
        <v>1.35E-2</v>
      </c>
      <c r="BF56" s="34">
        <v>1.35E-2</v>
      </c>
      <c r="BG56" s="35">
        <v>1.4500000000000001E-2</v>
      </c>
      <c r="BH56" s="35">
        <v>1.4500000000000001E-2</v>
      </c>
      <c r="BI56" s="46">
        <v>1.4500000000000001E-2</v>
      </c>
      <c r="BJ56" s="46">
        <v>1.4500000000000001E-2</v>
      </c>
      <c r="BK56" s="46">
        <v>1.8499999999999999E-2</v>
      </c>
      <c r="BL56" s="46">
        <v>1.8499999999999999E-2</v>
      </c>
      <c r="BM56" s="46">
        <v>1.8499999999999999E-2</v>
      </c>
      <c r="BN56" s="46">
        <v>1.8499999999999999E-2</v>
      </c>
      <c r="BO56" s="46">
        <v>1.8499999999999999E-2</v>
      </c>
      <c r="BP56" s="46">
        <v>1.8499999999999999E-2</v>
      </c>
      <c r="BQ56" s="46">
        <v>1.8499999999999999E-2</v>
      </c>
      <c r="BR56" s="46">
        <v>1.8499999999999999E-2</v>
      </c>
      <c r="BS56" s="46">
        <v>2.1000000000000001E-2</v>
      </c>
      <c r="BT56" s="46">
        <v>2.1000000000000001E-2</v>
      </c>
      <c r="BU56" s="46">
        <v>2.1000000000000001E-2</v>
      </c>
      <c r="BV56" s="46">
        <v>2.1000000000000001E-2</v>
      </c>
      <c r="BW56" s="46">
        <v>2.3E-2</v>
      </c>
      <c r="BX56" s="46">
        <v>2.3E-2</v>
      </c>
      <c r="BY56" s="46">
        <v>2.3E-2</v>
      </c>
      <c r="BZ56" s="46">
        <v>2.3E-2</v>
      </c>
      <c r="CA56" s="46">
        <v>2.3E-2</v>
      </c>
      <c r="CB56" s="46">
        <v>2.3E-2</v>
      </c>
      <c r="CC56" s="46">
        <v>2.3E-2</v>
      </c>
      <c r="CD56" s="46">
        <v>2.3E-2</v>
      </c>
      <c r="CE56" s="46">
        <v>2.3E-2</v>
      </c>
      <c r="CF56" s="46">
        <v>1.7000000000000001E-2</v>
      </c>
      <c r="CG56" s="46">
        <v>1.7000000000000001E-2</v>
      </c>
      <c r="CH56" s="46">
        <v>1.7000000000000001E-2</v>
      </c>
      <c r="CI56" s="46">
        <v>1.7000000000000001E-2</v>
      </c>
      <c r="CJ56" s="46">
        <v>1.7000000000000001E-2</v>
      </c>
      <c r="CK56" s="46">
        <v>1.7000000000000001E-2</v>
      </c>
      <c r="CL56" s="46">
        <v>1.7000000000000001E-2</v>
      </c>
      <c r="CM56" s="46">
        <v>1.7000000000000001E-2</v>
      </c>
      <c r="CN56" s="46">
        <v>1.7000000000000001E-2</v>
      </c>
      <c r="CO56" s="46">
        <v>1.7000000000000001E-2</v>
      </c>
      <c r="CP56" s="46">
        <v>1.7000000000000001E-2</v>
      </c>
      <c r="CQ56" s="46">
        <v>1.7000000000000001E-2</v>
      </c>
      <c r="CR56" s="46">
        <v>1.7999999999999999E-2</v>
      </c>
      <c r="CS56" s="46">
        <v>1.7999999999999999E-2</v>
      </c>
      <c r="CT56" s="46">
        <v>1.4500000000000001E-2</v>
      </c>
      <c r="CU56" s="46">
        <v>2.1999999999999999E-2</v>
      </c>
      <c r="CV56" s="46">
        <v>2.1999999999999999E-2</v>
      </c>
      <c r="CW56" s="46">
        <v>2.1999999999999999E-2</v>
      </c>
      <c r="CX56" s="46">
        <v>2.1999999999999999E-2</v>
      </c>
      <c r="CY56" s="46">
        <v>2.1999999999999999E-2</v>
      </c>
      <c r="CZ56" s="46">
        <v>2.1999999999999999E-2</v>
      </c>
      <c r="DA56" s="46">
        <v>2.1999999999999999E-2</v>
      </c>
      <c r="DB56" s="46">
        <v>2.1999999999999999E-2</v>
      </c>
      <c r="DC56" s="46">
        <v>2.1999999999999999E-2</v>
      </c>
      <c r="DD56" s="46">
        <v>2.1999999999999999E-2</v>
      </c>
      <c r="DE56" s="46">
        <v>2.1999999999999999E-2</v>
      </c>
      <c r="DF56" s="46">
        <v>2.1999999999999999E-2</v>
      </c>
      <c r="DG56" s="46">
        <v>2.1999999999999999E-2</v>
      </c>
      <c r="DH56" s="46">
        <v>2.1999999999999999E-2</v>
      </c>
      <c r="DI56" s="46">
        <v>2.1999999999999999E-2</v>
      </c>
      <c r="DJ56" s="46">
        <v>2.1999999999999999E-2</v>
      </c>
      <c r="DK56" s="46">
        <v>2.1999999999999999E-2</v>
      </c>
      <c r="DL56" s="46">
        <v>2.1999999999999999E-2</v>
      </c>
      <c r="DM56" s="46">
        <v>2.1999999999999999E-2</v>
      </c>
      <c r="DN56" s="46">
        <v>2.1999999999999999E-2</v>
      </c>
      <c r="DO56" s="46">
        <v>2.1999999999999999E-2</v>
      </c>
      <c r="DP56" s="46">
        <v>2.1999999999999999E-2</v>
      </c>
      <c r="DQ56" s="46">
        <v>2.1999999999999999E-2</v>
      </c>
      <c r="DR56" s="46">
        <v>2.1999999999999999E-2</v>
      </c>
      <c r="DS56" s="46">
        <v>2.1999999999999999E-2</v>
      </c>
      <c r="DT56" s="46">
        <v>2.1999999999999999E-2</v>
      </c>
      <c r="DU56" s="46">
        <v>2.1999999999999999E-2</v>
      </c>
      <c r="DV56" s="46">
        <v>2.1999999999999999E-2</v>
      </c>
      <c r="DW56" s="46">
        <v>2.1999999999999999E-2</v>
      </c>
      <c r="DX56" s="46">
        <v>2.1999999999999999E-2</v>
      </c>
      <c r="DY56" s="46">
        <v>2.1999999999999999E-2</v>
      </c>
      <c r="DZ56" s="46">
        <v>2.1999999999999999E-2</v>
      </c>
      <c r="EA56" s="46">
        <v>2.1999999999999999E-2</v>
      </c>
      <c r="EB56" s="46">
        <v>2.1999999999999999E-2</v>
      </c>
      <c r="EC56" s="46">
        <v>2.1999999999999999E-2</v>
      </c>
      <c r="ED56" s="46">
        <v>2.1999999999999999E-2</v>
      </c>
      <c r="EE56" s="46">
        <v>2.1999999999999999E-2</v>
      </c>
      <c r="EF56" s="46">
        <v>2.1999999999999999E-2</v>
      </c>
      <c r="EG56" s="46">
        <v>2.1999999999999999E-2</v>
      </c>
      <c r="EH56" s="46">
        <v>2.1999999999999999E-2</v>
      </c>
      <c r="EI56" s="46">
        <v>2.1999999999999999E-2</v>
      </c>
      <c r="EJ56" s="46">
        <v>2.1999999999999999E-2</v>
      </c>
      <c r="EK56" s="46">
        <v>2.1999999999999999E-2</v>
      </c>
      <c r="EL56" s="46">
        <v>2.1999999999999999E-2</v>
      </c>
      <c r="EM56" s="46">
        <v>2.1999999999999999E-2</v>
      </c>
      <c r="EN56" s="46">
        <v>2.1999999999999999E-2</v>
      </c>
      <c r="EO56" s="46">
        <v>2.1999999999999999E-2</v>
      </c>
      <c r="EP56" s="46">
        <v>2.1999999999999999E-2</v>
      </c>
      <c r="EQ56" s="46">
        <v>2.1999999999999999E-2</v>
      </c>
      <c r="ER56" s="46">
        <v>2.1999999999999999E-2</v>
      </c>
      <c r="ES56" s="46">
        <v>2.1999999999999999E-2</v>
      </c>
      <c r="ET56" s="46">
        <v>2.1999999999999999E-2</v>
      </c>
      <c r="EU56" s="46">
        <v>2.1999999999999999E-2</v>
      </c>
      <c r="EV56" s="46">
        <v>2.1999999999999999E-2</v>
      </c>
      <c r="EW56" s="46">
        <v>2.1999999999999999E-2</v>
      </c>
      <c r="EX56" s="46">
        <v>2.1999999999999999E-2</v>
      </c>
      <c r="EY56" s="46">
        <v>2.1999999999999999E-2</v>
      </c>
      <c r="EZ56" s="46">
        <v>2.1999999999999999E-2</v>
      </c>
      <c r="FA56" s="46">
        <v>2.1999999999999999E-2</v>
      </c>
      <c r="FB56" s="46">
        <v>2.1999999999999999E-2</v>
      </c>
      <c r="FC56" s="46">
        <v>2.1999999999999999E-2</v>
      </c>
      <c r="FD56" s="46">
        <v>2.1999999999999999E-2</v>
      </c>
      <c r="FE56" s="46">
        <v>2.1999999999999999E-2</v>
      </c>
      <c r="FF56" s="45">
        <v>2.1999999999999999E-2</v>
      </c>
      <c r="FG56" s="44">
        <v>2.1999999999999999E-2</v>
      </c>
      <c r="FH56" s="44">
        <v>2.2499999999999999E-2</v>
      </c>
      <c r="FI56" s="44">
        <v>2.2499999999999999E-2</v>
      </c>
      <c r="FJ56" s="44">
        <v>2.2499999999999999E-2</v>
      </c>
      <c r="FK56" s="44">
        <v>2.2499999999999999E-2</v>
      </c>
      <c r="FL56" s="44">
        <v>2.2499999999999999E-2</v>
      </c>
      <c r="FM56" s="44">
        <v>2.2499999999999999E-2</v>
      </c>
      <c r="FN56" s="44">
        <v>2.2499999999999999E-2</v>
      </c>
      <c r="FO56" s="44">
        <v>2.2499999999999999E-2</v>
      </c>
      <c r="FP56" s="44">
        <v>2.2499999999999999E-2</v>
      </c>
      <c r="FQ56" s="44">
        <v>2.2499999999999999E-2</v>
      </c>
      <c r="FR56" s="44">
        <v>2.1499999999999998E-2</v>
      </c>
      <c r="FS56" s="44">
        <v>2.1499999999999998E-2</v>
      </c>
      <c r="FT56" s="44">
        <v>2.1499999999999998E-2</v>
      </c>
      <c r="FU56" s="44">
        <v>2.1499999999999998E-2</v>
      </c>
      <c r="FV56" s="44">
        <v>2.1499999999999998E-2</v>
      </c>
      <c r="FW56" s="44">
        <v>2.1499999999999998E-2</v>
      </c>
      <c r="FX56" s="44">
        <v>2.1499999999999998E-2</v>
      </c>
      <c r="FY56" s="44">
        <v>2.1499999999999998E-2</v>
      </c>
      <c r="FZ56" s="44">
        <v>2.1499999999999998E-2</v>
      </c>
      <c r="GA56" s="44">
        <v>2.1499999999999998E-2</v>
      </c>
      <c r="GB56" s="44">
        <v>2.1499999999999998E-2</v>
      </c>
      <c r="GC56" s="44">
        <v>2.1499999999999998E-2</v>
      </c>
      <c r="GD56" s="44">
        <v>2.1499999999999998E-2</v>
      </c>
      <c r="GE56" s="44">
        <v>2.1499999999999998E-2</v>
      </c>
      <c r="GF56" s="44">
        <v>2.1499999999999998E-2</v>
      </c>
      <c r="GG56" s="44">
        <v>2.1499999999999998E-2</v>
      </c>
      <c r="GH56" s="44">
        <v>2.1499999999999998E-2</v>
      </c>
      <c r="GI56" s="44">
        <v>2.1499999999999998E-2</v>
      </c>
      <c r="GJ56" s="44">
        <v>2.1499999999999998E-2</v>
      </c>
      <c r="GK56" s="44">
        <v>2.1499999999999998E-2</v>
      </c>
      <c r="GL56" s="44">
        <v>2.1499999999999998E-2</v>
      </c>
      <c r="GM56" s="44">
        <v>2.1499999999999998E-2</v>
      </c>
      <c r="GN56" s="44">
        <v>2.1499999999999998E-2</v>
      </c>
      <c r="GO56" s="44">
        <v>2.1499999999999998E-2</v>
      </c>
      <c r="GP56" s="44">
        <v>2.1499999999999998E-2</v>
      </c>
      <c r="GQ56" s="44">
        <v>2.1499999999999998E-2</v>
      </c>
      <c r="GR56" s="44">
        <v>2.1499999999999998E-2</v>
      </c>
      <c r="GS56" s="43">
        <v>2.2499999999999999E-2</v>
      </c>
      <c r="GT56" s="43">
        <v>2.4E-2</v>
      </c>
      <c r="GU56" s="43">
        <v>2.4E-2</v>
      </c>
      <c r="GV56" s="43">
        <v>2.4E-2</v>
      </c>
      <c r="GW56" s="42"/>
      <c r="GX56" s="42"/>
      <c r="GY56" s="42"/>
      <c r="GZ56" s="42"/>
      <c r="HA56" s="42"/>
      <c r="HB56" s="42"/>
      <c r="HC56" s="42"/>
      <c r="HD56" s="42"/>
      <c r="HE56" s="42"/>
      <c r="HF56" s="42"/>
      <c r="HG56" s="42"/>
      <c r="HH56" s="42"/>
      <c r="HI56" s="42"/>
      <c r="HJ56" s="42"/>
      <c r="HK56" s="42"/>
      <c r="HL56" s="41">
        <f t="shared" si="21"/>
        <v>-3.9999999999999983E-3</v>
      </c>
      <c r="HM56" s="77"/>
      <c r="HN56" s="77"/>
      <c r="HO56" s="77"/>
      <c r="HP56" s="56"/>
      <c r="HQ56" s="55"/>
      <c r="LN56" s="473">
        <f t="shared" si="22"/>
        <v>0</v>
      </c>
    </row>
    <row r="57" spans="1:326">
      <c r="A57" s="1163"/>
      <c r="B57" s="42" t="s">
        <v>67</v>
      </c>
      <c r="C57" s="42" t="s">
        <v>67</v>
      </c>
      <c r="D57" s="42" t="s">
        <v>67</v>
      </c>
      <c r="E57" s="42" t="s">
        <v>67</v>
      </c>
      <c r="F57" s="42"/>
      <c r="G57" s="42"/>
      <c r="H57" s="42" t="s">
        <v>67</v>
      </c>
      <c r="I57" s="42" t="s">
        <v>67</v>
      </c>
      <c r="J57" s="42" t="s">
        <v>67</v>
      </c>
      <c r="K57" s="42" t="s">
        <v>67</v>
      </c>
      <c r="L57" s="42" t="s">
        <v>67</v>
      </c>
      <c r="M57" s="42" t="s">
        <v>67</v>
      </c>
      <c r="N57" s="42" t="s">
        <v>67</v>
      </c>
      <c r="O57" s="42"/>
      <c r="P57" s="627" t="s">
        <v>70</v>
      </c>
      <c r="Q57" s="35">
        <v>1.35E-2</v>
      </c>
      <c r="R57" s="35">
        <v>1.35E-2</v>
      </c>
      <c r="S57" s="34">
        <v>1.35E-2</v>
      </c>
      <c r="T57" s="34">
        <v>1.35E-2</v>
      </c>
      <c r="U57" s="35">
        <v>1.2999999999999999E-2</v>
      </c>
      <c r="V57" s="35">
        <v>1.2999999999999999E-2</v>
      </c>
      <c r="W57" s="35">
        <v>1.2999999999999999E-2</v>
      </c>
      <c r="X57" s="35">
        <v>1.2999999999999999E-2</v>
      </c>
      <c r="Y57" s="35">
        <v>1.2999999999999999E-2</v>
      </c>
      <c r="Z57" s="35">
        <v>1.2999999999999999E-2</v>
      </c>
      <c r="AA57" s="35">
        <v>1.2999999999999999E-2</v>
      </c>
      <c r="AB57" s="35">
        <v>1.2999999999999999E-2</v>
      </c>
      <c r="AC57" s="35">
        <v>1.2999999999999999E-2</v>
      </c>
      <c r="AD57" s="35">
        <v>1.2999999999999999E-2</v>
      </c>
      <c r="AE57" s="35">
        <v>1.2999999999999999E-2</v>
      </c>
      <c r="AF57" s="35">
        <v>1.2999999999999999E-2</v>
      </c>
      <c r="AG57" s="35">
        <v>1.2999999999999999E-2</v>
      </c>
      <c r="AH57" s="35">
        <v>1.2999999999999999E-2</v>
      </c>
      <c r="AI57" s="35">
        <v>1.2999999999999999E-2</v>
      </c>
      <c r="AJ57" s="35">
        <v>1.2999999999999999E-2</v>
      </c>
      <c r="AK57" s="35">
        <v>1.2999999999999999E-2</v>
      </c>
      <c r="AL57" s="34">
        <v>1.2999999999999999E-2</v>
      </c>
      <c r="AM57" s="35">
        <v>1.4E-2</v>
      </c>
      <c r="AN57" s="35">
        <v>1.4E-2</v>
      </c>
      <c r="AO57" s="35">
        <v>1.4E-2</v>
      </c>
      <c r="AP57" s="35">
        <v>1.4E-2</v>
      </c>
      <c r="AQ57" s="35">
        <v>1.4E-2</v>
      </c>
      <c r="AR57" s="35">
        <v>1.4E-2</v>
      </c>
      <c r="AS57" s="35">
        <v>1.4E-2</v>
      </c>
      <c r="AT57" s="35">
        <v>1.4E-2</v>
      </c>
      <c r="AU57" s="35">
        <v>1.4E-2</v>
      </c>
      <c r="AV57" s="35">
        <v>1.4E-2</v>
      </c>
      <c r="AW57" s="34">
        <v>1.4E-2</v>
      </c>
      <c r="AX57" s="35">
        <v>1.4500000000000001E-2</v>
      </c>
      <c r="AY57" s="35">
        <v>1.4500000000000001E-2</v>
      </c>
      <c r="AZ57" s="34">
        <v>1.4500000000000001E-2</v>
      </c>
      <c r="BA57" s="35">
        <v>1.4500000000000001E-2</v>
      </c>
      <c r="BB57" s="35">
        <v>1.4500000000000001E-2</v>
      </c>
      <c r="BC57" s="35">
        <v>1.4500000000000001E-2</v>
      </c>
      <c r="BD57" s="35">
        <v>1.4500000000000001E-2</v>
      </c>
      <c r="BE57" s="35">
        <v>1.4500000000000001E-2</v>
      </c>
      <c r="BF57" s="34">
        <v>1.4500000000000001E-2</v>
      </c>
      <c r="BG57" s="35">
        <v>1.55E-2</v>
      </c>
      <c r="BH57" s="35">
        <v>1.55E-2</v>
      </c>
      <c r="BI57" s="46">
        <v>1.55E-2</v>
      </c>
      <c r="BJ57" s="46">
        <v>1.55E-2</v>
      </c>
      <c r="BK57" s="46">
        <v>1.95E-2</v>
      </c>
      <c r="BL57" s="46">
        <v>1.95E-2</v>
      </c>
      <c r="BM57" s="46">
        <v>1.95E-2</v>
      </c>
      <c r="BN57" s="46">
        <v>1.95E-2</v>
      </c>
      <c r="BO57" s="46">
        <v>1.95E-2</v>
      </c>
      <c r="BP57" s="46">
        <v>1.95E-2</v>
      </c>
      <c r="BQ57" s="46">
        <v>1.95E-2</v>
      </c>
      <c r="BR57" s="46">
        <v>1.95E-2</v>
      </c>
      <c r="BS57" s="46">
        <v>2.1499999999999998E-2</v>
      </c>
      <c r="BT57" s="46">
        <v>2.1499999999999998E-2</v>
      </c>
      <c r="BU57" s="46">
        <v>2.1499999999999998E-2</v>
      </c>
      <c r="BV57" s="46">
        <v>2.1499999999999998E-2</v>
      </c>
      <c r="BW57" s="46">
        <v>2.4E-2</v>
      </c>
      <c r="BX57" s="46">
        <v>2.4E-2</v>
      </c>
      <c r="BY57" s="46">
        <v>2.4E-2</v>
      </c>
      <c r="BZ57" s="46">
        <v>2.4E-2</v>
      </c>
      <c r="CA57" s="46">
        <v>2.4E-2</v>
      </c>
      <c r="CB57" s="46">
        <v>2.4E-2</v>
      </c>
      <c r="CC57" s="46">
        <v>2.4E-2</v>
      </c>
      <c r="CD57" s="46">
        <v>2.4E-2</v>
      </c>
      <c r="CE57" s="46">
        <v>2.4E-2</v>
      </c>
      <c r="CF57" s="46">
        <v>1.7500000000000002E-2</v>
      </c>
      <c r="CG57" s="46">
        <v>1.7500000000000002E-2</v>
      </c>
      <c r="CH57" s="46">
        <v>1.7500000000000002E-2</v>
      </c>
      <c r="CI57" s="46">
        <v>1.7500000000000002E-2</v>
      </c>
      <c r="CJ57" s="46">
        <v>1.7500000000000002E-2</v>
      </c>
      <c r="CK57" s="46">
        <v>1.7500000000000002E-2</v>
      </c>
      <c r="CL57" s="46">
        <v>1.7500000000000002E-2</v>
      </c>
      <c r="CM57" s="46">
        <v>1.7500000000000002E-2</v>
      </c>
      <c r="CN57" s="46">
        <v>1.7500000000000002E-2</v>
      </c>
      <c r="CO57" s="46">
        <v>1.7500000000000002E-2</v>
      </c>
      <c r="CP57" s="46">
        <v>1.7500000000000002E-2</v>
      </c>
      <c r="CQ57" s="46">
        <v>1.7500000000000002E-2</v>
      </c>
      <c r="CR57" s="46">
        <v>1.8499999999999999E-2</v>
      </c>
      <c r="CS57" s="46">
        <v>1.8499999999999999E-2</v>
      </c>
      <c r="CT57" s="46">
        <v>1.4999999999999999E-2</v>
      </c>
      <c r="CU57" s="46">
        <v>2.1999999999999999E-2</v>
      </c>
      <c r="CV57" s="46">
        <v>2.1999999999999999E-2</v>
      </c>
      <c r="CW57" s="46">
        <v>2.1999999999999999E-2</v>
      </c>
      <c r="CX57" s="46">
        <v>2.1999999999999999E-2</v>
      </c>
      <c r="CY57" s="46">
        <v>2.1999999999999999E-2</v>
      </c>
      <c r="CZ57" s="46">
        <v>2.1999999999999999E-2</v>
      </c>
      <c r="DA57" s="46">
        <v>2.1999999999999999E-2</v>
      </c>
      <c r="DB57" s="46">
        <v>2.1999999999999999E-2</v>
      </c>
      <c r="DC57" s="46">
        <v>2.1999999999999999E-2</v>
      </c>
      <c r="DD57" s="46">
        <v>2.1999999999999999E-2</v>
      </c>
      <c r="DE57" s="46">
        <v>2.1999999999999999E-2</v>
      </c>
      <c r="DF57" s="46">
        <v>2.1999999999999999E-2</v>
      </c>
      <c r="DG57" s="46">
        <v>2.1999999999999999E-2</v>
      </c>
      <c r="DH57" s="46">
        <v>2.1999999999999999E-2</v>
      </c>
      <c r="DI57" s="46">
        <v>2.1999999999999999E-2</v>
      </c>
      <c r="DJ57" s="46">
        <v>2.1999999999999999E-2</v>
      </c>
      <c r="DK57" s="46">
        <v>2.1999999999999999E-2</v>
      </c>
      <c r="DL57" s="46">
        <v>2.1999999999999999E-2</v>
      </c>
      <c r="DM57" s="46">
        <v>2.1999999999999999E-2</v>
      </c>
      <c r="DN57" s="46">
        <v>2.1999999999999999E-2</v>
      </c>
      <c r="DO57" s="46">
        <v>2.1999999999999999E-2</v>
      </c>
      <c r="DP57" s="46">
        <v>2.1999999999999999E-2</v>
      </c>
      <c r="DQ57" s="46">
        <v>2.1999999999999999E-2</v>
      </c>
      <c r="DR57" s="46">
        <v>2.1999999999999999E-2</v>
      </c>
      <c r="DS57" s="46">
        <v>2.2499999999999999E-2</v>
      </c>
      <c r="DT57" s="46">
        <v>2.2499999999999999E-2</v>
      </c>
      <c r="DU57" s="46">
        <v>2.2499999999999999E-2</v>
      </c>
      <c r="DV57" s="46">
        <v>2.2499999999999999E-2</v>
      </c>
      <c r="DW57" s="46">
        <v>2.2499999999999999E-2</v>
      </c>
      <c r="DX57" s="46">
        <v>2.2499999999999999E-2</v>
      </c>
      <c r="DY57" s="46">
        <v>2.2499999999999999E-2</v>
      </c>
      <c r="DZ57" s="46">
        <v>2.2499999999999999E-2</v>
      </c>
      <c r="EA57" s="46">
        <v>2.2499999999999999E-2</v>
      </c>
      <c r="EB57" s="46">
        <v>2.2499999999999999E-2</v>
      </c>
      <c r="EC57" s="46">
        <v>2.2499999999999999E-2</v>
      </c>
      <c r="ED57" s="46">
        <v>2.2499999999999999E-2</v>
      </c>
      <c r="EE57" s="46">
        <v>2.2499999999999999E-2</v>
      </c>
      <c r="EF57" s="46">
        <v>2.2499999999999999E-2</v>
      </c>
      <c r="EG57" s="46">
        <v>2.2499999999999999E-2</v>
      </c>
      <c r="EH57" s="46">
        <v>2.2499999999999999E-2</v>
      </c>
      <c r="EI57" s="46">
        <v>2.2499999999999999E-2</v>
      </c>
      <c r="EJ57" s="46">
        <v>2.2499999999999999E-2</v>
      </c>
      <c r="EK57" s="46">
        <v>2.2499999999999999E-2</v>
      </c>
      <c r="EL57" s="46">
        <v>2.2499999999999999E-2</v>
      </c>
      <c r="EM57" s="46">
        <v>2.2499999999999999E-2</v>
      </c>
      <c r="EN57" s="46">
        <v>2.2499999999999999E-2</v>
      </c>
      <c r="EO57" s="46">
        <v>2.2499999999999999E-2</v>
      </c>
      <c r="EP57" s="46">
        <v>2.2499999999999999E-2</v>
      </c>
      <c r="EQ57" s="46">
        <v>2.2499999999999999E-2</v>
      </c>
      <c r="ER57" s="46">
        <v>2.2499999999999999E-2</v>
      </c>
      <c r="ES57" s="46">
        <v>2.2499999999999999E-2</v>
      </c>
      <c r="ET57" s="46">
        <v>2.2499999999999999E-2</v>
      </c>
      <c r="EU57" s="46">
        <v>2.2499999999999999E-2</v>
      </c>
      <c r="EV57" s="46">
        <v>2.2499999999999999E-2</v>
      </c>
      <c r="EW57" s="46">
        <v>2.2499999999999999E-2</v>
      </c>
      <c r="EX57" s="46">
        <v>2.2499999999999999E-2</v>
      </c>
      <c r="EY57" s="46">
        <v>2.2499999999999999E-2</v>
      </c>
      <c r="EZ57" s="46">
        <v>2.2499999999999999E-2</v>
      </c>
      <c r="FA57" s="46">
        <v>2.2499999999999999E-2</v>
      </c>
      <c r="FB57" s="46">
        <v>2.2499999999999999E-2</v>
      </c>
      <c r="FC57" s="46">
        <v>2.2499999999999999E-2</v>
      </c>
      <c r="FD57" s="46">
        <v>2.2499999999999999E-2</v>
      </c>
      <c r="FE57" s="46">
        <v>2.2499999999999999E-2</v>
      </c>
      <c r="FF57" s="45">
        <v>2.2499999999999999E-2</v>
      </c>
      <c r="FG57" s="44">
        <v>2.2499999999999999E-2</v>
      </c>
      <c r="FH57" s="44">
        <v>2.3E-2</v>
      </c>
      <c r="FI57" s="44">
        <v>2.3E-2</v>
      </c>
      <c r="FJ57" s="44">
        <v>2.3E-2</v>
      </c>
      <c r="FK57" s="44">
        <v>2.3E-2</v>
      </c>
      <c r="FL57" s="44">
        <v>2.3E-2</v>
      </c>
      <c r="FM57" s="44">
        <v>2.3E-2</v>
      </c>
      <c r="FN57" s="44">
        <v>2.3E-2</v>
      </c>
      <c r="FO57" s="44">
        <v>2.3E-2</v>
      </c>
      <c r="FP57" s="44">
        <v>2.3E-2</v>
      </c>
      <c r="FQ57" s="44">
        <v>2.3E-2</v>
      </c>
      <c r="FR57" s="44">
        <v>2.1999999999999999E-2</v>
      </c>
      <c r="FS57" s="44">
        <v>2.1999999999999999E-2</v>
      </c>
      <c r="FT57" s="44">
        <v>2.1999999999999999E-2</v>
      </c>
      <c r="FU57" s="44">
        <v>2.1999999999999999E-2</v>
      </c>
      <c r="FV57" s="44">
        <v>2.1999999999999999E-2</v>
      </c>
      <c r="FW57" s="44">
        <v>2.1999999999999999E-2</v>
      </c>
      <c r="FX57" s="44">
        <v>2.1999999999999999E-2</v>
      </c>
      <c r="FY57" s="44">
        <v>2.1999999999999999E-2</v>
      </c>
      <c r="FZ57" s="44">
        <v>2.1999999999999999E-2</v>
      </c>
      <c r="GA57" s="44">
        <v>2.1999999999999999E-2</v>
      </c>
      <c r="GB57" s="44">
        <v>2.1999999999999999E-2</v>
      </c>
      <c r="GC57" s="44">
        <v>2.1999999999999999E-2</v>
      </c>
      <c r="GD57" s="44">
        <v>2.1999999999999999E-2</v>
      </c>
      <c r="GE57" s="44">
        <v>2.1999999999999999E-2</v>
      </c>
      <c r="GF57" s="44">
        <v>2.1999999999999999E-2</v>
      </c>
      <c r="GG57" s="44">
        <v>2.1999999999999999E-2</v>
      </c>
      <c r="GH57" s="44">
        <v>2.1999999999999999E-2</v>
      </c>
      <c r="GI57" s="44">
        <v>2.1999999999999999E-2</v>
      </c>
      <c r="GJ57" s="44">
        <v>2.1999999999999999E-2</v>
      </c>
      <c r="GK57" s="44">
        <v>2.1999999999999999E-2</v>
      </c>
      <c r="GL57" s="44">
        <v>2.1999999999999999E-2</v>
      </c>
      <c r="GM57" s="44">
        <v>2.1999999999999999E-2</v>
      </c>
      <c r="GN57" s="44">
        <v>2.1999999999999999E-2</v>
      </c>
      <c r="GO57" s="44">
        <v>2.1999999999999999E-2</v>
      </c>
      <c r="GP57" s="44">
        <v>2.1999999999999999E-2</v>
      </c>
      <c r="GQ57" s="44">
        <v>2.1999999999999999E-2</v>
      </c>
      <c r="GR57" s="44">
        <v>2.1999999999999999E-2</v>
      </c>
      <c r="GS57" s="43">
        <v>2.35E-2</v>
      </c>
      <c r="GT57" s="43">
        <v>2.5000000000000001E-2</v>
      </c>
      <c r="GU57" s="43">
        <v>2.5000000000000001E-2</v>
      </c>
      <c r="GV57" s="43">
        <v>2.5000000000000001E-2</v>
      </c>
      <c r="GW57" s="42" t="s">
        <v>69</v>
      </c>
      <c r="GX57" s="42" t="s">
        <v>69</v>
      </c>
      <c r="GY57" s="42" t="s">
        <v>69</v>
      </c>
      <c r="GZ57" s="42" t="s">
        <v>69</v>
      </c>
      <c r="HA57" s="42" t="s">
        <v>68</v>
      </c>
      <c r="HB57" s="42" t="s">
        <v>68</v>
      </c>
      <c r="HC57" s="42" t="s">
        <v>68</v>
      </c>
      <c r="HD57" s="42" t="s">
        <v>68</v>
      </c>
      <c r="HE57" s="42" t="s">
        <v>68</v>
      </c>
      <c r="HF57" s="42" t="s">
        <v>68</v>
      </c>
      <c r="HG57" s="42" t="s">
        <v>68</v>
      </c>
      <c r="HH57" s="42" t="s">
        <v>68</v>
      </c>
      <c r="HI57" s="42" t="s">
        <v>68</v>
      </c>
      <c r="HJ57" s="42" t="s">
        <v>67</v>
      </c>
      <c r="HK57" s="42" t="s">
        <v>67</v>
      </c>
      <c r="HL57" s="41">
        <f t="shared" si="21"/>
        <v>-4.0000000000000001E-3</v>
      </c>
      <c r="HM57" s="77"/>
      <c r="HN57" s="77"/>
      <c r="HO57" s="77"/>
      <c r="HP57" s="56"/>
      <c r="HQ57" s="55"/>
      <c r="LN57" s="473">
        <f t="shared" si="22"/>
        <v>0</v>
      </c>
    </row>
    <row r="58" spans="1:326">
      <c r="A58" s="1164"/>
      <c r="B58" s="42"/>
      <c r="C58" s="42"/>
      <c r="D58" s="42"/>
      <c r="E58" s="42"/>
      <c r="F58" s="42"/>
      <c r="G58" s="42"/>
      <c r="H58" s="42"/>
      <c r="I58" s="42"/>
      <c r="J58" s="42"/>
      <c r="K58" s="42"/>
      <c r="L58" s="42"/>
      <c r="M58" s="42"/>
      <c r="N58" s="42"/>
      <c r="O58" s="42"/>
      <c r="P58" s="627" t="s">
        <v>66</v>
      </c>
      <c r="Q58" s="35">
        <v>1.4E-2</v>
      </c>
      <c r="R58" s="35">
        <v>1.4E-2</v>
      </c>
      <c r="S58" s="34">
        <v>1.4E-2</v>
      </c>
      <c r="T58" s="34">
        <v>1.4E-2</v>
      </c>
      <c r="U58" s="35">
        <v>1.4E-2</v>
      </c>
      <c r="V58" s="35">
        <v>1.4E-2</v>
      </c>
      <c r="W58" s="35">
        <v>1.4E-2</v>
      </c>
      <c r="X58" s="35">
        <v>1.4E-2</v>
      </c>
      <c r="Y58" s="35">
        <v>1.4E-2</v>
      </c>
      <c r="Z58" s="35">
        <v>1.4E-2</v>
      </c>
      <c r="AA58" s="35">
        <v>1.4E-2</v>
      </c>
      <c r="AB58" s="35">
        <v>1.4E-2</v>
      </c>
      <c r="AC58" s="35">
        <v>1.4E-2</v>
      </c>
      <c r="AD58" s="35">
        <v>1.4E-2</v>
      </c>
      <c r="AE58" s="35">
        <v>1.4E-2</v>
      </c>
      <c r="AF58" s="35">
        <v>1.4E-2</v>
      </c>
      <c r="AG58" s="35">
        <v>1.4E-2</v>
      </c>
      <c r="AH58" s="35">
        <v>1.4E-2</v>
      </c>
      <c r="AI58" s="35">
        <v>1.4E-2</v>
      </c>
      <c r="AJ58" s="35">
        <v>1.4E-2</v>
      </c>
      <c r="AK58" s="35">
        <v>1.4E-2</v>
      </c>
      <c r="AL58" s="34">
        <v>1.4E-2</v>
      </c>
      <c r="AM58" s="47">
        <v>1.4999999999999999E-2</v>
      </c>
      <c r="AN58" s="47">
        <v>1.4999999999999999E-2</v>
      </c>
      <c r="AO58" s="47">
        <v>1.4999999999999999E-2</v>
      </c>
      <c r="AP58" s="47">
        <v>1.4999999999999999E-2</v>
      </c>
      <c r="AQ58" s="47">
        <v>1.4999999999999999E-2</v>
      </c>
      <c r="AR58" s="47">
        <v>1.4999999999999999E-2</v>
      </c>
      <c r="AS58" s="47">
        <v>1.4999999999999999E-2</v>
      </c>
      <c r="AT58" s="47">
        <v>1.4999999999999999E-2</v>
      </c>
      <c r="AU58" s="47">
        <v>1.4999999999999999E-2</v>
      </c>
      <c r="AV58" s="47">
        <v>1.4999999999999999E-2</v>
      </c>
      <c r="AW58" s="48">
        <v>1.4999999999999999E-2</v>
      </c>
      <c r="AX58" s="47">
        <v>1.55E-2</v>
      </c>
      <c r="AY58" s="47">
        <v>1.55E-2</v>
      </c>
      <c r="AZ58" s="48">
        <v>1.55E-2</v>
      </c>
      <c r="BA58" s="47">
        <v>1.55E-2</v>
      </c>
      <c r="BB58" s="47">
        <v>1.55E-2</v>
      </c>
      <c r="BC58" s="47">
        <v>1.55E-2</v>
      </c>
      <c r="BD58" s="47">
        <v>1.55E-2</v>
      </c>
      <c r="BE58" s="47">
        <v>1.55E-2</v>
      </c>
      <c r="BF58" s="48">
        <v>1.55E-2</v>
      </c>
      <c r="BG58" s="47">
        <v>1.6500000000000001E-2</v>
      </c>
      <c r="BH58" s="47">
        <v>1.6500000000000001E-2</v>
      </c>
      <c r="BI58" s="44">
        <v>1.6500000000000001E-2</v>
      </c>
      <c r="BJ58" s="44">
        <v>1.6500000000000001E-2</v>
      </c>
      <c r="BK58" s="44">
        <v>2.0500000000000001E-2</v>
      </c>
      <c r="BL58" s="44">
        <v>2.0500000000000001E-2</v>
      </c>
      <c r="BM58" s="44">
        <v>2.0500000000000001E-2</v>
      </c>
      <c r="BN58" s="44">
        <v>2.0500000000000001E-2</v>
      </c>
      <c r="BO58" s="44">
        <v>2.0500000000000001E-2</v>
      </c>
      <c r="BP58" s="44">
        <v>2.0500000000000001E-2</v>
      </c>
      <c r="BQ58" s="44">
        <v>2.0500000000000001E-2</v>
      </c>
      <c r="BR58" s="44">
        <v>2.0500000000000001E-2</v>
      </c>
      <c r="BS58" s="44">
        <v>2.1999999999999999E-2</v>
      </c>
      <c r="BT58" s="44">
        <v>2.1999999999999999E-2</v>
      </c>
      <c r="BU58" s="44">
        <v>2.1999999999999999E-2</v>
      </c>
      <c r="BV58" s="44">
        <v>2.1999999999999999E-2</v>
      </c>
      <c r="BW58" s="44">
        <v>2.5000000000000001E-2</v>
      </c>
      <c r="BX58" s="44">
        <v>2.5000000000000001E-2</v>
      </c>
      <c r="BY58" s="44">
        <v>2.5000000000000001E-2</v>
      </c>
      <c r="BZ58" s="44">
        <v>2.5000000000000001E-2</v>
      </c>
      <c r="CA58" s="44">
        <v>2.5000000000000001E-2</v>
      </c>
      <c r="CB58" s="44">
        <v>2.5000000000000001E-2</v>
      </c>
      <c r="CC58" s="44">
        <v>2.5000000000000001E-2</v>
      </c>
      <c r="CD58" s="44">
        <v>2.5000000000000001E-2</v>
      </c>
      <c r="CE58" s="44">
        <v>2.5000000000000001E-2</v>
      </c>
      <c r="CF58" s="44">
        <v>1.7999999999999999E-2</v>
      </c>
      <c r="CG58" s="44">
        <v>1.7999999999999999E-2</v>
      </c>
      <c r="CH58" s="44">
        <v>1.7999999999999999E-2</v>
      </c>
      <c r="CI58" s="44">
        <v>1.7999999999999999E-2</v>
      </c>
      <c r="CJ58" s="44">
        <v>1.7999999999999999E-2</v>
      </c>
      <c r="CK58" s="44">
        <v>1.7999999999999999E-2</v>
      </c>
      <c r="CL58" s="44">
        <v>1.7999999999999999E-2</v>
      </c>
      <c r="CM58" s="44">
        <v>1.7999999999999999E-2</v>
      </c>
      <c r="CN58" s="44">
        <v>1.7999999999999999E-2</v>
      </c>
      <c r="CO58" s="44">
        <v>1.7999999999999999E-2</v>
      </c>
      <c r="CP58" s="44">
        <v>1.7999999999999999E-2</v>
      </c>
      <c r="CQ58" s="44">
        <v>1.7999999999999999E-2</v>
      </c>
      <c r="CR58" s="44">
        <v>1.9E-2</v>
      </c>
      <c r="CS58" s="44">
        <v>1.9E-2</v>
      </c>
      <c r="CT58" s="44">
        <v>1.55E-2</v>
      </c>
      <c r="CU58" s="44">
        <v>2.2499999999999999E-2</v>
      </c>
      <c r="CV58" s="44">
        <v>2.2499999999999999E-2</v>
      </c>
      <c r="CW58" s="44">
        <v>2.2499999999999999E-2</v>
      </c>
      <c r="CX58" s="44">
        <v>2.2499999999999999E-2</v>
      </c>
      <c r="CY58" s="44">
        <v>2.2499999999999999E-2</v>
      </c>
      <c r="CZ58" s="44">
        <v>2.2499999999999999E-2</v>
      </c>
      <c r="DA58" s="44">
        <v>2.2499999999999999E-2</v>
      </c>
      <c r="DB58" s="44">
        <v>2.2499999999999999E-2</v>
      </c>
      <c r="DC58" s="44">
        <v>2.2499999999999999E-2</v>
      </c>
      <c r="DD58" s="44">
        <v>2.2499999999999999E-2</v>
      </c>
      <c r="DE58" s="44">
        <v>2.2499999999999999E-2</v>
      </c>
      <c r="DF58" s="44">
        <v>2.2499999999999999E-2</v>
      </c>
      <c r="DG58" s="44">
        <v>2.2499999999999999E-2</v>
      </c>
      <c r="DH58" s="44">
        <v>2.2499999999999999E-2</v>
      </c>
      <c r="DI58" s="44">
        <v>2.2499999999999999E-2</v>
      </c>
      <c r="DJ58" s="44">
        <v>2.2499999999999999E-2</v>
      </c>
      <c r="DK58" s="44">
        <v>2.2499999999999999E-2</v>
      </c>
      <c r="DL58" s="44">
        <v>2.2499999999999999E-2</v>
      </c>
      <c r="DM58" s="44">
        <v>2.2499999999999999E-2</v>
      </c>
      <c r="DN58" s="44">
        <v>2.2499999999999999E-2</v>
      </c>
      <c r="DO58" s="44">
        <v>2.2499999999999999E-2</v>
      </c>
      <c r="DP58" s="44">
        <v>2.2499999999999999E-2</v>
      </c>
      <c r="DQ58" s="44">
        <v>2.2499999999999999E-2</v>
      </c>
      <c r="DR58" s="44">
        <v>2.2499999999999999E-2</v>
      </c>
      <c r="DS58" s="45">
        <v>2.3E-2</v>
      </c>
      <c r="DT58" s="46">
        <v>2.2499999999999999E-2</v>
      </c>
      <c r="DU58" s="46">
        <v>2.2499999999999999E-2</v>
      </c>
      <c r="DV58" s="46">
        <v>2.2499999999999999E-2</v>
      </c>
      <c r="DW58" s="46">
        <v>2.2499999999999999E-2</v>
      </c>
      <c r="DX58" s="46">
        <v>2.2499999999999999E-2</v>
      </c>
      <c r="DY58" s="46">
        <v>2.2499999999999999E-2</v>
      </c>
      <c r="DZ58" s="46">
        <v>2.2499999999999999E-2</v>
      </c>
      <c r="EA58" s="46">
        <v>2.2499999999999999E-2</v>
      </c>
      <c r="EB58" s="46">
        <v>2.2499999999999999E-2</v>
      </c>
      <c r="EC58" s="46">
        <v>2.2499999999999999E-2</v>
      </c>
      <c r="ED58" s="46">
        <v>2.2499999999999999E-2</v>
      </c>
      <c r="EE58" s="46">
        <v>2.2499999999999999E-2</v>
      </c>
      <c r="EF58" s="46">
        <v>2.2499999999999999E-2</v>
      </c>
      <c r="EG58" s="46">
        <v>2.2499999999999999E-2</v>
      </c>
      <c r="EH58" s="46">
        <v>2.2499999999999999E-2</v>
      </c>
      <c r="EI58" s="46">
        <v>2.2499999999999999E-2</v>
      </c>
      <c r="EJ58" s="46">
        <v>2.2499999999999999E-2</v>
      </c>
      <c r="EK58" s="46">
        <v>2.2499999999999999E-2</v>
      </c>
      <c r="EL58" s="46">
        <v>2.2499999999999999E-2</v>
      </c>
      <c r="EM58" s="46">
        <v>2.2499999999999999E-2</v>
      </c>
      <c r="EN58" s="46">
        <v>2.2499999999999999E-2</v>
      </c>
      <c r="EO58" s="46">
        <v>2.2499999999999999E-2</v>
      </c>
      <c r="EP58" s="46">
        <v>2.2499999999999999E-2</v>
      </c>
      <c r="EQ58" s="46">
        <v>2.2499999999999999E-2</v>
      </c>
      <c r="ER58" s="46">
        <v>2.2499999999999999E-2</v>
      </c>
      <c r="ES58" s="46">
        <v>2.2499999999999999E-2</v>
      </c>
      <c r="ET58" s="46">
        <v>2.2499999999999999E-2</v>
      </c>
      <c r="EU58" s="46">
        <v>2.2499999999999999E-2</v>
      </c>
      <c r="EV58" s="46">
        <v>2.2499999999999999E-2</v>
      </c>
      <c r="EW58" s="46">
        <v>2.2499999999999999E-2</v>
      </c>
      <c r="EX58" s="46">
        <v>2.2499999999999999E-2</v>
      </c>
      <c r="EY58" s="46">
        <v>2.2499999999999999E-2</v>
      </c>
      <c r="EZ58" s="46">
        <v>2.2499999999999999E-2</v>
      </c>
      <c r="FA58" s="46">
        <v>2.2499999999999999E-2</v>
      </c>
      <c r="FB58" s="46">
        <v>2.2499999999999999E-2</v>
      </c>
      <c r="FC58" s="46">
        <v>2.2499999999999999E-2</v>
      </c>
      <c r="FD58" s="46">
        <v>2.2499999999999999E-2</v>
      </c>
      <c r="FE58" s="46">
        <v>2.2499999999999999E-2</v>
      </c>
      <c r="FF58" s="45">
        <v>2.2499999999999999E-2</v>
      </c>
      <c r="FG58" s="44">
        <v>2.2499999999999999E-2</v>
      </c>
      <c r="FH58" s="44">
        <v>2.3E-2</v>
      </c>
      <c r="FI58" s="44">
        <v>2.3E-2</v>
      </c>
      <c r="FJ58" s="44">
        <v>2.3E-2</v>
      </c>
      <c r="FK58" s="44">
        <v>2.3E-2</v>
      </c>
      <c r="FL58" s="44">
        <v>2.3E-2</v>
      </c>
      <c r="FM58" s="44">
        <v>2.3E-2</v>
      </c>
      <c r="FN58" s="44">
        <v>2.3E-2</v>
      </c>
      <c r="FO58" s="44">
        <v>2.3E-2</v>
      </c>
      <c r="FP58" s="44">
        <v>2.3E-2</v>
      </c>
      <c r="FQ58" s="44">
        <v>2.3E-2</v>
      </c>
      <c r="FR58" s="44">
        <v>2.1999999999999999E-2</v>
      </c>
      <c r="FS58" s="44">
        <v>2.1999999999999999E-2</v>
      </c>
      <c r="FT58" s="44">
        <v>2.1999999999999999E-2</v>
      </c>
      <c r="FU58" s="44">
        <v>2.1999999999999999E-2</v>
      </c>
      <c r="FV58" s="44">
        <v>2.1999999999999999E-2</v>
      </c>
      <c r="FW58" s="44">
        <v>2.1999999999999999E-2</v>
      </c>
      <c r="FX58" s="44">
        <v>2.1999999999999999E-2</v>
      </c>
      <c r="FY58" s="44">
        <v>2.1999999999999999E-2</v>
      </c>
      <c r="FZ58" s="44">
        <v>2.1999999999999999E-2</v>
      </c>
      <c r="GA58" s="44">
        <v>2.1999999999999999E-2</v>
      </c>
      <c r="GB58" s="44">
        <v>2.1999999999999999E-2</v>
      </c>
      <c r="GC58" s="44">
        <v>2.1999999999999999E-2</v>
      </c>
      <c r="GD58" s="44">
        <v>2.1999999999999999E-2</v>
      </c>
      <c r="GE58" s="44">
        <v>2.1999999999999999E-2</v>
      </c>
      <c r="GF58" s="44">
        <v>2.1999999999999999E-2</v>
      </c>
      <c r="GG58" s="44">
        <v>2.1999999999999999E-2</v>
      </c>
      <c r="GH58" s="44">
        <v>2.1999999999999999E-2</v>
      </c>
      <c r="GI58" s="44">
        <v>2.1999999999999999E-2</v>
      </c>
      <c r="GJ58" s="44">
        <v>2.1999999999999999E-2</v>
      </c>
      <c r="GK58" s="44">
        <v>2.1999999999999999E-2</v>
      </c>
      <c r="GL58" s="44">
        <v>2.1999999999999999E-2</v>
      </c>
      <c r="GM58" s="44">
        <v>2.1999999999999999E-2</v>
      </c>
      <c r="GN58" s="44">
        <v>2.1999999999999999E-2</v>
      </c>
      <c r="GO58" s="44">
        <v>2.1999999999999999E-2</v>
      </c>
      <c r="GP58" s="44">
        <v>2.1999999999999999E-2</v>
      </c>
      <c r="GQ58" s="44">
        <v>2.1999999999999999E-2</v>
      </c>
      <c r="GR58" s="44">
        <v>2.1999999999999999E-2</v>
      </c>
      <c r="GS58" s="43">
        <v>2.35E-2</v>
      </c>
      <c r="GT58" s="43">
        <v>2.5000000000000001E-2</v>
      </c>
      <c r="GU58" s="43">
        <v>2.5000000000000001E-2</v>
      </c>
      <c r="GV58" s="43">
        <v>2.5000000000000001E-2</v>
      </c>
      <c r="GW58" s="42" t="s">
        <v>69</v>
      </c>
      <c r="GX58" s="42" t="s">
        <v>69</v>
      </c>
      <c r="GY58" s="42" t="s">
        <v>69</v>
      </c>
      <c r="GZ58" s="42" t="s">
        <v>69</v>
      </c>
      <c r="HA58" s="42" t="s">
        <v>68</v>
      </c>
      <c r="HB58" s="42" t="s">
        <v>68</v>
      </c>
      <c r="HC58" s="42" t="s">
        <v>68</v>
      </c>
      <c r="HD58" s="42" t="s">
        <v>68</v>
      </c>
      <c r="HE58" s="42" t="s">
        <v>68</v>
      </c>
      <c r="HF58" s="42" t="s">
        <v>68</v>
      </c>
      <c r="HG58" s="42" t="s">
        <v>68</v>
      </c>
      <c r="HH58" s="42" t="s">
        <v>68</v>
      </c>
      <c r="HI58" s="42" t="s">
        <v>68</v>
      </c>
      <c r="HJ58" s="42" t="s">
        <v>67</v>
      </c>
      <c r="HK58" s="42" t="s">
        <v>67</v>
      </c>
      <c r="HL58" s="41">
        <f t="shared" si="21"/>
        <v>-4.0000000000000001E-3</v>
      </c>
      <c r="HM58" s="77" t="s">
        <v>67</v>
      </c>
      <c r="HN58" s="77" t="s">
        <v>67</v>
      </c>
      <c r="HO58" s="77" t="s">
        <v>67</v>
      </c>
      <c r="HP58" s="56">
        <v>0</v>
      </c>
      <c r="HQ58" s="55"/>
      <c r="LN58" s="473">
        <f t="shared" si="22"/>
        <v>0</v>
      </c>
    </row>
    <row r="59" spans="1:326" ht="14.7" customHeight="1">
      <c r="A59" s="40" t="s">
        <v>12</v>
      </c>
      <c r="B59" s="27"/>
      <c r="C59" s="27"/>
      <c r="D59" s="27"/>
      <c r="E59" s="27"/>
      <c r="F59" s="27"/>
      <c r="G59" s="27"/>
      <c r="H59" s="27"/>
      <c r="I59" s="27"/>
      <c r="J59" s="27"/>
      <c r="K59" s="27"/>
      <c r="L59" s="27"/>
      <c r="M59" s="27"/>
      <c r="N59" s="27"/>
      <c r="O59" s="27"/>
      <c r="P59" s="38" t="s">
        <v>65</v>
      </c>
      <c r="Q59" s="38">
        <v>8.5000000000000006E-3</v>
      </c>
      <c r="R59" s="38">
        <v>8.5000000000000006E-3</v>
      </c>
      <c r="S59" s="38">
        <v>8.5000000000000006E-3</v>
      </c>
      <c r="T59" s="38">
        <v>8.5000000000000006E-3</v>
      </c>
      <c r="U59" s="38">
        <v>8.5000000000000006E-3</v>
      </c>
      <c r="V59" s="38">
        <v>8.5000000000000006E-3</v>
      </c>
      <c r="W59" s="38">
        <v>8.5000000000000006E-3</v>
      </c>
      <c r="X59" s="38">
        <v>8.5000000000000006E-3</v>
      </c>
      <c r="Y59" s="38">
        <v>8.5000000000000006E-3</v>
      </c>
      <c r="Z59" s="38">
        <v>8.5000000000000006E-3</v>
      </c>
      <c r="AA59" s="39">
        <v>8.5000000000000006E-3</v>
      </c>
      <c r="AB59" s="39">
        <v>1.15E-2</v>
      </c>
      <c r="AC59" s="38">
        <v>8.5000000000000006E-3</v>
      </c>
      <c r="AD59" s="38">
        <v>8.5000000000000006E-3</v>
      </c>
      <c r="AE59" s="38">
        <v>8.5000000000000006E-3</v>
      </c>
      <c r="AF59" s="38">
        <v>8.5000000000000006E-3</v>
      </c>
      <c r="AG59" s="27">
        <v>8.5000000000000006E-3</v>
      </c>
      <c r="AH59" s="27">
        <v>8.5000000000000006E-3</v>
      </c>
      <c r="AI59" s="27">
        <v>8.5000000000000006E-3</v>
      </c>
      <c r="AJ59" s="38">
        <v>8.5000000000000006E-3</v>
      </c>
      <c r="AK59" s="38">
        <v>8.5000000000000006E-3</v>
      </c>
      <c r="AL59" s="38">
        <v>8.5000000000000006E-3</v>
      </c>
      <c r="AM59" s="38">
        <v>8.5000000000000006E-3</v>
      </c>
      <c r="AN59" s="38">
        <v>8.5000000000000006E-3</v>
      </c>
      <c r="AO59" s="38">
        <v>8.5000000000000006E-3</v>
      </c>
      <c r="AP59" s="38">
        <v>8.5000000000000006E-3</v>
      </c>
      <c r="AQ59" s="38">
        <v>8.5000000000000006E-3</v>
      </c>
      <c r="AR59" s="38">
        <v>8.5000000000000006E-3</v>
      </c>
      <c r="AS59" s="38">
        <v>8.5000000000000006E-3</v>
      </c>
      <c r="AT59" s="38">
        <v>8.5000000000000006E-3</v>
      </c>
      <c r="AU59" s="38">
        <v>8.5000000000000006E-3</v>
      </c>
      <c r="AV59" s="38">
        <v>8.5000000000000006E-3</v>
      </c>
      <c r="AW59" s="38">
        <v>8.5000000000000006E-3</v>
      </c>
      <c r="AX59" s="38">
        <v>8.5000000000000006E-3</v>
      </c>
      <c r="AY59" s="27">
        <v>8.5000000000000006E-3</v>
      </c>
      <c r="AZ59" s="38">
        <v>8.5000000000000006E-3</v>
      </c>
      <c r="BA59" s="38">
        <v>8.5000000000000006E-3</v>
      </c>
      <c r="BB59" s="38">
        <v>8.5000000000000006E-3</v>
      </c>
      <c r="BC59" s="38">
        <v>8.5000000000000006E-3</v>
      </c>
      <c r="BD59" s="39">
        <v>8.5000000000000006E-3</v>
      </c>
      <c r="BE59" s="38">
        <v>8.9999999999999993E-3</v>
      </c>
      <c r="BF59" s="38">
        <v>8.9999999999999993E-3</v>
      </c>
      <c r="BG59" s="38">
        <v>8.9999999999999993E-3</v>
      </c>
      <c r="BH59" s="38">
        <v>8.9999999999999993E-3</v>
      </c>
      <c r="BI59" s="27">
        <v>8.9999999999999993E-3</v>
      </c>
      <c r="BJ59" s="27"/>
      <c r="BK59" s="24"/>
      <c r="BL59" s="24"/>
      <c r="BM59" s="24"/>
      <c r="BN59" s="24"/>
      <c r="BO59" s="24"/>
      <c r="BP59" s="24"/>
      <c r="BQ59" s="24"/>
      <c r="BR59" s="24"/>
      <c r="BS59" s="24"/>
      <c r="BT59" s="24"/>
      <c r="BU59" s="24"/>
      <c r="BV59" s="24"/>
      <c r="BW59" s="24"/>
      <c r="BX59" s="24"/>
      <c r="BY59" s="24"/>
      <c r="BZ59" s="24"/>
      <c r="CA59" s="24"/>
      <c r="CB59" s="24"/>
      <c r="CC59" s="24"/>
      <c r="CD59" s="24"/>
      <c r="CE59" s="24"/>
      <c r="CF59" s="24"/>
      <c r="CG59" s="24"/>
      <c r="CH59" s="24"/>
      <c r="CI59" s="24"/>
      <c r="CJ59" s="24"/>
      <c r="CK59" s="24"/>
      <c r="CL59" s="24"/>
      <c r="CM59" s="24"/>
      <c r="CN59" s="24"/>
      <c r="CO59" s="24"/>
      <c r="CP59" s="24"/>
      <c r="CQ59" s="24"/>
      <c r="CR59" s="24"/>
      <c r="CS59" s="24"/>
      <c r="CT59" s="24"/>
      <c r="CU59" s="24"/>
      <c r="CV59" s="24"/>
      <c r="CW59" s="24"/>
      <c r="CX59" s="24"/>
      <c r="CY59" s="24"/>
      <c r="CZ59" s="24"/>
      <c r="DA59" s="24"/>
      <c r="DB59" s="24"/>
      <c r="DC59" s="24"/>
      <c r="DD59" s="24"/>
      <c r="DE59" s="24"/>
      <c r="DF59" s="24"/>
      <c r="DG59" s="24"/>
      <c r="DH59" s="24"/>
      <c r="DI59" s="24"/>
      <c r="DJ59" s="24"/>
      <c r="DK59" s="24"/>
      <c r="DL59" s="24"/>
      <c r="DM59" s="24"/>
      <c r="DN59" s="24"/>
      <c r="DO59" s="24"/>
      <c r="DP59" s="24"/>
      <c r="DQ59" s="25"/>
      <c r="DR59" s="25"/>
      <c r="DS59" s="25"/>
      <c r="DT59" s="24"/>
      <c r="DU59" s="24"/>
      <c r="DV59" s="24"/>
      <c r="DW59" s="24"/>
      <c r="DX59" s="24"/>
      <c r="DY59" s="24"/>
      <c r="DZ59" s="24"/>
      <c r="EA59" s="24"/>
      <c r="EB59" s="24"/>
      <c r="EC59" s="24"/>
      <c r="ED59" s="24"/>
      <c r="EE59" s="24"/>
      <c r="EF59" s="24"/>
      <c r="EG59" s="24"/>
      <c r="EH59" s="24"/>
      <c r="EI59" s="24"/>
      <c r="EJ59" s="24"/>
      <c r="EK59" s="24"/>
      <c r="EL59" s="24"/>
      <c r="EM59" s="24"/>
      <c r="EN59" s="24"/>
      <c r="EO59" s="24"/>
      <c r="EP59" s="24"/>
      <c r="EQ59" s="24"/>
      <c r="ER59" s="24"/>
      <c r="ES59" s="24"/>
      <c r="ET59" s="24"/>
      <c r="EU59" s="24"/>
      <c r="EV59" s="24"/>
      <c r="EW59" s="24"/>
      <c r="EX59" s="24"/>
      <c r="EY59" s="24"/>
      <c r="EZ59" s="24"/>
      <c r="FA59" s="24"/>
      <c r="FB59" s="24"/>
      <c r="FC59" s="24"/>
      <c r="FD59" s="24"/>
      <c r="FE59" s="24"/>
      <c r="FF59" s="24"/>
      <c r="FG59" s="24"/>
      <c r="FH59" s="24"/>
      <c r="FI59" s="24"/>
      <c r="FJ59" s="24"/>
      <c r="FK59" s="24"/>
      <c r="FL59" s="24"/>
      <c r="FM59" s="24"/>
      <c r="FN59" s="24"/>
      <c r="FO59" s="24"/>
      <c r="FP59" s="24"/>
      <c r="FQ59" s="24"/>
      <c r="FR59" s="24"/>
      <c r="FS59" s="24"/>
      <c r="FT59" s="24"/>
      <c r="FU59" s="24"/>
      <c r="FV59" s="24"/>
      <c r="FW59" s="24"/>
      <c r="FX59" s="24"/>
      <c r="FY59" s="24"/>
      <c r="FZ59" s="24"/>
      <c r="GA59" s="24"/>
      <c r="GB59" s="24"/>
      <c r="GC59" s="24"/>
      <c r="GD59" s="24"/>
      <c r="GE59" s="24"/>
      <c r="GF59" s="24"/>
      <c r="GG59" s="24"/>
      <c r="GH59" s="24"/>
      <c r="GI59" s="24"/>
      <c r="GJ59" s="24"/>
      <c r="GK59" s="24"/>
      <c r="GL59" s="24"/>
      <c r="GM59" s="24"/>
      <c r="GN59" s="24"/>
      <c r="GO59" s="24"/>
      <c r="GP59" s="24"/>
      <c r="GQ59" s="24"/>
      <c r="GR59" s="24"/>
      <c r="GS59" s="23"/>
      <c r="GT59" s="23"/>
      <c r="GU59" s="23"/>
      <c r="GV59" s="23"/>
      <c r="GW59" s="22"/>
      <c r="GX59" s="22"/>
      <c r="GY59" s="22"/>
      <c r="GZ59" s="22"/>
      <c r="HA59" s="22"/>
      <c r="HB59" s="22"/>
      <c r="HC59" s="22"/>
      <c r="HD59" s="22"/>
      <c r="HE59" s="22"/>
      <c r="HF59" s="22"/>
      <c r="HG59" s="22"/>
      <c r="HH59" s="22"/>
      <c r="HI59" s="22"/>
      <c r="HJ59" s="22"/>
      <c r="HK59" s="22"/>
      <c r="HL59" s="21"/>
      <c r="HM59" s="19"/>
      <c r="HN59" s="19"/>
      <c r="HO59" s="19"/>
      <c r="HP59" s="20"/>
      <c r="HQ59" s="19"/>
      <c r="HR59" s="16"/>
      <c r="HS59" s="16"/>
      <c r="HT59" s="18"/>
      <c r="HU59" s="16"/>
      <c r="HV59" s="16"/>
      <c r="HW59" s="16"/>
      <c r="HX59" s="15"/>
      <c r="HY59" s="15"/>
      <c r="HZ59" s="15"/>
      <c r="IA59" s="15"/>
      <c r="IB59" s="15"/>
      <c r="IC59" s="16"/>
      <c r="ID59" s="16"/>
      <c r="IE59" s="15"/>
      <c r="IF59" s="15"/>
      <c r="IG59" s="15"/>
      <c r="IH59" s="15"/>
      <c r="II59" s="15"/>
      <c r="IJ59" s="15"/>
      <c r="IK59" s="15"/>
      <c r="IL59" s="15"/>
      <c r="IM59" s="15"/>
      <c r="IN59" s="15"/>
      <c r="IO59" s="15"/>
      <c r="IP59" s="17"/>
      <c r="IQ59" s="15"/>
      <c r="IR59" s="15"/>
      <c r="IS59" s="15"/>
      <c r="IT59" s="15"/>
      <c r="IU59" s="15"/>
      <c r="IV59" s="15"/>
      <c r="IW59" s="15"/>
      <c r="IX59" s="15"/>
      <c r="IY59" s="15"/>
      <c r="IZ59" s="15"/>
      <c r="JA59" s="15"/>
      <c r="JB59" s="15"/>
      <c r="JC59" s="15"/>
      <c r="JD59" s="15"/>
      <c r="JE59" s="15"/>
      <c r="JF59" s="15"/>
      <c r="JG59" s="15"/>
      <c r="JH59" s="15"/>
      <c r="JI59" s="15"/>
      <c r="JJ59" s="15"/>
      <c r="JK59" s="15"/>
      <c r="JL59" s="15"/>
      <c r="JM59" s="15"/>
      <c r="JN59" s="16"/>
      <c r="JO59" s="16"/>
      <c r="JP59" s="16"/>
      <c r="JQ59" s="16"/>
      <c r="JR59" s="16"/>
      <c r="JS59" s="16"/>
      <c r="JT59" s="16"/>
      <c r="JU59" s="16"/>
      <c r="JV59" s="16"/>
      <c r="JW59" s="16"/>
      <c r="JX59" s="16"/>
      <c r="JY59" s="16"/>
      <c r="JZ59" s="16"/>
      <c r="KA59" s="16"/>
      <c r="KB59" s="16"/>
      <c r="KC59" s="16"/>
      <c r="KD59" s="16"/>
      <c r="KE59" s="16"/>
      <c r="KF59" s="16"/>
      <c r="KG59" s="16"/>
      <c r="KH59" s="16"/>
      <c r="KI59" s="16"/>
      <c r="KJ59" s="16"/>
      <c r="KK59" s="16"/>
      <c r="KL59" s="16"/>
      <c r="KM59" s="16"/>
      <c r="KN59" s="16"/>
      <c r="KO59" s="16"/>
      <c r="KP59" s="16"/>
      <c r="KQ59" s="16"/>
      <c r="KR59" s="16"/>
      <c r="KS59" s="16"/>
      <c r="KT59" s="15"/>
      <c r="KU59" s="15"/>
      <c r="KV59" s="15"/>
      <c r="KW59" s="15"/>
      <c r="KX59" s="15"/>
      <c r="KY59" s="15"/>
      <c r="KZ59" s="15"/>
      <c r="LA59" s="15"/>
      <c r="LB59" s="15"/>
      <c r="LC59" s="15"/>
      <c r="LD59" s="15"/>
      <c r="LE59" s="15"/>
      <c r="LF59" s="15"/>
      <c r="LG59" s="15"/>
      <c r="LH59" s="15"/>
      <c r="LI59" s="15"/>
      <c r="LJ59" s="15"/>
      <c r="LK59" s="15"/>
      <c r="LL59" s="15"/>
      <c r="LM59" s="15"/>
      <c r="LN59" s="473">
        <f t="shared" si="22"/>
        <v>0</v>
      </c>
    </row>
    <row r="60" spans="1:326" ht="14.7" customHeight="1">
      <c r="A60" s="696" t="s">
        <v>29</v>
      </c>
      <c r="B60" s="37"/>
      <c r="C60" s="37"/>
      <c r="D60" s="37"/>
      <c r="E60" s="37"/>
      <c r="F60" s="37"/>
      <c r="G60" s="37"/>
      <c r="H60" s="37"/>
      <c r="I60" s="37"/>
      <c r="J60" s="37"/>
      <c r="K60" s="37"/>
      <c r="L60" s="37"/>
      <c r="M60" s="37"/>
      <c r="N60" s="37"/>
      <c r="O60" s="37"/>
      <c r="P60" s="738" t="s">
        <v>64</v>
      </c>
      <c r="Q60" s="590">
        <v>5.9870000000000001E-3</v>
      </c>
      <c r="R60" s="590">
        <v>5.9870000000000001E-3</v>
      </c>
      <c r="S60" s="590">
        <v>4.3049999999999998E-3</v>
      </c>
      <c r="T60" s="590">
        <v>4.6839999999999998E-3</v>
      </c>
      <c r="U60" s="590">
        <v>5.1900000000000002E-3</v>
      </c>
      <c r="V60" s="590">
        <v>7.4000000000000003E-3</v>
      </c>
      <c r="W60" s="590">
        <v>5.7999999999999996E-3</v>
      </c>
      <c r="X60" s="590">
        <v>7.9290000000000003E-3</v>
      </c>
      <c r="Y60" s="590">
        <v>6.613E-3</v>
      </c>
      <c r="Z60" s="590">
        <v>8.1069999999999996E-3</v>
      </c>
      <c r="AA60" s="590">
        <v>7.339E-3</v>
      </c>
      <c r="AB60" s="590">
        <v>4.9709999999999997E-3</v>
      </c>
      <c r="AC60" s="626">
        <v>5.3270000000000001E-3</v>
      </c>
      <c r="AD60" s="590">
        <v>8.4329999999999995E-3</v>
      </c>
      <c r="AE60" s="590">
        <v>5.7959999999999999E-3</v>
      </c>
      <c r="AF60" s="590">
        <v>8.8889999999999993E-3</v>
      </c>
      <c r="AG60" s="590">
        <v>6.4530000000000004E-3</v>
      </c>
      <c r="AH60" s="590">
        <v>5.9109999999999996E-3</v>
      </c>
      <c r="AI60" s="590">
        <v>7.8569999999999994E-3</v>
      </c>
      <c r="AJ60" s="48">
        <v>7.175E-3</v>
      </c>
      <c r="AK60" s="48">
        <v>7.7539999999999996E-3</v>
      </c>
      <c r="AL60" s="48">
        <v>6.0790000000000002E-3</v>
      </c>
      <c r="AM60" s="48">
        <v>6.0980000000000001E-3</v>
      </c>
      <c r="AN60" s="48">
        <v>7.1840000000000003E-3</v>
      </c>
      <c r="AO60" s="48">
        <v>6.1479999999999998E-3</v>
      </c>
      <c r="AP60" s="48">
        <v>5.8820000000000001E-3</v>
      </c>
      <c r="AQ60" s="48">
        <v>7.0679999999999996E-3</v>
      </c>
      <c r="AR60" s="48">
        <v>6.8539999999999998E-3</v>
      </c>
      <c r="AS60" s="48">
        <v>5.7080000000000004E-3</v>
      </c>
      <c r="AT60" s="460">
        <v>6.8799999999999998E-3</v>
      </c>
      <c r="AU60" s="34">
        <v>5.7229999999999998E-3</v>
      </c>
      <c r="AV60" s="34">
        <v>7.5469999999999999E-3</v>
      </c>
      <c r="AW60" s="34">
        <v>5.7390000000000002E-3</v>
      </c>
      <c r="AX60" s="34">
        <v>6.4440000000000001E-3</v>
      </c>
      <c r="AY60" s="34">
        <v>7.5940000000000001E-3</v>
      </c>
      <c r="AZ60" s="34">
        <v>5.6010000000000001E-3</v>
      </c>
      <c r="BA60" s="34">
        <v>6.796E-3</v>
      </c>
      <c r="BB60" s="34">
        <v>6.633E-3</v>
      </c>
      <c r="BC60" s="34">
        <v>5.6870000000000002E-3</v>
      </c>
      <c r="BD60" s="34">
        <v>6.679E-3</v>
      </c>
      <c r="BE60" s="34">
        <v>6.0780000000000001E-3</v>
      </c>
      <c r="BF60" s="34">
        <v>4.3829999999999997E-3</v>
      </c>
      <c r="BG60" s="35">
        <v>4.3750000000000004E-3</v>
      </c>
      <c r="BH60" s="34">
        <v>4.3750000000000004E-3</v>
      </c>
      <c r="BI60" s="34"/>
      <c r="BJ60" s="26"/>
      <c r="BK60" s="24"/>
      <c r="BL60" s="24"/>
      <c r="BM60" s="24"/>
      <c r="BN60" s="24"/>
      <c r="BO60" s="24"/>
      <c r="BP60" s="24"/>
      <c r="BQ60" s="24"/>
      <c r="BR60" s="24"/>
      <c r="BS60" s="24"/>
      <c r="BT60" s="24"/>
      <c r="BU60" s="24"/>
      <c r="BV60" s="24"/>
      <c r="BW60" s="24"/>
      <c r="BX60" s="24"/>
      <c r="BY60" s="24"/>
      <c r="BZ60" s="24"/>
      <c r="CA60" s="24"/>
      <c r="CB60" s="24"/>
      <c r="CC60" s="24"/>
      <c r="CD60" s="24"/>
      <c r="CE60" s="24"/>
      <c r="CF60" s="24"/>
      <c r="CG60" s="24"/>
      <c r="CH60" s="24"/>
      <c r="CI60" s="24"/>
      <c r="CJ60" s="24"/>
      <c r="CK60" s="24"/>
      <c r="CL60" s="24"/>
      <c r="CM60" s="24"/>
      <c r="CN60" s="24"/>
      <c r="CO60" s="24"/>
      <c r="CP60" s="24"/>
      <c r="CQ60" s="24"/>
      <c r="CR60" s="24"/>
      <c r="CS60" s="24"/>
      <c r="CT60" s="24"/>
      <c r="CU60" s="24"/>
      <c r="CV60" s="24"/>
      <c r="CW60" s="24"/>
      <c r="CX60" s="24"/>
      <c r="CY60" s="24"/>
      <c r="CZ60" s="24"/>
      <c r="DA60" s="24"/>
      <c r="DB60" s="24"/>
      <c r="DC60" s="24"/>
      <c r="DD60" s="24"/>
      <c r="DE60" s="24"/>
      <c r="DF60" s="24"/>
      <c r="DG60" s="24"/>
      <c r="DH60" s="24"/>
      <c r="DI60" s="24"/>
      <c r="DJ60" s="24"/>
      <c r="DK60" s="24"/>
      <c r="DL60" s="24"/>
      <c r="DM60" s="24"/>
      <c r="DN60" s="24"/>
      <c r="DO60" s="24"/>
      <c r="DP60" s="24"/>
      <c r="DQ60" s="25"/>
      <c r="DR60" s="25"/>
      <c r="DS60" s="25"/>
      <c r="DT60" s="24"/>
      <c r="DU60" s="24"/>
      <c r="DV60" s="24"/>
      <c r="DW60" s="24"/>
      <c r="DX60" s="24"/>
      <c r="DY60" s="24"/>
      <c r="DZ60" s="24"/>
      <c r="EA60" s="24"/>
      <c r="EB60" s="24"/>
      <c r="EC60" s="24"/>
      <c r="ED60" s="24"/>
      <c r="EE60" s="24"/>
      <c r="EF60" s="24"/>
      <c r="EG60" s="24"/>
      <c r="EH60" s="24"/>
      <c r="EI60" s="24"/>
      <c r="EJ60" s="24"/>
      <c r="EK60" s="24"/>
      <c r="EL60" s="24"/>
      <c r="EM60" s="24"/>
      <c r="EN60" s="24"/>
      <c r="EO60" s="24"/>
      <c r="EP60" s="24"/>
      <c r="EQ60" s="24"/>
      <c r="ER60" s="24"/>
      <c r="ES60" s="24"/>
      <c r="ET60" s="24"/>
      <c r="EU60" s="24"/>
      <c r="EV60" s="24"/>
      <c r="EW60" s="24"/>
      <c r="EX60" s="24"/>
      <c r="EY60" s="24"/>
      <c r="EZ60" s="24"/>
      <c r="FA60" s="24"/>
      <c r="FB60" s="24"/>
      <c r="FC60" s="24"/>
      <c r="FD60" s="24"/>
      <c r="FE60" s="24"/>
      <c r="FF60" s="24"/>
      <c r="FG60" s="24"/>
      <c r="FH60" s="24"/>
      <c r="FI60" s="24"/>
      <c r="FJ60" s="24"/>
      <c r="FK60" s="24"/>
      <c r="FL60" s="24"/>
      <c r="FM60" s="24"/>
      <c r="FN60" s="24"/>
      <c r="FO60" s="24"/>
      <c r="FP60" s="24"/>
      <c r="FQ60" s="24"/>
      <c r="FR60" s="24"/>
      <c r="FS60" s="24"/>
      <c r="FT60" s="24"/>
      <c r="FU60" s="24"/>
      <c r="FV60" s="24"/>
      <c r="FW60" s="24"/>
      <c r="FX60" s="24"/>
      <c r="FY60" s="24"/>
      <c r="FZ60" s="24"/>
      <c r="GA60" s="24"/>
      <c r="GB60" s="24"/>
      <c r="GC60" s="24"/>
      <c r="GD60" s="24"/>
      <c r="GE60" s="24"/>
      <c r="GF60" s="24"/>
      <c r="GG60" s="24"/>
      <c r="GH60" s="24"/>
      <c r="GI60" s="24"/>
      <c r="GJ60" s="24"/>
      <c r="GK60" s="24"/>
      <c r="GL60" s="24"/>
      <c r="GM60" s="24"/>
      <c r="GN60" s="24"/>
      <c r="GO60" s="24"/>
      <c r="GP60" s="24"/>
      <c r="GQ60" s="24"/>
      <c r="GR60" s="24"/>
      <c r="GS60" s="23"/>
      <c r="GT60" s="23"/>
      <c r="GU60" s="23"/>
      <c r="GV60" s="23"/>
      <c r="GW60" s="22"/>
      <c r="GX60" s="22"/>
      <c r="GY60" s="22"/>
      <c r="GZ60" s="22"/>
      <c r="HA60" s="22"/>
      <c r="HB60" s="22"/>
      <c r="HC60" s="22"/>
      <c r="HD60" s="22"/>
      <c r="HE60" s="22"/>
      <c r="HF60" s="22"/>
      <c r="HG60" s="22"/>
      <c r="HH60" s="22"/>
      <c r="HI60" s="22"/>
      <c r="HJ60" s="22"/>
      <c r="HK60" s="22"/>
      <c r="HL60" s="21"/>
      <c r="HM60" s="19"/>
      <c r="HN60" s="19"/>
      <c r="HO60" s="19"/>
      <c r="HP60" s="20"/>
      <c r="HQ60" s="19"/>
      <c r="HR60" s="16"/>
      <c r="HS60" s="16"/>
      <c r="HT60" s="18"/>
      <c r="HU60" s="16"/>
      <c r="HV60" s="16"/>
      <c r="HW60" s="16"/>
      <c r="HX60" s="15"/>
      <c r="HY60" s="15"/>
      <c r="HZ60" s="15"/>
      <c r="IA60" s="15"/>
      <c r="IB60" s="15"/>
      <c r="IC60" s="16"/>
      <c r="ID60" s="16"/>
      <c r="IE60" s="15"/>
      <c r="IF60" s="15"/>
      <c r="IG60" s="15"/>
      <c r="IH60" s="15"/>
      <c r="II60" s="15"/>
      <c r="IJ60" s="15"/>
      <c r="IK60" s="15"/>
      <c r="IL60" s="15"/>
      <c r="IM60" s="15"/>
      <c r="IN60" s="15"/>
      <c r="IO60" s="15"/>
      <c r="IP60" s="17"/>
      <c r="IQ60" s="15"/>
      <c r="IR60" s="15"/>
      <c r="IS60" s="15"/>
      <c r="IT60" s="15"/>
      <c r="IU60" s="15"/>
      <c r="IV60" s="15"/>
      <c r="IW60" s="15"/>
      <c r="IX60" s="15"/>
      <c r="IY60" s="15"/>
      <c r="IZ60" s="15"/>
      <c r="JA60" s="15"/>
      <c r="JB60" s="15"/>
      <c r="JC60" s="15"/>
      <c r="JD60" s="15"/>
      <c r="JE60" s="15"/>
      <c r="JF60" s="15"/>
      <c r="JG60" s="15"/>
      <c r="JH60" s="15"/>
      <c r="JI60" s="15"/>
      <c r="JJ60" s="15"/>
      <c r="JK60" s="15"/>
      <c r="JL60" s="15"/>
      <c r="JM60" s="15"/>
      <c r="JN60" s="16"/>
      <c r="JO60" s="16"/>
      <c r="JP60" s="16"/>
      <c r="JQ60" s="16"/>
      <c r="JR60" s="16"/>
      <c r="JS60" s="16"/>
      <c r="JT60" s="16"/>
      <c r="JU60" s="16"/>
      <c r="JV60" s="16"/>
      <c r="JW60" s="16"/>
      <c r="JX60" s="16"/>
      <c r="JY60" s="16"/>
      <c r="JZ60" s="16"/>
      <c r="KA60" s="16"/>
      <c r="KB60" s="16"/>
      <c r="KC60" s="16"/>
      <c r="KD60" s="16"/>
      <c r="KE60" s="16"/>
      <c r="KF60" s="16"/>
      <c r="KG60" s="16"/>
      <c r="KH60" s="16"/>
      <c r="KI60" s="16"/>
      <c r="KJ60" s="16"/>
      <c r="KK60" s="16"/>
      <c r="KL60" s="16"/>
      <c r="KM60" s="16"/>
      <c r="KN60" s="16"/>
      <c r="KO60" s="16"/>
      <c r="KP60" s="16"/>
      <c r="KQ60" s="16"/>
      <c r="KR60" s="16"/>
      <c r="KS60" s="16"/>
      <c r="KT60" s="15"/>
      <c r="KU60" s="15"/>
      <c r="KV60" s="15"/>
      <c r="KW60" s="15"/>
      <c r="KX60" s="15"/>
      <c r="KY60" s="15"/>
      <c r="KZ60" s="15"/>
      <c r="LA60" s="15"/>
      <c r="LB60" s="15"/>
      <c r="LC60" s="15"/>
      <c r="LD60" s="15"/>
      <c r="LE60" s="15"/>
      <c r="LF60" s="15"/>
      <c r="LG60" s="15"/>
      <c r="LH60" s="15"/>
      <c r="LI60" s="15"/>
      <c r="LJ60" s="15"/>
      <c r="LK60" s="15"/>
      <c r="LL60" s="15"/>
      <c r="LM60" s="15"/>
      <c r="LN60" s="473">
        <f t="shared" si="22"/>
        <v>0</v>
      </c>
    </row>
    <row r="61" spans="1:326" ht="14.7" customHeight="1">
      <c r="A61" s="1159" t="s">
        <v>50</v>
      </c>
      <c r="B61" s="32" t="s">
        <v>63</v>
      </c>
      <c r="C61" s="32"/>
      <c r="D61" s="32"/>
      <c r="E61" s="32"/>
      <c r="F61" s="32"/>
      <c r="G61" s="32"/>
      <c r="H61" s="32"/>
      <c r="I61" s="32"/>
      <c r="J61" s="32"/>
      <c r="K61" s="32"/>
      <c r="L61" s="32"/>
      <c r="M61" s="32"/>
      <c r="N61" s="33"/>
      <c r="O61" s="32"/>
      <c r="P61" s="29" t="s">
        <v>62</v>
      </c>
      <c r="Q61" s="29">
        <v>1.0999999999999999E-2</v>
      </c>
      <c r="R61" s="29">
        <v>1.0999999999999999E-2</v>
      </c>
      <c r="S61" s="29">
        <v>1.0999999999999999E-2</v>
      </c>
      <c r="T61" s="29">
        <v>1.0999999999999999E-2</v>
      </c>
      <c r="U61" s="29">
        <v>1.0999999999999999E-2</v>
      </c>
      <c r="V61" s="29">
        <v>1.0999999999999999E-2</v>
      </c>
      <c r="W61" s="29">
        <v>1.0999999999999999E-2</v>
      </c>
      <c r="X61" s="29">
        <v>1.0999999999999999E-2</v>
      </c>
      <c r="Y61" s="29">
        <v>1.0999999999999999E-2</v>
      </c>
      <c r="Z61" s="29">
        <v>1.0999999999999999E-2</v>
      </c>
      <c r="AA61" s="29">
        <v>1.0999999999999999E-2</v>
      </c>
      <c r="AB61" s="29">
        <v>1.0999999999999999E-2</v>
      </c>
      <c r="AC61" s="29">
        <v>1.0999999999999999E-2</v>
      </c>
      <c r="AD61" s="29">
        <v>1.0999999999999999E-2</v>
      </c>
      <c r="AE61" s="29">
        <v>1.0999999999999999E-2</v>
      </c>
      <c r="AF61" s="29">
        <v>1.0999999999999999E-2</v>
      </c>
      <c r="AG61" s="29">
        <v>1.0999999999999999E-2</v>
      </c>
      <c r="AH61" s="29">
        <v>1.0999999999999999E-2</v>
      </c>
      <c r="AI61" s="29">
        <v>1.0999999999999999E-2</v>
      </c>
      <c r="AJ61" s="29">
        <v>1.0999999999999999E-2</v>
      </c>
      <c r="AK61" s="29">
        <v>1.0999999999999999E-2</v>
      </c>
      <c r="AL61" s="29">
        <v>1.0999999999999999E-2</v>
      </c>
      <c r="AM61" s="29">
        <v>1.0999999999999999E-2</v>
      </c>
      <c r="AN61" s="29">
        <v>1.0999999999999999E-2</v>
      </c>
      <c r="AO61" s="29">
        <v>1.0999999999999999E-2</v>
      </c>
      <c r="AP61" s="29">
        <v>1.0999999999999999E-2</v>
      </c>
      <c r="AQ61" s="29">
        <v>1.0999999999999999E-2</v>
      </c>
      <c r="AR61" s="29">
        <v>1.0999999999999999E-2</v>
      </c>
      <c r="AS61" s="29">
        <v>1.0999999999999999E-2</v>
      </c>
      <c r="AT61" s="29">
        <v>1.0999999999999999E-2</v>
      </c>
      <c r="AU61" s="29">
        <v>1.0999999999999999E-2</v>
      </c>
      <c r="AV61" s="29">
        <v>1.0999999999999999E-2</v>
      </c>
      <c r="AW61" s="29">
        <v>1.0999999999999999E-2</v>
      </c>
      <c r="AX61" s="29">
        <v>1.0999999999999999E-2</v>
      </c>
      <c r="AY61" s="30">
        <v>1.0999999999999999E-2</v>
      </c>
      <c r="AZ61" s="29">
        <v>1.0999999999999999E-2</v>
      </c>
      <c r="BA61" s="29">
        <v>1.0999999999999999E-2</v>
      </c>
      <c r="BB61" s="29">
        <v>1.0999999999999999E-2</v>
      </c>
      <c r="BC61" s="29">
        <v>1.0999999999999999E-2</v>
      </c>
      <c r="BD61" s="29">
        <v>1.0999999999999999E-2</v>
      </c>
      <c r="BE61" s="29">
        <v>1.0999999999999999E-2</v>
      </c>
      <c r="BF61" s="29">
        <v>1.0999999999999999E-2</v>
      </c>
      <c r="BG61" s="29">
        <v>1.0999999999999999E-2</v>
      </c>
      <c r="BH61" s="28">
        <v>1.0999999999999999E-2</v>
      </c>
      <c r="BI61" s="27"/>
      <c r="BJ61" s="26"/>
      <c r="BK61" s="24"/>
      <c r="BL61" s="24"/>
      <c r="BM61" s="24"/>
      <c r="BN61" s="24"/>
      <c r="BO61" s="24"/>
      <c r="BP61" s="24"/>
      <c r="BQ61" s="24"/>
      <c r="BR61" s="24"/>
      <c r="BS61" s="24"/>
      <c r="BT61" s="24"/>
      <c r="BU61" s="24"/>
      <c r="BV61" s="24"/>
      <c r="BW61" s="24"/>
      <c r="BX61" s="24"/>
      <c r="BY61" s="24"/>
      <c r="BZ61" s="24"/>
      <c r="CA61" s="24"/>
      <c r="CB61" s="24"/>
      <c r="CC61" s="24"/>
      <c r="CD61" s="24"/>
      <c r="CE61" s="24"/>
      <c r="CF61" s="24"/>
      <c r="CG61" s="24"/>
      <c r="CH61" s="24"/>
      <c r="CI61" s="24"/>
      <c r="CJ61" s="24"/>
      <c r="CK61" s="24"/>
      <c r="CL61" s="24"/>
      <c r="CM61" s="24"/>
      <c r="CN61" s="24"/>
      <c r="CO61" s="24"/>
      <c r="CP61" s="24"/>
      <c r="CQ61" s="24"/>
      <c r="CR61" s="24"/>
      <c r="CS61" s="24"/>
      <c r="CT61" s="24"/>
      <c r="CU61" s="24"/>
      <c r="CV61" s="24"/>
      <c r="CW61" s="24"/>
      <c r="CX61" s="24"/>
      <c r="CY61" s="24"/>
      <c r="CZ61" s="24"/>
      <c r="DA61" s="24"/>
      <c r="DB61" s="24"/>
      <c r="DC61" s="24"/>
      <c r="DD61" s="24"/>
      <c r="DE61" s="24"/>
      <c r="DF61" s="24"/>
      <c r="DG61" s="24"/>
      <c r="DH61" s="24"/>
      <c r="DI61" s="24"/>
      <c r="DJ61" s="24"/>
      <c r="DK61" s="24"/>
      <c r="DL61" s="24"/>
      <c r="DM61" s="24"/>
      <c r="DN61" s="24"/>
      <c r="DO61" s="24"/>
      <c r="DP61" s="24"/>
      <c r="DQ61" s="25"/>
      <c r="DR61" s="25"/>
      <c r="DS61" s="25"/>
      <c r="DT61" s="24"/>
      <c r="DU61" s="24"/>
      <c r="DV61" s="24"/>
      <c r="DW61" s="24"/>
      <c r="DX61" s="24"/>
      <c r="DY61" s="24"/>
      <c r="DZ61" s="24"/>
      <c r="EA61" s="24"/>
      <c r="EB61" s="24"/>
      <c r="EC61" s="24"/>
      <c r="ED61" s="24"/>
      <c r="EE61" s="24"/>
      <c r="EF61" s="24"/>
      <c r="EG61" s="24"/>
      <c r="EH61" s="24"/>
      <c r="EI61" s="24"/>
      <c r="EJ61" s="24"/>
      <c r="EK61" s="24"/>
      <c r="EL61" s="24"/>
      <c r="EM61" s="24"/>
      <c r="EN61" s="24"/>
      <c r="EO61" s="24"/>
      <c r="EP61" s="24"/>
      <c r="EQ61" s="24"/>
      <c r="ER61" s="24"/>
      <c r="ES61" s="24"/>
      <c r="ET61" s="24"/>
      <c r="EU61" s="24"/>
      <c r="EV61" s="24"/>
      <c r="EW61" s="24"/>
      <c r="EX61" s="24"/>
      <c r="EY61" s="24"/>
      <c r="EZ61" s="24"/>
      <c r="FA61" s="24"/>
      <c r="FB61" s="24"/>
      <c r="FC61" s="24"/>
      <c r="FD61" s="24"/>
      <c r="FE61" s="24"/>
      <c r="FF61" s="24"/>
      <c r="FG61" s="24"/>
      <c r="FH61" s="24"/>
      <c r="FI61" s="24"/>
      <c r="FJ61" s="24"/>
      <c r="FK61" s="24"/>
      <c r="FL61" s="24"/>
      <c r="FM61" s="24"/>
      <c r="FN61" s="24"/>
      <c r="FO61" s="24"/>
      <c r="FP61" s="24"/>
      <c r="FQ61" s="24"/>
      <c r="FR61" s="24"/>
      <c r="FS61" s="24"/>
      <c r="FT61" s="24"/>
      <c r="FU61" s="24"/>
      <c r="FV61" s="24"/>
      <c r="FW61" s="24"/>
      <c r="FX61" s="24"/>
      <c r="FY61" s="24"/>
      <c r="FZ61" s="24"/>
      <c r="GA61" s="24"/>
      <c r="GB61" s="24"/>
      <c r="GC61" s="24"/>
      <c r="GD61" s="24"/>
      <c r="GE61" s="24"/>
      <c r="GF61" s="24"/>
      <c r="GG61" s="24"/>
      <c r="GH61" s="24"/>
      <c r="GI61" s="24"/>
      <c r="GJ61" s="24"/>
      <c r="GK61" s="24"/>
      <c r="GL61" s="24"/>
      <c r="GM61" s="24"/>
      <c r="GN61" s="24"/>
      <c r="GO61" s="24"/>
      <c r="GP61" s="24"/>
      <c r="GQ61" s="24"/>
      <c r="GR61" s="24"/>
      <c r="GS61" s="23"/>
      <c r="GT61" s="23"/>
      <c r="GU61" s="23"/>
      <c r="GV61" s="23"/>
      <c r="GW61" s="22"/>
      <c r="GX61" s="22"/>
      <c r="GY61" s="22"/>
      <c r="GZ61" s="22"/>
      <c r="HA61" s="22"/>
      <c r="HB61" s="22"/>
      <c r="HC61" s="22"/>
      <c r="HD61" s="22"/>
      <c r="HE61" s="22"/>
      <c r="HF61" s="22"/>
      <c r="HG61" s="22"/>
      <c r="HH61" s="22"/>
      <c r="HI61" s="22"/>
      <c r="HJ61" s="22"/>
      <c r="HK61" s="22"/>
      <c r="HL61" s="21"/>
      <c r="HM61" s="19"/>
      <c r="HN61" s="19"/>
      <c r="HO61" s="19"/>
      <c r="HP61" s="20"/>
      <c r="HQ61" s="19"/>
      <c r="HR61" s="16"/>
      <c r="HS61" s="16"/>
      <c r="HT61" s="18"/>
      <c r="HU61" s="16"/>
      <c r="HV61" s="16"/>
      <c r="HW61" s="16"/>
      <c r="HX61" s="15"/>
      <c r="HY61" s="15"/>
      <c r="HZ61" s="15"/>
      <c r="IA61" s="15"/>
      <c r="IB61" s="15"/>
      <c r="IC61" s="16"/>
      <c r="ID61" s="16"/>
      <c r="IE61" s="15"/>
      <c r="IF61" s="15"/>
      <c r="IG61" s="15"/>
      <c r="IH61" s="15"/>
      <c r="II61" s="15"/>
      <c r="IJ61" s="15"/>
      <c r="IK61" s="15"/>
      <c r="IL61" s="15"/>
      <c r="IM61" s="15"/>
      <c r="IN61" s="15"/>
      <c r="IO61" s="15"/>
      <c r="IP61" s="17"/>
      <c r="IQ61" s="15"/>
      <c r="IR61" s="15"/>
      <c r="IS61" s="15"/>
      <c r="IT61" s="15"/>
      <c r="IU61" s="15"/>
      <c r="IV61" s="15"/>
      <c r="IW61" s="15"/>
      <c r="IX61" s="15"/>
      <c r="IY61" s="15"/>
      <c r="IZ61" s="15"/>
      <c r="JA61" s="15"/>
      <c r="JB61" s="15"/>
      <c r="JC61" s="15"/>
      <c r="JD61" s="15"/>
      <c r="JE61" s="15"/>
      <c r="JF61" s="15"/>
      <c r="JG61" s="15"/>
      <c r="JH61" s="15"/>
      <c r="JI61" s="15"/>
      <c r="JJ61" s="15"/>
      <c r="JK61" s="15"/>
      <c r="JL61" s="15"/>
      <c r="JM61" s="15"/>
      <c r="JN61" s="16"/>
      <c r="JO61" s="16"/>
      <c r="JP61" s="16"/>
      <c r="JQ61" s="16"/>
      <c r="JR61" s="16"/>
      <c r="JS61" s="16"/>
      <c r="JT61" s="16"/>
      <c r="JU61" s="16"/>
      <c r="JV61" s="16"/>
      <c r="JW61" s="16"/>
      <c r="JX61" s="16"/>
      <c r="JY61" s="16"/>
      <c r="JZ61" s="16"/>
      <c r="KA61" s="16"/>
      <c r="KB61" s="16"/>
      <c r="KC61" s="16"/>
      <c r="KD61" s="16"/>
      <c r="KE61" s="16"/>
      <c r="KF61" s="16"/>
      <c r="KG61" s="16"/>
      <c r="KH61" s="16"/>
      <c r="KI61" s="16"/>
      <c r="KJ61" s="16"/>
      <c r="KK61" s="16"/>
      <c r="KL61" s="16"/>
      <c r="KM61" s="16"/>
      <c r="KN61" s="16"/>
      <c r="KO61" s="16"/>
      <c r="KP61" s="16"/>
      <c r="KQ61" s="16"/>
      <c r="KR61" s="16"/>
      <c r="KS61" s="16"/>
      <c r="KT61" s="15"/>
      <c r="KU61" s="15"/>
      <c r="KV61" s="15"/>
      <c r="KW61" s="15"/>
      <c r="KX61" s="15"/>
      <c r="KY61" s="15"/>
      <c r="KZ61" s="15"/>
      <c r="LA61" s="15"/>
      <c r="LB61" s="15"/>
      <c r="LC61" s="15"/>
      <c r="LD61" s="15"/>
      <c r="LE61" s="15"/>
      <c r="LF61" s="15"/>
      <c r="LG61" s="15"/>
      <c r="LH61" s="15"/>
      <c r="LI61" s="15"/>
      <c r="LJ61" s="15"/>
      <c r="LK61" s="15"/>
      <c r="LL61" s="15"/>
      <c r="LM61" s="15"/>
      <c r="LN61" s="473">
        <f t="shared" si="22"/>
        <v>0</v>
      </c>
    </row>
    <row r="62" spans="1:326" ht="14.7" customHeight="1">
      <c r="A62" s="1160"/>
      <c r="B62" s="32"/>
      <c r="C62" s="32"/>
      <c r="D62" s="32"/>
      <c r="E62" s="32"/>
      <c r="F62" s="32"/>
      <c r="G62" s="32"/>
      <c r="H62" s="32"/>
      <c r="I62" s="32"/>
      <c r="J62" s="32"/>
      <c r="K62" s="32"/>
      <c r="L62" s="32"/>
      <c r="M62" s="32"/>
      <c r="N62" s="33"/>
      <c r="O62" s="32"/>
      <c r="P62" s="29" t="s">
        <v>61</v>
      </c>
      <c r="Q62" s="29">
        <v>1.0999999999999999E-2</v>
      </c>
      <c r="R62" s="29">
        <v>1.0999999999999999E-2</v>
      </c>
      <c r="S62" s="29">
        <v>1.0999999999999999E-2</v>
      </c>
      <c r="T62" s="29">
        <v>1.0999999999999999E-2</v>
      </c>
      <c r="U62" s="29">
        <v>1.0999999999999999E-2</v>
      </c>
      <c r="V62" s="29">
        <v>1.0999999999999999E-2</v>
      </c>
      <c r="W62" s="29">
        <v>1.0999999999999999E-2</v>
      </c>
      <c r="X62" s="29">
        <v>1.0999999999999999E-2</v>
      </c>
      <c r="Y62" s="29">
        <v>1.0999999999999999E-2</v>
      </c>
      <c r="Z62" s="29">
        <v>1.0999999999999999E-2</v>
      </c>
      <c r="AA62" s="29">
        <v>1.0999999999999999E-2</v>
      </c>
      <c r="AB62" s="29">
        <v>1.0999999999999999E-2</v>
      </c>
      <c r="AC62" s="29">
        <v>1.0999999999999999E-2</v>
      </c>
      <c r="AD62" s="29">
        <v>1.0999999999999999E-2</v>
      </c>
      <c r="AE62" s="29">
        <v>1.0999999999999999E-2</v>
      </c>
      <c r="AF62" s="29">
        <v>1.0999999999999999E-2</v>
      </c>
      <c r="AG62" s="29">
        <v>1.0999999999999999E-2</v>
      </c>
      <c r="AH62" s="29">
        <v>1.0999999999999999E-2</v>
      </c>
      <c r="AI62" s="29">
        <v>1.0999999999999999E-2</v>
      </c>
      <c r="AJ62" s="29">
        <v>1.0999999999999999E-2</v>
      </c>
      <c r="AK62" s="29">
        <v>1.0999999999999999E-2</v>
      </c>
      <c r="AL62" s="29">
        <v>1.0999999999999999E-2</v>
      </c>
      <c r="AM62" s="29">
        <v>1.0999999999999999E-2</v>
      </c>
      <c r="AN62" s="29">
        <v>1.0999999999999999E-2</v>
      </c>
      <c r="AO62" s="29">
        <v>1.0999999999999999E-2</v>
      </c>
      <c r="AP62" s="29">
        <v>1.0999999999999999E-2</v>
      </c>
      <c r="AQ62" s="29">
        <v>1.0999999999999999E-2</v>
      </c>
      <c r="AR62" s="29">
        <v>1.0999999999999999E-2</v>
      </c>
      <c r="AS62" s="29">
        <v>1.0999999999999999E-2</v>
      </c>
      <c r="AT62" s="29">
        <v>1.0999999999999999E-2</v>
      </c>
      <c r="AU62" s="29">
        <v>1.0999999999999999E-2</v>
      </c>
      <c r="AV62" s="29">
        <v>1.0999999999999999E-2</v>
      </c>
      <c r="AW62" s="29">
        <v>1.0999999999999999E-2</v>
      </c>
      <c r="AX62" s="29">
        <v>1.0999999999999999E-2</v>
      </c>
      <c r="AY62" s="30">
        <v>1.0999999999999999E-2</v>
      </c>
      <c r="AZ62" s="29">
        <v>1.0999999999999999E-2</v>
      </c>
      <c r="BA62" s="29">
        <v>1.0999999999999999E-2</v>
      </c>
      <c r="BB62" s="29">
        <v>1.0999999999999999E-2</v>
      </c>
      <c r="BC62" s="29">
        <v>1.0999999999999999E-2</v>
      </c>
      <c r="BD62" s="29">
        <v>1.0999999999999999E-2</v>
      </c>
      <c r="BE62" s="29">
        <v>1.0999999999999999E-2</v>
      </c>
      <c r="BF62" s="29">
        <v>1.0999999999999999E-2</v>
      </c>
      <c r="BG62" s="29">
        <v>1.0999999999999999E-2</v>
      </c>
      <c r="BH62" s="28">
        <v>1.0999999999999999E-2</v>
      </c>
      <c r="BI62" s="27"/>
      <c r="BJ62" s="26"/>
      <c r="BK62" s="24"/>
      <c r="BL62" s="24"/>
      <c r="BM62" s="24"/>
      <c r="BN62" s="24"/>
      <c r="BO62" s="24"/>
      <c r="BP62" s="24"/>
      <c r="BQ62" s="24"/>
      <c r="BR62" s="24"/>
      <c r="BS62" s="24"/>
      <c r="BT62" s="24"/>
      <c r="BU62" s="24"/>
      <c r="BV62" s="24"/>
      <c r="BW62" s="24"/>
      <c r="BX62" s="24"/>
      <c r="BY62" s="24"/>
      <c r="BZ62" s="24"/>
      <c r="CA62" s="24"/>
      <c r="CB62" s="24"/>
      <c r="CC62" s="24"/>
      <c r="CD62" s="24"/>
      <c r="CE62" s="24"/>
      <c r="CF62" s="24"/>
      <c r="CG62" s="24"/>
      <c r="CH62" s="24"/>
      <c r="CI62" s="24"/>
      <c r="CJ62" s="24"/>
      <c r="CK62" s="24"/>
      <c r="CL62" s="24"/>
      <c r="CM62" s="24"/>
      <c r="CN62" s="24"/>
      <c r="CO62" s="24"/>
      <c r="CP62" s="24"/>
      <c r="CQ62" s="24"/>
      <c r="CR62" s="24"/>
      <c r="CS62" s="24"/>
      <c r="CT62" s="24"/>
      <c r="CU62" s="24"/>
      <c r="CV62" s="24"/>
      <c r="CW62" s="24"/>
      <c r="CX62" s="24"/>
      <c r="CY62" s="24"/>
      <c r="CZ62" s="24"/>
      <c r="DA62" s="24"/>
      <c r="DB62" s="24"/>
      <c r="DC62" s="24"/>
      <c r="DD62" s="24"/>
      <c r="DE62" s="24"/>
      <c r="DF62" s="24"/>
      <c r="DG62" s="24"/>
      <c r="DH62" s="24"/>
      <c r="DI62" s="24"/>
      <c r="DJ62" s="24"/>
      <c r="DK62" s="24"/>
      <c r="DL62" s="24"/>
      <c r="DM62" s="24"/>
      <c r="DN62" s="24"/>
      <c r="DO62" s="24"/>
      <c r="DP62" s="24"/>
      <c r="DQ62" s="25"/>
      <c r="DR62" s="25"/>
      <c r="DS62" s="25"/>
      <c r="DT62" s="24"/>
      <c r="DU62" s="24"/>
      <c r="DV62" s="24"/>
      <c r="DW62" s="24"/>
      <c r="DX62" s="24"/>
      <c r="DY62" s="24"/>
      <c r="DZ62" s="24"/>
      <c r="EA62" s="24"/>
      <c r="EB62" s="24"/>
      <c r="EC62" s="24"/>
      <c r="ED62" s="24"/>
      <c r="EE62" s="24"/>
      <c r="EF62" s="24"/>
      <c r="EG62" s="24"/>
      <c r="EH62" s="24"/>
      <c r="EI62" s="24"/>
      <c r="EJ62" s="24"/>
      <c r="EK62" s="24"/>
      <c r="EL62" s="24"/>
      <c r="EM62" s="24"/>
      <c r="EN62" s="24"/>
      <c r="EO62" s="24"/>
      <c r="EP62" s="24"/>
      <c r="EQ62" s="24"/>
      <c r="ER62" s="24"/>
      <c r="ES62" s="24"/>
      <c r="ET62" s="24"/>
      <c r="EU62" s="24"/>
      <c r="EV62" s="24"/>
      <c r="EW62" s="24"/>
      <c r="EX62" s="24"/>
      <c r="EY62" s="24"/>
      <c r="EZ62" s="24"/>
      <c r="FA62" s="24"/>
      <c r="FB62" s="24"/>
      <c r="FC62" s="24"/>
      <c r="FD62" s="24"/>
      <c r="FE62" s="24"/>
      <c r="FF62" s="24"/>
      <c r="FG62" s="24"/>
      <c r="FH62" s="24"/>
      <c r="FI62" s="24"/>
      <c r="FJ62" s="24"/>
      <c r="FK62" s="24"/>
      <c r="FL62" s="24"/>
      <c r="FM62" s="24"/>
      <c r="FN62" s="24"/>
      <c r="FO62" s="24"/>
      <c r="FP62" s="24"/>
      <c r="FQ62" s="24"/>
      <c r="FR62" s="24"/>
      <c r="FS62" s="24"/>
      <c r="FT62" s="24"/>
      <c r="FU62" s="24"/>
      <c r="FV62" s="24"/>
      <c r="FW62" s="24"/>
      <c r="FX62" s="24"/>
      <c r="FY62" s="24"/>
      <c r="FZ62" s="24"/>
      <c r="GA62" s="24"/>
      <c r="GB62" s="24"/>
      <c r="GC62" s="24"/>
      <c r="GD62" s="24"/>
      <c r="GE62" s="24"/>
      <c r="GF62" s="24"/>
      <c r="GG62" s="24"/>
      <c r="GH62" s="24"/>
      <c r="GI62" s="24"/>
      <c r="GJ62" s="24"/>
      <c r="GK62" s="24"/>
      <c r="GL62" s="24"/>
      <c r="GM62" s="24"/>
      <c r="GN62" s="24"/>
      <c r="GO62" s="24"/>
      <c r="GP62" s="24"/>
      <c r="GQ62" s="24"/>
      <c r="GR62" s="24"/>
      <c r="GS62" s="23"/>
      <c r="GT62" s="23"/>
      <c r="GU62" s="23"/>
      <c r="GV62" s="23"/>
      <c r="GW62" s="22"/>
      <c r="GX62" s="22"/>
      <c r="GY62" s="22"/>
      <c r="GZ62" s="22"/>
      <c r="HA62" s="22"/>
      <c r="HB62" s="22"/>
      <c r="HC62" s="22"/>
      <c r="HD62" s="22"/>
      <c r="HE62" s="22"/>
      <c r="HF62" s="22"/>
      <c r="HG62" s="22"/>
      <c r="HH62" s="22"/>
      <c r="HI62" s="22"/>
      <c r="HJ62" s="22"/>
      <c r="HK62" s="22"/>
      <c r="HL62" s="21"/>
      <c r="HM62" s="19"/>
      <c r="HN62" s="19"/>
      <c r="HO62" s="19"/>
      <c r="HP62" s="20"/>
      <c r="HQ62" s="19"/>
      <c r="HR62" s="16"/>
      <c r="HS62" s="16"/>
      <c r="HT62" s="18"/>
      <c r="HU62" s="16"/>
      <c r="HV62" s="16"/>
      <c r="HW62" s="16"/>
      <c r="HX62" s="15"/>
      <c r="HY62" s="15"/>
      <c r="HZ62" s="15"/>
      <c r="IA62" s="15"/>
      <c r="IB62" s="15"/>
      <c r="IC62" s="16"/>
      <c r="ID62" s="16"/>
      <c r="IE62" s="15"/>
      <c r="IF62" s="15"/>
      <c r="IG62" s="15"/>
      <c r="IH62" s="15"/>
      <c r="II62" s="15"/>
      <c r="IJ62" s="15"/>
      <c r="IK62" s="15"/>
      <c r="IL62" s="15"/>
      <c r="IM62" s="15"/>
      <c r="IN62" s="15"/>
      <c r="IO62" s="15"/>
      <c r="IP62" s="17"/>
      <c r="IQ62" s="15"/>
      <c r="IR62" s="15"/>
      <c r="IS62" s="15"/>
      <c r="IT62" s="15"/>
      <c r="IU62" s="15"/>
      <c r="IV62" s="15"/>
      <c r="IW62" s="15"/>
      <c r="IX62" s="15"/>
      <c r="IY62" s="15"/>
      <c r="IZ62" s="15"/>
      <c r="JA62" s="15"/>
      <c r="JB62" s="15"/>
      <c r="JC62" s="15"/>
      <c r="JD62" s="15"/>
      <c r="JE62" s="15"/>
      <c r="JF62" s="15"/>
      <c r="JG62" s="15"/>
      <c r="JH62" s="15"/>
      <c r="JI62" s="15"/>
      <c r="JJ62" s="15"/>
      <c r="JK62" s="15"/>
      <c r="JL62" s="15"/>
      <c r="JM62" s="15"/>
      <c r="JN62" s="16"/>
      <c r="JO62" s="16"/>
      <c r="JP62" s="16"/>
      <c r="JQ62" s="16"/>
      <c r="JR62" s="16"/>
      <c r="JS62" s="16"/>
      <c r="JT62" s="16"/>
      <c r="JU62" s="16"/>
      <c r="JV62" s="16"/>
      <c r="JW62" s="16"/>
      <c r="JX62" s="16"/>
      <c r="JY62" s="16"/>
      <c r="JZ62" s="16"/>
      <c r="KA62" s="16"/>
      <c r="KB62" s="16"/>
      <c r="KC62" s="16"/>
      <c r="KD62" s="16"/>
      <c r="KE62" s="16"/>
      <c r="KF62" s="16"/>
      <c r="KG62" s="16"/>
      <c r="KH62" s="16"/>
      <c r="KI62" s="16"/>
      <c r="KJ62" s="16"/>
      <c r="KK62" s="16"/>
      <c r="KL62" s="16"/>
      <c r="KM62" s="16"/>
      <c r="KN62" s="16"/>
      <c r="KO62" s="16"/>
      <c r="KP62" s="16"/>
      <c r="KQ62" s="16"/>
      <c r="KR62" s="16"/>
      <c r="KS62" s="16"/>
      <c r="KT62" s="15"/>
      <c r="KU62" s="15"/>
      <c r="KV62" s="15"/>
      <c r="KW62" s="15"/>
      <c r="KX62" s="15"/>
      <c r="KY62" s="15"/>
      <c r="KZ62" s="15"/>
      <c r="LA62" s="15"/>
      <c r="LB62" s="15"/>
      <c r="LC62" s="15"/>
      <c r="LD62" s="15"/>
      <c r="LE62" s="15"/>
      <c r="LF62" s="15"/>
      <c r="LG62" s="15"/>
      <c r="LH62" s="15"/>
      <c r="LI62" s="15"/>
      <c r="LJ62" s="15"/>
      <c r="LK62" s="15"/>
      <c r="LL62" s="15"/>
      <c r="LM62" s="15"/>
      <c r="LN62" s="473">
        <f t="shared" si="22"/>
        <v>0</v>
      </c>
    </row>
    <row r="63" spans="1:326" ht="14.7" customHeight="1">
      <c r="A63" s="1160"/>
      <c r="B63" s="32"/>
      <c r="C63" s="32"/>
      <c r="D63" s="32"/>
      <c r="E63" s="32"/>
      <c r="F63" s="32"/>
      <c r="G63" s="32"/>
      <c r="H63" s="32"/>
      <c r="I63" s="32"/>
      <c r="J63" s="32"/>
      <c r="K63" s="32"/>
      <c r="L63" s="32"/>
      <c r="M63" s="32"/>
      <c r="N63" s="33"/>
      <c r="O63" s="32"/>
      <c r="P63" s="29" t="s">
        <v>60</v>
      </c>
      <c r="Q63" s="29">
        <v>1.15E-2</v>
      </c>
      <c r="R63" s="29">
        <v>1.15E-2</v>
      </c>
      <c r="S63" s="29">
        <v>1.15E-2</v>
      </c>
      <c r="T63" s="29">
        <v>1.15E-2</v>
      </c>
      <c r="U63" s="29">
        <v>1.15E-2</v>
      </c>
      <c r="V63" s="29">
        <v>1.15E-2</v>
      </c>
      <c r="W63" s="29">
        <v>1.15E-2</v>
      </c>
      <c r="X63" s="29">
        <v>1.15E-2</v>
      </c>
      <c r="Y63" s="29">
        <v>1.15E-2</v>
      </c>
      <c r="Z63" s="29">
        <v>1.15E-2</v>
      </c>
      <c r="AA63" s="29">
        <v>1.15E-2</v>
      </c>
      <c r="AB63" s="29">
        <v>1.15E-2</v>
      </c>
      <c r="AC63" s="29">
        <v>1.15E-2</v>
      </c>
      <c r="AD63" s="29">
        <v>1.15E-2</v>
      </c>
      <c r="AE63" s="29">
        <v>1.15E-2</v>
      </c>
      <c r="AF63" s="29">
        <v>1.15E-2</v>
      </c>
      <c r="AG63" s="29">
        <v>1.15E-2</v>
      </c>
      <c r="AH63" s="29">
        <v>1.15E-2</v>
      </c>
      <c r="AI63" s="29">
        <v>1.15E-2</v>
      </c>
      <c r="AJ63" s="29">
        <v>1.15E-2</v>
      </c>
      <c r="AK63" s="29">
        <v>1.15E-2</v>
      </c>
      <c r="AL63" s="29">
        <v>1.15E-2</v>
      </c>
      <c r="AM63" s="29">
        <v>1.15E-2</v>
      </c>
      <c r="AN63" s="29">
        <v>1.15E-2</v>
      </c>
      <c r="AO63" s="29">
        <v>1.15E-2</v>
      </c>
      <c r="AP63" s="29">
        <v>1.15E-2</v>
      </c>
      <c r="AQ63" s="29">
        <v>1.15E-2</v>
      </c>
      <c r="AR63" s="29">
        <v>1.15E-2</v>
      </c>
      <c r="AS63" s="29">
        <v>1.15E-2</v>
      </c>
      <c r="AT63" s="29">
        <v>1.15E-2</v>
      </c>
      <c r="AU63" s="29">
        <v>1.15E-2</v>
      </c>
      <c r="AV63" s="29">
        <v>1.15E-2</v>
      </c>
      <c r="AW63" s="29">
        <v>1.15E-2</v>
      </c>
      <c r="AX63" s="29">
        <v>1.15E-2</v>
      </c>
      <c r="AY63" s="30">
        <v>1.15E-2</v>
      </c>
      <c r="AZ63" s="29">
        <v>1.15E-2</v>
      </c>
      <c r="BA63" s="29">
        <v>1.15E-2</v>
      </c>
      <c r="BB63" s="29">
        <v>1.15E-2</v>
      </c>
      <c r="BC63" s="29">
        <v>1.15E-2</v>
      </c>
      <c r="BD63" s="29">
        <v>1.15E-2</v>
      </c>
      <c r="BE63" s="29">
        <v>1.15E-2</v>
      </c>
      <c r="BF63" s="29">
        <v>1.15E-2</v>
      </c>
      <c r="BG63" s="29">
        <v>1.15E-2</v>
      </c>
      <c r="BH63" s="28">
        <v>1.15E-2</v>
      </c>
      <c r="BI63" s="27"/>
      <c r="BJ63" s="26"/>
      <c r="BK63" s="24"/>
      <c r="BL63" s="24"/>
      <c r="BM63" s="24"/>
      <c r="BN63" s="24"/>
      <c r="BO63" s="24"/>
      <c r="BP63" s="24"/>
      <c r="BQ63" s="24"/>
      <c r="BR63" s="24"/>
      <c r="BS63" s="24"/>
      <c r="BT63" s="24"/>
      <c r="BU63" s="24"/>
      <c r="BV63" s="24"/>
      <c r="BW63" s="24"/>
      <c r="BX63" s="24"/>
      <c r="BY63" s="24"/>
      <c r="BZ63" s="24"/>
      <c r="CA63" s="24"/>
      <c r="CB63" s="24"/>
      <c r="CC63" s="24"/>
      <c r="CD63" s="24"/>
      <c r="CE63" s="24"/>
      <c r="CF63" s="24"/>
      <c r="CG63" s="24"/>
      <c r="CH63" s="24"/>
      <c r="CI63" s="24"/>
      <c r="CJ63" s="24"/>
      <c r="CK63" s="24"/>
      <c r="CL63" s="24"/>
      <c r="CM63" s="24"/>
      <c r="CN63" s="24"/>
      <c r="CO63" s="24"/>
      <c r="CP63" s="24"/>
      <c r="CQ63" s="24"/>
      <c r="CR63" s="24"/>
      <c r="CS63" s="24"/>
      <c r="CT63" s="24"/>
      <c r="CU63" s="24"/>
      <c r="CV63" s="24"/>
      <c r="CW63" s="24"/>
      <c r="CX63" s="24"/>
      <c r="CY63" s="24"/>
      <c r="CZ63" s="24"/>
      <c r="DA63" s="24"/>
      <c r="DB63" s="24"/>
      <c r="DC63" s="24"/>
      <c r="DD63" s="24"/>
      <c r="DE63" s="24"/>
      <c r="DF63" s="24"/>
      <c r="DG63" s="24"/>
      <c r="DH63" s="24"/>
      <c r="DI63" s="24"/>
      <c r="DJ63" s="24"/>
      <c r="DK63" s="24"/>
      <c r="DL63" s="24"/>
      <c r="DM63" s="24"/>
      <c r="DN63" s="24"/>
      <c r="DO63" s="24"/>
      <c r="DP63" s="24"/>
      <c r="DQ63" s="25"/>
      <c r="DR63" s="25"/>
      <c r="DS63" s="25"/>
      <c r="DT63" s="24"/>
      <c r="DU63" s="24"/>
      <c r="DV63" s="24"/>
      <c r="DW63" s="24"/>
      <c r="DX63" s="24"/>
      <c r="DY63" s="24"/>
      <c r="DZ63" s="24"/>
      <c r="EA63" s="24"/>
      <c r="EB63" s="24"/>
      <c r="EC63" s="24"/>
      <c r="ED63" s="24"/>
      <c r="EE63" s="24"/>
      <c r="EF63" s="24"/>
      <c r="EG63" s="24"/>
      <c r="EH63" s="24"/>
      <c r="EI63" s="24"/>
      <c r="EJ63" s="24"/>
      <c r="EK63" s="24"/>
      <c r="EL63" s="24"/>
      <c r="EM63" s="24"/>
      <c r="EN63" s="24"/>
      <c r="EO63" s="24"/>
      <c r="EP63" s="24"/>
      <c r="EQ63" s="24"/>
      <c r="ER63" s="24"/>
      <c r="ES63" s="24"/>
      <c r="ET63" s="24"/>
      <c r="EU63" s="24"/>
      <c r="EV63" s="24"/>
      <c r="EW63" s="24"/>
      <c r="EX63" s="24"/>
      <c r="EY63" s="24"/>
      <c r="EZ63" s="24"/>
      <c r="FA63" s="24"/>
      <c r="FB63" s="24"/>
      <c r="FC63" s="24"/>
      <c r="FD63" s="24"/>
      <c r="FE63" s="24"/>
      <c r="FF63" s="24"/>
      <c r="FG63" s="24"/>
      <c r="FH63" s="24"/>
      <c r="FI63" s="24"/>
      <c r="FJ63" s="24"/>
      <c r="FK63" s="24"/>
      <c r="FL63" s="24"/>
      <c r="FM63" s="24"/>
      <c r="FN63" s="24"/>
      <c r="FO63" s="24"/>
      <c r="FP63" s="24"/>
      <c r="FQ63" s="24"/>
      <c r="FR63" s="24"/>
      <c r="FS63" s="24"/>
      <c r="FT63" s="24"/>
      <c r="FU63" s="24"/>
      <c r="FV63" s="24"/>
      <c r="FW63" s="24"/>
      <c r="FX63" s="24"/>
      <c r="FY63" s="24"/>
      <c r="FZ63" s="24"/>
      <c r="GA63" s="24"/>
      <c r="GB63" s="24"/>
      <c r="GC63" s="24"/>
      <c r="GD63" s="24"/>
      <c r="GE63" s="24"/>
      <c r="GF63" s="24"/>
      <c r="GG63" s="24"/>
      <c r="GH63" s="24"/>
      <c r="GI63" s="24"/>
      <c r="GJ63" s="24"/>
      <c r="GK63" s="24"/>
      <c r="GL63" s="24"/>
      <c r="GM63" s="24"/>
      <c r="GN63" s="24"/>
      <c r="GO63" s="24"/>
      <c r="GP63" s="24"/>
      <c r="GQ63" s="24"/>
      <c r="GR63" s="24"/>
      <c r="GS63" s="23"/>
      <c r="GT63" s="23"/>
      <c r="GU63" s="23"/>
      <c r="GV63" s="23"/>
      <c r="GW63" s="22"/>
      <c r="GX63" s="22"/>
      <c r="GY63" s="22"/>
      <c r="GZ63" s="22"/>
      <c r="HA63" s="22"/>
      <c r="HB63" s="22"/>
      <c r="HC63" s="22"/>
      <c r="HD63" s="22"/>
      <c r="HE63" s="22"/>
      <c r="HF63" s="22"/>
      <c r="HG63" s="22"/>
      <c r="HH63" s="22"/>
      <c r="HI63" s="22"/>
      <c r="HJ63" s="22"/>
      <c r="HK63" s="22"/>
      <c r="HL63" s="21"/>
      <c r="HM63" s="19"/>
      <c r="HN63" s="19"/>
      <c r="HO63" s="19"/>
      <c r="HP63" s="20"/>
      <c r="HQ63" s="19"/>
      <c r="HR63" s="16"/>
      <c r="HS63" s="16"/>
      <c r="HT63" s="18"/>
      <c r="HU63" s="16"/>
      <c r="HV63" s="16"/>
      <c r="HW63" s="16"/>
      <c r="HX63" s="15"/>
      <c r="HY63" s="15"/>
      <c r="HZ63" s="15"/>
      <c r="IA63" s="15"/>
      <c r="IB63" s="15"/>
      <c r="IC63" s="16"/>
      <c r="ID63" s="16"/>
      <c r="IE63" s="15"/>
      <c r="IF63" s="15"/>
      <c r="IG63" s="15"/>
      <c r="IH63" s="15"/>
      <c r="II63" s="15"/>
      <c r="IJ63" s="15"/>
      <c r="IK63" s="15"/>
      <c r="IL63" s="15"/>
      <c r="IM63" s="15"/>
      <c r="IN63" s="15"/>
      <c r="IO63" s="15"/>
      <c r="IP63" s="17"/>
      <c r="IQ63" s="15"/>
      <c r="IR63" s="15"/>
      <c r="IS63" s="15"/>
      <c r="IT63" s="15"/>
      <c r="IU63" s="15"/>
      <c r="IV63" s="15"/>
      <c r="IW63" s="15"/>
      <c r="IX63" s="15"/>
      <c r="IY63" s="15"/>
      <c r="IZ63" s="15"/>
      <c r="JA63" s="15"/>
      <c r="JB63" s="15"/>
      <c r="JC63" s="15"/>
      <c r="JD63" s="15"/>
      <c r="JE63" s="15"/>
      <c r="JF63" s="15"/>
      <c r="JG63" s="15"/>
      <c r="JH63" s="15"/>
      <c r="JI63" s="15"/>
      <c r="JJ63" s="15"/>
      <c r="JK63" s="15"/>
      <c r="JL63" s="15"/>
      <c r="JM63" s="15"/>
      <c r="JN63" s="16"/>
      <c r="JO63" s="16"/>
      <c r="JP63" s="16"/>
      <c r="JQ63" s="16"/>
      <c r="JR63" s="16"/>
      <c r="JS63" s="16"/>
      <c r="JT63" s="16"/>
      <c r="JU63" s="16"/>
      <c r="JV63" s="16"/>
      <c r="JW63" s="16"/>
      <c r="JX63" s="16"/>
      <c r="JY63" s="16"/>
      <c r="JZ63" s="16"/>
      <c r="KA63" s="16"/>
      <c r="KB63" s="16"/>
      <c r="KC63" s="16"/>
      <c r="KD63" s="16"/>
      <c r="KE63" s="16"/>
      <c r="KF63" s="16"/>
      <c r="KG63" s="16"/>
      <c r="KH63" s="16"/>
      <c r="KI63" s="16"/>
      <c r="KJ63" s="16"/>
      <c r="KK63" s="16"/>
      <c r="KL63" s="16"/>
      <c r="KM63" s="16"/>
      <c r="KN63" s="16"/>
      <c r="KO63" s="16"/>
      <c r="KP63" s="16"/>
      <c r="KQ63" s="16"/>
      <c r="KR63" s="16"/>
      <c r="KS63" s="16"/>
      <c r="KT63" s="15"/>
      <c r="KU63" s="15"/>
      <c r="KV63" s="15"/>
      <c r="KW63" s="15"/>
      <c r="KX63" s="15"/>
      <c r="KY63" s="15"/>
      <c r="KZ63" s="15"/>
      <c r="LA63" s="15"/>
      <c r="LB63" s="15"/>
      <c r="LC63" s="15"/>
      <c r="LD63" s="15"/>
      <c r="LE63" s="15"/>
      <c r="LF63" s="15"/>
      <c r="LG63" s="15"/>
      <c r="LH63" s="15"/>
      <c r="LI63" s="15"/>
      <c r="LJ63" s="15"/>
      <c r="LK63" s="15"/>
      <c r="LL63" s="15"/>
      <c r="LM63" s="15"/>
      <c r="LN63" s="473">
        <f t="shared" si="22"/>
        <v>0</v>
      </c>
    </row>
    <row r="64" spans="1:326" ht="14.7" customHeight="1">
      <c r="A64" s="1160"/>
      <c r="B64" s="32"/>
      <c r="C64" s="32"/>
      <c r="D64" s="32"/>
      <c r="E64" s="32"/>
      <c r="F64" s="32"/>
      <c r="G64" s="32"/>
      <c r="H64" s="32"/>
      <c r="I64" s="32"/>
      <c r="J64" s="32"/>
      <c r="K64" s="32"/>
      <c r="L64" s="32"/>
      <c r="M64" s="32"/>
      <c r="N64" s="33"/>
      <c r="O64" s="32"/>
      <c r="P64" s="29" t="s">
        <v>59</v>
      </c>
      <c r="Q64" s="29">
        <v>1.2500000000000001E-2</v>
      </c>
      <c r="R64" s="29">
        <v>1.2500000000000001E-2</v>
      </c>
      <c r="S64" s="29">
        <v>1.2500000000000001E-2</v>
      </c>
      <c r="T64" s="29">
        <v>1.2500000000000001E-2</v>
      </c>
      <c r="U64" s="29">
        <v>1.2500000000000001E-2</v>
      </c>
      <c r="V64" s="29">
        <v>1.2500000000000001E-2</v>
      </c>
      <c r="W64" s="29">
        <v>1.2500000000000001E-2</v>
      </c>
      <c r="X64" s="29">
        <v>1.2500000000000001E-2</v>
      </c>
      <c r="Y64" s="29">
        <v>1.2500000000000001E-2</v>
      </c>
      <c r="Z64" s="29">
        <v>1.2500000000000001E-2</v>
      </c>
      <c r="AA64" s="29">
        <v>1.2500000000000001E-2</v>
      </c>
      <c r="AB64" s="29">
        <v>1.2500000000000001E-2</v>
      </c>
      <c r="AC64" s="29">
        <v>1.2500000000000001E-2</v>
      </c>
      <c r="AD64" s="29">
        <v>1.2500000000000001E-2</v>
      </c>
      <c r="AE64" s="29">
        <v>1.2500000000000001E-2</v>
      </c>
      <c r="AF64" s="29">
        <v>1.2500000000000001E-2</v>
      </c>
      <c r="AG64" s="29">
        <v>1.2500000000000001E-2</v>
      </c>
      <c r="AH64" s="29">
        <v>1.2500000000000001E-2</v>
      </c>
      <c r="AI64" s="29">
        <v>1.2500000000000001E-2</v>
      </c>
      <c r="AJ64" s="29">
        <v>1.2500000000000001E-2</v>
      </c>
      <c r="AK64" s="29">
        <v>1.2500000000000001E-2</v>
      </c>
      <c r="AL64" s="29">
        <v>1.2500000000000001E-2</v>
      </c>
      <c r="AM64" s="29">
        <v>1.2500000000000001E-2</v>
      </c>
      <c r="AN64" s="29">
        <v>1.2500000000000001E-2</v>
      </c>
      <c r="AO64" s="29">
        <v>1.2500000000000001E-2</v>
      </c>
      <c r="AP64" s="29">
        <v>1.2500000000000001E-2</v>
      </c>
      <c r="AQ64" s="29">
        <v>1.2500000000000001E-2</v>
      </c>
      <c r="AR64" s="29">
        <v>1.2500000000000001E-2</v>
      </c>
      <c r="AS64" s="29">
        <v>1.2500000000000001E-2</v>
      </c>
      <c r="AT64" s="29">
        <v>1.2500000000000001E-2</v>
      </c>
      <c r="AU64" s="29">
        <v>1.2500000000000001E-2</v>
      </c>
      <c r="AV64" s="29">
        <v>1.2500000000000001E-2</v>
      </c>
      <c r="AW64" s="29">
        <v>1.2500000000000001E-2</v>
      </c>
      <c r="AX64" s="29">
        <v>1.2500000000000001E-2</v>
      </c>
      <c r="AY64" s="30">
        <v>1.2500000000000001E-2</v>
      </c>
      <c r="AZ64" s="29">
        <v>1.2500000000000001E-2</v>
      </c>
      <c r="BA64" s="29">
        <v>1.2500000000000001E-2</v>
      </c>
      <c r="BB64" s="29">
        <v>1.2500000000000001E-2</v>
      </c>
      <c r="BC64" s="29">
        <v>1.2500000000000001E-2</v>
      </c>
      <c r="BD64" s="29">
        <v>1.2500000000000001E-2</v>
      </c>
      <c r="BE64" s="29">
        <v>1.2500000000000001E-2</v>
      </c>
      <c r="BF64" s="29">
        <v>1.2500000000000001E-2</v>
      </c>
      <c r="BG64" s="29">
        <v>1.2500000000000001E-2</v>
      </c>
      <c r="BH64" s="28">
        <v>1.2500000000000001E-2</v>
      </c>
      <c r="BI64" s="27"/>
      <c r="BJ64" s="26"/>
      <c r="BK64" s="24"/>
      <c r="BL64" s="24"/>
      <c r="BM64" s="24"/>
      <c r="BN64" s="24"/>
      <c r="BO64" s="24"/>
      <c r="BP64" s="24"/>
      <c r="BQ64" s="24"/>
      <c r="BR64" s="24"/>
      <c r="BS64" s="24"/>
      <c r="BT64" s="24"/>
      <c r="BU64" s="24"/>
      <c r="BV64" s="24"/>
      <c r="BW64" s="24"/>
      <c r="BX64" s="24"/>
      <c r="BY64" s="24"/>
      <c r="BZ64" s="24"/>
      <c r="CA64" s="24"/>
      <c r="CB64" s="24"/>
      <c r="CC64" s="24"/>
      <c r="CD64" s="24"/>
      <c r="CE64" s="24"/>
      <c r="CF64" s="24"/>
      <c r="CG64" s="24"/>
      <c r="CH64" s="24"/>
      <c r="CI64" s="24"/>
      <c r="CJ64" s="24"/>
      <c r="CK64" s="24"/>
      <c r="CL64" s="24"/>
      <c r="CM64" s="24"/>
      <c r="CN64" s="24"/>
      <c r="CO64" s="24"/>
      <c r="CP64" s="24"/>
      <c r="CQ64" s="24"/>
      <c r="CR64" s="24"/>
      <c r="CS64" s="24"/>
      <c r="CT64" s="24"/>
      <c r="CU64" s="24"/>
      <c r="CV64" s="24"/>
      <c r="CW64" s="24"/>
      <c r="CX64" s="24"/>
      <c r="CY64" s="24"/>
      <c r="CZ64" s="24"/>
      <c r="DA64" s="24"/>
      <c r="DB64" s="24"/>
      <c r="DC64" s="24"/>
      <c r="DD64" s="24"/>
      <c r="DE64" s="24"/>
      <c r="DF64" s="24"/>
      <c r="DG64" s="24"/>
      <c r="DH64" s="24"/>
      <c r="DI64" s="24"/>
      <c r="DJ64" s="24"/>
      <c r="DK64" s="24"/>
      <c r="DL64" s="24"/>
      <c r="DM64" s="24"/>
      <c r="DN64" s="24"/>
      <c r="DO64" s="24"/>
      <c r="DP64" s="24"/>
      <c r="DQ64" s="25"/>
      <c r="DR64" s="25"/>
      <c r="DS64" s="25"/>
      <c r="DT64" s="24"/>
      <c r="DU64" s="24"/>
      <c r="DV64" s="24"/>
      <c r="DW64" s="24"/>
      <c r="DX64" s="24"/>
      <c r="DY64" s="24"/>
      <c r="DZ64" s="24"/>
      <c r="EA64" s="24"/>
      <c r="EB64" s="24"/>
      <c r="EC64" s="24"/>
      <c r="ED64" s="24"/>
      <c r="EE64" s="24"/>
      <c r="EF64" s="24"/>
      <c r="EG64" s="24"/>
      <c r="EH64" s="24"/>
      <c r="EI64" s="24"/>
      <c r="EJ64" s="24"/>
      <c r="EK64" s="24"/>
      <c r="EL64" s="24"/>
      <c r="EM64" s="24"/>
      <c r="EN64" s="24"/>
      <c r="EO64" s="24"/>
      <c r="EP64" s="24"/>
      <c r="EQ64" s="24"/>
      <c r="ER64" s="24"/>
      <c r="ES64" s="24"/>
      <c r="ET64" s="24"/>
      <c r="EU64" s="24"/>
      <c r="EV64" s="24"/>
      <c r="EW64" s="24"/>
      <c r="EX64" s="24"/>
      <c r="EY64" s="24"/>
      <c r="EZ64" s="24"/>
      <c r="FA64" s="24"/>
      <c r="FB64" s="24"/>
      <c r="FC64" s="24"/>
      <c r="FD64" s="24"/>
      <c r="FE64" s="24"/>
      <c r="FF64" s="24"/>
      <c r="FG64" s="24"/>
      <c r="FH64" s="24"/>
      <c r="FI64" s="24"/>
      <c r="FJ64" s="24"/>
      <c r="FK64" s="24"/>
      <c r="FL64" s="24"/>
      <c r="FM64" s="24"/>
      <c r="FN64" s="24"/>
      <c r="FO64" s="24"/>
      <c r="FP64" s="24"/>
      <c r="FQ64" s="24"/>
      <c r="FR64" s="24"/>
      <c r="FS64" s="24"/>
      <c r="FT64" s="24"/>
      <c r="FU64" s="24"/>
      <c r="FV64" s="24"/>
      <c r="FW64" s="24"/>
      <c r="FX64" s="24"/>
      <c r="FY64" s="24"/>
      <c r="FZ64" s="24"/>
      <c r="GA64" s="24"/>
      <c r="GB64" s="24"/>
      <c r="GC64" s="24"/>
      <c r="GD64" s="24"/>
      <c r="GE64" s="24"/>
      <c r="GF64" s="24"/>
      <c r="GG64" s="24"/>
      <c r="GH64" s="24"/>
      <c r="GI64" s="24"/>
      <c r="GJ64" s="24"/>
      <c r="GK64" s="24"/>
      <c r="GL64" s="24"/>
      <c r="GM64" s="24"/>
      <c r="GN64" s="24"/>
      <c r="GO64" s="24"/>
      <c r="GP64" s="24"/>
      <c r="GQ64" s="24"/>
      <c r="GR64" s="24"/>
      <c r="GS64" s="23"/>
      <c r="GT64" s="23"/>
      <c r="GU64" s="23"/>
      <c r="GV64" s="23"/>
      <c r="GW64" s="22"/>
      <c r="GX64" s="22"/>
      <c r="GY64" s="22"/>
      <c r="GZ64" s="22"/>
      <c r="HA64" s="22"/>
      <c r="HB64" s="22"/>
      <c r="HC64" s="22"/>
      <c r="HD64" s="22"/>
      <c r="HE64" s="22"/>
      <c r="HF64" s="22"/>
      <c r="HG64" s="22"/>
      <c r="HH64" s="22"/>
      <c r="HI64" s="22"/>
      <c r="HJ64" s="22"/>
      <c r="HK64" s="22"/>
      <c r="HL64" s="21"/>
      <c r="HM64" s="19"/>
      <c r="HN64" s="19"/>
      <c r="HO64" s="19"/>
      <c r="HP64" s="20"/>
      <c r="HQ64" s="19"/>
      <c r="HR64" s="16"/>
      <c r="HS64" s="16"/>
      <c r="HT64" s="18"/>
      <c r="HU64" s="16"/>
      <c r="HV64" s="16"/>
      <c r="HW64" s="16"/>
      <c r="HX64" s="15"/>
      <c r="HY64" s="15"/>
      <c r="HZ64" s="15"/>
      <c r="IA64" s="15"/>
      <c r="IB64" s="15"/>
      <c r="IC64" s="16"/>
      <c r="ID64" s="16"/>
      <c r="IE64" s="15"/>
      <c r="IF64" s="15"/>
      <c r="IG64" s="15"/>
      <c r="IH64" s="15"/>
      <c r="II64" s="15"/>
      <c r="IJ64" s="15"/>
      <c r="IK64" s="15"/>
      <c r="IL64" s="15"/>
      <c r="IM64" s="15"/>
      <c r="IN64" s="15"/>
      <c r="IO64" s="15"/>
      <c r="IP64" s="17"/>
      <c r="IQ64" s="15"/>
      <c r="IR64" s="15"/>
      <c r="IS64" s="15"/>
      <c r="IT64" s="15"/>
      <c r="IU64" s="15"/>
      <c r="IV64" s="15"/>
      <c r="IW64" s="15"/>
      <c r="IX64" s="15"/>
      <c r="IY64" s="15"/>
      <c r="IZ64" s="15"/>
      <c r="JA64" s="15"/>
      <c r="JB64" s="15"/>
      <c r="JC64" s="15"/>
      <c r="JD64" s="15"/>
      <c r="JE64" s="15"/>
      <c r="JF64" s="15"/>
      <c r="JG64" s="15"/>
      <c r="JH64" s="15"/>
      <c r="JI64" s="15"/>
      <c r="JJ64" s="15"/>
      <c r="JK64" s="15"/>
      <c r="JL64" s="15"/>
      <c r="JM64" s="15"/>
      <c r="JN64" s="16"/>
      <c r="JO64" s="16"/>
      <c r="JP64" s="16"/>
      <c r="JQ64" s="16"/>
      <c r="JR64" s="16"/>
      <c r="JS64" s="16"/>
      <c r="JT64" s="16"/>
      <c r="JU64" s="16"/>
      <c r="JV64" s="16"/>
      <c r="JW64" s="16"/>
      <c r="JX64" s="16"/>
      <c r="JY64" s="16"/>
      <c r="JZ64" s="16"/>
      <c r="KA64" s="16"/>
      <c r="KB64" s="16"/>
      <c r="KC64" s="16"/>
      <c r="KD64" s="16"/>
      <c r="KE64" s="16"/>
      <c r="KF64" s="16"/>
      <c r="KG64" s="16"/>
      <c r="KH64" s="16"/>
      <c r="KI64" s="16"/>
      <c r="KJ64" s="16"/>
      <c r="KK64" s="16"/>
      <c r="KL64" s="16"/>
      <c r="KM64" s="16"/>
      <c r="KN64" s="16"/>
      <c r="KO64" s="16"/>
      <c r="KP64" s="16"/>
      <c r="KQ64" s="16"/>
      <c r="KR64" s="16"/>
      <c r="KS64" s="16"/>
      <c r="KT64" s="15"/>
      <c r="KU64" s="15"/>
      <c r="KV64" s="15"/>
      <c r="KW64" s="15"/>
      <c r="KX64" s="15"/>
      <c r="KY64" s="15"/>
      <c r="KZ64" s="15"/>
      <c r="LA64" s="15"/>
      <c r="LB64" s="15"/>
      <c r="LC64" s="15"/>
      <c r="LD64" s="15"/>
      <c r="LE64" s="15"/>
      <c r="LF64" s="15"/>
      <c r="LG64" s="15"/>
      <c r="LH64" s="15"/>
      <c r="LI64" s="15"/>
      <c r="LJ64" s="15"/>
      <c r="LK64" s="15"/>
      <c r="LL64" s="15"/>
      <c r="LM64" s="15"/>
      <c r="LN64" s="473">
        <f t="shared" si="22"/>
        <v>0</v>
      </c>
    </row>
    <row r="65" spans="1:326" ht="14.7" customHeight="1">
      <c r="A65" s="1161"/>
      <c r="B65" s="31" t="s">
        <v>58</v>
      </c>
      <c r="C65" s="31" t="s">
        <v>58</v>
      </c>
      <c r="D65" s="31" t="s">
        <v>58</v>
      </c>
      <c r="E65" s="31" t="s">
        <v>57</v>
      </c>
      <c r="F65" s="31"/>
      <c r="G65" s="31"/>
      <c r="H65" s="31" t="s">
        <v>56</v>
      </c>
      <c r="I65" s="31" t="s">
        <v>56</v>
      </c>
      <c r="J65" s="31" t="s">
        <v>56</v>
      </c>
      <c r="K65" s="31" t="s">
        <v>55</v>
      </c>
      <c r="L65" s="31" t="s">
        <v>54</v>
      </c>
      <c r="M65" s="31" t="s">
        <v>54</v>
      </c>
      <c r="N65" s="31" t="s">
        <v>54</v>
      </c>
      <c r="O65" s="31"/>
      <c r="P65" s="29" t="s">
        <v>53</v>
      </c>
      <c r="Q65" s="29">
        <v>1.35E-2</v>
      </c>
      <c r="R65" s="29">
        <v>1.35E-2</v>
      </c>
      <c r="S65" s="29">
        <v>1.35E-2</v>
      </c>
      <c r="T65" s="29">
        <v>1.35E-2</v>
      </c>
      <c r="U65" s="29">
        <v>1.35E-2</v>
      </c>
      <c r="V65" s="29">
        <v>1.35E-2</v>
      </c>
      <c r="W65" s="29">
        <v>1.35E-2</v>
      </c>
      <c r="X65" s="29">
        <v>1.35E-2</v>
      </c>
      <c r="Y65" s="29">
        <v>1.35E-2</v>
      </c>
      <c r="Z65" s="29">
        <v>1.35E-2</v>
      </c>
      <c r="AA65" s="29">
        <v>1.35E-2</v>
      </c>
      <c r="AB65" s="29">
        <v>1.35E-2</v>
      </c>
      <c r="AC65" s="29">
        <v>1.35E-2</v>
      </c>
      <c r="AD65" s="29">
        <v>1.35E-2</v>
      </c>
      <c r="AE65" s="29">
        <v>1.35E-2</v>
      </c>
      <c r="AF65" s="29">
        <v>1.35E-2</v>
      </c>
      <c r="AG65" s="29">
        <v>1.35E-2</v>
      </c>
      <c r="AH65" s="29">
        <v>1.35E-2</v>
      </c>
      <c r="AI65" s="29">
        <v>1.35E-2</v>
      </c>
      <c r="AJ65" s="29">
        <v>1.35E-2</v>
      </c>
      <c r="AK65" s="29">
        <v>1.35E-2</v>
      </c>
      <c r="AL65" s="29">
        <v>1.35E-2</v>
      </c>
      <c r="AM65" s="29">
        <v>1.35E-2</v>
      </c>
      <c r="AN65" s="29">
        <v>1.35E-2</v>
      </c>
      <c r="AO65" s="29">
        <v>1.35E-2</v>
      </c>
      <c r="AP65" s="29">
        <v>1.35E-2</v>
      </c>
      <c r="AQ65" s="29">
        <v>1.35E-2</v>
      </c>
      <c r="AR65" s="29">
        <v>1.35E-2</v>
      </c>
      <c r="AS65" s="29">
        <v>1.35E-2</v>
      </c>
      <c r="AT65" s="29">
        <v>1.35E-2</v>
      </c>
      <c r="AU65" s="29">
        <v>1.35E-2</v>
      </c>
      <c r="AV65" s="29">
        <v>1.35E-2</v>
      </c>
      <c r="AW65" s="29">
        <v>1.35E-2</v>
      </c>
      <c r="AX65" s="29">
        <v>1.35E-2</v>
      </c>
      <c r="AY65" s="30">
        <v>1.35E-2</v>
      </c>
      <c r="AZ65" s="29">
        <v>1.35E-2</v>
      </c>
      <c r="BA65" s="29">
        <v>1.35E-2</v>
      </c>
      <c r="BB65" s="29">
        <v>1.35E-2</v>
      </c>
      <c r="BC65" s="29">
        <v>1.35E-2</v>
      </c>
      <c r="BD65" s="29">
        <v>1.35E-2</v>
      </c>
      <c r="BE65" s="29">
        <v>1.35E-2</v>
      </c>
      <c r="BF65" s="29">
        <v>1.35E-2</v>
      </c>
      <c r="BG65" s="29">
        <v>1.35E-2</v>
      </c>
      <c r="BH65" s="28">
        <v>1.35E-2</v>
      </c>
      <c r="BI65" s="27"/>
      <c r="BJ65" s="26"/>
      <c r="BK65" s="24"/>
      <c r="BL65" s="24"/>
      <c r="BM65" s="24"/>
      <c r="BN65" s="24"/>
      <c r="BO65" s="24"/>
      <c r="BP65" s="24"/>
      <c r="BQ65" s="24"/>
      <c r="BR65" s="24"/>
      <c r="BS65" s="24"/>
      <c r="BT65" s="24"/>
      <c r="BU65" s="24"/>
      <c r="BV65" s="24"/>
      <c r="BW65" s="24"/>
      <c r="BX65" s="24"/>
      <c r="BY65" s="24"/>
      <c r="BZ65" s="24"/>
      <c r="CA65" s="24"/>
      <c r="CB65" s="24"/>
      <c r="CC65" s="24"/>
      <c r="CD65" s="24"/>
      <c r="CE65" s="24"/>
      <c r="CF65" s="24"/>
      <c r="CG65" s="24"/>
      <c r="CH65" s="24"/>
      <c r="CI65" s="24"/>
      <c r="CJ65" s="24"/>
      <c r="CK65" s="24"/>
      <c r="CL65" s="24"/>
      <c r="CM65" s="24"/>
      <c r="CN65" s="24"/>
      <c r="CO65" s="24"/>
      <c r="CP65" s="24"/>
      <c r="CQ65" s="24"/>
      <c r="CR65" s="24"/>
      <c r="CS65" s="24"/>
      <c r="CT65" s="24"/>
      <c r="CU65" s="24"/>
      <c r="CV65" s="24"/>
      <c r="CW65" s="24"/>
      <c r="CX65" s="24"/>
      <c r="CY65" s="24"/>
      <c r="CZ65" s="24"/>
      <c r="DA65" s="24"/>
      <c r="DB65" s="24"/>
      <c r="DC65" s="24"/>
      <c r="DD65" s="24"/>
      <c r="DE65" s="24"/>
      <c r="DF65" s="24"/>
      <c r="DG65" s="24"/>
      <c r="DH65" s="24"/>
      <c r="DI65" s="24"/>
      <c r="DJ65" s="24"/>
      <c r="DK65" s="24"/>
      <c r="DL65" s="24"/>
      <c r="DM65" s="24"/>
      <c r="DN65" s="24"/>
      <c r="DO65" s="24"/>
      <c r="DP65" s="24"/>
      <c r="DQ65" s="25"/>
      <c r="DR65" s="25"/>
      <c r="DS65" s="25"/>
      <c r="DT65" s="24"/>
      <c r="DU65" s="24"/>
      <c r="DV65" s="24"/>
      <c r="DW65" s="24"/>
      <c r="DX65" s="24"/>
      <c r="DY65" s="24"/>
      <c r="DZ65" s="24"/>
      <c r="EA65" s="24"/>
      <c r="EB65" s="24"/>
      <c r="EC65" s="24"/>
      <c r="ED65" s="24"/>
      <c r="EE65" s="24"/>
      <c r="EF65" s="24"/>
      <c r="EG65" s="24"/>
      <c r="EH65" s="24"/>
      <c r="EI65" s="24"/>
      <c r="EJ65" s="24"/>
      <c r="EK65" s="24"/>
      <c r="EL65" s="24"/>
      <c r="EM65" s="24"/>
      <c r="EN65" s="24"/>
      <c r="EO65" s="24"/>
      <c r="EP65" s="24"/>
      <c r="EQ65" s="24"/>
      <c r="ER65" s="24"/>
      <c r="ES65" s="24"/>
      <c r="ET65" s="24"/>
      <c r="EU65" s="24"/>
      <c r="EV65" s="24"/>
      <c r="EW65" s="24"/>
      <c r="EX65" s="24"/>
      <c r="EY65" s="24"/>
      <c r="EZ65" s="24"/>
      <c r="FA65" s="24"/>
      <c r="FB65" s="24"/>
      <c r="FC65" s="24"/>
      <c r="FD65" s="24"/>
      <c r="FE65" s="24"/>
      <c r="FF65" s="24"/>
      <c r="FG65" s="24"/>
      <c r="FH65" s="24"/>
      <c r="FI65" s="24"/>
      <c r="FJ65" s="24"/>
      <c r="FK65" s="24"/>
      <c r="FL65" s="24"/>
      <c r="FM65" s="24"/>
      <c r="FN65" s="24"/>
      <c r="FO65" s="24"/>
      <c r="FP65" s="24"/>
      <c r="FQ65" s="24"/>
      <c r="FR65" s="24"/>
      <c r="FS65" s="24"/>
      <c r="FT65" s="24"/>
      <c r="FU65" s="24"/>
      <c r="FV65" s="24"/>
      <c r="FW65" s="24"/>
      <c r="FX65" s="24"/>
      <c r="FY65" s="24"/>
      <c r="FZ65" s="24"/>
      <c r="GA65" s="24"/>
      <c r="GB65" s="24"/>
      <c r="GC65" s="24"/>
      <c r="GD65" s="24"/>
      <c r="GE65" s="24"/>
      <c r="GF65" s="24"/>
      <c r="GG65" s="24"/>
      <c r="GH65" s="24"/>
      <c r="GI65" s="24"/>
      <c r="GJ65" s="24"/>
      <c r="GK65" s="24"/>
      <c r="GL65" s="24"/>
      <c r="GM65" s="24"/>
      <c r="GN65" s="24"/>
      <c r="GO65" s="24"/>
      <c r="GP65" s="24"/>
      <c r="GQ65" s="24"/>
      <c r="GR65" s="24"/>
      <c r="GS65" s="23"/>
      <c r="GT65" s="23"/>
      <c r="GU65" s="23"/>
      <c r="GV65" s="23"/>
      <c r="GW65" s="22"/>
      <c r="GX65" s="22"/>
      <c r="GY65" s="22"/>
      <c r="GZ65" s="22"/>
      <c r="HA65" s="22"/>
      <c r="HB65" s="22"/>
      <c r="HC65" s="22"/>
      <c r="HD65" s="22"/>
      <c r="HE65" s="22"/>
      <c r="HF65" s="22"/>
      <c r="HG65" s="22"/>
      <c r="HH65" s="22"/>
      <c r="HI65" s="22"/>
      <c r="HJ65" s="22"/>
      <c r="HK65" s="22"/>
      <c r="HL65" s="21"/>
      <c r="HM65" s="19"/>
      <c r="HN65" s="19"/>
      <c r="HO65" s="19"/>
      <c r="HP65" s="20"/>
      <c r="HQ65" s="19"/>
      <c r="HR65" s="16"/>
      <c r="HS65" s="16"/>
      <c r="HT65" s="18"/>
      <c r="HU65" s="16"/>
      <c r="HV65" s="16"/>
      <c r="HW65" s="16"/>
      <c r="HX65" s="15"/>
      <c r="HY65" s="15"/>
      <c r="HZ65" s="15"/>
      <c r="IA65" s="15"/>
      <c r="IB65" s="15"/>
      <c r="IC65" s="16"/>
      <c r="ID65" s="16"/>
      <c r="IE65" s="15"/>
      <c r="IF65" s="15"/>
      <c r="IG65" s="15"/>
      <c r="IH65" s="15"/>
      <c r="II65" s="15"/>
      <c r="IJ65" s="15"/>
      <c r="IK65" s="15"/>
      <c r="IL65" s="15"/>
      <c r="IM65" s="15"/>
      <c r="IN65" s="15"/>
      <c r="IO65" s="15"/>
      <c r="IP65" s="17"/>
      <c r="IQ65" s="15"/>
      <c r="IR65" s="15"/>
      <c r="IS65" s="15"/>
      <c r="IT65" s="15"/>
      <c r="IU65" s="15"/>
      <c r="IV65" s="15"/>
      <c r="IW65" s="15"/>
      <c r="IX65" s="15"/>
      <c r="IY65" s="15"/>
      <c r="IZ65" s="15"/>
      <c r="JA65" s="15"/>
      <c r="JB65" s="15"/>
      <c r="JC65" s="15"/>
      <c r="JD65" s="15"/>
      <c r="JE65" s="15"/>
      <c r="JF65" s="15"/>
      <c r="JG65" s="15"/>
      <c r="JH65" s="15"/>
      <c r="JI65" s="15"/>
      <c r="JJ65" s="15"/>
      <c r="JK65" s="15"/>
      <c r="JL65" s="15"/>
      <c r="JM65" s="15"/>
      <c r="JN65" s="16"/>
      <c r="JO65" s="16"/>
      <c r="JP65" s="16"/>
      <c r="JQ65" s="16"/>
      <c r="JR65" s="16"/>
      <c r="JS65" s="16"/>
      <c r="JT65" s="16"/>
      <c r="JU65" s="16"/>
      <c r="JV65" s="16"/>
      <c r="JW65" s="16"/>
      <c r="JX65" s="16"/>
      <c r="JY65" s="16"/>
      <c r="JZ65" s="16"/>
      <c r="KA65" s="16"/>
      <c r="KB65" s="16"/>
      <c r="KC65" s="16"/>
      <c r="KD65" s="16"/>
      <c r="KE65" s="16"/>
      <c r="KF65" s="16"/>
      <c r="KG65" s="16"/>
      <c r="KH65" s="16"/>
      <c r="KI65" s="16"/>
      <c r="KJ65" s="16"/>
      <c r="KK65" s="16"/>
      <c r="KL65" s="16"/>
      <c r="KM65" s="16"/>
      <c r="KN65" s="16"/>
      <c r="KO65" s="16"/>
      <c r="KP65" s="16"/>
      <c r="KQ65" s="16"/>
      <c r="KR65" s="16"/>
      <c r="KS65" s="16"/>
      <c r="KT65" s="15"/>
      <c r="KU65" s="15"/>
      <c r="KV65" s="15"/>
      <c r="KW65" s="15"/>
      <c r="KX65" s="15"/>
      <c r="KY65" s="15"/>
      <c r="KZ65" s="15"/>
      <c r="LA65" s="15"/>
      <c r="LB65" s="15"/>
      <c r="LC65" s="15"/>
      <c r="LD65" s="15"/>
      <c r="LE65" s="15"/>
      <c r="LF65" s="15"/>
      <c r="LG65" s="15"/>
      <c r="LH65" s="15"/>
      <c r="LI65" s="15"/>
      <c r="LJ65" s="15"/>
      <c r="LK65" s="15"/>
      <c r="LL65" s="15"/>
      <c r="LM65" s="15"/>
      <c r="LN65" s="473">
        <f t="shared" si="22"/>
        <v>0</v>
      </c>
    </row>
    <row r="66" spans="1:326" ht="14.7" customHeight="1">
      <c r="A66" s="1167" t="s">
        <v>598</v>
      </c>
      <c r="B66" s="60"/>
      <c r="C66" s="60"/>
      <c r="D66" s="60"/>
      <c r="E66" s="60"/>
      <c r="F66" s="60"/>
      <c r="G66" s="60"/>
      <c r="H66" s="60"/>
      <c r="I66" s="60"/>
      <c r="J66" s="60"/>
      <c r="K66" s="60"/>
      <c r="L66" s="60"/>
      <c r="M66" s="60"/>
      <c r="N66" s="61"/>
      <c r="O66" s="60"/>
      <c r="P66" s="738" t="s">
        <v>219</v>
      </c>
      <c r="Q66" s="626">
        <v>5.0000000000000001E-3</v>
      </c>
      <c r="R66" s="626">
        <v>5.0000000000000001E-3</v>
      </c>
      <c r="S66" s="626">
        <v>5.0000000000000001E-3</v>
      </c>
      <c r="T66" s="626">
        <v>5.0000000000000001E-3</v>
      </c>
      <c r="U66" s="626">
        <v>5.0000000000000001E-3</v>
      </c>
      <c r="V66" s="626">
        <v>5.0000000000000001E-3</v>
      </c>
      <c r="W66" s="626">
        <v>5.0000000000000001E-3</v>
      </c>
      <c r="X66" s="626">
        <v>5.0000000000000001E-3</v>
      </c>
      <c r="Y66" s="626">
        <v>5.0000000000000001E-3</v>
      </c>
      <c r="Z66" s="626">
        <v>5.0000000000000001E-3</v>
      </c>
      <c r="AA66" s="626">
        <v>5.0000000000000001E-3</v>
      </c>
      <c r="AB66" s="626">
        <v>5.0000000000000001E-3</v>
      </c>
      <c r="AC66" s="626">
        <v>5.0000000000000001E-3</v>
      </c>
      <c r="AD66" s="626">
        <v>5.0000000000000001E-3</v>
      </c>
      <c r="AE66" s="626">
        <v>5.0000000000000001E-3</v>
      </c>
      <c r="AF66" s="626">
        <v>5.0000000000000001E-3</v>
      </c>
      <c r="AG66" s="614">
        <v>5.0000000000000001E-3</v>
      </c>
      <c r="AH66" s="614">
        <v>5.0000000000000001E-3</v>
      </c>
      <c r="AI66" s="590">
        <v>5.0000000000000001E-3</v>
      </c>
      <c r="AJ66" s="595" t="s">
        <v>599</v>
      </c>
      <c r="AK66" s="593"/>
      <c r="AL66" s="593"/>
      <c r="AM66" s="593"/>
      <c r="AN66" s="593"/>
      <c r="AO66" s="593"/>
      <c r="AP66" s="593"/>
      <c r="AQ66" s="593"/>
      <c r="AR66" s="593"/>
      <c r="AS66" s="593"/>
      <c r="AT66" s="593"/>
      <c r="AU66" s="593"/>
      <c r="AV66" s="593"/>
      <c r="AW66" s="593"/>
      <c r="AX66" s="593"/>
      <c r="AY66" s="592"/>
      <c r="AZ66" s="593"/>
      <c r="BA66" s="593"/>
      <c r="BB66" s="593"/>
      <c r="BC66" s="593"/>
      <c r="BD66" s="593"/>
      <c r="BE66" s="593"/>
      <c r="BF66" s="593"/>
      <c r="BG66" s="593"/>
      <c r="BH66" s="594"/>
      <c r="BI66" s="26"/>
      <c r="BJ66" s="26"/>
      <c r="BK66" s="24"/>
      <c r="BL66" s="24"/>
      <c r="BM66" s="24"/>
      <c r="BN66" s="24"/>
      <c r="BO66" s="24"/>
      <c r="BP66" s="24"/>
      <c r="BQ66" s="24"/>
      <c r="BR66" s="24"/>
      <c r="BS66" s="24"/>
      <c r="BT66" s="24"/>
      <c r="BU66" s="24"/>
      <c r="BV66" s="24"/>
      <c r="BW66" s="24"/>
      <c r="BX66" s="24"/>
      <c r="BY66" s="24"/>
      <c r="BZ66" s="24"/>
      <c r="CA66" s="24"/>
      <c r="CB66" s="24"/>
      <c r="CC66" s="24"/>
      <c r="CD66" s="24"/>
      <c r="CE66" s="24"/>
      <c r="CF66" s="24"/>
      <c r="CG66" s="24"/>
      <c r="CH66" s="24"/>
      <c r="CI66" s="24"/>
      <c r="CJ66" s="24"/>
      <c r="CK66" s="24"/>
      <c r="CL66" s="24"/>
      <c r="CM66" s="24"/>
      <c r="CN66" s="24"/>
      <c r="CO66" s="24"/>
      <c r="CP66" s="24"/>
      <c r="CQ66" s="24"/>
      <c r="CR66" s="24"/>
      <c r="CS66" s="24"/>
      <c r="CT66" s="24"/>
      <c r="CU66" s="24"/>
      <c r="CV66" s="24"/>
      <c r="CW66" s="24"/>
      <c r="CX66" s="24"/>
      <c r="CY66" s="24"/>
      <c r="CZ66" s="24"/>
      <c r="DA66" s="24"/>
      <c r="DB66" s="24"/>
      <c r="DC66" s="24"/>
      <c r="DD66" s="24"/>
      <c r="DE66" s="24"/>
      <c r="DF66" s="24"/>
      <c r="DG66" s="24"/>
      <c r="DH66" s="24"/>
      <c r="DI66" s="24"/>
      <c r="DJ66" s="24"/>
      <c r="DK66" s="24"/>
      <c r="DL66" s="24"/>
      <c r="DM66" s="24"/>
      <c r="DN66" s="24"/>
      <c r="DO66" s="24"/>
      <c r="DP66" s="24"/>
      <c r="DQ66" s="25"/>
      <c r="DR66" s="25"/>
      <c r="DS66" s="25"/>
      <c r="DT66" s="24"/>
      <c r="DU66" s="24"/>
      <c r="DV66" s="24"/>
      <c r="DW66" s="24"/>
      <c r="DX66" s="24"/>
      <c r="DY66" s="24"/>
      <c r="DZ66" s="24"/>
      <c r="EA66" s="24"/>
      <c r="EB66" s="24"/>
      <c r="EC66" s="24"/>
      <c r="ED66" s="24"/>
      <c r="EE66" s="24"/>
      <c r="EF66" s="24"/>
      <c r="EG66" s="24"/>
      <c r="EH66" s="24"/>
      <c r="EI66" s="24"/>
      <c r="EJ66" s="24"/>
      <c r="EK66" s="24"/>
      <c r="EL66" s="24"/>
      <c r="EM66" s="24"/>
      <c r="EN66" s="24"/>
      <c r="EO66" s="24"/>
      <c r="EP66" s="24"/>
      <c r="EQ66" s="24"/>
      <c r="ER66" s="24"/>
      <c r="ES66" s="24"/>
      <c r="ET66" s="24"/>
      <c r="EU66" s="24"/>
      <c r="EV66" s="24"/>
      <c r="EW66" s="24"/>
      <c r="EX66" s="24"/>
      <c r="EY66" s="24"/>
      <c r="EZ66" s="24"/>
      <c r="FA66" s="24"/>
      <c r="FB66" s="24"/>
      <c r="FC66" s="24"/>
      <c r="FD66" s="24"/>
      <c r="FE66" s="24"/>
      <c r="FF66" s="24"/>
      <c r="FG66" s="24"/>
      <c r="FH66" s="24"/>
      <c r="FI66" s="24"/>
      <c r="FJ66" s="24"/>
      <c r="FK66" s="24"/>
      <c r="FL66" s="24"/>
      <c r="FM66" s="24"/>
      <c r="FN66" s="24"/>
      <c r="FO66" s="24"/>
      <c r="FP66" s="24"/>
      <c r="FQ66" s="24"/>
      <c r="FR66" s="24"/>
      <c r="FS66" s="24"/>
      <c r="FT66" s="24"/>
      <c r="FU66" s="24"/>
      <c r="FV66" s="24"/>
      <c r="FW66" s="24"/>
      <c r="FX66" s="24"/>
      <c r="FY66" s="24"/>
      <c r="FZ66" s="24"/>
      <c r="GA66" s="24"/>
      <c r="GB66" s="24"/>
      <c r="GC66" s="24"/>
      <c r="GD66" s="24"/>
      <c r="GE66" s="24"/>
      <c r="GF66" s="24"/>
      <c r="GG66" s="24"/>
      <c r="GH66" s="24"/>
      <c r="GI66" s="24"/>
      <c r="GJ66" s="24"/>
      <c r="GK66" s="24"/>
      <c r="GL66" s="24"/>
      <c r="GM66" s="24"/>
      <c r="GN66" s="24"/>
      <c r="GO66" s="24"/>
      <c r="GP66" s="24"/>
      <c r="GQ66" s="24"/>
      <c r="GR66" s="24"/>
      <c r="GS66" s="23"/>
      <c r="GT66" s="23"/>
      <c r="GU66" s="23"/>
      <c r="GV66" s="23"/>
      <c r="GW66" s="22"/>
      <c r="GX66" s="22"/>
      <c r="GY66" s="22"/>
      <c r="GZ66" s="22"/>
      <c r="HA66" s="22"/>
      <c r="HB66" s="22"/>
      <c r="HC66" s="22"/>
      <c r="HD66" s="22"/>
      <c r="HE66" s="22"/>
      <c r="HF66" s="22"/>
      <c r="HG66" s="22"/>
      <c r="HH66" s="22"/>
      <c r="HI66" s="22"/>
      <c r="HJ66" s="22"/>
      <c r="HK66" s="22"/>
      <c r="HL66" s="21"/>
      <c r="HM66" s="19"/>
      <c r="HN66" s="19"/>
      <c r="HO66" s="19"/>
      <c r="HP66" s="20"/>
      <c r="HQ66" s="19"/>
      <c r="HR66" s="16"/>
      <c r="HS66" s="16"/>
      <c r="HT66" s="18"/>
      <c r="HU66" s="16"/>
      <c r="HV66" s="16"/>
      <c r="HW66" s="16"/>
      <c r="HX66" s="15"/>
      <c r="HY66" s="15"/>
      <c r="HZ66" s="15"/>
      <c r="IA66" s="15"/>
      <c r="IB66" s="15"/>
      <c r="IC66" s="16"/>
      <c r="ID66" s="16"/>
      <c r="IE66" s="15"/>
      <c r="IF66" s="15"/>
      <c r="IG66" s="15"/>
      <c r="IH66" s="15"/>
      <c r="II66" s="15"/>
      <c r="IJ66" s="15"/>
      <c r="IK66" s="15"/>
      <c r="IL66" s="15"/>
      <c r="IM66" s="15"/>
      <c r="IN66" s="15"/>
      <c r="IO66" s="15"/>
      <c r="IP66" s="17"/>
      <c r="IQ66" s="15"/>
      <c r="IR66" s="15"/>
      <c r="IS66" s="15"/>
      <c r="IT66" s="15"/>
      <c r="IU66" s="15"/>
      <c r="IV66" s="15"/>
      <c r="IW66" s="15"/>
      <c r="IX66" s="15"/>
      <c r="IY66" s="15"/>
      <c r="IZ66" s="15"/>
      <c r="JA66" s="15"/>
      <c r="JB66" s="15"/>
      <c r="JC66" s="15"/>
      <c r="JD66" s="15"/>
      <c r="JE66" s="15"/>
      <c r="JF66" s="15"/>
      <c r="JG66" s="15"/>
      <c r="JH66" s="15"/>
      <c r="JI66" s="15"/>
      <c r="JJ66" s="15"/>
      <c r="JK66" s="15"/>
      <c r="JL66" s="15"/>
      <c r="JM66" s="15"/>
      <c r="JN66" s="16"/>
      <c r="JO66" s="16"/>
      <c r="JP66" s="16"/>
      <c r="JQ66" s="16"/>
      <c r="JR66" s="16"/>
      <c r="JS66" s="16"/>
      <c r="JT66" s="16"/>
      <c r="JU66" s="16"/>
      <c r="JV66" s="16"/>
      <c r="JW66" s="16"/>
      <c r="JX66" s="16"/>
      <c r="JY66" s="16"/>
      <c r="JZ66" s="16"/>
      <c r="KA66" s="16"/>
      <c r="KB66" s="16"/>
      <c r="KC66" s="16"/>
      <c r="KD66" s="16"/>
      <c r="KE66" s="16"/>
      <c r="KF66" s="16"/>
      <c r="KG66" s="16"/>
      <c r="KH66" s="16"/>
      <c r="KI66" s="16"/>
      <c r="KJ66" s="16"/>
      <c r="KK66" s="16"/>
      <c r="KL66" s="16"/>
      <c r="KM66" s="16"/>
      <c r="KN66" s="16"/>
      <c r="KO66" s="16"/>
      <c r="KP66" s="16"/>
      <c r="KQ66" s="16"/>
      <c r="KR66" s="16"/>
      <c r="KS66" s="16"/>
      <c r="KT66" s="15"/>
      <c r="KU66" s="15"/>
      <c r="KV66" s="15"/>
      <c r="KW66" s="15"/>
      <c r="KX66" s="15"/>
      <c r="KY66" s="15"/>
      <c r="KZ66" s="15"/>
      <c r="LA66" s="15"/>
      <c r="LB66" s="15"/>
      <c r="LC66" s="15"/>
      <c r="LD66" s="15"/>
      <c r="LE66" s="15"/>
      <c r="LF66" s="15"/>
      <c r="LG66" s="15"/>
      <c r="LH66" s="15"/>
      <c r="LI66" s="15"/>
      <c r="LJ66" s="15"/>
      <c r="LK66" s="15"/>
      <c r="LL66" s="15"/>
      <c r="LM66" s="15"/>
      <c r="LN66" s="473">
        <f t="shared" si="22"/>
        <v>0</v>
      </c>
    </row>
    <row r="67" spans="1:326" ht="14.7" customHeight="1">
      <c r="A67" s="1168"/>
      <c r="B67" s="60"/>
      <c r="C67" s="60"/>
      <c r="D67" s="60"/>
      <c r="E67" s="60"/>
      <c r="F67" s="60"/>
      <c r="G67" s="60"/>
      <c r="H67" s="60"/>
      <c r="I67" s="60"/>
      <c r="J67" s="60"/>
      <c r="K67" s="60"/>
      <c r="L67" s="60"/>
      <c r="M67" s="60"/>
      <c r="N67" s="61"/>
      <c r="O67" s="60"/>
      <c r="P67" s="738" t="s">
        <v>218</v>
      </c>
      <c r="Q67" s="626">
        <v>6.0000000000000001E-3</v>
      </c>
      <c r="R67" s="626">
        <v>6.0000000000000001E-3</v>
      </c>
      <c r="S67" s="626">
        <v>6.0000000000000001E-3</v>
      </c>
      <c r="T67" s="626">
        <v>6.0000000000000001E-3</v>
      </c>
      <c r="U67" s="626">
        <v>6.0000000000000001E-3</v>
      </c>
      <c r="V67" s="626">
        <v>6.0000000000000001E-3</v>
      </c>
      <c r="W67" s="626">
        <v>6.0000000000000001E-3</v>
      </c>
      <c r="X67" s="626">
        <v>6.0000000000000001E-3</v>
      </c>
      <c r="Y67" s="626">
        <v>6.0000000000000001E-3</v>
      </c>
      <c r="Z67" s="626">
        <v>6.0000000000000001E-3</v>
      </c>
      <c r="AA67" s="626">
        <v>6.0000000000000001E-3</v>
      </c>
      <c r="AB67" s="626">
        <v>6.0000000000000001E-3</v>
      </c>
      <c r="AC67" s="626">
        <v>6.0000000000000001E-3</v>
      </c>
      <c r="AD67" s="626">
        <v>6.0000000000000001E-3</v>
      </c>
      <c r="AE67" s="626">
        <v>6.0000000000000001E-3</v>
      </c>
      <c r="AF67" s="626">
        <v>6.0000000000000001E-3</v>
      </c>
      <c r="AG67" s="614">
        <v>6.0000000000000001E-3</v>
      </c>
      <c r="AH67" s="614">
        <v>6.0000000000000001E-3</v>
      </c>
      <c r="AI67" s="590">
        <v>6.0000000000000001E-3</v>
      </c>
      <c r="AJ67" s="595" t="s">
        <v>599</v>
      </c>
      <c r="AK67" s="593"/>
      <c r="AL67" s="593"/>
      <c r="AM67" s="593"/>
      <c r="AN67" s="593"/>
      <c r="AO67" s="593"/>
      <c r="AP67" s="593"/>
      <c r="AQ67" s="593"/>
      <c r="AR67" s="593"/>
      <c r="AS67" s="593"/>
      <c r="AT67" s="593"/>
      <c r="AU67" s="593"/>
      <c r="AV67" s="593"/>
      <c r="AW67" s="593"/>
      <c r="AX67" s="593"/>
      <c r="AY67" s="592"/>
      <c r="AZ67" s="593"/>
      <c r="BA67" s="593"/>
      <c r="BB67" s="593"/>
      <c r="BC67" s="593"/>
      <c r="BD67" s="593"/>
      <c r="BE67" s="593"/>
      <c r="BF67" s="593"/>
      <c r="BG67" s="593"/>
      <c r="BH67" s="594"/>
      <c r="BI67" s="26"/>
      <c r="BJ67" s="26"/>
      <c r="BK67" s="24"/>
      <c r="BL67" s="24"/>
      <c r="BM67" s="24"/>
      <c r="BN67" s="24"/>
      <c r="BO67" s="24"/>
      <c r="BP67" s="24"/>
      <c r="BQ67" s="24"/>
      <c r="BR67" s="24"/>
      <c r="BS67" s="24"/>
      <c r="BT67" s="24"/>
      <c r="BU67" s="24"/>
      <c r="BV67" s="24"/>
      <c r="BW67" s="24"/>
      <c r="BX67" s="24"/>
      <c r="BY67" s="24"/>
      <c r="BZ67" s="24"/>
      <c r="CA67" s="24"/>
      <c r="CB67" s="24"/>
      <c r="CC67" s="24"/>
      <c r="CD67" s="24"/>
      <c r="CE67" s="24"/>
      <c r="CF67" s="24"/>
      <c r="CG67" s="24"/>
      <c r="CH67" s="24"/>
      <c r="CI67" s="24"/>
      <c r="CJ67" s="24"/>
      <c r="CK67" s="24"/>
      <c r="CL67" s="24"/>
      <c r="CM67" s="24"/>
      <c r="CN67" s="24"/>
      <c r="CO67" s="24"/>
      <c r="CP67" s="24"/>
      <c r="CQ67" s="24"/>
      <c r="CR67" s="24"/>
      <c r="CS67" s="24"/>
      <c r="CT67" s="24"/>
      <c r="CU67" s="24"/>
      <c r="CV67" s="24"/>
      <c r="CW67" s="24"/>
      <c r="CX67" s="24"/>
      <c r="CY67" s="24"/>
      <c r="CZ67" s="24"/>
      <c r="DA67" s="24"/>
      <c r="DB67" s="24"/>
      <c r="DC67" s="24"/>
      <c r="DD67" s="24"/>
      <c r="DE67" s="24"/>
      <c r="DF67" s="24"/>
      <c r="DG67" s="24"/>
      <c r="DH67" s="24"/>
      <c r="DI67" s="24"/>
      <c r="DJ67" s="24"/>
      <c r="DK67" s="24"/>
      <c r="DL67" s="24"/>
      <c r="DM67" s="24"/>
      <c r="DN67" s="24"/>
      <c r="DO67" s="24"/>
      <c r="DP67" s="24"/>
      <c r="DQ67" s="25"/>
      <c r="DR67" s="25"/>
      <c r="DS67" s="25"/>
      <c r="DT67" s="24"/>
      <c r="DU67" s="24"/>
      <c r="DV67" s="24"/>
      <c r="DW67" s="24"/>
      <c r="DX67" s="24"/>
      <c r="DY67" s="24"/>
      <c r="DZ67" s="24"/>
      <c r="EA67" s="24"/>
      <c r="EB67" s="24"/>
      <c r="EC67" s="24"/>
      <c r="ED67" s="24"/>
      <c r="EE67" s="24"/>
      <c r="EF67" s="24"/>
      <c r="EG67" s="24"/>
      <c r="EH67" s="24"/>
      <c r="EI67" s="24"/>
      <c r="EJ67" s="24"/>
      <c r="EK67" s="24"/>
      <c r="EL67" s="24"/>
      <c r="EM67" s="24"/>
      <c r="EN67" s="24"/>
      <c r="EO67" s="24"/>
      <c r="EP67" s="24"/>
      <c r="EQ67" s="24"/>
      <c r="ER67" s="24"/>
      <c r="ES67" s="24"/>
      <c r="ET67" s="24"/>
      <c r="EU67" s="24"/>
      <c r="EV67" s="24"/>
      <c r="EW67" s="24"/>
      <c r="EX67" s="24"/>
      <c r="EY67" s="24"/>
      <c r="EZ67" s="24"/>
      <c r="FA67" s="24"/>
      <c r="FB67" s="24"/>
      <c r="FC67" s="24"/>
      <c r="FD67" s="24"/>
      <c r="FE67" s="24"/>
      <c r="FF67" s="24"/>
      <c r="FG67" s="24"/>
      <c r="FH67" s="24"/>
      <c r="FI67" s="24"/>
      <c r="FJ67" s="24"/>
      <c r="FK67" s="24"/>
      <c r="FL67" s="24"/>
      <c r="FM67" s="24"/>
      <c r="FN67" s="24"/>
      <c r="FO67" s="24"/>
      <c r="FP67" s="24"/>
      <c r="FQ67" s="24"/>
      <c r="FR67" s="24"/>
      <c r="FS67" s="24"/>
      <c r="FT67" s="24"/>
      <c r="FU67" s="24"/>
      <c r="FV67" s="24"/>
      <c r="FW67" s="24"/>
      <c r="FX67" s="24"/>
      <c r="FY67" s="24"/>
      <c r="FZ67" s="24"/>
      <c r="GA67" s="24"/>
      <c r="GB67" s="24"/>
      <c r="GC67" s="24"/>
      <c r="GD67" s="24"/>
      <c r="GE67" s="24"/>
      <c r="GF67" s="24"/>
      <c r="GG67" s="24"/>
      <c r="GH67" s="24"/>
      <c r="GI67" s="24"/>
      <c r="GJ67" s="24"/>
      <c r="GK67" s="24"/>
      <c r="GL67" s="24"/>
      <c r="GM67" s="24"/>
      <c r="GN67" s="24"/>
      <c r="GO67" s="24"/>
      <c r="GP67" s="24"/>
      <c r="GQ67" s="24"/>
      <c r="GR67" s="24"/>
      <c r="GS67" s="23"/>
      <c r="GT67" s="23"/>
      <c r="GU67" s="23"/>
      <c r="GV67" s="23"/>
      <c r="GW67" s="22"/>
      <c r="GX67" s="22"/>
      <c r="GY67" s="22"/>
      <c r="GZ67" s="22"/>
      <c r="HA67" s="22"/>
      <c r="HB67" s="22"/>
      <c r="HC67" s="22"/>
      <c r="HD67" s="22"/>
      <c r="HE67" s="22"/>
      <c r="HF67" s="22"/>
      <c r="HG67" s="22"/>
      <c r="HH67" s="22"/>
      <c r="HI67" s="22"/>
      <c r="HJ67" s="22"/>
      <c r="HK67" s="22"/>
      <c r="HL67" s="21"/>
      <c r="HM67" s="19"/>
      <c r="HN67" s="19"/>
      <c r="HO67" s="19"/>
      <c r="HP67" s="20"/>
      <c r="HQ67" s="19"/>
      <c r="HR67" s="16"/>
      <c r="HS67" s="16"/>
      <c r="HT67" s="18"/>
      <c r="HU67" s="16"/>
      <c r="HV67" s="16"/>
      <c r="HW67" s="16"/>
      <c r="HX67" s="15"/>
      <c r="HY67" s="15"/>
      <c r="HZ67" s="15"/>
      <c r="IA67" s="15"/>
      <c r="IB67" s="15"/>
      <c r="IC67" s="16"/>
      <c r="ID67" s="16"/>
      <c r="IE67" s="15"/>
      <c r="IF67" s="15"/>
      <c r="IG67" s="15"/>
      <c r="IH67" s="15"/>
      <c r="II67" s="15"/>
      <c r="IJ67" s="15"/>
      <c r="IK67" s="15"/>
      <c r="IL67" s="15"/>
      <c r="IM67" s="15"/>
      <c r="IN67" s="15"/>
      <c r="IO67" s="15"/>
      <c r="IP67" s="17"/>
      <c r="IQ67" s="15"/>
      <c r="IR67" s="15"/>
      <c r="IS67" s="15"/>
      <c r="IT67" s="15"/>
      <c r="IU67" s="15"/>
      <c r="IV67" s="15"/>
      <c r="IW67" s="15"/>
      <c r="IX67" s="15"/>
      <c r="IY67" s="15"/>
      <c r="IZ67" s="15"/>
      <c r="JA67" s="15"/>
      <c r="JB67" s="15"/>
      <c r="JC67" s="15"/>
      <c r="JD67" s="15"/>
      <c r="JE67" s="15"/>
      <c r="JF67" s="15"/>
      <c r="JG67" s="15"/>
      <c r="JH67" s="15"/>
      <c r="JI67" s="15"/>
      <c r="JJ67" s="15"/>
      <c r="JK67" s="15"/>
      <c r="JL67" s="15"/>
      <c r="JM67" s="15"/>
      <c r="JN67" s="16"/>
      <c r="JO67" s="16"/>
      <c r="JP67" s="16"/>
      <c r="JQ67" s="16"/>
      <c r="JR67" s="16"/>
      <c r="JS67" s="16"/>
      <c r="JT67" s="16"/>
      <c r="JU67" s="16"/>
      <c r="JV67" s="16"/>
      <c r="JW67" s="16"/>
      <c r="JX67" s="16"/>
      <c r="JY67" s="16"/>
      <c r="JZ67" s="16"/>
      <c r="KA67" s="16"/>
      <c r="KB67" s="16"/>
      <c r="KC67" s="16"/>
      <c r="KD67" s="16"/>
      <c r="KE67" s="16"/>
      <c r="KF67" s="16"/>
      <c r="KG67" s="16"/>
      <c r="KH67" s="16"/>
      <c r="KI67" s="16"/>
      <c r="KJ67" s="16"/>
      <c r="KK67" s="16"/>
      <c r="KL67" s="16"/>
      <c r="KM67" s="16"/>
      <c r="KN67" s="16"/>
      <c r="KO67" s="16"/>
      <c r="KP67" s="16"/>
      <c r="KQ67" s="16"/>
      <c r="KR67" s="16"/>
      <c r="KS67" s="16"/>
      <c r="KT67" s="15"/>
      <c r="KU67" s="15"/>
      <c r="KV67" s="15"/>
      <c r="KW67" s="15"/>
      <c r="KX67" s="15"/>
      <c r="KY67" s="15"/>
      <c r="KZ67" s="15"/>
      <c r="LA67" s="15"/>
      <c r="LB67" s="15"/>
      <c r="LC67" s="15"/>
      <c r="LD67" s="15"/>
      <c r="LE67" s="15"/>
      <c r="LF67" s="15"/>
      <c r="LG67" s="15"/>
      <c r="LH67" s="15"/>
      <c r="LI67" s="15"/>
      <c r="LJ67" s="15"/>
      <c r="LK67" s="15"/>
      <c r="LL67" s="15"/>
      <c r="LM67" s="15"/>
      <c r="LN67" s="473">
        <f t="shared" si="22"/>
        <v>0</v>
      </c>
    </row>
    <row r="68" spans="1:326" ht="14.7" customHeight="1">
      <c r="A68" s="1168"/>
      <c r="B68" s="60"/>
      <c r="C68" s="60"/>
      <c r="D68" s="60"/>
      <c r="E68" s="60"/>
      <c r="F68" s="60"/>
      <c r="G68" s="60"/>
      <c r="H68" s="60"/>
      <c r="I68" s="60"/>
      <c r="J68" s="60"/>
      <c r="K68" s="60"/>
      <c r="L68" s="60"/>
      <c r="M68" s="60"/>
      <c r="N68" s="61"/>
      <c r="O68" s="60"/>
      <c r="P68" s="738" t="s">
        <v>217</v>
      </c>
      <c r="Q68" s="626">
        <v>6.4999999999999997E-3</v>
      </c>
      <c r="R68" s="626">
        <v>6.4999999999999997E-3</v>
      </c>
      <c r="S68" s="626">
        <v>6.4999999999999997E-3</v>
      </c>
      <c r="T68" s="626">
        <v>6.4999999999999997E-3</v>
      </c>
      <c r="U68" s="626">
        <v>6.4999999999999997E-3</v>
      </c>
      <c r="V68" s="626">
        <v>6.4999999999999997E-3</v>
      </c>
      <c r="W68" s="626">
        <v>6.4999999999999997E-3</v>
      </c>
      <c r="X68" s="626">
        <v>6.4999999999999997E-3</v>
      </c>
      <c r="Y68" s="626">
        <v>6.4999999999999997E-3</v>
      </c>
      <c r="Z68" s="626">
        <v>6.4999999999999997E-3</v>
      </c>
      <c r="AA68" s="626">
        <v>6.4999999999999997E-3</v>
      </c>
      <c r="AB68" s="626">
        <v>6.4999999999999997E-3</v>
      </c>
      <c r="AC68" s="626">
        <v>6.4999999999999997E-3</v>
      </c>
      <c r="AD68" s="626">
        <v>6.4999999999999997E-3</v>
      </c>
      <c r="AE68" s="626">
        <v>6.4999999999999997E-3</v>
      </c>
      <c r="AF68" s="626">
        <v>6.4999999999999997E-3</v>
      </c>
      <c r="AG68" s="614">
        <v>6.4999999999999997E-3</v>
      </c>
      <c r="AH68" s="614">
        <v>6.4999999999999997E-3</v>
      </c>
      <c r="AI68" s="590">
        <v>6.4999999999999997E-3</v>
      </c>
      <c r="AJ68" s="595" t="s">
        <v>599</v>
      </c>
      <c r="AK68" s="593"/>
      <c r="AL68" s="593"/>
      <c r="AM68" s="593"/>
      <c r="AN68" s="593"/>
      <c r="AO68" s="593"/>
      <c r="AP68" s="593"/>
      <c r="AQ68" s="593"/>
      <c r="AR68" s="593"/>
      <c r="AS68" s="593"/>
      <c r="AT68" s="593"/>
      <c r="AU68" s="593"/>
      <c r="AV68" s="593"/>
      <c r="AW68" s="593"/>
      <c r="AX68" s="593"/>
      <c r="AY68" s="592"/>
      <c r="AZ68" s="593"/>
      <c r="BA68" s="593"/>
      <c r="BB68" s="593"/>
      <c r="BC68" s="593"/>
      <c r="BD68" s="593"/>
      <c r="BE68" s="593"/>
      <c r="BF68" s="593"/>
      <c r="BG68" s="593"/>
      <c r="BH68" s="594"/>
      <c r="BI68" s="26"/>
      <c r="BJ68" s="26"/>
      <c r="BK68" s="24"/>
      <c r="BL68" s="24"/>
      <c r="BM68" s="24"/>
      <c r="BN68" s="24"/>
      <c r="BO68" s="24"/>
      <c r="BP68" s="24"/>
      <c r="BQ68" s="24"/>
      <c r="BR68" s="24"/>
      <c r="BS68" s="24"/>
      <c r="BT68" s="24"/>
      <c r="BU68" s="24"/>
      <c r="BV68" s="24"/>
      <c r="BW68" s="24"/>
      <c r="BX68" s="24"/>
      <c r="BY68" s="24"/>
      <c r="BZ68" s="24"/>
      <c r="CA68" s="24"/>
      <c r="CB68" s="24"/>
      <c r="CC68" s="24"/>
      <c r="CD68" s="24"/>
      <c r="CE68" s="24"/>
      <c r="CF68" s="24"/>
      <c r="CG68" s="24"/>
      <c r="CH68" s="24"/>
      <c r="CI68" s="24"/>
      <c r="CJ68" s="24"/>
      <c r="CK68" s="24"/>
      <c r="CL68" s="24"/>
      <c r="CM68" s="24"/>
      <c r="CN68" s="24"/>
      <c r="CO68" s="24"/>
      <c r="CP68" s="24"/>
      <c r="CQ68" s="24"/>
      <c r="CR68" s="24"/>
      <c r="CS68" s="24"/>
      <c r="CT68" s="24"/>
      <c r="CU68" s="24"/>
      <c r="CV68" s="24"/>
      <c r="CW68" s="24"/>
      <c r="CX68" s="24"/>
      <c r="CY68" s="24"/>
      <c r="CZ68" s="24"/>
      <c r="DA68" s="24"/>
      <c r="DB68" s="24"/>
      <c r="DC68" s="24"/>
      <c r="DD68" s="24"/>
      <c r="DE68" s="24"/>
      <c r="DF68" s="24"/>
      <c r="DG68" s="24"/>
      <c r="DH68" s="24"/>
      <c r="DI68" s="24"/>
      <c r="DJ68" s="24"/>
      <c r="DK68" s="24"/>
      <c r="DL68" s="24"/>
      <c r="DM68" s="24"/>
      <c r="DN68" s="24"/>
      <c r="DO68" s="24"/>
      <c r="DP68" s="24"/>
      <c r="DQ68" s="25"/>
      <c r="DR68" s="25"/>
      <c r="DS68" s="25"/>
      <c r="DT68" s="24"/>
      <c r="DU68" s="24"/>
      <c r="DV68" s="24"/>
      <c r="DW68" s="24"/>
      <c r="DX68" s="24"/>
      <c r="DY68" s="24"/>
      <c r="DZ68" s="24"/>
      <c r="EA68" s="24"/>
      <c r="EB68" s="24"/>
      <c r="EC68" s="24"/>
      <c r="ED68" s="24"/>
      <c r="EE68" s="24"/>
      <c r="EF68" s="24"/>
      <c r="EG68" s="24"/>
      <c r="EH68" s="24"/>
      <c r="EI68" s="24"/>
      <c r="EJ68" s="24"/>
      <c r="EK68" s="24"/>
      <c r="EL68" s="24"/>
      <c r="EM68" s="24"/>
      <c r="EN68" s="24"/>
      <c r="EO68" s="24"/>
      <c r="EP68" s="24"/>
      <c r="EQ68" s="24"/>
      <c r="ER68" s="24"/>
      <c r="ES68" s="24"/>
      <c r="ET68" s="24"/>
      <c r="EU68" s="24"/>
      <c r="EV68" s="24"/>
      <c r="EW68" s="24"/>
      <c r="EX68" s="24"/>
      <c r="EY68" s="24"/>
      <c r="EZ68" s="24"/>
      <c r="FA68" s="24"/>
      <c r="FB68" s="24"/>
      <c r="FC68" s="24"/>
      <c r="FD68" s="24"/>
      <c r="FE68" s="24"/>
      <c r="FF68" s="24"/>
      <c r="FG68" s="24"/>
      <c r="FH68" s="24"/>
      <c r="FI68" s="24"/>
      <c r="FJ68" s="24"/>
      <c r="FK68" s="24"/>
      <c r="FL68" s="24"/>
      <c r="FM68" s="24"/>
      <c r="FN68" s="24"/>
      <c r="FO68" s="24"/>
      <c r="FP68" s="24"/>
      <c r="FQ68" s="24"/>
      <c r="FR68" s="24"/>
      <c r="FS68" s="24"/>
      <c r="FT68" s="24"/>
      <c r="FU68" s="24"/>
      <c r="FV68" s="24"/>
      <c r="FW68" s="24"/>
      <c r="FX68" s="24"/>
      <c r="FY68" s="24"/>
      <c r="FZ68" s="24"/>
      <c r="GA68" s="24"/>
      <c r="GB68" s="24"/>
      <c r="GC68" s="24"/>
      <c r="GD68" s="24"/>
      <c r="GE68" s="24"/>
      <c r="GF68" s="24"/>
      <c r="GG68" s="24"/>
      <c r="GH68" s="24"/>
      <c r="GI68" s="24"/>
      <c r="GJ68" s="24"/>
      <c r="GK68" s="24"/>
      <c r="GL68" s="24"/>
      <c r="GM68" s="24"/>
      <c r="GN68" s="24"/>
      <c r="GO68" s="24"/>
      <c r="GP68" s="24"/>
      <c r="GQ68" s="24"/>
      <c r="GR68" s="24"/>
      <c r="GS68" s="23"/>
      <c r="GT68" s="23"/>
      <c r="GU68" s="23"/>
      <c r="GV68" s="23"/>
      <c r="GW68" s="22"/>
      <c r="GX68" s="22"/>
      <c r="GY68" s="22"/>
      <c r="GZ68" s="22"/>
      <c r="HA68" s="22"/>
      <c r="HB68" s="22"/>
      <c r="HC68" s="22"/>
      <c r="HD68" s="22"/>
      <c r="HE68" s="22"/>
      <c r="HF68" s="22"/>
      <c r="HG68" s="22"/>
      <c r="HH68" s="22"/>
      <c r="HI68" s="22"/>
      <c r="HJ68" s="22"/>
      <c r="HK68" s="22"/>
      <c r="HL68" s="21"/>
      <c r="HM68" s="19"/>
      <c r="HN68" s="19"/>
      <c r="HO68" s="19"/>
      <c r="HP68" s="20"/>
      <c r="HQ68" s="19"/>
      <c r="HR68" s="16"/>
      <c r="HS68" s="16"/>
      <c r="HT68" s="18"/>
      <c r="HU68" s="16"/>
      <c r="HV68" s="16"/>
      <c r="HW68" s="16"/>
      <c r="HX68" s="15"/>
      <c r="HY68" s="15"/>
      <c r="HZ68" s="15"/>
      <c r="IA68" s="15"/>
      <c r="IB68" s="15"/>
      <c r="IC68" s="16"/>
      <c r="ID68" s="16"/>
      <c r="IE68" s="15"/>
      <c r="IF68" s="15"/>
      <c r="IG68" s="15"/>
      <c r="IH68" s="15"/>
      <c r="II68" s="15"/>
      <c r="IJ68" s="15"/>
      <c r="IK68" s="15"/>
      <c r="IL68" s="15"/>
      <c r="IM68" s="15"/>
      <c r="IN68" s="15"/>
      <c r="IO68" s="15"/>
      <c r="IP68" s="17"/>
      <c r="IQ68" s="15"/>
      <c r="IR68" s="15"/>
      <c r="IS68" s="15"/>
      <c r="IT68" s="15"/>
      <c r="IU68" s="15"/>
      <c r="IV68" s="15"/>
      <c r="IW68" s="15"/>
      <c r="IX68" s="15"/>
      <c r="IY68" s="15"/>
      <c r="IZ68" s="15"/>
      <c r="JA68" s="15"/>
      <c r="JB68" s="15"/>
      <c r="JC68" s="15"/>
      <c r="JD68" s="15"/>
      <c r="JE68" s="15"/>
      <c r="JF68" s="15"/>
      <c r="JG68" s="15"/>
      <c r="JH68" s="15"/>
      <c r="JI68" s="15"/>
      <c r="JJ68" s="15"/>
      <c r="JK68" s="15"/>
      <c r="JL68" s="15"/>
      <c r="JM68" s="15"/>
      <c r="JN68" s="16"/>
      <c r="JO68" s="16"/>
      <c r="JP68" s="16"/>
      <c r="JQ68" s="16"/>
      <c r="JR68" s="16"/>
      <c r="JS68" s="16"/>
      <c r="JT68" s="16"/>
      <c r="JU68" s="16"/>
      <c r="JV68" s="16"/>
      <c r="JW68" s="16"/>
      <c r="JX68" s="16"/>
      <c r="JY68" s="16"/>
      <c r="JZ68" s="16"/>
      <c r="KA68" s="16"/>
      <c r="KB68" s="16"/>
      <c r="KC68" s="16"/>
      <c r="KD68" s="16"/>
      <c r="KE68" s="16"/>
      <c r="KF68" s="16"/>
      <c r="KG68" s="16"/>
      <c r="KH68" s="16"/>
      <c r="KI68" s="16"/>
      <c r="KJ68" s="16"/>
      <c r="KK68" s="16"/>
      <c r="KL68" s="16"/>
      <c r="KM68" s="16"/>
      <c r="KN68" s="16"/>
      <c r="KO68" s="16"/>
      <c r="KP68" s="16"/>
      <c r="KQ68" s="16"/>
      <c r="KR68" s="16"/>
      <c r="KS68" s="16"/>
      <c r="KT68" s="15"/>
      <c r="KU68" s="15"/>
      <c r="KV68" s="15"/>
      <c r="KW68" s="15"/>
      <c r="KX68" s="15"/>
      <c r="KY68" s="15"/>
      <c r="KZ68" s="15"/>
      <c r="LA68" s="15"/>
      <c r="LB68" s="15"/>
      <c r="LC68" s="15"/>
      <c r="LD68" s="15"/>
      <c r="LE68" s="15"/>
      <c r="LF68" s="15"/>
      <c r="LG68" s="15"/>
      <c r="LH68" s="15"/>
      <c r="LI68" s="15"/>
      <c r="LJ68" s="15"/>
      <c r="LK68" s="15"/>
      <c r="LL68" s="15"/>
      <c r="LM68" s="15"/>
      <c r="LN68" s="473">
        <f t="shared" si="22"/>
        <v>0</v>
      </c>
    </row>
    <row r="69" spans="1:326" ht="14.7" customHeight="1">
      <c r="A69" s="1169"/>
      <c r="B69" s="37" t="s">
        <v>58</v>
      </c>
      <c r="C69" s="37" t="s">
        <v>58</v>
      </c>
      <c r="D69" s="37" t="s">
        <v>58</v>
      </c>
      <c r="E69" s="37" t="s">
        <v>57</v>
      </c>
      <c r="F69" s="37"/>
      <c r="G69" s="37"/>
      <c r="H69" s="37" t="s">
        <v>56</v>
      </c>
      <c r="I69" s="37" t="s">
        <v>56</v>
      </c>
      <c r="J69" s="37" t="s">
        <v>56</v>
      </c>
      <c r="K69" s="37" t="s">
        <v>55</v>
      </c>
      <c r="L69" s="37" t="s">
        <v>54</v>
      </c>
      <c r="M69" s="37" t="s">
        <v>54</v>
      </c>
      <c r="N69" s="37" t="s">
        <v>54</v>
      </c>
      <c r="O69" s="37"/>
      <c r="P69" s="738" t="s">
        <v>216</v>
      </c>
      <c r="Q69" s="626">
        <v>7.4999999999999997E-3</v>
      </c>
      <c r="R69" s="626">
        <v>7.4999999999999997E-3</v>
      </c>
      <c r="S69" s="626">
        <v>7.4999999999999997E-3</v>
      </c>
      <c r="T69" s="626">
        <v>7.4999999999999997E-3</v>
      </c>
      <c r="U69" s="626">
        <v>7.4999999999999997E-3</v>
      </c>
      <c r="V69" s="626">
        <v>7.4999999999999997E-3</v>
      </c>
      <c r="W69" s="626">
        <v>7.4999999999999997E-3</v>
      </c>
      <c r="X69" s="626">
        <v>7.4999999999999997E-3</v>
      </c>
      <c r="Y69" s="626">
        <v>7.4999999999999997E-3</v>
      </c>
      <c r="Z69" s="626">
        <v>7.4999999999999997E-3</v>
      </c>
      <c r="AA69" s="626">
        <v>7.4999999999999997E-3</v>
      </c>
      <c r="AB69" s="626">
        <v>7.4999999999999997E-3</v>
      </c>
      <c r="AC69" s="626">
        <v>7.4999999999999997E-3</v>
      </c>
      <c r="AD69" s="626">
        <v>7.4999999999999997E-3</v>
      </c>
      <c r="AE69" s="626">
        <v>7.4999999999999997E-3</v>
      </c>
      <c r="AF69" s="626">
        <v>7.4999999999999997E-3</v>
      </c>
      <c r="AG69" s="614">
        <v>7.4999999999999997E-3</v>
      </c>
      <c r="AH69" s="614">
        <v>7.4999999999999997E-3</v>
      </c>
      <c r="AI69" s="590">
        <v>7.4999999999999997E-3</v>
      </c>
      <c r="AJ69" s="595" t="s">
        <v>599</v>
      </c>
      <c r="AK69" s="593"/>
      <c r="AL69" s="593"/>
      <c r="AM69" s="593"/>
      <c r="AN69" s="593"/>
      <c r="AO69" s="593"/>
      <c r="AP69" s="593"/>
      <c r="AQ69" s="593"/>
      <c r="AR69" s="593"/>
      <c r="AS69" s="593"/>
      <c r="AT69" s="593"/>
      <c r="AU69" s="593"/>
      <c r="AV69" s="593"/>
      <c r="AW69" s="593"/>
      <c r="AX69" s="593"/>
      <c r="AY69" s="592"/>
      <c r="AZ69" s="593"/>
      <c r="BA69" s="593"/>
      <c r="BB69" s="593"/>
      <c r="BC69" s="593"/>
      <c r="BD69" s="593"/>
      <c r="BE69" s="593"/>
      <c r="BF69" s="593"/>
      <c r="BG69" s="593"/>
      <c r="BH69" s="594"/>
      <c r="BI69" s="26"/>
      <c r="BJ69" s="26"/>
      <c r="BK69" s="24"/>
      <c r="BL69" s="24"/>
      <c r="BM69" s="24"/>
      <c r="BN69" s="24"/>
      <c r="BO69" s="24"/>
      <c r="BP69" s="24"/>
      <c r="BQ69" s="24"/>
      <c r="BR69" s="24"/>
      <c r="BS69" s="24"/>
      <c r="BT69" s="24"/>
      <c r="BU69" s="24"/>
      <c r="BV69" s="24"/>
      <c r="BW69" s="24"/>
      <c r="BX69" s="24"/>
      <c r="BY69" s="24"/>
      <c r="BZ69" s="24"/>
      <c r="CA69" s="24"/>
      <c r="CB69" s="24"/>
      <c r="CC69" s="24"/>
      <c r="CD69" s="24"/>
      <c r="CE69" s="24"/>
      <c r="CF69" s="24"/>
      <c r="CG69" s="24"/>
      <c r="CH69" s="24"/>
      <c r="CI69" s="24"/>
      <c r="CJ69" s="24"/>
      <c r="CK69" s="24"/>
      <c r="CL69" s="24"/>
      <c r="CM69" s="24"/>
      <c r="CN69" s="24"/>
      <c r="CO69" s="24"/>
      <c r="CP69" s="24"/>
      <c r="CQ69" s="24"/>
      <c r="CR69" s="24"/>
      <c r="CS69" s="24"/>
      <c r="CT69" s="24"/>
      <c r="CU69" s="24"/>
      <c r="CV69" s="24"/>
      <c r="CW69" s="24"/>
      <c r="CX69" s="24"/>
      <c r="CY69" s="24"/>
      <c r="CZ69" s="24"/>
      <c r="DA69" s="24"/>
      <c r="DB69" s="24"/>
      <c r="DC69" s="24"/>
      <c r="DD69" s="24"/>
      <c r="DE69" s="24"/>
      <c r="DF69" s="24"/>
      <c r="DG69" s="24"/>
      <c r="DH69" s="24"/>
      <c r="DI69" s="24"/>
      <c r="DJ69" s="24"/>
      <c r="DK69" s="24"/>
      <c r="DL69" s="24"/>
      <c r="DM69" s="24"/>
      <c r="DN69" s="24"/>
      <c r="DO69" s="24"/>
      <c r="DP69" s="24"/>
      <c r="DQ69" s="25"/>
      <c r="DR69" s="25"/>
      <c r="DS69" s="25"/>
      <c r="DT69" s="24"/>
      <c r="DU69" s="24"/>
      <c r="DV69" s="24"/>
      <c r="DW69" s="24"/>
      <c r="DX69" s="24"/>
      <c r="DY69" s="24"/>
      <c r="DZ69" s="24"/>
      <c r="EA69" s="24"/>
      <c r="EB69" s="24"/>
      <c r="EC69" s="24"/>
      <c r="ED69" s="24"/>
      <c r="EE69" s="24"/>
      <c r="EF69" s="24"/>
      <c r="EG69" s="24"/>
      <c r="EH69" s="24"/>
      <c r="EI69" s="24"/>
      <c r="EJ69" s="24"/>
      <c r="EK69" s="24"/>
      <c r="EL69" s="24"/>
      <c r="EM69" s="24"/>
      <c r="EN69" s="24"/>
      <c r="EO69" s="24"/>
      <c r="EP69" s="24"/>
      <c r="EQ69" s="24"/>
      <c r="ER69" s="24"/>
      <c r="ES69" s="24"/>
      <c r="ET69" s="24"/>
      <c r="EU69" s="24"/>
      <c r="EV69" s="24"/>
      <c r="EW69" s="24"/>
      <c r="EX69" s="24"/>
      <c r="EY69" s="24"/>
      <c r="EZ69" s="24"/>
      <c r="FA69" s="24"/>
      <c r="FB69" s="24"/>
      <c r="FC69" s="24"/>
      <c r="FD69" s="24"/>
      <c r="FE69" s="24"/>
      <c r="FF69" s="24"/>
      <c r="FG69" s="24"/>
      <c r="FH69" s="24"/>
      <c r="FI69" s="24"/>
      <c r="FJ69" s="24"/>
      <c r="FK69" s="24"/>
      <c r="FL69" s="24"/>
      <c r="FM69" s="24"/>
      <c r="FN69" s="24"/>
      <c r="FO69" s="24"/>
      <c r="FP69" s="24"/>
      <c r="FQ69" s="24"/>
      <c r="FR69" s="24"/>
      <c r="FS69" s="24"/>
      <c r="FT69" s="24"/>
      <c r="FU69" s="24"/>
      <c r="FV69" s="24"/>
      <c r="FW69" s="24"/>
      <c r="FX69" s="24"/>
      <c r="FY69" s="24"/>
      <c r="FZ69" s="24"/>
      <c r="GA69" s="24"/>
      <c r="GB69" s="24"/>
      <c r="GC69" s="24"/>
      <c r="GD69" s="24"/>
      <c r="GE69" s="24"/>
      <c r="GF69" s="24"/>
      <c r="GG69" s="24"/>
      <c r="GH69" s="24"/>
      <c r="GI69" s="24"/>
      <c r="GJ69" s="24"/>
      <c r="GK69" s="24"/>
      <c r="GL69" s="24"/>
      <c r="GM69" s="24"/>
      <c r="GN69" s="24"/>
      <c r="GO69" s="24"/>
      <c r="GP69" s="24"/>
      <c r="GQ69" s="24"/>
      <c r="GR69" s="24"/>
      <c r="GS69" s="23"/>
      <c r="GT69" s="23"/>
      <c r="GU69" s="23"/>
      <c r="GV69" s="23"/>
      <c r="GW69" s="22"/>
      <c r="GX69" s="22"/>
      <c r="GY69" s="22"/>
      <c r="GZ69" s="22"/>
      <c r="HA69" s="22"/>
      <c r="HB69" s="22"/>
      <c r="HC69" s="22"/>
      <c r="HD69" s="22"/>
      <c r="HE69" s="22"/>
      <c r="HF69" s="22"/>
      <c r="HG69" s="22"/>
      <c r="HH69" s="22"/>
      <c r="HI69" s="22"/>
      <c r="HJ69" s="22"/>
      <c r="HK69" s="22"/>
      <c r="HL69" s="21"/>
      <c r="HM69" s="19"/>
      <c r="HN69" s="19"/>
      <c r="HO69" s="19"/>
      <c r="HP69" s="20"/>
      <c r="HQ69" s="19"/>
      <c r="HR69" s="16"/>
      <c r="HS69" s="16"/>
      <c r="HT69" s="18"/>
      <c r="HU69" s="16"/>
      <c r="HV69" s="16"/>
      <c r="HW69" s="16"/>
      <c r="HX69" s="15"/>
      <c r="HY69" s="15"/>
      <c r="HZ69" s="15"/>
      <c r="IA69" s="15"/>
      <c r="IB69" s="15"/>
      <c r="IC69" s="16"/>
      <c r="ID69" s="16"/>
      <c r="IE69" s="15"/>
      <c r="IF69" s="15"/>
      <c r="IG69" s="15"/>
      <c r="IH69" s="15"/>
      <c r="II69" s="15"/>
      <c r="IJ69" s="15"/>
      <c r="IK69" s="15"/>
      <c r="IL69" s="15"/>
      <c r="IM69" s="15"/>
      <c r="IN69" s="15"/>
      <c r="IO69" s="15"/>
      <c r="IP69" s="17"/>
      <c r="IQ69" s="15"/>
      <c r="IR69" s="15"/>
      <c r="IS69" s="15"/>
      <c r="IT69" s="15"/>
      <c r="IU69" s="15"/>
      <c r="IV69" s="15"/>
      <c r="IW69" s="15"/>
      <c r="IX69" s="15"/>
      <c r="IY69" s="15"/>
      <c r="IZ69" s="15"/>
      <c r="JA69" s="15"/>
      <c r="JB69" s="15"/>
      <c r="JC69" s="15"/>
      <c r="JD69" s="15"/>
      <c r="JE69" s="15"/>
      <c r="JF69" s="15"/>
      <c r="JG69" s="15"/>
      <c r="JH69" s="15"/>
      <c r="JI69" s="15"/>
      <c r="JJ69" s="15"/>
      <c r="JK69" s="15"/>
      <c r="JL69" s="15"/>
      <c r="JM69" s="15"/>
      <c r="JN69" s="16"/>
      <c r="JO69" s="16"/>
      <c r="JP69" s="16"/>
      <c r="JQ69" s="16"/>
      <c r="JR69" s="16"/>
      <c r="JS69" s="16"/>
      <c r="JT69" s="16"/>
      <c r="JU69" s="16"/>
      <c r="JV69" s="16"/>
      <c r="JW69" s="16"/>
      <c r="JX69" s="16"/>
      <c r="JY69" s="16"/>
      <c r="JZ69" s="16"/>
      <c r="KA69" s="16"/>
      <c r="KB69" s="16"/>
      <c r="KC69" s="16"/>
      <c r="KD69" s="16"/>
      <c r="KE69" s="16"/>
      <c r="KF69" s="16"/>
      <c r="KG69" s="16"/>
      <c r="KH69" s="16"/>
      <c r="KI69" s="16"/>
      <c r="KJ69" s="16"/>
      <c r="KK69" s="16"/>
      <c r="KL69" s="16"/>
      <c r="KM69" s="16"/>
      <c r="KN69" s="16"/>
      <c r="KO69" s="16"/>
      <c r="KP69" s="16"/>
      <c r="KQ69" s="16"/>
      <c r="KR69" s="16"/>
      <c r="KS69" s="16"/>
      <c r="KT69" s="15"/>
      <c r="KU69" s="15"/>
      <c r="KV69" s="15"/>
      <c r="KW69" s="15"/>
      <c r="KX69" s="15"/>
      <c r="KY69" s="15"/>
      <c r="KZ69" s="15"/>
      <c r="LA69" s="15"/>
      <c r="LB69" s="15"/>
      <c r="LC69" s="15"/>
      <c r="LD69" s="15"/>
      <c r="LE69" s="15"/>
      <c r="LF69" s="15"/>
      <c r="LG69" s="15"/>
      <c r="LH69" s="15"/>
      <c r="LI69" s="15"/>
      <c r="LJ69" s="15"/>
      <c r="LK69" s="15"/>
      <c r="LL69" s="15"/>
      <c r="LM69" s="15"/>
      <c r="LN69" s="473">
        <f t="shared" si="22"/>
        <v>0</v>
      </c>
    </row>
    <row r="70" spans="1:326">
      <c r="AJ70" s="12"/>
      <c r="AK70" s="12"/>
      <c r="AL70" s="12"/>
      <c r="AM70" s="12"/>
      <c r="AN70" s="12"/>
      <c r="AO70" s="12"/>
      <c r="AP70" s="12"/>
      <c r="AQ70" s="12"/>
      <c r="AR70" s="12"/>
      <c r="AS70" s="12"/>
      <c r="AT70" s="12"/>
      <c r="AU70" s="12"/>
      <c r="AV70" s="12"/>
      <c r="AW70" s="12"/>
      <c r="AX70" s="12"/>
      <c r="AZ70" s="12"/>
      <c r="BA70" s="12"/>
      <c r="BB70" s="12"/>
      <c r="BC70" s="12"/>
      <c r="BD70" s="12"/>
      <c r="BE70" s="12"/>
      <c r="BF70" s="12"/>
      <c r="BG70" s="12"/>
      <c r="BH70" s="12"/>
      <c r="HL70" s="12"/>
      <c r="LN70" s="12"/>
    </row>
    <row r="71" spans="1:326" ht="17.399999999999999">
      <c r="A71" s="72" t="s">
        <v>209</v>
      </c>
      <c r="B71" s="71"/>
      <c r="C71" s="71"/>
      <c r="D71" s="71"/>
      <c r="E71" s="71"/>
      <c r="F71" s="71"/>
      <c r="G71" s="71"/>
      <c r="H71" s="71"/>
      <c r="I71" s="71"/>
      <c r="J71" s="71"/>
      <c r="K71" s="71"/>
      <c r="L71" s="71"/>
      <c r="M71" s="71"/>
      <c r="N71" s="71"/>
      <c r="O71" s="1176">
        <f>O48</f>
        <v>46099</v>
      </c>
      <c r="P71" s="1177"/>
      <c r="Q71" s="1177"/>
      <c r="R71" s="1177"/>
      <c r="S71" s="1177"/>
      <c r="T71" s="1177"/>
      <c r="U71" s="1177"/>
      <c r="V71" s="1177"/>
      <c r="W71" s="1177"/>
      <c r="X71" s="1177"/>
      <c r="Y71" s="1177"/>
      <c r="Z71" s="1177"/>
      <c r="AA71" s="1177"/>
      <c r="AB71" s="1177"/>
      <c r="AC71" s="1177"/>
      <c r="AD71" s="1177"/>
      <c r="AE71" s="1177"/>
      <c r="AF71" s="1177"/>
      <c r="AG71" s="1177"/>
      <c r="AH71" s="1177"/>
      <c r="AI71" s="1177"/>
      <c r="AJ71" s="1177"/>
      <c r="AK71" s="1177"/>
      <c r="AL71" s="1177"/>
      <c r="AM71" s="1177"/>
      <c r="AN71" s="1177"/>
      <c r="AO71" s="1177"/>
      <c r="AP71" s="1177"/>
      <c r="AQ71" s="1177"/>
      <c r="AR71" s="1177"/>
      <c r="AS71" s="1177"/>
      <c r="AT71" s="1177"/>
      <c r="AU71" s="1177"/>
      <c r="AV71" s="1177"/>
      <c r="AW71" s="1177"/>
      <c r="AX71" s="1177"/>
      <c r="AY71" s="1177"/>
      <c r="AZ71" s="1177"/>
      <c r="BA71" s="1177"/>
      <c r="BB71" s="1177"/>
      <c r="BC71" s="1177"/>
      <c r="BD71" s="1177"/>
      <c r="BE71" s="1177"/>
      <c r="BF71" s="1177"/>
      <c r="BG71" s="1177"/>
      <c r="BH71" s="1177"/>
      <c r="BI71" s="1177"/>
      <c r="BJ71" s="1177"/>
      <c r="BK71" s="1177"/>
      <c r="BL71" s="1177"/>
      <c r="BM71" s="1177"/>
      <c r="BN71" s="1177"/>
      <c r="BO71" s="1177"/>
      <c r="BP71" s="1177"/>
      <c r="BQ71" s="1177"/>
      <c r="BR71" s="1177"/>
      <c r="BS71" s="1177"/>
      <c r="BT71" s="1177"/>
      <c r="BU71" s="1177"/>
      <c r="BV71" s="1177"/>
      <c r="BW71" s="1177"/>
      <c r="BX71" s="1177"/>
      <c r="BY71" s="1177"/>
      <c r="BZ71" s="1177"/>
      <c r="CA71" s="1177"/>
      <c r="CB71" s="1177"/>
      <c r="CC71" s="1177"/>
      <c r="CD71" s="1177"/>
      <c r="CE71" s="1177"/>
      <c r="CF71" s="1177"/>
      <c r="CG71" s="1177"/>
      <c r="CH71" s="1177"/>
      <c r="CI71" s="1177"/>
      <c r="CJ71" s="1177"/>
      <c r="CK71" s="1177"/>
      <c r="CL71" s="1177"/>
      <c r="CM71" s="1177"/>
      <c r="CN71" s="1177"/>
      <c r="CO71" s="1177"/>
      <c r="CP71" s="1177"/>
      <c r="CQ71" s="1177"/>
      <c r="CR71" s="1177"/>
      <c r="CS71" s="1177"/>
      <c r="CT71" s="1177"/>
      <c r="CU71" s="1177"/>
      <c r="CV71" s="1177"/>
      <c r="CW71" s="1177"/>
      <c r="CX71" s="1177"/>
      <c r="CY71" s="1177"/>
      <c r="CZ71" s="1177"/>
      <c r="DA71" s="1177"/>
      <c r="DB71" s="1177"/>
      <c r="DC71" s="1177"/>
      <c r="DD71" s="1177"/>
      <c r="DE71" s="1177"/>
      <c r="DF71" s="1177"/>
      <c r="DG71" s="1177"/>
      <c r="DH71" s="1177"/>
      <c r="DI71" s="1177"/>
      <c r="DJ71" s="1177"/>
      <c r="DK71" s="1177"/>
      <c r="DL71" s="1177"/>
      <c r="DM71" s="1177"/>
      <c r="DN71" s="1177"/>
      <c r="DO71" s="1177"/>
      <c r="DP71" s="1177"/>
      <c r="DQ71" s="1177"/>
      <c r="DR71" s="1177"/>
      <c r="DS71" s="1177"/>
      <c r="DT71" s="1177"/>
      <c r="DU71" s="1177"/>
      <c r="DV71" s="1177"/>
      <c r="DW71" s="1177"/>
      <c r="DX71" s="1177"/>
      <c r="DY71" s="1177"/>
      <c r="DZ71" s="1177"/>
      <c r="EA71" s="1177"/>
      <c r="EB71" s="1177"/>
      <c r="EC71" s="1177"/>
      <c r="ED71" s="1177"/>
      <c r="EE71" s="1177"/>
      <c r="EF71" s="1177"/>
      <c r="EG71" s="1177"/>
      <c r="EH71" s="1177"/>
      <c r="EI71" s="1177"/>
      <c r="EJ71" s="1177"/>
      <c r="EK71" s="1177"/>
      <c r="EL71" s="1177"/>
      <c r="EM71" s="1177"/>
      <c r="EN71" s="1177"/>
      <c r="EO71" s="1177"/>
      <c r="EP71" s="1177"/>
      <c r="EQ71" s="1177"/>
      <c r="ER71" s="1177"/>
      <c r="ES71" s="1177"/>
      <c r="ET71" s="1177"/>
      <c r="EU71" s="1177"/>
      <c r="EV71" s="1177"/>
      <c r="EW71" s="1177"/>
      <c r="EX71" s="1177"/>
      <c r="EY71" s="1177"/>
      <c r="EZ71" s="1177"/>
      <c r="FA71" s="1177"/>
      <c r="FB71" s="1177"/>
      <c r="FC71" s="1177"/>
      <c r="FD71" s="1177"/>
      <c r="FE71" s="1177"/>
      <c r="FF71" s="1177"/>
      <c r="FG71" s="1177"/>
      <c r="FH71" s="1177"/>
      <c r="FI71" s="1177"/>
      <c r="FJ71" s="1177"/>
      <c r="FK71" s="1177"/>
      <c r="FL71" s="1177"/>
      <c r="FM71" s="1177"/>
      <c r="FN71" s="1177"/>
      <c r="FO71" s="1177"/>
      <c r="FP71" s="1177"/>
      <c r="FQ71" s="1177"/>
      <c r="FR71" s="1177"/>
      <c r="FS71" s="1177"/>
      <c r="FT71" s="1177"/>
      <c r="FU71" s="1177"/>
      <c r="FV71" s="1177"/>
      <c r="FW71" s="1177"/>
      <c r="FX71" s="1177"/>
      <c r="FY71" s="1177"/>
      <c r="FZ71" s="1177"/>
      <c r="GA71" s="1177"/>
      <c r="GB71" s="1177"/>
      <c r="GC71" s="1177"/>
      <c r="GD71" s="1177"/>
      <c r="GE71" s="1177"/>
      <c r="GF71" s="1177"/>
      <c r="GG71" s="1177"/>
      <c r="GH71" s="1177"/>
      <c r="GI71" s="1177"/>
      <c r="GJ71" s="1177"/>
      <c r="GK71" s="1177"/>
      <c r="GL71" s="1177"/>
      <c r="GM71" s="1177"/>
      <c r="GN71" s="1177"/>
      <c r="GO71" s="1177"/>
      <c r="GP71" s="1177"/>
      <c r="GQ71" s="1177"/>
      <c r="GR71" s="1177"/>
      <c r="GS71" s="1177"/>
      <c r="GT71" s="1177"/>
      <c r="GU71" s="1177"/>
      <c r="GV71" s="1177"/>
      <c r="GW71" s="1177"/>
      <c r="GX71" s="1177"/>
      <c r="GY71" s="1177"/>
      <c r="GZ71" s="1177"/>
      <c r="HA71" s="1177"/>
      <c r="HB71" s="1177"/>
      <c r="HC71" s="1177"/>
      <c r="HD71" s="1177"/>
      <c r="HE71" s="1177"/>
      <c r="HF71" s="1177"/>
      <c r="HG71" s="1177"/>
      <c r="HH71" s="1177"/>
      <c r="HI71" s="1177"/>
      <c r="HJ71" s="1177"/>
      <c r="HK71" s="1177"/>
      <c r="HL71" s="1177"/>
      <c r="HM71" s="1177"/>
      <c r="HN71" s="1177"/>
      <c r="HO71" s="1177"/>
      <c r="HP71" s="1177"/>
      <c r="HQ71" s="1179"/>
      <c r="HR71" s="96" t="s">
        <v>208</v>
      </c>
      <c r="HS71" s="95"/>
      <c r="HT71" s="95"/>
      <c r="HU71" s="95"/>
      <c r="HV71" s="95"/>
      <c r="HW71" s="95"/>
      <c r="HX71" s="95"/>
      <c r="HY71" s="95"/>
      <c r="HZ71" s="95"/>
      <c r="IA71" s="95"/>
      <c r="IB71" s="95"/>
      <c r="IC71" s="95"/>
      <c r="ID71" s="95"/>
      <c r="IE71" s="95"/>
      <c r="IF71" s="95"/>
      <c r="IG71" s="95"/>
      <c r="IH71" s="95"/>
      <c r="II71" s="95"/>
      <c r="IJ71" s="95"/>
      <c r="IK71" s="95"/>
      <c r="IL71" s="95"/>
      <c r="IM71" s="95"/>
      <c r="IN71" s="95"/>
      <c r="IO71" s="95"/>
      <c r="IP71" s="95"/>
      <c r="IQ71" s="95"/>
      <c r="IR71" s="95"/>
      <c r="IS71" s="95"/>
      <c r="IT71" s="95"/>
      <c r="IU71" s="95"/>
      <c r="IV71" s="95"/>
      <c r="IW71" s="95"/>
      <c r="IX71" s="95"/>
      <c r="IY71" s="95"/>
      <c r="IZ71" s="95"/>
      <c r="JA71" s="95"/>
      <c r="JB71" s="95"/>
      <c r="JC71" s="95"/>
      <c r="JD71" s="95"/>
      <c r="JE71" s="95"/>
      <c r="JF71" s="95"/>
      <c r="JG71" s="95"/>
      <c r="JH71" s="95"/>
      <c r="JI71" s="95"/>
      <c r="JJ71" s="95"/>
      <c r="JK71" s="95"/>
      <c r="JL71" s="95"/>
      <c r="JM71" s="95"/>
      <c r="JN71" s="95"/>
      <c r="JO71" s="95" t="s">
        <v>207</v>
      </c>
      <c r="JP71" s="95"/>
      <c r="JQ71" s="95"/>
      <c r="JR71" s="95"/>
      <c r="JS71" s="95"/>
      <c r="JT71" s="95"/>
      <c r="JU71" s="95"/>
      <c r="JV71" s="95"/>
      <c r="JW71" s="95"/>
      <c r="JX71" s="95"/>
      <c r="JY71" s="95"/>
      <c r="JZ71" s="95"/>
      <c r="KA71" s="95"/>
      <c r="KB71" s="95"/>
      <c r="KC71" s="95"/>
      <c r="KD71" s="95"/>
      <c r="KE71" s="95"/>
      <c r="KF71" s="95"/>
      <c r="KG71" s="95"/>
      <c r="KH71" s="95"/>
      <c r="KI71" s="95"/>
      <c r="KJ71" s="95"/>
      <c r="KK71" s="95"/>
      <c r="KL71" s="95"/>
      <c r="KM71" s="95"/>
      <c r="KN71" s="95"/>
      <c r="KO71" s="95"/>
      <c r="KP71" s="95"/>
      <c r="KQ71" s="95"/>
      <c r="KR71" s="95"/>
      <c r="KS71" s="95"/>
      <c r="KT71" s="95"/>
      <c r="KU71" s="95"/>
      <c r="KV71" s="95"/>
      <c r="KW71" s="95"/>
      <c r="KX71" s="95"/>
      <c r="KY71" s="95"/>
      <c r="KZ71" s="95"/>
      <c r="LA71" s="95"/>
      <c r="LB71" s="95"/>
      <c r="LC71" s="95"/>
      <c r="LD71" s="95"/>
      <c r="LE71" s="95"/>
      <c r="LF71" s="95"/>
      <c r="LG71" s="95"/>
      <c r="LH71" s="95"/>
      <c r="LI71" s="95"/>
      <c r="LJ71" s="95"/>
      <c r="LK71" s="95"/>
      <c r="LL71" s="95"/>
      <c r="LM71" s="94"/>
      <c r="LN71" s="520"/>
    </row>
    <row r="72" spans="1:326" s="91" customFormat="1">
      <c r="A72" s="93" t="s">
        <v>121</v>
      </c>
      <c r="B72" s="67" t="s">
        <v>111</v>
      </c>
      <c r="C72" s="67" t="s">
        <v>110</v>
      </c>
      <c r="D72" s="67" t="s">
        <v>109</v>
      </c>
      <c r="E72" s="67" t="s">
        <v>108</v>
      </c>
      <c r="F72" s="67" t="s">
        <v>107</v>
      </c>
      <c r="G72" s="67" t="s">
        <v>106</v>
      </c>
      <c r="H72" s="67" t="s">
        <v>105</v>
      </c>
      <c r="I72" s="67" t="s">
        <v>104</v>
      </c>
      <c r="J72" s="67" t="s">
        <v>103</v>
      </c>
      <c r="K72" s="67" t="s">
        <v>102</v>
      </c>
      <c r="L72" s="67" t="s">
        <v>101</v>
      </c>
      <c r="M72" s="67" t="s">
        <v>100</v>
      </c>
      <c r="N72" s="68" t="s">
        <v>99</v>
      </c>
      <c r="O72" s="67" t="s">
        <v>98</v>
      </c>
      <c r="P72" s="67" t="s">
        <v>120</v>
      </c>
      <c r="Q72" s="66">
        <f t="shared" ref="Q72:S72" si="23">Q3</f>
        <v>46099</v>
      </c>
      <c r="R72" s="66">
        <f t="shared" ref="R72" si="24">R3</f>
        <v>46092</v>
      </c>
      <c r="S72" s="66">
        <f t="shared" si="23"/>
        <v>46085</v>
      </c>
      <c r="T72" s="66">
        <f t="shared" ref="T72:AH72" si="25">T3</f>
        <v>46078</v>
      </c>
      <c r="U72" s="66">
        <f t="shared" ref="U72" si="26">U3</f>
        <v>46071</v>
      </c>
      <c r="V72" s="66">
        <f>V3</f>
        <v>46057</v>
      </c>
      <c r="W72" s="66">
        <f t="shared" si="25"/>
        <v>46050</v>
      </c>
      <c r="X72" s="66">
        <f t="shared" si="25"/>
        <v>46043</v>
      </c>
      <c r="Y72" s="66">
        <f t="shared" si="25"/>
        <v>46036</v>
      </c>
      <c r="Z72" s="66">
        <f t="shared" si="25"/>
        <v>46029</v>
      </c>
      <c r="AA72" s="66">
        <f t="shared" si="25"/>
        <v>46022</v>
      </c>
      <c r="AB72" s="66">
        <f t="shared" si="25"/>
        <v>46015</v>
      </c>
      <c r="AC72" s="66">
        <f t="shared" si="25"/>
        <v>46008</v>
      </c>
      <c r="AD72" s="66">
        <f t="shared" si="25"/>
        <v>46001</v>
      </c>
      <c r="AE72" s="66">
        <f t="shared" si="25"/>
        <v>45994</v>
      </c>
      <c r="AF72" s="66">
        <f t="shared" si="25"/>
        <v>45987</v>
      </c>
      <c r="AG72" s="66">
        <f t="shared" si="25"/>
        <v>45980</v>
      </c>
      <c r="AH72" s="66">
        <f t="shared" si="25"/>
        <v>45973</v>
      </c>
      <c r="AI72" s="66">
        <f t="shared" ref="AI72:AS72" si="27">AI3</f>
        <v>45966</v>
      </c>
      <c r="AJ72" s="66">
        <f t="shared" si="27"/>
        <v>45959</v>
      </c>
      <c r="AK72" s="66">
        <f t="shared" si="27"/>
        <v>45952</v>
      </c>
      <c r="AL72" s="66">
        <f t="shared" si="27"/>
        <v>45945</v>
      </c>
      <c r="AM72" s="66">
        <f t="shared" si="27"/>
        <v>45938</v>
      </c>
      <c r="AN72" s="66">
        <f t="shared" si="27"/>
        <v>45931</v>
      </c>
      <c r="AO72" s="66">
        <f t="shared" si="27"/>
        <v>45924</v>
      </c>
      <c r="AP72" s="66">
        <f t="shared" si="27"/>
        <v>45917</v>
      </c>
      <c r="AQ72" s="66">
        <f t="shared" si="27"/>
        <v>45910</v>
      </c>
      <c r="AR72" s="66">
        <f t="shared" si="27"/>
        <v>45903</v>
      </c>
      <c r="AS72" s="66">
        <f t="shared" si="27"/>
        <v>45896</v>
      </c>
      <c r="AT72" s="66">
        <v>45889</v>
      </c>
      <c r="AU72" s="66">
        <v>45882</v>
      </c>
      <c r="AV72" s="66">
        <v>45875</v>
      </c>
      <c r="AW72" s="66">
        <v>45868</v>
      </c>
      <c r="AX72" s="66">
        <f>AX3</f>
        <v>45861</v>
      </c>
      <c r="AY72" s="70">
        <v>45854</v>
      </c>
      <c r="AZ72" s="66">
        <v>45847</v>
      </c>
      <c r="BA72" s="66">
        <v>45840</v>
      </c>
      <c r="BB72" s="66">
        <f>BB3</f>
        <v>45833</v>
      </c>
      <c r="BC72" s="66">
        <v>45826</v>
      </c>
      <c r="BD72" s="66">
        <f t="shared" ref="BD72:CI72" si="28">BD3</f>
        <v>45819</v>
      </c>
      <c r="BE72" s="66">
        <f t="shared" si="28"/>
        <v>45812</v>
      </c>
      <c r="BF72" s="66">
        <f t="shared" si="28"/>
        <v>45805</v>
      </c>
      <c r="BG72" s="66">
        <f t="shared" si="28"/>
        <v>45798</v>
      </c>
      <c r="BH72" s="66">
        <f t="shared" si="28"/>
        <v>45792</v>
      </c>
      <c r="BI72" s="66">
        <f t="shared" si="28"/>
        <v>45785</v>
      </c>
      <c r="BJ72" s="66">
        <f t="shared" si="28"/>
        <v>45412</v>
      </c>
      <c r="BK72" s="66">
        <f t="shared" si="28"/>
        <v>45763</v>
      </c>
      <c r="BL72" s="66">
        <f t="shared" si="28"/>
        <v>46092</v>
      </c>
      <c r="BM72" s="66">
        <f t="shared" si="28"/>
        <v>45750</v>
      </c>
      <c r="BN72" s="66">
        <f t="shared" si="28"/>
        <v>45742</v>
      </c>
      <c r="BO72" s="66">
        <f t="shared" si="28"/>
        <v>45736</v>
      </c>
      <c r="BP72" s="66">
        <f t="shared" si="28"/>
        <v>45729</v>
      </c>
      <c r="BQ72" s="66">
        <f t="shared" si="28"/>
        <v>45722</v>
      </c>
      <c r="BR72" s="66">
        <f t="shared" si="28"/>
        <v>45715</v>
      </c>
      <c r="BS72" s="66">
        <f t="shared" si="28"/>
        <v>45708</v>
      </c>
      <c r="BT72" s="66">
        <f t="shared" si="28"/>
        <v>45701</v>
      </c>
      <c r="BU72" s="66">
        <f t="shared" si="28"/>
        <v>45694</v>
      </c>
      <c r="BV72" s="66">
        <f t="shared" si="28"/>
        <v>45688</v>
      </c>
      <c r="BW72" s="66">
        <f t="shared" si="28"/>
        <v>45681</v>
      </c>
      <c r="BX72" s="66">
        <f t="shared" si="28"/>
        <v>45673</v>
      </c>
      <c r="BY72" s="66">
        <f t="shared" si="28"/>
        <v>45666</v>
      </c>
      <c r="BZ72" s="66">
        <f t="shared" si="28"/>
        <v>45659</v>
      </c>
      <c r="CA72" s="66">
        <f t="shared" si="28"/>
        <v>45652</v>
      </c>
      <c r="CB72" s="66">
        <f t="shared" si="28"/>
        <v>45645</v>
      </c>
      <c r="CC72" s="66">
        <f t="shared" si="28"/>
        <v>45638</v>
      </c>
      <c r="CD72" s="66">
        <f t="shared" si="28"/>
        <v>45631</v>
      </c>
      <c r="CE72" s="66">
        <f t="shared" si="28"/>
        <v>45625</v>
      </c>
      <c r="CF72" s="66">
        <f t="shared" si="28"/>
        <v>45617</v>
      </c>
      <c r="CG72" s="66">
        <f t="shared" si="28"/>
        <v>45610</v>
      </c>
      <c r="CH72" s="66">
        <f t="shared" si="28"/>
        <v>45603</v>
      </c>
      <c r="CI72" s="66">
        <f t="shared" si="28"/>
        <v>45595</v>
      </c>
      <c r="CJ72" s="66">
        <f t="shared" ref="CJ72:DO72" si="29">CJ3</f>
        <v>45591</v>
      </c>
      <c r="CK72" s="66">
        <f t="shared" si="29"/>
        <v>45582</v>
      </c>
      <c r="CL72" s="66">
        <f t="shared" si="29"/>
        <v>45575</v>
      </c>
      <c r="CM72" s="66">
        <f t="shared" si="29"/>
        <v>45568</v>
      </c>
      <c r="CN72" s="66">
        <f t="shared" si="29"/>
        <v>45561</v>
      </c>
      <c r="CO72" s="66">
        <f t="shared" si="29"/>
        <v>45554</v>
      </c>
      <c r="CP72" s="66">
        <f t="shared" si="29"/>
        <v>45547</v>
      </c>
      <c r="CQ72" s="66">
        <f t="shared" si="29"/>
        <v>45540</v>
      </c>
      <c r="CR72" s="66">
        <f t="shared" si="29"/>
        <v>45533</v>
      </c>
      <c r="CS72" s="66">
        <f t="shared" si="29"/>
        <v>45526</v>
      </c>
      <c r="CT72" s="66">
        <f t="shared" si="29"/>
        <v>45517</v>
      </c>
      <c r="CU72" s="66">
        <f t="shared" si="29"/>
        <v>45511</v>
      </c>
      <c r="CV72" s="66">
        <f t="shared" si="29"/>
        <v>45505</v>
      </c>
      <c r="CW72" s="66">
        <f t="shared" si="29"/>
        <v>45498</v>
      </c>
      <c r="CX72" s="66">
        <f t="shared" si="29"/>
        <v>45492</v>
      </c>
      <c r="CY72" s="66">
        <f t="shared" si="29"/>
        <v>45484</v>
      </c>
      <c r="CZ72" s="66">
        <f t="shared" si="29"/>
        <v>45477</v>
      </c>
      <c r="DA72" s="66">
        <f t="shared" si="29"/>
        <v>45470</v>
      </c>
      <c r="DB72" s="66">
        <f t="shared" si="29"/>
        <v>45464</v>
      </c>
      <c r="DC72" s="66">
        <f t="shared" si="29"/>
        <v>45456</v>
      </c>
      <c r="DD72" s="66">
        <f t="shared" si="29"/>
        <v>45449</v>
      </c>
      <c r="DE72" s="66">
        <f t="shared" si="29"/>
        <v>45442</v>
      </c>
      <c r="DF72" s="66" t="str">
        <f t="shared" si="29"/>
        <v>23/5/224</v>
      </c>
      <c r="DG72" s="66">
        <f t="shared" si="29"/>
        <v>45428</v>
      </c>
      <c r="DH72" s="66">
        <f t="shared" si="29"/>
        <v>45421</v>
      </c>
      <c r="DI72" s="66">
        <f t="shared" si="29"/>
        <v>45414</v>
      </c>
      <c r="DJ72" s="66">
        <f t="shared" si="29"/>
        <v>45407</v>
      </c>
      <c r="DK72" s="66">
        <f t="shared" si="29"/>
        <v>45400</v>
      </c>
      <c r="DL72" s="66">
        <f t="shared" si="29"/>
        <v>45393</v>
      </c>
      <c r="DM72" s="66">
        <f t="shared" si="29"/>
        <v>45386</v>
      </c>
      <c r="DN72" s="66">
        <f t="shared" si="29"/>
        <v>45378</v>
      </c>
      <c r="DO72" s="66">
        <f t="shared" si="29"/>
        <v>45372</v>
      </c>
      <c r="DP72" s="66">
        <f t="shared" ref="DP72:EV72" si="30">DP3</f>
        <v>45365</v>
      </c>
      <c r="DQ72" s="66">
        <f t="shared" si="30"/>
        <v>45358</v>
      </c>
      <c r="DR72" s="66">
        <f t="shared" si="30"/>
        <v>45351</v>
      </c>
      <c r="DS72" s="66">
        <f t="shared" si="30"/>
        <v>45343</v>
      </c>
      <c r="DT72" s="66">
        <f t="shared" si="30"/>
        <v>45336</v>
      </c>
      <c r="DU72" s="66">
        <f t="shared" si="30"/>
        <v>45329</v>
      </c>
      <c r="DV72" s="66">
        <f t="shared" si="30"/>
        <v>45323</v>
      </c>
      <c r="DW72" s="66">
        <f t="shared" si="30"/>
        <v>45316</v>
      </c>
      <c r="DX72" s="66">
        <f t="shared" si="30"/>
        <v>45309</v>
      </c>
      <c r="DY72" s="66">
        <f t="shared" si="30"/>
        <v>45302</v>
      </c>
      <c r="DZ72" s="66">
        <f t="shared" si="30"/>
        <v>45295</v>
      </c>
      <c r="EA72" s="66">
        <f t="shared" si="30"/>
        <v>45288</v>
      </c>
      <c r="EB72" s="66">
        <f t="shared" si="30"/>
        <v>45281</v>
      </c>
      <c r="EC72" s="66">
        <f t="shared" si="30"/>
        <v>45274</v>
      </c>
      <c r="ED72" s="66">
        <f t="shared" si="30"/>
        <v>45267</v>
      </c>
      <c r="EE72" s="66">
        <f t="shared" si="30"/>
        <v>45260</v>
      </c>
      <c r="EF72" s="66">
        <f t="shared" si="30"/>
        <v>45253</v>
      </c>
      <c r="EG72" s="66">
        <f t="shared" si="30"/>
        <v>45246</v>
      </c>
      <c r="EH72" s="66">
        <f t="shared" si="30"/>
        <v>45239</v>
      </c>
      <c r="EI72" s="66">
        <f t="shared" si="30"/>
        <v>45232</v>
      </c>
      <c r="EJ72" s="66">
        <f t="shared" si="30"/>
        <v>45225</v>
      </c>
      <c r="EK72" s="66">
        <f t="shared" si="30"/>
        <v>45218</v>
      </c>
      <c r="EL72" s="66">
        <f t="shared" si="30"/>
        <v>45211</v>
      </c>
      <c r="EM72" s="66">
        <f t="shared" si="30"/>
        <v>45204</v>
      </c>
      <c r="EN72" s="66">
        <f t="shared" si="30"/>
        <v>45190</v>
      </c>
      <c r="EO72" s="66">
        <f t="shared" si="30"/>
        <v>45190</v>
      </c>
      <c r="EP72" s="66">
        <f t="shared" si="30"/>
        <v>45183</v>
      </c>
      <c r="EQ72" s="66">
        <f t="shared" si="30"/>
        <v>45176</v>
      </c>
      <c r="ER72" s="66">
        <f t="shared" si="30"/>
        <v>45168</v>
      </c>
      <c r="ES72" s="66">
        <f t="shared" si="30"/>
        <v>45162</v>
      </c>
      <c r="ET72" s="66">
        <f t="shared" si="30"/>
        <v>45155</v>
      </c>
      <c r="EU72" s="66">
        <f t="shared" si="30"/>
        <v>45148</v>
      </c>
      <c r="EV72" s="66">
        <f t="shared" si="30"/>
        <v>45141</v>
      </c>
      <c r="EW72" s="66">
        <v>45134</v>
      </c>
      <c r="EX72" s="66">
        <v>45127</v>
      </c>
      <c r="EY72" s="66">
        <v>45120</v>
      </c>
      <c r="EZ72" s="66">
        <v>45113</v>
      </c>
      <c r="FA72" s="66">
        <v>45105</v>
      </c>
      <c r="FB72" s="66">
        <v>45099</v>
      </c>
      <c r="FC72" s="66">
        <v>45092</v>
      </c>
      <c r="FD72" s="66">
        <v>45085</v>
      </c>
      <c r="FE72" s="66">
        <v>45076</v>
      </c>
      <c r="FF72" s="66">
        <v>45070</v>
      </c>
      <c r="FG72" s="66">
        <v>45063</v>
      </c>
      <c r="FH72" s="66">
        <v>45056</v>
      </c>
      <c r="FI72" s="66">
        <v>45049</v>
      </c>
      <c r="FJ72" s="66">
        <v>45042</v>
      </c>
      <c r="FK72" s="66">
        <v>45035</v>
      </c>
      <c r="FL72" s="66">
        <v>45028</v>
      </c>
      <c r="FM72" s="66">
        <v>45020</v>
      </c>
      <c r="FN72" s="66">
        <v>45014</v>
      </c>
      <c r="FO72" s="66">
        <v>45008</v>
      </c>
      <c r="FP72" s="66">
        <v>45002</v>
      </c>
      <c r="FQ72" s="66">
        <v>45000</v>
      </c>
      <c r="FR72" s="66">
        <v>44993</v>
      </c>
      <c r="FS72" s="66">
        <v>44986</v>
      </c>
      <c r="FT72" s="66">
        <v>44979</v>
      </c>
      <c r="FU72" s="66">
        <v>44972</v>
      </c>
      <c r="FV72" s="66">
        <v>44965</v>
      </c>
      <c r="FW72" s="66">
        <v>44958</v>
      </c>
      <c r="FX72" s="66">
        <v>44951</v>
      </c>
      <c r="FY72" s="66">
        <v>44944</v>
      </c>
      <c r="FZ72" s="66">
        <v>44937</v>
      </c>
      <c r="GA72" s="66">
        <v>44930</v>
      </c>
      <c r="GB72" s="66">
        <v>44923</v>
      </c>
      <c r="GC72" s="66">
        <v>44916</v>
      </c>
      <c r="GD72" s="66">
        <v>44910</v>
      </c>
      <c r="GE72" s="66">
        <v>44902</v>
      </c>
      <c r="GF72" s="66">
        <v>44896</v>
      </c>
      <c r="GG72" s="66">
        <v>44888</v>
      </c>
      <c r="GH72" s="66">
        <v>44881</v>
      </c>
      <c r="GI72" s="66">
        <v>44874</v>
      </c>
      <c r="GJ72" s="66">
        <v>44868</v>
      </c>
      <c r="GK72" s="66">
        <v>44839</v>
      </c>
      <c r="GL72" s="66">
        <v>44831</v>
      </c>
      <c r="GM72" s="66">
        <v>44826</v>
      </c>
      <c r="GN72" s="66">
        <v>44818</v>
      </c>
      <c r="GO72" s="66">
        <v>44811</v>
      </c>
      <c r="GP72" s="66">
        <v>44860</v>
      </c>
      <c r="GQ72" s="66">
        <v>44853</v>
      </c>
      <c r="GR72" s="66">
        <v>44846</v>
      </c>
      <c r="GS72" s="65" t="s">
        <v>119</v>
      </c>
      <c r="GT72" s="66">
        <v>44776</v>
      </c>
      <c r="GU72" s="66">
        <v>44769</v>
      </c>
      <c r="GV72" s="66">
        <v>44762</v>
      </c>
      <c r="GW72" s="66">
        <v>44755</v>
      </c>
      <c r="GX72" s="66">
        <v>44748</v>
      </c>
      <c r="GY72" s="66">
        <v>44741</v>
      </c>
      <c r="GZ72" s="69">
        <v>44733</v>
      </c>
      <c r="HA72" s="69">
        <v>44727</v>
      </c>
      <c r="HB72" s="69">
        <v>44720</v>
      </c>
      <c r="HC72" s="69">
        <v>44713</v>
      </c>
      <c r="HD72" s="69">
        <v>44706</v>
      </c>
      <c r="HE72" s="69">
        <v>44699</v>
      </c>
      <c r="HF72" s="69">
        <v>44690</v>
      </c>
      <c r="HG72" s="68" t="s">
        <v>118</v>
      </c>
      <c r="HH72" s="68" t="s">
        <v>117</v>
      </c>
      <c r="HI72" s="67" t="s">
        <v>116</v>
      </c>
      <c r="HJ72" s="67" t="s">
        <v>115</v>
      </c>
      <c r="HK72" s="67" t="s">
        <v>114</v>
      </c>
      <c r="HL72" s="67" t="s">
        <v>113</v>
      </c>
      <c r="HM72" s="67" t="s">
        <v>112</v>
      </c>
      <c r="HN72" s="67" t="s">
        <v>111</v>
      </c>
      <c r="HO72" s="67" t="s">
        <v>110</v>
      </c>
      <c r="HP72" s="67" t="s">
        <v>109</v>
      </c>
      <c r="HQ72" s="67" t="s">
        <v>108</v>
      </c>
      <c r="HR72" s="67" t="s">
        <v>108</v>
      </c>
      <c r="HS72" s="67" t="s">
        <v>107</v>
      </c>
      <c r="HT72" s="67" t="s">
        <v>106</v>
      </c>
      <c r="HU72" s="67" t="s">
        <v>105</v>
      </c>
      <c r="HV72" s="67" t="s">
        <v>104</v>
      </c>
      <c r="HW72" s="67" t="s">
        <v>103</v>
      </c>
      <c r="HX72" s="67" t="s">
        <v>102</v>
      </c>
      <c r="HY72" s="67" t="s">
        <v>101</v>
      </c>
      <c r="HZ72" s="67" t="s">
        <v>100</v>
      </c>
      <c r="IA72" s="68" t="s">
        <v>99</v>
      </c>
      <c r="IB72" s="67" t="s">
        <v>98</v>
      </c>
      <c r="IC72" s="65" t="s">
        <v>97</v>
      </c>
      <c r="ID72" s="65" t="s">
        <v>206</v>
      </c>
      <c r="IE72" s="65" t="s">
        <v>118</v>
      </c>
      <c r="IF72" s="65" t="s">
        <v>205</v>
      </c>
      <c r="IG72" s="65" t="e">
        <f>[4]SGD!M13</f>
        <v>#REF!</v>
      </c>
      <c r="IH72" s="65" t="e">
        <f>[4]SGD!N13</f>
        <v>#REF!</v>
      </c>
      <c r="II72" s="65" t="s">
        <v>204</v>
      </c>
      <c r="IJ72" s="65" t="s">
        <v>203</v>
      </c>
      <c r="IK72" s="65" t="s">
        <v>202</v>
      </c>
      <c r="IL72" s="65" t="s">
        <v>201</v>
      </c>
      <c r="IM72" s="65" t="s">
        <v>200</v>
      </c>
      <c r="IN72" s="65" t="s">
        <v>199</v>
      </c>
      <c r="IO72" s="65" t="s">
        <v>198</v>
      </c>
      <c r="IP72" s="65" t="s">
        <v>197</v>
      </c>
      <c r="IQ72" s="65" t="s">
        <v>147</v>
      </c>
      <c r="IR72" s="65" t="s">
        <v>196</v>
      </c>
      <c r="IS72" s="65" t="s">
        <v>195</v>
      </c>
      <c r="IT72" s="65" t="s">
        <v>194</v>
      </c>
      <c r="IU72" s="65" t="s">
        <v>193</v>
      </c>
      <c r="IV72" s="65" t="s">
        <v>192</v>
      </c>
      <c r="IW72" s="65" t="s">
        <v>191</v>
      </c>
      <c r="IX72" s="65" t="s">
        <v>190</v>
      </c>
      <c r="IY72" s="65" t="s">
        <v>189</v>
      </c>
      <c r="IZ72" s="65" t="s">
        <v>188</v>
      </c>
      <c r="JA72" s="65" t="s">
        <v>187</v>
      </c>
      <c r="JB72" s="65" t="s">
        <v>186</v>
      </c>
      <c r="JC72" s="65" t="s">
        <v>185</v>
      </c>
      <c r="JD72" s="65" t="s">
        <v>184</v>
      </c>
      <c r="JE72" s="65" t="s">
        <v>183</v>
      </c>
      <c r="JF72" s="65" t="s">
        <v>182</v>
      </c>
      <c r="JG72" s="65" t="s">
        <v>181</v>
      </c>
      <c r="JH72" s="65" t="s">
        <v>180</v>
      </c>
      <c r="JI72" s="65" t="s">
        <v>179</v>
      </c>
      <c r="JJ72" s="65" t="s">
        <v>178</v>
      </c>
      <c r="JK72" s="65" t="s">
        <v>177</v>
      </c>
      <c r="JL72" s="65" t="s">
        <v>176</v>
      </c>
      <c r="JM72" s="65" t="s">
        <v>175</v>
      </c>
      <c r="JN72" s="65" t="s">
        <v>174</v>
      </c>
      <c r="JO72" s="92" t="s">
        <v>173</v>
      </c>
      <c r="JP72" s="92" t="s">
        <v>172</v>
      </c>
      <c r="JQ72" s="92" t="s">
        <v>171</v>
      </c>
      <c r="JR72" s="92" t="s">
        <v>170</v>
      </c>
      <c r="JS72" s="92" t="s">
        <v>169</v>
      </c>
      <c r="JT72" s="92" t="s">
        <v>168</v>
      </c>
      <c r="JU72" s="92" t="s">
        <v>167</v>
      </c>
      <c r="JV72" s="92" t="s">
        <v>166</v>
      </c>
      <c r="JW72" s="92" t="s">
        <v>165</v>
      </c>
      <c r="JX72" s="92" t="s">
        <v>164</v>
      </c>
      <c r="JY72" s="92" t="s">
        <v>99</v>
      </c>
      <c r="JZ72" s="92" t="s">
        <v>103</v>
      </c>
      <c r="KA72" s="92" t="s">
        <v>163</v>
      </c>
      <c r="KB72" s="92" t="s">
        <v>162</v>
      </c>
      <c r="KC72" s="92" t="s">
        <v>161</v>
      </c>
      <c r="KD72" s="92" t="s">
        <v>160</v>
      </c>
      <c r="KE72" s="92" t="s">
        <v>159</v>
      </c>
      <c r="KF72" s="92" t="s">
        <v>158</v>
      </c>
      <c r="KG72" s="92" t="s">
        <v>157</v>
      </c>
      <c r="KH72" s="92" t="s">
        <v>156</v>
      </c>
      <c r="KI72" s="92" t="s">
        <v>155</v>
      </c>
      <c r="KJ72" s="92" t="s">
        <v>154</v>
      </c>
      <c r="KK72" s="92" t="s">
        <v>153</v>
      </c>
      <c r="KL72" s="92" t="s">
        <v>152</v>
      </c>
      <c r="KM72" s="92" t="s">
        <v>151</v>
      </c>
      <c r="KN72" s="92" t="s">
        <v>150</v>
      </c>
      <c r="KO72" s="92" t="s">
        <v>149</v>
      </c>
      <c r="KP72" s="92" t="s">
        <v>148</v>
      </c>
      <c r="KQ72" s="92" t="s">
        <v>147</v>
      </c>
      <c r="KR72" s="92" t="s">
        <v>146</v>
      </c>
      <c r="KS72" s="92" t="s">
        <v>145</v>
      </c>
      <c r="KT72" s="92" t="s">
        <v>144</v>
      </c>
      <c r="KU72" s="92" t="s">
        <v>143</v>
      </c>
      <c r="KV72" s="92" t="s">
        <v>142</v>
      </c>
      <c r="KW72" s="92" t="s">
        <v>141</v>
      </c>
      <c r="KX72" s="92" t="s">
        <v>140</v>
      </c>
      <c r="KY72" s="92" t="s">
        <v>139</v>
      </c>
      <c r="KZ72" s="92" t="s">
        <v>138</v>
      </c>
      <c r="LA72" s="92" t="s">
        <v>137</v>
      </c>
      <c r="LB72" s="92" t="s">
        <v>136</v>
      </c>
      <c r="LC72" s="92" t="s">
        <v>135</v>
      </c>
      <c r="LD72" s="92" t="s">
        <v>134</v>
      </c>
      <c r="LE72" s="92" t="s">
        <v>133</v>
      </c>
      <c r="LF72" s="92" t="s">
        <v>132</v>
      </c>
      <c r="LG72" s="92" t="s">
        <v>131</v>
      </c>
      <c r="LH72" s="92" t="s">
        <v>130</v>
      </c>
      <c r="LI72" s="92" t="s">
        <v>129</v>
      </c>
      <c r="LJ72" s="92" t="s">
        <v>128</v>
      </c>
      <c r="LK72" s="92" t="s">
        <v>127</v>
      </c>
      <c r="LL72" s="92" t="s">
        <v>126</v>
      </c>
      <c r="LM72" s="92" t="s">
        <v>125</v>
      </c>
      <c r="LN72" s="468" t="s">
        <v>113</v>
      </c>
    </row>
    <row r="73" spans="1:326" hidden="1">
      <c r="A73" s="1162" t="s">
        <v>20</v>
      </c>
      <c r="B73" s="87"/>
      <c r="C73" s="87"/>
      <c r="D73" s="87"/>
      <c r="E73" s="87"/>
      <c r="F73" s="87"/>
      <c r="G73" s="87"/>
      <c r="H73" s="87"/>
      <c r="I73" s="87"/>
      <c r="J73" s="87"/>
      <c r="K73" s="87"/>
      <c r="L73" s="87"/>
      <c r="M73" s="87"/>
      <c r="N73" s="88"/>
      <c r="O73" s="87"/>
      <c r="P73" s="627" t="s">
        <v>95</v>
      </c>
      <c r="Q73" s="627"/>
      <c r="R73" s="627"/>
      <c r="S73" s="627"/>
      <c r="T73" s="627"/>
      <c r="U73" s="627"/>
      <c r="V73" s="627"/>
      <c r="W73" s="627"/>
      <c r="X73" s="627"/>
      <c r="Y73" s="627"/>
      <c r="Z73" s="627"/>
      <c r="AA73" s="627"/>
      <c r="AB73" s="627"/>
      <c r="AC73" s="627"/>
      <c r="AD73" s="627"/>
      <c r="AE73" s="627"/>
      <c r="AF73" s="627"/>
      <c r="AG73" s="42"/>
      <c r="AH73" s="42"/>
      <c r="AI73" s="42"/>
      <c r="AJ73" s="82" t="s">
        <v>124</v>
      </c>
      <c r="AK73" s="82" t="s">
        <v>124</v>
      </c>
      <c r="AL73" s="82" t="s">
        <v>124</v>
      </c>
      <c r="AM73" s="82" t="s">
        <v>124</v>
      </c>
      <c r="AN73" s="82" t="s">
        <v>124</v>
      </c>
      <c r="AO73" s="82" t="s">
        <v>124</v>
      </c>
      <c r="AP73" s="82" t="s">
        <v>124</v>
      </c>
      <c r="AQ73" s="82" t="s">
        <v>124</v>
      </c>
      <c r="AR73" s="82" t="s">
        <v>124</v>
      </c>
      <c r="AS73" s="82" t="s">
        <v>124</v>
      </c>
      <c r="AT73" s="82" t="s">
        <v>124</v>
      </c>
      <c r="AU73" s="82" t="s">
        <v>124</v>
      </c>
      <c r="AV73" s="82" t="s">
        <v>124</v>
      </c>
      <c r="AW73" s="82" t="s">
        <v>124</v>
      </c>
      <c r="AX73" s="82" t="s">
        <v>124</v>
      </c>
      <c r="AY73" s="81" t="s">
        <v>124</v>
      </c>
      <c r="AZ73" s="82" t="s">
        <v>124</v>
      </c>
      <c r="BA73" s="82" t="s">
        <v>124</v>
      </c>
      <c r="BB73" s="82" t="s">
        <v>124</v>
      </c>
      <c r="BC73" s="82" t="s">
        <v>124</v>
      </c>
      <c r="BD73" s="82" t="s">
        <v>124</v>
      </c>
      <c r="BE73" s="82" t="s">
        <v>124</v>
      </c>
      <c r="BF73" s="82" t="s">
        <v>124</v>
      </c>
      <c r="BG73" s="82" t="s">
        <v>124</v>
      </c>
      <c r="BH73" s="82" t="s">
        <v>124</v>
      </c>
      <c r="BI73" s="81" t="s">
        <v>124</v>
      </c>
      <c r="BJ73" s="81" t="s">
        <v>124</v>
      </c>
      <c r="BK73" s="81" t="s">
        <v>124</v>
      </c>
      <c r="BL73" s="81" t="s">
        <v>124</v>
      </c>
      <c r="BM73" s="81" t="s">
        <v>124</v>
      </c>
      <c r="BN73" s="81" t="s">
        <v>124</v>
      </c>
      <c r="BO73" s="81" t="s">
        <v>124</v>
      </c>
      <c r="BP73" s="81" t="s">
        <v>124</v>
      </c>
      <c r="BQ73" s="81" t="s">
        <v>124</v>
      </c>
      <c r="BR73" s="81" t="s">
        <v>124</v>
      </c>
      <c r="BS73" s="81" t="s">
        <v>124</v>
      </c>
      <c r="BT73" s="81" t="s">
        <v>124</v>
      </c>
      <c r="BU73" s="81" t="s">
        <v>124</v>
      </c>
      <c r="BV73" s="81" t="s">
        <v>124</v>
      </c>
      <c r="BW73" s="81" t="s">
        <v>124</v>
      </c>
      <c r="BX73" s="81" t="s">
        <v>124</v>
      </c>
      <c r="BY73" s="81" t="s">
        <v>124</v>
      </c>
      <c r="BZ73" s="81" t="s">
        <v>124</v>
      </c>
      <c r="CA73" s="81" t="s">
        <v>124</v>
      </c>
      <c r="CB73" s="81" t="s">
        <v>124</v>
      </c>
      <c r="CC73" s="81" t="s">
        <v>124</v>
      </c>
      <c r="CD73" s="81" t="s">
        <v>124</v>
      </c>
      <c r="CE73" s="81" t="s">
        <v>124</v>
      </c>
      <c r="CF73" s="81" t="s">
        <v>124</v>
      </c>
      <c r="CG73" s="81" t="s">
        <v>124</v>
      </c>
      <c r="CH73" s="81" t="s">
        <v>124</v>
      </c>
      <c r="CI73" s="81" t="s">
        <v>124</v>
      </c>
      <c r="CJ73" s="81" t="s">
        <v>124</v>
      </c>
      <c r="CK73" s="81" t="s">
        <v>124</v>
      </c>
      <c r="CL73" s="81" t="s">
        <v>124</v>
      </c>
      <c r="CM73" s="81" t="s">
        <v>124</v>
      </c>
      <c r="CN73" s="81" t="s">
        <v>124</v>
      </c>
      <c r="CO73" s="81" t="s">
        <v>124</v>
      </c>
      <c r="CP73" s="81" t="s">
        <v>124</v>
      </c>
      <c r="CQ73" s="81" t="s">
        <v>124</v>
      </c>
      <c r="CR73" s="81" t="s">
        <v>124</v>
      </c>
      <c r="CS73" s="81" t="s">
        <v>124</v>
      </c>
      <c r="CT73" s="81" t="s">
        <v>124</v>
      </c>
      <c r="CU73" s="81" t="s">
        <v>124</v>
      </c>
      <c r="CV73" s="81" t="s">
        <v>124</v>
      </c>
      <c r="CW73" s="81" t="s">
        <v>124</v>
      </c>
      <c r="CX73" s="81" t="s">
        <v>124</v>
      </c>
      <c r="CY73" s="81" t="s">
        <v>124</v>
      </c>
      <c r="CZ73" s="81" t="s">
        <v>124</v>
      </c>
      <c r="DA73" s="81" t="s">
        <v>124</v>
      </c>
      <c r="DB73" s="81" t="s">
        <v>124</v>
      </c>
      <c r="DC73" s="81" t="s">
        <v>124</v>
      </c>
      <c r="DD73" s="81" t="s">
        <v>124</v>
      </c>
      <c r="DE73" s="81" t="s">
        <v>124</v>
      </c>
      <c r="DF73" s="81" t="s">
        <v>124</v>
      </c>
      <c r="DG73" s="81" t="s">
        <v>124</v>
      </c>
      <c r="DH73" s="81" t="s">
        <v>124</v>
      </c>
      <c r="DI73" s="81" t="s">
        <v>124</v>
      </c>
      <c r="DJ73" s="81" t="s">
        <v>124</v>
      </c>
      <c r="DK73" s="81" t="s">
        <v>124</v>
      </c>
      <c r="DL73" s="81" t="s">
        <v>124</v>
      </c>
      <c r="DM73" s="81" t="s">
        <v>124</v>
      </c>
      <c r="DN73" s="81" t="s">
        <v>124</v>
      </c>
      <c r="DO73" s="81" t="s">
        <v>124</v>
      </c>
      <c r="DP73" s="81" t="s">
        <v>124</v>
      </c>
      <c r="DQ73" s="81" t="s">
        <v>124</v>
      </c>
      <c r="DR73" s="81" t="s">
        <v>124</v>
      </c>
      <c r="DS73" s="81" t="s">
        <v>124</v>
      </c>
      <c r="DT73" s="81" t="s">
        <v>124</v>
      </c>
      <c r="DU73" s="81" t="s">
        <v>124</v>
      </c>
      <c r="DV73" s="81" t="s">
        <v>124</v>
      </c>
      <c r="DW73" s="81" t="s">
        <v>124</v>
      </c>
      <c r="DX73" s="81" t="s">
        <v>124</v>
      </c>
      <c r="DY73" s="81" t="s">
        <v>124</v>
      </c>
      <c r="DZ73" s="81" t="s">
        <v>124</v>
      </c>
      <c r="EA73" s="81" t="s">
        <v>124</v>
      </c>
      <c r="EB73" s="81" t="s">
        <v>124</v>
      </c>
      <c r="EC73" s="81" t="s">
        <v>124</v>
      </c>
      <c r="ED73" s="81" t="s">
        <v>124</v>
      </c>
      <c r="EE73" s="81" t="s">
        <v>124</v>
      </c>
      <c r="EF73" s="81" t="s">
        <v>124</v>
      </c>
      <c r="EG73" s="81" t="s">
        <v>124</v>
      </c>
      <c r="EH73" s="81" t="s">
        <v>124</v>
      </c>
      <c r="EI73" s="81" t="s">
        <v>124</v>
      </c>
      <c r="EJ73" s="81" t="s">
        <v>124</v>
      </c>
      <c r="EK73" s="81" t="s">
        <v>124</v>
      </c>
      <c r="EL73" s="81" t="s">
        <v>124</v>
      </c>
      <c r="EM73" s="81" t="s">
        <v>124</v>
      </c>
      <c r="EN73" s="81" t="s">
        <v>124</v>
      </c>
      <c r="EO73" s="81" t="s">
        <v>124</v>
      </c>
      <c r="EP73" s="81" t="s">
        <v>124</v>
      </c>
      <c r="EQ73" s="81" t="s">
        <v>124</v>
      </c>
      <c r="ER73" s="81" t="s">
        <v>124</v>
      </c>
      <c r="ES73" s="81" t="s">
        <v>124</v>
      </c>
      <c r="ET73" s="81" t="s">
        <v>124</v>
      </c>
      <c r="EU73" s="81" t="s">
        <v>124</v>
      </c>
      <c r="EV73" s="81" t="s">
        <v>124</v>
      </c>
      <c r="EW73" s="81" t="s">
        <v>124</v>
      </c>
      <c r="EX73" s="81" t="s">
        <v>124</v>
      </c>
      <c r="EY73" s="81" t="s">
        <v>124</v>
      </c>
      <c r="EZ73" s="81" t="s">
        <v>124</v>
      </c>
      <c r="FA73" s="81" t="s">
        <v>124</v>
      </c>
      <c r="FB73" s="81" t="s">
        <v>124</v>
      </c>
      <c r="FC73" s="81" t="s">
        <v>124</v>
      </c>
      <c r="FD73" s="81" t="s">
        <v>124</v>
      </c>
      <c r="FE73" s="81" t="s">
        <v>124</v>
      </c>
      <c r="FF73" s="81" t="s">
        <v>124</v>
      </c>
      <c r="FG73" s="81" t="s">
        <v>124</v>
      </c>
      <c r="FH73" s="81" t="s">
        <v>124</v>
      </c>
      <c r="FI73" s="81" t="s">
        <v>124</v>
      </c>
      <c r="FJ73" s="81" t="s">
        <v>124</v>
      </c>
      <c r="FK73" s="81" t="s">
        <v>124</v>
      </c>
      <c r="FL73" s="81" t="s">
        <v>124</v>
      </c>
      <c r="FM73" s="81" t="s">
        <v>124</v>
      </c>
      <c r="FN73" s="81" t="s">
        <v>124</v>
      </c>
      <c r="FO73" s="81" t="s">
        <v>124</v>
      </c>
      <c r="FP73" s="81" t="s">
        <v>124</v>
      </c>
      <c r="FQ73" s="81" t="s">
        <v>124</v>
      </c>
      <c r="FR73" s="81" t="s">
        <v>124</v>
      </c>
      <c r="FS73" s="81" t="s">
        <v>124</v>
      </c>
      <c r="FT73" s="81" t="s">
        <v>124</v>
      </c>
      <c r="FU73" s="81" t="s">
        <v>124</v>
      </c>
      <c r="FV73" s="81" t="s">
        <v>124</v>
      </c>
      <c r="FW73" s="81" t="s">
        <v>124</v>
      </c>
      <c r="FX73" s="81" t="s">
        <v>124</v>
      </c>
      <c r="FY73" s="81" t="s">
        <v>124</v>
      </c>
      <c r="FZ73" s="81" t="s">
        <v>124</v>
      </c>
      <c r="GA73" s="81" t="s">
        <v>124</v>
      </c>
      <c r="GB73" s="81" t="s">
        <v>124</v>
      </c>
      <c r="GC73" s="81" t="s">
        <v>124</v>
      </c>
      <c r="GD73" s="81" t="s">
        <v>124</v>
      </c>
      <c r="GE73" s="81" t="s">
        <v>124</v>
      </c>
      <c r="GF73" s="81" t="s">
        <v>124</v>
      </c>
      <c r="GG73" s="81" t="s">
        <v>124</v>
      </c>
      <c r="GH73" s="81" t="s">
        <v>124</v>
      </c>
      <c r="GI73" s="81" t="s">
        <v>124</v>
      </c>
      <c r="GJ73" s="81" t="s">
        <v>124</v>
      </c>
      <c r="GK73" s="81" t="s">
        <v>124</v>
      </c>
      <c r="GL73" s="81" t="s">
        <v>124</v>
      </c>
      <c r="GM73" s="81" t="s">
        <v>124</v>
      </c>
      <c r="GN73" s="81" t="s">
        <v>124</v>
      </c>
      <c r="GO73" s="81" t="s">
        <v>124</v>
      </c>
      <c r="GP73" s="81" t="s">
        <v>124</v>
      </c>
      <c r="GQ73" s="81" t="s">
        <v>124</v>
      </c>
      <c r="GR73" s="81" t="s">
        <v>124</v>
      </c>
      <c r="GS73" s="81" t="s">
        <v>124</v>
      </c>
      <c r="GT73" s="81" t="s">
        <v>124</v>
      </c>
      <c r="GU73" s="81" t="s">
        <v>124</v>
      </c>
      <c r="GV73" s="81" t="s">
        <v>124</v>
      </c>
      <c r="GW73" s="81" t="s">
        <v>124</v>
      </c>
      <c r="GX73" s="81" t="s">
        <v>124</v>
      </c>
      <c r="GY73" s="81" t="s">
        <v>124</v>
      </c>
      <c r="GZ73" s="81" t="s">
        <v>124</v>
      </c>
      <c r="HA73" s="81" t="s">
        <v>124</v>
      </c>
      <c r="HB73" s="81" t="s">
        <v>124</v>
      </c>
      <c r="HC73" s="81" t="s">
        <v>124</v>
      </c>
      <c r="HD73" s="81" t="s">
        <v>124</v>
      </c>
      <c r="HE73" s="81" t="s">
        <v>124</v>
      </c>
      <c r="HF73" s="81" t="s">
        <v>124</v>
      </c>
      <c r="HG73" s="81" t="s">
        <v>124</v>
      </c>
      <c r="HH73" s="81" t="s">
        <v>124</v>
      </c>
      <c r="HI73" s="81" t="s">
        <v>124</v>
      </c>
      <c r="HJ73" s="81" t="s">
        <v>124</v>
      </c>
      <c r="HK73" s="81" t="s">
        <v>124</v>
      </c>
      <c r="HL73" s="41" t="e">
        <f t="shared" ref="HL73:HL81" si="31">BH73-BQ73</f>
        <v>#VALUE!</v>
      </c>
      <c r="HM73" s="67"/>
      <c r="HN73" s="67"/>
      <c r="HO73" s="67"/>
      <c r="HP73" s="67"/>
      <c r="HQ73" s="86"/>
      <c r="HR73" s="85">
        <v>2.2700000000000001E-2</v>
      </c>
      <c r="HS73" s="80">
        <v>1.5599999999999999E-2</v>
      </c>
      <c r="HT73" s="84">
        <v>1.95E-2</v>
      </c>
      <c r="HU73" s="80">
        <v>1.7399999999999999E-2</v>
      </c>
      <c r="HV73" s="84">
        <v>0.02</v>
      </c>
      <c r="HW73" s="84">
        <v>2.9100000000000001E-2</v>
      </c>
      <c r="HX73" s="84">
        <v>2.93E-2</v>
      </c>
      <c r="HY73" s="80">
        <v>2.8799999999999999E-2</v>
      </c>
      <c r="HZ73" s="84">
        <v>3.0800000000000001E-2</v>
      </c>
      <c r="IA73" s="80">
        <v>2.7900000000000001E-2</v>
      </c>
      <c r="IB73" s="80">
        <v>2.7199999999999998E-2</v>
      </c>
      <c r="IC73" s="80">
        <v>2.4799999999999999E-2</v>
      </c>
      <c r="ID73" s="84">
        <v>2.5899999999999999E-2</v>
      </c>
      <c r="IE73" s="80">
        <v>2.5000000000000001E-2</v>
      </c>
      <c r="IF73" s="84">
        <v>2.7E-2</v>
      </c>
      <c r="IG73" s="80">
        <v>2.4299999999999999E-2</v>
      </c>
      <c r="IH73" s="84">
        <v>2.46E-2</v>
      </c>
      <c r="II73" s="84">
        <v>2.63E-2</v>
      </c>
      <c r="IJ73" s="80">
        <v>2.3E-2</v>
      </c>
      <c r="IK73" s="84">
        <v>2.3800000000000002E-2</v>
      </c>
      <c r="IL73" s="80">
        <v>2.3199999999999998E-2</v>
      </c>
      <c r="IM73" s="80">
        <v>2.23E-2</v>
      </c>
      <c r="IN73" s="80">
        <v>2.1899999999999999E-2</v>
      </c>
      <c r="IO73" s="84">
        <v>2.3300000000000001E-2</v>
      </c>
      <c r="IP73" s="80">
        <v>2.2700000000000001E-2</v>
      </c>
      <c r="IQ73" s="84">
        <v>2.3699999999999999E-2</v>
      </c>
      <c r="IR73" s="84">
        <v>2.5600000000000001E-2</v>
      </c>
      <c r="IS73" s="80">
        <v>2.4799999999999999E-2</v>
      </c>
      <c r="IT73" s="84">
        <v>2.7199999999999998E-2</v>
      </c>
      <c r="IU73" s="84">
        <v>2.7799999999999998E-2</v>
      </c>
      <c r="IV73" s="84">
        <v>2.8299999999999999E-2</v>
      </c>
      <c r="IW73" s="84">
        <v>2.8799999999999999E-2</v>
      </c>
      <c r="IX73" s="83">
        <v>2.8799999999999999E-2</v>
      </c>
      <c r="IY73" s="80">
        <v>2.7799999999999998E-2</v>
      </c>
      <c r="IZ73" s="83">
        <v>2.7799999999999998E-2</v>
      </c>
      <c r="JA73" s="84">
        <v>2.8799999999999999E-2</v>
      </c>
      <c r="JB73" s="80">
        <v>2.8299999999999999E-2</v>
      </c>
      <c r="JC73" s="84">
        <v>3.0800000000000001E-2</v>
      </c>
      <c r="JD73" s="80">
        <v>2.98E-2</v>
      </c>
      <c r="JE73" s="80">
        <v>2.8799999999999999E-2</v>
      </c>
      <c r="JF73" s="83">
        <v>2.8799999999999999E-2</v>
      </c>
      <c r="JG73" s="84">
        <v>2.93E-2</v>
      </c>
      <c r="JH73" s="84">
        <v>3.0300000000000001E-2</v>
      </c>
      <c r="JI73" s="83">
        <v>3.0300000000000001E-2</v>
      </c>
      <c r="JJ73" s="80">
        <v>2.98E-2</v>
      </c>
      <c r="JK73" s="80">
        <v>2.8799999999999999E-2</v>
      </c>
      <c r="JL73" s="80">
        <v>2.58E-2</v>
      </c>
      <c r="JM73" s="84">
        <v>2.63E-2</v>
      </c>
      <c r="JN73" s="80">
        <v>2.53E-2</v>
      </c>
      <c r="JO73" s="80">
        <v>2.4299999999999999E-2</v>
      </c>
      <c r="JP73" s="80">
        <v>2.23E-2</v>
      </c>
      <c r="JQ73" s="84">
        <v>2.3800000000000002E-2</v>
      </c>
      <c r="JR73" s="57">
        <v>2.3800000000000002E-2</v>
      </c>
      <c r="JS73" s="84">
        <v>2.53E-2</v>
      </c>
      <c r="JT73" s="84">
        <v>2.7300000000000001E-2</v>
      </c>
      <c r="JU73" s="57">
        <v>2.7300000000000001E-2</v>
      </c>
      <c r="JV73" s="84">
        <v>2.7799999999999998E-2</v>
      </c>
      <c r="JW73" s="80">
        <v>2.7300000000000001E-2</v>
      </c>
      <c r="JX73" s="84">
        <v>2.8299999999999999E-2</v>
      </c>
      <c r="JY73" s="84">
        <v>2.93E-2</v>
      </c>
      <c r="JZ73" s="57">
        <v>2.93E-2</v>
      </c>
      <c r="KA73" s="84">
        <v>2.98E-2</v>
      </c>
      <c r="KB73" s="80">
        <v>2.8799999999999999E-2</v>
      </c>
      <c r="KC73" s="57">
        <v>2.8799999999999999E-2</v>
      </c>
      <c r="KD73" s="80">
        <v>2.8000000000000001E-2</v>
      </c>
      <c r="KE73" s="80">
        <v>2.63E-2</v>
      </c>
      <c r="KF73" s="80">
        <v>2.41E-2</v>
      </c>
      <c r="KG73" s="84">
        <v>2.4299999999999999E-2</v>
      </c>
      <c r="KH73" s="80">
        <v>2.3800000000000002E-2</v>
      </c>
      <c r="KI73" s="80">
        <v>2.2599999999999999E-2</v>
      </c>
      <c r="KJ73" s="84">
        <v>2.3599999999999999E-2</v>
      </c>
      <c r="KK73" s="80">
        <v>2.3300000000000001E-2</v>
      </c>
      <c r="KL73" s="84">
        <v>2.63E-2</v>
      </c>
      <c r="KM73" s="80">
        <v>2.4799999999999999E-2</v>
      </c>
      <c r="KN73" s="84">
        <v>2.5399999999999999E-2</v>
      </c>
      <c r="KO73" s="80">
        <v>2.47E-2</v>
      </c>
      <c r="KP73" s="84">
        <v>2.53E-2</v>
      </c>
      <c r="KQ73" s="84">
        <v>2.7199999999999998E-2</v>
      </c>
      <c r="KR73" s="84">
        <v>2.7300000000000001E-2</v>
      </c>
      <c r="KS73" s="80">
        <v>2.6800000000000001E-2</v>
      </c>
      <c r="KT73" s="84">
        <v>2.7099999999999999E-2</v>
      </c>
      <c r="KU73" s="80">
        <v>2.6200000000000001E-2</v>
      </c>
      <c r="KV73" s="83">
        <v>2.6200000000000001E-2</v>
      </c>
      <c r="KW73" s="84">
        <v>2.6800000000000001E-2</v>
      </c>
      <c r="KX73" s="84">
        <v>2.81E-2</v>
      </c>
      <c r="KY73" s="80">
        <v>2.75E-2</v>
      </c>
      <c r="KZ73" s="84">
        <v>2.7300000000000001E-2</v>
      </c>
      <c r="LA73" s="90">
        <v>2.8799999999999999E-2</v>
      </c>
      <c r="LB73" s="90">
        <v>2.98E-2</v>
      </c>
      <c r="LC73" s="80">
        <v>2.9100000000000001E-2</v>
      </c>
      <c r="LD73" s="84">
        <v>2.98E-2</v>
      </c>
      <c r="LE73" s="83">
        <v>2.98E-2</v>
      </c>
      <c r="LF73" s="80">
        <v>2.8299999999999999E-2</v>
      </c>
      <c r="LG73" s="80">
        <v>2.7799999999999998E-2</v>
      </c>
      <c r="LH73" s="84">
        <v>2.86E-2</v>
      </c>
      <c r="LI73" s="80">
        <v>2.8000000000000001E-2</v>
      </c>
      <c r="LJ73" s="84">
        <v>2.9100000000000001E-2</v>
      </c>
      <c r="LK73" s="80">
        <v>2.7300000000000001E-2</v>
      </c>
      <c r="LL73" s="84">
        <v>2.8299999999999999E-2</v>
      </c>
      <c r="LM73" s="80">
        <v>2.7799999999999998E-2</v>
      </c>
      <c r="LN73" s="523" t="s">
        <v>113</v>
      </c>
    </row>
    <row r="74" spans="1:326" hidden="1">
      <c r="A74" s="1163"/>
      <c r="B74" s="87"/>
      <c r="C74" s="87"/>
      <c r="D74" s="87"/>
      <c r="E74" s="87"/>
      <c r="F74" s="87"/>
      <c r="G74" s="87"/>
      <c r="H74" s="87"/>
      <c r="I74" s="87"/>
      <c r="J74" s="87"/>
      <c r="K74" s="87"/>
      <c r="L74" s="87"/>
      <c r="M74" s="87"/>
      <c r="N74" s="88"/>
      <c r="O74" s="87"/>
      <c r="P74" s="627" t="s">
        <v>93</v>
      </c>
      <c r="Q74" s="627"/>
      <c r="R74" s="627"/>
      <c r="S74" s="627"/>
      <c r="T74" s="627"/>
      <c r="U74" s="627"/>
      <c r="V74" s="627"/>
      <c r="W74" s="627"/>
      <c r="X74" s="627"/>
      <c r="Y74" s="627"/>
      <c r="Z74" s="627"/>
      <c r="AA74" s="627"/>
      <c r="AB74" s="627"/>
      <c r="AC74" s="627"/>
      <c r="AD74" s="627"/>
      <c r="AE74" s="627"/>
      <c r="AF74" s="627"/>
      <c r="AG74" s="42"/>
      <c r="AH74" s="42"/>
      <c r="AI74" s="42"/>
      <c r="AJ74" s="82" t="s">
        <v>124</v>
      </c>
      <c r="AK74" s="82" t="s">
        <v>124</v>
      </c>
      <c r="AL74" s="82" t="s">
        <v>124</v>
      </c>
      <c r="AM74" s="82" t="s">
        <v>124</v>
      </c>
      <c r="AN74" s="82" t="s">
        <v>124</v>
      </c>
      <c r="AO74" s="82" t="s">
        <v>124</v>
      </c>
      <c r="AP74" s="82" t="s">
        <v>124</v>
      </c>
      <c r="AQ74" s="82" t="s">
        <v>124</v>
      </c>
      <c r="AR74" s="82" t="s">
        <v>124</v>
      </c>
      <c r="AS74" s="82" t="s">
        <v>124</v>
      </c>
      <c r="AT74" s="82" t="s">
        <v>124</v>
      </c>
      <c r="AU74" s="82" t="s">
        <v>124</v>
      </c>
      <c r="AV74" s="82" t="s">
        <v>124</v>
      </c>
      <c r="AW74" s="82" t="s">
        <v>124</v>
      </c>
      <c r="AX74" s="82" t="s">
        <v>124</v>
      </c>
      <c r="AY74" s="81" t="s">
        <v>124</v>
      </c>
      <c r="AZ74" s="82" t="s">
        <v>124</v>
      </c>
      <c r="BA74" s="82" t="s">
        <v>124</v>
      </c>
      <c r="BB74" s="82" t="s">
        <v>124</v>
      </c>
      <c r="BC74" s="82" t="s">
        <v>124</v>
      </c>
      <c r="BD74" s="82" t="s">
        <v>124</v>
      </c>
      <c r="BE74" s="82" t="s">
        <v>124</v>
      </c>
      <c r="BF74" s="82" t="s">
        <v>124</v>
      </c>
      <c r="BG74" s="82" t="s">
        <v>124</v>
      </c>
      <c r="BH74" s="82" t="s">
        <v>124</v>
      </c>
      <c r="BI74" s="81" t="s">
        <v>124</v>
      </c>
      <c r="BJ74" s="81" t="s">
        <v>124</v>
      </c>
      <c r="BK74" s="81" t="s">
        <v>124</v>
      </c>
      <c r="BL74" s="81" t="s">
        <v>124</v>
      </c>
      <c r="BM74" s="81" t="s">
        <v>124</v>
      </c>
      <c r="BN74" s="81" t="s">
        <v>124</v>
      </c>
      <c r="BO74" s="81" t="s">
        <v>124</v>
      </c>
      <c r="BP74" s="81" t="s">
        <v>124</v>
      </c>
      <c r="BQ74" s="81" t="s">
        <v>124</v>
      </c>
      <c r="BR74" s="81" t="s">
        <v>124</v>
      </c>
      <c r="BS74" s="81" t="s">
        <v>124</v>
      </c>
      <c r="BT74" s="81" t="s">
        <v>124</v>
      </c>
      <c r="BU74" s="81" t="s">
        <v>124</v>
      </c>
      <c r="BV74" s="81" t="s">
        <v>124</v>
      </c>
      <c r="BW74" s="81" t="s">
        <v>124</v>
      </c>
      <c r="BX74" s="81" t="s">
        <v>124</v>
      </c>
      <c r="BY74" s="81" t="s">
        <v>124</v>
      </c>
      <c r="BZ74" s="81" t="s">
        <v>124</v>
      </c>
      <c r="CA74" s="81" t="s">
        <v>124</v>
      </c>
      <c r="CB74" s="81" t="s">
        <v>124</v>
      </c>
      <c r="CC74" s="81" t="s">
        <v>124</v>
      </c>
      <c r="CD74" s="81" t="s">
        <v>124</v>
      </c>
      <c r="CE74" s="81" t="s">
        <v>124</v>
      </c>
      <c r="CF74" s="81" t="s">
        <v>124</v>
      </c>
      <c r="CG74" s="81" t="s">
        <v>124</v>
      </c>
      <c r="CH74" s="81" t="s">
        <v>124</v>
      </c>
      <c r="CI74" s="81" t="s">
        <v>124</v>
      </c>
      <c r="CJ74" s="81" t="s">
        <v>124</v>
      </c>
      <c r="CK74" s="81" t="s">
        <v>124</v>
      </c>
      <c r="CL74" s="81" t="s">
        <v>124</v>
      </c>
      <c r="CM74" s="81" t="s">
        <v>124</v>
      </c>
      <c r="CN74" s="81" t="s">
        <v>124</v>
      </c>
      <c r="CO74" s="81" t="s">
        <v>124</v>
      </c>
      <c r="CP74" s="81" t="s">
        <v>124</v>
      </c>
      <c r="CQ74" s="81" t="s">
        <v>124</v>
      </c>
      <c r="CR74" s="81" t="s">
        <v>124</v>
      </c>
      <c r="CS74" s="81" t="s">
        <v>124</v>
      </c>
      <c r="CT74" s="81" t="s">
        <v>124</v>
      </c>
      <c r="CU74" s="81" t="s">
        <v>124</v>
      </c>
      <c r="CV74" s="81" t="s">
        <v>124</v>
      </c>
      <c r="CW74" s="81" t="s">
        <v>124</v>
      </c>
      <c r="CX74" s="81" t="s">
        <v>124</v>
      </c>
      <c r="CY74" s="81" t="s">
        <v>124</v>
      </c>
      <c r="CZ74" s="81" t="s">
        <v>124</v>
      </c>
      <c r="DA74" s="81" t="s">
        <v>124</v>
      </c>
      <c r="DB74" s="81" t="s">
        <v>124</v>
      </c>
      <c r="DC74" s="81" t="s">
        <v>124</v>
      </c>
      <c r="DD74" s="81" t="s">
        <v>124</v>
      </c>
      <c r="DE74" s="81" t="s">
        <v>124</v>
      </c>
      <c r="DF74" s="81" t="s">
        <v>124</v>
      </c>
      <c r="DG74" s="81" t="s">
        <v>124</v>
      </c>
      <c r="DH74" s="81" t="s">
        <v>124</v>
      </c>
      <c r="DI74" s="81" t="s">
        <v>124</v>
      </c>
      <c r="DJ74" s="81" t="s">
        <v>124</v>
      </c>
      <c r="DK74" s="81" t="s">
        <v>124</v>
      </c>
      <c r="DL74" s="81" t="s">
        <v>124</v>
      </c>
      <c r="DM74" s="81" t="s">
        <v>124</v>
      </c>
      <c r="DN74" s="81" t="s">
        <v>124</v>
      </c>
      <c r="DO74" s="81" t="s">
        <v>124</v>
      </c>
      <c r="DP74" s="81" t="s">
        <v>124</v>
      </c>
      <c r="DQ74" s="81" t="s">
        <v>124</v>
      </c>
      <c r="DR74" s="81" t="s">
        <v>124</v>
      </c>
      <c r="DS74" s="81" t="s">
        <v>124</v>
      </c>
      <c r="DT74" s="81" t="s">
        <v>124</v>
      </c>
      <c r="DU74" s="81" t="s">
        <v>124</v>
      </c>
      <c r="DV74" s="81" t="s">
        <v>124</v>
      </c>
      <c r="DW74" s="81" t="s">
        <v>124</v>
      </c>
      <c r="DX74" s="81" t="s">
        <v>124</v>
      </c>
      <c r="DY74" s="81" t="s">
        <v>124</v>
      </c>
      <c r="DZ74" s="81" t="s">
        <v>124</v>
      </c>
      <c r="EA74" s="81" t="s">
        <v>124</v>
      </c>
      <c r="EB74" s="81" t="s">
        <v>124</v>
      </c>
      <c r="EC74" s="81" t="s">
        <v>124</v>
      </c>
      <c r="ED74" s="81" t="s">
        <v>124</v>
      </c>
      <c r="EE74" s="81" t="s">
        <v>124</v>
      </c>
      <c r="EF74" s="81" t="s">
        <v>124</v>
      </c>
      <c r="EG74" s="81" t="s">
        <v>124</v>
      </c>
      <c r="EH74" s="81" t="s">
        <v>124</v>
      </c>
      <c r="EI74" s="81" t="s">
        <v>124</v>
      </c>
      <c r="EJ74" s="81" t="s">
        <v>124</v>
      </c>
      <c r="EK74" s="81" t="s">
        <v>124</v>
      </c>
      <c r="EL74" s="81" t="s">
        <v>124</v>
      </c>
      <c r="EM74" s="81" t="s">
        <v>124</v>
      </c>
      <c r="EN74" s="81" t="s">
        <v>124</v>
      </c>
      <c r="EO74" s="81" t="s">
        <v>124</v>
      </c>
      <c r="EP74" s="81" t="s">
        <v>124</v>
      </c>
      <c r="EQ74" s="81" t="s">
        <v>124</v>
      </c>
      <c r="ER74" s="81" t="s">
        <v>124</v>
      </c>
      <c r="ES74" s="81" t="s">
        <v>124</v>
      </c>
      <c r="ET74" s="81" t="s">
        <v>124</v>
      </c>
      <c r="EU74" s="81" t="s">
        <v>124</v>
      </c>
      <c r="EV74" s="81" t="s">
        <v>124</v>
      </c>
      <c r="EW74" s="81" t="s">
        <v>124</v>
      </c>
      <c r="EX74" s="81" t="s">
        <v>124</v>
      </c>
      <c r="EY74" s="81" t="s">
        <v>124</v>
      </c>
      <c r="EZ74" s="81" t="s">
        <v>124</v>
      </c>
      <c r="FA74" s="81" t="s">
        <v>124</v>
      </c>
      <c r="FB74" s="81" t="s">
        <v>124</v>
      </c>
      <c r="FC74" s="81" t="s">
        <v>124</v>
      </c>
      <c r="FD74" s="81" t="s">
        <v>124</v>
      </c>
      <c r="FE74" s="81" t="s">
        <v>124</v>
      </c>
      <c r="FF74" s="81" t="s">
        <v>124</v>
      </c>
      <c r="FG74" s="81" t="s">
        <v>124</v>
      </c>
      <c r="FH74" s="81" t="s">
        <v>124</v>
      </c>
      <c r="FI74" s="81" t="s">
        <v>124</v>
      </c>
      <c r="FJ74" s="81" t="s">
        <v>124</v>
      </c>
      <c r="FK74" s="81" t="s">
        <v>124</v>
      </c>
      <c r="FL74" s="81" t="s">
        <v>124</v>
      </c>
      <c r="FM74" s="81" t="s">
        <v>124</v>
      </c>
      <c r="FN74" s="81" t="s">
        <v>124</v>
      </c>
      <c r="FO74" s="81" t="s">
        <v>124</v>
      </c>
      <c r="FP74" s="81" t="s">
        <v>124</v>
      </c>
      <c r="FQ74" s="81" t="s">
        <v>124</v>
      </c>
      <c r="FR74" s="81" t="s">
        <v>124</v>
      </c>
      <c r="FS74" s="81" t="s">
        <v>124</v>
      </c>
      <c r="FT74" s="81" t="s">
        <v>124</v>
      </c>
      <c r="FU74" s="81" t="s">
        <v>124</v>
      </c>
      <c r="FV74" s="81" t="s">
        <v>124</v>
      </c>
      <c r="FW74" s="81" t="s">
        <v>124</v>
      </c>
      <c r="FX74" s="81" t="s">
        <v>124</v>
      </c>
      <c r="FY74" s="81" t="s">
        <v>124</v>
      </c>
      <c r="FZ74" s="81" t="s">
        <v>124</v>
      </c>
      <c r="GA74" s="81" t="s">
        <v>124</v>
      </c>
      <c r="GB74" s="81" t="s">
        <v>124</v>
      </c>
      <c r="GC74" s="81" t="s">
        <v>124</v>
      </c>
      <c r="GD74" s="81" t="s">
        <v>124</v>
      </c>
      <c r="GE74" s="81" t="s">
        <v>124</v>
      </c>
      <c r="GF74" s="81" t="s">
        <v>124</v>
      </c>
      <c r="GG74" s="81" t="s">
        <v>124</v>
      </c>
      <c r="GH74" s="81" t="s">
        <v>124</v>
      </c>
      <c r="GI74" s="81" t="s">
        <v>124</v>
      </c>
      <c r="GJ74" s="81" t="s">
        <v>124</v>
      </c>
      <c r="GK74" s="81" t="s">
        <v>124</v>
      </c>
      <c r="GL74" s="81" t="s">
        <v>124</v>
      </c>
      <c r="GM74" s="81" t="s">
        <v>124</v>
      </c>
      <c r="GN74" s="81" t="s">
        <v>124</v>
      </c>
      <c r="GO74" s="81" t="s">
        <v>124</v>
      </c>
      <c r="GP74" s="81" t="s">
        <v>124</v>
      </c>
      <c r="GQ74" s="81" t="s">
        <v>124</v>
      </c>
      <c r="GR74" s="81" t="s">
        <v>124</v>
      </c>
      <c r="GS74" s="81" t="s">
        <v>124</v>
      </c>
      <c r="GT74" s="81" t="s">
        <v>124</v>
      </c>
      <c r="GU74" s="81" t="s">
        <v>124</v>
      </c>
      <c r="GV74" s="81" t="s">
        <v>124</v>
      </c>
      <c r="GW74" s="81" t="s">
        <v>124</v>
      </c>
      <c r="GX74" s="81" t="s">
        <v>124</v>
      </c>
      <c r="GY74" s="81" t="s">
        <v>124</v>
      </c>
      <c r="GZ74" s="81" t="s">
        <v>124</v>
      </c>
      <c r="HA74" s="81" t="s">
        <v>124</v>
      </c>
      <c r="HB74" s="81" t="s">
        <v>124</v>
      </c>
      <c r="HC74" s="81" t="s">
        <v>124</v>
      </c>
      <c r="HD74" s="81" t="s">
        <v>124</v>
      </c>
      <c r="HE74" s="81" t="s">
        <v>124</v>
      </c>
      <c r="HF74" s="81" t="s">
        <v>124</v>
      </c>
      <c r="HG74" s="81" t="s">
        <v>124</v>
      </c>
      <c r="HH74" s="81" t="s">
        <v>124</v>
      </c>
      <c r="HI74" s="81" t="s">
        <v>124</v>
      </c>
      <c r="HJ74" s="81" t="s">
        <v>124</v>
      </c>
      <c r="HK74" s="81" t="s">
        <v>124</v>
      </c>
      <c r="HL74" s="41" t="e">
        <f t="shared" si="31"/>
        <v>#VALUE!</v>
      </c>
      <c r="HM74" s="67"/>
      <c r="HN74" s="67"/>
      <c r="HO74" s="67"/>
      <c r="HP74" s="67"/>
      <c r="HQ74" s="86"/>
      <c r="HR74" s="85">
        <v>2.1999999999999999E-2</v>
      </c>
      <c r="HS74" s="57">
        <v>2.1999999999999999E-2</v>
      </c>
      <c r="HT74" s="57">
        <v>2.1999999999999999E-2</v>
      </c>
      <c r="HU74" s="57">
        <v>2.1999999999999999E-2</v>
      </c>
      <c r="HV74" s="83">
        <v>2.1999999999999999E-2</v>
      </c>
      <c r="HW74" s="83">
        <v>2.1999999999999999E-2</v>
      </c>
      <c r="HX74" s="83">
        <v>2.1999999999999999E-2</v>
      </c>
      <c r="HY74" s="83">
        <v>2.1999999999999999E-2</v>
      </c>
      <c r="HZ74" s="83">
        <v>2.1999999999999999E-2</v>
      </c>
      <c r="IA74" s="83">
        <v>2.1999999999999999E-2</v>
      </c>
      <c r="IB74" s="83">
        <v>2.1999999999999999E-2</v>
      </c>
      <c r="IC74" s="80">
        <v>2.0500000000000001E-2</v>
      </c>
      <c r="ID74" s="57">
        <v>2.0500000000000001E-2</v>
      </c>
      <c r="IE74" s="83">
        <v>2.0500000000000001E-2</v>
      </c>
      <c r="IF74" s="84">
        <v>2.1000000000000001E-2</v>
      </c>
      <c r="IG74" s="83">
        <v>2.1000000000000001E-2</v>
      </c>
      <c r="IH74" s="83">
        <v>2.1000000000000001E-2</v>
      </c>
      <c r="II74" s="83">
        <v>2.1000000000000001E-2</v>
      </c>
      <c r="IJ74" s="83">
        <v>2.1000000000000001E-2</v>
      </c>
      <c r="IK74" s="83">
        <v>2.1000000000000001E-2</v>
      </c>
      <c r="IL74" s="83">
        <v>2.1000000000000001E-2</v>
      </c>
      <c r="IM74" s="83">
        <v>2.1000000000000001E-2</v>
      </c>
      <c r="IN74" s="83">
        <v>2.1000000000000001E-2</v>
      </c>
      <c r="IO74" s="84">
        <v>2.1999999999999999E-2</v>
      </c>
      <c r="IP74" s="83">
        <v>2.1999999999999999E-2</v>
      </c>
      <c r="IQ74" s="83">
        <v>2.1999999999999999E-2</v>
      </c>
      <c r="IR74" s="83">
        <v>2.1999999999999999E-2</v>
      </c>
      <c r="IS74" s="83">
        <v>2.1999999999999999E-2</v>
      </c>
      <c r="IT74" s="83">
        <v>2.1999999999999999E-2</v>
      </c>
      <c r="IU74" s="84">
        <v>2.3E-2</v>
      </c>
      <c r="IV74" s="83">
        <v>2.3E-2</v>
      </c>
      <c r="IW74" s="83">
        <v>2.3E-2</v>
      </c>
      <c r="IX74" s="83">
        <v>2.3E-2</v>
      </c>
      <c r="IY74" s="83">
        <v>2.3E-2</v>
      </c>
      <c r="IZ74" s="83">
        <v>2.3E-2</v>
      </c>
      <c r="JA74" s="83">
        <v>2.3E-2</v>
      </c>
      <c r="JB74" s="83">
        <v>2.3E-2</v>
      </c>
      <c r="JC74" s="83">
        <v>2.3E-2</v>
      </c>
      <c r="JD74" s="83">
        <v>2.3E-2</v>
      </c>
      <c r="JE74" s="83">
        <v>2.3E-2</v>
      </c>
      <c r="JF74" s="83">
        <v>2.3E-2</v>
      </c>
      <c r="JG74" s="83">
        <v>2.3E-2</v>
      </c>
      <c r="JH74" s="83">
        <v>2.3E-2</v>
      </c>
      <c r="JI74" s="83">
        <v>2.3E-2</v>
      </c>
      <c r="JJ74" s="83">
        <v>2.3E-2</v>
      </c>
      <c r="JK74" s="83">
        <v>2.3E-2</v>
      </c>
      <c r="JL74" s="89">
        <v>2.1999999999999999E-2</v>
      </c>
      <c r="JM74" s="89">
        <v>2.3E-2</v>
      </c>
      <c r="JN74" s="83">
        <v>2.3E-2</v>
      </c>
      <c r="JO74" s="83">
        <v>2.3E-2</v>
      </c>
      <c r="JP74" s="83">
        <v>2.3E-2</v>
      </c>
      <c r="JQ74" s="80">
        <v>2.2499999999999999E-2</v>
      </c>
      <c r="JR74" s="57">
        <v>2.2499999999999999E-2</v>
      </c>
      <c r="JS74" s="57">
        <v>2.2499999999999999E-2</v>
      </c>
      <c r="JT74" s="57">
        <v>2.2499999999999999E-2</v>
      </c>
      <c r="JU74" s="57">
        <v>2.2499999999999999E-2</v>
      </c>
      <c r="JV74" s="57">
        <v>2.2499999999999999E-2</v>
      </c>
      <c r="JW74" s="57">
        <v>2.2499999999999999E-2</v>
      </c>
      <c r="JX74" s="57">
        <v>2.2499999999999999E-2</v>
      </c>
      <c r="JY74" s="57">
        <v>2.2499999999999999E-2</v>
      </c>
      <c r="JZ74" s="84">
        <v>2.3E-2</v>
      </c>
      <c r="KA74" s="57">
        <v>2.3E-2</v>
      </c>
      <c r="KB74" s="57">
        <v>2.3E-2</v>
      </c>
      <c r="KC74" s="57">
        <v>2.3E-2</v>
      </c>
      <c r="KD74" s="57">
        <v>2.3E-2</v>
      </c>
      <c r="KE74" s="57">
        <v>2.3E-2</v>
      </c>
      <c r="KF74" s="57">
        <v>2.3E-2</v>
      </c>
      <c r="KG74" s="57">
        <v>2.3E-2</v>
      </c>
      <c r="KH74" s="57">
        <v>2.3E-2</v>
      </c>
      <c r="KI74" s="57">
        <v>2.3E-2</v>
      </c>
      <c r="KJ74" s="57">
        <v>2.3E-2</v>
      </c>
      <c r="KK74" s="57">
        <v>2.3E-2</v>
      </c>
      <c r="KL74" s="57">
        <v>2.3E-2</v>
      </c>
      <c r="KM74" s="57">
        <v>2.3E-2</v>
      </c>
      <c r="KN74" s="57">
        <v>2.3E-2</v>
      </c>
      <c r="KO74" s="57">
        <v>2.3E-2</v>
      </c>
      <c r="KP74" s="57">
        <v>2.3E-2</v>
      </c>
      <c r="KQ74" s="57">
        <v>2.3E-2</v>
      </c>
      <c r="KR74" s="57">
        <v>2.3E-2</v>
      </c>
      <c r="KS74" s="57">
        <v>2.3E-2</v>
      </c>
      <c r="KT74" s="57">
        <v>2.3E-2</v>
      </c>
      <c r="KU74" s="57">
        <v>2.3E-2</v>
      </c>
      <c r="KV74" s="57">
        <v>2.3E-2</v>
      </c>
      <c r="KW74" s="57">
        <v>2.3E-2</v>
      </c>
      <c r="KX74" s="57">
        <v>2.3E-2</v>
      </c>
      <c r="KY74" s="57">
        <v>2.3E-2</v>
      </c>
      <c r="KZ74" s="57">
        <v>2.3E-2</v>
      </c>
      <c r="LA74" s="57">
        <v>2.3E-2</v>
      </c>
      <c r="LB74" s="57">
        <v>2.3E-2</v>
      </c>
      <c r="LC74" s="57">
        <v>2.3E-2</v>
      </c>
      <c r="LD74" s="57">
        <v>2.3E-2</v>
      </c>
      <c r="LE74" s="57">
        <v>2.3E-2</v>
      </c>
      <c r="LF74" s="57">
        <v>2.3E-2</v>
      </c>
      <c r="LG74" s="57">
        <v>2.3E-2</v>
      </c>
      <c r="LH74" s="57">
        <v>2.3E-2</v>
      </c>
      <c r="LI74" s="57">
        <v>2.3E-2</v>
      </c>
      <c r="LJ74" s="57">
        <v>2.3E-2</v>
      </c>
      <c r="LK74" s="57">
        <v>2.3E-2</v>
      </c>
      <c r="LL74" s="57">
        <v>2.3E-2</v>
      </c>
      <c r="LM74" s="57">
        <v>2.3E-2</v>
      </c>
      <c r="LN74" s="473">
        <f>T76-U76</f>
        <v>0</v>
      </c>
    </row>
    <row r="75" spans="1:326" ht="14.7" hidden="1" customHeight="1">
      <c r="A75" s="1163"/>
      <c r="B75" s="87"/>
      <c r="C75" s="87"/>
      <c r="D75" s="87"/>
      <c r="E75" s="87"/>
      <c r="F75" s="87"/>
      <c r="G75" s="87"/>
      <c r="H75" s="87"/>
      <c r="I75" s="87"/>
      <c r="J75" s="87"/>
      <c r="K75" s="87"/>
      <c r="L75" s="87"/>
      <c r="M75" s="87"/>
      <c r="N75" s="88"/>
      <c r="O75" s="87"/>
      <c r="P75" s="627" t="s">
        <v>90</v>
      </c>
      <c r="Q75" s="627"/>
      <c r="R75" s="627"/>
      <c r="S75" s="627"/>
      <c r="T75" s="627"/>
      <c r="U75" s="627"/>
      <c r="V75" s="627"/>
      <c r="W75" s="627"/>
      <c r="X75" s="627"/>
      <c r="Y75" s="627"/>
      <c r="Z75" s="627"/>
      <c r="AA75" s="627"/>
      <c r="AB75" s="627"/>
      <c r="AC75" s="627"/>
      <c r="AD75" s="627"/>
      <c r="AE75" s="627"/>
      <c r="AF75" s="627"/>
      <c r="AG75" s="42"/>
      <c r="AH75" s="42"/>
      <c r="AI75" s="42"/>
      <c r="AJ75" s="82" t="s">
        <v>124</v>
      </c>
      <c r="AK75" s="82" t="s">
        <v>124</v>
      </c>
      <c r="AL75" s="82" t="s">
        <v>124</v>
      </c>
      <c r="AM75" s="82" t="s">
        <v>124</v>
      </c>
      <c r="AN75" s="82" t="s">
        <v>124</v>
      </c>
      <c r="AO75" s="82" t="s">
        <v>124</v>
      </c>
      <c r="AP75" s="82" t="s">
        <v>124</v>
      </c>
      <c r="AQ75" s="82" t="s">
        <v>124</v>
      </c>
      <c r="AR75" s="82" t="s">
        <v>124</v>
      </c>
      <c r="AS75" s="82" t="s">
        <v>124</v>
      </c>
      <c r="AT75" s="82" t="s">
        <v>124</v>
      </c>
      <c r="AU75" s="82" t="s">
        <v>124</v>
      </c>
      <c r="AV75" s="82" t="s">
        <v>124</v>
      </c>
      <c r="AW75" s="82" t="s">
        <v>124</v>
      </c>
      <c r="AX75" s="82" t="s">
        <v>124</v>
      </c>
      <c r="AY75" s="81" t="s">
        <v>124</v>
      </c>
      <c r="AZ75" s="82" t="s">
        <v>124</v>
      </c>
      <c r="BA75" s="82" t="s">
        <v>124</v>
      </c>
      <c r="BB75" s="82" t="s">
        <v>124</v>
      </c>
      <c r="BC75" s="82" t="s">
        <v>124</v>
      </c>
      <c r="BD75" s="82" t="s">
        <v>124</v>
      </c>
      <c r="BE75" s="82" t="s">
        <v>124</v>
      </c>
      <c r="BF75" s="82" t="s">
        <v>124</v>
      </c>
      <c r="BG75" s="82" t="s">
        <v>124</v>
      </c>
      <c r="BH75" s="82" t="s">
        <v>124</v>
      </c>
      <c r="BI75" s="81" t="s">
        <v>124</v>
      </c>
      <c r="BJ75" s="81" t="s">
        <v>124</v>
      </c>
      <c r="BK75" s="81" t="s">
        <v>124</v>
      </c>
      <c r="BL75" s="81" t="s">
        <v>124</v>
      </c>
      <c r="BM75" s="81" t="s">
        <v>124</v>
      </c>
      <c r="BN75" s="81" t="s">
        <v>124</v>
      </c>
      <c r="BO75" s="81" t="s">
        <v>124</v>
      </c>
      <c r="BP75" s="81" t="s">
        <v>124</v>
      </c>
      <c r="BQ75" s="81" t="s">
        <v>124</v>
      </c>
      <c r="BR75" s="81" t="s">
        <v>124</v>
      </c>
      <c r="BS75" s="81" t="s">
        <v>124</v>
      </c>
      <c r="BT75" s="81" t="s">
        <v>124</v>
      </c>
      <c r="BU75" s="81" t="s">
        <v>124</v>
      </c>
      <c r="BV75" s="81" t="s">
        <v>124</v>
      </c>
      <c r="BW75" s="81" t="s">
        <v>124</v>
      </c>
      <c r="BX75" s="81" t="s">
        <v>124</v>
      </c>
      <c r="BY75" s="81" t="s">
        <v>124</v>
      </c>
      <c r="BZ75" s="81" t="s">
        <v>124</v>
      </c>
      <c r="CA75" s="81" t="s">
        <v>124</v>
      </c>
      <c r="CB75" s="81" t="s">
        <v>124</v>
      </c>
      <c r="CC75" s="81" t="s">
        <v>124</v>
      </c>
      <c r="CD75" s="81" t="s">
        <v>124</v>
      </c>
      <c r="CE75" s="81" t="s">
        <v>124</v>
      </c>
      <c r="CF75" s="81" t="s">
        <v>124</v>
      </c>
      <c r="CG75" s="81" t="s">
        <v>124</v>
      </c>
      <c r="CH75" s="81" t="s">
        <v>124</v>
      </c>
      <c r="CI75" s="81" t="s">
        <v>124</v>
      </c>
      <c r="CJ75" s="81" t="s">
        <v>124</v>
      </c>
      <c r="CK75" s="81" t="s">
        <v>124</v>
      </c>
      <c r="CL75" s="81" t="s">
        <v>124</v>
      </c>
      <c r="CM75" s="81" t="s">
        <v>124</v>
      </c>
      <c r="CN75" s="81" t="s">
        <v>124</v>
      </c>
      <c r="CO75" s="81" t="s">
        <v>124</v>
      </c>
      <c r="CP75" s="81" t="s">
        <v>124</v>
      </c>
      <c r="CQ75" s="81" t="s">
        <v>124</v>
      </c>
      <c r="CR75" s="81" t="s">
        <v>124</v>
      </c>
      <c r="CS75" s="81" t="s">
        <v>124</v>
      </c>
      <c r="CT75" s="81" t="s">
        <v>124</v>
      </c>
      <c r="CU75" s="81" t="s">
        <v>124</v>
      </c>
      <c r="CV75" s="81" t="s">
        <v>124</v>
      </c>
      <c r="CW75" s="81" t="s">
        <v>124</v>
      </c>
      <c r="CX75" s="81" t="s">
        <v>124</v>
      </c>
      <c r="CY75" s="81" t="s">
        <v>124</v>
      </c>
      <c r="CZ75" s="81" t="s">
        <v>124</v>
      </c>
      <c r="DA75" s="81" t="s">
        <v>124</v>
      </c>
      <c r="DB75" s="81" t="s">
        <v>124</v>
      </c>
      <c r="DC75" s="81" t="s">
        <v>124</v>
      </c>
      <c r="DD75" s="81" t="s">
        <v>124</v>
      </c>
      <c r="DE75" s="81" t="s">
        <v>124</v>
      </c>
      <c r="DF75" s="81" t="s">
        <v>124</v>
      </c>
      <c r="DG75" s="81" t="s">
        <v>124</v>
      </c>
      <c r="DH75" s="81" t="s">
        <v>124</v>
      </c>
      <c r="DI75" s="81" t="s">
        <v>124</v>
      </c>
      <c r="DJ75" s="81" t="s">
        <v>124</v>
      </c>
      <c r="DK75" s="81" t="s">
        <v>124</v>
      </c>
      <c r="DL75" s="81" t="s">
        <v>124</v>
      </c>
      <c r="DM75" s="81" t="s">
        <v>124</v>
      </c>
      <c r="DN75" s="81" t="s">
        <v>124</v>
      </c>
      <c r="DO75" s="81" t="s">
        <v>124</v>
      </c>
      <c r="DP75" s="81" t="s">
        <v>124</v>
      </c>
      <c r="DQ75" s="81" t="s">
        <v>124</v>
      </c>
      <c r="DR75" s="81" t="s">
        <v>124</v>
      </c>
      <c r="DS75" s="81" t="s">
        <v>124</v>
      </c>
      <c r="DT75" s="81" t="s">
        <v>124</v>
      </c>
      <c r="DU75" s="81" t="s">
        <v>124</v>
      </c>
      <c r="DV75" s="81" t="s">
        <v>124</v>
      </c>
      <c r="DW75" s="81" t="s">
        <v>124</v>
      </c>
      <c r="DX75" s="81" t="s">
        <v>124</v>
      </c>
      <c r="DY75" s="81" t="s">
        <v>124</v>
      </c>
      <c r="DZ75" s="81" t="s">
        <v>124</v>
      </c>
      <c r="EA75" s="81" t="s">
        <v>124</v>
      </c>
      <c r="EB75" s="81" t="s">
        <v>124</v>
      </c>
      <c r="EC75" s="81" t="s">
        <v>124</v>
      </c>
      <c r="ED75" s="81" t="s">
        <v>124</v>
      </c>
      <c r="EE75" s="81" t="s">
        <v>124</v>
      </c>
      <c r="EF75" s="81" t="s">
        <v>124</v>
      </c>
      <c r="EG75" s="81" t="s">
        <v>124</v>
      </c>
      <c r="EH75" s="81" t="s">
        <v>124</v>
      </c>
      <c r="EI75" s="81" t="s">
        <v>124</v>
      </c>
      <c r="EJ75" s="81" t="s">
        <v>124</v>
      </c>
      <c r="EK75" s="81" t="s">
        <v>124</v>
      </c>
      <c r="EL75" s="81" t="s">
        <v>124</v>
      </c>
      <c r="EM75" s="81" t="s">
        <v>124</v>
      </c>
      <c r="EN75" s="81" t="s">
        <v>124</v>
      </c>
      <c r="EO75" s="81" t="s">
        <v>124</v>
      </c>
      <c r="EP75" s="81" t="s">
        <v>124</v>
      </c>
      <c r="EQ75" s="81" t="s">
        <v>124</v>
      </c>
      <c r="ER75" s="81" t="s">
        <v>124</v>
      </c>
      <c r="ES75" s="81" t="s">
        <v>124</v>
      </c>
      <c r="ET75" s="81" t="s">
        <v>124</v>
      </c>
      <c r="EU75" s="81" t="s">
        <v>124</v>
      </c>
      <c r="EV75" s="81" t="s">
        <v>124</v>
      </c>
      <c r="EW75" s="81" t="s">
        <v>124</v>
      </c>
      <c r="EX75" s="81" t="s">
        <v>124</v>
      </c>
      <c r="EY75" s="81" t="s">
        <v>124</v>
      </c>
      <c r="EZ75" s="81" t="s">
        <v>124</v>
      </c>
      <c r="FA75" s="81" t="s">
        <v>124</v>
      </c>
      <c r="FB75" s="81" t="s">
        <v>124</v>
      </c>
      <c r="FC75" s="81" t="s">
        <v>124</v>
      </c>
      <c r="FD75" s="81" t="s">
        <v>124</v>
      </c>
      <c r="FE75" s="81" t="s">
        <v>124</v>
      </c>
      <c r="FF75" s="81" t="s">
        <v>124</v>
      </c>
      <c r="FG75" s="81" t="s">
        <v>124</v>
      </c>
      <c r="FH75" s="81" t="s">
        <v>124</v>
      </c>
      <c r="FI75" s="81" t="s">
        <v>124</v>
      </c>
      <c r="FJ75" s="81" t="s">
        <v>124</v>
      </c>
      <c r="FK75" s="81" t="s">
        <v>124</v>
      </c>
      <c r="FL75" s="81" t="s">
        <v>124</v>
      </c>
      <c r="FM75" s="81" t="s">
        <v>124</v>
      </c>
      <c r="FN75" s="81" t="s">
        <v>124</v>
      </c>
      <c r="FO75" s="81" t="s">
        <v>124</v>
      </c>
      <c r="FP75" s="81" t="s">
        <v>124</v>
      </c>
      <c r="FQ75" s="81" t="s">
        <v>124</v>
      </c>
      <c r="FR75" s="81" t="s">
        <v>124</v>
      </c>
      <c r="FS75" s="81" t="s">
        <v>124</v>
      </c>
      <c r="FT75" s="81" t="s">
        <v>124</v>
      </c>
      <c r="FU75" s="81" t="s">
        <v>124</v>
      </c>
      <c r="FV75" s="81" t="s">
        <v>124</v>
      </c>
      <c r="FW75" s="81" t="s">
        <v>124</v>
      </c>
      <c r="FX75" s="81" t="s">
        <v>124</v>
      </c>
      <c r="FY75" s="81" t="s">
        <v>124</v>
      </c>
      <c r="FZ75" s="81" t="s">
        <v>124</v>
      </c>
      <c r="GA75" s="81" t="s">
        <v>124</v>
      </c>
      <c r="GB75" s="81" t="s">
        <v>124</v>
      </c>
      <c r="GC75" s="81" t="s">
        <v>124</v>
      </c>
      <c r="GD75" s="81" t="s">
        <v>124</v>
      </c>
      <c r="GE75" s="81" t="s">
        <v>124</v>
      </c>
      <c r="GF75" s="81" t="s">
        <v>124</v>
      </c>
      <c r="GG75" s="81" t="s">
        <v>124</v>
      </c>
      <c r="GH75" s="81" t="s">
        <v>124</v>
      </c>
      <c r="GI75" s="81" t="s">
        <v>124</v>
      </c>
      <c r="GJ75" s="81" t="s">
        <v>124</v>
      </c>
      <c r="GK75" s="81" t="s">
        <v>124</v>
      </c>
      <c r="GL75" s="81" t="s">
        <v>124</v>
      </c>
      <c r="GM75" s="81" t="s">
        <v>124</v>
      </c>
      <c r="GN75" s="81" t="s">
        <v>124</v>
      </c>
      <c r="GO75" s="81" t="s">
        <v>124</v>
      </c>
      <c r="GP75" s="81" t="s">
        <v>124</v>
      </c>
      <c r="GQ75" s="81" t="s">
        <v>124</v>
      </c>
      <c r="GR75" s="81" t="s">
        <v>124</v>
      </c>
      <c r="GS75" s="81" t="s">
        <v>124</v>
      </c>
      <c r="GT75" s="81" t="s">
        <v>124</v>
      </c>
      <c r="GU75" s="81" t="s">
        <v>124</v>
      </c>
      <c r="GV75" s="81" t="s">
        <v>124</v>
      </c>
      <c r="GW75" s="81" t="s">
        <v>124</v>
      </c>
      <c r="GX75" s="81" t="s">
        <v>124</v>
      </c>
      <c r="GY75" s="81" t="s">
        <v>124</v>
      </c>
      <c r="GZ75" s="81" t="s">
        <v>124</v>
      </c>
      <c r="HA75" s="81" t="s">
        <v>124</v>
      </c>
      <c r="HB75" s="81" t="s">
        <v>124</v>
      </c>
      <c r="HC75" s="81" t="s">
        <v>124</v>
      </c>
      <c r="HD75" s="81" t="s">
        <v>124</v>
      </c>
      <c r="HE75" s="81" t="s">
        <v>124</v>
      </c>
      <c r="HF75" s="81" t="s">
        <v>124</v>
      </c>
      <c r="HG75" s="81" t="s">
        <v>124</v>
      </c>
      <c r="HH75" s="81" t="s">
        <v>124</v>
      </c>
      <c r="HI75" s="81" t="s">
        <v>124</v>
      </c>
      <c r="HJ75" s="81" t="s">
        <v>124</v>
      </c>
      <c r="HK75" s="81" t="s">
        <v>124</v>
      </c>
      <c r="HL75" s="41" t="e">
        <f t="shared" si="31"/>
        <v>#VALUE!</v>
      </c>
      <c r="HM75" s="67"/>
      <c r="HN75" s="67"/>
      <c r="HO75" s="67"/>
      <c r="HP75" s="67"/>
      <c r="HQ75" s="86"/>
      <c r="HR75" s="85">
        <v>2.1000000000000001E-2</v>
      </c>
      <c r="HS75" s="57">
        <v>2.1000000000000001E-2</v>
      </c>
      <c r="HT75" s="80">
        <v>0.02</v>
      </c>
      <c r="HU75" s="57">
        <v>0.02</v>
      </c>
      <c r="HV75" s="83">
        <v>0.02</v>
      </c>
      <c r="HW75" s="83">
        <v>0.02</v>
      </c>
      <c r="HX75" s="83">
        <v>0.02</v>
      </c>
      <c r="HY75" s="83">
        <v>0.02</v>
      </c>
      <c r="HZ75" s="83">
        <v>0.02</v>
      </c>
      <c r="IA75" s="83">
        <v>0.02</v>
      </c>
      <c r="IB75" s="83">
        <v>0.02</v>
      </c>
      <c r="IC75" s="57">
        <v>0.02</v>
      </c>
      <c r="ID75" s="57">
        <v>0.02</v>
      </c>
      <c r="IE75" s="83">
        <v>0.02</v>
      </c>
      <c r="IF75" s="57">
        <v>0.02</v>
      </c>
      <c r="IG75" s="83">
        <v>0.02</v>
      </c>
      <c r="IH75" s="57">
        <v>0.02</v>
      </c>
      <c r="II75" s="83">
        <v>0.02</v>
      </c>
      <c r="IJ75" s="83">
        <v>0.02</v>
      </c>
      <c r="IK75" s="83">
        <v>0.02</v>
      </c>
      <c r="IL75" s="83">
        <v>0.02</v>
      </c>
      <c r="IM75" s="83">
        <v>0.02</v>
      </c>
      <c r="IN75" s="83">
        <v>0.02</v>
      </c>
      <c r="IO75" s="83">
        <v>0.02</v>
      </c>
      <c r="IP75" s="84">
        <v>2.1999999999999999E-2</v>
      </c>
      <c r="IQ75" s="83">
        <v>2.1999999999999999E-2</v>
      </c>
      <c r="IR75" s="83">
        <v>2.1999999999999999E-2</v>
      </c>
      <c r="IS75" s="83">
        <v>2.1999999999999999E-2</v>
      </c>
      <c r="IT75" s="83">
        <v>2.1999999999999999E-2</v>
      </c>
      <c r="IU75" s="83">
        <v>2.1999999999999999E-2</v>
      </c>
      <c r="IV75" s="84">
        <v>2.3E-2</v>
      </c>
      <c r="IW75" s="83">
        <v>2.3E-2</v>
      </c>
      <c r="IX75" s="83">
        <v>2.3E-2</v>
      </c>
      <c r="IY75" s="83">
        <v>2.3E-2</v>
      </c>
      <c r="IZ75" s="83">
        <v>2.3E-2</v>
      </c>
      <c r="JA75" s="83">
        <v>2.3E-2</v>
      </c>
      <c r="JB75" s="83">
        <v>2.3E-2</v>
      </c>
      <c r="JC75" s="83">
        <v>2.3E-2</v>
      </c>
      <c r="JD75" s="83">
        <v>2.3E-2</v>
      </c>
      <c r="JE75" s="83">
        <v>2.3E-2</v>
      </c>
      <c r="JF75" s="83">
        <v>2.3E-2</v>
      </c>
      <c r="JG75" s="83">
        <v>2.3E-2</v>
      </c>
      <c r="JH75" s="83">
        <v>2.3E-2</v>
      </c>
      <c r="JI75" s="83">
        <v>2.3E-2</v>
      </c>
      <c r="JJ75" s="83">
        <v>2.3E-2</v>
      </c>
      <c r="JK75" s="83">
        <v>2.3E-2</v>
      </c>
      <c r="JL75" s="83">
        <v>2.3E-2</v>
      </c>
      <c r="JM75" s="83">
        <v>2.3E-2</v>
      </c>
      <c r="JN75" s="57">
        <v>2.3E-2</v>
      </c>
      <c r="JO75" s="57">
        <v>2.3E-2</v>
      </c>
      <c r="JP75" s="57">
        <v>2.3E-2</v>
      </c>
      <c r="JQ75" s="57">
        <v>2.3E-2</v>
      </c>
      <c r="JR75" s="57">
        <v>2.3E-2</v>
      </c>
      <c r="JS75" s="57">
        <v>2.3E-2</v>
      </c>
      <c r="JT75" s="57">
        <v>2.3E-2</v>
      </c>
      <c r="JU75" s="57">
        <v>2.3E-2</v>
      </c>
      <c r="JV75" s="57">
        <v>2.3E-2</v>
      </c>
      <c r="JW75" s="57">
        <v>2.3E-2</v>
      </c>
      <c r="JX75" s="57">
        <v>2.3E-2</v>
      </c>
      <c r="JY75" s="57">
        <v>2.3E-2</v>
      </c>
      <c r="JZ75" s="57">
        <v>2.3E-2</v>
      </c>
      <c r="KA75" s="57">
        <v>2.3E-2</v>
      </c>
      <c r="KB75" s="57">
        <v>2.3E-2</v>
      </c>
      <c r="KC75" s="57">
        <v>2.3E-2</v>
      </c>
      <c r="KD75" s="57">
        <v>2.3E-2</v>
      </c>
      <c r="KE75" s="57">
        <v>2.3E-2</v>
      </c>
      <c r="KF75" s="57">
        <v>2.3E-2</v>
      </c>
      <c r="KG75" s="57">
        <v>2.3E-2</v>
      </c>
      <c r="KH75" s="57">
        <v>2.3E-2</v>
      </c>
      <c r="KI75" s="57">
        <v>2.3E-2</v>
      </c>
      <c r="KJ75" s="57">
        <v>2.3E-2</v>
      </c>
      <c r="KK75" s="57">
        <v>2.3E-2</v>
      </c>
      <c r="KL75" s="57">
        <v>2.3E-2</v>
      </c>
      <c r="KM75" s="57">
        <v>2.3E-2</v>
      </c>
      <c r="KN75" s="57">
        <v>2.3E-2</v>
      </c>
      <c r="KO75" s="57">
        <v>2.3E-2</v>
      </c>
      <c r="KP75" s="57">
        <v>2.3E-2</v>
      </c>
      <c r="KQ75" s="57">
        <v>2.3E-2</v>
      </c>
      <c r="KR75" s="57">
        <v>2.3E-2</v>
      </c>
      <c r="KS75" s="57">
        <v>2.3E-2</v>
      </c>
      <c r="KT75" s="57">
        <v>2.3E-2</v>
      </c>
      <c r="KU75" s="57">
        <v>2.3E-2</v>
      </c>
      <c r="KV75" s="57">
        <v>2.3E-2</v>
      </c>
      <c r="KW75" s="57">
        <v>2.3E-2</v>
      </c>
      <c r="KX75" s="57">
        <v>2.3E-2</v>
      </c>
      <c r="KY75" s="57">
        <v>2.3E-2</v>
      </c>
      <c r="KZ75" s="57">
        <v>2.3E-2</v>
      </c>
      <c r="LA75" s="57">
        <v>2.3E-2</v>
      </c>
      <c r="LB75" s="57">
        <v>2.3E-2</v>
      </c>
      <c r="LC75" s="57">
        <v>2.3E-2</v>
      </c>
      <c r="LD75" s="57">
        <v>2.3E-2</v>
      </c>
      <c r="LE75" s="57">
        <v>2.3E-2</v>
      </c>
      <c r="LF75" s="57">
        <v>2.3E-2</v>
      </c>
      <c r="LG75" s="57">
        <v>2.3E-2</v>
      </c>
      <c r="LH75" s="57">
        <v>2.3E-2</v>
      </c>
      <c r="LI75" s="57">
        <v>2.3E-2</v>
      </c>
      <c r="LJ75" s="57">
        <v>2.3E-2</v>
      </c>
      <c r="LK75" s="57">
        <v>2.3E-2</v>
      </c>
      <c r="LL75" s="57">
        <v>2.3E-2</v>
      </c>
      <c r="LM75" s="57">
        <v>2.3E-2</v>
      </c>
      <c r="LN75" s="473">
        <f>T77-U77</f>
        <v>0</v>
      </c>
    </row>
    <row r="76" spans="1:326" hidden="1">
      <c r="A76" s="1164"/>
      <c r="B76" s="42" t="s">
        <v>58</v>
      </c>
      <c r="C76" s="42" t="s">
        <v>58</v>
      </c>
      <c r="D76" s="42" t="s">
        <v>58</v>
      </c>
      <c r="E76" s="42" t="s">
        <v>57</v>
      </c>
      <c r="F76" s="42"/>
      <c r="G76" s="42"/>
      <c r="H76" s="42" t="s">
        <v>56</v>
      </c>
      <c r="I76" s="42" t="s">
        <v>56</v>
      </c>
      <c r="J76" s="42" t="s">
        <v>56</v>
      </c>
      <c r="K76" s="42" t="s">
        <v>55</v>
      </c>
      <c r="L76" s="42" t="s">
        <v>54</v>
      </c>
      <c r="M76" s="42" t="s">
        <v>54</v>
      </c>
      <c r="N76" s="42" t="s">
        <v>54</v>
      </c>
      <c r="O76" s="42"/>
      <c r="P76" s="627" t="s">
        <v>89</v>
      </c>
      <c r="Q76" s="627"/>
      <c r="R76" s="627"/>
      <c r="S76" s="627"/>
      <c r="T76" s="627"/>
      <c r="U76" s="627"/>
      <c r="V76" s="627"/>
      <c r="W76" s="627"/>
      <c r="X76" s="627"/>
      <c r="Y76" s="627"/>
      <c r="Z76" s="627"/>
      <c r="AA76" s="627"/>
      <c r="AB76" s="627"/>
      <c r="AC76" s="627"/>
      <c r="AD76" s="627"/>
      <c r="AE76" s="627"/>
      <c r="AF76" s="627"/>
      <c r="AG76" s="42"/>
      <c r="AH76" s="42"/>
      <c r="AI76" s="42"/>
      <c r="AJ76" s="82" t="s">
        <v>124</v>
      </c>
      <c r="AK76" s="82" t="s">
        <v>124</v>
      </c>
      <c r="AL76" s="82" t="s">
        <v>124</v>
      </c>
      <c r="AM76" s="82" t="s">
        <v>124</v>
      </c>
      <c r="AN76" s="82" t="s">
        <v>124</v>
      </c>
      <c r="AO76" s="82" t="s">
        <v>124</v>
      </c>
      <c r="AP76" s="82" t="s">
        <v>124</v>
      </c>
      <c r="AQ76" s="82" t="s">
        <v>124</v>
      </c>
      <c r="AR76" s="82" t="s">
        <v>124</v>
      </c>
      <c r="AS76" s="82" t="s">
        <v>124</v>
      </c>
      <c r="AT76" s="82" t="s">
        <v>124</v>
      </c>
      <c r="AU76" s="82" t="s">
        <v>124</v>
      </c>
      <c r="AV76" s="82" t="s">
        <v>124</v>
      </c>
      <c r="AW76" s="82" t="s">
        <v>124</v>
      </c>
      <c r="AX76" s="82" t="s">
        <v>124</v>
      </c>
      <c r="AY76" s="81" t="s">
        <v>124</v>
      </c>
      <c r="AZ76" s="82" t="s">
        <v>124</v>
      </c>
      <c r="BA76" s="82" t="s">
        <v>124</v>
      </c>
      <c r="BB76" s="82" t="s">
        <v>124</v>
      </c>
      <c r="BC76" s="82" t="s">
        <v>124</v>
      </c>
      <c r="BD76" s="82" t="s">
        <v>124</v>
      </c>
      <c r="BE76" s="82" t="s">
        <v>124</v>
      </c>
      <c r="BF76" s="82" t="s">
        <v>124</v>
      </c>
      <c r="BG76" s="82" t="s">
        <v>124</v>
      </c>
      <c r="BH76" s="82" t="s">
        <v>124</v>
      </c>
      <c r="BI76" s="81" t="s">
        <v>124</v>
      </c>
      <c r="BJ76" s="81" t="s">
        <v>124</v>
      </c>
      <c r="BK76" s="81" t="s">
        <v>124</v>
      </c>
      <c r="BL76" s="81" t="s">
        <v>124</v>
      </c>
      <c r="BM76" s="81" t="s">
        <v>124</v>
      </c>
      <c r="BN76" s="81" t="s">
        <v>124</v>
      </c>
      <c r="BO76" s="81" t="s">
        <v>124</v>
      </c>
      <c r="BP76" s="81" t="s">
        <v>124</v>
      </c>
      <c r="BQ76" s="81" t="s">
        <v>124</v>
      </c>
      <c r="BR76" s="81" t="s">
        <v>124</v>
      </c>
      <c r="BS76" s="81" t="s">
        <v>124</v>
      </c>
      <c r="BT76" s="81" t="s">
        <v>124</v>
      </c>
      <c r="BU76" s="81" t="s">
        <v>124</v>
      </c>
      <c r="BV76" s="81" t="s">
        <v>124</v>
      </c>
      <c r="BW76" s="81" t="s">
        <v>124</v>
      </c>
      <c r="BX76" s="81" t="s">
        <v>124</v>
      </c>
      <c r="BY76" s="81" t="s">
        <v>124</v>
      </c>
      <c r="BZ76" s="81" t="s">
        <v>124</v>
      </c>
      <c r="CA76" s="81" t="s">
        <v>124</v>
      </c>
      <c r="CB76" s="81" t="s">
        <v>124</v>
      </c>
      <c r="CC76" s="81" t="s">
        <v>124</v>
      </c>
      <c r="CD76" s="81" t="s">
        <v>124</v>
      </c>
      <c r="CE76" s="81" t="s">
        <v>124</v>
      </c>
      <c r="CF76" s="81" t="s">
        <v>124</v>
      </c>
      <c r="CG76" s="81" t="s">
        <v>124</v>
      </c>
      <c r="CH76" s="81" t="s">
        <v>124</v>
      </c>
      <c r="CI76" s="81" t="s">
        <v>124</v>
      </c>
      <c r="CJ76" s="81" t="s">
        <v>124</v>
      </c>
      <c r="CK76" s="81" t="s">
        <v>124</v>
      </c>
      <c r="CL76" s="81" t="s">
        <v>124</v>
      </c>
      <c r="CM76" s="81" t="s">
        <v>124</v>
      </c>
      <c r="CN76" s="81" t="s">
        <v>124</v>
      </c>
      <c r="CO76" s="81" t="s">
        <v>124</v>
      </c>
      <c r="CP76" s="81" t="s">
        <v>124</v>
      </c>
      <c r="CQ76" s="81" t="s">
        <v>124</v>
      </c>
      <c r="CR76" s="81" t="s">
        <v>124</v>
      </c>
      <c r="CS76" s="81" t="s">
        <v>124</v>
      </c>
      <c r="CT76" s="81" t="s">
        <v>124</v>
      </c>
      <c r="CU76" s="81" t="s">
        <v>124</v>
      </c>
      <c r="CV76" s="81" t="s">
        <v>124</v>
      </c>
      <c r="CW76" s="81" t="s">
        <v>124</v>
      </c>
      <c r="CX76" s="81" t="s">
        <v>124</v>
      </c>
      <c r="CY76" s="81" t="s">
        <v>124</v>
      </c>
      <c r="CZ76" s="81" t="s">
        <v>124</v>
      </c>
      <c r="DA76" s="81" t="s">
        <v>124</v>
      </c>
      <c r="DB76" s="81" t="s">
        <v>124</v>
      </c>
      <c r="DC76" s="81" t="s">
        <v>124</v>
      </c>
      <c r="DD76" s="81" t="s">
        <v>124</v>
      </c>
      <c r="DE76" s="81" t="s">
        <v>124</v>
      </c>
      <c r="DF76" s="81" t="s">
        <v>124</v>
      </c>
      <c r="DG76" s="81" t="s">
        <v>124</v>
      </c>
      <c r="DH76" s="81" t="s">
        <v>124</v>
      </c>
      <c r="DI76" s="81" t="s">
        <v>124</v>
      </c>
      <c r="DJ76" s="81" t="s">
        <v>124</v>
      </c>
      <c r="DK76" s="81" t="s">
        <v>124</v>
      </c>
      <c r="DL76" s="81" t="s">
        <v>124</v>
      </c>
      <c r="DM76" s="81" t="s">
        <v>124</v>
      </c>
      <c r="DN76" s="81" t="s">
        <v>124</v>
      </c>
      <c r="DO76" s="81" t="s">
        <v>124</v>
      </c>
      <c r="DP76" s="81" t="s">
        <v>124</v>
      </c>
      <c r="DQ76" s="81" t="s">
        <v>124</v>
      </c>
      <c r="DR76" s="81" t="s">
        <v>124</v>
      </c>
      <c r="DS76" s="81" t="s">
        <v>124</v>
      </c>
      <c r="DT76" s="81" t="s">
        <v>124</v>
      </c>
      <c r="DU76" s="81" t="s">
        <v>124</v>
      </c>
      <c r="DV76" s="81" t="s">
        <v>124</v>
      </c>
      <c r="DW76" s="81" t="s">
        <v>124</v>
      </c>
      <c r="DX76" s="81" t="s">
        <v>124</v>
      </c>
      <c r="DY76" s="81" t="s">
        <v>124</v>
      </c>
      <c r="DZ76" s="81" t="s">
        <v>124</v>
      </c>
      <c r="EA76" s="81" t="s">
        <v>124</v>
      </c>
      <c r="EB76" s="81" t="s">
        <v>124</v>
      </c>
      <c r="EC76" s="81" t="s">
        <v>124</v>
      </c>
      <c r="ED76" s="81" t="s">
        <v>124</v>
      </c>
      <c r="EE76" s="81" t="s">
        <v>124</v>
      </c>
      <c r="EF76" s="81" t="s">
        <v>124</v>
      </c>
      <c r="EG76" s="81" t="s">
        <v>124</v>
      </c>
      <c r="EH76" s="81" t="s">
        <v>124</v>
      </c>
      <c r="EI76" s="81" t="s">
        <v>124</v>
      </c>
      <c r="EJ76" s="81" t="s">
        <v>124</v>
      </c>
      <c r="EK76" s="81" t="s">
        <v>124</v>
      </c>
      <c r="EL76" s="81" t="s">
        <v>124</v>
      </c>
      <c r="EM76" s="81" t="s">
        <v>124</v>
      </c>
      <c r="EN76" s="81" t="s">
        <v>124</v>
      </c>
      <c r="EO76" s="81" t="s">
        <v>124</v>
      </c>
      <c r="EP76" s="81" t="s">
        <v>124</v>
      </c>
      <c r="EQ76" s="81" t="s">
        <v>124</v>
      </c>
      <c r="ER76" s="81" t="s">
        <v>124</v>
      </c>
      <c r="ES76" s="81" t="s">
        <v>124</v>
      </c>
      <c r="ET76" s="81" t="s">
        <v>124</v>
      </c>
      <c r="EU76" s="81" t="s">
        <v>124</v>
      </c>
      <c r="EV76" s="81" t="s">
        <v>124</v>
      </c>
      <c r="EW76" s="81" t="s">
        <v>124</v>
      </c>
      <c r="EX76" s="81" t="s">
        <v>124</v>
      </c>
      <c r="EY76" s="81" t="s">
        <v>124</v>
      </c>
      <c r="EZ76" s="81" t="s">
        <v>124</v>
      </c>
      <c r="FA76" s="81" t="s">
        <v>124</v>
      </c>
      <c r="FB76" s="81" t="s">
        <v>124</v>
      </c>
      <c r="FC76" s="81" t="s">
        <v>124</v>
      </c>
      <c r="FD76" s="81" t="s">
        <v>124</v>
      </c>
      <c r="FE76" s="81" t="s">
        <v>124</v>
      </c>
      <c r="FF76" s="81" t="s">
        <v>124</v>
      </c>
      <c r="FG76" s="81" t="s">
        <v>124</v>
      </c>
      <c r="FH76" s="81" t="s">
        <v>124</v>
      </c>
      <c r="FI76" s="81" t="s">
        <v>124</v>
      </c>
      <c r="FJ76" s="81" t="s">
        <v>124</v>
      </c>
      <c r="FK76" s="81" t="s">
        <v>124</v>
      </c>
      <c r="FL76" s="81" t="s">
        <v>124</v>
      </c>
      <c r="FM76" s="81" t="s">
        <v>124</v>
      </c>
      <c r="FN76" s="81" t="s">
        <v>124</v>
      </c>
      <c r="FO76" s="81" t="s">
        <v>124</v>
      </c>
      <c r="FP76" s="81" t="s">
        <v>124</v>
      </c>
      <c r="FQ76" s="81" t="s">
        <v>124</v>
      </c>
      <c r="FR76" s="81" t="s">
        <v>124</v>
      </c>
      <c r="FS76" s="81" t="s">
        <v>124</v>
      </c>
      <c r="FT76" s="81" t="s">
        <v>124</v>
      </c>
      <c r="FU76" s="81" t="s">
        <v>124</v>
      </c>
      <c r="FV76" s="81" t="s">
        <v>124</v>
      </c>
      <c r="FW76" s="81" t="s">
        <v>124</v>
      </c>
      <c r="FX76" s="81" t="s">
        <v>124</v>
      </c>
      <c r="FY76" s="81" t="s">
        <v>124</v>
      </c>
      <c r="FZ76" s="81" t="s">
        <v>124</v>
      </c>
      <c r="GA76" s="81" t="s">
        <v>124</v>
      </c>
      <c r="GB76" s="81" t="s">
        <v>124</v>
      </c>
      <c r="GC76" s="81" t="s">
        <v>124</v>
      </c>
      <c r="GD76" s="81" t="s">
        <v>124</v>
      </c>
      <c r="GE76" s="81" t="s">
        <v>124</v>
      </c>
      <c r="GF76" s="81" t="s">
        <v>124</v>
      </c>
      <c r="GG76" s="81" t="s">
        <v>124</v>
      </c>
      <c r="GH76" s="81" t="s">
        <v>124</v>
      </c>
      <c r="GI76" s="81" t="s">
        <v>124</v>
      </c>
      <c r="GJ76" s="81" t="s">
        <v>124</v>
      </c>
      <c r="GK76" s="81" t="s">
        <v>124</v>
      </c>
      <c r="GL76" s="81" t="s">
        <v>124</v>
      </c>
      <c r="GM76" s="81" t="s">
        <v>124</v>
      </c>
      <c r="GN76" s="81" t="s">
        <v>124</v>
      </c>
      <c r="GO76" s="81" t="s">
        <v>124</v>
      </c>
      <c r="GP76" s="81" t="s">
        <v>124</v>
      </c>
      <c r="GQ76" s="81" t="s">
        <v>124</v>
      </c>
      <c r="GR76" s="81" t="s">
        <v>124</v>
      </c>
      <c r="GS76" s="81" t="s">
        <v>124</v>
      </c>
      <c r="GT76" s="81" t="s">
        <v>124</v>
      </c>
      <c r="GU76" s="81" t="s">
        <v>124</v>
      </c>
      <c r="GV76" s="81" t="s">
        <v>124</v>
      </c>
      <c r="GW76" s="81" t="s">
        <v>124</v>
      </c>
      <c r="GX76" s="81" t="s">
        <v>124</v>
      </c>
      <c r="GY76" s="81" t="s">
        <v>124</v>
      </c>
      <c r="GZ76" s="81" t="s">
        <v>124</v>
      </c>
      <c r="HA76" s="81" t="s">
        <v>124</v>
      </c>
      <c r="HB76" s="81" t="s">
        <v>124</v>
      </c>
      <c r="HC76" s="81" t="s">
        <v>124</v>
      </c>
      <c r="HD76" s="81" t="s">
        <v>124</v>
      </c>
      <c r="HE76" s="81" t="s">
        <v>124</v>
      </c>
      <c r="HF76" s="81" t="s">
        <v>124</v>
      </c>
      <c r="HG76" s="81" t="s">
        <v>124</v>
      </c>
      <c r="HH76" s="81" t="s">
        <v>124</v>
      </c>
      <c r="HI76" s="81" t="s">
        <v>124</v>
      </c>
      <c r="HJ76" s="81" t="s">
        <v>124</v>
      </c>
      <c r="HK76" s="81" t="s">
        <v>124</v>
      </c>
      <c r="HL76" s="41" t="e">
        <f t="shared" si="31"/>
        <v>#VALUE!</v>
      </c>
      <c r="HM76" s="80" t="s">
        <v>123</v>
      </c>
      <c r="HN76" s="79" t="s">
        <v>77</v>
      </c>
      <c r="HO76" s="77" t="s">
        <v>58</v>
      </c>
      <c r="HP76" s="56">
        <v>1.5E-3</v>
      </c>
      <c r="HQ76" s="55"/>
      <c r="LN76" s="473">
        <f>T78-U78</f>
        <v>0</v>
      </c>
    </row>
    <row r="77" spans="1:326">
      <c r="A77" s="1165" t="s">
        <v>35</v>
      </c>
      <c r="B77" s="49"/>
      <c r="C77" s="49"/>
      <c r="D77" s="49"/>
      <c r="E77" s="49"/>
      <c r="F77" s="49"/>
      <c r="G77" s="49"/>
      <c r="H77" s="49"/>
      <c r="I77" s="49"/>
      <c r="J77" s="49"/>
      <c r="K77" s="49"/>
      <c r="L77" s="49"/>
      <c r="M77" s="49"/>
      <c r="N77" s="49"/>
      <c r="O77" s="49"/>
      <c r="P77" s="739" t="s">
        <v>76</v>
      </c>
      <c r="Q77" s="29">
        <v>1.35E-2</v>
      </c>
      <c r="R77" s="29">
        <v>1.35E-2</v>
      </c>
      <c r="S77" s="29">
        <v>1.35E-2</v>
      </c>
      <c r="T77" s="29">
        <v>1.35E-2</v>
      </c>
      <c r="U77" s="29">
        <v>1.35E-2</v>
      </c>
      <c r="V77" s="29">
        <v>1.35E-2</v>
      </c>
      <c r="W77" s="29">
        <v>1.35E-2</v>
      </c>
      <c r="X77" s="29">
        <v>1.35E-2</v>
      </c>
      <c r="Y77" s="29">
        <v>1.35E-2</v>
      </c>
      <c r="Z77" s="29">
        <v>1.35E-2</v>
      </c>
      <c r="AA77" s="29">
        <v>1.35E-2</v>
      </c>
      <c r="AB77" s="29">
        <v>1.35E-2</v>
      </c>
      <c r="AC77" s="29">
        <v>1.35E-2</v>
      </c>
      <c r="AD77" s="29">
        <v>1.35E-2</v>
      </c>
      <c r="AE77" s="29">
        <v>1.35E-2</v>
      </c>
      <c r="AF77" s="29">
        <v>1.35E-2</v>
      </c>
      <c r="AG77" s="29">
        <v>1.35E-2</v>
      </c>
      <c r="AH77" s="29">
        <v>1.35E-2</v>
      </c>
      <c r="AI77" s="29">
        <v>1.35E-2</v>
      </c>
      <c r="AJ77" s="29">
        <v>1.35E-2</v>
      </c>
      <c r="AK77" s="29">
        <v>1.35E-2</v>
      </c>
      <c r="AL77" s="29">
        <v>1.35E-2</v>
      </c>
      <c r="AM77" s="29">
        <v>1.35E-2</v>
      </c>
      <c r="AN77" s="29">
        <v>1.35E-2</v>
      </c>
      <c r="AO77" s="29">
        <v>1.35E-2</v>
      </c>
      <c r="AP77" s="29">
        <v>1.35E-2</v>
      </c>
      <c r="AQ77" s="29">
        <v>1.35E-2</v>
      </c>
      <c r="AR77" s="28">
        <v>1.35E-2</v>
      </c>
      <c r="AS77" s="29">
        <v>1.4E-2</v>
      </c>
      <c r="AT77" s="29">
        <v>1.4E-2</v>
      </c>
      <c r="AU77" s="29">
        <v>1.4E-2</v>
      </c>
      <c r="AV77" s="29">
        <v>1.4500000000000001E-2</v>
      </c>
      <c r="AW77" s="29">
        <v>1.4500000000000001E-2</v>
      </c>
      <c r="AX77" s="29">
        <v>1.4500000000000001E-2</v>
      </c>
      <c r="AY77" s="30">
        <v>1.4500000000000001E-2</v>
      </c>
      <c r="AZ77" s="29">
        <v>1.4500000000000001E-2</v>
      </c>
      <c r="BA77" s="29">
        <v>1.4500000000000001E-2</v>
      </c>
      <c r="BB77" s="29">
        <v>1.4500000000000001E-2</v>
      </c>
      <c r="BC77" s="29">
        <v>1.4500000000000001E-2</v>
      </c>
      <c r="BD77" s="29">
        <v>1.4500000000000001E-2</v>
      </c>
      <c r="BE77" s="29">
        <v>1.4500000000000001E-2</v>
      </c>
      <c r="BF77" s="29">
        <v>1.4500000000000001E-2</v>
      </c>
      <c r="BG77" s="28">
        <v>1.4500000000000001E-2</v>
      </c>
      <c r="BH77" s="29">
        <v>1.7500000000000002E-2</v>
      </c>
      <c r="BI77" s="28">
        <v>1.7500000000000002E-2</v>
      </c>
      <c r="BJ77" s="30">
        <v>1.7999999999999999E-2</v>
      </c>
      <c r="BK77" s="30">
        <v>1.7999999999999999E-2</v>
      </c>
      <c r="BL77" s="30">
        <v>1.8499999999999999E-2</v>
      </c>
      <c r="BM77" s="30">
        <v>1.8499999999999999E-2</v>
      </c>
      <c r="BN77" s="30">
        <v>1.8499999999999999E-2</v>
      </c>
      <c r="BO77" s="30">
        <v>1.8499999999999999E-2</v>
      </c>
      <c r="BP77" s="30">
        <v>1.8499999999999999E-2</v>
      </c>
      <c r="BQ77" s="30">
        <v>1.8499999999999999E-2</v>
      </c>
      <c r="BR77" s="30">
        <v>1.8499999999999999E-2</v>
      </c>
      <c r="BS77" s="30">
        <v>1.8499999999999999E-2</v>
      </c>
      <c r="BT77" s="30">
        <v>1.8499999999999999E-2</v>
      </c>
      <c r="BU77" s="30">
        <v>1.8499999999999999E-2</v>
      </c>
      <c r="BV77" s="30">
        <v>1.8499999999999999E-2</v>
      </c>
      <c r="BW77" s="30">
        <v>1.8499999999999999E-2</v>
      </c>
      <c r="BX77" s="30">
        <v>1.8499999999999999E-2</v>
      </c>
      <c r="BY77" s="30">
        <v>1.8499999999999999E-2</v>
      </c>
      <c r="BZ77" s="30">
        <v>1.8499999999999999E-2</v>
      </c>
      <c r="CA77" s="30">
        <v>1.8499999999999999E-2</v>
      </c>
      <c r="CB77" s="30">
        <v>1.8499999999999999E-2</v>
      </c>
      <c r="CC77" s="30">
        <v>1.8499999999999999E-2</v>
      </c>
      <c r="CD77" s="30">
        <v>1.8499999999999999E-2</v>
      </c>
      <c r="CE77" s="30">
        <v>1.8499999999999999E-2</v>
      </c>
      <c r="CF77" s="30">
        <v>1.6500000000000001E-2</v>
      </c>
      <c r="CG77" s="30">
        <v>1.6500000000000001E-2</v>
      </c>
      <c r="CH77" s="30">
        <v>1.6500000000000001E-2</v>
      </c>
      <c r="CI77" s="30">
        <v>1.6500000000000001E-2</v>
      </c>
      <c r="CJ77" s="30">
        <v>1.6500000000000001E-2</v>
      </c>
      <c r="CK77" s="30">
        <v>1.6500000000000001E-2</v>
      </c>
      <c r="CL77" s="30">
        <v>1.6500000000000001E-2</v>
      </c>
      <c r="CM77" s="30">
        <v>1.7000000000000001E-2</v>
      </c>
      <c r="CN77" s="30">
        <v>1.7000000000000001E-2</v>
      </c>
      <c r="CO77" s="30">
        <v>1.7000000000000001E-2</v>
      </c>
      <c r="CP77" s="30">
        <v>1.7000000000000001E-2</v>
      </c>
      <c r="CQ77" s="30">
        <v>1.8499999999999999E-2</v>
      </c>
      <c r="CR77" s="30">
        <v>1.95E-2</v>
      </c>
      <c r="CS77" s="30">
        <v>1.95E-2</v>
      </c>
      <c r="CT77" s="30">
        <v>1.95E-2</v>
      </c>
      <c r="CU77" s="30">
        <v>2.3E-2</v>
      </c>
      <c r="CV77" s="30">
        <v>2.3E-2</v>
      </c>
      <c r="CW77" s="30">
        <v>2.3E-2</v>
      </c>
      <c r="CX77" s="30">
        <v>2.3E-2</v>
      </c>
      <c r="CY77" s="30">
        <v>2.3E-2</v>
      </c>
      <c r="CZ77" s="30">
        <v>2.3E-2</v>
      </c>
      <c r="DA77" s="30">
        <v>2.3E-2</v>
      </c>
      <c r="DB77" s="30">
        <v>2.3E-2</v>
      </c>
      <c r="DC77" s="30">
        <v>2.3E-2</v>
      </c>
      <c r="DD77" s="30">
        <v>2.3E-2</v>
      </c>
      <c r="DE77" s="30">
        <v>2.3E-2</v>
      </c>
      <c r="DF77" s="30">
        <v>2.3E-2</v>
      </c>
      <c r="DG77" s="30">
        <v>2.3E-2</v>
      </c>
      <c r="DH77" s="30">
        <v>2.3E-2</v>
      </c>
      <c r="DI77" s="30">
        <v>2.3E-2</v>
      </c>
      <c r="DJ77" s="30">
        <v>2.3E-2</v>
      </c>
      <c r="DK77" s="30">
        <v>2.3E-2</v>
      </c>
      <c r="DL77" s="30">
        <v>2.3E-2</v>
      </c>
      <c r="DM77" s="30">
        <v>2.3E-2</v>
      </c>
      <c r="DN77" s="30">
        <v>2.3E-2</v>
      </c>
      <c r="DO77" s="30">
        <v>2.3E-2</v>
      </c>
      <c r="DP77" s="30">
        <v>2.3E-2</v>
      </c>
      <c r="DQ77" s="30">
        <v>2.3E-2</v>
      </c>
      <c r="DR77" s="30">
        <v>2.3E-2</v>
      </c>
      <c r="DS77" s="30">
        <v>2.3E-2</v>
      </c>
      <c r="DT77" s="30">
        <v>2.3E-2</v>
      </c>
      <c r="DU77" s="30">
        <v>2.3E-2</v>
      </c>
      <c r="DV77" s="30">
        <v>2.3E-2</v>
      </c>
      <c r="DW77" s="30">
        <v>2.3E-2</v>
      </c>
      <c r="DX77" s="30">
        <v>2.3E-2</v>
      </c>
      <c r="DY77" s="30">
        <v>2.3E-2</v>
      </c>
      <c r="DZ77" s="30">
        <v>2.3E-2</v>
      </c>
      <c r="EA77" s="30">
        <v>2.3E-2</v>
      </c>
      <c r="EB77" s="30">
        <v>2.3E-2</v>
      </c>
      <c r="EC77" s="30">
        <v>2.3E-2</v>
      </c>
      <c r="ED77" s="30">
        <v>2.3E-2</v>
      </c>
      <c r="EE77" s="30">
        <v>2.3E-2</v>
      </c>
      <c r="EF77" s="30">
        <v>2.3E-2</v>
      </c>
      <c r="EG77" s="30">
        <v>2.3E-2</v>
      </c>
      <c r="EH77" s="30">
        <v>2.3E-2</v>
      </c>
      <c r="EI77" s="30">
        <v>2.3E-2</v>
      </c>
      <c r="EJ77" s="30">
        <v>2.3E-2</v>
      </c>
      <c r="EK77" s="30">
        <v>2.3E-2</v>
      </c>
      <c r="EL77" s="30">
        <v>2.3E-2</v>
      </c>
      <c r="EM77" s="30">
        <v>2.3E-2</v>
      </c>
      <c r="EN77" s="30">
        <v>2.3E-2</v>
      </c>
      <c r="EO77" s="30">
        <v>2.3E-2</v>
      </c>
      <c r="EP77" s="30">
        <v>2.3E-2</v>
      </c>
      <c r="EQ77" s="30">
        <v>2.3E-2</v>
      </c>
      <c r="ER77" s="30">
        <v>2.3E-2</v>
      </c>
      <c r="ES77" s="30">
        <v>2.3E-2</v>
      </c>
      <c r="ET77" s="30">
        <v>2.3E-2</v>
      </c>
      <c r="EU77" s="30">
        <v>2.3E-2</v>
      </c>
      <c r="EV77" s="30">
        <v>2.3E-2</v>
      </c>
      <c r="EW77" s="30">
        <v>2.3E-2</v>
      </c>
      <c r="EX77" s="30">
        <v>2.3E-2</v>
      </c>
      <c r="EY77" s="30">
        <v>2.3E-2</v>
      </c>
      <c r="EZ77" s="30">
        <v>2.3E-2</v>
      </c>
      <c r="FA77" s="30">
        <v>2.3E-2</v>
      </c>
      <c r="FB77" s="30">
        <v>2.3E-2</v>
      </c>
      <c r="FC77" s="30">
        <v>2.3E-2</v>
      </c>
      <c r="FD77" s="30">
        <v>2.3E-2</v>
      </c>
      <c r="FE77" s="30">
        <v>2.3E-2</v>
      </c>
      <c r="FF77" s="50">
        <v>2.3E-2</v>
      </c>
      <c r="FG77" s="27">
        <v>2.4E-2</v>
      </c>
      <c r="FH77" s="27">
        <v>2.4E-2</v>
      </c>
      <c r="FI77" s="27">
        <v>2.4E-2</v>
      </c>
      <c r="FJ77" s="27">
        <v>2.35E-2</v>
      </c>
      <c r="FK77" s="27">
        <v>2.35E-2</v>
      </c>
      <c r="FL77" s="27">
        <v>2.35E-2</v>
      </c>
      <c r="FM77" s="27">
        <v>2.35E-2</v>
      </c>
      <c r="FN77" s="27">
        <v>2.35E-2</v>
      </c>
      <c r="FO77" s="27">
        <v>2.2499999999999999E-2</v>
      </c>
      <c r="FP77" s="27">
        <v>2.2499999999999999E-2</v>
      </c>
      <c r="FQ77" s="27">
        <v>2.2499999999999999E-2</v>
      </c>
      <c r="FR77" s="27">
        <v>2.2499999999999999E-2</v>
      </c>
      <c r="FS77" s="27">
        <v>2.2499999999999999E-2</v>
      </c>
      <c r="FT77" s="27">
        <v>2.2499999999999999E-2</v>
      </c>
      <c r="FU77" s="27">
        <v>2.2499999999999999E-2</v>
      </c>
      <c r="FV77" s="27">
        <v>2.2499999999999999E-2</v>
      </c>
      <c r="FW77" s="27">
        <v>2.2499999999999999E-2</v>
      </c>
      <c r="FX77" s="27">
        <v>2.2499999999999999E-2</v>
      </c>
      <c r="FY77" s="27">
        <v>2.2499999999999999E-2</v>
      </c>
      <c r="FZ77" s="27">
        <v>2.2499999999999999E-2</v>
      </c>
      <c r="GA77" s="27">
        <v>2.2499999999999999E-2</v>
      </c>
      <c r="GB77" s="27">
        <v>2.2499999999999999E-2</v>
      </c>
      <c r="GC77" s="27">
        <v>2.2499999999999999E-2</v>
      </c>
      <c r="GD77" s="27">
        <v>2.2499999999999999E-2</v>
      </c>
      <c r="GE77" s="27">
        <v>2.2499999999999999E-2</v>
      </c>
      <c r="GF77" s="27">
        <v>2.2499999999999999E-2</v>
      </c>
      <c r="GG77" s="27">
        <v>2.2499999999999999E-2</v>
      </c>
      <c r="GH77" s="27">
        <v>2.2499999999999999E-2</v>
      </c>
      <c r="GI77" s="27">
        <v>2.2499999999999999E-2</v>
      </c>
      <c r="GJ77" s="27">
        <v>2.2499999999999999E-2</v>
      </c>
      <c r="GK77" s="27">
        <v>2.2499999999999999E-2</v>
      </c>
      <c r="GL77" s="27">
        <v>2.2499999999999999E-2</v>
      </c>
      <c r="GM77" s="27">
        <v>2.2499999999999999E-2</v>
      </c>
      <c r="GN77" s="27">
        <v>2.2499999999999999E-2</v>
      </c>
      <c r="GO77" s="27">
        <v>2.4500000000000001E-2</v>
      </c>
      <c r="GP77" s="27">
        <v>2.4500000000000001E-2</v>
      </c>
      <c r="GQ77" s="27">
        <v>2.4500000000000001E-2</v>
      </c>
      <c r="GR77" s="27">
        <v>2.4500000000000001E-2</v>
      </c>
      <c r="GS77" s="27">
        <v>2.35E-2</v>
      </c>
      <c r="GT77" s="27">
        <v>2.35E-2</v>
      </c>
      <c r="GU77" s="27">
        <v>2.35E-2</v>
      </c>
      <c r="GV77" s="27">
        <v>2.35E-2</v>
      </c>
      <c r="GW77" s="49"/>
      <c r="GX77" s="49"/>
      <c r="GY77" s="49"/>
      <c r="GZ77" s="49"/>
      <c r="HA77" s="49"/>
      <c r="HB77" s="49"/>
      <c r="HC77" s="49"/>
      <c r="HD77" s="49"/>
      <c r="HE77" s="49"/>
      <c r="HF77" s="49"/>
      <c r="HG77" s="49"/>
      <c r="HH77" s="49"/>
      <c r="HI77" s="49"/>
      <c r="HJ77" s="49"/>
      <c r="HK77" s="27"/>
      <c r="HL77" s="41">
        <f t="shared" si="31"/>
        <v>-9.9999999999999742E-4</v>
      </c>
      <c r="HM77" s="80"/>
      <c r="HN77" s="79"/>
      <c r="HO77" s="77"/>
      <c r="HP77" s="56"/>
      <c r="HQ77" s="55"/>
      <c r="LN77" s="473">
        <f>Q77-R77</f>
        <v>0</v>
      </c>
    </row>
    <row r="78" spans="1:326">
      <c r="A78" s="1166"/>
      <c r="B78" s="49" t="s">
        <v>72</v>
      </c>
      <c r="C78" s="49" t="s">
        <v>72</v>
      </c>
      <c r="D78" s="49" t="s">
        <v>72</v>
      </c>
      <c r="E78" s="49" t="s">
        <v>72</v>
      </c>
      <c r="F78" s="49"/>
      <c r="G78" s="49"/>
      <c r="H78" s="49" t="s">
        <v>75</v>
      </c>
      <c r="I78" s="49" t="s">
        <v>75</v>
      </c>
      <c r="J78" s="49" t="s">
        <v>75</v>
      </c>
      <c r="K78" s="49" t="s">
        <v>75</v>
      </c>
      <c r="L78" s="49" t="s">
        <v>75</v>
      </c>
      <c r="M78" s="49" t="s">
        <v>75</v>
      </c>
      <c r="N78" s="49" t="s">
        <v>75</v>
      </c>
      <c r="O78" s="49"/>
      <c r="P78" s="739" t="s">
        <v>74</v>
      </c>
      <c r="Q78" s="29">
        <v>1.4E-2</v>
      </c>
      <c r="R78" s="29">
        <v>1.4E-2</v>
      </c>
      <c r="S78" s="29">
        <v>1.4E-2</v>
      </c>
      <c r="T78" s="29">
        <v>1.4E-2</v>
      </c>
      <c r="U78" s="29">
        <v>1.4E-2</v>
      </c>
      <c r="V78" s="29">
        <v>1.4E-2</v>
      </c>
      <c r="W78" s="29">
        <v>1.4E-2</v>
      </c>
      <c r="X78" s="29">
        <v>1.4E-2</v>
      </c>
      <c r="Y78" s="29">
        <v>1.4E-2</v>
      </c>
      <c r="Z78" s="29">
        <v>1.4E-2</v>
      </c>
      <c r="AA78" s="29">
        <v>1.4E-2</v>
      </c>
      <c r="AB78" s="29">
        <v>1.4E-2</v>
      </c>
      <c r="AC78" s="29">
        <v>1.4E-2</v>
      </c>
      <c r="AD78" s="29">
        <v>1.4E-2</v>
      </c>
      <c r="AE78" s="29">
        <v>1.4E-2</v>
      </c>
      <c r="AF78" s="29">
        <v>1.4E-2</v>
      </c>
      <c r="AG78" s="29">
        <v>1.4E-2</v>
      </c>
      <c r="AH78" s="29">
        <v>1.4E-2</v>
      </c>
      <c r="AI78" s="29">
        <v>1.4E-2</v>
      </c>
      <c r="AJ78" s="29">
        <v>1.4E-2</v>
      </c>
      <c r="AK78" s="29">
        <v>1.4E-2</v>
      </c>
      <c r="AL78" s="29">
        <v>1.4E-2</v>
      </c>
      <c r="AM78" s="29">
        <v>1.4E-2</v>
      </c>
      <c r="AN78" s="29">
        <v>1.4E-2</v>
      </c>
      <c r="AO78" s="29">
        <v>1.4E-2</v>
      </c>
      <c r="AP78" s="29">
        <v>1.4E-2</v>
      </c>
      <c r="AQ78" s="29">
        <v>1.4E-2</v>
      </c>
      <c r="AR78" s="28">
        <v>1.4E-2</v>
      </c>
      <c r="AS78" s="29">
        <v>1.4500000000000001E-2</v>
      </c>
      <c r="AT78" s="29">
        <v>1.4500000000000001E-2</v>
      </c>
      <c r="AU78" s="29">
        <v>1.4500000000000001E-2</v>
      </c>
      <c r="AV78" s="29">
        <v>1.4999999999999999E-2</v>
      </c>
      <c r="AW78" s="29">
        <v>1.4999999999999999E-2</v>
      </c>
      <c r="AX78" s="29">
        <v>1.4999999999999999E-2</v>
      </c>
      <c r="AY78" s="30">
        <v>1.4999999999999999E-2</v>
      </c>
      <c r="AZ78" s="29">
        <v>1.4999999999999999E-2</v>
      </c>
      <c r="BA78" s="29">
        <v>1.4999999999999999E-2</v>
      </c>
      <c r="BB78" s="29">
        <v>1.4999999999999999E-2</v>
      </c>
      <c r="BC78" s="29">
        <v>1.4999999999999999E-2</v>
      </c>
      <c r="BD78" s="29">
        <v>1.4999999999999999E-2</v>
      </c>
      <c r="BE78" s="29">
        <v>1.4999999999999999E-2</v>
      </c>
      <c r="BF78" s="29">
        <v>1.4999999999999999E-2</v>
      </c>
      <c r="BG78" s="28">
        <v>1.4999999999999999E-2</v>
      </c>
      <c r="BH78" s="29">
        <v>1.7999999999999999E-2</v>
      </c>
      <c r="BI78" s="28">
        <v>1.7999999999999999E-2</v>
      </c>
      <c r="BJ78" s="30">
        <v>1.8499999999999999E-2</v>
      </c>
      <c r="BK78" s="30">
        <v>1.8499999999999999E-2</v>
      </c>
      <c r="BL78" s="30">
        <v>1.9E-2</v>
      </c>
      <c r="BM78" s="30">
        <v>1.9E-2</v>
      </c>
      <c r="BN78" s="30">
        <v>1.9E-2</v>
      </c>
      <c r="BO78" s="30">
        <v>1.9E-2</v>
      </c>
      <c r="BP78" s="30">
        <v>1.9E-2</v>
      </c>
      <c r="BQ78" s="30">
        <v>1.9E-2</v>
      </c>
      <c r="BR78" s="30">
        <v>1.9E-2</v>
      </c>
      <c r="BS78" s="30">
        <v>1.9E-2</v>
      </c>
      <c r="BT78" s="30">
        <v>1.9E-2</v>
      </c>
      <c r="BU78" s="30">
        <v>1.9E-2</v>
      </c>
      <c r="BV78" s="30">
        <v>1.9E-2</v>
      </c>
      <c r="BW78" s="30">
        <v>1.9E-2</v>
      </c>
      <c r="BX78" s="30">
        <v>1.9E-2</v>
      </c>
      <c r="BY78" s="30">
        <v>1.9E-2</v>
      </c>
      <c r="BZ78" s="30">
        <v>1.9E-2</v>
      </c>
      <c r="CA78" s="30">
        <v>1.9E-2</v>
      </c>
      <c r="CB78" s="30">
        <v>1.9E-2</v>
      </c>
      <c r="CC78" s="30">
        <v>1.9E-2</v>
      </c>
      <c r="CD78" s="30">
        <v>1.9E-2</v>
      </c>
      <c r="CE78" s="30">
        <v>1.9E-2</v>
      </c>
      <c r="CF78" s="30">
        <v>1.7000000000000001E-2</v>
      </c>
      <c r="CG78" s="30">
        <v>1.7000000000000001E-2</v>
      </c>
      <c r="CH78" s="30">
        <v>1.7000000000000001E-2</v>
      </c>
      <c r="CI78" s="30">
        <v>1.7000000000000001E-2</v>
      </c>
      <c r="CJ78" s="30">
        <v>1.7000000000000001E-2</v>
      </c>
      <c r="CK78" s="30">
        <v>1.7000000000000001E-2</v>
      </c>
      <c r="CL78" s="30">
        <v>1.7000000000000001E-2</v>
      </c>
      <c r="CM78" s="30">
        <v>1.7500000000000002E-2</v>
      </c>
      <c r="CN78" s="30">
        <v>1.7500000000000002E-2</v>
      </c>
      <c r="CO78" s="30">
        <v>1.7500000000000002E-2</v>
      </c>
      <c r="CP78" s="30">
        <v>1.7500000000000002E-2</v>
      </c>
      <c r="CQ78" s="30">
        <v>1.9E-2</v>
      </c>
      <c r="CR78" s="30">
        <v>0.02</v>
      </c>
      <c r="CS78" s="30">
        <v>0.02</v>
      </c>
      <c r="CT78" s="30">
        <v>0.02</v>
      </c>
      <c r="CU78" s="30">
        <v>2.35E-2</v>
      </c>
      <c r="CV78" s="30">
        <v>2.35E-2</v>
      </c>
      <c r="CW78" s="30">
        <v>2.35E-2</v>
      </c>
      <c r="CX78" s="30">
        <v>2.35E-2</v>
      </c>
      <c r="CY78" s="30">
        <v>2.35E-2</v>
      </c>
      <c r="CZ78" s="30">
        <v>2.35E-2</v>
      </c>
      <c r="DA78" s="30">
        <v>2.35E-2</v>
      </c>
      <c r="DB78" s="30">
        <v>2.35E-2</v>
      </c>
      <c r="DC78" s="30">
        <v>2.35E-2</v>
      </c>
      <c r="DD78" s="30">
        <v>2.35E-2</v>
      </c>
      <c r="DE78" s="30">
        <v>2.35E-2</v>
      </c>
      <c r="DF78" s="30">
        <v>2.35E-2</v>
      </c>
      <c r="DG78" s="30">
        <v>2.35E-2</v>
      </c>
      <c r="DH78" s="30">
        <v>2.35E-2</v>
      </c>
      <c r="DI78" s="30">
        <v>2.35E-2</v>
      </c>
      <c r="DJ78" s="30">
        <v>2.35E-2</v>
      </c>
      <c r="DK78" s="30">
        <v>2.35E-2</v>
      </c>
      <c r="DL78" s="30">
        <v>2.35E-2</v>
      </c>
      <c r="DM78" s="30">
        <v>2.35E-2</v>
      </c>
      <c r="DN78" s="30">
        <v>2.35E-2</v>
      </c>
      <c r="DO78" s="30">
        <v>2.35E-2</v>
      </c>
      <c r="DP78" s="30">
        <v>2.35E-2</v>
      </c>
      <c r="DQ78" s="30">
        <v>2.35E-2</v>
      </c>
      <c r="DR78" s="30">
        <v>2.35E-2</v>
      </c>
      <c r="DS78" s="30">
        <v>2.35E-2</v>
      </c>
      <c r="DT78" s="30">
        <v>2.35E-2</v>
      </c>
      <c r="DU78" s="30">
        <v>2.35E-2</v>
      </c>
      <c r="DV78" s="30">
        <v>2.35E-2</v>
      </c>
      <c r="DW78" s="30">
        <v>2.35E-2</v>
      </c>
      <c r="DX78" s="30">
        <v>2.35E-2</v>
      </c>
      <c r="DY78" s="30">
        <v>2.35E-2</v>
      </c>
      <c r="DZ78" s="30">
        <v>2.35E-2</v>
      </c>
      <c r="EA78" s="30">
        <v>2.35E-2</v>
      </c>
      <c r="EB78" s="30">
        <v>2.35E-2</v>
      </c>
      <c r="EC78" s="30">
        <v>2.35E-2</v>
      </c>
      <c r="ED78" s="30">
        <v>2.35E-2</v>
      </c>
      <c r="EE78" s="30">
        <v>2.35E-2</v>
      </c>
      <c r="EF78" s="30">
        <v>2.35E-2</v>
      </c>
      <c r="EG78" s="30">
        <v>2.35E-2</v>
      </c>
      <c r="EH78" s="30">
        <v>2.35E-2</v>
      </c>
      <c r="EI78" s="30">
        <v>2.35E-2</v>
      </c>
      <c r="EJ78" s="30">
        <v>2.35E-2</v>
      </c>
      <c r="EK78" s="30">
        <v>2.35E-2</v>
      </c>
      <c r="EL78" s="30">
        <v>2.35E-2</v>
      </c>
      <c r="EM78" s="30">
        <v>2.35E-2</v>
      </c>
      <c r="EN78" s="30">
        <v>2.35E-2</v>
      </c>
      <c r="EO78" s="30">
        <v>2.35E-2</v>
      </c>
      <c r="EP78" s="30">
        <v>2.35E-2</v>
      </c>
      <c r="EQ78" s="30">
        <v>2.35E-2</v>
      </c>
      <c r="ER78" s="30">
        <v>2.35E-2</v>
      </c>
      <c r="ES78" s="30">
        <v>2.35E-2</v>
      </c>
      <c r="ET78" s="30">
        <v>2.35E-2</v>
      </c>
      <c r="EU78" s="30">
        <v>2.35E-2</v>
      </c>
      <c r="EV78" s="30">
        <v>2.35E-2</v>
      </c>
      <c r="EW78" s="30">
        <v>2.35E-2</v>
      </c>
      <c r="EX78" s="30">
        <v>2.35E-2</v>
      </c>
      <c r="EY78" s="30">
        <v>2.35E-2</v>
      </c>
      <c r="EZ78" s="30">
        <v>2.35E-2</v>
      </c>
      <c r="FA78" s="30">
        <v>2.35E-2</v>
      </c>
      <c r="FB78" s="30">
        <v>2.35E-2</v>
      </c>
      <c r="FC78" s="30">
        <v>2.35E-2</v>
      </c>
      <c r="FD78" s="30">
        <v>2.35E-2</v>
      </c>
      <c r="FE78" s="30">
        <v>2.35E-2</v>
      </c>
      <c r="FF78" s="50">
        <v>2.35E-2</v>
      </c>
      <c r="FG78" s="27">
        <v>2.4500000000000001E-2</v>
      </c>
      <c r="FH78" s="27">
        <v>2.4500000000000001E-2</v>
      </c>
      <c r="FI78" s="27">
        <v>2.4500000000000001E-2</v>
      </c>
      <c r="FJ78" s="27">
        <v>2.4500000000000001E-2</v>
      </c>
      <c r="FK78" s="27">
        <v>2.4500000000000001E-2</v>
      </c>
      <c r="FL78" s="27">
        <v>2.4500000000000001E-2</v>
      </c>
      <c r="FM78" s="27">
        <v>2.4500000000000001E-2</v>
      </c>
      <c r="FN78" s="27">
        <v>2.4500000000000001E-2</v>
      </c>
      <c r="FO78" s="27">
        <v>2.35E-2</v>
      </c>
      <c r="FP78" s="27">
        <v>2.35E-2</v>
      </c>
      <c r="FQ78" s="27">
        <v>2.35E-2</v>
      </c>
      <c r="FR78" s="27">
        <v>2.35E-2</v>
      </c>
      <c r="FS78" s="27">
        <v>2.35E-2</v>
      </c>
      <c r="FT78" s="27">
        <v>2.35E-2</v>
      </c>
      <c r="FU78" s="27">
        <v>2.35E-2</v>
      </c>
      <c r="FV78" s="27">
        <v>2.35E-2</v>
      </c>
      <c r="FW78" s="27">
        <v>2.35E-2</v>
      </c>
      <c r="FX78" s="27">
        <v>2.35E-2</v>
      </c>
      <c r="FY78" s="27">
        <v>2.35E-2</v>
      </c>
      <c r="FZ78" s="27">
        <v>2.35E-2</v>
      </c>
      <c r="GA78" s="27">
        <v>2.35E-2</v>
      </c>
      <c r="GB78" s="27">
        <v>2.35E-2</v>
      </c>
      <c r="GC78" s="27">
        <v>2.35E-2</v>
      </c>
      <c r="GD78" s="27">
        <v>2.35E-2</v>
      </c>
      <c r="GE78" s="27">
        <v>2.35E-2</v>
      </c>
      <c r="GF78" s="27">
        <v>2.35E-2</v>
      </c>
      <c r="GG78" s="27">
        <v>2.35E-2</v>
      </c>
      <c r="GH78" s="27">
        <v>2.35E-2</v>
      </c>
      <c r="GI78" s="27">
        <v>2.35E-2</v>
      </c>
      <c r="GJ78" s="27">
        <v>2.35E-2</v>
      </c>
      <c r="GK78" s="27">
        <v>2.35E-2</v>
      </c>
      <c r="GL78" s="27">
        <v>2.35E-2</v>
      </c>
      <c r="GM78" s="27">
        <v>2.35E-2</v>
      </c>
      <c r="GN78" s="27">
        <v>2.35E-2</v>
      </c>
      <c r="GO78" s="27">
        <v>2.5499999999999998E-2</v>
      </c>
      <c r="GP78" s="27">
        <v>2.5499999999999998E-2</v>
      </c>
      <c r="GQ78" s="27">
        <v>2.5499999999999998E-2</v>
      </c>
      <c r="GR78" s="27">
        <v>2.5499999999999998E-2</v>
      </c>
      <c r="GS78" s="27">
        <v>2.4500000000000001E-2</v>
      </c>
      <c r="GT78" s="27">
        <v>2.4500000000000001E-2</v>
      </c>
      <c r="GU78" s="27">
        <v>2.4500000000000001E-2</v>
      </c>
      <c r="GV78" s="27">
        <v>2.4500000000000001E-2</v>
      </c>
      <c r="GW78" s="49" t="s">
        <v>73</v>
      </c>
      <c r="GX78" s="49" t="s">
        <v>73</v>
      </c>
      <c r="GY78" s="49" t="s">
        <v>73</v>
      </c>
      <c r="GZ78" s="49" t="s">
        <v>73</v>
      </c>
      <c r="HA78" s="49" t="s">
        <v>73</v>
      </c>
      <c r="HB78" s="49" t="s">
        <v>73</v>
      </c>
      <c r="HC78" s="49" t="s">
        <v>73</v>
      </c>
      <c r="HD78" s="49" t="s">
        <v>73</v>
      </c>
      <c r="HE78" s="49" t="s">
        <v>73</v>
      </c>
      <c r="HF78" s="49" t="s">
        <v>72</v>
      </c>
      <c r="HG78" s="49" t="s">
        <v>72</v>
      </c>
      <c r="HH78" s="49" t="s">
        <v>72</v>
      </c>
      <c r="HI78" s="49" t="s">
        <v>72</v>
      </c>
      <c r="HJ78" s="49" t="s">
        <v>72</v>
      </c>
      <c r="HK78" s="49" t="s">
        <v>72</v>
      </c>
      <c r="HL78" s="41">
        <f t="shared" si="31"/>
        <v>-1.0000000000000009E-3</v>
      </c>
      <c r="HM78" s="77" t="s">
        <v>72</v>
      </c>
      <c r="HN78" s="77" t="s">
        <v>72</v>
      </c>
      <c r="HO78" s="77" t="s">
        <v>72</v>
      </c>
      <c r="HP78" s="56">
        <v>0</v>
      </c>
      <c r="HQ78" s="55" t="s">
        <v>91</v>
      </c>
      <c r="LN78" s="473">
        <f>Q78-R78</f>
        <v>0</v>
      </c>
    </row>
    <row r="79" spans="1:326">
      <c r="A79" s="1162" t="s">
        <v>16</v>
      </c>
      <c r="B79" s="42"/>
      <c r="C79" s="42"/>
      <c r="D79" s="42"/>
      <c r="E79" s="42"/>
      <c r="F79" s="42"/>
      <c r="G79" s="42"/>
      <c r="H79" s="42"/>
      <c r="I79" s="42"/>
      <c r="J79" s="42"/>
      <c r="K79" s="42"/>
      <c r="L79" s="42"/>
      <c r="M79" s="42"/>
      <c r="N79" s="42"/>
      <c r="O79" s="42"/>
      <c r="P79" s="627" t="s">
        <v>71</v>
      </c>
      <c r="Q79" s="35">
        <v>1.35E-2</v>
      </c>
      <c r="R79" s="35">
        <v>1.35E-2</v>
      </c>
      <c r="S79" s="34">
        <v>1.35E-2</v>
      </c>
      <c r="T79" s="34">
        <v>1.35E-2</v>
      </c>
      <c r="U79" s="35">
        <v>1.2999999999999999E-2</v>
      </c>
      <c r="V79" s="35">
        <v>1.2999999999999999E-2</v>
      </c>
      <c r="W79" s="35">
        <v>1.2999999999999999E-2</v>
      </c>
      <c r="X79" s="35">
        <v>1.2999999999999999E-2</v>
      </c>
      <c r="Y79" s="35">
        <v>1.2999999999999999E-2</v>
      </c>
      <c r="Z79" s="35">
        <v>1.2999999999999999E-2</v>
      </c>
      <c r="AA79" s="35">
        <v>1.2999999999999999E-2</v>
      </c>
      <c r="AB79" s="35">
        <v>1.2999999999999999E-2</v>
      </c>
      <c r="AC79" s="35">
        <v>1.2999999999999999E-2</v>
      </c>
      <c r="AD79" s="35">
        <v>1.2999999999999999E-2</v>
      </c>
      <c r="AE79" s="35">
        <v>1.2999999999999999E-2</v>
      </c>
      <c r="AF79" s="35">
        <v>1.2999999999999999E-2</v>
      </c>
      <c r="AG79" s="35">
        <v>1.2999999999999999E-2</v>
      </c>
      <c r="AH79" s="35">
        <v>1.2999999999999999E-2</v>
      </c>
      <c r="AI79" s="35">
        <v>1.2999999999999999E-2</v>
      </c>
      <c r="AJ79" s="35">
        <v>1.2999999999999999E-2</v>
      </c>
      <c r="AK79" s="35">
        <v>1.2999999999999999E-2</v>
      </c>
      <c r="AL79" s="35">
        <v>1.2999999999999999E-2</v>
      </c>
      <c r="AM79" s="35">
        <v>1.2999999999999999E-2</v>
      </c>
      <c r="AN79" s="35">
        <v>1.2999999999999999E-2</v>
      </c>
      <c r="AO79" s="35">
        <v>1.2999999999999999E-2</v>
      </c>
      <c r="AP79" s="35">
        <v>1.2999999999999999E-2</v>
      </c>
      <c r="AQ79" s="35">
        <v>1.2999999999999999E-2</v>
      </c>
      <c r="AR79" s="35">
        <v>1.2999999999999999E-2</v>
      </c>
      <c r="AS79" s="35">
        <v>1.2999999999999999E-2</v>
      </c>
      <c r="AT79" s="35">
        <v>1.2999999999999999E-2</v>
      </c>
      <c r="AU79" s="35">
        <v>1.2999999999999999E-2</v>
      </c>
      <c r="AV79" s="35">
        <v>1.2999999999999999E-2</v>
      </c>
      <c r="AW79" s="34">
        <v>1.2999999999999999E-2</v>
      </c>
      <c r="AX79" s="35">
        <v>1.35E-2</v>
      </c>
      <c r="AY79" s="35">
        <v>1.35E-2</v>
      </c>
      <c r="AZ79" s="34">
        <v>1.35E-2</v>
      </c>
      <c r="BA79" s="35">
        <v>1.35E-2</v>
      </c>
      <c r="BB79" s="35">
        <v>1.35E-2</v>
      </c>
      <c r="BC79" s="35">
        <v>1.35E-2</v>
      </c>
      <c r="BD79" s="35">
        <v>1.35E-2</v>
      </c>
      <c r="BE79" s="35">
        <v>1.35E-2</v>
      </c>
      <c r="BF79" s="34">
        <v>1.35E-2</v>
      </c>
      <c r="BG79" s="35">
        <v>1.4999999999999999E-2</v>
      </c>
      <c r="BH79" s="35">
        <v>1.4999999999999999E-2</v>
      </c>
      <c r="BI79" s="46">
        <v>1.4999999999999999E-2</v>
      </c>
      <c r="BJ79" s="46">
        <v>1.4999999999999999E-2</v>
      </c>
      <c r="BK79" s="46">
        <v>1.9E-2</v>
      </c>
      <c r="BL79" s="46">
        <v>1.9E-2</v>
      </c>
      <c r="BM79" s="46">
        <v>1.9E-2</v>
      </c>
      <c r="BN79" s="46">
        <v>1.9E-2</v>
      </c>
      <c r="BO79" s="46">
        <v>1.9E-2</v>
      </c>
      <c r="BP79" s="46">
        <v>1.9E-2</v>
      </c>
      <c r="BQ79" s="46">
        <v>1.9E-2</v>
      </c>
      <c r="BR79" s="46">
        <v>1.9E-2</v>
      </c>
      <c r="BS79" s="46">
        <v>2.1000000000000001E-2</v>
      </c>
      <c r="BT79" s="46">
        <v>2.1000000000000001E-2</v>
      </c>
      <c r="BU79" s="46">
        <v>2.1000000000000001E-2</v>
      </c>
      <c r="BV79" s="46">
        <v>2.1000000000000001E-2</v>
      </c>
      <c r="BW79" s="46">
        <v>2.1999999999999999E-2</v>
      </c>
      <c r="BX79" s="46">
        <v>2.1999999999999999E-2</v>
      </c>
      <c r="BY79" s="46">
        <v>2.1999999999999999E-2</v>
      </c>
      <c r="BZ79" s="46">
        <v>2.1999999999999999E-2</v>
      </c>
      <c r="CA79" s="46">
        <v>2.1999999999999999E-2</v>
      </c>
      <c r="CB79" s="46">
        <v>2.1999999999999999E-2</v>
      </c>
      <c r="CC79" s="46">
        <v>2.1999999999999999E-2</v>
      </c>
      <c r="CD79" s="46">
        <v>2.1999999999999999E-2</v>
      </c>
      <c r="CE79" s="46">
        <v>2.1999999999999999E-2</v>
      </c>
      <c r="CF79" s="46">
        <v>1.7999999999999999E-2</v>
      </c>
      <c r="CG79" s="46">
        <v>1.7999999999999999E-2</v>
      </c>
      <c r="CH79" s="46">
        <v>1.7999999999999999E-2</v>
      </c>
      <c r="CI79" s="46">
        <v>1.7999999999999999E-2</v>
      </c>
      <c r="CJ79" s="46">
        <v>1.7999999999999999E-2</v>
      </c>
      <c r="CK79" s="46">
        <v>1.7999999999999999E-2</v>
      </c>
      <c r="CL79" s="46">
        <v>1.7999999999999999E-2</v>
      </c>
      <c r="CM79" s="46">
        <v>1.7999999999999999E-2</v>
      </c>
      <c r="CN79" s="46">
        <v>1.7999999999999999E-2</v>
      </c>
      <c r="CO79" s="46">
        <v>1.7999999999999999E-2</v>
      </c>
      <c r="CP79" s="46">
        <v>1.7999999999999999E-2</v>
      </c>
      <c r="CQ79" s="46">
        <v>1.8499999999999999E-2</v>
      </c>
      <c r="CR79" s="46">
        <v>1.9E-2</v>
      </c>
      <c r="CS79" s="46">
        <v>1.9E-2</v>
      </c>
      <c r="CT79" s="46">
        <v>1.6500000000000001E-2</v>
      </c>
      <c r="CU79" s="46">
        <v>2.2499999999999999E-2</v>
      </c>
      <c r="CV79" s="46">
        <v>2.2499999999999999E-2</v>
      </c>
      <c r="CW79" s="46">
        <v>2.2499999999999999E-2</v>
      </c>
      <c r="CX79" s="46">
        <v>2.2499999999999999E-2</v>
      </c>
      <c r="CY79" s="46">
        <v>2.2499999999999999E-2</v>
      </c>
      <c r="CZ79" s="46">
        <v>2.2499999999999999E-2</v>
      </c>
      <c r="DA79" s="46">
        <v>2.2499999999999999E-2</v>
      </c>
      <c r="DB79" s="46">
        <v>2.2499999999999999E-2</v>
      </c>
      <c r="DC79" s="46">
        <v>2.2499999999999999E-2</v>
      </c>
      <c r="DD79" s="46">
        <v>2.2499999999999999E-2</v>
      </c>
      <c r="DE79" s="46">
        <v>2.2499999999999999E-2</v>
      </c>
      <c r="DF79" s="46">
        <v>2.2499999999999999E-2</v>
      </c>
      <c r="DG79" s="46">
        <v>2.2499999999999999E-2</v>
      </c>
      <c r="DH79" s="46">
        <v>2.2499999999999999E-2</v>
      </c>
      <c r="DI79" s="46">
        <v>2.2499999999999999E-2</v>
      </c>
      <c r="DJ79" s="46">
        <v>2.2499999999999999E-2</v>
      </c>
      <c r="DK79" s="46">
        <v>2.2499999999999999E-2</v>
      </c>
      <c r="DL79" s="46">
        <v>2.2499999999999999E-2</v>
      </c>
      <c r="DM79" s="46">
        <v>2.2499999999999999E-2</v>
      </c>
      <c r="DN79" s="46">
        <v>2.2499999999999999E-2</v>
      </c>
      <c r="DO79" s="46">
        <v>2.2499999999999999E-2</v>
      </c>
      <c r="DP79" s="46">
        <v>2.2499999999999999E-2</v>
      </c>
      <c r="DQ79" s="46">
        <v>2.2499999999999999E-2</v>
      </c>
      <c r="DR79" s="46">
        <v>2.2499999999999999E-2</v>
      </c>
      <c r="DS79" s="46">
        <v>2.2499999999999999E-2</v>
      </c>
      <c r="DT79" s="46">
        <v>2.2499999999999999E-2</v>
      </c>
      <c r="DU79" s="46">
        <v>2.2499999999999999E-2</v>
      </c>
      <c r="DV79" s="46">
        <v>2.2499999999999999E-2</v>
      </c>
      <c r="DW79" s="46">
        <v>2.2499999999999999E-2</v>
      </c>
      <c r="DX79" s="46">
        <v>2.2499999999999999E-2</v>
      </c>
      <c r="DY79" s="46">
        <v>2.2499999999999999E-2</v>
      </c>
      <c r="DZ79" s="46">
        <v>2.2499999999999999E-2</v>
      </c>
      <c r="EA79" s="46">
        <v>2.2499999999999999E-2</v>
      </c>
      <c r="EB79" s="46">
        <v>2.2499999999999999E-2</v>
      </c>
      <c r="EC79" s="46">
        <v>2.2499999999999999E-2</v>
      </c>
      <c r="ED79" s="46">
        <v>2.2499999999999999E-2</v>
      </c>
      <c r="EE79" s="46">
        <v>2.2499999999999999E-2</v>
      </c>
      <c r="EF79" s="46">
        <v>2.2499999999999999E-2</v>
      </c>
      <c r="EG79" s="46">
        <v>2.2499999999999999E-2</v>
      </c>
      <c r="EH79" s="46">
        <v>2.2499999999999999E-2</v>
      </c>
      <c r="EI79" s="46">
        <v>2.2499999999999999E-2</v>
      </c>
      <c r="EJ79" s="46">
        <v>2.2499999999999999E-2</v>
      </c>
      <c r="EK79" s="46">
        <v>2.2499999999999999E-2</v>
      </c>
      <c r="EL79" s="46">
        <v>2.2499999999999999E-2</v>
      </c>
      <c r="EM79" s="46">
        <v>2.2499999999999999E-2</v>
      </c>
      <c r="EN79" s="46">
        <v>2.2499999999999999E-2</v>
      </c>
      <c r="EO79" s="46">
        <v>2.2499999999999999E-2</v>
      </c>
      <c r="EP79" s="46">
        <v>2.2499999999999999E-2</v>
      </c>
      <c r="EQ79" s="46">
        <v>2.2499999999999999E-2</v>
      </c>
      <c r="ER79" s="46">
        <v>2.2499999999999999E-2</v>
      </c>
      <c r="ES79" s="46">
        <v>2.2499999999999999E-2</v>
      </c>
      <c r="ET79" s="46">
        <v>2.2499999999999999E-2</v>
      </c>
      <c r="EU79" s="46">
        <v>2.3E-2</v>
      </c>
      <c r="EV79" s="46">
        <v>2.3E-2</v>
      </c>
      <c r="EW79" s="46">
        <v>2.3E-2</v>
      </c>
      <c r="EX79" s="46">
        <v>2.3E-2</v>
      </c>
      <c r="EY79" s="46">
        <v>2.3E-2</v>
      </c>
      <c r="EZ79" s="46">
        <v>2.3E-2</v>
      </c>
      <c r="FA79" s="46">
        <v>2.3E-2</v>
      </c>
      <c r="FB79" s="46">
        <v>2.3E-2</v>
      </c>
      <c r="FC79" s="46">
        <v>2.3E-2</v>
      </c>
      <c r="FD79" s="46">
        <v>2.3E-2</v>
      </c>
      <c r="FE79" s="46">
        <v>2.3E-2</v>
      </c>
      <c r="FF79" s="45">
        <v>2.3E-2</v>
      </c>
      <c r="FG79" s="44">
        <v>2.35E-2</v>
      </c>
      <c r="FH79" s="44">
        <v>2.4E-2</v>
      </c>
      <c r="FI79" s="44">
        <v>2.4E-2</v>
      </c>
      <c r="FJ79" s="44">
        <v>2.4E-2</v>
      </c>
      <c r="FK79" s="44">
        <v>2.4E-2</v>
      </c>
      <c r="FL79" s="44">
        <v>2.4E-2</v>
      </c>
      <c r="FM79" s="44">
        <v>2.4E-2</v>
      </c>
      <c r="FN79" s="44">
        <v>2.4E-2</v>
      </c>
      <c r="FO79" s="44">
        <v>2.4E-2</v>
      </c>
      <c r="FP79" s="44">
        <v>2.4E-2</v>
      </c>
      <c r="FQ79" s="44">
        <v>2.4E-2</v>
      </c>
      <c r="FR79" s="44">
        <v>2.3E-2</v>
      </c>
      <c r="FS79" s="44">
        <v>2.3E-2</v>
      </c>
      <c r="FT79" s="44">
        <v>2.3E-2</v>
      </c>
      <c r="FU79" s="44">
        <v>2.3E-2</v>
      </c>
      <c r="FV79" s="44">
        <v>2.3E-2</v>
      </c>
      <c r="FW79" s="44">
        <v>2.3E-2</v>
      </c>
      <c r="FX79" s="44">
        <v>2.3E-2</v>
      </c>
      <c r="FY79" s="44">
        <v>2.3E-2</v>
      </c>
      <c r="FZ79" s="44">
        <v>2.3E-2</v>
      </c>
      <c r="GA79" s="44">
        <v>2.3E-2</v>
      </c>
      <c r="GB79" s="44">
        <v>2.3E-2</v>
      </c>
      <c r="GC79" s="44">
        <v>2.3E-2</v>
      </c>
      <c r="GD79" s="44">
        <v>2.3E-2</v>
      </c>
      <c r="GE79" s="44">
        <v>2.3E-2</v>
      </c>
      <c r="GF79" s="44">
        <v>2.3E-2</v>
      </c>
      <c r="GG79" s="44">
        <v>2.3E-2</v>
      </c>
      <c r="GH79" s="44">
        <v>2.3E-2</v>
      </c>
      <c r="GI79" s="44">
        <v>2.3E-2</v>
      </c>
      <c r="GJ79" s="44">
        <v>2.3E-2</v>
      </c>
      <c r="GK79" s="44">
        <v>2.3E-2</v>
      </c>
      <c r="GL79" s="44">
        <v>2.3E-2</v>
      </c>
      <c r="GM79" s="44">
        <v>2.3E-2</v>
      </c>
      <c r="GN79" s="44">
        <v>2.3E-2</v>
      </c>
      <c r="GO79" s="44">
        <v>2.3E-2</v>
      </c>
      <c r="GP79" s="44">
        <v>2.3E-2</v>
      </c>
      <c r="GQ79" s="44">
        <v>2.3E-2</v>
      </c>
      <c r="GR79" s="44">
        <v>2.3E-2</v>
      </c>
      <c r="GS79" s="43">
        <v>2.2499999999999999E-2</v>
      </c>
      <c r="GT79" s="43">
        <v>2.4E-2</v>
      </c>
      <c r="GU79" s="43">
        <v>2.4E-2</v>
      </c>
      <c r="GV79" s="43">
        <v>2.4E-2</v>
      </c>
      <c r="GW79" s="42"/>
      <c r="GX79" s="42"/>
      <c r="GY79" s="42"/>
      <c r="GZ79" s="42"/>
      <c r="HA79" s="42"/>
      <c r="HB79" s="42"/>
      <c r="HC79" s="42"/>
      <c r="HD79" s="42"/>
      <c r="HE79" s="42"/>
      <c r="HF79" s="42"/>
      <c r="HG79" s="42"/>
      <c r="HH79" s="42"/>
      <c r="HI79" s="42"/>
      <c r="HJ79" s="42"/>
      <c r="HK79" s="42"/>
      <c r="HL79" s="41">
        <f t="shared" si="31"/>
        <v>-4.0000000000000001E-3</v>
      </c>
      <c r="HM79" s="77"/>
      <c r="HN79" s="77"/>
      <c r="HO79" s="77"/>
      <c r="HP79" s="56"/>
      <c r="HQ79" s="55"/>
      <c r="LN79" s="473">
        <f>Q79-R79</f>
        <v>0</v>
      </c>
    </row>
    <row r="80" spans="1:326">
      <c r="A80" s="1163"/>
      <c r="B80" s="42" t="s">
        <v>67</v>
      </c>
      <c r="C80" s="42" t="s">
        <v>67</v>
      </c>
      <c r="D80" s="42" t="s">
        <v>67</v>
      </c>
      <c r="E80" s="42" t="s">
        <v>67</v>
      </c>
      <c r="F80" s="42"/>
      <c r="G80" s="42"/>
      <c r="H80" s="42" t="s">
        <v>67</v>
      </c>
      <c r="I80" s="42" t="s">
        <v>67</v>
      </c>
      <c r="J80" s="42" t="s">
        <v>67</v>
      </c>
      <c r="K80" s="42" t="s">
        <v>67</v>
      </c>
      <c r="L80" s="42" t="s">
        <v>67</v>
      </c>
      <c r="M80" s="42" t="s">
        <v>67</v>
      </c>
      <c r="N80" s="42" t="s">
        <v>67</v>
      </c>
      <c r="O80" s="42"/>
      <c r="P80" s="627" t="s">
        <v>70</v>
      </c>
      <c r="Q80" s="35">
        <v>1.4E-2</v>
      </c>
      <c r="R80" s="35">
        <v>1.4E-2</v>
      </c>
      <c r="S80" s="34">
        <v>1.4E-2</v>
      </c>
      <c r="T80" s="34">
        <v>1.4E-2</v>
      </c>
      <c r="U80" s="35">
        <v>1.4E-2</v>
      </c>
      <c r="V80" s="35">
        <v>1.4E-2</v>
      </c>
      <c r="W80" s="35">
        <v>1.4E-2</v>
      </c>
      <c r="X80" s="35">
        <v>1.4E-2</v>
      </c>
      <c r="Y80" s="35">
        <v>1.4E-2</v>
      </c>
      <c r="Z80" s="35">
        <v>1.4E-2</v>
      </c>
      <c r="AA80" s="35">
        <v>1.4E-2</v>
      </c>
      <c r="AB80" s="35">
        <v>1.4E-2</v>
      </c>
      <c r="AC80" s="35">
        <v>1.4E-2</v>
      </c>
      <c r="AD80" s="35">
        <v>1.4E-2</v>
      </c>
      <c r="AE80" s="35">
        <v>1.4E-2</v>
      </c>
      <c r="AF80" s="35">
        <v>1.4E-2</v>
      </c>
      <c r="AG80" s="35">
        <v>1.4E-2</v>
      </c>
      <c r="AH80" s="35">
        <v>1.4E-2</v>
      </c>
      <c r="AI80" s="35">
        <v>1.4E-2</v>
      </c>
      <c r="AJ80" s="35">
        <v>1.4E-2</v>
      </c>
      <c r="AK80" s="35">
        <v>1.4E-2</v>
      </c>
      <c r="AL80" s="35">
        <v>1.4E-2</v>
      </c>
      <c r="AM80" s="35">
        <v>1.4E-2</v>
      </c>
      <c r="AN80" s="35">
        <v>1.4E-2</v>
      </c>
      <c r="AO80" s="35">
        <v>1.4E-2</v>
      </c>
      <c r="AP80" s="35">
        <v>1.4E-2</v>
      </c>
      <c r="AQ80" s="35">
        <v>1.4E-2</v>
      </c>
      <c r="AR80" s="35">
        <v>1.4E-2</v>
      </c>
      <c r="AS80" s="35">
        <v>1.4E-2</v>
      </c>
      <c r="AT80" s="35">
        <v>1.4E-2</v>
      </c>
      <c r="AU80" s="35">
        <v>1.4E-2</v>
      </c>
      <c r="AV80" s="35">
        <v>1.4E-2</v>
      </c>
      <c r="AW80" s="34">
        <v>1.4E-2</v>
      </c>
      <c r="AX80" s="35">
        <v>1.4500000000000001E-2</v>
      </c>
      <c r="AY80" s="35">
        <v>1.4500000000000001E-2</v>
      </c>
      <c r="AZ80" s="34">
        <v>1.4500000000000001E-2</v>
      </c>
      <c r="BA80" s="35">
        <v>1.4500000000000001E-2</v>
      </c>
      <c r="BB80" s="35">
        <v>1.4500000000000001E-2</v>
      </c>
      <c r="BC80" s="35">
        <v>1.4500000000000001E-2</v>
      </c>
      <c r="BD80" s="35">
        <v>1.4500000000000001E-2</v>
      </c>
      <c r="BE80" s="35">
        <v>1.4500000000000001E-2</v>
      </c>
      <c r="BF80" s="34">
        <v>1.4500000000000001E-2</v>
      </c>
      <c r="BG80" s="35">
        <v>1.6E-2</v>
      </c>
      <c r="BH80" s="35">
        <v>1.6E-2</v>
      </c>
      <c r="BI80" s="46">
        <v>1.6E-2</v>
      </c>
      <c r="BJ80" s="46">
        <v>1.6E-2</v>
      </c>
      <c r="BK80" s="46">
        <v>0.02</v>
      </c>
      <c r="BL80" s="46">
        <v>0.02</v>
      </c>
      <c r="BM80" s="46">
        <v>0.02</v>
      </c>
      <c r="BN80" s="46">
        <v>0.02</v>
      </c>
      <c r="BO80" s="46">
        <v>0.02</v>
      </c>
      <c r="BP80" s="46">
        <v>0.02</v>
      </c>
      <c r="BQ80" s="46">
        <v>0.02</v>
      </c>
      <c r="BR80" s="46">
        <v>0.02</v>
      </c>
      <c r="BS80" s="46">
        <v>2.1499999999999998E-2</v>
      </c>
      <c r="BT80" s="46">
        <v>2.1499999999999998E-2</v>
      </c>
      <c r="BU80" s="46">
        <v>2.1499999999999998E-2</v>
      </c>
      <c r="BV80" s="46">
        <v>2.1499999999999998E-2</v>
      </c>
      <c r="BW80" s="46">
        <v>2.3E-2</v>
      </c>
      <c r="BX80" s="46">
        <v>2.3E-2</v>
      </c>
      <c r="BY80" s="46">
        <v>2.3E-2</v>
      </c>
      <c r="BZ80" s="46">
        <v>2.3E-2</v>
      </c>
      <c r="CA80" s="46">
        <v>2.3E-2</v>
      </c>
      <c r="CB80" s="46">
        <v>2.3E-2</v>
      </c>
      <c r="CC80" s="46">
        <v>2.3E-2</v>
      </c>
      <c r="CD80" s="46">
        <v>2.3E-2</v>
      </c>
      <c r="CE80" s="46">
        <v>2.3E-2</v>
      </c>
      <c r="CF80" s="46">
        <v>1.8499999999999999E-2</v>
      </c>
      <c r="CG80" s="46">
        <v>1.8499999999999999E-2</v>
      </c>
      <c r="CH80" s="46">
        <v>1.8499999999999999E-2</v>
      </c>
      <c r="CI80" s="46">
        <v>1.8499999999999999E-2</v>
      </c>
      <c r="CJ80" s="46">
        <v>1.8499999999999999E-2</v>
      </c>
      <c r="CK80" s="46">
        <v>1.8499999999999999E-2</v>
      </c>
      <c r="CL80" s="46">
        <v>1.8499999999999999E-2</v>
      </c>
      <c r="CM80" s="46">
        <v>1.8499999999999999E-2</v>
      </c>
      <c r="CN80" s="46">
        <v>1.8499999999999999E-2</v>
      </c>
      <c r="CO80" s="46">
        <v>1.8499999999999999E-2</v>
      </c>
      <c r="CP80" s="46">
        <v>1.8499999999999999E-2</v>
      </c>
      <c r="CQ80" s="46">
        <v>1.9E-2</v>
      </c>
      <c r="CR80" s="46">
        <v>1.95E-2</v>
      </c>
      <c r="CS80" s="46">
        <v>1.95E-2</v>
      </c>
      <c r="CT80" s="46">
        <v>1.7000000000000001E-2</v>
      </c>
      <c r="CU80" s="46">
        <v>2.3E-2</v>
      </c>
      <c r="CV80" s="46">
        <v>2.3E-2</v>
      </c>
      <c r="CW80" s="46">
        <v>2.3E-2</v>
      </c>
      <c r="CX80" s="46">
        <v>2.3E-2</v>
      </c>
      <c r="CY80" s="46">
        <v>2.3E-2</v>
      </c>
      <c r="CZ80" s="46">
        <v>2.3E-2</v>
      </c>
      <c r="DA80" s="46">
        <v>2.3E-2</v>
      </c>
      <c r="DB80" s="46">
        <v>2.3E-2</v>
      </c>
      <c r="DC80" s="46">
        <v>2.3E-2</v>
      </c>
      <c r="DD80" s="46">
        <v>2.3E-2</v>
      </c>
      <c r="DE80" s="46">
        <v>2.3E-2</v>
      </c>
      <c r="DF80" s="46">
        <v>2.3E-2</v>
      </c>
      <c r="DG80" s="46">
        <v>2.3E-2</v>
      </c>
      <c r="DH80" s="46">
        <v>2.3E-2</v>
      </c>
      <c r="DI80" s="46">
        <v>2.3E-2</v>
      </c>
      <c r="DJ80" s="46">
        <v>2.3E-2</v>
      </c>
      <c r="DK80" s="46">
        <v>2.3E-2</v>
      </c>
      <c r="DL80" s="46">
        <v>2.3E-2</v>
      </c>
      <c r="DM80" s="46">
        <v>2.3E-2</v>
      </c>
      <c r="DN80" s="46">
        <v>2.3E-2</v>
      </c>
      <c r="DO80" s="46">
        <v>2.3E-2</v>
      </c>
      <c r="DP80" s="46">
        <v>2.3E-2</v>
      </c>
      <c r="DQ80" s="46">
        <v>2.3E-2</v>
      </c>
      <c r="DR80" s="46">
        <v>2.3E-2</v>
      </c>
      <c r="DS80" s="46">
        <v>2.3E-2</v>
      </c>
      <c r="DT80" s="46">
        <v>2.3E-2</v>
      </c>
      <c r="DU80" s="46">
        <v>2.3E-2</v>
      </c>
      <c r="DV80" s="46">
        <v>2.3E-2</v>
      </c>
      <c r="DW80" s="46">
        <v>2.3E-2</v>
      </c>
      <c r="DX80" s="46">
        <v>2.3E-2</v>
      </c>
      <c r="DY80" s="46">
        <v>2.3E-2</v>
      </c>
      <c r="DZ80" s="46">
        <v>2.3E-2</v>
      </c>
      <c r="EA80" s="46">
        <v>2.3E-2</v>
      </c>
      <c r="EB80" s="46">
        <v>2.3E-2</v>
      </c>
      <c r="EC80" s="46">
        <v>2.3E-2</v>
      </c>
      <c r="ED80" s="46">
        <v>2.3E-2</v>
      </c>
      <c r="EE80" s="46">
        <v>2.3E-2</v>
      </c>
      <c r="EF80" s="46">
        <v>2.3E-2</v>
      </c>
      <c r="EG80" s="46">
        <v>2.3E-2</v>
      </c>
      <c r="EH80" s="46">
        <v>2.3E-2</v>
      </c>
      <c r="EI80" s="46">
        <v>2.3E-2</v>
      </c>
      <c r="EJ80" s="46">
        <v>2.3E-2</v>
      </c>
      <c r="EK80" s="46">
        <v>2.3E-2</v>
      </c>
      <c r="EL80" s="46">
        <v>2.3E-2</v>
      </c>
      <c r="EM80" s="46">
        <v>2.3E-2</v>
      </c>
      <c r="EN80" s="46">
        <v>2.3E-2</v>
      </c>
      <c r="EO80" s="46">
        <v>2.3E-2</v>
      </c>
      <c r="EP80" s="46">
        <v>2.3E-2</v>
      </c>
      <c r="EQ80" s="46">
        <v>2.3E-2</v>
      </c>
      <c r="ER80" s="46">
        <v>2.3E-2</v>
      </c>
      <c r="ES80" s="46">
        <v>2.3E-2</v>
      </c>
      <c r="ET80" s="46">
        <v>2.3E-2</v>
      </c>
      <c r="EU80" s="46">
        <v>2.35E-2</v>
      </c>
      <c r="EV80" s="46">
        <v>2.35E-2</v>
      </c>
      <c r="EW80" s="46">
        <v>2.35E-2</v>
      </c>
      <c r="EX80" s="46">
        <v>2.35E-2</v>
      </c>
      <c r="EY80" s="46">
        <v>2.35E-2</v>
      </c>
      <c r="EZ80" s="46">
        <v>2.35E-2</v>
      </c>
      <c r="FA80" s="46">
        <v>2.35E-2</v>
      </c>
      <c r="FB80" s="46">
        <v>2.35E-2</v>
      </c>
      <c r="FC80" s="46">
        <v>2.35E-2</v>
      </c>
      <c r="FD80" s="46">
        <v>2.35E-2</v>
      </c>
      <c r="FE80" s="46">
        <v>2.35E-2</v>
      </c>
      <c r="FF80" s="45">
        <v>2.35E-2</v>
      </c>
      <c r="FG80" s="44">
        <v>2.4E-2</v>
      </c>
      <c r="FH80" s="44">
        <v>2.4500000000000001E-2</v>
      </c>
      <c r="FI80" s="44">
        <v>2.4500000000000001E-2</v>
      </c>
      <c r="FJ80" s="44">
        <v>2.4500000000000001E-2</v>
      </c>
      <c r="FK80" s="44">
        <v>2.4500000000000001E-2</v>
      </c>
      <c r="FL80" s="44">
        <v>2.4500000000000001E-2</v>
      </c>
      <c r="FM80" s="44">
        <v>2.4500000000000001E-2</v>
      </c>
      <c r="FN80" s="44">
        <v>2.4500000000000001E-2</v>
      </c>
      <c r="FO80" s="44">
        <v>2.4500000000000001E-2</v>
      </c>
      <c r="FP80" s="44">
        <v>2.4500000000000001E-2</v>
      </c>
      <c r="FQ80" s="44">
        <v>2.4500000000000001E-2</v>
      </c>
      <c r="FR80" s="44">
        <v>2.35E-2</v>
      </c>
      <c r="FS80" s="44">
        <v>2.35E-2</v>
      </c>
      <c r="FT80" s="44">
        <v>2.35E-2</v>
      </c>
      <c r="FU80" s="44">
        <v>2.35E-2</v>
      </c>
      <c r="FV80" s="44">
        <v>2.35E-2</v>
      </c>
      <c r="FW80" s="44">
        <v>2.35E-2</v>
      </c>
      <c r="FX80" s="44">
        <v>2.35E-2</v>
      </c>
      <c r="FY80" s="44">
        <v>2.35E-2</v>
      </c>
      <c r="FZ80" s="44">
        <v>2.35E-2</v>
      </c>
      <c r="GA80" s="44">
        <v>2.35E-2</v>
      </c>
      <c r="GB80" s="44">
        <v>2.35E-2</v>
      </c>
      <c r="GC80" s="44">
        <v>2.35E-2</v>
      </c>
      <c r="GD80" s="44">
        <v>2.35E-2</v>
      </c>
      <c r="GE80" s="44">
        <v>2.35E-2</v>
      </c>
      <c r="GF80" s="44">
        <v>2.35E-2</v>
      </c>
      <c r="GG80" s="44">
        <v>2.35E-2</v>
      </c>
      <c r="GH80" s="44">
        <v>2.35E-2</v>
      </c>
      <c r="GI80" s="44">
        <v>2.35E-2</v>
      </c>
      <c r="GJ80" s="44">
        <v>2.35E-2</v>
      </c>
      <c r="GK80" s="44">
        <v>2.35E-2</v>
      </c>
      <c r="GL80" s="44">
        <v>2.35E-2</v>
      </c>
      <c r="GM80" s="44">
        <v>2.35E-2</v>
      </c>
      <c r="GN80" s="44">
        <v>2.35E-2</v>
      </c>
      <c r="GO80" s="44">
        <v>2.35E-2</v>
      </c>
      <c r="GP80" s="44">
        <v>2.35E-2</v>
      </c>
      <c r="GQ80" s="44">
        <v>2.35E-2</v>
      </c>
      <c r="GR80" s="44">
        <v>2.35E-2</v>
      </c>
      <c r="GS80" s="43">
        <v>2.35E-2</v>
      </c>
      <c r="GT80" s="43">
        <v>2.5000000000000001E-2</v>
      </c>
      <c r="GU80" s="43">
        <v>2.5000000000000001E-2</v>
      </c>
      <c r="GV80" s="43">
        <v>2.5000000000000001E-2</v>
      </c>
      <c r="GW80" s="42" t="s">
        <v>69</v>
      </c>
      <c r="GX80" s="42" t="s">
        <v>69</v>
      </c>
      <c r="GY80" s="42" t="s">
        <v>69</v>
      </c>
      <c r="GZ80" s="42" t="s">
        <v>69</v>
      </c>
      <c r="HA80" s="42" t="s">
        <v>68</v>
      </c>
      <c r="HB80" s="42" t="s">
        <v>68</v>
      </c>
      <c r="HC80" s="42" t="s">
        <v>68</v>
      </c>
      <c r="HD80" s="42" t="s">
        <v>68</v>
      </c>
      <c r="HE80" s="42" t="s">
        <v>68</v>
      </c>
      <c r="HF80" s="42" t="s">
        <v>68</v>
      </c>
      <c r="HG80" s="42" t="s">
        <v>68</v>
      </c>
      <c r="HH80" s="42" t="s">
        <v>68</v>
      </c>
      <c r="HI80" s="42" t="s">
        <v>68</v>
      </c>
      <c r="HJ80" s="42" t="s">
        <v>67</v>
      </c>
      <c r="HK80" s="42" t="s">
        <v>67</v>
      </c>
      <c r="HL80" s="41">
        <f t="shared" si="31"/>
        <v>-4.0000000000000001E-3</v>
      </c>
      <c r="HM80" s="77" t="s">
        <v>67</v>
      </c>
      <c r="HN80" s="77" t="s">
        <v>67</v>
      </c>
      <c r="HO80" s="77" t="s">
        <v>67</v>
      </c>
      <c r="HP80" s="56">
        <v>0</v>
      </c>
      <c r="HQ80" s="55"/>
      <c r="LN80" s="473">
        <f>Q80-R80</f>
        <v>0</v>
      </c>
    </row>
    <row r="81" spans="1:326">
      <c r="A81" s="1164"/>
      <c r="B81" s="42"/>
      <c r="C81" s="42"/>
      <c r="D81" s="42"/>
      <c r="E81" s="42"/>
      <c r="F81" s="42"/>
      <c r="G81" s="42"/>
      <c r="H81" s="42"/>
      <c r="I81" s="42"/>
      <c r="J81" s="42"/>
      <c r="K81" s="42"/>
      <c r="L81" s="42"/>
      <c r="M81" s="42"/>
      <c r="N81" s="42"/>
      <c r="O81" s="42"/>
      <c r="P81" s="627" t="s">
        <v>66</v>
      </c>
      <c r="Q81" s="47">
        <v>1.4999999999999999E-2</v>
      </c>
      <c r="R81" s="47">
        <v>1.4999999999999999E-2</v>
      </c>
      <c r="S81" s="48">
        <v>1.4999999999999999E-2</v>
      </c>
      <c r="T81" s="48">
        <v>1.4999999999999999E-2</v>
      </c>
      <c r="U81" s="47">
        <v>1.4999999999999999E-2</v>
      </c>
      <c r="V81" s="47">
        <v>1.4999999999999999E-2</v>
      </c>
      <c r="W81" s="47">
        <v>1.4999999999999999E-2</v>
      </c>
      <c r="X81" s="47">
        <v>1.4999999999999999E-2</v>
      </c>
      <c r="Y81" s="47">
        <v>1.4999999999999999E-2</v>
      </c>
      <c r="Z81" s="47">
        <v>1.4999999999999999E-2</v>
      </c>
      <c r="AA81" s="47">
        <v>1.4999999999999999E-2</v>
      </c>
      <c r="AB81" s="47">
        <v>1.4999999999999999E-2</v>
      </c>
      <c r="AC81" s="47">
        <v>1.4999999999999999E-2</v>
      </c>
      <c r="AD81" s="47">
        <v>1.4999999999999999E-2</v>
      </c>
      <c r="AE81" s="47">
        <v>1.4999999999999999E-2</v>
      </c>
      <c r="AF81" s="47">
        <v>1.4999999999999999E-2</v>
      </c>
      <c r="AG81" s="47">
        <v>1.4999999999999999E-2</v>
      </c>
      <c r="AH81" s="47">
        <v>1.4999999999999999E-2</v>
      </c>
      <c r="AI81" s="47">
        <v>1.4999999999999999E-2</v>
      </c>
      <c r="AJ81" s="47">
        <v>1.4999999999999999E-2</v>
      </c>
      <c r="AK81" s="47">
        <v>1.4999999999999999E-2</v>
      </c>
      <c r="AL81" s="47">
        <v>1.4999999999999999E-2</v>
      </c>
      <c r="AM81" s="47">
        <v>1.4999999999999999E-2</v>
      </c>
      <c r="AN81" s="47">
        <v>1.4999999999999999E-2</v>
      </c>
      <c r="AO81" s="47">
        <v>1.4999999999999999E-2</v>
      </c>
      <c r="AP81" s="47">
        <v>1.4999999999999999E-2</v>
      </c>
      <c r="AQ81" s="47">
        <v>1.4999999999999999E-2</v>
      </c>
      <c r="AR81" s="47">
        <v>1.4999999999999999E-2</v>
      </c>
      <c r="AS81" s="47">
        <v>1.4999999999999999E-2</v>
      </c>
      <c r="AT81" s="47">
        <v>1.4999999999999999E-2</v>
      </c>
      <c r="AU81" s="47">
        <v>1.4999999999999999E-2</v>
      </c>
      <c r="AV81" s="47">
        <v>1.4999999999999999E-2</v>
      </c>
      <c r="AW81" s="48">
        <v>1.4999999999999999E-2</v>
      </c>
      <c r="AX81" s="47">
        <v>1.55E-2</v>
      </c>
      <c r="AY81" s="47">
        <v>1.55E-2</v>
      </c>
      <c r="AZ81" s="48">
        <v>1.55E-2</v>
      </c>
      <c r="BA81" s="47">
        <v>1.55E-2</v>
      </c>
      <c r="BB81" s="47">
        <v>1.55E-2</v>
      </c>
      <c r="BC81" s="47">
        <v>1.55E-2</v>
      </c>
      <c r="BD81" s="47">
        <v>1.55E-2</v>
      </c>
      <c r="BE81" s="47">
        <v>1.55E-2</v>
      </c>
      <c r="BF81" s="48">
        <v>1.55E-2</v>
      </c>
      <c r="BG81" s="47">
        <v>1.7000000000000001E-2</v>
      </c>
      <c r="BH81" s="47">
        <v>1.7000000000000001E-2</v>
      </c>
      <c r="BI81" s="44">
        <v>1.7000000000000001E-2</v>
      </c>
      <c r="BJ81" s="44">
        <v>1.7000000000000001E-2</v>
      </c>
      <c r="BK81" s="44">
        <v>2.1000000000000001E-2</v>
      </c>
      <c r="BL81" s="44">
        <v>2.1000000000000001E-2</v>
      </c>
      <c r="BM81" s="44">
        <v>2.1000000000000001E-2</v>
      </c>
      <c r="BN81" s="44">
        <v>2.1000000000000001E-2</v>
      </c>
      <c r="BO81" s="44">
        <v>2.1000000000000001E-2</v>
      </c>
      <c r="BP81" s="44">
        <v>2.1000000000000001E-2</v>
      </c>
      <c r="BQ81" s="44">
        <v>2.1000000000000001E-2</v>
      </c>
      <c r="BR81" s="44">
        <v>2.1000000000000001E-2</v>
      </c>
      <c r="BS81" s="44">
        <v>2.1999999999999999E-2</v>
      </c>
      <c r="BT81" s="44">
        <v>2.1999999999999999E-2</v>
      </c>
      <c r="BU81" s="44">
        <v>2.1999999999999999E-2</v>
      </c>
      <c r="BV81" s="44">
        <v>2.1999999999999999E-2</v>
      </c>
      <c r="BW81" s="44">
        <v>2.4E-2</v>
      </c>
      <c r="BX81" s="44">
        <v>2.4E-2</v>
      </c>
      <c r="BY81" s="44">
        <v>2.4E-2</v>
      </c>
      <c r="BZ81" s="44">
        <v>2.4E-2</v>
      </c>
      <c r="CA81" s="44">
        <v>2.4E-2</v>
      </c>
      <c r="CB81" s="44">
        <v>2.4E-2</v>
      </c>
      <c r="CC81" s="44">
        <v>2.4E-2</v>
      </c>
      <c r="CD81" s="44">
        <v>2.4E-2</v>
      </c>
      <c r="CE81" s="44">
        <v>2.4E-2</v>
      </c>
      <c r="CF81" s="44">
        <v>1.9E-2</v>
      </c>
      <c r="CG81" s="44">
        <v>1.9E-2</v>
      </c>
      <c r="CH81" s="44">
        <v>1.9E-2</v>
      </c>
      <c r="CI81" s="44">
        <v>1.9E-2</v>
      </c>
      <c r="CJ81" s="44">
        <v>1.9E-2</v>
      </c>
      <c r="CK81" s="44">
        <v>1.9E-2</v>
      </c>
      <c r="CL81" s="44">
        <v>1.9E-2</v>
      </c>
      <c r="CM81" s="44">
        <v>1.9E-2</v>
      </c>
      <c r="CN81" s="44">
        <v>1.9E-2</v>
      </c>
      <c r="CO81" s="44">
        <v>1.9E-2</v>
      </c>
      <c r="CP81" s="44">
        <v>1.9E-2</v>
      </c>
      <c r="CQ81" s="44">
        <v>1.95E-2</v>
      </c>
      <c r="CR81" s="44">
        <v>0.02</v>
      </c>
      <c r="CS81" s="44">
        <v>0.02</v>
      </c>
      <c r="CT81" s="44">
        <v>1.7500000000000002E-2</v>
      </c>
      <c r="CU81" s="44">
        <v>2.35E-2</v>
      </c>
      <c r="CV81" s="44">
        <v>2.35E-2</v>
      </c>
      <c r="CW81" s="44">
        <v>2.35E-2</v>
      </c>
      <c r="CX81" s="44">
        <v>2.35E-2</v>
      </c>
      <c r="CY81" s="44">
        <v>2.35E-2</v>
      </c>
      <c r="CZ81" s="44">
        <v>2.35E-2</v>
      </c>
      <c r="DA81" s="44">
        <v>2.35E-2</v>
      </c>
      <c r="DB81" s="44">
        <v>2.35E-2</v>
      </c>
      <c r="DC81" s="44">
        <v>2.35E-2</v>
      </c>
      <c r="DD81" s="44">
        <v>2.35E-2</v>
      </c>
      <c r="DE81" s="44">
        <v>2.35E-2</v>
      </c>
      <c r="DF81" s="44">
        <v>2.35E-2</v>
      </c>
      <c r="DG81" s="44">
        <v>2.35E-2</v>
      </c>
      <c r="DH81" s="44">
        <v>2.35E-2</v>
      </c>
      <c r="DI81" s="44">
        <v>2.35E-2</v>
      </c>
      <c r="DJ81" s="44">
        <v>2.35E-2</v>
      </c>
      <c r="DK81" s="44">
        <v>2.35E-2</v>
      </c>
      <c r="DL81" s="44">
        <v>2.35E-2</v>
      </c>
      <c r="DM81" s="44">
        <v>2.35E-2</v>
      </c>
      <c r="DN81" s="44">
        <v>2.35E-2</v>
      </c>
      <c r="DO81" s="44">
        <v>2.35E-2</v>
      </c>
      <c r="DP81" s="44">
        <v>2.35E-2</v>
      </c>
      <c r="DQ81" s="44">
        <v>2.35E-2</v>
      </c>
      <c r="DR81" s="44">
        <v>2.35E-2</v>
      </c>
      <c r="DS81" s="45">
        <v>2.35E-2</v>
      </c>
      <c r="DT81" s="46">
        <v>2.3E-2</v>
      </c>
      <c r="DU81" s="46"/>
      <c r="DV81" s="46"/>
      <c r="DW81" s="46"/>
      <c r="DX81" s="46"/>
      <c r="DY81" s="46"/>
      <c r="DZ81" s="46"/>
      <c r="EA81" s="46"/>
      <c r="EB81" s="46"/>
      <c r="EC81" s="46"/>
      <c r="ED81" s="46"/>
      <c r="EE81" s="46"/>
      <c r="EF81" s="46"/>
      <c r="EG81" s="46"/>
      <c r="EH81" s="46"/>
      <c r="EI81" s="46"/>
      <c r="EJ81" s="46"/>
      <c r="EK81" s="46"/>
      <c r="EL81" s="46"/>
      <c r="EM81" s="46"/>
      <c r="EN81" s="46"/>
      <c r="EO81" s="46"/>
      <c r="EP81" s="46"/>
      <c r="EQ81" s="46"/>
      <c r="ER81" s="46"/>
      <c r="ES81" s="46"/>
      <c r="ET81" s="46"/>
      <c r="EU81" s="46"/>
      <c r="EV81" s="46"/>
      <c r="EW81" s="46"/>
      <c r="EX81" s="46"/>
      <c r="EY81" s="46"/>
      <c r="EZ81" s="46"/>
      <c r="FA81" s="46"/>
      <c r="FB81" s="46"/>
      <c r="FC81" s="46"/>
      <c r="FD81" s="46"/>
      <c r="FE81" s="46"/>
      <c r="FF81" s="45"/>
      <c r="FG81" s="44"/>
      <c r="FH81" s="44"/>
      <c r="FI81" s="44"/>
      <c r="FJ81" s="44"/>
      <c r="FK81" s="44"/>
      <c r="FL81" s="44"/>
      <c r="FM81" s="44"/>
      <c r="FN81" s="44"/>
      <c r="FO81" s="44"/>
      <c r="FP81" s="44"/>
      <c r="FQ81" s="44"/>
      <c r="FR81" s="44"/>
      <c r="FS81" s="44"/>
      <c r="FT81" s="44"/>
      <c r="FU81" s="44"/>
      <c r="FV81" s="44"/>
      <c r="FW81" s="44"/>
      <c r="FX81" s="44"/>
      <c r="FY81" s="44"/>
      <c r="FZ81" s="44"/>
      <c r="GA81" s="44"/>
      <c r="GB81" s="44"/>
      <c r="GC81" s="44"/>
      <c r="GD81" s="44"/>
      <c r="GE81" s="44"/>
      <c r="GF81" s="44"/>
      <c r="GG81" s="44"/>
      <c r="GH81" s="44"/>
      <c r="GI81" s="44"/>
      <c r="GJ81" s="44"/>
      <c r="GK81" s="44"/>
      <c r="GL81" s="44"/>
      <c r="GM81" s="44"/>
      <c r="GN81" s="44"/>
      <c r="GO81" s="44"/>
      <c r="GP81" s="44"/>
      <c r="GQ81" s="44"/>
      <c r="GR81" s="44"/>
      <c r="GS81" s="43"/>
      <c r="GT81" s="43"/>
      <c r="GU81" s="43"/>
      <c r="GV81" s="43"/>
      <c r="GW81" s="42"/>
      <c r="GX81" s="42"/>
      <c r="GY81" s="42"/>
      <c r="GZ81" s="42"/>
      <c r="HA81" s="42"/>
      <c r="HB81" s="42"/>
      <c r="HC81" s="42"/>
      <c r="HD81" s="42"/>
      <c r="HE81" s="42"/>
      <c r="HF81" s="42"/>
      <c r="HG81" s="42"/>
      <c r="HH81" s="42"/>
      <c r="HI81" s="42"/>
      <c r="HJ81" s="42"/>
      <c r="HK81" s="42"/>
      <c r="HL81" s="41">
        <f t="shared" si="31"/>
        <v>-4.0000000000000001E-3</v>
      </c>
      <c r="HM81" s="78"/>
      <c r="HN81" s="77"/>
      <c r="HO81" s="77"/>
      <c r="HP81" s="56"/>
      <c r="HQ81" s="76"/>
      <c r="LN81" s="473">
        <f>Q81-R81</f>
        <v>0</v>
      </c>
    </row>
    <row r="82" spans="1:326">
      <c r="A82" s="75"/>
      <c r="B82" s="74"/>
      <c r="C82" s="74"/>
      <c r="D82" s="74"/>
      <c r="E82" s="74"/>
      <c r="F82" s="74"/>
      <c r="G82" s="74"/>
      <c r="H82" s="74"/>
      <c r="I82" s="74"/>
      <c r="J82" s="74"/>
      <c r="K82" s="74"/>
      <c r="L82" s="74"/>
      <c r="M82" s="74"/>
      <c r="N82" s="74"/>
      <c r="O82" s="74"/>
      <c r="P82" s="628"/>
      <c r="Q82" s="628"/>
      <c r="R82" s="628"/>
      <c r="S82" s="628"/>
      <c r="T82" s="628"/>
      <c r="U82" s="628"/>
      <c r="V82" s="628"/>
      <c r="W82" s="628"/>
      <c r="X82" s="628"/>
      <c r="Y82" s="628"/>
      <c r="Z82" s="628"/>
      <c r="AA82" s="628"/>
      <c r="AB82" s="628"/>
      <c r="AC82" s="628"/>
      <c r="AD82" s="628"/>
      <c r="AE82" s="628"/>
      <c r="AF82" s="628"/>
      <c r="AG82" s="74"/>
      <c r="AH82" s="74"/>
      <c r="AI82" s="74"/>
      <c r="AJ82" s="74"/>
      <c r="AK82" s="74"/>
      <c r="AL82" s="74"/>
      <c r="AM82" s="74"/>
      <c r="AN82" s="74"/>
      <c r="AO82" s="74"/>
      <c r="AP82" s="74"/>
      <c r="AQ82" s="74"/>
      <c r="AR82" s="74"/>
      <c r="AS82" s="74"/>
      <c r="AT82" s="74"/>
      <c r="AU82" s="74"/>
      <c r="AV82" s="74"/>
      <c r="AW82" s="74"/>
      <c r="AX82" s="74"/>
      <c r="AY82" s="74"/>
      <c r="AZ82" s="74"/>
      <c r="BA82" s="74"/>
      <c r="BB82" s="74"/>
      <c r="BC82" s="74"/>
      <c r="BD82" s="74"/>
      <c r="BE82" s="74"/>
      <c r="BF82" s="74"/>
      <c r="BG82" s="74"/>
      <c r="BH82" s="74"/>
      <c r="BI82" s="74"/>
      <c r="BJ82" s="74"/>
      <c r="BK82" s="74"/>
      <c r="BL82" s="74"/>
      <c r="BM82" s="74"/>
      <c r="BN82" s="74"/>
      <c r="BO82" s="74"/>
      <c r="BP82" s="74"/>
      <c r="BQ82" s="74"/>
      <c r="BR82" s="74"/>
      <c r="BS82" s="74"/>
      <c r="BT82" s="74"/>
      <c r="BU82" s="74"/>
      <c r="BV82" s="74"/>
      <c r="BW82" s="74"/>
      <c r="BX82" s="74"/>
      <c r="BY82" s="74"/>
      <c r="BZ82" s="74"/>
      <c r="CA82" s="74"/>
      <c r="CB82" s="74"/>
      <c r="CC82" s="74"/>
      <c r="CD82" s="74"/>
      <c r="CE82" s="74"/>
      <c r="CF82" s="74"/>
      <c r="CG82" s="74"/>
      <c r="CH82" s="74"/>
      <c r="CI82" s="74"/>
      <c r="CJ82" s="74"/>
      <c r="CK82" s="74"/>
      <c r="CL82" s="74"/>
      <c r="CM82" s="74"/>
      <c r="CN82" s="74"/>
      <c r="CO82" s="74"/>
      <c r="CP82" s="74"/>
      <c r="CQ82" s="74"/>
      <c r="CR82" s="74"/>
      <c r="CS82" s="74"/>
      <c r="CT82" s="74"/>
      <c r="CU82" s="74"/>
      <c r="CV82" s="74"/>
      <c r="CW82" s="74"/>
      <c r="CX82" s="74"/>
      <c r="CY82" s="74"/>
      <c r="CZ82" s="74"/>
      <c r="DA82" s="74"/>
      <c r="DB82" s="74"/>
      <c r="DC82" s="74"/>
      <c r="DD82" s="74"/>
      <c r="DE82" s="74"/>
      <c r="DF82" s="74"/>
      <c r="DG82" s="74"/>
      <c r="DH82" s="74"/>
      <c r="DI82" s="74"/>
      <c r="DJ82" s="74"/>
      <c r="DK82" s="74"/>
      <c r="DL82" s="74"/>
      <c r="DM82" s="74"/>
      <c r="DN82" s="74"/>
      <c r="DO82" s="74"/>
      <c r="DP82" s="74"/>
      <c r="DQ82" s="74"/>
      <c r="DR82" s="74"/>
      <c r="DS82" s="74"/>
      <c r="DT82" s="74"/>
      <c r="DU82" s="74"/>
      <c r="DV82" s="74"/>
      <c r="DW82" s="74"/>
      <c r="DX82" s="74"/>
      <c r="DY82" s="74"/>
      <c r="DZ82" s="74"/>
      <c r="EA82" s="74"/>
      <c r="EB82" s="74"/>
      <c r="EC82" s="74"/>
      <c r="ED82" s="74"/>
      <c r="EE82" s="74"/>
      <c r="EF82" s="74"/>
      <c r="EG82" s="74"/>
      <c r="EH82" s="74"/>
      <c r="EI82" s="74"/>
      <c r="EJ82" s="74"/>
      <c r="EK82" s="74"/>
      <c r="EL82" s="74"/>
      <c r="EM82" s="74"/>
      <c r="EN82" s="74"/>
      <c r="EO82" s="74"/>
      <c r="EP82" s="74"/>
      <c r="EQ82" s="74"/>
      <c r="ER82" s="74"/>
      <c r="ES82" s="74"/>
      <c r="ET82" s="74"/>
      <c r="EU82" s="74"/>
      <c r="EV82" s="74"/>
      <c r="EW82" s="74"/>
      <c r="EX82" s="74"/>
      <c r="EY82" s="74"/>
      <c r="EZ82" s="74"/>
      <c r="FA82" s="74"/>
      <c r="FB82" s="74"/>
      <c r="FC82" s="74"/>
      <c r="FD82" s="74"/>
      <c r="FE82" s="74"/>
      <c r="FF82" s="74"/>
      <c r="FG82" s="74"/>
      <c r="FH82" s="74"/>
      <c r="FI82" s="74"/>
      <c r="FJ82" s="74"/>
      <c r="FK82" s="74"/>
      <c r="FL82" s="74"/>
      <c r="FM82" s="74"/>
      <c r="FN82" s="74"/>
      <c r="FO82" s="74"/>
      <c r="FP82" s="74"/>
      <c r="FQ82" s="74"/>
      <c r="FR82" s="74"/>
      <c r="FS82" s="74"/>
      <c r="FT82" s="74"/>
      <c r="FU82" s="74"/>
      <c r="FV82" s="74"/>
      <c r="FW82" s="74"/>
      <c r="FX82" s="74"/>
      <c r="FY82" s="74"/>
      <c r="FZ82" s="74"/>
      <c r="GA82" s="74"/>
      <c r="GB82" s="74"/>
      <c r="GC82" s="74"/>
      <c r="GD82" s="74"/>
      <c r="GE82" s="74"/>
      <c r="GF82" s="74"/>
      <c r="GG82" s="74"/>
      <c r="GH82" s="74"/>
      <c r="GI82" s="74"/>
      <c r="GJ82" s="74"/>
      <c r="GK82" s="74"/>
      <c r="GL82" s="74"/>
      <c r="GM82" s="74"/>
      <c r="GN82" s="74"/>
      <c r="GO82" s="74"/>
      <c r="GP82" s="74"/>
      <c r="GQ82" s="74"/>
      <c r="GR82" s="74"/>
      <c r="GS82" s="74"/>
      <c r="GT82" s="74"/>
      <c r="GU82" s="74"/>
      <c r="GV82" s="74"/>
      <c r="GW82" s="74"/>
      <c r="GX82" s="74"/>
      <c r="GY82" s="74"/>
      <c r="GZ82" s="74"/>
      <c r="HA82" s="74"/>
      <c r="HB82" s="74"/>
      <c r="HC82" s="74"/>
      <c r="HD82" s="74"/>
      <c r="HE82" s="74"/>
      <c r="HF82" s="74"/>
      <c r="HG82" s="74"/>
      <c r="HH82" s="74"/>
      <c r="HI82" s="74"/>
      <c r="HJ82" s="74"/>
      <c r="HK82" s="74"/>
      <c r="HL82" s="74"/>
      <c r="HM82" s="74"/>
      <c r="HN82" s="74"/>
      <c r="HO82" s="74"/>
      <c r="HP82" s="74"/>
      <c r="HQ82" s="74"/>
      <c r="HR82" s="74"/>
      <c r="HS82" s="74"/>
      <c r="HT82" s="74"/>
      <c r="HU82" s="74"/>
      <c r="HV82" s="74"/>
      <c r="HW82" s="74"/>
      <c r="HX82" s="74"/>
      <c r="HY82" s="74"/>
      <c r="HZ82" s="74"/>
      <c r="IA82" s="74"/>
      <c r="IB82" s="74"/>
      <c r="IC82" s="74"/>
      <c r="ID82" s="74"/>
      <c r="IE82" s="74"/>
      <c r="IF82" s="74"/>
      <c r="IG82" s="74"/>
      <c r="IH82" s="74"/>
      <c r="II82" s="74"/>
      <c r="IJ82" s="74"/>
      <c r="IK82" s="74"/>
      <c r="IL82" s="74"/>
      <c r="IM82" s="74"/>
      <c r="IN82" s="74"/>
      <c r="IO82" s="74"/>
      <c r="IP82" s="74"/>
      <c r="IQ82" s="74"/>
      <c r="IR82" s="74"/>
      <c r="IS82" s="74"/>
      <c r="IT82" s="74"/>
      <c r="IU82" s="74"/>
      <c r="IV82" s="74"/>
      <c r="IW82" s="74"/>
      <c r="IX82" s="74"/>
      <c r="IY82" s="74"/>
      <c r="IZ82" s="74"/>
      <c r="JA82" s="74"/>
      <c r="JB82" s="74"/>
      <c r="JC82" s="74"/>
      <c r="JD82" s="74"/>
      <c r="JE82" s="74"/>
      <c r="JF82" s="74"/>
      <c r="JG82" s="74"/>
      <c r="JH82" s="74"/>
      <c r="JI82" s="74"/>
      <c r="JJ82" s="74"/>
      <c r="JK82" s="74"/>
      <c r="JL82" s="74"/>
      <c r="JM82" s="74"/>
      <c r="JN82" s="74"/>
      <c r="JO82" s="74"/>
      <c r="JP82" s="74"/>
      <c r="JQ82" s="74"/>
      <c r="JR82" s="74"/>
      <c r="JS82" s="74"/>
      <c r="JT82" s="74"/>
      <c r="JU82" s="74"/>
      <c r="JV82" s="74"/>
      <c r="JW82" s="74"/>
      <c r="JX82" s="74"/>
      <c r="JY82" s="74"/>
      <c r="JZ82" s="74"/>
      <c r="KA82" s="74"/>
      <c r="KB82" s="74"/>
      <c r="KC82" s="74"/>
      <c r="KD82" s="74"/>
      <c r="KE82" s="74"/>
      <c r="KF82" s="74"/>
      <c r="KG82" s="74"/>
      <c r="KH82" s="74"/>
      <c r="KI82" s="74"/>
      <c r="KJ82" s="74"/>
      <c r="KK82" s="74"/>
      <c r="KL82" s="74"/>
      <c r="KM82" s="74"/>
      <c r="KN82" s="74"/>
      <c r="KO82" s="74"/>
      <c r="KP82" s="74"/>
      <c r="KQ82" s="74"/>
      <c r="KR82" s="74"/>
      <c r="KS82" s="74"/>
      <c r="KT82" s="74"/>
      <c r="KU82" s="74"/>
      <c r="KV82" s="74"/>
      <c r="KW82" s="74"/>
      <c r="KX82" s="74"/>
      <c r="KY82" s="74"/>
      <c r="KZ82" s="74"/>
      <c r="LA82" s="74"/>
      <c r="LB82" s="74"/>
      <c r="LC82" s="74"/>
      <c r="LD82" s="74"/>
      <c r="LE82" s="74"/>
      <c r="LF82" s="74"/>
      <c r="LG82" s="74"/>
      <c r="LH82" s="74"/>
      <c r="LI82" s="74"/>
      <c r="LJ82" s="74"/>
      <c r="LK82" s="74"/>
      <c r="LL82" s="74"/>
      <c r="LM82" s="74"/>
      <c r="LN82" s="74"/>
    </row>
    <row r="83" spans="1:326" ht="15.6">
      <c r="A83" s="72" t="s">
        <v>122</v>
      </c>
      <c r="B83" s="71"/>
      <c r="C83" s="71"/>
      <c r="D83" s="71"/>
      <c r="E83" s="71"/>
      <c r="F83" s="71"/>
      <c r="G83" s="71"/>
      <c r="H83" s="71"/>
      <c r="I83" s="71"/>
      <c r="J83" s="71"/>
      <c r="K83" s="71"/>
      <c r="L83" s="71"/>
      <c r="M83" s="71"/>
      <c r="N83" s="71"/>
      <c r="O83" s="1176">
        <f>O48</f>
        <v>46099</v>
      </c>
      <c r="P83" s="1177"/>
      <c r="Q83" s="1177"/>
      <c r="R83" s="1177"/>
      <c r="S83" s="1177"/>
      <c r="T83" s="1177"/>
      <c r="U83" s="1177"/>
      <c r="V83" s="1177"/>
      <c r="W83" s="1177"/>
      <c r="X83" s="1177"/>
      <c r="Y83" s="1177"/>
      <c r="Z83" s="1177"/>
      <c r="AA83" s="1177"/>
      <c r="AB83" s="1177"/>
      <c r="AC83" s="1177"/>
      <c r="AD83" s="1177"/>
      <c r="AE83" s="1177"/>
      <c r="AF83" s="1177"/>
      <c r="AG83" s="1177"/>
      <c r="AH83" s="1177"/>
      <c r="AI83" s="1177"/>
      <c r="AJ83" s="1177"/>
      <c r="AK83" s="1177"/>
      <c r="AL83" s="1177"/>
      <c r="AM83" s="1177"/>
      <c r="AN83" s="1177"/>
      <c r="AO83" s="1177"/>
      <c r="AP83" s="1177"/>
      <c r="AQ83" s="1177"/>
      <c r="AR83" s="1177"/>
      <c r="AS83" s="1177"/>
      <c r="AT83" s="1177"/>
      <c r="AU83" s="1177"/>
      <c r="AV83" s="1177"/>
      <c r="AW83" s="1177"/>
      <c r="AX83" s="1177"/>
      <c r="AY83" s="1177"/>
      <c r="AZ83" s="1177"/>
      <c r="BA83" s="1177"/>
      <c r="BB83" s="1177"/>
      <c r="BC83" s="1177"/>
      <c r="BD83" s="1177"/>
      <c r="BE83" s="1177"/>
      <c r="BF83" s="1177"/>
      <c r="BG83" s="1177"/>
      <c r="BH83" s="1177"/>
      <c r="BI83" s="1177"/>
      <c r="BJ83" s="1177"/>
      <c r="BK83" s="1177"/>
      <c r="BL83" s="1177"/>
      <c r="BM83" s="1177"/>
      <c r="BN83" s="1177"/>
      <c r="BO83" s="1177"/>
      <c r="BP83" s="1177"/>
      <c r="BQ83" s="1177"/>
      <c r="BR83" s="1177"/>
      <c r="BS83" s="1177"/>
      <c r="BT83" s="1177"/>
      <c r="BU83" s="1177"/>
      <c r="BV83" s="1177"/>
      <c r="BW83" s="1177"/>
      <c r="BX83" s="1177"/>
      <c r="BY83" s="1177"/>
      <c r="BZ83" s="1177"/>
      <c r="CA83" s="1177"/>
      <c r="CB83" s="1177"/>
      <c r="CC83" s="1177"/>
      <c r="CD83" s="1177"/>
      <c r="CE83" s="1177"/>
      <c r="CF83" s="1177"/>
      <c r="CG83" s="1177"/>
      <c r="CH83" s="1177"/>
      <c r="CI83" s="1177"/>
      <c r="CJ83" s="1177"/>
      <c r="CK83" s="1177"/>
      <c r="CL83" s="1177"/>
      <c r="CM83" s="1177"/>
      <c r="CN83" s="1177"/>
      <c r="CO83" s="1177"/>
      <c r="CP83" s="1177"/>
      <c r="CQ83" s="1177"/>
      <c r="CR83" s="1177"/>
      <c r="CS83" s="1177"/>
      <c r="CT83" s="1177"/>
      <c r="CU83" s="1177"/>
      <c r="CV83" s="1177"/>
      <c r="CW83" s="1177"/>
      <c r="CX83" s="1177"/>
      <c r="CY83" s="1177"/>
      <c r="CZ83" s="1177"/>
      <c r="DA83" s="1177"/>
      <c r="DB83" s="1177"/>
      <c r="DC83" s="1177"/>
      <c r="DD83" s="1177"/>
      <c r="DE83" s="1177"/>
      <c r="DF83" s="1177"/>
      <c r="DG83" s="1177"/>
      <c r="DH83" s="1177"/>
      <c r="DI83" s="1177"/>
      <c r="DJ83" s="1177"/>
      <c r="DK83" s="1177"/>
      <c r="DL83" s="1177"/>
      <c r="DM83" s="1177"/>
      <c r="DN83" s="1177"/>
      <c r="DO83" s="1177"/>
      <c r="DP83" s="1177"/>
      <c r="DQ83" s="1177"/>
      <c r="DR83" s="1177"/>
      <c r="DS83" s="1177"/>
      <c r="DT83" s="1177"/>
      <c r="DU83" s="1177"/>
      <c r="DV83" s="1177"/>
      <c r="DW83" s="1177"/>
      <c r="DX83" s="1177"/>
      <c r="DY83" s="1177"/>
      <c r="DZ83" s="1177"/>
      <c r="EA83" s="1177"/>
      <c r="EB83" s="1177"/>
      <c r="EC83" s="1177"/>
      <c r="ED83" s="1177"/>
      <c r="EE83" s="1177"/>
      <c r="EF83" s="1177"/>
      <c r="EG83" s="1177"/>
      <c r="EH83" s="1177"/>
      <c r="EI83" s="1177"/>
      <c r="EJ83" s="1177"/>
      <c r="EK83" s="1177"/>
      <c r="EL83" s="1177"/>
      <c r="EM83" s="1177"/>
      <c r="EN83" s="1177"/>
      <c r="EO83" s="1177"/>
      <c r="EP83" s="1177"/>
      <c r="EQ83" s="1177"/>
      <c r="ER83" s="1177"/>
      <c r="ES83" s="1177"/>
      <c r="ET83" s="1177"/>
      <c r="EU83" s="1177"/>
      <c r="EV83" s="1177"/>
      <c r="EW83" s="1177"/>
      <c r="EX83" s="1177"/>
      <c r="EY83" s="1177"/>
      <c r="EZ83" s="1177"/>
      <c r="FA83" s="1177"/>
      <c r="FB83" s="1177"/>
      <c r="FC83" s="1177"/>
      <c r="FD83" s="1177"/>
      <c r="FE83" s="1177"/>
      <c r="FF83" s="1177"/>
      <c r="FG83" s="1177"/>
      <c r="FH83" s="1177"/>
      <c r="FI83" s="1177"/>
      <c r="FJ83" s="1177"/>
      <c r="FK83" s="1177"/>
      <c r="FL83" s="1177"/>
      <c r="FM83" s="1177"/>
      <c r="FN83" s="1177"/>
      <c r="FO83" s="1177"/>
      <c r="FP83" s="1177"/>
      <c r="FQ83" s="1177"/>
      <c r="FR83" s="1177"/>
      <c r="FS83" s="1177"/>
      <c r="FT83" s="1177"/>
      <c r="FU83" s="1177"/>
      <c r="FV83" s="1177"/>
      <c r="FW83" s="1177"/>
      <c r="FX83" s="1177"/>
      <c r="FY83" s="1177"/>
      <c r="FZ83" s="1177"/>
      <c r="GA83" s="1177"/>
      <c r="GB83" s="1177"/>
      <c r="GC83" s="1177"/>
      <c r="GD83" s="1177"/>
      <c r="GE83" s="1177"/>
      <c r="GF83" s="1177"/>
      <c r="GG83" s="1177"/>
      <c r="GH83" s="1177"/>
      <c r="GI83" s="1177"/>
      <c r="GJ83" s="1177"/>
      <c r="GK83" s="1177"/>
      <c r="GL83" s="1177"/>
      <c r="GM83" s="1177"/>
      <c r="GN83" s="1177"/>
      <c r="GO83" s="1177"/>
      <c r="GP83" s="1177"/>
      <c r="GQ83" s="1177"/>
      <c r="GR83" s="1177"/>
      <c r="GS83" s="1177"/>
      <c r="GT83" s="1177"/>
      <c r="GU83" s="1177"/>
      <c r="GV83" s="1177"/>
      <c r="GW83" s="1177"/>
      <c r="GX83" s="1177"/>
      <c r="GY83" s="1177"/>
      <c r="GZ83" s="1177"/>
      <c r="HA83" s="1177"/>
      <c r="HB83" s="1177"/>
      <c r="HC83" s="1177"/>
      <c r="HD83" s="1177"/>
      <c r="HE83" s="1177"/>
      <c r="HF83" s="1177"/>
      <c r="HG83" s="1177"/>
      <c r="HH83" s="1177"/>
      <c r="HI83" s="1177"/>
      <c r="HJ83" s="1177"/>
      <c r="HK83" s="1177"/>
      <c r="HL83" s="1177"/>
      <c r="HM83" s="1177"/>
      <c r="HN83" s="1177"/>
      <c r="HO83" s="1177"/>
      <c r="HP83" s="1177"/>
      <c r="HQ83" s="1178"/>
      <c r="LN83" s="12"/>
    </row>
    <row r="84" spans="1:326">
      <c r="A84" s="67" t="s">
        <v>121</v>
      </c>
      <c r="B84" s="67" t="s">
        <v>111</v>
      </c>
      <c r="C84" s="67" t="s">
        <v>110</v>
      </c>
      <c r="D84" s="67" t="s">
        <v>109</v>
      </c>
      <c r="E84" s="67" t="s">
        <v>108</v>
      </c>
      <c r="F84" s="67" t="s">
        <v>107</v>
      </c>
      <c r="G84" s="67" t="s">
        <v>106</v>
      </c>
      <c r="H84" s="67" t="s">
        <v>105</v>
      </c>
      <c r="I84" s="67" t="s">
        <v>104</v>
      </c>
      <c r="J84" s="67" t="s">
        <v>103</v>
      </c>
      <c r="K84" s="67" t="s">
        <v>102</v>
      </c>
      <c r="L84" s="67" t="s">
        <v>101</v>
      </c>
      <c r="M84" s="67" t="s">
        <v>100</v>
      </c>
      <c r="N84" s="68" t="s">
        <v>99</v>
      </c>
      <c r="O84" s="67" t="s">
        <v>98</v>
      </c>
      <c r="P84" s="67" t="s">
        <v>120</v>
      </c>
      <c r="Q84" s="66">
        <f t="shared" ref="Q84:S84" si="32">Q3</f>
        <v>46099</v>
      </c>
      <c r="R84" s="66">
        <f t="shared" ref="R84" si="33">R3</f>
        <v>46092</v>
      </c>
      <c r="S84" s="66">
        <f t="shared" si="32"/>
        <v>46085</v>
      </c>
      <c r="T84" s="66">
        <f t="shared" ref="T84:AH84" si="34">T3</f>
        <v>46078</v>
      </c>
      <c r="U84" s="66">
        <f t="shared" ref="U84" si="35">U3</f>
        <v>46071</v>
      </c>
      <c r="V84" s="66">
        <f>V3</f>
        <v>46057</v>
      </c>
      <c r="W84" s="66">
        <f t="shared" si="34"/>
        <v>46050</v>
      </c>
      <c r="X84" s="66">
        <f t="shared" si="34"/>
        <v>46043</v>
      </c>
      <c r="Y84" s="66">
        <f t="shared" si="34"/>
        <v>46036</v>
      </c>
      <c r="Z84" s="66">
        <f t="shared" si="34"/>
        <v>46029</v>
      </c>
      <c r="AA84" s="66">
        <f t="shared" si="34"/>
        <v>46022</v>
      </c>
      <c r="AB84" s="66">
        <f t="shared" si="34"/>
        <v>46015</v>
      </c>
      <c r="AC84" s="66">
        <f t="shared" si="34"/>
        <v>46008</v>
      </c>
      <c r="AD84" s="66">
        <f t="shared" si="34"/>
        <v>46001</v>
      </c>
      <c r="AE84" s="66">
        <f t="shared" si="34"/>
        <v>45994</v>
      </c>
      <c r="AF84" s="66">
        <f t="shared" si="34"/>
        <v>45987</v>
      </c>
      <c r="AG84" s="66">
        <f t="shared" si="34"/>
        <v>45980</v>
      </c>
      <c r="AH84" s="66">
        <f t="shared" si="34"/>
        <v>45973</v>
      </c>
      <c r="AI84" s="66">
        <f t="shared" ref="AI84:AS84" si="36">AI3</f>
        <v>45966</v>
      </c>
      <c r="AJ84" s="66">
        <f t="shared" si="36"/>
        <v>45959</v>
      </c>
      <c r="AK84" s="66">
        <f t="shared" si="36"/>
        <v>45952</v>
      </c>
      <c r="AL84" s="66">
        <f t="shared" si="36"/>
        <v>45945</v>
      </c>
      <c r="AM84" s="66">
        <f t="shared" si="36"/>
        <v>45938</v>
      </c>
      <c r="AN84" s="66">
        <f t="shared" si="36"/>
        <v>45931</v>
      </c>
      <c r="AO84" s="66">
        <f t="shared" si="36"/>
        <v>45924</v>
      </c>
      <c r="AP84" s="66">
        <f t="shared" si="36"/>
        <v>45917</v>
      </c>
      <c r="AQ84" s="66">
        <f t="shared" si="36"/>
        <v>45910</v>
      </c>
      <c r="AR84" s="66">
        <f t="shared" si="36"/>
        <v>45903</v>
      </c>
      <c r="AS84" s="66">
        <f t="shared" si="36"/>
        <v>45896</v>
      </c>
      <c r="AT84" s="66">
        <v>45889</v>
      </c>
      <c r="AU84" s="66">
        <v>45882</v>
      </c>
      <c r="AV84" s="66">
        <v>45875</v>
      </c>
      <c r="AW84" s="66">
        <v>45868</v>
      </c>
      <c r="AX84" s="66">
        <f>AX3</f>
        <v>45861</v>
      </c>
      <c r="AY84" s="70">
        <v>45854</v>
      </c>
      <c r="AZ84" s="66">
        <v>45847</v>
      </c>
      <c r="BA84" s="66">
        <v>45840</v>
      </c>
      <c r="BB84" s="66">
        <f>BB3</f>
        <v>45833</v>
      </c>
      <c r="BC84" s="66">
        <v>45826</v>
      </c>
      <c r="BD84" s="66">
        <f t="shared" ref="BD84:CI84" si="37">BD3</f>
        <v>45819</v>
      </c>
      <c r="BE84" s="66">
        <f t="shared" si="37"/>
        <v>45812</v>
      </c>
      <c r="BF84" s="66">
        <f t="shared" si="37"/>
        <v>45805</v>
      </c>
      <c r="BG84" s="66">
        <f t="shared" si="37"/>
        <v>45798</v>
      </c>
      <c r="BH84" s="66">
        <f t="shared" si="37"/>
        <v>45792</v>
      </c>
      <c r="BI84" s="66">
        <f t="shared" si="37"/>
        <v>45785</v>
      </c>
      <c r="BJ84" s="66">
        <f t="shared" si="37"/>
        <v>45412</v>
      </c>
      <c r="BK84" s="66">
        <f t="shared" si="37"/>
        <v>45763</v>
      </c>
      <c r="BL84" s="66">
        <f t="shared" si="37"/>
        <v>46092</v>
      </c>
      <c r="BM84" s="66">
        <f t="shared" si="37"/>
        <v>45750</v>
      </c>
      <c r="BN84" s="66">
        <f t="shared" si="37"/>
        <v>45742</v>
      </c>
      <c r="BO84" s="66">
        <f t="shared" si="37"/>
        <v>45736</v>
      </c>
      <c r="BP84" s="66">
        <f t="shared" si="37"/>
        <v>45729</v>
      </c>
      <c r="BQ84" s="66">
        <f t="shared" si="37"/>
        <v>45722</v>
      </c>
      <c r="BR84" s="66">
        <f t="shared" si="37"/>
        <v>45715</v>
      </c>
      <c r="BS84" s="66">
        <f t="shared" si="37"/>
        <v>45708</v>
      </c>
      <c r="BT84" s="66">
        <f t="shared" si="37"/>
        <v>45701</v>
      </c>
      <c r="BU84" s="66">
        <f t="shared" si="37"/>
        <v>45694</v>
      </c>
      <c r="BV84" s="66">
        <f t="shared" si="37"/>
        <v>45688</v>
      </c>
      <c r="BW84" s="66">
        <f t="shared" si="37"/>
        <v>45681</v>
      </c>
      <c r="BX84" s="66">
        <f t="shared" si="37"/>
        <v>45673</v>
      </c>
      <c r="BY84" s="66">
        <f t="shared" si="37"/>
        <v>45666</v>
      </c>
      <c r="BZ84" s="66">
        <f t="shared" si="37"/>
        <v>45659</v>
      </c>
      <c r="CA84" s="66">
        <f t="shared" si="37"/>
        <v>45652</v>
      </c>
      <c r="CB84" s="66">
        <f t="shared" si="37"/>
        <v>45645</v>
      </c>
      <c r="CC84" s="66">
        <f t="shared" si="37"/>
        <v>45638</v>
      </c>
      <c r="CD84" s="66">
        <f t="shared" si="37"/>
        <v>45631</v>
      </c>
      <c r="CE84" s="66">
        <f t="shared" si="37"/>
        <v>45625</v>
      </c>
      <c r="CF84" s="66">
        <f t="shared" si="37"/>
        <v>45617</v>
      </c>
      <c r="CG84" s="66">
        <f t="shared" si="37"/>
        <v>45610</v>
      </c>
      <c r="CH84" s="66">
        <f t="shared" si="37"/>
        <v>45603</v>
      </c>
      <c r="CI84" s="66">
        <f t="shared" si="37"/>
        <v>45595</v>
      </c>
      <c r="CJ84" s="66">
        <f t="shared" ref="CJ84:DO84" si="38">CJ3</f>
        <v>45591</v>
      </c>
      <c r="CK84" s="66">
        <f t="shared" si="38"/>
        <v>45582</v>
      </c>
      <c r="CL84" s="66">
        <f t="shared" si="38"/>
        <v>45575</v>
      </c>
      <c r="CM84" s="66">
        <f t="shared" si="38"/>
        <v>45568</v>
      </c>
      <c r="CN84" s="66">
        <f t="shared" si="38"/>
        <v>45561</v>
      </c>
      <c r="CO84" s="66">
        <f t="shared" si="38"/>
        <v>45554</v>
      </c>
      <c r="CP84" s="66">
        <f t="shared" si="38"/>
        <v>45547</v>
      </c>
      <c r="CQ84" s="66">
        <f t="shared" si="38"/>
        <v>45540</v>
      </c>
      <c r="CR84" s="66">
        <f t="shared" si="38"/>
        <v>45533</v>
      </c>
      <c r="CS84" s="66">
        <f t="shared" si="38"/>
        <v>45526</v>
      </c>
      <c r="CT84" s="66">
        <f t="shared" si="38"/>
        <v>45517</v>
      </c>
      <c r="CU84" s="66">
        <f t="shared" si="38"/>
        <v>45511</v>
      </c>
      <c r="CV84" s="66">
        <f t="shared" si="38"/>
        <v>45505</v>
      </c>
      <c r="CW84" s="66">
        <f t="shared" si="38"/>
        <v>45498</v>
      </c>
      <c r="CX84" s="66">
        <f t="shared" si="38"/>
        <v>45492</v>
      </c>
      <c r="CY84" s="66">
        <f t="shared" si="38"/>
        <v>45484</v>
      </c>
      <c r="CZ84" s="66">
        <f t="shared" si="38"/>
        <v>45477</v>
      </c>
      <c r="DA84" s="66">
        <f t="shared" si="38"/>
        <v>45470</v>
      </c>
      <c r="DB84" s="66">
        <f t="shared" si="38"/>
        <v>45464</v>
      </c>
      <c r="DC84" s="66">
        <f t="shared" si="38"/>
        <v>45456</v>
      </c>
      <c r="DD84" s="66">
        <f t="shared" si="38"/>
        <v>45449</v>
      </c>
      <c r="DE84" s="66">
        <f t="shared" si="38"/>
        <v>45442</v>
      </c>
      <c r="DF84" s="66" t="str">
        <f t="shared" si="38"/>
        <v>23/5/224</v>
      </c>
      <c r="DG84" s="66">
        <f t="shared" si="38"/>
        <v>45428</v>
      </c>
      <c r="DH84" s="66">
        <f t="shared" si="38"/>
        <v>45421</v>
      </c>
      <c r="DI84" s="66">
        <f t="shared" si="38"/>
        <v>45414</v>
      </c>
      <c r="DJ84" s="66">
        <f t="shared" si="38"/>
        <v>45407</v>
      </c>
      <c r="DK84" s="66">
        <f t="shared" si="38"/>
        <v>45400</v>
      </c>
      <c r="DL84" s="66">
        <f t="shared" si="38"/>
        <v>45393</v>
      </c>
      <c r="DM84" s="66">
        <f t="shared" si="38"/>
        <v>45386</v>
      </c>
      <c r="DN84" s="66">
        <f t="shared" si="38"/>
        <v>45378</v>
      </c>
      <c r="DO84" s="66">
        <f t="shared" si="38"/>
        <v>45372</v>
      </c>
      <c r="DP84" s="66">
        <f t="shared" ref="DP84:EV84" si="39">DP3</f>
        <v>45365</v>
      </c>
      <c r="DQ84" s="66">
        <f t="shared" si="39"/>
        <v>45358</v>
      </c>
      <c r="DR84" s="66">
        <f t="shared" si="39"/>
        <v>45351</v>
      </c>
      <c r="DS84" s="66">
        <f t="shared" si="39"/>
        <v>45343</v>
      </c>
      <c r="DT84" s="66">
        <f t="shared" si="39"/>
        <v>45336</v>
      </c>
      <c r="DU84" s="66">
        <f t="shared" si="39"/>
        <v>45329</v>
      </c>
      <c r="DV84" s="66">
        <f t="shared" si="39"/>
        <v>45323</v>
      </c>
      <c r="DW84" s="66">
        <f t="shared" si="39"/>
        <v>45316</v>
      </c>
      <c r="DX84" s="66">
        <f t="shared" si="39"/>
        <v>45309</v>
      </c>
      <c r="DY84" s="66">
        <f t="shared" si="39"/>
        <v>45302</v>
      </c>
      <c r="DZ84" s="66">
        <f t="shared" si="39"/>
        <v>45295</v>
      </c>
      <c r="EA84" s="66">
        <f t="shared" si="39"/>
        <v>45288</v>
      </c>
      <c r="EB84" s="66">
        <f t="shared" si="39"/>
        <v>45281</v>
      </c>
      <c r="EC84" s="66">
        <f t="shared" si="39"/>
        <v>45274</v>
      </c>
      <c r="ED84" s="66">
        <f t="shared" si="39"/>
        <v>45267</v>
      </c>
      <c r="EE84" s="66">
        <f t="shared" si="39"/>
        <v>45260</v>
      </c>
      <c r="EF84" s="66">
        <f t="shared" si="39"/>
        <v>45253</v>
      </c>
      <c r="EG84" s="66">
        <f t="shared" si="39"/>
        <v>45246</v>
      </c>
      <c r="EH84" s="66">
        <f t="shared" si="39"/>
        <v>45239</v>
      </c>
      <c r="EI84" s="66">
        <f t="shared" si="39"/>
        <v>45232</v>
      </c>
      <c r="EJ84" s="66">
        <f t="shared" si="39"/>
        <v>45225</v>
      </c>
      <c r="EK84" s="66">
        <f t="shared" si="39"/>
        <v>45218</v>
      </c>
      <c r="EL84" s="66">
        <f t="shared" si="39"/>
        <v>45211</v>
      </c>
      <c r="EM84" s="66">
        <f t="shared" si="39"/>
        <v>45204</v>
      </c>
      <c r="EN84" s="66">
        <f t="shared" si="39"/>
        <v>45190</v>
      </c>
      <c r="EO84" s="66">
        <f t="shared" si="39"/>
        <v>45190</v>
      </c>
      <c r="EP84" s="66">
        <f t="shared" si="39"/>
        <v>45183</v>
      </c>
      <c r="EQ84" s="66">
        <f t="shared" si="39"/>
        <v>45176</v>
      </c>
      <c r="ER84" s="66">
        <f t="shared" si="39"/>
        <v>45168</v>
      </c>
      <c r="ES84" s="66">
        <f t="shared" si="39"/>
        <v>45162</v>
      </c>
      <c r="ET84" s="66">
        <f t="shared" si="39"/>
        <v>45155</v>
      </c>
      <c r="EU84" s="66">
        <f t="shared" si="39"/>
        <v>45148</v>
      </c>
      <c r="EV84" s="66">
        <f t="shared" si="39"/>
        <v>45141</v>
      </c>
      <c r="EW84" s="66">
        <v>45134</v>
      </c>
      <c r="EX84" s="66">
        <v>45127</v>
      </c>
      <c r="EY84" s="66">
        <v>45120</v>
      </c>
      <c r="EZ84" s="66">
        <v>45113</v>
      </c>
      <c r="FA84" s="66">
        <v>45105</v>
      </c>
      <c r="FB84" s="66">
        <v>45099</v>
      </c>
      <c r="FC84" s="66">
        <v>45092</v>
      </c>
      <c r="FD84" s="66">
        <v>45085</v>
      </c>
      <c r="FE84" s="66">
        <v>45076</v>
      </c>
      <c r="FF84" s="66">
        <v>45070</v>
      </c>
      <c r="FG84" s="66">
        <v>45063</v>
      </c>
      <c r="FH84" s="66">
        <v>45056</v>
      </c>
      <c r="FI84" s="66">
        <v>45049</v>
      </c>
      <c r="FJ84" s="66">
        <v>45042</v>
      </c>
      <c r="FK84" s="66">
        <v>45035</v>
      </c>
      <c r="FL84" s="66">
        <v>45028</v>
      </c>
      <c r="FM84" s="66">
        <v>45020</v>
      </c>
      <c r="FN84" s="66">
        <v>45014</v>
      </c>
      <c r="FO84" s="66">
        <v>45008</v>
      </c>
      <c r="FP84" s="66">
        <v>45002</v>
      </c>
      <c r="FQ84" s="66">
        <v>45000</v>
      </c>
      <c r="FR84" s="66">
        <v>44993</v>
      </c>
      <c r="FS84" s="66">
        <v>44986</v>
      </c>
      <c r="FT84" s="66">
        <v>44979</v>
      </c>
      <c r="FU84" s="66">
        <v>44972</v>
      </c>
      <c r="FV84" s="66">
        <v>44965</v>
      </c>
      <c r="FW84" s="66">
        <v>44958</v>
      </c>
      <c r="FX84" s="66">
        <v>44951</v>
      </c>
      <c r="FY84" s="66">
        <v>44944</v>
      </c>
      <c r="FZ84" s="66">
        <v>44937</v>
      </c>
      <c r="GA84" s="66">
        <v>44930</v>
      </c>
      <c r="GB84" s="66">
        <v>44923</v>
      </c>
      <c r="GC84" s="66">
        <v>44916</v>
      </c>
      <c r="GD84" s="66">
        <v>44910</v>
      </c>
      <c r="GE84" s="66">
        <v>44902</v>
      </c>
      <c r="GF84" s="66">
        <v>44896</v>
      </c>
      <c r="GG84" s="66">
        <v>44888</v>
      </c>
      <c r="GH84" s="66">
        <v>44881</v>
      </c>
      <c r="GI84" s="66">
        <v>44874</v>
      </c>
      <c r="GJ84" s="66">
        <v>44868</v>
      </c>
      <c r="GK84" s="66">
        <v>44839</v>
      </c>
      <c r="GL84" s="66">
        <v>44831</v>
      </c>
      <c r="GM84" s="66">
        <v>44826</v>
      </c>
      <c r="GN84" s="66">
        <v>44818</v>
      </c>
      <c r="GO84" s="66">
        <v>44811</v>
      </c>
      <c r="GP84" s="66">
        <v>44860</v>
      </c>
      <c r="GQ84" s="66">
        <v>44853</v>
      </c>
      <c r="GR84" s="66">
        <v>44846</v>
      </c>
      <c r="GS84" s="65" t="s">
        <v>119</v>
      </c>
      <c r="GT84" s="66">
        <v>44776</v>
      </c>
      <c r="GU84" s="66">
        <v>44769</v>
      </c>
      <c r="GV84" s="66">
        <v>44762</v>
      </c>
      <c r="GW84" s="66">
        <v>44755</v>
      </c>
      <c r="GX84" s="66">
        <v>44748</v>
      </c>
      <c r="GY84" s="66">
        <v>44741</v>
      </c>
      <c r="GZ84" s="69">
        <v>44733</v>
      </c>
      <c r="HA84" s="69">
        <v>44727</v>
      </c>
      <c r="HB84" s="69">
        <v>44720</v>
      </c>
      <c r="HC84" s="69">
        <v>44713</v>
      </c>
      <c r="HD84" s="69">
        <v>44706</v>
      </c>
      <c r="HE84" s="69">
        <v>44699</v>
      </c>
      <c r="HF84" s="69">
        <v>44690</v>
      </c>
      <c r="HG84" s="68" t="s">
        <v>118</v>
      </c>
      <c r="HH84" s="68" t="s">
        <v>117</v>
      </c>
      <c r="HI84" s="67" t="s">
        <v>116</v>
      </c>
      <c r="HJ84" s="67" t="s">
        <v>115</v>
      </c>
      <c r="HK84" s="67" t="s">
        <v>114</v>
      </c>
      <c r="HL84" s="67" t="s">
        <v>113</v>
      </c>
      <c r="HM84" s="67" t="s">
        <v>112</v>
      </c>
      <c r="HN84" s="67" t="s">
        <v>111</v>
      </c>
      <c r="HO84" s="67" t="s">
        <v>110</v>
      </c>
      <c r="HP84" s="67" t="s">
        <v>109</v>
      </c>
      <c r="HQ84" s="67" t="s">
        <v>108</v>
      </c>
      <c r="HR84" s="67" t="s">
        <v>107</v>
      </c>
      <c r="HS84" s="67" t="s">
        <v>106</v>
      </c>
      <c r="HT84" s="67" t="s">
        <v>105</v>
      </c>
      <c r="HU84" s="67" t="s">
        <v>104</v>
      </c>
      <c r="HV84" s="67" t="s">
        <v>103</v>
      </c>
      <c r="HW84" s="67" t="s">
        <v>102</v>
      </c>
      <c r="HX84" s="67" t="s">
        <v>101</v>
      </c>
      <c r="HY84" s="67" t="s">
        <v>100</v>
      </c>
      <c r="HZ84" s="68" t="s">
        <v>99</v>
      </c>
      <c r="IA84" s="67" t="s">
        <v>98</v>
      </c>
      <c r="IB84" s="65" t="s">
        <v>97</v>
      </c>
      <c r="IC84" s="66">
        <v>44818</v>
      </c>
      <c r="ID84" s="66">
        <v>44811</v>
      </c>
      <c r="IE84" s="65" t="s">
        <v>96</v>
      </c>
      <c r="LN84" s="468" t="s">
        <v>113</v>
      </c>
    </row>
    <row r="85" spans="1:326">
      <c r="A85" s="1167" t="s">
        <v>20</v>
      </c>
      <c r="B85" s="60"/>
      <c r="C85" s="60"/>
      <c r="D85" s="60"/>
      <c r="E85" s="60"/>
      <c r="F85" s="60"/>
      <c r="G85" s="60"/>
      <c r="H85" s="60"/>
      <c r="I85" s="60"/>
      <c r="J85" s="60"/>
      <c r="K85" s="60"/>
      <c r="L85" s="60"/>
      <c r="M85" s="60"/>
      <c r="N85" s="61"/>
      <c r="O85" s="60"/>
      <c r="P85" s="738" t="s">
        <v>95</v>
      </c>
      <c r="Q85" s="590">
        <v>8.3999999999999995E-3</v>
      </c>
      <c r="R85" s="590">
        <v>8.3999999999999995E-3</v>
      </c>
      <c r="S85" s="590">
        <v>1.04E-2</v>
      </c>
      <c r="T85" s="590">
        <v>9.9000000000000008E-3</v>
      </c>
      <c r="U85" s="626">
        <v>1.04E-2</v>
      </c>
      <c r="V85" s="626">
        <v>1.04E-2</v>
      </c>
      <c r="W85" s="626">
        <v>1.04E-2</v>
      </c>
      <c r="X85" s="590">
        <v>1.04E-2</v>
      </c>
      <c r="Y85" s="590">
        <v>1.09E-2</v>
      </c>
      <c r="Z85" s="590">
        <v>1.1900000000000001E-2</v>
      </c>
      <c r="AA85" s="590">
        <v>1.14E-2</v>
      </c>
      <c r="AB85" s="626">
        <v>1.1900000000000001E-2</v>
      </c>
      <c r="AC85" s="590">
        <v>1.1900000000000001E-2</v>
      </c>
      <c r="AD85" s="626">
        <v>1.34E-2</v>
      </c>
      <c r="AE85" s="590">
        <v>1.34E-2</v>
      </c>
      <c r="AF85" s="590">
        <v>1.29E-2</v>
      </c>
      <c r="AG85" s="590">
        <v>1.14E-2</v>
      </c>
      <c r="AH85" s="590">
        <v>1.29E-2</v>
      </c>
      <c r="AI85" s="590">
        <v>1.09E-2</v>
      </c>
      <c r="AJ85" s="48">
        <v>1.14E-2</v>
      </c>
      <c r="AK85" s="47">
        <v>1.29E-2</v>
      </c>
      <c r="AL85" s="47">
        <v>1.29E-2</v>
      </c>
      <c r="AM85" s="48">
        <v>1.29E-2</v>
      </c>
      <c r="AN85" s="48">
        <v>1.14E-2</v>
      </c>
      <c r="AO85" s="48">
        <v>1.1900000000000001E-2</v>
      </c>
      <c r="AP85" s="48">
        <v>1.09E-2</v>
      </c>
      <c r="AQ85" s="48">
        <v>1.1900000000000001E-2</v>
      </c>
      <c r="AR85" s="47">
        <v>1.14E-2</v>
      </c>
      <c r="AS85" s="48">
        <v>1.24E-2</v>
      </c>
      <c r="AT85" s="460">
        <v>1.1900000000000001E-2</v>
      </c>
      <c r="AU85" s="34">
        <v>9.9000000000000008E-3</v>
      </c>
      <c r="AV85" s="34">
        <v>9.4000000000000004E-3</v>
      </c>
      <c r="AW85" s="34">
        <v>9.9000000000000008E-3</v>
      </c>
      <c r="AX85" s="35">
        <v>1.09E-2</v>
      </c>
      <c r="AY85" s="34">
        <v>1.09E-2</v>
      </c>
      <c r="AZ85" s="35">
        <v>1.1900000000000001E-2</v>
      </c>
      <c r="BA85" s="35">
        <v>1.1900000000000001E-2</v>
      </c>
      <c r="BB85" s="34">
        <v>1.1900000000000001E-2</v>
      </c>
      <c r="BC85" s="35">
        <v>1.14E-2</v>
      </c>
      <c r="BD85" s="35">
        <v>1.14E-2</v>
      </c>
      <c r="BE85" s="34">
        <v>1.14E-2</v>
      </c>
      <c r="BF85" s="35">
        <v>1.04E-2</v>
      </c>
      <c r="BG85" s="35">
        <v>1.04E-2</v>
      </c>
      <c r="BH85" s="34">
        <v>1.04E-2</v>
      </c>
      <c r="BI85" s="34">
        <v>1.1900000000000001E-2</v>
      </c>
      <c r="BJ85" s="46">
        <v>1.29E-2</v>
      </c>
      <c r="BK85" s="46">
        <v>1.04E-2</v>
      </c>
      <c r="BL85" s="46">
        <v>1.3899999999999999E-2</v>
      </c>
      <c r="BM85" s="46">
        <v>1.54E-2</v>
      </c>
      <c r="BN85" s="46">
        <v>1.44E-2</v>
      </c>
      <c r="BO85" s="46">
        <v>1.44E-2</v>
      </c>
      <c r="BP85" s="46">
        <v>1.54E-2</v>
      </c>
      <c r="BQ85" s="46">
        <v>1.6400000000000001E-2</v>
      </c>
      <c r="BR85" s="46">
        <v>1.6899999999999998E-2</v>
      </c>
      <c r="BS85" s="46">
        <v>1.6899999999999998E-2</v>
      </c>
      <c r="BT85" s="46">
        <v>1.6400000000000001E-2</v>
      </c>
      <c r="BU85" s="46">
        <v>1.7399999999999999E-2</v>
      </c>
      <c r="BV85" s="46">
        <v>1.6899999999999998E-2</v>
      </c>
      <c r="BW85" s="46">
        <v>1.6400000000000001E-2</v>
      </c>
      <c r="BX85" s="46">
        <v>1.84E-2</v>
      </c>
      <c r="BY85" s="46">
        <v>1.89E-2</v>
      </c>
      <c r="BZ85" s="46">
        <v>1.84E-2</v>
      </c>
      <c r="CA85" s="46">
        <v>2.0400000000000001E-2</v>
      </c>
      <c r="CB85" s="46">
        <v>2.1399999999999999E-2</v>
      </c>
      <c r="CC85" s="46">
        <v>2.0899999999999998E-2</v>
      </c>
      <c r="CD85" s="46">
        <v>2.0400000000000001E-2</v>
      </c>
      <c r="CE85" s="46">
        <v>2.24E-2</v>
      </c>
      <c r="CF85" s="46">
        <v>2.1399999999999999E-2</v>
      </c>
      <c r="CG85" s="46">
        <v>1.6400000000000001E-2</v>
      </c>
      <c r="CH85" s="46">
        <v>1.49E-2</v>
      </c>
      <c r="CI85" s="46">
        <v>1.49E-2</v>
      </c>
      <c r="CJ85" s="46">
        <v>1.49E-2</v>
      </c>
      <c r="CK85" s="46">
        <v>1.54E-2</v>
      </c>
      <c r="CL85" s="46">
        <v>1.44E-2</v>
      </c>
      <c r="CM85" s="46">
        <v>1.14E-2</v>
      </c>
      <c r="CN85" s="46">
        <v>1.14E-2</v>
      </c>
      <c r="CO85" s="46">
        <v>1.24E-2</v>
      </c>
      <c r="CP85" s="46">
        <v>1.09E-2</v>
      </c>
      <c r="CQ85" s="46">
        <v>1.14E-2</v>
      </c>
      <c r="CR85" s="46">
        <v>1.1900000000000001E-2</v>
      </c>
      <c r="CS85" s="46">
        <v>1.24E-2</v>
      </c>
      <c r="CT85" s="46">
        <v>1.34E-2</v>
      </c>
      <c r="CU85" s="46">
        <v>1.14E-2</v>
      </c>
      <c r="CV85" s="46">
        <v>1.89E-2</v>
      </c>
      <c r="CW85" s="46">
        <v>2.0899999999999998E-2</v>
      </c>
      <c r="CX85" s="46">
        <v>2.24E-2</v>
      </c>
      <c r="CY85" s="46">
        <v>2.1899999999999999E-2</v>
      </c>
      <c r="CZ85" s="46">
        <v>1.9400000000000001E-2</v>
      </c>
      <c r="DA85" s="46">
        <v>1.9400000000000001E-2</v>
      </c>
      <c r="DB85" s="46">
        <v>1.9400000000000001E-2</v>
      </c>
      <c r="DC85" s="46">
        <v>1.9400000000000001E-2</v>
      </c>
      <c r="DD85" s="46">
        <v>1.9400000000000001E-2</v>
      </c>
      <c r="DE85" s="46">
        <v>1.9400000000000001E-2</v>
      </c>
      <c r="DF85" s="46">
        <v>2.0899999999999998E-2</v>
      </c>
      <c r="DG85" s="46">
        <v>2.24E-2</v>
      </c>
      <c r="DH85" s="46">
        <v>2.3400000000000001E-2</v>
      </c>
      <c r="DI85" s="46">
        <v>2.4400000000000002E-2</v>
      </c>
      <c r="DJ85" s="54">
        <v>2.5399999999999999E-2</v>
      </c>
      <c r="DK85" s="53">
        <v>2.3400000000000001E-2</v>
      </c>
      <c r="DL85" s="46">
        <v>2.0899999999999998E-2</v>
      </c>
      <c r="DM85" s="46">
        <v>2.29E-2</v>
      </c>
      <c r="DN85" s="46">
        <v>2.0400000000000001E-2</v>
      </c>
      <c r="DO85" s="46">
        <v>1.7899999999999999E-2</v>
      </c>
      <c r="DP85" s="46">
        <v>1.84E-2</v>
      </c>
      <c r="DQ85" s="45">
        <v>1.9400000000000001E-2</v>
      </c>
      <c r="DR85" s="45">
        <v>1.84E-2</v>
      </c>
      <c r="DS85" s="45">
        <v>2.0400000000000001E-2</v>
      </c>
      <c r="DT85" s="46">
        <v>2.0899999999999998E-2</v>
      </c>
      <c r="DU85" s="46">
        <v>1.9900000000000001E-2</v>
      </c>
      <c r="DV85" s="46">
        <v>2.0400000000000001E-2</v>
      </c>
      <c r="DW85" s="46">
        <v>2.1399999999999999E-2</v>
      </c>
      <c r="DX85" s="46">
        <v>2.0400000000000001E-2</v>
      </c>
      <c r="DY85" s="46">
        <v>2.0400000000000001E-2</v>
      </c>
      <c r="DZ85" s="46">
        <v>2.3900000000000001E-2</v>
      </c>
      <c r="EA85" s="46">
        <v>2.29E-2</v>
      </c>
      <c r="EB85" s="46">
        <v>2.64E-2</v>
      </c>
      <c r="EC85" s="46">
        <v>2.5899999999999999E-2</v>
      </c>
      <c r="ED85" s="46">
        <v>2.3900000000000001E-2</v>
      </c>
      <c r="EE85" s="46">
        <v>2.3900000000000001E-2</v>
      </c>
      <c r="EF85" s="46">
        <v>2.4899999999999999E-2</v>
      </c>
      <c r="EG85" s="46">
        <v>2.5399999999999999E-2</v>
      </c>
      <c r="EH85" s="46">
        <v>2.64E-2</v>
      </c>
      <c r="EI85" s="46">
        <v>2.64E-2</v>
      </c>
      <c r="EJ85" s="46">
        <v>2.9399999999999999E-2</v>
      </c>
      <c r="EK85" s="44">
        <v>2.8400000000000002E-2</v>
      </c>
      <c r="EL85" s="44">
        <v>2.9399999999999999E-2</v>
      </c>
      <c r="EM85" s="44">
        <v>2.9399999999999999E-2</v>
      </c>
      <c r="EN85" s="46">
        <v>2.8400000000000002E-2</v>
      </c>
      <c r="EO85" s="46">
        <v>2.8400000000000002E-2</v>
      </c>
      <c r="EP85" s="46">
        <v>2.7900000000000001E-2</v>
      </c>
      <c r="EQ85" s="44">
        <v>2.3900000000000001E-2</v>
      </c>
      <c r="ER85" s="44">
        <v>2.4400000000000002E-2</v>
      </c>
      <c r="ES85" s="44">
        <v>2.29E-2</v>
      </c>
      <c r="ET85" s="44">
        <v>1.89E-2</v>
      </c>
      <c r="EU85" s="44">
        <v>1.89E-2</v>
      </c>
      <c r="EV85" s="44">
        <v>1.9400000000000001E-2</v>
      </c>
      <c r="EW85" s="44">
        <v>1.9400000000000001E-2</v>
      </c>
      <c r="EX85" s="44">
        <v>1.9400000000000001E-2</v>
      </c>
      <c r="EY85" s="44">
        <v>1.89E-2</v>
      </c>
      <c r="EZ85" s="44">
        <v>1.9400000000000001E-2</v>
      </c>
      <c r="FA85" s="44">
        <v>1.9900000000000001E-2</v>
      </c>
      <c r="FB85" s="44">
        <v>1.9900000000000001E-2</v>
      </c>
      <c r="FC85" s="46">
        <v>1.84E-2</v>
      </c>
      <c r="FD85" s="45">
        <v>1.84E-2</v>
      </c>
      <c r="FE85" s="45">
        <v>1.7399999999999999E-2</v>
      </c>
      <c r="FF85" s="45">
        <v>1.7899999999999999E-2</v>
      </c>
      <c r="FG85" s="45">
        <v>1.89E-2</v>
      </c>
      <c r="FH85" s="45">
        <v>1.9400000000000001E-2</v>
      </c>
      <c r="FI85" s="45">
        <v>2.0400000000000001E-2</v>
      </c>
      <c r="FJ85" s="45">
        <v>2.0899999999999998E-2</v>
      </c>
      <c r="FK85" s="45">
        <v>2.0400000000000001E-2</v>
      </c>
      <c r="FL85" s="46">
        <v>2.1899999999999999E-2</v>
      </c>
      <c r="FM85" s="45">
        <v>2.1899999999999999E-2</v>
      </c>
      <c r="FN85" s="45">
        <v>2.0899999999999998E-2</v>
      </c>
      <c r="FO85" s="45">
        <v>2.3400000000000001E-2</v>
      </c>
      <c r="FP85" s="45">
        <v>2.4400000000000002E-2</v>
      </c>
      <c r="FQ85" s="45">
        <v>2.3400000000000001E-2</v>
      </c>
      <c r="FR85" s="45">
        <v>2.1399999999999999E-2</v>
      </c>
      <c r="FS85" s="45">
        <v>2.1899999999999999E-2</v>
      </c>
      <c r="FT85" s="45">
        <v>2.24E-2</v>
      </c>
      <c r="FU85" s="46">
        <v>2.1399999999999999E-2</v>
      </c>
      <c r="FV85" s="46">
        <v>2.24E-2</v>
      </c>
      <c r="FW85" s="45">
        <v>2.69E-2</v>
      </c>
      <c r="FX85" s="45">
        <v>2.5399999999999999E-2</v>
      </c>
      <c r="FY85" s="45">
        <v>2.5899999999999999E-2</v>
      </c>
      <c r="FZ85" s="45">
        <v>2.1899999999999999E-2</v>
      </c>
      <c r="GA85" s="45">
        <v>2.1899999999999999E-2</v>
      </c>
      <c r="GB85" s="45">
        <v>2.29E-2</v>
      </c>
      <c r="GC85" s="45">
        <v>2.4400000000000002E-2</v>
      </c>
      <c r="GD85" s="45">
        <v>2.5399999999999999E-2</v>
      </c>
      <c r="GE85" s="45">
        <v>2.4400000000000002E-2</v>
      </c>
      <c r="GF85" s="45">
        <v>2.3900000000000001E-2</v>
      </c>
      <c r="GG85" s="45">
        <v>2.4899999999999999E-2</v>
      </c>
      <c r="GH85" s="45">
        <v>2.64E-2</v>
      </c>
      <c r="GI85" s="45">
        <v>2.1899999999999999E-2</v>
      </c>
      <c r="GJ85" s="45">
        <v>2.3900000000000001E-2</v>
      </c>
      <c r="GK85" s="45">
        <v>2.1399999999999999E-2</v>
      </c>
      <c r="GL85" s="45">
        <v>2.69E-2</v>
      </c>
      <c r="GM85" s="45">
        <v>2.8400000000000002E-2</v>
      </c>
      <c r="GN85" s="45">
        <v>2.3900000000000001E-2</v>
      </c>
      <c r="GO85" s="45">
        <v>2.1899999999999999E-2</v>
      </c>
      <c r="GP85" s="45">
        <v>2.24E-2</v>
      </c>
      <c r="GQ85" s="45">
        <v>2.1399999999999999E-2</v>
      </c>
      <c r="GR85" s="45">
        <v>2.0400000000000001E-2</v>
      </c>
      <c r="GS85" s="51">
        <v>1.9900000000000001E-2</v>
      </c>
      <c r="GT85" s="51">
        <v>1.84E-2</v>
      </c>
      <c r="GU85" s="51">
        <v>1.9900000000000001E-2</v>
      </c>
      <c r="GV85" s="51">
        <v>2.1899999999999999E-2</v>
      </c>
      <c r="GW85" s="59"/>
      <c r="GX85" s="59"/>
      <c r="GY85" s="59"/>
      <c r="GZ85" s="59"/>
      <c r="HA85" s="59"/>
      <c r="HB85" s="59"/>
      <c r="HC85" s="59"/>
      <c r="HD85" s="59"/>
      <c r="HE85" s="58"/>
      <c r="HF85" s="58"/>
      <c r="HG85" s="58"/>
      <c r="HH85" s="58"/>
      <c r="HI85" s="58"/>
      <c r="HJ85" s="58"/>
      <c r="HK85" s="58"/>
      <c r="HL85" s="41">
        <f t="shared" ref="HL85:HL93" si="40">BH85-BQ85</f>
        <v>-6.0000000000000019E-3</v>
      </c>
      <c r="HM85" s="63" t="s">
        <v>94</v>
      </c>
      <c r="HN85" s="64" t="s">
        <v>94</v>
      </c>
      <c r="HO85" s="63" t="s">
        <v>79</v>
      </c>
      <c r="HP85" s="62">
        <v>3.0000000000000001E-3</v>
      </c>
      <c r="HQ85" s="55"/>
      <c r="LN85" s="473">
        <f t="shared" ref="LN85:LN104" si="41">Q85-R85</f>
        <v>0</v>
      </c>
    </row>
    <row r="86" spans="1:326">
      <c r="A86" s="1168"/>
      <c r="B86" s="60"/>
      <c r="C86" s="60"/>
      <c r="D86" s="60"/>
      <c r="E86" s="60"/>
      <c r="F86" s="60"/>
      <c r="G86" s="60"/>
      <c r="H86" s="60"/>
      <c r="I86" s="60"/>
      <c r="J86" s="60"/>
      <c r="K86" s="60"/>
      <c r="L86" s="60"/>
      <c r="M86" s="60"/>
      <c r="N86" s="61"/>
      <c r="O86" s="60"/>
      <c r="P86" s="738" t="s">
        <v>93</v>
      </c>
      <c r="Q86" s="590">
        <v>9.7000000000000003E-3</v>
      </c>
      <c r="R86" s="590">
        <v>9.7000000000000003E-3</v>
      </c>
      <c r="S86" s="590">
        <v>1.17E-2</v>
      </c>
      <c r="T86" s="590">
        <v>1.12E-2</v>
      </c>
      <c r="U86" s="626">
        <v>1.17E-2</v>
      </c>
      <c r="V86" s="626">
        <v>1.17E-2</v>
      </c>
      <c r="W86" s="626">
        <v>1.17E-2</v>
      </c>
      <c r="X86" s="590">
        <v>1.17E-2</v>
      </c>
      <c r="Y86" s="590">
        <v>1.2200000000000001E-2</v>
      </c>
      <c r="Z86" s="590">
        <v>1.32E-2</v>
      </c>
      <c r="AA86" s="590">
        <v>1.2699999999999999E-2</v>
      </c>
      <c r="AB86" s="626">
        <v>1.32E-2</v>
      </c>
      <c r="AC86" s="590">
        <v>1.32E-2</v>
      </c>
      <c r="AD86" s="626">
        <v>1.47E-2</v>
      </c>
      <c r="AE86" s="590">
        <v>1.47E-2</v>
      </c>
      <c r="AF86" s="590">
        <v>1.4200000000000001E-2</v>
      </c>
      <c r="AG86" s="590">
        <v>1.2699999999999999E-2</v>
      </c>
      <c r="AH86" s="590">
        <v>1.4199999999999999E-2</v>
      </c>
      <c r="AI86" s="590">
        <v>1.2199999999999999E-2</v>
      </c>
      <c r="AJ86" s="48">
        <v>1.2699999999999999E-2</v>
      </c>
      <c r="AK86" s="47">
        <v>1.4199999999999999E-2</v>
      </c>
      <c r="AL86" s="47">
        <v>1.4199999999999999E-2</v>
      </c>
      <c r="AM86" s="48">
        <v>1.4199999999999999E-2</v>
      </c>
      <c r="AN86" s="48">
        <v>1.2699999999999999E-2</v>
      </c>
      <c r="AO86" s="48">
        <v>1.32E-2</v>
      </c>
      <c r="AP86" s="48">
        <v>1.2199999999999999E-2</v>
      </c>
      <c r="AQ86" s="48">
        <v>1.32E-2</v>
      </c>
      <c r="AR86" s="47">
        <v>1.2699999999999999E-2</v>
      </c>
      <c r="AS86" s="48">
        <v>1.37E-2</v>
      </c>
      <c r="AT86" s="460">
        <v>1.32E-2</v>
      </c>
      <c r="AU86" s="34">
        <v>1.12E-2</v>
      </c>
      <c r="AV86" s="34">
        <v>1.0699999999999999E-2</v>
      </c>
      <c r="AW86" s="34">
        <v>1.12E-2</v>
      </c>
      <c r="AX86" s="35">
        <v>1.2200000000000001E-2</v>
      </c>
      <c r="AY86" s="34">
        <v>1.2200000000000001E-2</v>
      </c>
      <c r="AZ86" s="35">
        <v>1.32E-2</v>
      </c>
      <c r="BA86" s="35">
        <v>1.32E-2</v>
      </c>
      <c r="BB86" s="34">
        <v>1.32E-2</v>
      </c>
      <c r="BC86" s="35">
        <v>1.2699999999999999E-2</v>
      </c>
      <c r="BD86" s="35">
        <v>1.2699999999999999E-2</v>
      </c>
      <c r="BE86" s="34">
        <v>1.2699999999999999E-2</v>
      </c>
      <c r="BF86" s="35">
        <v>1.17E-2</v>
      </c>
      <c r="BG86" s="35">
        <v>1.17E-2</v>
      </c>
      <c r="BH86" s="34">
        <v>1.17E-2</v>
      </c>
      <c r="BI86" s="34">
        <v>1.32E-2</v>
      </c>
      <c r="BJ86" s="46">
        <v>1.4200000000000001E-2</v>
      </c>
      <c r="BK86" s="46">
        <v>1.17E-2</v>
      </c>
      <c r="BL86" s="46">
        <v>1.52E-2</v>
      </c>
      <c r="BM86" s="46">
        <v>1.67E-2</v>
      </c>
      <c r="BN86" s="46">
        <v>1.5699999999999999E-2</v>
      </c>
      <c r="BO86" s="46">
        <v>1.5699999999999999E-2</v>
      </c>
      <c r="BP86" s="46">
        <v>1.67E-2</v>
      </c>
      <c r="BQ86" s="46">
        <v>1.77E-2</v>
      </c>
      <c r="BR86" s="46">
        <v>1.8200000000000001E-2</v>
      </c>
      <c r="BS86" s="46">
        <v>1.8200000000000001E-2</v>
      </c>
      <c r="BT86" s="46">
        <v>1.77E-2</v>
      </c>
      <c r="BU86" s="46">
        <v>1.8700000000000001E-2</v>
      </c>
      <c r="BV86" s="46">
        <v>1.8200000000000001E-2</v>
      </c>
      <c r="BW86" s="46">
        <v>1.77E-2</v>
      </c>
      <c r="BX86" s="46">
        <v>1.9699999999999999E-2</v>
      </c>
      <c r="BY86" s="46">
        <v>2.0199999999999999E-2</v>
      </c>
      <c r="BZ86" s="46">
        <v>1.9699999999999999E-2</v>
      </c>
      <c r="CA86" s="46">
        <v>2.1700000000000001E-2</v>
      </c>
      <c r="CB86" s="46">
        <v>2.2700000000000001E-2</v>
      </c>
      <c r="CC86" s="46">
        <v>2.2200000000000001E-2</v>
      </c>
      <c r="CD86" s="46">
        <v>2.1700000000000001E-2</v>
      </c>
      <c r="CE86" s="46">
        <v>2.3699999999999999E-2</v>
      </c>
      <c r="CF86" s="46">
        <v>2.2700000000000001E-2</v>
      </c>
      <c r="CG86" s="46">
        <v>1.77E-2</v>
      </c>
      <c r="CH86" s="46">
        <v>1.6199999999999999E-2</v>
      </c>
      <c r="CI86" s="46">
        <v>1.6199999999999999E-2</v>
      </c>
      <c r="CJ86" s="46">
        <v>1.6199999999999999E-2</v>
      </c>
      <c r="CK86" s="46">
        <v>1.67E-2</v>
      </c>
      <c r="CL86" s="46">
        <v>1.5699999999999999E-2</v>
      </c>
      <c r="CM86" s="46">
        <v>1.2699999999999999E-2</v>
      </c>
      <c r="CN86" s="46">
        <v>1.2699999999999999E-2</v>
      </c>
      <c r="CO86" s="46">
        <v>1.37E-2</v>
      </c>
      <c r="CP86" s="46">
        <v>1.2200000000000001E-2</v>
      </c>
      <c r="CQ86" s="46">
        <v>1.2699999999999999E-2</v>
      </c>
      <c r="CR86" s="46">
        <v>1.32E-2</v>
      </c>
      <c r="CS86" s="46">
        <v>1.37E-2</v>
      </c>
      <c r="CT86" s="46">
        <v>1.47E-2</v>
      </c>
      <c r="CU86" s="46">
        <v>1.2699999999999999E-2</v>
      </c>
      <c r="CV86" s="46">
        <v>2.0199999999999999E-2</v>
      </c>
      <c r="CW86" s="46">
        <v>2.2200000000000001E-2</v>
      </c>
      <c r="CX86" s="46">
        <v>2.3699999999999999E-2</v>
      </c>
      <c r="CY86" s="46">
        <v>2.3199999999999998E-2</v>
      </c>
      <c r="CZ86" s="46">
        <v>2.07E-2</v>
      </c>
      <c r="DA86" s="46">
        <v>2.07E-2</v>
      </c>
      <c r="DB86" s="46">
        <v>2.07E-2</v>
      </c>
      <c r="DC86" s="46">
        <v>2.07E-2</v>
      </c>
      <c r="DD86" s="46">
        <v>2.07E-2</v>
      </c>
      <c r="DE86" s="46">
        <v>2.07E-2</v>
      </c>
      <c r="DF86" s="46">
        <v>2.2200000000000001E-2</v>
      </c>
      <c r="DG86" s="46">
        <v>2.3699999999999999E-2</v>
      </c>
      <c r="DH86" s="46">
        <v>2.47E-2</v>
      </c>
      <c r="DI86" s="46">
        <v>2.5700000000000001E-2</v>
      </c>
      <c r="DJ86" s="54">
        <v>2.6700000000000002E-2</v>
      </c>
      <c r="DK86" s="53">
        <v>2.47E-2</v>
      </c>
      <c r="DL86" s="46">
        <v>2.2200000000000001E-2</v>
      </c>
      <c r="DM86" s="46">
        <v>2.4199999999999999E-2</v>
      </c>
      <c r="DN86" s="46">
        <v>2.1700000000000001E-2</v>
      </c>
      <c r="DO86" s="46">
        <v>1.9199999999999998E-2</v>
      </c>
      <c r="DP86" s="46">
        <v>1.9699999999999999E-2</v>
      </c>
      <c r="DQ86" s="45">
        <v>2.07E-2</v>
      </c>
      <c r="DR86" s="45">
        <v>1.9699999999999999E-2</v>
      </c>
      <c r="DS86" s="45">
        <v>2.1700000000000001E-2</v>
      </c>
      <c r="DT86" s="46">
        <v>2.2200000000000001E-2</v>
      </c>
      <c r="DU86" s="46">
        <v>2.12E-2</v>
      </c>
      <c r="DV86" s="46">
        <v>2.1700000000000001E-2</v>
      </c>
      <c r="DW86" s="46">
        <v>2.2700000000000001E-2</v>
      </c>
      <c r="DX86" s="46">
        <v>2.1700000000000001E-2</v>
      </c>
      <c r="DY86" s="46">
        <v>2.1700000000000001E-2</v>
      </c>
      <c r="DZ86" s="46">
        <v>2.52E-2</v>
      </c>
      <c r="EA86" s="46">
        <v>2.4199999999999999E-2</v>
      </c>
      <c r="EB86" s="46">
        <v>2.7699999999999999E-2</v>
      </c>
      <c r="EC86" s="46">
        <v>2.7199999999999998E-2</v>
      </c>
      <c r="ED86" s="46">
        <v>2.52E-2</v>
      </c>
      <c r="EE86" s="46">
        <v>2.52E-2</v>
      </c>
      <c r="EF86" s="46">
        <v>2.6200000000000001E-2</v>
      </c>
      <c r="EG86" s="46">
        <v>2.6700000000000002E-2</v>
      </c>
      <c r="EH86" s="46">
        <v>2.7699999999999999E-2</v>
      </c>
      <c r="EI86" s="46">
        <v>2.7699999999999999E-2</v>
      </c>
      <c r="EJ86" s="46">
        <v>3.0700000000000002E-2</v>
      </c>
      <c r="EK86" s="44">
        <v>2.9700000000000001E-2</v>
      </c>
      <c r="EL86" s="44">
        <v>3.0700000000000002E-2</v>
      </c>
      <c r="EM86" s="44">
        <v>3.0700000000000002E-2</v>
      </c>
      <c r="EN86" s="46">
        <v>2.9700000000000001E-2</v>
      </c>
      <c r="EO86" s="46">
        <v>2.9700000000000001E-2</v>
      </c>
      <c r="EP86" s="46">
        <v>2.92E-2</v>
      </c>
      <c r="EQ86" s="44">
        <v>2.52E-2</v>
      </c>
      <c r="ER86" s="44">
        <v>2.5700000000000001E-2</v>
      </c>
      <c r="ES86" s="44">
        <v>2.4199999999999999E-2</v>
      </c>
      <c r="ET86" s="44">
        <v>2.0199999999999999E-2</v>
      </c>
      <c r="EU86" s="44">
        <v>2.0199999999999999E-2</v>
      </c>
      <c r="EV86" s="44">
        <v>2.07E-2</v>
      </c>
      <c r="EW86" s="44">
        <v>2.07E-2</v>
      </c>
      <c r="EX86" s="44">
        <v>2.07E-2</v>
      </c>
      <c r="EY86" s="44">
        <v>2.0199999999999999E-2</v>
      </c>
      <c r="EZ86" s="44">
        <v>2.07E-2</v>
      </c>
      <c r="FA86" s="44">
        <v>2.12E-2</v>
      </c>
      <c r="FB86" s="44">
        <v>2.12E-2</v>
      </c>
      <c r="FC86" s="46">
        <v>1.9699999999999999E-2</v>
      </c>
      <c r="FD86" s="45">
        <v>1.9699999999999999E-2</v>
      </c>
      <c r="FE86" s="45">
        <v>1.8700000000000001E-2</v>
      </c>
      <c r="FF86" s="45">
        <v>1.9199999999999998E-2</v>
      </c>
      <c r="FG86" s="45">
        <v>2.0199999999999999E-2</v>
      </c>
      <c r="FH86" s="45">
        <v>2.07E-2</v>
      </c>
      <c r="FI86" s="45">
        <v>2.1700000000000001E-2</v>
      </c>
      <c r="FJ86" s="45">
        <v>2.2200000000000001E-2</v>
      </c>
      <c r="FK86" s="45">
        <v>2.1700000000000001E-2</v>
      </c>
      <c r="FL86" s="46">
        <v>2.3199999999999998E-2</v>
      </c>
      <c r="FM86" s="45">
        <v>2.3199999999999998E-2</v>
      </c>
      <c r="FN86" s="45">
        <v>2.2200000000000001E-2</v>
      </c>
      <c r="FO86" s="45">
        <v>2.47E-2</v>
      </c>
      <c r="FP86" s="45">
        <v>2.5700000000000001E-2</v>
      </c>
      <c r="FQ86" s="45">
        <v>2.47E-2</v>
      </c>
      <c r="FR86" s="45">
        <v>2.2700000000000001E-2</v>
      </c>
      <c r="FS86" s="45">
        <v>2.3199999999999998E-2</v>
      </c>
      <c r="FT86" s="45">
        <v>2.3699999999999999E-2</v>
      </c>
      <c r="FU86" s="46">
        <v>2.2700000000000001E-2</v>
      </c>
      <c r="FV86" s="46">
        <v>2.3699999999999999E-2</v>
      </c>
      <c r="FW86" s="45">
        <v>2.8199999999999999E-2</v>
      </c>
      <c r="FX86" s="45">
        <v>2.6700000000000002E-2</v>
      </c>
      <c r="FY86" s="45">
        <v>2.7199999999999998E-2</v>
      </c>
      <c r="FZ86" s="45">
        <v>2.3199999999999998E-2</v>
      </c>
      <c r="GA86" s="45">
        <v>2.3199999999999998E-2</v>
      </c>
      <c r="GB86" s="45">
        <v>2.4199999999999999E-2</v>
      </c>
      <c r="GC86" s="45">
        <v>2.5700000000000001E-2</v>
      </c>
      <c r="GD86" s="45">
        <v>2.6700000000000002E-2</v>
      </c>
      <c r="GE86" s="45">
        <v>2.5700000000000001E-2</v>
      </c>
      <c r="GF86" s="45">
        <v>2.52E-2</v>
      </c>
      <c r="GG86" s="45">
        <v>2.6200000000000001E-2</v>
      </c>
      <c r="GH86" s="45">
        <v>2.7699999999999999E-2</v>
      </c>
      <c r="GI86" s="45">
        <v>2.3199999999999998E-2</v>
      </c>
      <c r="GJ86" s="45">
        <v>2.52E-2</v>
      </c>
      <c r="GK86" s="45">
        <v>2.2700000000000001E-2</v>
      </c>
      <c r="GL86" s="45">
        <v>2.8199999999999999E-2</v>
      </c>
      <c r="GM86" s="45">
        <v>2.9700000000000001E-2</v>
      </c>
      <c r="GN86" s="45">
        <v>2.52E-2</v>
      </c>
      <c r="GO86" s="45">
        <v>2.3199999999999998E-2</v>
      </c>
      <c r="GP86" s="45">
        <v>2.3699999999999999E-2</v>
      </c>
      <c r="GQ86" s="45">
        <v>2.2700000000000001E-2</v>
      </c>
      <c r="GR86" s="45">
        <v>2.1700000000000001E-2</v>
      </c>
      <c r="GS86" s="51">
        <v>2.12E-2</v>
      </c>
      <c r="GT86" s="51">
        <f>GU86-0.15%</f>
        <v>1.9699999999999999E-2</v>
      </c>
      <c r="GU86" s="51">
        <v>2.12E-2</v>
      </c>
      <c r="GV86" s="51">
        <v>2.3199999999999998E-2</v>
      </c>
      <c r="GW86" s="59"/>
      <c r="GX86" s="59"/>
      <c r="GY86" s="59"/>
      <c r="GZ86" s="59"/>
      <c r="HA86" s="59"/>
      <c r="HB86" s="59"/>
      <c r="HC86" s="59"/>
      <c r="HD86" s="59"/>
      <c r="HE86" s="58"/>
      <c r="HF86" s="58"/>
      <c r="HG86" s="58"/>
      <c r="HH86" s="58"/>
      <c r="HI86" s="58"/>
      <c r="HJ86" s="58"/>
      <c r="HK86" s="58"/>
      <c r="HL86" s="41">
        <f t="shared" si="40"/>
        <v>-6.0000000000000001E-3</v>
      </c>
      <c r="HM86" s="57" t="s">
        <v>92</v>
      </c>
      <c r="HN86" s="57" t="s">
        <v>92</v>
      </c>
      <c r="HO86" s="57" t="s">
        <v>92</v>
      </c>
      <c r="HP86" s="56">
        <v>0</v>
      </c>
      <c r="HQ86" s="55" t="s">
        <v>91</v>
      </c>
      <c r="LN86" s="473">
        <f t="shared" si="41"/>
        <v>0</v>
      </c>
    </row>
    <row r="87" spans="1:326">
      <c r="A87" s="1168"/>
      <c r="B87" s="60"/>
      <c r="C87" s="60"/>
      <c r="D87" s="60"/>
      <c r="E87" s="60"/>
      <c r="F87" s="60"/>
      <c r="G87" s="60"/>
      <c r="H87" s="60"/>
      <c r="I87" s="60"/>
      <c r="J87" s="60"/>
      <c r="K87" s="60"/>
      <c r="L87" s="60"/>
      <c r="M87" s="60"/>
      <c r="N87" s="61"/>
      <c r="O87" s="60"/>
      <c r="P87" s="738" t="s">
        <v>90</v>
      </c>
      <c r="Q87" s="590">
        <v>1.09E-2</v>
      </c>
      <c r="R87" s="590">
        <v>1.09E-2</v>
      </c>
      <c r="S87" s="590">
        <v>1.29E-2</v>
      </c>
      <c r="T87" s="590">
        <v>1.24E-2</v>
      </c>
      <c r="U87" s="626">
        <v>1.29E-2</v>
      </c>
      <c r="V87" s="626">
        <v>1.29E-2</v>
      </c>
      <c r="W87" s="626">
        <v>1.29E-2</v>
      </c>
      <c r="X87" s="590">
        <v>1.29E-2</v>
      </c>
      <c r="Y87" s="590">
        <v>1.34E-2</v>
      </c>
      <c r="Z87" s="590">
        <v>1.44E-2</v>
      </c>
      <c r="AA87" s="590">
        <v>1.3899999999999999E-2</v>
      </c>
      <c r="AB87" s="626">
        <v>1.44E-2</v>
      </c>
      <c r="AC87" s="590">
        <v>1.44E-2</v>
      </c>
      <c r="AD87" s="626">
        <v>1.5900000000000001E-2</v>
      </c>
      <c r="AE87" s="590">
        <v>1.5900000000000001E-2</v>
      </c>
      <c r="AF87" s="590">
        <v>1.54E-2</v>
      </c>
      <c r="AG87" s="590">
        <v>1.3899999999999999E-2</v>
      </c>
      <c r="AH87" s="590">
        <v>1.5399999999999999E-2</v>
      </c>
      <c r="AI87" s="590">
        <v>1.3399999999999999E-2</v>
      </c>
      <c r="AJ87" s="48">
        <v>1.3899999999999999E-2</v>
      </c>
      <c r="AK87" s="47">
        <v>1.5399999999999999E-2</v>
      </c>
      <c r="AL87" s="47">
        <v>1.5399999999999999E-2</v>
      </c>
      <c r="AM87" s="48">
        <v>1.5399999999999999E-2</v>
      </c>
      <c r="AN87" s="48">
        <v>1.3899999999999999E-2</v>
      </c>
      <c r="AO87" s="48">
        <v>1.44E-2</v>
      </c>
      <c r="AP87" s="48">
        <v>1.3399999999999999E-2</v>
      </c>
      <c r="AQ87" s="48">
        <v>1.44E-2</v>
      </c>
      <c r="AR87" s="47">
        <v>1.3899999999999999E-2</v>
      </c>
      <c r="AS87" s="48">
        <v>1.49E-2</v>
      </c>
      <c r="AT87" s="460">
        <v>1.44E-2</v>
      </c>
      <c r="AU87" s="34">
        <v>1.24E-2</v>
      </c>
      <c r="AV87" s="34">
        <v>1.1900000000000001E-2</v>
      </c>
      <c r="AW87" s="34">
        <v>1.24E-2</v>
      </c>
      <c r="AX87" s="35">
        <v>1.34E-2</v>
      </c>
      <c r="AY87" s="34">
        <v>1.34E-2</v>
      </c>
      <c r="AZ87" s="35">
        <v>1.44E-2</v>
      </c>
      <c r="BA87" s="35">
        <v>1.44E-2</v>
      </c>
      <c r="BB87" s="34">
        <v>1.44E-2</v>
      </c>
      <c r="BC87" s="35">
        <v>1.3899999999999999E-2</v>
      </c>
      <c r="BD87" s="35">
        <v>1.3899999999999999E-2</v>
      </c>
      <c r="BE87" s="34">
        <v>1.3899999999999999E-2</v>
      </c>
      <c r="BF87" s="35">
        <v>1.29E-2</v>
      </c>
      <c r="BG87" s="35">
        <v>1.29E-2</v>
      </c>
      <c r="BH87" s="34">
        <v>1.29E-2</v>
      </c>
      <c r="BI87" s="34">
        <v>1.44E-2</v>
      </c>
      <c r="BJ87" s="46">
        <v>1.54E-2</v>
      </c>
      <c r="BK87" s="46">
        <v>1.29E-2</v>
      </c>
      <c r="BL87" s="46">
        <v>1.6400000000000001E-2</v>
      </c>
      <c r="BM87" s="46">
        <v>1.7899999999999999E-2</v>
      </c>
      <c r="BN87" s="46">
        <v>1.6899999999999998E-2</v>
      </c>
      <c r="BO87" s="46">
        <v>1.6899999999999998E-2</v>
      </c>
      <c r="BP87" s="46">
        <v>1.7899999999999999E-2</v>
      </c>
      <c r="BQ87" s="46">
        <v>1.89E-2</v>
      </c>
      <c r="BR87" s="46">
        <v>1.9400000000000001E-2</v>
      </c>
      <c r="BS87" s="46">
        <v>1.9400000000000001E-2</v>
      </c>
      <c r="BT87" s="46">
        <v>1.89E-2</v>
      </c>
      <c r="BU87" s="46">
        <v>1.9900000000000001E-2</v>
      </c>
      <c r="BV87" s="46">
        <v>1.9400000000000001E-2</v>
      </c>
      <c r="BW87" s="46">
        <v>1.89E-2</v>
      </c>
      <c r="BX87" s="46">
        <v>2.0899999999999998E-2</v>
      </c>
      <c r="BY87" s="46">
        <v>2.1399999999999999E-2</v>
      </c>
      <c r="BZ87" s="46">
        <v>2.0899999999999998E-2</v>
      </c>
      <c r="CA87" s="46">
        <v>2.29E-2</v>
      </c>
      <c r="CB87" s="46">
        <v>2.3900000000000001E-2</v>
      </c>
      <c r="CC87" s="46">
        <v>2.3400000000000001E-2</v>
      </c>
      <c r="CD87" s="46">
        <v>2.29E-2</v>
      </c>
      <c r="CE87" s="46">
        <v>2.4899999999999999E-2</v>
      </c>
      <c r="CF87" s="46">
        <v>2.3900000000000001E-2</v>
      </c>
      <c r="CG87" s="46">
        <v>1.89E-2</v>
      </c>
      <c r="CH87" s="46">
        <v>1.7399999999999999E-2</v>
      </c>
      <c r="CI87" s="46">
        <v>1.7399999999999999E-2</v>
      </c>
      <c r="CJ87" s="46">
        <v>1.7399999999999999E-2</v>
      </c>
      <c r="CK87" s="46">
        <v>1.7899999999999999E-2</v>
      </c>
      <c r="CL87" s="46">
        <v>1.6899999999999998E-2</v>
      </c>
      <c r="CM87" s="46">
        <v>1.3899999999999999E-2</v>
      </c>
      <c r="CN87" s="46">
        <v>1.3899999999999999E-2</v>
      </c>
      <c r="CO87" s="46">
        <v>1.49E-2</v>
      </c>
      <c r="CP87" s="46">
        <v>1.34E-2</v>
      </c>
      <c r="CQ87" s="46">
        <v>1.3899999999999999E-2</v>
      </c>
      <c r="CR87" s="46">
        <v>1.44E-2</v>
      </c>
      <c r="CS87" s="46">
        <v>1.49E-2</v>
      </c>
      <c r="CT87" s="46">
        <v>1.5900000000000001E-2</v>
      </c>
      <c r="CU87" s="46">
        <v>1.3899999999999999E-2</v>
      </c>
      <c r="CV87" s="46">
        <v>2.1399999999999999E-2</v>
      </c>
      <c r="CW87" s="46">
        <v>2.3400000000000001E-2</v>
      </c>
      <c r="CX87" s="46">
        <v>2.4899999999999999E-2</v>
      </c>
      <c r="CY87" s="46">
        <v>2.4400000000000002E-2</v>
      </c>
      <c r="CZ87" s="46">
        <v>2.1899999999999999E-2</v>
      </c>
      <c r="DA87" s="46">
        <v>2.1899999999999999E-2</v>
      </c>
      <c r="DB87" s="46">
        <v>2.1899999999999999E-2</v>
      </c>
      <c r="DC87" s="46">
        <v>2.1899999999999999E-2</v>
      </c>
      <c r="DD87" s="46">
        <v>2.1899999999999999E-2</v>
      </c>
      <c r="DE87" s="46">
        <v>2.1899999999999999E-2</v>
      </c>
      <c r="DF87" s="46">
        <v>2.3400000000000001E-2</v>
      </c>
      <c r="DG87" s="46">
        <v>2.4899999999999999E-2</v>
      </c>
      <c r="DH87" s="46">
        <v>2.5899999999999999E-2</v>
      </c>
      <c r="DI87" s="46">
        <v>2.69E-2</v>
      </c>
      <c r="DJ87" s="54">
        <v>2.7900000000000001E-2</v>
      </c>
      <c r="DK87" s="53">
        <v>2.5899999999999999E-2</v>
      </c>
      <c r="DL87" s="46">
        <v>2.3400000000000001E-2</v>
      </c>
      <c r="DM87" s="46">
        <v>2.5399999999999999E-2</v>
      </c>
      <c r="DN87" s="46">
        <v>2.29E-2</v>
      </c>
      <c r="DO87" s="46">
        <v>2.0400000000000001E-2</v>
      </c>
      <c r="DP87" s="46">
        <v>2.0899999999999998E-2</v>
      </c>
      <c r="DQ87" s="45">
        <v>2.1899999999999999E-2</v>
      </c>
      <c r="DR87" s="45">
        <v>2.0899999999999998E-2</v>
      </c>
      <c r="DS87" s="45">
        <v>2.29E-2</v>
      </c>
      <c r="DT87" s="46">
        <v>2.3400000000000001E-2</v>
      </c>
      <c r="DU87" s="46">
        <v>2.24E-2</v>
      </c>
      <c r="DV87" s="46">
        <v>2.29E-2</v>
      </c>
      <c r="DW87" s="46">
        <v>2.3900000000000001E-2</v>
      </c>
      <c r="DX87" s="46">
        <v>2.29E-2</v>
      </c>
      <c r="DY87" s="46">
        <v>2.29E-2</v>
      </c>
      <c r="DZ87" s="46">
        <v>2.64E-2</v>
      </c>
      <c r="EA87" s="46">
        <v>2.5399999999999999E-2</v>
      </c>
      <c r="EB87" s="46">
        <v>2.8899999999999999E-2</v>
      </c>
      <c r="EC87" s="46">
        <v>2.8400000000000002E-2</v>
      </c>
      <c r="ED87" s="46">
        <v>2.64E-2</v>
      </c>
      <c r="EE87" s="46">
        <v>2.64E-2</v>
      </c>
      <c r="EF87" s="46">
        <v>2.7400000000000001E-2</v>
      </c>
      <c r="EG87" s="46">
        <v>2.7900000000000001E-2</v>
      </c>
      <c r="EH87" s="46">
        <v>2.8899999999999999E-2</v>
      </c>
      <c r="EI87" s="46">
        <v>2.8899999999999999E-2</v>
      </c>
      <c r="EJ87" s="46">
        <v>3.1899999999999998E-2</v>
      </c>
      <c r="EK87" s="44">
        <v>3.09E-2</v>
      </c>
      <c r="EL87" s="44">
        <v>3.1899999999999998E-2</v>
      </c>
      <c r="EM87" s="44">
        <v>3.1899999999999998E-2</v>
      </c>
      <c r="EN87" s="46">
        <v>3.09E-2</v>
      </c>
      <c r="EO87" s="46">
        <v>3.09E-2</v>
      </c>
      <c r="EP87" s="46">
        <v>3.04E-2</v>
      </c>
      <c r="EQ87" s="44">
        <v>2.64E-2</v>
      </c>
      <c r="ER87" s="44">
        <v>2.69E-2</v>
      </c>
      <c r="ES87" s="44">
        <v>2.5399999999999999E-2</v>
      </c>
      <c r="ET87" s="44">
        <v>2.1399999999999999E-2</v>
      </c>
      <c r="EU87" s="44">
        <v>2.1399999999999999E-2</v>
      </c>
      <c r="EV87" s="44">
        <v>2.1899999999999999E-2</v>
      </c>
      <c r="EW87" s="44">
        <v>2.1899999999999999E-2</v>
      </c>
      <c r="EX87" s="44">
        <v>2.1899999999999999E-2</v>
      </c>
      <c r="EY87" s="44">
        <v>2.1399999999999999E-2</v>
      </c>
      <c r="EZ87" s="44">
        <v>2.1899999999999999E-2</v>
      </c>
      <c r="FA87" s="44">
        <v>2.24E-2</v>
      </c>
      <c r="FB87" s="44">
        <v>2.24E-2</v>
      </c>
      <c r="FC87" s="46">
        <v>2.0899999999999998E-2</v>
      </c>
      <c r="FD87" s="45">
        <v>2.0899999999999998E-2</v>
      </c>
      <c r="FE87" s="45">
        <v>1.9900000000000001E-2</v>
      </c>
      <c r="FF87" s="45">
        <v>2.0400000000000001E-2</v>
      </c>
      <c r="FG87" s="45">
        <v>2.1399999999999999E-2</v>
      </c>
      <c r="FH87" s="45">
        <v>2.1899999999999999E-2</v>
      </c>
      <c r="FI87" s="45">
        <v>2.29E-2</v>
      </c>
      <c r="FJ87" s="45">
        <v>2.3400000000000001E-2</v>
      </c>
      <c r="FK87" s="45">
        <v>2.29E-2</v>
      </c>
      <c r="FL87" s="46">
        <v>2.4400000000000002E-2</v>
      </c>
      <c r="FM87" s="45">
        <v>2.4400000000000002E-2</v>
      </c>
      <c r="FN87" s="45">
        <v>2.3400000000000001E-2</v>
      </c>
      <c r="FO87" s="45">
        <v>2.5899999999999999E-2</v>
      </c>
      <c r="FP87" s="45">
        <v>2.69E-2</v>
      </c>
      <c r="FQ87" s="45">
        <v>2.5899999999999999E-2</v>
      </c>
      <c r="FR87" s="45">
        <v>2.3900000000000001E-2</v>
      </c>
      <c r="FS87" s="45">
        <v>2.4400000000000002E-2</v>
      </c>
      <c r="FT87" s="45">
        <v>2.4899999999999999E-2</v>
      </c>
      <c r="FU87" s="46">
        <v>2.3900000000000001E-2</v>
      </c>
      <c r="FV87" s="46">
        <v>2.4899999999999999E-2</v>
      </c>
      <c r="FW87" s="45">
        <v>2.9399999999999999E-2</v>
      </c>
      <c r="FX87" s="45">
        <v>2.7900000000000001E-2</v>
      </c>
      <c r="FY87" s="45">
        <v>2.8400000000000002E-2</v>
      </c>
      <c r="FZ87" s="45">
        <v>2.4400000000000002E-2</v>
      </c>
      <c r="GA87" s="45">
        <v>2.4400000000000002E-2</v>
      </c>
      <c r="GB87" s="45">
        <v>2.5399999999999999E-2</v>
      </c>
      <c r="GC87" s="45">
        <v>2.69E-2</v>
      </c>
      <c r="GD87" s="45">
        <v>2.7900000000000001E-2</v>
      </c>
      <c r="GE87" s="45">
        <v>2.69E-2</v>
      </c>
      <c r="GF87" s="45">
        <v>2.64E-2</v>
      </c>
      <c r="GG87" s="45">
        <v>2.7400000000000001E-2</v>
      </c>
      <c r="GH87" s="45">
        <v>2.8899999999999999E-2</v>
      </c>
      <c r="GI87" s="45">
        <v>2.4400000000000002E-2</v>
      </c>
      <c r="GJ87" s="45">
        <v>2.64E-2</v>
      </c>
      <c r="GK87" s="45">
        <v>2.3900000000000001E-2</v>
      </c>
      <c r="GL87" s="45">
        <v>2.9399999999999999E-2</v>
      </c>
      <c r="GM87" s="45">
        <v>3.09E-2</v>
      </c>
      <c r="GN87" s="45">
        <v>2.64E-2</v>
      </c>
      <c r="GO87" s="45">
        <v>2.4400000000000002E-2</v>
      </c>
      <c r="GP87" s="45">
        <v>2.4899999999999999E-2</v>
      </c>
      <c r="GQ87" s="45">
        <v>2.3900000000000001E-2</v>
      </c>
      <c r="GR87" s="45">
        <v>2.29E-2</v>
      </c>
      <c r="GS87" s="51">
        <v>2.24E-2</v>
      </c>
      <c r="GT87" s="51">
        <f>GU87-0.15%</f>
        <v>2.0899999999999998E-2</v>
      </c>
      <c r="GU87" s="51">
        <v>2.24E-2</v>
      </c>
      <c r="GV87" s="51">
        <v>2.4400000000000002E-2</v>
      </c>
      <c r="GW87" s="59"/>
      <c r="GX87" s="59"/>
      <c r="GY87" s="59"/>
      <c r="GZ87" s="59"/>
      <c r="HA87" s="59"/>
      <c r="HB87" s="59"/>
      <c r="HC87" s="59"/>
      <c r="HD87" s="59"/>
      <c r="HE87" s="58"/>
      <c r="HF87" s="58"/>
      <c r="HG87" s="58"/>
      <c r="HH87" s="58"/>
      <c r="HI87" s="58"/>
      <c r="HJ87" s="58"/>
      <c r="HK87" s="58"/>
      <c r="HL87" s="41">
        <f t="shared" si="40"/>
        <v>-6.0000000000000001E-3</v>
      </c>
      <c r="HM87" s="57" t="s">
        <v>68</v>
      </c>
      <c r="HN87" s="57" t="s">
        <v>68</v>
      </c>
      <c r="HO87" s="57" t="s">
        <v>68</v>
      </c>
      <c r="HP87" s="56">
        <v>0</v>
      </c>
      <c r="HQ87" s="55"/>
      <c r="LN87" s="473">
        <f t="shared" si="41"/>
        <v>0</v>
      </c>
    </row>
    <row r="88" spans="1:326">
      <c r="A88" s="1169"/>
      <c r="B88" s="37" t="s">
        <v>58</v>
      </c>
      <c r="C88" s="37" t="s">
        <v>58</v>
      </c>
      <c r="D88" s="37" t="s">
        <v>58</v>
      </c>
      <c r="E88" s="37" t="s">
        <v>57</v>
      </c>
      <c r="F88" s="37"/>
      <c r="G88" s="37"/>
      <c r="H88" s="37" t="s">
        <v>56</v>
      </c>
      <c r="I88" s="37" t="s">
        <v>56</v>
      </c>
      <c r="J88" s="37" t="s">
        <v>56</v>
      </c>
      <c r="K88" s="37" t="s">
        <v>55</v>
      </c>
      <c r="L88" s="37" t="s">
        <v>54</v>
      </c>
      <c r="M88" s="37" t="s">
        <v>54</v>
      </c>
      <c r="N88" s="37" t="s">
        <v>54</v>
      </c>
      <c r="O88" s="37"/>
      <c r="P88" s="738" t="s">
        <v>89</v>
      </c>
      <c r="Q88" s="590">
        <v>1.2800000000000001E-2</v>
      </c>
      <c r="R88" s="590">
        <v>1.2800000000000001E-2</v>
      </c>
      <c r="S88" s="590">
        <v>1.4800000000000001E-2</v>
      </c>
      <c r="T88" s="590">
        <v>1.43E-2</v>
      </c>
      <c r="U88" s="626">
        <v>1.4800000000000001E-2</v>
      </c>
      <c r="V88" s="626">
        <v>1.4800000000000001E-2</v>
      </c>
      <c r="W88" s="626">
        <v>1.4800000000000001E-2</v>
      </c>
      <c r="X88" s="590">
        <v>1.4800000000000001E-2</v>
      </c>
      <c r="Y88" s="590">
        <v>1.5299999999999999E-2</v>
      </c>
      <c r="Z88" s="590">
        <v>1.6299999999999999E-2</v>
      </c>
      <c r="AA88" s="590">
        <v>1.5800000000000002E-2</v>
      </c>
      <c r="AB88" s="626">
        <v>1.6299999999999999E-2</v>
      </c>
      <c r="AC88" s="590">
        <v>1.6299999999999999E-2</v>
      </c>
      <c r="AD88" s="626">
        <v>1.78E-2</v>
      </c>
      <c r="AE88" s="590">
        <v>1.78E-2</v>
      </c>
      <c r="AF88" s="590">
        <v>1.7299999999999999E-2</v>
      </c>
      <c r="AG88" s="590">
        <v>1.5800000000000002E-2</v>
      </c>
      <c r="AH88" s="590">
        <v>1.7300000000000003E-2</v>
      </c>
      <c r="AI88" s="590">
        <v>1.5300000000000001E-2</v>
      </c>
      <c r="AJ88" s="48">
        <v>1.5800000000000002E-2</v>
      </c>
      <c r="AK88" s="47">
        <v>1.7300000000000003E-2</v>
      </c>
      <c r="AL88" s="47">
        <v>1.7300000000000003E-2</v>
      </c>
      <c r="AM88" s="48">
        <v>1.7300000000000003E-2</v>
      </c>
      <c r="AN88" s="48">
        <v>1.5800000000000002E-2</v>
      </c>
      <c r="AO88" s="48">
        <v>1.6300000000000002E-2</v>
      </c>
      <c r="AP88" s="48">
        <v>1.5300000000000001E-2</v>
      </c>
      <c r="AQ88" s="48">
        <v>1.6300000000000002E-2</v>
      </c>
      <c r="AR88" s="47">
        <v>1.5800000000000002E-2</v>
      </c>
      <c r="AS88" s="48">
        <v>1.6799999999999999E-2</v>
      </c>
      <c r="AT88" s="460">
        <v>1.6299999999999999E-2</v>
      </c>
      <c r="AU88" s="34">
        <v>1.43E-2</v>
      </c>
      <c r="AV88" s="34">
        <v>1.38E-2</v>
      </c>
      <c r="AW88" s="34">
        <v>1.43E-2</v>
      </c>
      <c r="AX88" s="35">
        <v>1.5299999999999999E-2</v>
      </c>
      <c r="AY88" s="34">
        <v>1.5299999999999999E-2</v>
      </c>
      <c r="AZ88" s="35">
        <v>1.6299999999999999E-2</v>
      </c>
      <c r="BA88" s="35">
        <v>1.6299999999999999E-2</v>
      </c>
      <c r="BB88" s="34">
        <v>1.6299999999999999E-2</v>
      </c>
      <c r="BC88" s="35">
        <v>1.5800000000000002E-2</v>
      </c>
      <c r="BD88" s="35">
        <v>1.5800000000000002E-2</v>
      </c>
      <c r="BE88" s="34">
        <v>1.5800000000000002E-2</v>
      </c>
      <c r="BF88" s="35">
        <v>1.4800000000000001E-2</v>
      </c>
      <c r="BG88" s="35">
        <v>1.4800000000000001E-2</v>
      </c>
      <c r="BH88" s="34">
        <v>1.4800000000000001E-2</v>
      </c>
      <c r="BI88" s="34">
        <v>1.6299999999999999E-2</v>
      </c>
      <c r="BJ88" s="46">
        <v>1.7299999999999999E-2</v>
      </c>
      <c r="BK88" s="46">
        <v>1.4800000000000001E-2</v>
      </c>
      <c r="BL88" s="46">
        <v>1.83E-2</v>
      </c>
      <c r="BM88" s="46">
        <v>1.9800000000000002E-2</v>
      </c>
      <c r="BN88" s="46">
        <v>1.8800000000000001E-2</v>
      </c>
      <c r="BO88" s="46">
        <v>1.8800000000000001E-2</v>
      </c>
      <c r="BP88" s="46">
        <v>1.9800000000000002E-2</v>
      </c>
      <c r="BQ88" s="46">
        <v>2.0799999999999999E-2</v>
      </c>
      <c r="BR88" s="46">
        <v>2.1299999999999999E-2</v>
      </c>
      <c r="BS88" s="46">
        <v>2.1299999999999999E-2</v>
      </c>
      <c r="BT88" s="46">
        <v>2.0799999999999999E-2</v>
      </c>
      <c r="BU88" s="46">
        <v>2.18E-2</v>
      </c>
      <c r="BV88" s="46">
        <v>2.1299999999999999E-2</v>
      </c>
      <c r="BW88" s="46">
        <v>2.0799999999999999E-2</v>
      </c>
      <c r="BX88" s="46">
        <v>2.2800000000000001E-2</v>
      </c>
      <c r="BY88" s="46">
        <v>2.3300000000000001E-2</v>
      </c>
      <c r="BZ88" s="46">
        <v>2.2800000000000001E-2</v>
      </c>
      <c r="CA88" s="46">
        <v>2.4799999999999999E-2</v>
      </c>
      <c r="CB88" s="46">
        <v>2.58E-2</v>
      </c>
      <c r="CC88" s="46">
        <v>2.53E-2</v>
      </c>
      <c r="CD88" s="46">
        <v>2.6800000000000001E-2</v>
      </c>
      <c r="CE88" s="46">
        <v>2.6800000000000001E-2</v>
      </c>
      <c r="CF88" s="46">
        <v>2.58E-2</v>
      </c>
      <c r="CG88" s="46">
        <v>2.0799999999999999E-2</v>
      </c>
      <c r="CH88" s="46">
        <v>1.9300000000000001E-2</v>
      </c>
      <c r="CI88" s="46">
        <v>1.9300000000000001E-2</v>
      </c>
      <c r="CJ88" s="46">
        <v>1.9300000000000001E-2</v>
      </c>
      <c r="CK88" s="46">
        <v>1.9800000000000002E-2</v>
      </c>
      <c r="CL88" s="46">
        <v>1.8800000000000001E-2</v>
      </c>
      <c r="CM88" s="46">
        <v>1.5800000000000002E-2</v>
      </c>
      <c r="CN88" s="46">
        <v>1.5800000000000002E-2</v>
      </c>
      <c r="CO88" s="46">
        <v>1.6799999999999999E-2</v>
      </c>
      <c r="CP88" s="46">
        <v>1.5299999999999999E-2</v>
      </c>
      <c r="CQ88" s="46">
        <v>1.5800000000000002E-2</v>
      </c>
      <c r="CR88" s="46">
        <v>1.6299999999999999E-2</v>
      </c>
      <c r="CS88" s="46">
        <v>1.6799999999999999E-2</v>
      </c>
      <c r="CT88" s="46">
        <v>1.78E-2</v>
      </c>
      <c r="CU88" s="46">
        <v>1.5800000000000002E-2</v>
      </c>
      <c r="CV88" s="46">
        <v>2.3300000000000001E-2</v>
      </c>
      <c r="CW88" s="46">
        <v>2.53E-2</v>
      </c>
      <c r="CX88" s="46">
        <v>2.6800000000000001E-2</v>
      </c>
      <c r="CY88" s="46">
        <v>2.63E-2</v>
      </c>
      <c r="CZ88" s="46">
        <v>2.3800000000000002E-2</v>
      </c>
      <c r="DA88" s="46">
        <v>2.3800000000000002E-2</v>
      </c>
      <c r="DB88" s="46">
        <v>2.3800000000000002E-2</v>
      </c>
      <c r="DC88" s="46">
        <v>2.3800000000000002E-2</v>
      </c>
      <c r="DD88" s="46">
        <v>2.3800000000000002E-2</v>
      </c>
      <c r="DE88" s="46">
        <v>2.3800000000000002E-2</v>
      </c>
      <c r="DF88" s="46">
        <v>2.53E-2</v>
      </c>
      <c r="DG88" s="46">
        <v>2.6800000000000001E-2</v>
      </c>
      <c r="DH88" s="46">
        <v>2.7799999999999998E-2</v>
      </c>
      <c r="DI88" s="46">
        <v>2.8799999999999999E-2</v>
      </c>
      <c r="DJ88" s="54">
        <v>2.98E-2</v>
      </c>
      <c r="DK88" s="53">
        <v>2.7799999999999998E-2</v>
      </c>
      <c r="DL88" s="46">
        <v>2.53E-2</v>
      </c>
      <c r="DM88" s="46">
        <v>2.7300000000000001E-2</v>
      </c>
      <c r="DN88" s="46">
        <v>2.4799999999999999E-2</v>
      </c>
      <c r="DO88" s="46">
        <v>2.23E-2</v>
      </c>
      <c r="DP88" s="46">
        <v>2.2800000000000001E-2</v>
      </c>
      <c r="DQ88" s="45">
        <v>2.3800000000000002E-2</v>
      </c>
      <c r="DR88" s="45">
        <v>2.2800000000000001E-2</v>
      </c>
      <c r="DS88" s="45">
        <v>2.4799999999999999E-2</v>
      </c>
      <c r="DT88" s="46">
        <v>2.53E-2</v>
      </c>
      <c r="DU88" s="46">
        <v>2.4299999999999999E-2</v>
      </c>
      <c r="DV88" s="46">
        <v>2.4799999999999999E-2</v>
      </c>
      <c r="DW88" s="46">
        <v>2.58E-2</v>
      </c>
      <c r="DX88" s="46">
        <v>2.4799999999999999E-2</v>
      </c>
      <c r="DY88" s="46">
        <v>2.4799999999999999E-2</v>
      </c>
      <c r="DZ88" s="46">
        <v>2.8299999999999999E-2</v>
      </c>
      <c r="EA88" s="46">
        <v>2.7300000000000001E-2</v>
      </c>
      <c r="EB88" s="46">
        <v>3.0800000000000001E-2</v>
      </c>
      <c r="EC88" s="46">
        <v>3.0300000000000001E-2</v>
      </c>
      <c r="ED88" s="46">
        <v>2.8299999999999999E-2</v>
      </c>
      <c r="EE88" s="46">
        <v>2.8299999999999999E-2</v>
      </c>
      <c r="EF88" s="46">
        <v>2.93E-2</v>
      </c>
      <c r="EG88" s="46">
        <v>2.98E-2</v>
      </c>
      <c r="EH88" s="46">
        <v>3.0800000000000001E-2</v>
      </c>
      <c r="EI88" s="46">
        <v>3.0800000000000001E-2</v>
      </c>
      <c r="EJ88" s="46">
        <v>3.3799999999999997E-2</v>
      </c>
      <c r="EK88" s="44">
        <v>3.2800000000000003E-2</v>
      </c>
      <c r="EL88" s="44">
        <v>3.3799999999999997E-2</v>
      </c>
      <c r="EM88" s="44">
        <v>3.3799999999999997E-2</v>
      </c>
      <c r="EN88" s="46">
        <v>3.2800000000000003E-2</v>
      </c>
      <c r="EO88" s="46">
        <v>3.2800000000000003E-2</v>
      </c>
      <c r="EP88" s="46">
        <v>3.2300000000000002E-2</v>
      </c>
      <c r="EQ88" s="44">
        <v>2.8299999999999999E-2</v>
      </c>
      <c r="ER88" s="44">
        <v>2.8799999999999999E-2</v>
      </c>
      <c r="ES88" s="44">
        <v>2.7300000000000001E-2</v>
      </c>
      <c r="ET88" s="44">
        <v>2.3300000000000001E-2</v>
      </c>
      <c r="EU88" s="44">
        <v>2.3300000000000001E-2</v>
      </c>
      <c r="EV88" s="44">
        <v>2.3800000000000002E-2</v>
      </c>
      <c r="EW88" s="44">
        <v>2.3800000000000002E-2</v>
      </c>
      <c r="EX88" s="44">
        <v>2.3800000000000002E-2</v>
      </c>
      <c r="EY88" s="44">
        <v>2.3300000000000001E-2</v>
      </c>
      <c r="EZ88" s="44">
        <v>2.3800000000000002E-2</v>
      </c>
      <c r="FA88" s="44">
        <v>2.4299999999999999E-2</v>
      </c>
      <c r="FB88" s="44">
        <v>2.4299999999999999E-2</v>
      </c>
      <c r="FC88" s="46">
        <v>2.2800000000000001E-2</v>
      </c>
      <c r="FD88" s="45">
        <v>2.2800000000000001E-2</v>
      </c>
      <c r="FE88" s="45">
        <v>2.18E-2</v>
      </c>
      <c r="FF88" s="45">
        <v>2.23E-2</v>
      </c>
      <c r="FG88" s="45">
        <v>2.3300000000000001E-2</v>
      </c>
      <c r="FH88" s="45">
        <v>2.3800000000000002E-2</v>
      </c>
      <c r="FI88" s="45">
        <v>2.4799999999999999E-2</v>
      </c>
      <c r="FJ88" s="45">
        <v>2.53E-2</v>
      </c>
      <c r="FK88" s="45">
        <v>2.4799999999999999E-2</v>
      </c>
      <c r="FL88" s="46">
        <v>2.63E-2</v>
      </c>
      <c r="FM88" s="45">
        <v>2.63E-2</v>
      </c>
      <c r="FN88" s="45">
        <v>2.53E-2</v>
      </c>
      <c r="FO88" s="45">
        <v>2.7799999999999998E-2</v>
      </c>
      <c r="FP88" s="45">
        <v>2.8799999999999999E-2</v>
      </c>
      <c r="FQ88" s="45">
        <v>2.7799999999999998E-2</v>
      </c>
      <c r="FR88" s="45">
        <v>2.58E-2</v>
      </c>
      <c r="FS88" s="45">
        <v>2.63E-2</v>
      </c>
      <c r="FT88" s="45">
        <v>2.6800000000000001E-2</v>
      </c>
      <c r="FU88" s="46">
        <v>2.58E-2</v>
      </c>
      <c r="FV88" s="46">
        <v>2.6800000000000001E-2</v>
      </c>
      <c r="FW88" s="45">
        <v>3.1300000000000001E-2</v>
      </c>
      <c r="FX88" s="45">
        <v>2.98E-2</v>
      </c>
      <c r="FY88" s="45">
        <v>3.0300000000000001E-2</v>
      </c>
      <c r="FZ88" s="45">
        <v>2.63E-2</v>
      </c>
      <c r="GA88" s="45">
        <v>2.63E-2</v>
      </c>
      <c r="GB88" s="45">
        <v>2.7300000000000001E-2</v>
      </c>
      <c r="GC88" s="45">
        <v>2.8799999999999999E-2</v>
      </c>
      <c r="GD88" s="45">
        <v>2.98E-2</v>
      </c>
      <c r="GE88" s="45">
        <v>2.8799999999999999E-2</v>
      </c>
      <c r="GF88" s="45">
        <v>2.8299999999999999E-2</v>
      </c>
      <c r="GG88" s="45">
        <v>2.93E-2</v>
      </c>
      <c r="GH88" s="45">
        <v>3.0800000000000001E-2</v>
      </c>
      <c r="GI88" s="45">
        <v>2.63E-2</v>
      </c>
      <c r="GJ88" s="45">
        <v>2.8299999999999999E-2</v>
      </c>
      <c r="GK88" s="45">
        <v>2.58E-2</v>
      </c>
      <c r="GL88" s="45">
        <v>3.1300000000000001E-2</v>
      </c>
      <c r="GM88" s="45">
        <v>3.2800000000000003E-2</v>
      </c>
      <c r="GN88" s="45">
        <v>2.8299999999999999E-2</v>
      </c>
      <c r="GO88" s="45">
        <v>2.63E-2</v>
      </c>
      <c r="GP88" s="45">
        <v>2.6800000000000001E-2</v>
      </c>
      <c r="GQ88" s="45">
        <v>2.58E-2</v>
      </c>
      <c r="GR88" s="45">
        <v>2.4799999999999999E-2</v>
      </c>
      <c r="GS88" s="51">
        <v>2.4299999999999999E-2</v>
      </c>
      <c r="GT88" s="51">
        <f>GU88-0.15%</f>
        <v>2.2799999999999997E-2</v>
      </c>
      <c r="GU88" s="51">
        <v>2.4299999999999999E-2</v>
      </c>
      <c r="GV88" s="51">
        <v>2.63E-2</v>
      </c>
      <c r="GW88" s="52" t="s">
        <v>88</v>
      </c>
      <c r="GX88" s="52" t="s">
        <v>87</v>
      </c>
      <c r="GY88" s="52" t="s">
        <v>81</v>
      </c>
      <c r="GZ88" s="52" t="s">
        <v>86</v>
      </c>
      <c r="HA88" s="52" t="s">
        <v>85</v>
      </c>
      <c r="HB88" s="52" t="s">
        <v>84</v>
      </c>
      <c r="HC88" s="52" t="s">
        <v>84</v>
      </c>
      <c r="HD88" s="52" t="s">
        <v>83</v>
      </c>
      <c r="HE88" s="52" t="s">
        <v>82</v>
      </c>
      <c r="HF88" s="52" t="s">
        <v>81</v>
      </c>
      <c r="HG88" s="52" t="s">
        <v>80</v>
      </c>
      <c r="HH88" s="52" t="s">
        <v>79</v>
      </c>
      <c r="HI88" s="52" t="s">
        <v>79</v>
      </c>
      <c r="HJ88" s="52" t="s">
        <v>78</v>
      </c>
      <c r="HK88" s="51" t="s">
        <v>77</v>
      </c>
      <c r="HL88" s="41">
        <f t="shared" si="40"/>
        <v>-5.9999999999999984E-3</v>
      </c>
      <c r="LN88" s="473">
        <f t="shared" si="41"/>
        <v>0</v>
      </c>
    </row>
    <row r="89" spans="1:326">
      <c r="A89" s="1165" t="s">
        <v>35</v>
      </c>
      <c r="B89" s="49"/>
      <c r="C89" s="49"/>
      <c r="D89" s="49"/>
      <c r="E89" s="49"/>
      <c r="F89" s="49"/>
      <c r="G89" s="49"/>
      <c r="H89" s="49"/>
      <c r="I89" s="49"/>
      <c r="J89" s="49"/>
      <c r="K89" s="49"/>
      <c r="L89" s="49"/>
      <c r="M89" s="49"/>
      <c r="N89" s="49"/>
      <c r="O89" s="49"/>
      <c r="P89" s="739" t="s">
        <v>76</v>
      </c>
      <c r="Q89" s="29">
        <v>1.35E-2</v>
      </c>
      <c r="R89" s="29">
        <v>1.35E-2</v>
      </c>
      <c r="S89" s="29">
        <v>1.35E-2</v>
      </c>
      <c r="T89" s="29">
        <v>1.35E-2</v>
      </c>
      <c r="U89" s="29">
        <v>1.35E-2</v>
      </c>
      <c r="V89" s="29">
        <v>1.35E-2</v>
      </c>
      <c r="W89" s="29">
        <v>1.35E-2</v>
      </c>
      <c r="X89" s="29">
        <v>1.35E-2</v>
      </c>
      <c r="Y89" s="29">
        <v>1.35E-2</v>
      </c>
      <c r="Z89" s="29">
        <v>1.35E-2</v>
      </c>
      <c r="AA89" s="29">
        <v>1.35E-2</v>
      </c>
      <c r="AB89" s="29">
        <v>1.35E-2</v>
      </c>
      <c r="AC89" s="29">
        <v>1.35E-2</v>
      </c>
      <c r="AD89" s="29">
        <v>1.35E-2</v>
      </c>
      <c r="AE89" s="29">
        <v>1.35E-2</v>
      </c>
      <c r="AF89" s="29">
        <v>1.35E-2</v>
      </c>
      <c r="AG89" s="29">
        <v>1.35E-2</v>
      </c>
      <c r="AH89" s="29">
        <v>1.35E-2</v>
      </c>
      <c r="AI89" s="29">
        <v>1.35E-2</v>
      </c>
      <c r="AJ89" s="29">
        <v>1.35E-2</v>
      </c>
      <c r="AK89" s="29">
        <v>1.35E-2</v>
      </c>
      <c r="AL89" s="29">
        <v>1.35E-2</v>
      </c>
      <c r="AM89" s="29">
        <v>1.35E-2</v>
      </c>
      <c r="AN89" s="29">
        <v>1.35E-2</v>
      </c>
      <c r="AO89" s="29">
        <v>1.35E-2</v>
      </c>
      <c r="AP89" s="29">
        <v>1.35E-2</v>
      </c>
      <c r="AQ89" s="29">
        <v>1.35E-2</v>
      </c>
      <c r="AR89" s="28">
        <v>1.35E-2</v>
      </c>
      <c r="AS89" s="29">
        <v>1.4E-2</v>
      </c>
      <c r="AT89" s="29">
        <v>1.4E-2</v>
      </c>
      <c r="AU89" s="28">
        <v>1.4E-2</v>
      </c>
      <c r="AV89" s="29">
        <v>1.4999999999999999E-2</v>
      </c>
      <c r="AW89" s="29">
        <v>1.4999999999999999E-2</v>
      </c>
      <c r="AX89" s="29">
        <v>1.4999999999999999E-2</v>
      </c>
      <c r="AY89" s="30">
        <v>1.4999999999999999E-2</v>
      </c>
      <c r="AZ89" s="29">
        <v>1.4999999999999999E-2</v>
      </c>
      <c r="BA89" s="29">
        <v>1.4999999999999999E-2</v>
      </c>
      <c r="BB89" s="29">
        <v>1.4999999999999999E-2</v>
      </c>
      <c r="BC89" s="29">
        <v>1.4999999999999999E-2</v>
      </c>
      <c r="BD89" s="29">
        <v>1.4999999999999999E-2</v>
      </c>
      <c r="BE89" s="29">
        <v>1.4999999999999999E-2</v>
      </c>
      <c r="BF89" s="29">
        <v>1.4999999999999999E-2</v>
      </c>
      <c r="BG89" s="28">
        <v>1.4999999999999999E-2</v>
      </c>
      <c r="BH89" s="29">
        <v>1.7999999999999999E-2</v>
      </c>
      <c r="BI89" s="28">
        <v>1.7999999999999999E-2</v>
      </c>
      <c r="BJ89" s="30">
        <v>1.8499999999999999E-2</v>
      </c>
      <c r="BK89" s="30">
        <v>1.8499999999999999E-2</v>
      </c>
      <c r="BL89" s="30">
        <v>1.9E-2</v>
      </c>
      <c r="BM89" s="30">
        <v>1.9E-2</v>
      </c>
      <c r="BN89" s="30">
        <v>1.9E-2</v>
      </c>
      <c r="BO89" s="30">
        <v>1.9E-2</v>
      </c>
      <c r="BP89" s="30">
        <v>1.9E-2</v>
      </c>
      <c r="BQ89" s="30">
        <v>1.9E-2</v>
      </c>
      <c r="BR89" s="30">
        <v>1.9E-2</v>
      </c>
      <c r="BS89" s="30">
        <v>1.9E-2</v>
      </c>
      <c r="BT89" s="30">
        <v>1.9E-2</v>
      </c>
      <c r="BU89" s="30">
        <v>1.9E-2</v>
      </c>
      <c r="BV89" s="30">
        <v>1.9E-2</v>
      </c>
      <c r="BW89" s="30">
        <v>1.9E-2</v>
      </c>
      <c r="BX89" s="30">
        <v>1.9E-2</v>
      </c>
      <c r="BY89" s="30">
        <v>1.9E-2</v>
      </c>
      <c r="BZ89" s="30">
        <v>1.9E-2</v>
      </c>
      <c r="CA89" s="30">
        <v>1.9E-2</v>
      </c>
      <c r="CB89" s="30">
        <v>1.9E-2</v>
      </c>
      <c r="CC89" s="30">
        <v>1.9E-2</v>
      </c>
      <c r="CD89" s="30">
        <v>1.9E-2</v>
      </c>
      <c r="CE89" s="30">
        <v>1.9E-2</v>
      </c>
      <c r="CF89" s="30">
        <v>1.6500000000000001E-2</v>
      </c>
      <c r="CG89" s="30">
        <v>1.6500000000000001E-2</v>
      </c>
      <c r="CH89" s="30">
        <v>1.6500000000000001E-2</v>
      </c>
      <c r="CI89" s="30">
        <v>1.6500000000000001E-2</v>
      </c>
      <c r="CJ89" s="30">
        <v>1.6500000000000001E-2</v>
      </c>
      <c r="CK89" s="30">
        <v>1.6500000000000001E-2</v>
      </c>
      <c r="CL89" s="30">
        <v>1.6500000000000001E-2</v>
      </c>
      <c r="CM89" s="30">
        <v>1.7000000000000001E-2</v>
      </c>
      <c r="CN89" s="30">
        <v>1.7000000000000001E-2</v>
      </c>
      <c r="CO89" s="30">
        <v>1.7000000000000001E-2</v>
      </c>
      <c r="CP89" s="30">
        <v>1.7000000000000001E-2</v>
      </c>
      <c r="CQ89" s="30">
        <v>1.95E-2</v>
      </c>
      <c r="CR89" s="30">
        <v>2.0500000000000001E-2</v>
      </c>
      <c r="CS89" s="30">
        <v>2.0500000000000001E-2</v>
      </c>
      <c r="CT89" s="30">
        <v>2.0500000000000001E-2</v>
      </c>
      <c r="CU89" s="30">
        <v>2.35E-2</v>
      </c>
      <c r="CV89" s="30">
        <v>2.35E-2</v>
      </c>
      <c r="CW89" s="30">
        <v>2.35E-2</v>
      </c>
      <c r="CX89" s="30">
        <v>2.35E-2</v>
      </c>
      <c r="CY89" s="30">
        <v>2.35E-2</v>
      </c>
      <c r="CZ89" s="30">
        <v>2.35E-2</v>
      </c>
      <c r="DA89" s="30">
        <v>2.35E-2</v>
      </c>
      <c r="DB89" s="30">
        <v>2.35E-2</v>
      </c>
      <c r="DC89" s="30">
        <v>2.35E-2</v>
      </c>
      <c r="DD89" s="30">
        <v>2.35E-2</v>
      </c>
      <c r="DE89" s="30">
        <v>2.35E-2</v>
      </c>
      <c r="DF89" s="30">
        <v>2.35E-2</v>
      </c>
      <c r="DG89" s="30">
        <v>2.35E-2</v>
      </c>
      <c r="DH89" s="30">
        <v>2.35E-2</v>
      </c>
      <c r="DI89" s="30">
        <v>2.35E-2</v>
      </c>
      <c r="DJ89" s="30">
        <v>2.35E-2</v>
      </c>
      <c r="DK89" s="30">
        <v>2.35E-2</v>
      </c>
      <c r="DL89" s="30">
        <v>2.35E-2</v>
      </c>
      <c r="DM89" s="30">
        <v>2.35E-2</v>
      </c>
      <c r="DN89" s="30">
        <v>2.35E-2</v>
      </c>
      <c r="DO89" s="30">
        <v>2.35E-2</v>
      </c>
      <c r="DP89" s="30">
        <v>2.35E-2</v>
      </c>
      <c r="DQ89" s="30">
        <v>2.35E-2</v>
      </c>
      <c r="DR89" s="30">
        <v>2.35E-2</v>
      </c>
      <c r="DS89" s="30">
        <v>2.35E-2</v>
      </c>
      <c r="DT89" s="30">
        <v>2.35E-2</v>
      </c>
      <c r="DU89" s="30">
        <v>2.35E-2</v>
      </c>
      <c r="DV89" s="30">
        <v>2.35E-2</v>
      </c>
      <c r="DW89" s="30">
        <v>2.35E-2</v>
      </c>
      <c r="DX89" s="30">
        <v>2.35E-2</v>
      </c>
      <c r="DY89" s="30">
        <v>2.35E-2</v>
      </c>
      <c r="DZ89" s="30">
        <v>2.35E-2</v>
      </c>
      <c r="EA89" s="30">
        <v>2.35E-2</v>
      </c>
      <c r="EB89" s="30">
        <v>2.35E-2</v>
      </c>
      <c r="EC89" s="30">
        <v>2.35E-2</v>
      </c>
      <c r="ED89" s="30">
        <v>2.35E-2</v>
      </c>
      <c r="EE89" s="30">
        <v>2.35E-2</v>
      </c>
      <c r="EF89" s="30">
        <v>2.35E-2</v>
      </c>
      <c r="EG89" s="30">
        <v>2.35E-2</v>
      </c>
      <c r="EH89" s="30">
        <v>2.35E-2</v>
      </c>
      <c r="EI89" s="30">
        <v>2.35E-2</v>
      </c>
      <c r="EJ89" s="30">
        <v>2.35E-2</v>
      </c>
      <c r="EK89" s="30">
        <v>2.35E-2</v>
      </c>
      <c r="EL89" s="30">
        <v>2.35E-2</v>
      </c>
      <c r="EM89" s="30">
        <v>2.35E-2</v>
      </c>
      <c r="EN89" s="30">
        <v>2.35E-2</v>
      </c>
      <c r="EO89" s="30">
        <v>2.35E-2</v>
      </c>
      <c r="EP89" s="30">
        <v>2.35E-2</v>
      </c>
      <c r="EQ89" s="30">
        <v>2.35E-2</v>
      </c>
      <c r="ER89" s="30">
        <v>2.35E-2</v>
      </c>
      <c r="ES89" s="30">
        <v>2.35E-2</v>
      </c>
      <c r="ET89" s="30">
        <v>2.35E-2</v>
      </c>
      <c r="EU89" s="30">
        <v>2.35E-2</v>
      </c>
      <c r="EV89" s="30">
        <v>2.35E-2</v>
      </c>
      <c r="EW89" s="30">
        <v>2.35E-2</v>
      </c>
      <c r="EX89" s="30">
        <v>2.4500000000000001E-2</v>
      </c>
      <c r="EY89" s="30">
        <v>2.4500000000000001E-2</v>
      </c>
      <c r="EZ89" s="30">
        <v>2.4500000000000001E-2</v>
      </c>
      <c r="FA89" s="30">
        <v>2.4500000000000001E-2</v>
      </c>
      <c r="FB89" s="30">
        <v>2.4500000000000001E-2</v>
      </c>
      <c r="FC89" s="50">
        <v>2.4500000000000001E-2</v>
      </c>
      <c r="FD89" s="30">
        <v>2.5000000000000001E-2</v>
      </c>
      <c r="FE89" s="30">
        <v>2.5000000000000001E-2</v>
      </c>
      <c r="FF89" s="50">
        <v>2.5000000000000001E-2</v>
      </c>
      <c r="FG89" s="27">
        <v>2.5999999999999999E-2</v>
      </c>
      <c r="FH89" s="27">
        <v>2.5999999999999999E-2</v>
      </c>
      <c r="FI89" s="27">
        <v>2.5999999999999999E-2</v>
      </c>
      <c r="FJ89" s="27">
        <v>2.4500000000000001E-2</v>
      </c>
      <c r="FK89" s="27">
        <v>2.4500000000000001E-2</v>
      </c>
      <c r="FL89" s="27">
        <v>2.4500000000000001E-2</v>
      </c>
      <c r="FM89" s="27">
        <v>2.4500000000000001E-2</v>
      </c>
      <c r="FN89" s="27">
        <v>2.4500000000000001E-2</v>
      </c>
      <c r="FO89" s="27">
        <v>2.4E-2</v>
      </c>
      <c r="FP89" s="27">
        <v>2.4E-2</v>
      </c>
      <c r="FQ89" s="27">
        <v>2.4E-2</v>
      </c>
      <c r="FR89" s="27">
        <v>2.4E-2</v>
      </c>
      <c r="FS89" s="27">
        <v>2.4E-2</v>
      </c>
      <c r="FT89" s="27">
        <v>2.4E-2</v>
      </c>
      <c r="FU89" s="27">
        <v>2.4E-2</v>
      </c>
      <c r="FV89" s="27">
        <v>2.4E-2</v>
      </c>
      <c r="FW89" s="27">
        <v>2.4E-2</v>
      </c>
      <c r="FX89" s="27">
        <v>2.4E-2</v>
      </c>
      <c r="FY89" s="27">
        <v>2.4E-2</v>
      </c>
      <c r="FZ89" s="27">
        <v>2.4E-2</v>
      </c>
      <c r="GA89" s="27">
        <v>2.4E-2</v>
      </c>
      <c r="GB89" s="27">
        <v>2.4E-2</v>
      </c>
      <c r="GC89" s="27">
        <v>2.4E-2</v>
      </c>
      <c r="GD89" s="27">
        <v>2.4E-2</v>
      </c>
      <c r="GE89" s="27">
        <v>2.4E-2</v>
      </c>
      <c r="GF89" s="27">
        <v>2.4E-2</v>
      </c>
      <c r="GG89" s="27">
        <v>2.4E-2</v>
      </c>
      <c r="GH89" s="27">
        <v>2.4E-2</v>
      </c>
      <c r="GI89" s="27">
        <v>2.4E-2</v>
      </c>
      <c r="GJ89" s="27">
        <v>2.4E-2</v>
      </c>
      <c r="GK89" s="27">
        <v>2.4E-2</v>
      </c>
      <c r="GL89" s="27">
        <v>2.4E-2</v>
      </c>
      <c r="GM89" s="27">
        <v>2.4E-2</v>
      </c>
      <c r="GN89" s="27">
        <v>2.4E-2</v>
      </c>
      <c r="GO89" s="27">
        <v>2.5499999999999998E-2</v>
      </c>
      <c r="GP89" s="27">
        <v>2.5499999999999998E-2</v>
      </c>
      <c r="GQ89" s="27">
        <v>2.5499999999999998E-2</v>
      </c>
      <c r="GR89" s="27">
        <v>2.5499999999999998E-2</v>
      </c>
      <c r="GS89" s="27">
        <v>2.5499999999999998E-2</v>
      </c>
      <c r="GT89" s="27">
        <v>2.5499999999999998E-2</v>
      </c>
      <c r="GU89" s="27">
        <v>2.5499999999999998E-2</v>
      </c>
      <c r="GV89" s="27">
        <v>2.5499999999999998E-2</v>
      </c>
      <c r="GW89" s="49"/>
      <c r="GX89" s="49"/>
      <c r="GY89" s="49"/>
      <c r="GZ89" s="49"/>
      <c r="HA89" s="49"/>
      <c r="HB89" s="49"/>
      <c r="HC89" s="49"/>
      <c r="HD89" s="49"/>
      <c r="HE89" s="49"/>
      <c r="HF89" s="49"/>
      <c r="HG89" s="49"/>
      <c r="HH89" s="49"/>
      <c r="HI89" s="49"/>
      <c r="HJ89" s="49"/>
      <c r="HK89" s="27"/>
      <c r="HL89" s="41">
        <f t="shared" si="40"/>
        <v>-1.0000000000000009E-3</v>
      </c>
      <c r="LN89" s="473">
        <f t="shared" si="41"/>
        <v>0</v>
      </c>
    </row>
    <row r="90" spans="1:326">
      <c r="A90" s="1166"/>
      <c r="B90" s="49" t="s">
        <v>72</v>
      </c>
      <c r="C90" s="49" t="s">
        <v>72</v>
      </c>
      <c r="D90" s="49" t="s">
        <v>72</v>
      </c>
      <c r="E90" s="49" t="s">
        <v>72</v>
      </c>
      <c r="F90" s="49"/>
      <c r="G90" s="49"/>
      <c r="H90" s="49" t="s">
        <v>75</v>
      </c>
      <c r="I90" s="49" t="s">
        <v>75</v>
      </c>
      <c r="J90" s="49" t="s">
        <v>75</v>
      </c>
      <c r="K90" s="49" t="s">
        <v>75</v>
      </c>
      <c r="L90" s="49" t="s">
        <v>75</v>
      </c>
      <c r="M90" s="49" t="s">
        <v>75</v>
      </c>
      <c r="N90" s="49" t="s">
        <v>75</v>
      </c>
      <c r="O90" s="49"/>
      <c r="P90" s="739" t="s">
        <v>74</v>
      </c>
      <c r="Q90" s="29">
        <v>1.4E-2</v>
      </c>
      <c r="R90" s="29">
        <v>1.4E-2</v>
      </c>
      <c r="S90" s="29">
        <v>1.4E-2</v>
      </c>
      <c r="T90" s="29">
        <v>1.4E-2</v>
      </c>
      <c r="U90" s="29">
        <v>1.4E-2</v>
      </c>
      <c r="V90" s="29">
        <v>1.4E-2</v>
      </c>
      <c r="W90" s="29">
        <v>1.4E-2</v>
      </c>
      <c r="X90" s="29">
        <v>1.4E-2</v>
      </c>
      <c r="Y90" s="29">
        <v>1.4E-2</v>
      </c>
      <c r="Z90" s="29">
        <v>1.4E-2</v>
      </c>
      <c r="AA90" s="29">
        <v>1.4E-2</v>
      </c>
      <c r="AB90" s="29">
        <v>1.4E-2</v>
      </c>
      <c r="AC90" s="29">
        <v>1.4E-2</v>
      </c>
      <c r="AD90" s="29">
        <v>1.4E-2</v>
      </c>
      <c r="AE90" s="29">
        <v>1.4E-2</v>
      </c>
      <c r="AF90" s="29">
        <v>1.4E-2</v>
      </c>
      <c r="AG90" s="29">
        <v>1.4E-2</v>
      </c>
      <c r="AH90" s="29">
        <v>1.4E-2</v>
      </c>
      <c r="AI90" s="29">
        <v>1.4E-2</v>
      </c>
      <c r="AJ90" s="29">
        <v>1.4E-2</v>
      </c>
      <c r="AK90" s="29">
        <v>1.4E-2</v>
      </c>
      <c r="AL90" s="29">
        <v>1.4E-2</v>
      </c>
      <c r="AM90" s="29">
        <v>1.4E-2</v>
      </c>
      <c r="AN90" s="29">
        <v>1.4E-2</v>
      </c>
      <c r="AO90" s="29">
        <v>1.4E-2</v>
      </c>
      <c r="AP90" s="29">
        <v>1.4E-2</v>
      </c>
      <c r="AQ90" s="29">
        <v>1.4E-2</v>
      </c>
      <c r="AR90" s="28">
        <v>1.4E-2</v>
      </c>
      <c r="AS90" s="29">
        <v>1.4500000000000001E-2</v>
      </c>
      <c r="AT90" s="29">
        <v>1.4500000000000001E-2</v>
      </c>
      <c r="AU90" s="28">
        <v>1.4500000000000001E-2</v>
      </c>
      <c r="AV90" s="29">
        <v>1.55E-2</v>
      </c>
      <c r="AW90" s="29">
        <v>1.55E-2</v>
      </c>
      <c r="AX90" s="29">
        <v>1.55E-2</v>
      </c>
      <c r="AY90" s="30">
        <v>1.55E-2</v>
      </c>
      <c r="AZ90" s="29">
        <v>1.55E-2</v>
      </c>
      <c r="BA90" s="29">
        <v>1.55E-2</v>
      </c>
      <c r="BB90" s="29">
        <v>1.55E-2</v>
      </c>
      <c r="BC90" s="29">
        <v>1.55E-2</v>
      </c>
      <c r="BD90" s="29">
        <v>1.55E-2</v>
      </c>
      <c r="BE90" s="29">
        <v>1.55E-2</v>
      </c>
      <c r="BF90" s="29">
        <v>1.55E-2</v>
      </c>
      <c r="BG90" s="28">
        <v>1.55E-2</v>
      </c>
      <c r="BH90" s="29">
        <v>1.8499999999999999E-2</v>
      </c>
      <c r="BI90" s="28">
        <v>1.8499999999999999E-2</v>
      </c>
      <c r="BJ90" s="30">
        <v>1.9E-2</v>
      </c>
      <c r="BK90" s="30">
        <v>1.9E-2</v>
      </c>
      <c r="BL90" s="30">
        <v>1.95E-2</v>
      </c>
      <c r="BM90" s="30">
        <v>1.95E-2</v>
      </c>
      <c r="BN90" s="30">
        <v>1.95E-2</v>
      </c>
      <c r="BO90" s="30">
        <v>1.95E-2</v>
      </c>
      <c r="BP90" s="30">
        <v>1.95E-2</v>
      </c>
      <c r="BQ90" s="30">
        <v>1.95E-2</v>
      </c>
      <c r="BR90" s="30">
        <v>1.95E-2</v>
      </c>
      <c r="BS90" s="30">
        <v>1.95E-2</v>
      </c>
      <c r="BT90" s="30">
        <v>1.95E-2</v>
      </c>
      <c r="BU90" s="30">
        <v>1.95E-2</v>
      </c>
      <c r="BV90" s="30">
        <v>1.95E-2</v>
      </c>
      <c r="BW90" s="30">
        <v>1.95E-2</v>
      </c>
      <c r="BX90" s="30">
        <v>1.95E-2</v>
      </c>
      <c r="BY90" s="30">
        <v>1.95E-2</v>
      </c>
      <c r="BZ90" s="30">
        <v>1.95E-2</v>
      </c>
      <c r="CA90" s="30">
        <v>1.95E-2</v>
      </c>
      <c r="CB90" s="30">
        <v>1.95E-2</v>
      </c>
      <c r="CC90" s="30">
        <v>1.95E-2</v>
      </c>
      <c r="CD90" s="30">
        <v>1.95E-2</v>
      </c>
      <c r="CE90" s="30">
        <v>1.95E-2</v>
      </c>
      <c r="CF90" s="30">
        <v>1.7000000000000001E-2</v>
      </c>
      <c r="CG90" s="30">
        <v>1.7000000000000001E-2</v>
      </c>
      <c r="CH90" s="30">
        <v>1.7000000000000001E-2</v>
      </c>
      <c r="CI90" s="30">
        <v>1.7000000000000001E-2</v>
      </c>
      <c r="CJ90" s="30">
        <v>1.7000000000000001E-2</v>
      </c>
      <c r="CK90" s="30">
        <v>1.7000000000000001E-2</v>
      </c>
      <c r="CL90" s="30">
        <v>1.7000000000000001E-2</v>
      </c>
      <c r="CM90" s="30">
        <v>1.7500000000000002E-2</v>
      </c>
      <c r="CN90" s="30">
        <v>1.7500000000000002E-2</v>
      </c>
      <c r="CO90" s="30">
        <v>1.7500000000000002E-2</v>
      </c>
      <c r="CP90" s="30">
        <v>1.7500000000000002E-2</v>
      </c>
      <c r="CQ90" s="30">
        <v>0.02</v>
      </c>
      <c r="CR90" s="30">
        <v>2.1000000000000001E-2</v>
      </c>
      <c r="CS90" s="30">
        <v>2.1000000000000001E-2</v>
      </c>
      <c r="CT90" s="30">
        <v>2.1000000000000001E-2</v>
      </c>
      <c r="CU90" s="30">
        <v>2.4E-2</v>
      </c>
      <c r="CV90" s="30">
        <v>2.4E-2</v>
      </c>
      <c r="CW90" s="30">
        <v>2.4E-2</v>
      </c>
      <c r="CX90" s="30">
        <v>2.4E-2</v>
      </c>
      <c r="CY90" s="30">
        <v>2.4E-2</v>
      </c>
      <c r="CZ90" s="30">
        <v>2.4E-2</v>
      </c>
      <c r="DA90" s="30">
        <v>2.4E-2</v>
      </c>
      <c r="DB90" s="30">
        <v>2.4E-2</v>
      </c>
      <c r="DC90" s="30">
        <v>2.4E-2</v>
      </c>
      <c r="DD90" s="30">
        <v>2.4E-2</v>
      </c>
      <c r="DE90" s="30">
        <v>2.4E-2</v>
      </c>
      <c r="DF90" s="30">
        <v>2.4E-2</v>
      </c>
      <c r="DG90" s="30">
        <v>2.4E-2</v>
      </c>
      <c r="DH90" s="30">
        <v>2.4E-2</v>
      </c>
      <c r="DI90" s="30">
        <v>2.4E-2</v>
      </c>
      <c r="DJ90" s="30">
        <v>2.4E-2</v>
      </c>
      <c r="DK90" s="30">
        <v>2.4E-2</v>
      </c>
      <c r="DL90" s="30">
        <v>2.4E-2</v>
      </c>
      <c r="DM90" s="30">
        <v>2.4E-2</v>
      </c>
      <c r="DN90" s="30">
        <v>2.4E-2</v>
      </c>
      <c r="DO90" s="30">
        <v>2.4E-2</v>
      </c>
      <c r="DP90" s="30">
        <v>2.4E-2</v>
      </c>
      <c r="DQ90" s="30">
        <v>2.4E-2</v>
      </c>
      <c r="DR90" s="30">
        <v>2.4E-2</v>
      </c>
      <c r="DS90" s="30">
        <v>2.4E-2</v>
      </c>
      <c r="DT90" s="30">
        <v>2.4E-2</v>
      </c>
      <c r="DU90" s="30">
        <v>2.4E-2</v>
      </c>
      <c r="DV90" s="30">
        <v>2.4E-2</v>
      </c>
      <c r="DW90" s="30">
        <v>2.4E-2</v>
      </c>
      <c r="DX90" s="30">
        <v>2.4E-2</v>
      </c>
      <c r="DY90" s="30">
        <v>2.4E-2</v>
      </c>
      <c r="DZ90" s="30">
        <v>2.4E-2</v>
      </c>
      <c r="EA90" s="30">
        <v>2.4E-2</v>
      </c>
      <c r="EB90" s="30">
        <v>2.4E-2</v>
      </c>
      <c r="EC90" s="30">
        <v>2.4E-2</v>
      </c>
      <c r="ED90" s="30">
        <v>2.4E-2</v>
      </c>
      <c r="EE90" s="30">
        <v>2.4E-2</v>
      </c>
      <c r="EF90" s="30">
        <v>2.4E-2</v>
      </c>
      <c r="EG90" s="30">
        <v>2.4E-2</v>
      </c>
      <c r="EH90" s="30">
        <v>2.4E-2</v>
      </c>
      <c r="EI90" s="30">
        <v>2.4E-2</v>
      </c>
      <c r="EJ90" s="30">
        <v>2.4E-2</v>
      </c>
      <c r="EK90" s="30">
        <v>2.4E-2</v>
      </c>
      <c r="EL90" s="30">
        <v>2.4E-2</v>
      </c>
      <c r="EM90" s="30">
        <v>2.4E-2</v>
      </c>
      <c r="EN90" s="30">
        <v>2.4E-2</v>
      </c>
      <c r="EO90" s="30">
        <v>2.4E-2</v>
      </c>
      <c r="EP90" s="30">
        <v>2.4E-2</v>
      </c>
      <c r="EQ90" s="30">
        <v>2.4E-2</v>
      </c>
      <c r="ER90" s="30">
        <v>2.4E-2</v>
      </c>
      <c r="ES90" s="30">
        <v>2.4E-2</v>
      </c>
      <c r="ET90" s="30">
        <v>2.4E-2</v>
      </c>
      <c r="EU90" s="30">
        <v>2.4E-2</v>
      </c>
      <c r="EV90" s="30">
        <v>2.4E-2</v>
      </c>
      <c r="EW90" s="30">
        <v>2.4E-2</v>
      </c>
      <c r="EX90" s="30">
        <v>2.5000000000000001E-2</v>
      </c>
      <c r="EY90" s="30">
        <v>2.5000000000000001E-2</v>
      </c>
      <c r="EZ90" s="30">
        <v>2.5000000000000001E-2</v>
      </c>
      <c r="FA90" s="30">
        <v>2.5000000000000001E-2</v>
      </c>
      <c r="FB90" s="30">
        <v>2.5000000000000001E-2</v>
      </c>
      <c r="FC90" s="50">
        <v>2.5000000000000001E-2</v>
      </c>
      <c r="FD90" s="30">
        <v>2.5499999999999998E-2</v>
      </c>
      <c r="FE90" s="30">
        <v>2.5499999999999998E-2</v>
      </c>
      <c r="FF90" s="50">
        <v>2.5499999999999998E-2</v>
      </c>
      <c r="FG90" s="27">
        <v>2.6499999999999999E-2</v>
      </c>
      <c r="FH90" s="27">
        <v>2.6499999999999999E-2</v>
      </c>
      <c r="FI90" s="27">
        <v>2.6499999999999999E-2</v>
      </c>
      <c r="FJ90" s="27">
        <v>2.5499999999999998E-2</v>
      </c>
      <c r="FK90" s="27">
        <v>2.5499999999999998E-2</v>
      </c>
      <c r="FL90" s="27">
        <v>2.5499999999999998E-2</v>
      </c>
      <c r="FM90" s="27">
        <v>2.5499999999999998E-2</v>
      </c>
      <c r="FN90" s="27">
        <v>2.5499999999999998E-2</v>
      </c>
      <c r="FO90" s="27">
        <v>2.5000000000000001E-2</v>
      </c>
      <c r="FP90" s="27">
        <v>2.5000000000000001E-2</v>
      </c>
      <c r="FQ90" s="27">
        <v>2.5000000000000001E-2</v>
      </c>
      <c r="FR90" s="27">
        <v>2.5000000000000001E-2</v>
      </c>
      <c r="FS90" s="27">
        <v>2.5000000000000001E-2</v>
      </c>
      <c r="FT90" s="27">
        <v>2.5000000000000001E-2</v>
      </c>
      <c r="FU90" s="27">
        <v>2.5000000000000001E-2</v>
      </c>
      <c r="FV90" s="27">
        <v>2.5000000000000001E-2</v>
      </c>
      <c r="FW90" s="27">
        <v>2.5000000000000001E-2</v>
      </c>
      <c r="FX90" s="27">
        <v>2.5000000000000001E-2</v>
      </c>
      <c r="FY90" s="27">
        <v>2.5000000000000001E-2</v>
      </c>
      <c r="FZ90" s="27">
        <v>2.5000000000000001E-2</v>
      </c>
      <c r="GA90" s="27">
        <v>2.5000000000000001E-2</v>
      </c>
      <c r="GB90" s="27">
        <v>2.5000000000000001E-2</v>
      </c>
      <c r="GC90" s="27">
        <v>2.5000000000000001E-2</v>
      </c>
      <c r="GD90" s="27">
        <v>2.5000000000000001E-2</v>
      </c>
      <c r="GE90" s="27">
        <v>2.5000000000000001E-2</v>
      </c>
      <c r="GF90" s="27">
        <v>2.5000000000000001E-2</v>
      </c>
      <c r="GG90" s="27">
        <v>2.5000000000000001E-2</v>
      </c>
      <c r="GH90" s="27">
        <v>2.5000000000000001E-2</v>
      </c>
      <c r="GI90" s="27">
        <v>2.5000000000000001E-2</v>
      </c>
      <c r="GJ90" s="27">
        <v>2.5000000000000001E-2</v>
      </c>
      <c r="GK90" s="27">
        <v>2.5000000000000001E-2</v>
      </c>
      <c r="GL90" s="27">
        <v>2.5000000000000001E-2</v>
      </c>
      <c r="GM90" s="27">
        <v>2.5000000000000001E-2</v>
      </c>
      <c r="GN90" s="27">
        <v>2.5000000000000001E-2</v>
      </c>
      <c r="GO90" s="27">
        <v>2.6499999999999999E-2</v>
      </c>
      <c r="GP90" s="27">
        <v>2.6499999999999999E-2</v>
      </c>
      <c r="GQ90" s="27">
        <v>2.6499999999999999E-2</v>
      </c>
      <c r="GR90" s="27">
        <v>2.6499999999999999E-2</v>
      </c>
      <c r="GS90" s="27">
        <v>2.6499999999999999E-2</v>
      </c>
      <c r="GT90" s="27">
        <v>2.6499999999999999E-2</v>
      </c>
      <c r="GU90" s="27">
        <v>2.6499999999999999E-2</v>
      </c>
      <c r="GV90" s="27">
        <v>2.6499999999999999E-2</v>
      </c>
      <c r="GW90" s="49" t="s">
        <v>73</v>
      </c>
      <c r="GX90" s="49" t="s">
        <v>73</v>
      </c>
      <c r="GY90" s="49" t="s">
        <v>73</v>
      </c>
      <c r="GZ90" s="49" t="s">
        <v>73</v>
      </c>
      <c r="HA90" s="49" t="s">
        <v>73</v>
      </c>
      <c r="HB90" s="49" t="s">
        <v>73</v>
      </c>
      <c r="HC90" s="49" t="s">
        <v>73</v>
      </c>
      <c r="HD90" s="49" t="s">
        <v>73</v>
      </c>
      <c r="HE90" s="49" t="s">
        <v>73</v>
      </c>
      <c r="HF90" s="49" t="s">
        <v>72</v>
      </c>
      <c r="HG90" s="49" t="s">
        <v>72</v>
      </c>
      <c r="HH90" s="49" t="s">
        <v>72</v>
      </c>
      <c r="HI90" s="49" t="s">
        <v>72</v>
      </c>
      <c r="HJ90" s="49" t="s">
        <v>72</v>
      </c>
      <c r="HK90" s="49" t="s">
        <v>72</v>
      </c>
      <c r="HL90" s="41">
        <f t="shared" si="40"/>
        <v>-1.0000000000000009E-3</v>
      </c>
      <c r="LN90" s="473">
        <f t="shared" si="41"/>
        <v>0</v>
      </c>
    </row>
    <row r="91" spans="1:326">
      <c r="A91" s="1162" t="s">
        <v>16</v>
      </c>
      <c r="B91" s="42"/>
      <c r="C91" s="42"/>
      <c r="D91" s="42"/>
      <c r="E91" s="42"/>
      <c r="F91" s="42"/>
      <c r="G91" s="42"/>
      <c r="H91" s="42"/>
      <c r="I91" s="42"/>
      <c r="J91" s="42"/>
      <c r="K91" s="42"/>
      <c r="L91" s="42"/>
      <c r="M91" s="42"/>
      <c r="N91" s="42"/>
      <c r="O91" s="42"/>
      <c r="P91" s="627" t="s">
        <v>71</v>
      </c>
      <c r="Q91" s="47">
        <v>1.35E-2</v>
      </c>
      <c r="R91" s="47">
        <v>1.35E-2</v>
      </c>
      <c r="S91" s="47">
        <v>1.35E-2</v>
      </c>
      <c r="T91" s="47">
        <v>1.35E-2</v>
      </c>
      <c r="U91" s="47">
        <v>1.35E-2</v>
      </c>
      <c r="V91" s="47">
        <v>1.35E-2</v>
      </c>
      <c r="W91" s="47">
        <v>1.35E-2</v>
      </c>
      <c r="X91" s="47">
        <v>1.35E-2</v>
      </c>
      <c r="Y91" s="47">
        <v>1.35E-2</v>
      </c>
      <c r="Z91" s="47">
        <v>1.35E-2</v>
      </c>
      <c r="AA91" s="47">
        <v>1.35E-2</v>
      </c>
      <c r="AB91" s="47">
        <v>1.35E-2</v>
      </c>
      <c r="AC91" s="47">
        <v>1.35E-2</v>
      </c>
      <c r="AD91" s="47">
        <v>1.35E-2</v>
      </c>
      <c r="AE91" s="47">
        <v>1.35E-2</v>
      </c>
      <c r="AF91" s="47">
        <v>1.35E-2</v>
      </c>
      <c r="AG91" s="47">
        <v>1.35E-2</v>
      </c>
      <c r="AH91" s="47">
        <v>1.35E-2</v>
      </c>
      <c r="AI91" s="47">
        <v>1.35E-2</v>
      </c>
      <c r="AJ91" s="47">
        <v>1.35E-2</v>
      </c>
      <c r="AK91" s="47">
        <v>1.35E-2</v>
      </c>
      <c r="AL91" s="47">
        <v>1.35E-2</v>
      </c>
      <c r="AM91" s="47">
        <v>1.35E-2</v>
      </c>
      <c r="AN91" s="47">
        <v>1.35E-2</v>
      </c>
      <c r="AO91" s="47">
        <v>1.35E-2</v>
      </c>
      <c r="AP91" s="47">
        <v>1.35E-2</v>
      </c>
      <c r="AQ91" s="47">
        <v>1.35E-2</v>
      </c>
      <c r="AR91" s="47">
        <v>1.35E-2</v>
      </c>
      <c r="AS91" s="47">
        <v>1.35E-2</v>
      </c>
      <c r="AT91" s="47">
        <v>1.35E-2</v>
      </c>
      <c r="AU91" s="47">
        <v>1.35E-2</v>
      </c>
      <c r="AV91" s="47">
        <v>1.35E-2</v>
      </c>
      <c r="AW91" s="48">
        <v>1.35E-2</v>
      </c>
      <c r="AX91" s="47">
        <v>1.4E-2</v>
      </c>
      <c r="AY91" s="47">
        <v>1.4E-2</v>
      </c>
      <c r="AZ91" s="48">
        <v>1.4E-2</v>
      </c>
      <c r="BA91" s="47">
        <v>1.4E-2</v>
      </c>
      <c r="BB91" s="47">
        <v>1.4E-2</v>
      </c>
      <c r="BC91" s="47">
        <v>1.4E-2</v>
      </c>
      <c r="BD91" s="47">
        <v>1.4E-2</v>
      </c>
      <c r="BE91" s="47">
        <v>1.4E-2</v>
      </c>
      <c r="BF91" s="48">
        <v>1.4E-2</v>
      </c>
      <c r="BG91" s="47">
        <v>1.55E-2</v>
      </c>
      <c r="BH91" s="47">
        <v>1.55E-2</v>
      </c>
      <c r="BI91" s="44">
        <v>1.55E-2</v>
      </c>
      <c r="BJ91" s="44">
        <v>1.55E-2</v>
      </c>
      <c r="BK91" s="44">
        <v>1.9E-2</v>
      </c>
      <c r="BL91" s="44">
        <v>1.9E-2</v>
      </c>
      <c r="BM91" s="44">
        <v>1.9E-2</v>
      </c>
      <c r="BN91" s="44">
        <v>1.9E-2</v>
      </c>
      <c r="BO91" s="44">
        <v>1.9E-2</v>
      </c>
      <c r="BP91" s="44">
        <v>1.9E-2</v>
      </c>
      <c r="BQ91" s="44">
        <v>0.02</v>
      </c>
      <c r="BR91" s="44">
        <v>0.02</v>
      </c>
      <c r="BS91" s="44">
        <v>0.02</v>
      </c>
      <c r="BT91" s="44">
        <v>0.02</v>
      </c>
      <c r="BU91" s="44">
        <v>0.02</v>
      </c>
      <c r="BV91" s="44">
        <v>0.02</v>
      </c>
      <c r="BW91" s="44">
        <v>0.02</v>
      </c>
      <c r="BX91" s="44">
        <v>0.02</v>
      </c>
      <c r="BY91" s="44">
        <v>0.02</v>
      </c>
      <c r="BZ91" s="44">
        <v>0.02</v>
      </c>
      <c r="CA91" s="44">
        <v>0.02</v>
      </c>
      <c r="CB91" s="44">
        <v>0.02</v>
      </c>
      <c r="CC91" s="44">
        <v>0.02</v>
      </c>
      <c r="CD91" s="44">
        <v>0.02</v>
      </c>
      <c r="CE91" s="44">
        <v>0.02</v>
      </c>
      <c r="CF91" s="44">
        <v>1.9E-2</v>
      </c>
      <c r="CG91" s="44">
        <v>1.9E-2</v>
      </c>
      <c r="CH91" s="44">
        <v>1.9E-2</v>
      </c>
      <c r="CI91" s="44">
        <v>1.9E-2</v>
      </c>
      <c r="CJ91" s="44">
        <v>1.9E-2</v>
      </c>
      <c r="CK91" s="44">
        <v>1.9E-2</v>
      </c>
      <c r="CL91" s="44">
        <v>1.9E-2</v>
      </c>
      <c r="CM91" s="44">
        <v>1.9E-2</v>
      </c>
      <c r="CN91" s="44">
        <v>1.9E-2</v>
      </c>
      <c r="CO91" s="44">
        <v>1.9E-2</v>
      </c>
      <c r="CP91" s="44">
        <v>1.9E-2</v>
      </c>
      <c r="CQ91" s="44">
        <v>1.95E-2</v>
      </c>
      <c r="CR91" s="44">
        <v>0.02</v>
      </c>
      <c r="CS91" s="44">
        <v>0.02</v>
      </c>
      <c r="CT91" s="44">
        <v>1.7999999999999999E-2</v>
      </c>
      <c r="CU91" s="44">
        <v>2.3E-2</v>
      </c>
      <c r="CV91" s="44">
        <v>2.3E-2</v>
      </c>
      <c r="CW91" s="44">
        <v>2.3E-2</v>
      </c>
      <c r="CX91" s="44">
        <v>2.3E-2</v>
      </c>
      <c r="CY91" s="44">
        <v>2.3E-2</v>
      </c>
      <c r="CZ91" s="44">
        <v>2.3E-2</v>
      </c>
      <c r="DA91" s="44">
        <v>2.3E-2</v>
      </c>
      <c r="DB91" s="44">
        <v>2.3E-2</v>
      </c>
      <c r="DC91" s="44">
        <v>2.3E-2</v>
      </c>
      <c r="DD91" s="44">
        <v>2.3E-2</v>
      </c>
      <c r="DE91" s="44">
        <v>2.3E-2</v>
      </c>
      <c r="DF91" s="44">
        <v>2.3E-2</v>
      </c>
      <c r="DG91" s="44">
        <v>2.3E-2</v>
      </c>
      <c r="DH91" s="44">
        <v>2.3E-2</v>
      </c>
      <c r="DI91" s="44">
        <v>2.3E-2</v>
      </c>
      <c r="DJ91" s="44">
        <v>2.3E-2</v>
      </c>
      <c r="DK91" s="44">
        <v>2.3E-2</v>
      </c>
      <c r="DL91" s="44">
        <v>2.3E-2</v>
      </c>
      <c r="DM91" s="44">
        <v>2.3E-2</v>
      </c>
      <c r="DN91" s="44">
        <v>2.3E-2</v>
      </c>
      <c r="DO91" s="44">
        <v>2.3E-2</v>
      </c>
      <c r="DP91" s="44">
        <v>2.3E-2</v>
      </c>
      <c r="DQ91" s="44">
        <v>2.3E-2</v>
      </c>
      <c r="DR91" s="44">
        <v>2.3E-2</v>
      </c>
      <c r="DS91" s="44">
        <v>2.3E-2</v>
      </c>
      <c r="DT91" s="44">
        <v>2.3E-2</v>
      </c>
      <c r="DU91" s="44">
        <v>2.3E-2</v>
      </c>
      <c r="DV91" s="44">
        <v>2.3E-2</v>
      </c>
      <c r="DW91" s="44">
        <v>2.3E-2</v>
      </c>
      <c r="DX91" s="44">
        <v>2.3E-2</v>
      </c>
      <c r="DY91" s="44">
        <v>2.3E-2</v>
      </c>
      <c r="DZ91" s="44">
        <v>2.3E-2</v>
      </c>
      <c r="EA91" s="44">
        <v>2.3E-2</v>
      </c>
      <c r="EB91" s="44">
        <v>2.3E-2</v>
      </c>
      <c r="EC91" s="44">
        <v>2.3E-2</v>
      </c>
      <c r="ED91" s="44">
        <v>2.3E-2</v>
      </c>
      <c r="EE91" s="44">
        <v>2.3E-2</v>
      </c>
      <c r="EF91" s="44">
        <v>2.3E-2</v>
      </c>
      <c r="EG91" s="44">
        <v>2.3E-2</v>
      </c>
      <c r="EH91" s="44">
        <v>2.3E-2</v>
      </c>
      <c r="EI91" s="44">
        <v>2.3E-2</v>
      </c>
      <c r="EJ91" s="44">
        <v>2.3E-2</v>
      </c>
      <c r="EK91" s="44">
        <v>2.3E-2</v>
      </c>
      <c r="EL91" s="44">
        <v>2.3E-2</v>
      </c>
      <c r="EM91" s="44">
        <v>2.3E-2</v>
      </c>
      <c r="EN91" s="44">
        <v>2.3E-2</v>
      </c>
      <c r="EO91" s="44">
        <v>2.3E-2</v>
      </c>
      <c r="EP91" s="44">
        <v>2.3E-2</v>
      </c>
      <c r="EQ91" s="44">
        <v>2.3E-2</v>
      </c>
      <c r="ER91" s="44">
        <v>2.3E-2</v>
      </c>
      <c r="ES91" s="44">
        <v>2.3E-2</v>
      </c>
      <c r="ET91" s="44">
        <v>2.3E-2</v>
      </c>
      <c r="EU91" s="44">
        <v>2.35E-2</v>
      </c>
      <c r="EV91" s="44">
        <v>2.4500000000000001E-2</v>
      </c>
      <c r="EW91" s="44">
        <v>2.4500000000000001E-2</v>
      </c>
      <c r="EX91" s="44">
        <v>2.4500000000000001E-2</v>
      </c>
      <c r="EY91" s="44">
        <v>2.4500000000000001E-2</v>
      </c>
      <c r="EZ91" s="44">
        <v>2.4500000000000001E-2</v>
      </c>
      <c r="FA91" s="44">
        <v>2.4500000000000001E-2</v>
      </c>
      <c r="FB91" s="44">
        <v>2.4500000000000001E-2</v>
      </c>
      <c r="FC91" s="46">
        <v>2.4500000000000001E-2</v>
      </c>
      <c r="FD91" s="46">
        <v>2.4500000000000001E-2</v>
      </c>
      <c r="FE91" s="46">
        <v>2.4500000000000001E-2</v>
      </c>
      <c r="FF91" s="45">
        <v>2.4500000000000001E-2</v>
      </c>
      <c r="FG91" s="46">
        <v>2.5499999999999998E-2</v>
      </c>
      <c r="FH91" s="46">
        <v>2.5999999999999999E-2</v>
      </c>
      <c r="FI91" s="46">
        <v>2.5999999999999999E-2</v>
      </c>
      <c r="FJ91" s="46">
        <v>2.5999999999999999E-2</v>
      </c>
      <c r="FK91" s="46">
        <v>2.5999999999999999E-2</v>
      </c>
      <c r="FL91" s="45">
        <v>2.5999999999999999E-2</v>
      </c>
      <c r="FM91" s="44">
        <v>2.5499999999999998E-2</v>
      </c>
      <c r="FN91" s="44">
        <v>2.5499999999999998E-2</v>
      </c>
      <c r="FO91" s="44">
        <v>2.5499999999999998E-2</v>
      </c>
      <c r="FP91" s="44">
        <v>2.5000000000000001E-2</v>
      </c>
      <c r="FQ91" s="44">
        <v>2.5000000000000001E-2</v>
      </c>
      <c r="FR91" s="44">
        <v>2.4500000000000001E-2</v>
      </c>
      <c r="FS91" s="44">
        <v>2.4500000000000001E-2</v>
      </c>
      <c r="FT91" s="44">
        <v>2.4500000000000001E-2</v>
      </c>
      <c r="FU91" s="44">
        <v>2.4500000000000001E-2</v>
      </c>
      <c r="FV91" s="44">
        <v>2.4500000000000001E-2</v>
      </c>
      <c r="FW91" s="44">
        <v>2.4500000000000001E-2</v>
      </c>
      <c r="FX91" s="44">
        <v>2.4500000000000001E-2</v>
      </c>
      <c r="FY91" s="44">
        <v>2.4500000000000001E-2</v>
      </c>
      <c r="FZ91" s="44">
        <v>2.4500000000000001E-2</v>
      </c>
      <c r="GA91" s="44">
        <v>2.4500000000000001E-2</v>
      </c>
      <c r="GB91" s="44">
        <v>2.4500000000000001E-2</v>
      </c>
      <c r="GC91" s="44">
        <v>2.4500000000000001E-2</v>
      </c>
      <c r="GD91" s="44">
        <v>2.4500000000000001E-2</v>
      </c>
      <c r="GE91" s="44">
        <v>2.4500000000000001E-2</v>
      </c>
      <c r="GF91" s="44">
        <v>2.4500000000000001E-2</v>
      </c>
      <c r="GG91" s="44">
        <v>2.4500000000000001E-2</v>
      </c>
      <c r="GH91" s="44">
        <v>2.4500000000000001E-2</v>
      </c>
      <c r="GI91" s="44">
        <v>2.4500000000000001E-2</v>
      </c>
      <c r="GJ91" s="44">
        <v>2.4500000000000001E-2</v>
      </c>
      <c r="GK91" s="44">
        <v>2.4500000000000001E-2</v>
      </c>
      <c r="GL91" s="44">
        <v>2.4500000000000001E-2</v>
      </c>
      <c r="GM91" s="44">
        <v>2.4500000000000001E-2</v>
      </c>
      <c r="GN91" s="44">
        <v>2.4500000000000001E-2</v>
      </c>
      <c r="GO91" s="44">
        <v>2.4500000000000001E-2</v>
      </c>
      <c r="GP91" s="44">
        <v>2.4500000000000001E-2</v>
      </c>
      <c r="GQ91" s="44">
        <v>2.4500000000000001E-2</v>
      </c>
      <c r="GR91" s="44">
        <v>2.4500000000000001E-2</v>
      </c>
      <c r="GS91" s="43">
        <v>2.5999999999999999E-2</v>
      </c>
      <c r="GT91" s="43">
        <v>2.5999999999999999E-2</v>
      </c>
      <c r="GU91" s="43">
        <v>2.5999999999999999E-2</v>
      </c>
      <c r="GV91" s="43">
        <v>2.5999999999999999E-2</v>
      </c>
      <c r="GW91" s="42"/>
      <c r="GX91" s="42"/>
      <c r="GY91" s="42"/>
      <c r="GZ91" s="42"/>
      <c r="HA91" s="42"/>
      <c r="HB91" s="42"/>
      <c r="HC91" s="42"/>
      <c r="HD91" s="42"/>
      <c r="HE91" s="42"/>
      <c r="HF91" s="42"/>
      <c r="HG91" s="42"/>
      <c r="HH91" s="42"/>
      <c r="HI91" s="42"/>
      <c r="HJ91" s="42"/>
      <c r="HK91" s="42"/>
      <c r="HL91" s="41">
        <f t="shared" si="40"/>
        <v>-4.5000000000000005E-3</v>
      </c>
      <c r="LN91" s="473">
        <f t="shared" si="41"/>
        <v>0</v>
      </c>
    </row>
    <row r="92" spans="1:326">
      <c r="A92" s="1163"/>
      <c r="B92" s="42" t="s">
        <v>67</v>
      </c>
      <c r="C92" s="42" t="s">
        <v>67</v>
      </c>
      <c r="D92" s="42" t="s">
        <v>67</v>
      </c>
      <c r="E92" s="42" t="s">
        <v>67</v>
      </c>
      <c r="F92" s="42"/>
      <c r="G92" s="42"/>
      <c r="H92" s="42" t="s">
        <v>67</v>
      </c>
      <c r="I92" s="42" t="s">
        <v>67</v>
      </c>
      <c r="J92" s="42" t="s">
        <v>67</v>
      </c>
      <c r="K92" s="42" t="s">
        <v>67</v>
      </c>
      <c r="L92" s="42" t="s">
        <v>67</v>
      </c>
      <c r="M92" s="42" t="s">
        <v>67</v>
      </c>
      <c r="N92" s="42" t="s">
        <v>67</v>
      </c>
      <c r="O92" s="42"/>
      <c r="P92" s="627" t="s">
        <v>70</v>
      </c>
      <c r="Q92" s="47">
        <v>1.4E-2</v>
      </c>
      <c r="R92" s="47">
        <v>1.4E-2</v>
      </c>
      <c r="S92" s="47">
        <v>1.4E-2</v>
      </c>
      <c r="T92" s="47">
        <v>1.4E-2</v>
      </c>
      <c r="U92" s="47">
        <v>1.4E-2</v>
      </c>
      <c r="V92" s="47">
        <v>1.4E-2</v>
      </c>
      <c r="W92" s="47">
        <v>1.4E-2</v>
      </c>
      <c r="X92" s="47">
        <v>1.4E-2</v>
      </c>
      <c r="Y92" s="48">
        <v>1.4E-2</v>
      </c>
      <c r="Z92" s="47">
        <v>1.4500000000000001E-2</v>
      </c>
      <c r="AA92" s="47">
        <v>1.4500000000000001E-2</v>
      </c>
      <c r="AB92" s="47">
        <v>1.4500000000000001E-2</v>
      </c>
      <c r="AC92" s="47">
        <v>1.4500000000000001E-2</v>
      </c>
      <c r="AD92" s="47">
        <v>1.4500000000000001E-2</v>
      </c>
      <c r="AE92" s="47">
        <v>1.4500000000000001E-2</v>
      </c>
      <c r="AF92" s="47">
        <v>1.4500000000000001E-2</v>
      </c>
      <c r="AG92" s="47">
        <v>1.4500000000000001E-2</v>
      </c>
      <c r="AH92" s="47">
        <v>1.4500000000000001E-2</v>
      </c>
      <c r="AI92" s="47">
        <v>1.4500000000000001E-2</v>
      </c>
      <c r="AJ92" s="47">
        <v>1.4500000000000001E-2</v>
      </c>
      <c r="AK92" s="47">
        <v>1.4500000000000001E-2</v>
      </c>
      <c r="AL92" s="47">
        <v>1.4500000000000001E-2</v>
      </c>
      <c r="AM92" s="47">
        <v>1.4500000000000001E-2</v>
      </c>
      <c r="AN92" s="47">
        <v>1.4500000000000001E-2</v>
      </c>
      <c r="AO92" s="47">
        <v>1.4500000000000001E-2</v>
      </c>
      <c r="AP92" s="47">
        <v>1.4500000000000001E-2</v>
      </c>
      <c r="AQ92" s="47">
        <v>1.4500000000000001E-2</v>
      </c>
      <c r="AR92" s="47">
        <v>1.4500000000000001E-2</v>
      </c>
      <c r="AS92" s="47">
        <v>1.4500000000000001E-2</v>
      </c>
      <c r="AT92" s="47">
        <v>1.4500000000000001E-2</v>
      </c>
      <c r="AU92" s="47">
        <v>1.4500000000000001E-2</v>
      </c>
      <c r="AV92" s="47">
        <v>1.4500000000000001E-2</v>
      </c>
      <c r="AW92" s="48">
        <v>1.4500000000000001E-2</v>
      </c>
      <c r="AX92" s="47">
        <v>1.4999999999999999E-2</v>
      </c>
      <c r="AY92" s="47">
        <v>1.4999999999999999E-2</v>
      </c>
      <c r="AZ92" s="48">
        <v>1.4999999999999999E-2</v>
      </c>
      <c r="BA92" s="47">
        <v>1.4999999999999999E-2</v>
      </c>
      <c r="BB92" s="47">
        <v>1.4999999999999999E-2</v>
      </c>
      <c r="BC92" s="48">
        <v>1.4999999999999999E-2</v>
      </c>
      <c r="BD92" s="47">
        <v>1.4999999999999999E-2</v>
      </c>
      <c r="BE92" s="47">
        <v>1.4999999999999999E-2</v>
      </c>
      <c r="BF92" s="48">
        <v>1.4999999999999999E-2</v>
      </c>
      <c r="BG92" s="47">
        <v>1.6500000000000001E-2</v>
      </c>
      <c r="BH92" s="47">
        <v>1.6500000000000001E-2</v>
      </c>
      <c r="BI92" s="44">
        <v>1.6500000000000001E-2</v>
      </c>
      <c r="BJ92" s="44">
        <v>1.6500000000000001E-2</v>
      </c>
      <c r="BK92" s="44">
        <v>0.02</v>
      </c>
      <c r="BL92" s="44">
        <v>0.02</v>
      </c>
      <c r="BM92" s="44">
        <v>0.02</v>
      </c>
      <c r="BN92" s="44">
        <v>0.02</v>
      </c>
      <c r="BO92" s="44">
        <v>0.02</v>
      </c>
      <c r="BP92" s="44">
        <v>0.02</v>
      </c>
      <c r="BQ92" s="44">
        <v>2.1000000000000001E-2</v>
      </c>
      <c r="BR92" s="44">
        <v>2.1000000000000001E-2</v>
      </c>
      <c r="BS92" s="44">
        <v>2.1000000000000001E-2</v>
      </c>
      <c r="BT92" s="44">
        <v>2.1000000000000001E-2</v>
      </c>
      <c r="BU92" s="44">
        <v>2.1000000000000001E-2</v>
      </c>
      <c r="BV92" s="44">
        <v>2.1000000000000001E-2</v>
      </c>
      <c r="BW92" s="44">
        <v>2.1000000000000001E-2</v>
      </c>
      <c r="BX92" s="44">
        <v>2.1000000000000001E-2</v>
      </c>
      <c r="BY92" s="44">
        <v>2.1000000000000001E-2</v>
      </c>
      <c r="BZ92" s="44">
        <v>2.1000000000000001E-2</v>
      </c>
      <c r="CA92" s="44">
        <v>2.1000000000000001E-2</v>
      </c>
      <c r="CB92" s="44">
        <v>2.1000000000000001E-2</v>
      </c>
      <c r="CC92" s="44">
        <v>2.1000000000000001E-2</v>
      </c>
      <c r="CD92" s="44">
        <v>2.1000000000000001E-2</v>
      </c>
      <c r="CE92" s="44">
        <v>2.1000000000000001E-2</v>
      </c>
      <c r="CF92" s="44">
        <v>1.95E-2</v>
      </c>
      <c r="CG92" s="44">
        <v>1.95E-2</v>
      </c>
      <c r="CH92" s="44">
        <v>1.95E-2</v>
      </c>
      <c r="CI92" s="44">
        <v>1.95E-2</v>
      </c>
      <c r="CJ92" s="44">
        <v>1.95E-2</v>
      </c>
      <c r="CK92" s="44">
        <v>1.95E-2</v>
      </c>
      <c r="CL92" s="44">
        <v>1.95E-2</v>
      </c>
      <c r="CM92" s="44">
        <v>1.95E-2</v>
      </c>
      <c r="CN92" s="44">
        <v>1.95E-2</v>
      </c>
      <c r="CO92" s="44">
        <v>1.95E-2</v>
      </c>
      <c r="CP92" s="44">
        <v>1.95E-2</v>
      </c>
      <c r="CQ92" s="44">
        <v>0.02</v>
      </c>
      <c r="CR92" s="44">
        <v>2.0500000000000001E-2</v>
      </c>
      <c r="CS92" s="44">
        <v>2.0500000000000001E-2</v>
      </c>
      <c r="CT92" s="44">
        <v>1.9E-2</v>
      </c>
      <c r="CU92" s="44">
        <v>2.35E-2</v>
      </c>
      <c r="CV92" s="44">
        <v>2.35E-2</v>
      </c>
      <c r="CW92" s="44">
        <v>2.35E-2</v>
      </c>
      <c r="CX92" s="44">
        <v>2.35E-2</v>
      </c>
      <c r="CY92" s="44">
        <v>2.35E-2</v>
      </c>
      <c r="CZ92" s="44">
        <v>2.35E-2</v>
      </c>
      <c r="DA92" s="44">
        <v>2.35E-2</v>
      </c>
      <c r="DB92" s="44">
        <v>2.35E-2</v>
      </c>
      <c r="DC92" s="44">
        <v>2.35E-2</v>
      </c>
      <c r="DD92" s="44">
        <v>2.35E-2</v>
      </c>
      <c r="DE92" s="44">
        <v>2.35E-2</v>
      </c>
      <c r="DF92" s="44">
        <v>2.35E-2</v>
      </c>
      <c r="DG92" s="44">
        <v>2.35E-2</v>
      </c>
      <c r="DH92" s="44">
        <v>2.35E-2</v>
      </c>
      <c r="DI92" s="44">
        <v>2.35E-2</v>
      </c>
      <c r="DJ92" s="44">
        <v>2.35E-2</v>
      </c>
      <c r="DK92" s="44">
        <v>2.35E-2</v>
      </c>
      <c r="DL92" s="44">
        <v>2.35E-2</v>
      </c>
      <c r="DM92" s="44">
        <v>2.35E-2</v>
      </c>
      <c r="DN92" s="44">
        <v>2.35E-2</v>
      </c>
      <c r="DO92" s="44">
        <v>2.35E-2</v>
      </c>
      <c r="DP92" s="44">
        <v>2.35E-2</v>
      </c>
      <c r="DQ92" s="44">
        <v>2.35E-2</v>
      </c>
      <c r="DR92" s="44">
        <v>2.35E-2</v>
      </c>
      <c r="DS92" s="44">
        <v>2.35E-2</v>
      </c>
      <c r="DT92" s="44">
        <v>2.35E-2</v>
      </c>
      <c r="DU92" s="44">
        <v>2.35E-2</v>
      </c>
      <c r="DV92" s="44">
        <v>2.35E-2</v>
      </c>
      <c r="DW92" s="44">
        <v>2.35E-2</v>
      </c>
      <c r="DX92" s="44">
        <v>2.35E-2</v>
      </c>
      <c r="DY92" s="44">
        <v>2.35E-2</v>
      </c>
      <c r="DZ92" s="44">
        <v>2.35E-2</v>
      </c>
      <c r="EA92" s="44">
        <v>2.35E-2</v>
      </c>
      <c r="EB92" s="44">
        <v>2.35E-2</v>
      </c>
      <c r="EC92" s="44">
        <v>2.35E-2</v>
      </c>
      <c r="ED92" s="44">
        <v>2.35E-2</v>
      </c>
      <c r="EE92" s="44">
        <v>2.35E-2</v>
      </c>
      <c r="EF92" s="44">
        <v>2.35E-2</v>
      </c>
      <c r="EG92" s="44">
        <v>2.35E-2</v>
      </c>
      <c r="EH92" s="44">
        <v>2.35E-2</v>
      </c>
      <c r="EI92" s="44">
        <v>2.35E-2</v>
      </c>
      <c r="EJ92" s="44">
        <v>2.35E-2</v>
      </c>
      <c r="EK92" s="44">
        <v>2.35E-2</v>
      </c>
      <c r="EL92" s="44">
        <v>2.35E-2</v>
      </c>
      <c r="EM92" s="44">
        <v>2.35E-2</v>
      </c>
      <c r="EN92" s="44">
        <v>2.35E-2</v>
      </c>
      <c r="EO92" s="44">
        <v>2.35E-2</v>
      </c>
      <c r="EP92" s="44">
        <v>2.35E-2</v>
      </c>
      <c r="EQ92" s="44">
        <v>2.35E-2</v>
      </c>
      <c r="ER92" s="44">
        <v>2.35E-2</v>
      </c>
      <c r="ES92" s="44">
        <v>2.35E-2</v>
      </c>
      <c r="ET92" s="44">
        <v>2.35E-2</v>
      </c>
      <c r="EU92" s="44">
        <v>2.4E-2</v>
      </c>
      <c r="EV92" s="44">
        <v>2.5000000000000001E-2</v>
      </c>
      <c r="EW92" s="44">
        <v>2.5000000000000001E-2</v>
      </c>
      <c r="EX92" s="44">
        <v>2.5000000000000001E-2</v>
      </c>
      <c r="EY92" s="44">
        <v>2.5000000000000001E-2</v>
      </c>
      <c r="EZ92" s="44">
        <v>2.5000000000000001E-2</v>
      </c>
      <c r="FA92" s="44">
        <v>2.5000000000000001E-2</v>
      </c>
      <c r="FB92" s="44">
        <v>2.5000000000000001E-2</v>
      </c>
      <c r="FC92" s="46">
        <v>2.5000000000000001E-2</v>
      </c>
      <c r="FD92" s="46">
        <v>2.5000000000000001E-2</v>
      </c>
      <c r="FE92" s="46">
        <v>2.5000000000000001E-2</v>
      </c>
      <c r="FF92" s="45">
        <v>2.5000000000000001E-2</v>
      </c>
      <c r="FG92" s="46">
        <v>2.5999999999999999E-2</v>
      </c>
      <c r="FH92" s="46">
        <v>2.6499999999999999E-2</v>
      </c>
      <c r="FI92" s="46">
        <v>2.6499999999999999E-2</v>
      </c>
      <c r="FJ92" s="46">
        <v>2.6499999999999999E-2</v>
      </c>
      <c r="FK92" s="46">
        <v>2.6499999999999999E-2</v>
      </c>
      <c r="FL92" s="45">
        <v>2.6499999999999999E-2</v>
      </c>
      <c r="FM92" s="44">
        <v>2.5999999999999999E-2</v>
      </c>
      <c r="FN92" s="44">
        <v>2.5999999999999999E-2</v>
      </c>
      <c r="FO92" s="44">
        <v>2.5999999999999999E-2</v>
      </c>
      <c r="FP92" s="44">
        <v>2.5499999999999998E-2</v>
      </c>
      <c r="FQ92" s="44">
        <v>2.5499999999999998E-2</v>
      </c>
      <c r="FR92" s="44">
        <v>2.5000000000000001E-2</v>
      </c>
      <c r="FS92" s="44">
        <v>2.5000000000000001E-2</v>
      </c>
      <c r="FT92" s="44">
        <v>2.5000000000000001E-2</v>
      </c>
      <c r="FU92" s="44">
        <v>2.5000000000000001E-2</v>
      </c>
      <c r="FV92" s="44">
        <v>2.5000000000000001E-2</v>
      </c>
      <c r="FW92" s="44">
        <v>2.5000000000000001E-2</v>
      </c>
      <c r="FX92" s="44">
        <v>2.5000000000000001E-2</v>
      </c>
      <c r="FY92" s="44">
        <v>2.5000000000000001E-2</v>
      </c>
      <c r="FZ92" s="44">
        <v>2.5000000000000001E-2</v>
      </c>
      <c r="GA92" s="44">
        <v>2.5000000000000001E-2</v>
      </c>
      <c r="GB92" s="44">
        <v>2.5000000000000001E-2</v>
      </c>
      <c r="GC92" s="44">
        <v>2.5000000000000001E-2</v>
      </c>
      <c r="GD92" s="44">
        <v>2.5000000000000001E-2</v>
      </c>
      <c r="GE92" s="44">
        <v>2.5000000000000001E-2</v>
      </c>
      <c r="GF92" s="44">
        <v>2.5000000000000001E-2</v>
      </c>
      <c r="GG92" s="44">
        <v>2.5000000000000001E-2</v>
      </c>
      <c r="GH92" s="44">
        <v>2.5000000000000001E-2</v>
      </c>
      <c r="GI92" s="44">
        <v>2.5000000000000001E-2</v>
      </c>
      <c r="GJ92" s="44">
        <v>2.5000000000000001E-2</v>
      </c>
      <c r="GK92" s="44">
        <v>2.5000000000000001E-2</v>
      </c>
      <c r="GL92" s="44">
        <v>2.5000000000000001E-2</v>
      </c>
      <c r="GM92" s="44">
        <v>2.5000000000000001E-2</v>
      </c>
      <c r="GN92" s="44">
        <v>2.5000000000000001E-2</v>
      </c>
      <c r="GO92" s="44">
        <v>2.5000000000000001E-2</v>
      </c>
      <c r="GP92" s="44">
        <v>2.5000000000000001E-2</v>
      </c>
      <c r="GQ92" s="44">
        <v>2.5000000000000001E-2</v>
      </c>
      <c r="GR92" s="44">
        <v>2.5000000000000001E-2</v>
      </c>
      <c r="GS92" s="43">
        <v>2.7E-2</v>
      </c>
      <c r="GT92" s="43">
        <v>2.7E-2</v>
      </c>
      <c r="GU92" s="43">
        <v>2.7E-2</v>
      </c>
      <c r="GV92" s="43">
        <v>2.7E-2</v>
      </c>
      <c r="GW92" s="42" t="s">
        <v>69</v>
      </c>
      <c r="GX92" s="42" t="s">
        <v>69</v>
      </c>
      <c r="GY92" s="42" t="s">
        <v>69</v>
      </c>
      <c r="GZ92" s="42" t="s">
        <v>69</v>
      </c>
      <c r="HA92" s="42" t="s">
        <v>68</v>
      </c>
      <c r="HB92" s="42" t="s">
        <v>68</v>
      </c>
      <c r="HC92" s="42" t="s">
        <v>68</v>
      </c>
      <c r="HD92" s="42" t="s">
        <v>68</v>
      </c>
      <c r="HE92" s="42" t="s">
        <v>68</v>
      </c>
      <c r="HF92" s="42" t="s">
        <v>68</v>
      </c>
      <c r="HG92" s="42" t="s">
        <v>68</v>
      </c>
      <c r="HH92" s="42" t="s">
        <v>68</v>
      </c>
      <c r="HI92" s="42" t="s">
        <v>68</v>
      </c>
      <c r="HJ92" s="42" t="s">
        <v>67</v>
      </c>
      <c r="HK92" s="42" t="s">
        <v>67</v>
      </c>
      <c r="HL92" s="41">
        <f t="shared" si="40"/>
        <v>-4.5000000000000005E-3</v>
      </c>
      <c r="LN92" s="473">
        <f t="shared" si="41"/>
        <v>0</v>
      </c>
    </row>
    <row r="93" spans="1:326">
      <c r="A93" s="1164"/>
      <c r="B93" s="42"/>
      <c r="C93" s="42"/>
      <c r="D93" s="42"/>
      <c r="E93" s="42"/>
      <c r="F93" s="42"/>
      <c r="G93" s="42"/>
      <c r="H93" s="42"/>
      <c r="I93" s="42"/>
      <c r="J93" s="42"/>
      <c r="K93" s="42"/>
      <c r="L93" s="42"/>
      <c r="M93" s="42"/>
      <c r="N93" s="42"/>
      <c r="O93" s="42"/>
      <c r="P93" s="627" t="s">
        <v>66</v>
      </c>
      <c r="Q93" s="47">
        <v>1.4500000000000001E-2</v>
      </c>
      <c r="R93" s="47">
        <v>1.4500000000000001E-2</v>
      </c>
      <c r="S93" s="47">
        <v>1.4500000000000001E-2</v>
      </c>
      <c r="T93" s="47">
        <v>1.4500000000000001E-2</v>
      </c>
      <c r="U93" s="47">
        <v>1.4500000000000001E-2</v>
      </c>
      <c r="V93" s="47">
        <v>1.4500000000000001E-2</v>
      </c>
      <c r="W93" s="47">
        <v>1.4500000000000001E-2</v>
      </c>
      <c r="X93" s="47">
        <v>1.4500000000000001E-2</v>
      </c>
      <c r="Y93" s="48">
        <v>1.4500000000000001E-2</v>
      </c>
      <c r="Z93" s="47">
        <v>1.55E-2</v>
      </c>
      <c r="AA93" s="47">
        <v>1.55E-2</v>
      </c>
      <c r="AB93" s="47">
        <v>1.55E-2</v>
      </c>
      <c r="AC93" s="47">
        <v>1.55E-2</v>
      </c>
      <c r="AD93" s="47">
        <v>1.55E-2</v>
      </c>
      <c r="AE93" s="47">
        <v>1.55E-2</v>
      </c>
      <c r="AF93" s="47">
        <v>1.55E-2</v>
      </c>
      <c r="AG93" s="47">
        <v>1.55E-2</v>
      </c>
      <c r="AH93" s="47">
        <v>1.55E-2</v>
      </c>
      <c r="AI93" s="47">
        <v>1.55E-2</v>
      </c>
      <c r="AJ93" s="47">
        <v>1.55E-2</v>
      </c>
      <c r="AK93" s="47">
        <v>1.55E-2</v>
      </c>
      <c r="AL93" s="47">
        <v>1.55E-2</v>
      </c>
      <c r="AM93" s="47">
        <v>1.55E-2</v>
      </c>
      <c r="AN93" s="47">
        <v>1.55E-2</v>
      </c>
      <c r="AO93" s="47">
        <v>1.55E-2</v>
      </c>
      <c r="AP93" s="47">
        <v>1.55E-2</v>
      </c>
      <c r="AQ93" s="47">
        <v>1.55E-2</v>
      </c>
      <c r="AR93" s="47">
        <v>1.55E-2</v>
      </c>
      <c r="AS93" s="47">
        <v>1.55E-2</v>
      </c>
      <c r="AT93" s="47">
        <v>1.55E-2</v>
      </c>
      <c r="AU93" s="47">
        <v>1.55E-2</v>
      </c>
      <c r="AV93" s="47">
        <v>1.55E-2</v>
      </c>
      <c r="AW93" s="48">
        <v>1.55E-2</v>
      </c>
      <c r="AX93" s="47">
        <v>1.6E-2</v>
      </c>
      <c r="AY93" s="47">
        <v>1.6E-2</v>
      </c>
      <c r="AZ93" s="48">
        <v>1.6E-2</v>
      </c>
      <c r="BA93" s="47">
        <v>1.6E-2</v>
      </c>
      <c r="BB93" s="47">
        <v>1.6E-2</v>
      </c>
      <c r="BC93" s="47">
        <v>1.6E-2</v>
      </c>
      <c r="BD93" s="47">
        <v>1.6E-2</v>
      </c>
      <c r="BE93" s="47">
        <v>1.6E-2</v>
      </c>
      <c r="BF93" s="48">
        <v>1.6E-2</v>
      </c>
      <c r="BG93" s="47">
        <v>1.7500000000000002E-2</v>
      </c>
      <c r="BH93" s="47">
        <v>1.7500000000000002E-2</v>
      </c>
      <c r="BI93" s="44">
        <v>1.7500000000000002E-2</v>
      </c>
      <c r="BJ93" s="44">
        <v>1.7500000000000002E-2</v>
      </c>
      <c r="BK93" s="44">
        <v>2.1000000000000001E-2</v>
      </c>
      <c r="BL93" s="44">
        <v>2.1000000000000001E-2</v>
      </c>
      <c r="BM93" s="44">
        <v>2.1000000000000001E-2</v>
      </c>
      <c r="BN93" s="44">
        <v>2.1000000000000001E-2</v>
      </c>
      <c r="BO93" s="44">
        <v>2.1000000000000001E-2</v>
      </c>
      <c r="BP93" s="44">
        <v>2.1000000000000001E-2</v>
      </c>
      <c r="BQ93" s="44">
        <v>2.1999999999999999E-2</v>
      </c>
      <c r="BR93" s="44">
        <v>2.1999999999999999E-2</v>
      </c>
      <c r="BS93" s="44">
        <v>2.1999999999999999E-2</v>
      </c>
      <c r="BT93" s="44">
        <v>2.1999999999999999E-2</v>
      </c>
      <c r="BU93" s="44">
        <v>2.1999999999999999E-2</v>
      </c>
      <c r="BV93" s="44">
        <v>2.1999999999999999E-2</v>
      </c>
      <c r="BW93" s="44">
        <v>2.1999999999999999E-2</v>
      </c>
      <c r="BX93" s="44">
        <v>2.1999999999999999E-2</v>
      </c>
      <c r="BY93" s="44">
        <v>2.1999999999999999E-2</v>
      </c>
      <c r="BZ93" s="44">
        <v>2.1999999999999999E-2</v>
      </c>
      <c r="CA93" s="44">
        <v>2.1999999999999999E-2</v>
      </c>
      <c r="CB93" s="44">
        <v>2.1999999999999999E-2</v>
      </c>
      <c r="CC93" s="44">
        <v>2.1999999999999999E-2</v>
      </c>
      <c r="CD93" s="44">
        <v>2.1999999999999999E-2</v>
      </c>
      <c r="CE93" s="44">
        <v>2.1999999999999999E-2</v>
      </c>
      <c r="CF93" s="44">
        <v>0.02</v>
      </c>
      <c r="CG93" s="44">
        <v>0.02</v>
      </c>
      <c r="CH93" s="44">
        <v>0.02</v>
      </c>
      <c r="CI93" s="44">
        <v>0.02</v>
      </c>
      <c r="CJ93" s="44">
        <v>0.02</v>
      </c>
      <c r="CK93" s="44">
        <v>0.02</v>
      </c>
      <c r="CL93" s="44">
        <v>0.02</v>
      </c>
      <c r="CM93" s="44">
        <v>0.02</v>
      </c>
      <c r="CN93" s="44">
        <v>0.02</v>
      </c>
      <c r="CO93" s="44">
        <v>0.02</v>
      </c>
      <c r="CP93" s="44">
        <v>0.02</v>
      </c>
      <c r="CQ93" s="44">
        <v>2.0500000000000001E-2</v>
      </c>
      <c r="CR93" s="44">
        <v>2.1000000000000001E-2</v>
      </c>
      <c r="CS93" s="44">
        <v>2.1000000000000001E-2</v>
      </c>
      <c r="CT93" s="44">
        <v>1.95E-2</v>
      </c>
      <c r="CU93" s="44">
        <v>2.4E-2</v>
      </c>
      <c r="CV93" s="44">
        <v>2.4E-2</v>
      </c>
      <c r="CW93" s="44">
        <v>2.4E-2</v>
      </c>
      <c r="CX93" s="44">
        <v>2.4E-2</v>
      </c>
      <c r="CY93" s="44">
        <v>2.4E-2</v>
      </c>
      <c r="CZ93" s="44">
        <v>2.4E-2</v>
      </c>
      <c r="DA93" s="44">
        <v>2.4E-2</v>
      </c>
      <c r="DB93" s="44">
        <v>2.4E-2</v>
      </c>
      <c r="DC93" s="44">
        <v>2.4E-2</v>
      </c>
      <c r="DD93" s="44">
        <v>2.4E-2</v>
      </c>
      <c r="DE93" s="44">
        <v>2.4E-2</v>
      </c>
      <c r="DF93" s="44">
        <v>2.4E-2</v>
      </c>
      <c r="DG93" s="44">
        <v>2.4E-2</v>
      </c>
      <c r="DH93" s="44">
        <v>2.4E-2</v>
      </c>
      <c r="DI93" s="44">
        <v>2.4E-2</v>
      </c>
      <c r="DJ93" s="44">
        <v>2.4E-2</v>
      </c>
      <c r="DK93" s="44">
        <v>2.4E-2</v>
      </c>
      <c r="DL93" s="44">
        <v>2.4E-2</v>
      </c>
      <c r="DM93" s="44">
        <v>2.4E-2</v>
      </c>
      <c r="DN93" s="44">
        <v>2.4E-2</v>
      </c>
      <c r="DO93" s="44">
        <v>2.4E-2</v>
      </c>
      <c r="DP93" s="44">
        <v>2.4E-2</v>
      </c>
      <c r="DQ93" s="44">
        <v>2.4E-2</v>
      </c>
      <c r="DR93" s="44">
        <v>2.4E-2</v>
      </c>
      <c r="DS93" s="45">
        <v>2.4E-2</v>
      </c>
      <c r="DT93" s="44">
        <v>2.35E-2</v>
      </c>
      <c r="DU93" s="44"/>
      <c r="DV93" s="44"/>
      <c r="DW93" s="44"/>
      <c r="DX93" s="44"/>
      <c r="DY93" s="44"/>
      <c r="DZ93" s="44"/>
      <c r="EA93" s="44"/>
      <c r="EB93" s="44"/>
      <c r="EC93" s="44"/>
      <c r="ED93" s="44"/>
      <c r="EE93" s="44"/>
      <c r="EF93" s="44"/>
      <c r="EG93" s="44"/>
      <c r="EH93" s="44"/>
      <c r="EI93" s="44"/>
      <c r="EJ93" s="44"/>
      <c r="EK93" s="44"/>
      <c r="EL93" s="44"/>
      <c r="EM93" s="44"/>
      <c r="EN93" s="44"/>
      <c r="EO93" s="44"/>
      <c r="EP93" s="44"/>
      <c r="EQ93" s="44"/>
      <c r="ER93" s="44"/>
      <c r="ES93" s="44"/>
      <c r="ET93" s="44"/>
      <c r="EU93" s="44"/>
      <c r="EV93" s="44"/>
      <c r="EW93" s="44"/>
      <c r="EX93" s="44"/>
      <c r="EY93" s="44"/>
      <c r="EZ93" s="44"/>
      <c r="FA93" s="44"/>
      <c r="FB93" s="44"/>
      <c r="FC93" s="46"/>
      <c r="FD93" s="46"/>
      <c r="FE93" s="46"/>
      <c r="FF93" s="45"/>
      <c r="FG93" s="46"/>
      <c r="FH93" s="46"/>
      <c r="FI93" s="46"/>
      <c r="FJ93" s="46"/>
      <c r="FK93" s="46"/>
      <c r="FL93" s="45"/>
      <c r="FM93" s="44"/>
      <c r="FN93" s="44"/>
      <c r="FO93" s="44"/>
      <c r="FP93" s="44"/>
      <c r="FQ93" s="44"/>
      <c r="FR93" s="44"/>
      <c r="FS93" s="44"/>
      <c r="FT93" s="44"/>
      <c r="FU93" s="44"/>
      <c r="FV93" s="44"/>
      <c r="FW93" s="44"/>
      <c r="FX93" s="44"/>
      <c r="FY93" s="44"/>
      <c r="FZ93" s="44"/>
      <c r="GA93" s="44"/>
      <c r="GB93" s="44"/>
      <c r="GC93" s="44"/>
      <c r="GD93" s="44"/>
      <c r="GE93" s="44"/>
      <c r="GF93" s="44"/>
      <c r="GG93" s="44"/>
      <c r="GH93" s="44"/>
      <c r="GI93" s="44"/>
      <c r="GJ93" s="44"/>
      <c r="GK93" s="44"/>
      <c r="GL93" s="44"/>
      <c r="GM93" s="44"/>
      <c r="GN93" s="44"/>
      <c r="GO93" s="44"/>
      <c r="GP93" s="44"/>
      <c r="GQ93" s="44"/>
      <c r="GR93" s="44"/>
      <c r="GS93" s="43"/>
      <c r="GT93" s="43"/>
      <c r="GU93" s="43"/>
      <c r="GV93" s="43"/>
      <c r="GW93" s="42"/>
      <c r="GX93" s="42"/>
      <c r="GY93" s="42"/>
      <c r="GZ93" s="42"/>
      <c r="HA93" s="42"/>
      <c r="HB93" s="42"/>
      <c r="HC93" s="42"/>
      <c r="HD93" s="42"/>
      <c r="HE93" s="42"/>
      <c r="HF93" s="42"/>
      <c r="HG93" s="42"/>
      <c r="HH93" s="42"/>
      <c r="HI93" s="42"/>
      <c r="HJ93" s="42"/>
      <c r="HK93" s="42"/>
      <c r="HL93" s="41">
        <f t="shared" si="40"/>
        <v>-4.4999999999999971E-3</v>
      </c>
      <c r="LN93" s="473">
        <f t="shared" si="41"/>
        <v>0</v>
      </c>
    </row>
    <row r="94" spans="1:326" ht="14.7" customHeight="1">
      <c r="A94" s="40" t="s">
        <v>12</v>
      </c>
      <c r="B94" s="27"/>
      <c r="C94" s="27"/>
      <c r="D94" s="27"/>
      <c r="E94" s="27"/>
      <c r="F94" s="27"/>
      <c r="G94" s="27"/>
      <c r="H94" s="27"/>
      <c r="I94" s="27"/>
      <c r="J94" s="27"/>
      <c r="K94" s="27"/>
      <c r="L94" s="27"/>
      <c r="M94" s="27"/>
      <c r="N94" s="27"/>
      <c r="O94" s="27"/>
      <c r="P94" s="38" t="s">
        <v>65</v>
      </c>
      <c r="Q94" s="38">
        <v>8.9999999999999993E-3</v>
      </c>
      <c r="R94" s="38">
        <v>8.9999999999999993E-3</v>
      </c>
      <c r="S94" s="38">
        <v>8.9999999999999993E-3</v>
      </c>
      <c r="T94" s="38">
        <v>8.9999999999999993E-3</v>
      </c>
      <c r="U94" s="38">
        <v>8.9999999999999993E-3</v>
      </c>
      <c r="V94" s="38">
        <v>8.9999999999999993E-3</v>
      </c>
      <c r="W94" s="38">
        <v>8.9999999999999993E-3</v>
      </c>
      <c r="X94" s="38">
        <v>8.9999999999999993E-3</v>
      </c>
      <c r="Y94" s="38">
        <v>8.9999999999999993E-3</v>
      </c>
      <c r="Z94" s="38">
        <v>8.9999999999999993E-3</v>
      </c>
      <c r="AA94" s="39">
        <v>8.9999999999999993E-3</v>
      </c>
      <c r="AB94" s="39">
        <v>1.2E-2</v>
      </c>
      <c r="AC94" s="38">
        <v>8.9999999999999993E-3</v>
      </c>
      <c r="AD94" s="38">
        <v>8.9999999999999993E-3</v>
      </c>
      <c r="AE94" s="38">
        <v>8.9999999999999993E-3</v>
      </c>
      <c r="AF94" s="38">
        <v>8.9999999999999993E-3</v>
      </c>
      <c r="AG94" s="27">
        <v>8.9999999999999993E-3</v>
      </c>
      <c r="AH94" s="27">
        <v>8.9999999999999993E-3</v>
      </c>
      <c r="AI94" s="27">
        <v>8.9999999999999993E-3</v>
      </c>
      <c r="AJ94" s="38">
        <v>8.9999999999999993E-3</v>
      </c>
      <c r="AK94" s="38">
        <v>8.9999999999999993E-3</v>
      </c>
      <c r="AL94" s="38">
        <v>8.9999999999999993E-3</v>
      </c>
      <c r="AM94" s="38">
        <v>8.9999999999999993E-3</v>
      </c>
      <c r="AN94" s="38">
        <v>8.9999999999999993E-3</v>
      </c>
      <c r="AO94" s="38">
        <v>8.9999999999999993E-3</v>
      </c>
      <c r="AP94" s="38">
        <v>8.9999999999999993E-3</v>
      </c>
      <c r="AQ94" s="38">
        <v>8.9999999999999993E-3</v>
      </c>
      <c r="AR94" s="39">
        <v>8.9999999999999993E-3</v>
      </c>
      <c r="AS94" s="38">
        <v>8.5000000000000006E-3</v>
      </c>
      <c r="AT94" s="38">
        <v>8.5000000000000006E-3</v>
      </c>
      <c r="AU94" s="38">
        <v>8.5000000000000006E-3</v>
      </c>
      <c r="AV94" s="38">
        <v>8.5000000000000006E-3</v>
      </c>
      <c r="AW94" s="38">
        <v>8.5000000000000006E-3</v>
      </c>
      <c r="AX94" s="38">
        <v>8.5000000000000006E-3</v>
      </c>
      <c r="AY94" s="27">
        <v>8.5000000000000006E-3</v>
      </c>
      <c r="AZ94" s="38">
        <v>8.5000000000000006E-3</v>
      </c>
      <c r="BA94" s="38">
        <v>8.5000000000000006E-3</v>
      </c>
      <c r="BB94" s="38">
        <v>8.5000000000000006E-3</v>
      </c>
      <c r="BC94" s="38">
        <v>8.5000000000000006E-3</v>
      </c>
      <c r="BD94" s="39">
        <v>8.5000000000000006E-3</v>
      </c>
      <c r="BE94" s="38">
        <v>8.9999999999999993E-3</v>
      </c>
      <c r="BF94" s="38">
        <v>8.9999999999999993E-3</v>
      </c>
      <c r="BG94" s="38">
        <v>8.9999999999999993E-3</v>
      </c>
      <c r="BH94" s="38">
        <v>8.9999999999999993E-3</v>
      </c>
      <c r="BI94" s="27">
        <v>8.9999999999999993E-3</v>
      </c>
      <c r="BJ94" s="27"/>
      <c r="BK94" s="24"/>
      <c r="BL94" s="24"/>
      <c r="BM94" s="24"/>
      <c r="BN94" s="24"/>
      <c r="BO94" s="24"/>
      <c r="BP94" s="24"/>
      <c r="BQ94" s="24"/>
      <c r="BR94" s="24"/>
      <c r="BS94" s="24"/>
      <c r="BT94" s="24"/>
      <c r="BU94" s="24"/>
      <c r="BV94" s="24"/>
      <c r="BW94" s="24"/>
      <c r="BX94" s="24"/>
      <c r="BY94" s="24"/>
      <c r="BZ94" s="24"/>
      <c r="CA94" s="24"/>
      <c r="CB94" s="24"/>
      <c r="CC94" s="24"/>
      <c r="CD94" s="24"/>
      <c r="CE94" s="24"/>
      <c r="CF94" s="24"/>
      <c r="CG94" s="24"/>
      <c r="CH94" s="24"/>
      <c r="CI94" s="24"/>
      <c r="CJ94" s="24"/>
      <c r="CK94" s="24"/>
      <c r="CL94" s="24"/>
      <c r="CM94" s="24"/>
      <c r="CN94" s="24"/>
      <c r="CO94" s="24"/>
      <c r="CP94" s="24"/>
      <c r="CQ94" s="24"/>
      <c r="CR94" s="24"/>
      <c r="CS94" s="24"/>
      <c r="CT94" s="24"/>
      <c r="CU94" s="24"/>
      <c r="CV94" s="24"/>
      <c r="CW94" s="24"/>
      <c r="CX94" s="24"/>
      <c r="CY94" s="24"/>
      <c r="CZ94" s="24"/>
      <c r="DA94" s="24"/>
      <c r="DB94" s="24"/>
      <c r="DC94" s="24"/>
      <c r="DD94" s="24"/>
      <c r="DE94" s="24"/>
      <c r="DF94" s="24"/>
      <c r="DG94" s="24"/>
      <c r="DH94" s="24"/>
      <c r="DI94" s="24"/>
      <c r="DJ94" s="24"/>
      <c r="DK94" s="24"/>
      <c r="DL94" s="24"/>
      <c r="DM94" s="24"/>
      <c r="DN94" s="24"/>
      <c r="DO94" s="24"/>
      <c r="DP94" s="24"/>
      <c r="DQ94" s="25"/>
      <c r="DR94" s="25"/>
      <c r="DS94" s="25"/>
      <c r="DT94" s="24"/>
      <c r="DU94" s="24"/>
      <c r="DV94" s="24"/>
      <c r="DW94" s="24"/>
      <c r="DX94" s="24"/>
      <c r="DY94" s="24"/>
      <c r="DZ94" s="24"/>
      <c r="EA94" s="24"/>
      <c r="EB94" s="24"/>
      <c r="EC94" s="24"/>
      <c r="ED94" s="24"/>
      <c r="EE94" s="24"/>
      <c r="EF94" s="24"/>
      <c r="EG94" s="24"/>
      <c r="EH94" s="24"/>
      <c r="EI94" s="24"/>
      <c r="EJ94" s="24"/>
      <c r="EK94" s="24"/>
      <c r="EL94" s="24"/>
      <c r="EM94" s="24"/>
      <c r="EN94" s="24"/>
      <c r="EO94" s="24"/>
      <c r="EP94" s="24"/>
      <c r="EQ94" s="24"/>
      <c r="ER94" s="24"/>
      <c r="ES94" s="24"/>
      <c r="ET94" s="24"/>
      <c r="EU94" s="24"/>
      <c r="EV94" s="24"/>
      <c r="EW94" s="24"/>
      <c r="EX94" s="24"/>
      <c r="EY94" s="24"/>
      <c r="EZ94" s="24"/>
      <c r="FA94" s="24"/>
      <c r="FB94" s="24"/>
      <c r="FC94" s="24"/>
      <c r="FD94" s="24"/>
      <c r="FE94" s="24"/>
      <c r="FF94" s="24"/>
      <c r="FG94" s="24"/>
      <c r="FH94" s="24"/>
      <c r="FI94" s="24"/>
      <c r="FJ94" s="24"/>
      <c r="FK94" s="24"/>
      <c r="FL94" s="24"/>
      <c r="FM94" s="24"/>
      <c r="FN94" s="24"/>
      <c r="FO94" s="24"/>
      <c r="FP94" s="24"/>
      <c r="FQ94" s="24"/>
      <c r="FR94" s="24"/>
      <c r="FS94" s="24"/>
      <c r="FT94" s="24"/>
      <c r="FU94" s="24"/>
      <c r="FV94" s="24"/>
      <c r="FW94" s="24"/>
      <c r="FX94" s="24"/>
      <c r="FY94" s="24"/>
      <c r="FZ94" s="24"/>
      <c r="GA94" s="24"/>
      <c r="GB94" s="24"/>
      <c r="GC94" s="24"/>
      <c r="GD94" s="24"/>
      <c r="GE94" s="24"/>
      <c r="GF94" s="24"/>
      <c r="GG94" s="24"/>
      <c r="GH94" s="24"/>
      <c r="GI94" s="24"/>
      <c r="GJ94" s="24"/>
      <c r="GK94" s="24"/>
      <c r="GL94" s="24"/>
      <c r="GM94" s="24"/>
      <c r="GN94" s="24"/>
      <c r="GO94" s="24"/>
      <c r="GP94" s="24"/>
      <c r="GQ94" s="24"/>
      <c r="GR94" s="24"/>
      <c r="GS94" s="23"/>
      <c r="GT94" s="23"/>
      <c r="GU94" s="23"/>
      <c r="GV94" s="23"/>
      <c r="GW94" s="22"/>
      <c r="GX94" s="22"/>
      <c r="GY94" s="22"/>
      <c r="GZ94" s="22"/>
      <c r="HA94" s="22"/>
      <c r="HB94" s="22"/>
      <c r="HC94" s="22"/>
      <c r="HD94" s="22"/>
      <c r="HE94" s="22"/>
      <c r="HF94" s="22"/>
      <c r="HG94" s="22"/>
      <c r="HH94" s="22"/>
      <c r="HI94" s="22"/>
      <c r="HJ94" s="22"/>
      <c r="HK94" s="22"/>
      <c r="HL94" s="21"/>
      <c r="HM94" s="19"/>
      <c r="HN94" s="19"/>
      <c r="HO94" s="19"/>
      <c r="HP94" s="20"/>
      <c r="HQ94" s="19"/>
      <c r="HR94" s="16"/>
      <c r="HS94" s="16"/>
      <c r="HT94" s="18"/>
      <c r="HU94" s="16"/>
      <c r="HV94" s="16"/>
      <c r="HW94" s="16"/>
      <c r="HX94" s="15"/>
      <c r="HY94" s="15"/>
      <c r="HZ94" s="15"/>
      <c r="IA94" s="15"/>
      <c r="IB94" s="15"/>
      <c r="IC94" s="16"/>
      <c r="ID94" s="16"/>
      <c r="IE94" s="15"/>
      <c r="IF94" s="15"/>
      <c r="IG94" s="15"/>
      <c r="IH94" s="15"/>
      <c r="II94" s="15"/>
      <c r="IJ94" s="15"/>
      <c r="IK94" s="15"/>
      <c r="IL94" s="15"/>
      <c r="IM94" s="15"/>
      <c r="IN94" s="15"/>
      <c r="IO94" s="15"/>
      <c r="IP94" s="17"/>
      <c r="IQ94" s="15"/>
      <c r="IR94" s="15"/>
      <c r="IS94" s="15"/>
      <c r="IT94" s="15"/>
      <c r="IU94" s="15"/>
      <c r="IV94" s="15"/>
      <c r="IW94" s="15"/>
      <c r="IX94" s="15"/>
      <c r="IY94" s="15"/>
      <c r="IZ94" s="15"/>
      <c r="JA94" s="15"/>
      <c r="JB94" s="15"/>
      <c r="JC94" s="15"/>
      <c r="JD94" s="15"/>
      <c r="JE94" s="15"/>
      <c r="JF94" s="15"/>
      <c r="JG94" s="15"/>
      <c r="JH94" s="15"/>
      <c r="JI94" s="15"/>
      <c r="JJ94" s="15"/>
      <c r="JK94" s="15"/>
      <c r="JL94" s="15"/>
      <c r="JM94" s="15"/>
      <c r="JN94" s="16"/>
      <c r="JO94" s="16"/>
      <c r="JP94" s="16"/>
      <c r="JQ94" s="16"/>
      <c r="JR94" s="16"/>
      <c r="JS94" s="16"/>
      <c r="JT94" s="16"/>
      <c r="JU94" s="16"/>
      <c r="JV94" s="16"/>
      <c r="JW94" s="16"/>
      <c r="JX94" s="16"/>
      <c r="JY94" s="16"/>
      <c r="JZ94" s="16"/>
      <c r="KA94" s="16"/>
      <c r="KB94" s="16"/>
      <c r="KC94" s="16"/>
      <c r="KD94" s="16"/>
      <c r="KE94" s="16"/>
      <c r="KF94" s="16"/>
      <c r="KG94" s="16"/>
      <c r="KH94" s="16"/>
      <c r="KI94" s="16"/>
      <c r="KJ94" s="16"/>
      <c r="KK94" s="16"/>
      <c r="KL94" s="16"/>
      <c r="KM94" s="16"/>
      <c r="KN94" s="16"/>
      <c r="KO94" s="16"/>
      <c r="KP94" s="16"/>
      <c r="KQ94" s="16"/>
      <c r="KR94" s="16"/>
      <c r="KS94" s="16"/>
      <c r="KT94" s="15"/>
      <c r="KU94" s="15"/>
      <c r="KV94" s="15"/>
      <c r="KW94" s="15"/>
      <c r="KX94" s="15"/>
      <c r="KY94" s="15"/>
      <c r="KZ94" s="15"/>
      <c r="LA94" s="15"/>
      <c r="LB94" s="15"/>
      <c r="LC94" s="15"/>
      <c r="LD94" s="15"/>
      <c r="LE94" s="15"/>
      <c r="LF94" s="15"/>
      <c r="LG94" s="15"/>
      <c r="LH94" s="15"/>
      <c r="LI94" s="15"/>
      <c r="LJ94" s="15"/>
      <c r="LK94" s="15"/>
      <c r="LL94" s="15"/>
      <c r="LM94" s="15"/>
      <c r="LN94" s="473">
        <f t="shared" si="41"/>
        <v>0</v>
      </c>
    </row>
    <row r="95" spans="1:326" ht="14.7" customHeight="1">
      <c r="A95" s="696" t="s">
        <v>29</v>
      </c>
      <c r="B95" s="37"/>
      <c r="C95" s="37"/>
      <c r="D95" s="37"/>
      <c r="E95" s="37"/>
      <c r="F95" s="37"/>
      <c r="G95" s="37"/>
      <c r="H95" s="37"/>
      <c r="I95" s="37"/>
      <c r="J95" s="37"/>
      <c r="K95" s="37"/>
      <c r="L95" s="37"/>
      <c r="M95" s="37"/>
      <c r="N95" s="37"/>
      <c r="O95" s="37"/>
      <c r="P95" s="738" t="s">
        <v>64</v>
      </c>
      <c r="Q95" s="590">
        <v>6.0330000000000002E-3</v>
      </c>
      <c r="R95" s="590">
        <v>6.0330000000000002E-3</v>
      </c>
      <c r="S95" s="590">
        <v>4.3220000000000003E-3</v>
      </c>
      <c r="T95" s="590">
        <v>5.1869999999999998E-3</v>
      </c>
      <c r="U95" s="590">
        <v>5.8170000000000001E-3</v>
      </c>
      <c r="V95" s="590">
        <v>7.9000000000000008E-3</v>
      </c>
      <c r="W95" s="590">
        <v>6.3E-3</v>
      </c>
      <c r="X95" s="590">
        <v>8.1890000000000001E-3</v>
      </c>
      <c r="Y95" s="590">
        <v>6.5490000000000001E-3</v>
      </c>
      <c r="Z95" s="590">
        <v>8.0040000000000007E-3</v>
      </c>
      <c r="AA95" s="590">
        <v>7.1830000000000001E-3</v>
      </c>
      <c r="AB95" s="590">
        <v>5.3880000000000004E-3</v>
      </c>
      <c r="AC95" s="626">
        <v>5.7980000000000002E-3</v>
      </c>
      <c r="AD95" s="590">
        <v>8.3979999999999992E-3</v>
      </c>
      <c r="AE95" s="590">
        <v>6.032E-3</v>
      </c>
      <c r="AF95" s="590">
        <v>8.4399999999999996E-3</v>
      </c>
      <c r="AG95" s="590">
        <v>6.378E-3</v>
      </c>
      <c r="AH95" s="590">
        <v>6.1910000000000003E-3</v>
      </c>
      <c r="AI95" s="590">
        <v>7.9550000000000003E-3</v>
      </c>
      <c r="AJ95" s="48">
        <v>7.3759999999999997E-3</v>
      </c>
      <c r="AK95" s="48">
        <v>7.5599999999999999E-3</v>
      </c>
      <c r="AL95" s="48">
        <v>6.3140000000000002E-3</v>
      </c>
      <c r="AM95" s="48">
        <v>6.7450000000000001E-3</v>
      </c>
      <c r="AN95" s="48">
        <v>7.7219999999999997E-3</v>
      </c>
      <c r="AO95" s="48">
        <v>6.8519999999999996E-3</v>
      </c>
      <c r="AP95" s="48">
        <v>6.391E-3</v>
      </c>
      <c r="AQ95" s="48">
        <v>7.4939999999999998E-3</v>
      </c>
      <c r="AR95" s="48">
        <v>7.8429999999999993E-3</v>
      </c>
      <c r="AS95" s="48">
        <v>6.6519999999999999E-3</v>
      </c>
      <c r="AT95" s="461">
        <v>7.3639999999999999E-3</v>
      </c>
      <c r="AU95" s="36">
        <v>6.8069999999999997E-3</v>
      </c>
      <c r="AV95" s="36">
        <v>8.3599999999999994E-3</v>
      </c>
      <c r="AW95" s="35">
        <v>6.5690000000000002E-3</v>
      </c>
      <c r="AX95" s="34">
        <v>6.5690000000000002E-3</v>
      </c>
      <c r="AY95" s="34">
        <v>7.6090000000000003E-3</v>
      </c>
      <c r="AZ95" s="34">
        <v>5.7450000000000001E-3</v>
      </c>
      <c r="BA95" s="34">
        <v>7.051E-3</v>
      </c>
      <c r="BB95" s="34">
        <v>6.8230000000000001E-3</v>
      </c>
      <c r="BC95" s="34">
        <v>5.2779999999999997E-3</v>
      </c>
      <c r="BD95" s="34">
        <v>6.953E-3</v>
      </c>
      <c r="BE95" s="34">
        <v>6.496E-3</v>
      </c>
      <c r="BF95" s="34">
        <v>5.2259999999999997E-3</v>
      </c>
      <c r="BG95" s="35">
        <v>5.4799999999999996E-3</v>
      </c>
      <c r="BH95" s="34">
        <v>5.4799999999999996E-3</v>
      </c>
      <c r="BI95" s="34"/>
      <c r="BJ95" s="26"/>
      <c r="BK95" s="24"/>
      <c r="BL95" s="24"/>
      <c r="BM95" s="24"/>
      <c r="BN95" s="24"/>
      <c r="BO95" s="24"/>
      <c r="BP95" s="24"/>
      <c r="BQ95" s="24"/>
      <c r="BR95" s="24"/>
      <c r="BS95" s="24"/>
      <c r="BT95" s="24"/>
      <c r="BU95" s="24"/>
      <c r="BV95" s="24"/>
      <c r="BW95" s="24"/>
      <c r="BX95" s="24"/>
      <c r="BY95" s="24"/>
      <c r="BZ95" s="24"/>
      <c r="CA95" s="24"/>
      <c r="CB95" s="24"/>
      <c r="CC95" s="24"/>
      <c r="CD95" s="24"/>
      <c r="CE95" s="24"/>
      <c r="CF95" s="24"/>
      <c r="CG95" s="24"/>
      <c r="CH95" s="24"/>
      <c r="CI95" s="24"/>
      <c r="CJ95" s="24"/>
      <c r="CK95" s="24"/>
      <c r="CL95" s="24"/>
      <c r="CM95" s="24"/>
      <c r="CN95" s="24"/>
      <c r="CO95" s="24"/>
      <c r="CP95" s="24"/>
      <c r="CQ95" s="24"/>
      <c r="CR95" s="24"/>
      <c r="CS95" s="24"/>
      <c r="CT95" s="24"/>
      <c r="CU95" s="24"/>
      <c r="CV95" s="24"/>
      <c r="CW95" s="24"/>
      <c r="CX95" s="24"/>
      <c r="CY95" s="24"/>
      <c r="CZ95" s="24"/>
      <c r="DA95" s="24"/>
      <c r="DB95" s="24"/>
      <c r="DC95" s="24"/>
      <c r="DD95" s="24"/>
      <c r="DE95" s="24"/>
      <c r="DF95" s="24"/>
      <c r="DG95" s="24"/>
      <c r="DH95" s="24"/>
      <c r="DI95" s="24"/>
      <c r="DJ95" s="24"/>
      <c r="DK95" s="24"/>
      <c r="DL95" s="24"/>
      <c r="DM95" s="24"/>
      <c r="DN95" s="24"/>
      <c r="DO95" s="24"/>
      <c r="DP95" s="24"/>
      <c r="DQ95" s="25"/>
      <c r="DR95" s="25"/>
      <c r="DS95" s="25"/>
      <c r="DT95" s="24"/>
      <c r="DU95" s="24"/>
      <c r="DV95" s="24"/>
      <c r="DW95" s="24"/>
      <c r="DX95" s="24"/>
      <c r="DY95" s="24"/>
      <c r="DZ95" s="24"/>
      <c r="EA95" s="24"/>
      <c r="EB95" s="24"/>
      <c r="EC95" s="24"/>
      <c r="ED95" s="24"/>
      <c r="EE95" s="24"/>
      <c r="EF95" s="24"/>
      <c r="EG95" s="24"/>
      <c r="EH95" s="24"/>
      <c r="EI95" s="24"/>
      <c r="EJ95" s="24"/>
      <c r="EK95" s="24"/>
      <c r="EL95" s="24"/>
      <c r="EM95" s="24"/>
      <c r="EN95" s="24"/>
      <c r="EO95" s="24"/>
      <c r="EP95" s="24"/>
      <c r="EQ95" s="24"/>
      <c r="ER95" s="24"/>
      <c r="ES95" s="24"/>
      <c r="ET95" s="24"/>
      <c r="EU95" s="24"/>
      <c r="EV95" s="24"/>
      <c r="EW95" s="24"/>
      <c r="EX95" s="24"/>
      <c r="EY95" s="24"/>
      <c r="EZ95" s="24"/>
      <c r="FA95" s="24"/>
      <c r="FB95" s="24"/>
      <c r="FC95" s="24"/>
      <c r="FD95" s="24"/>
      <c r="FE95" s="24"/>
      <c r="FF95" s="24"/>
      <c r="FG95" s="24"/>
      <c r="FH95" s="24"/>
      <c r="FI95" s="24"/>
      <c r="FJ95" s="24"/>
      <c r="FK95" s="24"/>
      <c r="FL95" s="24"/>
      <c r="FM95" s="24"/>
      <c r="FN95" s="24"/>
      <c r="FO95" s="24"/>
      <c r="FP95" s="24"/>
      <c r="FQ95" s="24"/>
      <c r="FR95" s="24"/>
      <c r="FS95" s="24"/>
      <c r="FT95" s="24"/>
      <c r="FU95" s="24"/>
      <c r="FV95" s="24"/>
      <c r="FW95" s="24"/>
      <c r="FX95" s="24"/>
      <c r="FY95" s="24"/>
      <c r="FZ95" s="24"/>
      <c r="GA95" s="24"/>
      <c r="GB95" s="24"/>
      <c r="GC95" s="24"/>
      <c r="GD95" s="24"/>
      <c r="GE95" s="24"/>
      <c r="GF95" s="24"/>
      <c r="GG95" s="24"/>
      <c r="GH95" s="24"/>
      <c r="GI95" s="24"/>
      <c r="GJ95" s="24"/>
      <c r="GK95" s="24"/>
      <c r="GL95" s="24"/>
      <c r="GM95" s="24"/>
      <c r="GN95" s="24"/>
      <c r="GO95" s="24"/>
      <c r="GP95" s="24"/>
      <c r="GQ95" s="24"/>
      <c r="GR95" s="24"/>
      <c r="GS95" s="23"/>
      <c r="GT95" s="23"/>
      <c r="GU95" s="23"/>
      <c r="GV95" s="23"/>
      <c r="GW95" s="22"/>
      <c r="GX95" s="22"/>
      <c r="GY95" s="22"/>
      <c r="GZ95" s="22"/>
      <c r="HA95" s="22"/>
      <c r="HB95" s="22"/>
      <c r="HC95" s="22"/>
      <c r="HD95" s="22"/>
      <c r="HE95" s="22"/>
      <c r="HF95" s="22"/>
      <c r="HG95" s="22"/>
      <c r="HH95" s="22"/>
      <c r="HI95" s="22"/>
      <c r="HJ95" s="22"/>
      <c r="HK95" s="22"/>
      <c r="HL95" s="21"/>
      <c r="HM95" s="19"/>
      <c r="HN95" s="19"/>
      <c r="HO95" s="19"/>
      <c r="HP95" s="20"/>
      <c r="HQ95" s="19"/>
      <c r="HR95" s="16"/>
      <c r="HS95" s="16"/>
      <c r="HT95" s="18"/>
      <c r="HU95" s="16"/>
      <c r="HV95" s="16"/>
      <c r="HW95" s="16"/>
      <c r="HX95" s="15"/>
      <c r="HY95" s="15"/>
      <c r="HZ95" s="15"/>
      <c r="IA95" s="15"/>
      <c r="IB95" s="15"/>
      <c r="IC95" s="16"/>
      <c r="ID95" s="16"/>
      <c r="IE95" s="15"/>
      <c r="IF95" s="15"/>
      <c r="IG95" s="15"/>
      <c r="IH95" s="15"/>
      <c r="II95" s="15"/>
      <c r="IJ95" s="15"/>
      <c r="IK95" s="15"/>
      <c r="IL95" s="15"/>
      <c r="IM95" s="15"/>
      <c r="IN95" s="15"/>
      <c r="IO95" s="15"/>
      <c r="IP95" s="17"/>
      <c r="IQ95" s="15"/>
      <c r="IR95" s="15"/>
      <c r="IS95" s="15"/>
      <c r="IT95" s="15"/>
      <c r="IU95" s="15"/>
      <c r="IV95" s="15"/>
      <c r="IW95" s="15"/>
      <c r="IX95" s="15"/>
      <c r="IY95" s="15"/>
      <c r="IZ95" s="15"/>
      <c r="JA95" s="15"/>
      <c r="JB95" s="15"/>
      <c r="JC95" s="15"/>
      <c r="JD95" s="15"/>
      <c r="JE95" s="15"/>
      <c r="JF95" s="15"/>
      <c r="JG95" s="15"/>
      <c r="JH95" s="15"/>
      <c r="JI95" s="15"/>
      <c r="JJ95" s="15"/>
      <c r="JK95" s="15"/>
      <c r="JL95" s="15"/>
      <c r="JM95" s="15"/>
      <c r="JN95" s="16"/>
      <c r="JO95" s="16"/>
      <c r="JP95" s="16"/>
      <c r="JQ95" s="16"/>
      <c r="JR95" s="16"/>
      <c r="JS95" s="16"/>
      <c r="JT95" s="16"/>
      <c r="JU95" s="16"/>
      <c r="JV95" s="16"/>
      <c r="JW95" s="16"/>
      <c r="JX95" s="16"/>
      <c r="JY95" s="16"/>
      <c r="JZ95" s="16"/>
      <c r="KA95" s="16"/>
      <c r="KB95" s="16"/>
      <c r="KC95" s="16"/>
      <c r="KD95" s="16"/>
      <c r="KE95" s="16"/>
      <c r="KF95" s="16"/>
      <c r="KG95" s="16"/>
      <c r="KH95" s="16"/>
      <c r="KI95" s="16"/>
      <c r="KJ95" s="16"/>
      <c r="KK95" s="16"/>
      <c r="KL95" s="16"/>
      <c r="KM95" s="16"/>
      <c r="KN95" s="16"/>
      <c r="KO95" s="16"/>
      <c r="KP95" s="16"/>
      <c r="KQ95" s="16"/>
      <c r="KR95" s="16"/>
      <c r="KS95" s="16"/>
      <c r="KT95" s="15"/>
      <c r="KU95" s="15"/>
      <c r="KV95" s="15"/>
      <c r="KW95" s="15"/>
      <c r="KX95" s="15"/>
      <c r="KY95" s="15"/>
      <c r="KZ95" s="15"/>
      <c r="LA95" s="15"/>
      <c r="LB95" s="15"/>
      <c r="LC95" s="15"/>
      <c r="LD95" s="15"/>
      <c r="LE95" s="15"/>
      <c r="LF95" s="15"/>
      <c r="LG95" s="15"/>
      <c r="LH95" s="15"/>
      <c r="LI95" s="15"/>
      <c r="LJ95" s="15"/>
      <c r="LK95" s="15"/>
      <c r="LL95" s="15"/>
      <c r="LM95" s="15"/>
      <c r="LN95" s="473">
        <f t="shared" si="41"/>
        <v>0</v>
      </c>
    </row>
    <row r="96" spans="1:326" ht="14.7" customHeight="1">
      <c r="A96" s="1159" t="s">
        <v>50</v>
      </c>
      <c r="B96" s="32" t="s">
        <v>63</v>
      </c>
      <c r="C96" s="32"/>
      <c r="D96" s="32"/>
      <c r="E96" s="32"/>
      <c r="F96" s="32"/>
      <c r="G96" s="32"/>
      <c r="H96" s="32"/>
      <c r="I96" s="32"/>
      <c r="J96" s="32"/>
      <c r="K96" s="32"/>
      <c r="L96" s="32"/>
      <c r="M96" s="32"/>
      <c r="N96" s="33"/>
      <c r="O96" s="32"/>
      <c r="P96" s="29" t="s">
        <v>62</v>
      </c>
      <c r="Q96" s="29">
        <v>1.2E-2</v>
      </c>
      <c r="R96" s="29">
        <v>1.2E-2</v>
      </c>
      <c r="S96" s="29">
        <v>1.2E-2</v>
      </c>
      <c r="T96" s="29">
        <v>1.2E-2</v>
      </c>
      <c r="U96" s="29">
        <v>1.2E-2</v>
      </c>
      <c r="V96" s="29">
        <v>1.2E-2</v>
      </c>
      <c r="W96" s="29">
        <v>1.2E-2</v>
      </c>
      <c r="X96" s="29">
        <v>1.2E-2</v>
      </c>
      <c r="Y96" s="29">
        <v>1.2E-2</v>
      </c>
      <c r="Z96" s="29">
        <v>1.2E-2</v>
      </c>
      <c r="AA96" s="29">
        <v>1.2E-2</v>
      </c>
      <c r="AB96" s="29">
        <v>1.2E-2</v>
      </c>
      <c r="AC96" s="29">
        <v>1.2E-2</v>
      </c>
      <c r="AD96" s="29">
        <v>1.2E-2</v>
      </c>
      <c r="AE96" s="29">
        <v>1.2E-2</v>
      </c>
      <c r="AF96" s="29">
        <v>1.2E-2</v>
      </c>
      <c r="AG96" s="29">
        <v>1.2E-2</v>
      </c>
      <c r="AH96" s="29">
        <v>1.2E-2</v>
      </c>
      <c r="AI96" s="29">
        <v>1.2E-2</v>
      </c>
      <c r="AJ96" s="29">
        <v>1.2E-2</v>
      </c>
      <c r="AK96" s="29">
        <v>1.2E-2</v>
      </c>
      <c r="AL96" s="29">
        <v>1.2E-2</v>
      </c>
      <c r="AM96" s="29">
        <v>1.2E-2</v>
      </c>
      <c r="AN96" s="29">
        <v>1.2E-2</v>
      </c>
      <c r="AO96" s="29">
        <v>1.2E-2</v>
      </c>
      <c r="AP96" s="29">
        <v>1.2E-2</v>
      </c>
      <c r="AQ96" s="29">
        <v>1.2E-2</v>
      </c>
      <c r="AR96" s="29">
        <v>1.2E-2</v>
      </c>
      <c r="AS96" s="29">
        <v>1.2E-2</v>
      </c>
      <c r="AT96" s="29">
        <v>1.2E-2</v>
      </c>
      <c r="AU96" s="29">
        <v>1.2E-2</v>
      </c>
      <c r="AV96" s="29">
        <v>1.2E-2</v>
      </c>
      <c r="AW96" s="29">
        <v>1.2E-2</v>
      </c>
      <c r="AX96" s="29">
        <v>1.2E-2</v>
      </c>
      <c r="AY96" s="30">
        <v>1.2E-2</v>
      </c>
      <c r="AZ96" s="29">
        <v>1.2E-2</v>
      </c>
      <c r="BA96" s="29">
        <v>1.2E-2</v>
      </c>
      <c r="BB96" s="29">
        <v>1.2E-2</v>
      </c>
      <c r="BC96" s="29">
        <v>1.2E-2</v>
      </c>
      <c r="BD96" s="29">
        <v>1.2E-2</v>
      </c>
      <c r="BE96" s="29">
        <v>1.2E-2</v>
      </c>
      <c r="BF96" s="29">
        <v>1.2E-2</v>
      </c>
      <c r="BG96" s="29">
        <v>1.2E-2</v>
      </c>
      <c r="BH96" s="28">
        <v>1.2E-2</v>
      </c>
      <c r="BI96" s="27"/>
      <c r="BJ96" s="26"/>
      <c r="BK96" s="24"/>
      <c r="BL96" s="24"/>
      <c r="BM96" s="24"/>
      <c r="BN96" s="24"/>
      <c r="BO96" s="24"/>
      <c r="BP96" s="24"/>
      <c r="BQ96" s="24"/>
      <c r="BR96" s="24"/>
      <c r="BS96" s="24"/>
      <c r="BT96" s="24"/>
      <c r="BU96" s="24"/>
      <c r="BV96" s="24"/>
      <c r="BW96" s="24"/>
      <c r="BX96" s="24"/>
      <c r="BY96" s="24"/>
      <c r="BZ96" s="24"/>
      <c r="CA96" s="24"/>
      <c r="CB96" s="24"/>
      <c r="CC96" s="24"/>
      <c r="CD96" s="24"/>
      <c r="CE96" s="24"/>
      <c r="CF96" s="24"/>
      <c r="CG96" s="24"/>
      <c r="CH96" s="24"/>
      <c r="CI96" s="24"/>
      <c r="CJ96" s="24"/>
      <c r="CK96" s="24"/>
      <c r="CL96" s="24"/>
      <c r="CM96" s="24"/>
      <c r="CN96" s="24"/>
      <c r="CO96" s="24"/>
      <c r="CP96" s="24"/>
      <c r="CQ96" s="24"/>
      <c r="CR96" s="24"/>
      <c r="CS96" s="24"/>
      <c r="CT96" s="24"/>
      <c r="CU96" s="24"/>
      <c r="CV96" s="24"/>
      <c r="CW96" s="24"/>
      <c r="CX96" s="24"/>
      <c r="CY96" s="24"/>
      <c r="CZ96" s="24"/>
      <c r="DA96" s="24"/>
      <c r="DB96" s="24"/>
      <c r="DC96" s="24"/>
      <c r="DD96" s="24"/>
      <c r="DE96" s="24"/>
      <c r="DF96" s="24"/>
      <c r="DG96" s="24"/>
      <c r="DH96" s="24"/>
      <c r="DI96" s="24"/>
      <c r="DJ96" s="24"/>
      <c r="DK96" s="24"/>
      <c r="DL96" s="24"/>
      <c r="DM96" s="24"/>
      <c r="DN96" s="24"/>
      <c r="DO96" s="24"/>
      <c r="DP96" s="24"/>
      <c r="DQ96" s="25"/>
      <c r="DR96" s="25"/>
      <c r="DS96" s="25"/>
      <c r="DT96" s="24"/>
      <c r="DU96" s="24"/>
      <c r="DV96" s="24"/>
      <c r="DW96" s="24"/>
      <c r="DX96" s="24"/>
      <c r="DY96" s="24"/>
      <c r="DZ96" s="24"/>
      <c r="EA96" s="24"/>
      <c r="EB96" s="24"/>
      <c r="EC96" s="24"/>
      <c r="ED96" s="24"/>
      <c r="EE96" s="24"/>
      <c r="EF96" s="24"/>
      <c r="EG96" s="24"/>
      <c r="EH96" s="24"/>
      <c r="EI96" s="24"/>
      <c r="EJ96" s="24"/>
      <c r="EK96" s="24"/>
      <c r="EL96" s="24"/>
      <c r="EM96" s="24"/>
      <c r="EN96" s="24"/>
      <c r="EO96" s="24"/>
      <c r="EP96" s="24"/>
      <c r="EQ96" s="24"/>
      <c r="ER96" s="24"/>
      <c r="ES96" s="24"/>
      <c r="ET96" s="24"/>
      <c r="EU96" s="24"/>
      <c r="EV96" s="24"/>
      <c r="EW96" s="24"/>
      <c r="EX96" s="24"/>
      <c r="EY96" s="24"/>
      <c r="EZ96" s="24"/>
      <c r="FA96" s="24"/>
      <c r="FB96" s="24"/>
      <c r="FC96" s="24"/>
      <c r="FD96" s="24"/>
      <c r="FE96" s="24"/>
      <c r="FF96" s="24"/>
      <c r="FG96" s="24"/>
      <c r="FH96" s="24"/>
      <c r="FI96" s="24"/>
      <c r="FJ96" s="24"/>
      <c r="FK96" s="24"/>
      <c r="FL96" s="24"/>
      <c r="FM96" s="24"/>
      <c r="FN96" s="24"/>
      <c r="FO96" s="24"/>
      <c r="FP96" s="24"/>
      <c r="FQ96" s="24"/>
      <c r="FR96" s="24"/>
      <c r="FS96" s="24"/>
      <c r="FT96" s="24"/>
      <c r="FU96" s="24"/>
      <c r="FV96" s="24"/>
      <c r="FW96" s="24"/>
      <c r="FX96" s="24"/>
      <c r="FY96" s="24"/>
      <c r="FZ96" s="24"/>
      <c r="GA96" s="24"/>
      <c r="GB96" s="24"/>
      <c r="GC96" s="24"/>
      <c r="GD96" s="24"/>
      <c r="GE96" s="24"/>
      <c r="GF96" s="24"/>
      <c r="GG96" s="24"/>
      <c r="GH96" s="24"/>
      <c r="GI96" s="24"/>
      <c r="GJ96" s="24"/>
      <c r="GK96" s="24"/>
      <c r="GL96" s="24"/>
      <c r="GM96" s="24"/>
      <c r="GN96" s="24"/>
      <c r="GO96" s="24"/>
      <c r="GP96" s="24"/>
      <c r="GQ96" s="24"/>
      <c r="GR96" s="24"/>
      <c r="GS96" s="23"/>
      <c r="GT96" s="23"/>
      <c r="GU96" s="23"/>
      <c r="GV96" s="23"/>
      <c r="GW96" s="22"/>
      <c r="GX96" s="22"/>
      <c r="GY96" s="22"/>
      <c r="GZ96" s="22"/>
      <c r="HA96" s="22"/>
      <c r="HB96" s="22"/>
      <c r="HC96" s="22"/>
      <c r="HD96" s="22"/>
      <c r="HE96" s="22"/>
      <c r="HF96" s="22"/>
      <c r="HG96" s="22"/>
      <c r="HH96" s="22"/>
      <c r="HI96" s="22"/>
      <c r="HJ96" s="22"/>
      <c r="HK96" s="22"/>
      <c r="HL96" s="21"/>
      <c r="HM96" s="19"/>
      <c r="HN96" s="19"/>
      <c r="HO96" s="19"/>
      <c r="HP96" s="20"/>
      <c r="HQ96" s="19"/>
      <c r="HR96" s="16"/>
      <c r="HS96" s="16"/>
      <c r="HT96" s="18"/>
      <c r="HU96" s="16"/>
      <c r="HV96" s="16"/>
      <c r="HW96" s="16"/>
      <c r="HX96" s="15"/>
      <c r="HY96" s="15"/>
      <c r="HZ96" s="15"/>
      <c r="IA96" s="15"/>
      <c r="IB96" s="15"/>
      <c r="IC96" s="16"/>
      <c r="ID96" s="16"/>
      <c r="IE96" s="15"/>
      <c r="IF96" s="15"/>
      <c r="IG96" s="15"/>
      <c r="IH96" s="15"/>
      <c r="II96" s="15"/>
      <c r="IJ96" s="15"/>
      <c r="IK96" s="15"/>
      <c r="IL96" s="15"/>
      <c r="IM96" s="15"/>
      <c r="IN96" s="15"/>
      <c r="IO96" s="15"/>
      <c r="IP96" s="17"/>
      <c r="IQ96" s="15"/>
      <c r="IR96" s="15"/>
      <c r="IS96" s="15"/>
      <c r="IT96" s="15"/>
      <c r="IU96" s="15"/>
      <c r="IV96" s="15"/>
      <c r="IW96" s="15"/>
      <c r="IX96" s="15"/>
      <c r="IY96" s="15"/>
      <c r="IZ96" s="15"/>
      <c r="JA96" s="15"/>
      <c r="JB96" s="15"/>
      <c r="JC96" s="15"/>
      <c r="JD96" s="15"/>
      <c r="JE96" s="15"/>
      <c r="JF96" s="15"/>
      <c r="JG96" s="15"/>
      <c r="JH96" s="15"/>
      <c r="JI96" s="15"/>
      <c r="JJ96" s="15"/>
      <c r="JK96" s="15"/>
      <c r="JL96" s="15"/>
      <c r="JM96" s="15"/>
      <c r="JN96" s="16"/>
      <c r="JO96" s="16"/>
      <c r="JP96" s="16"/>
      <c r="JQ96" s="16"/>
      <c r="JR96" s="16"/>
      <c r="JS96" s="16"/>
      <c r="JT96" s="16"/>
      <c r="JU96" s="16"/>
      <c r="JV96" s="16"/>
      <c r="JW96" s="16"/>
      <c r="JX96" s="16"/>
      <c r="JY96" s="16"/>
      <c r="JZ96" s="16"/>
      <c r="KA96" s="16"/>
      <c r="KB96" s="16"/>
      <c r="KC96" s="16"/>
      <c r="KD96" s="16"/>
      <c r="KE96" s="16"/>
      <c r="KF96" s="16"/>
      <c r="KG96" s="16"/>
      <c r="KH96" s="16"/>
      <c r="KI96" s="16"/>
      <c r="KJ96" s="16"/>
      <c r="KK96" s="16"/>
      <c r="KL96" s="16"/>
      <c r="KM96" s="16"/>
      <c r="KN96" s="16"/>
      <c r="KO96" s="16"/>
      <c r="KP96" s="16"/>
      <c r="KQ96" s="16"/>
      <c r="KR96" s="16"/>
      <c r="KS96" s="16"/>
      <c r="KT96" s="15"/>
      <c r="KU96" s="15"/>
      <c r="KV96" s="15"/>
      <c r="KW96" s="15"/>
      <c r="KX96" s="15"/>
      <c r="KY96" s="15"/>
      <c r="KZ96" s="15"/>
      <c r="LA96" s="15"/>
      <c r="LB96" s="15"/>
      <c r="LC96" s="15"/>
      <c r="LD96" s="15"/>
      <c r="LE96" s="15"/>
      <c r="LF96" s="15"/>
      <c r="LG96" s="15"/>
      <c r="LH96" s="15"/>
      <c r="LI96" s="15"/>
      <c r="LJ96" s="15"/>
      <c r="LK96" s="15"/>
      <c r="LL96" s="15"/>
      <c r="LM96" s="15"/>
      <c r="LN96" s="473">
        <f t="shared" si="41"/>
        <v>0</v>
      </c>
    </row>
    <row r="97" spans="1:326" ht="14.7" customHeight="1">
      <c r="A97" s="1160"/>
      <c r="B97" s="32"/>
      <c r="C97" s="32"/>
      <c r="D97" s="32"/>
      <c r="E97" s="32"/>
      <c r="F97" s="32"/>
      <c r="G97" s="32"/>
      <c r="H97" s="32"/>
      <c r="I97" s="32"/>
      <c r="J97" s="32"/>
      <c r="K97" s="32"/>
      <c r="L97" s="32"/>
      <c r="M97" s="32"/>
      <c r="N97" s="33"/>
      <c r="O97" s="32"/>
      <c r="P97" s="29" t="s">
        <v>61</v>
      </c>
      <c r="Q97" s="29">
        <v>1.2E-2</v>
      </c>
      <c r="R97" s="29">
        <v>1.2E-2</v>
      </c>
      <c r="S97" s="29">
        <v>1.2E-2</v>
      </c>
      <c r="T97" s="29">
        <v>1.2E-2</v>
      </c>
      <c r="U97" s="29">
        <v>1.2E-2</v>
      </c>
      <c r="V97" s="29">
        <v>1.2E-2</v>
      </c>
      <c r="W97" s="29">
        <v>1.2E-2</v>
      </c>
      <c r="X97" s="29">
        <v>1.2E-2</v>
      </c>
      <c r="Y97" s="29">
        <v>1.2E-2</v>
      </c>
      <c r="Z97" s="29">
        <v>1.2E-2</v>
      </c>
      <c r="AA97" s="29">
        <v>1.2E-2</v>
      </c>
      <c r="AB97" s="29">
        <v>1.2E-2</v>
      </c>
      <c r="AC97" s="29">
        <v>1.2E-2</v>
      </c>
      <c r="AD97" s="29">
        <v>1.2E-2</v>
      </c>
      <c r="AE97" s="29">
        <v>1.2E-2</v>
      </c>
      <c r="AF97" s="29">
        <v>1.2E-2</v>
      </c>
      <c r="AG97" s="29">
        <v>1.2E-2</v>
      </c>
      <c r="AH97" s="29">
        <v>1.2E-2</v>
      </c>
      <c r="AI97" s="29">
        <v>1.2E-2</v>
      </c>
      <c r="AJ97" s="29">
        <v>1.2E-2</v>
      </c>
      <c r="AK97" s="29">
        <v>1.2E-2</v>
      </c>
      <c r="AL97" s="29">
        <v>1.2E-2</v>
      </c>
      <c r="AM97" s="29">
        <v>1.2E-2</v>
      </c>
      <c r="AN97" s="29">
        <v>1.2E-2</v>
      </c>
      <c r="AO97" s="29">
        <v>1.2E-2</v>
      </c>
      <c r="AP97" s="29">
        <v>1.2E-2</v>
      </c>
      <c r="AQ97" s="29">
        <v>1.2E-2</v>
      </c>
      <c r="AR97" s="29">
        <v>1.2E-2</v>
      </c>
      <c r="AS97" s="29">
        <v>1.2E-2</v>
      </c>
      <c r="AT97" s="29">
        <v>1.2E-2</v>
      </c>
      <c r="AU97" s="29">
        <v>1.2E-2</v>
      </c>
      <c r="AV97" s="29">
        <v>1.2E-2</v>
      </c>
      <c r="AW97" s="29">
        <v>1.2E-2</v>
      </c>
      <c r="AX97" s="29">
        <v>1.2E-2</v>
      </c>
      <c r="AY97" s="30">
        <v>1.2E-2</v>
      </c>
      <c r="AZ97" s="29">
        <v>1.2E-2</v>
      </c>
      <c r="BA97" s="29">
        <v>1.2E-2</v>
      </c>
      <c r="BB97" s="29">
        <v>1.2E-2</v>
      </c>
      <c r="BC97" s="29">
        <v>1.2E-2</v>
      </c>
      <c r="BD97" s="29">
        <v>1.2E-2</v>
      </c>
      <c r="BE97" s="29">
        <v>1.2E-2</v>
      </c>
      <c r="BF97" s="29">
        <v>1.2E-2</v>
      </c>
      <c r="BG97" s="29">
        <v>1.2E-2</v>
      </c>
      <c r="BH97" s="28">
        <v>1.2E-2</v>
      </c>
      <c r="BI97" s="27"/>
      <c r="BJ97" s="26"/>
      <c r="BK97" s="24"/>
      <c r="BL97" s="24"/>
      <c r="BM97" s="24"/>
      <c r="BN97" s="24"/>
      <c r="BO97" s="24"/>
      <c r="BP97" s="24"/>
      <c r="BQ97" s="24"/>
      <c r="BR97" s="24"/>
      <c r="BS97" s="24"/>
      <c r="BT97" s="24"/>
      <c r="BU97" s="24"/>
      <c r="BV97" s="24"/>
      <c r="BW97" s="24"/>
      <c r="BX97" s="24"/>
      <c r="BY97" s="24"/>
      <c r="BZ97" s="24"/>
      <c r="CA97" s="24"/>
      <c r="CB97" s="24"/>
      <c r="CC97" s="24"/>
      <c r="CD97" s="24"/>
      <c r="CE97" s="24"/>
      <c r="CF97" s="24"/>
      <c r="CG97" s="24"/>
      <c r="CH97" s="24"/>
      <c r="CI97" s="24"/>
      <c r="CJ97" s="24"/>
      <c r="CK97" s="24"/>
      <c r="CL97" s="24"/>
      <c r="CM97" s="24"/>
      <c r="CN97" s="24"/>
      <c r="CO97" s="24"/>
      <c r="CP97" s="24"/>
      <c r="CQ97" s="24"/>
      <c r="CR97" s="24"/>
      <c r="CS97" s="24"/>
      <c r="CT97" s="24"/>
      <c r="CU97" s="24"/>
      <c r="CV97" s="24"/>
      <c r="CW97" s="24"/>
      <c r="CX97" s="24"/>
      <c r="CY97" s="24"/>
      <c r="CZ97" s="24"/>
      <c r="DA97" s="24"/>
      <c r="DB97" s="24"/>
      <c r="DC97" s="24"/>
      <c r="DD97" s="24"/>
      <c r="DE97" s="24"/>
      <c r="DF97" s="24"/>
      <c r="DG97" s="24"/>
      <c r="DH97" s="24"/>
      <c r="DI97" s="24"/>
      <c r="DJ97" s="24"/>
      <c r="DK97" s="24"/>
      <c r="DL97" s="24"/>
      <c r="DM97" s="24"/>
      <c r="DN97" s="24"/>
      <c r="DO97" s="24"/>
      <c r="DP97" s="24"/>
      <c r="DQ97" s="25"/>
      <c r="DR97" s="25"/>
      <c r="DS97" s="25"/>
      <c r="DT97" s="24"/>
      <c r="DU97" s="24"/>
      <c r="DV97" s="24"/>
      <c r="DW97" s="24"/>
      <c r="DX97" s="24"/>
      <c r="DY97" s="24"/>
      <c r="DZ97" s="24"/>
      <c r="EA97" s="24"/>
      <c r="EB97" s="24"/>
      <c r="EC97" s="24"/>
      <c r="ED97" s="24"/>
      <c r="EE97" s="24"/>
      <c r="EF97" s="24"/>
      <c r="EG97" s="24"/>
      <c r="EH97" s="24"/>
      <c r="EI97" s="24"/>
      <c r="EJ97" s="24"/>
      <c r="EK97" s="24"/>
      <c r="EL97" s="24"/>
      <c r="EM97" s="24"/>
      <c r="EN97" s="24"/>
      <c r="EO97" s="24"/>
      <c r="EP97" s="24"/>
      <c r="EQ97" s="24"/>
      <c r="ER97" s="24"/>
      <c r="ES97" s="24"/>
      <c r="ET97" s="24"/>
      <c r="EU97" s="24"/>
      <c r="EV97" s="24"/>
      <c r="EW97" s="24"/>
      <c r="EX97" s="24"/>
      <c r="EY97" s="24"/>
      <c r="EZ97" s="24"/>
      <c r="FA97" s="24"/>
      <c r="FB97" s="24"/>
      <c r="FC97" s="24"/>
      <c r="FD97" s="24"/>
      <c r="FE97" s="24"/>
      <c r="FF97" s="24"/>
      <c r="FG97" s="24"/>
      <c r="FH97" s="24"/>
      <c r="FI97" s="24"/>
      <c r="FJ97" s="24"/>
      <c r="FK97" s="24"/>
      <c r="FL97" s="24"/>
      <c r="FM97" s="24"/>
      <c r="FN97" s="24"/>
      <c r="FO97" s="24"/>
      <c r="FP97" s="24"/>
      <c r="FQ97" s="24"/>
      <c r="FR97" s="24"/>
      <c r="FS97" s="24"/>
      <c r="FT97" s="24"/>
      <c r="FU97" s="24"/>
      <c r="FV97" s="24"/>
      <c r="FW97" s="24"/>
      <c r="FX97" s="24"/>
      <c r="FY97" s="24"/>
      <c r="FZ97" s="24"/>
      <c r="GA97" s="24"/>
      <c r="GB97" s="24"/>
      <c r="GC97" s="24"/>
      <c r="GD97" s="24"/>
      <c r="GE97" s="24"/>
      <c r="GF97" s="24"/>
      <c r="GG97" s="24"/>
      <c r="GH97" s="24"/>
      <c r="GI97" s="24"/>
      <c r="GJ97" s="24"/>
      <c r="GK97" s="24"/>
      <c r="GL97" s="24"/>
      <c r="GM97" s="24"/>
      <c r="GN97" s="24"/>
      <c r="GO97" s="24"/>
      <c r="GP97" s="24"/>
      <c r="GQ97" s="24"/>
      <c r="GR97" s="24"/>
      <c r="GS97" s="23"/>
      <c r="GT97" s="23"/>
      <c r="GU97" s="23"/>
      <c r="GV97" s="23"/>
      <c r="GW97" s="22"/>
      <c r="GX97" s="22"/>
      <c r="GY97" s="22"/>
      <c r="GZ97" s="22"/>
      <c r="HA97" s="22"/>
      <c r="HB97" s="22"/>
      <c r="HC97" s="22"/>
      <c r="HD97" s="22"/>
      <c r="HE97" s="22"/>
      <c r="HF97" s="22"/>
      <c r="HG97" s="22"/>
      <c r="HH97" s="22"/>
      <c r="HI97" s="22"/>
      <c r="HJ97" s="22"/>
      <c r="HK97" s="22"/>
      <c r="HL97" s="21"/>
      <c r="HM97" s="19"/>
      <c r="HN97" s="19"/>
      <c r="HO97" s="19"/>
      <c r="HP97" s="20"/>
      <c r="HQ97" s="19"/>
      <c r="HR97" s="16"/>
      <c r="HS97" s="16"/>
      <c r="HT97" s="18"/>
      <c r="HU97" s="16"/>
      <c r="HV97" s="16"/>
      <c r="HW97" s="16"/>
      <c r="HX97" s="15"/>
      <c r="HY97" s="15"/>
      <c r="HZ97" s="15"/>
      <c r="IA97" s="15"/>
      <c r="IB97" s="15"/>
      <c r="IC97" s="16"/>
      <c r="ID97" s="16"/>
      <c r="IE97" s="15"/>
      <c r="IF97" s="15"/>
      <c r="IG97" s="15"/>
      <c r="IH97" s="15"/>
      <c r="II97" s="15"/>
      <c r="IJ97" s="15"/>
      <c r="IK97" s="15"/>
      <c r="IL97" s="15"/>
      <c r="IM97" s="15"/>
      <c r="IN97" s="15"/>
      <c r="IO97" s="15"/>
      <c r="IP97" s="17"/>
      <c r="IQ97" s="15"/>
      <c r="IR97" s="15"/>
      <c r="IS97" s="15"/>
      <c r="IT97" s="15"/>
      <c r="IU97" s="15"/>
      <c r="IV97" s="15"/>
      <c r="IW97" s="15"/>
      <c r="IX97" s="15"/>
      <c r="IY97" s="15"/>
      <c r="IZ97" s="15"/>
      <c r="JA97" s="15"/>
      <c r="JB97" s="15"/>
      <c r="JC97" s="15"/>
      <c r="JD97" s="15"/>
      <c r="JE97" s="15"/>
      <c r="JF97" s="15"/>
      <c r="JG97" s="15"/>
      <c r="JH97" s="15"/>
      <c r="JI97" s="15"/>
      <c r="JJ97" s="15"/>
      <c r="JK97" s="15"/>
      <c r="JL97" s="15"/>
      <c r="JM97" s="15"/>
      <c r="JN97" s="16"/>
      <c r="JO97" s="16"/>
      <c r="JP97" s="16"/>
      <c r="JQ97" s="16"/>
      <c r="JR97" s="16"/>
      <c r="JS97" s="16"/>
      <c r="JT97" s="16"/>
      <c r="JU97" s="16"/>
      <c r="JV97" s="16"/>
      <c r="JW97" s="16"/>
      <c r="JX97" s="16"/>
      <c r="JY97" s="16"/>
      <c r="JZ97" s="16"/>
      <c r="KA97" s="16"/>
      <c r="KB97" s="16"/>
      <c r="KC97" s="16"/>
      <c r="KD97" s="16"/>
      <c r="KE97" s="16"/>
      <c r="KF97" s="16"/>
      <c r="KG97" s="16"/>
      <c r="KH97" s="16"/>
      <c r="KI97" s="16"/>
      <c r="KJ97" s="16"/>
      <c r="KK97" s="16"/>
      <c r="KL97" s="16"/>
      <c r="KM97" s="16"/>
      <c r="KN97" s="16"/>
      <c r="KO97" s="16"/>
      <c r="KP97" s="16"/>
      <c r="KQ97" s="16"/>
      <c r="KR97" s="16"/>
      <c r="KS97" s="16"/>
      <c r="KT97" s="15"/>
      <c r="KU97" s="15"/>
      <c r="KV97" s="15"/>
      <c r="KW97" s="15"/>
      <c r="KX97" s="15"/>
      <c r="KY97" s="15"/>
      <c r="KZ97" s="15"/>
      <c r="LA97" s="15"/>
      <c r="LB97" s="15"/>
      <c r="LC97" s="15"/>
      <c r="LD97" s="15"/>
      <c r="LE97" s="15"/>
      <c r="LF97" s="15"/>
      <c r="LG97" s="15"/>
      <c r="LH97" s="15"/>
      <c r="LI97" s="15"/>
      <c r="LJ97" s="15"/>
      <c r="LK97" s="15"/>
      <c r="LL97" s="15"/>
      <c r="LM97" s="15"/>
      <c r="LN97" s="473">
        <f t="shared" si="41"/>
        <v>0</v>
      </c>
    </row>
    <row r="98" spans="1:326" ht="14.7" customHeight="1">
      <c r="A98" s="1160"/>
      <c r="B98" s="32"/>
      <c r="C98" s="32"/>
      <c r="D98" s="32"/>
      <c r="E98" s="32"/>
      <c r="F98" s="32"/>
      <c r="G98" s="32"/>
      <c r="H98" s="32"/>
      <c r="I98" s="32"/>
      <c r="J98" s="32"/>
      <c r="K98" s="32"/>
      <c r="L98" s="32"/>
      <c r="M98" s="32"/>
      <c r="N98" s="33"/>
      <c r="O98" s="32"/>
      <c r="P98" s="29" t="s">
        <v>60</v>
      </c>
      <c r="Q98" s="29">
        <v>1.2500000000000001E-2</v>
      </c>
      <c r="R98" s="29">
        <v>1.2500000000000001E-2</v>
      </c>
      <c r="S98" s="29">
        <v>1.2500000000000001E-2</v>
      </c>
      <c r="T98" s="29">
        <v>1.2500000000000001E-2</v>
      </c>
      <c r="U98" s="29">
        <v>1.2500000000000001E-2</v>
      </c>
      <c r="V98" s="29">
        <v>1.2500000000000001E-2</v>
      </c>
      <c r="W98" s="29">
        <v>1.2500000000000001E-2</v>
      </c>
      <c r="X98" s="29">
        <v>1.2500000000000001E-2</v>
      </c>
      <c r="Y98" s="29">
        <v>1.2500000000000001E-2</v>
      </c>
      <c r="Z98" s="29">
        <v>1.2500000000000001E-2</v>
      </c>
      <c r="AA98" s="29">
        <v>1.2500000000000001E-2</v>
      </c>
      <c r="AB98" s="29">
        <v>1.2500000000000001E-2</v>
      </c>
      <c r="AC98" s="29">
        <v>1.2500000000000001E-2</v>
      </c>
      <c r="AD98" s="29">
        <v>1.2500000000000001E-2</v>
      </c>
      <c r="AE98" s="29">
        <v>1.2500000000000001E-2</v>
      </c>
      <c r="AF98" s="29">
        <v>1.2500000000000001E-2</v>
      </c>
      <c r="AG98" s="29">
        <v>1.2500000000000001E-2</v>
      </c>
      <c r="AH98" s="29">
        <v>1.2500000000000001E-2</v>
      </c>
      <c r="AI98" s="29">
        <v>1.2500000000000001E-2</v>
      </c>
      <c r="AJ98" s="29">
        <v>1.2500000000000001E-2</v>
      </c>
      <c r="AK98" s="29">
        <v>1.2500000000000001E-2</v>
      </c>
      <c r="AL98" s="29">
        <v>1.2500000000000001E-2</v>
      </c>
      <c r="AM98" s="29">
        <v>1.2500000000000001E-2</v>
      </c>
      <c r="AN98" s="29">
        <v>1.2500000000000001E-2</v>
      </c>
      <c r="AO98" s="29">
        <v>1.2500000000000001E-2</v>
      </c>
      <c r="AP98" s="29">
        <v>1.2500000000000001E-2</v>
      </c>
      <c r="AQ98" s="29">
        <v>1.2500000000000001E-2</v>
      </c>
      <c r="AR98" s="29">
        <v>1.2500000000000001E-2</v>
      </c>
      <c r="AS98" s="29">
        <v>1.2500000000000001E-2</v>
      </c>
      <c r="AT98" s="29">
        <v>1.2500000000000001E-2</v>
      </c>
      <c r="AU98" s="29">
        <v>1.2500000000000001E-2</v>
      </c>
      <c r="AV98" s="29">
        <v>1.2500000000000001E-2</v>
      </c>
      <c r="AW98" s="29">
        <v>1.2500000000000001E-2</v>
      </c>
      <c r="AX98" s="29">
        <v>1.2500000000000001E-2</v>
      </c>
      <c r="AY98" s="30">
        <v>1.2500000000000001E-2</v>
      </c>
      <c r="AZ98" s="29">
        <v>1.2500000000000001E-2</v>
      </c>
      <c r="BA98" s="29">
        <v>1.2500000000000001E-2</v>
      </c>
      <c r="BB98" s="29">
        <v>1.2500000000000001E-2</v>
      </c>
      <c r="BC98" s="29">
        <v>1.2500000000000001E-2</v>
      </c>
      <c r="BD98" s="29">
        <v>1.2500000000000001E-2</v>
      </c>
      <c r="BE98" s="29">
        <v>1.2500000000000001E-2</v>
      </c>
      <c r="BF98" s="29">
        <v>1.2500000000000001E-2</v>
      </c>
      <c r="BG98" s="29">
        <v>1.2500000000000001E-2</v>
      </c>
      <c r="BH98" s="28">
        <v>1.2500000000000001E-2</v>
      </c>
      <c r="BI98" s="27"/>
      <c r="BJ98" s="26"/>
      <c r="BK98" s="24"/>
      <c r="BL98" s="24"/>
      <c r="BM98" s="24"/>
      <c r="BN98" s="24"/>
      <c r="BO98" s="24"/>
      <c r="BP98" s="24"/>
      <c r="BQ98" s="24"/>
      <c r="BR98" s="24"/>
      <c r="BS98" s="24"/>
      <c r="BT98" s="24"/>
      <c r="BU98" s="24"/>
      <c r="BV98" s="24"/>
      <c r="BW98" s="24"/>
      <c r="BX98" s="24"/>
      <c r="BY98" s="24"/>
      <c r="BZ98" s="24"/>
      <c r="CA98" s="24"/>
      <c r="CB98" s="24"/>
      <c r="CC98" s="24"/>
      <c r="CD98" s="24"/>
      <c r="CE98" s="24"/>
      <c r="CF98" s="24"/>
      <c r="CG98" s="24"/>
      <c r="CH98" s="24"/>
      <c r="CI98" s="24"/>
      <c r="CJ98" s="24"/>
      <c r="CK98" s="24"/>
      <c r="CL98" s="24"/>
      <c r="CM98" s="24"/>
      <c r="CN98" s="24"/>
      <c r="CO98" s="24"/>
      <c r="CP98" s="24"/>
      <c r="CQ98" s="24"/>
      <c r="CR98" s="24"/>
      <c r="CS98" s="24"/>
      <c r="CT98" s="24"/>
      <c r="CU98" s="24"/>
      <c r="CV98" s="24"/>
      <c r="CW98" s="24"/>
      <c r="CX98" s="24"/>
      <c r="CY98" s="24"/>
      <c r="CZ98" s="24"/>
      <c r="DA98" s="24"/>
      <c r="DB98" s="24"/>
      <c r="DC98" s="24"/>
      <c r="DD98" s="24"/>
      <c r="DE98" s="24"/>
      <c r="DF98" s="24"/>
      <c r="DG98" s="24"/>
      <c r="DH98" s="24"/>
      <c r="DI98" s="24"/>
      <c r="DJ98" s="24"/>
      <c r="DK98" s="24"/>
      <c r="DL98" s="24"/>
      <c r="DM98" s="24"/>
      <c r="DN98" s="24"/>
      <c r="DO98" s="24"/>
      <c r="DP98" s="24"/>
      <c r="DQ98" s="25"/>
      <c r="DR98" s="25"/>
      <c r="DS98" s="25"/>
      <c r="DT98" s="24"/>
      <c r="DU98" s="24"/>
      <c r="DV98" s="24"/>
      <c r="DW98" s="24"/>
      <c r="DX98" s="24"/>
      <c r="DY98" s="24"/>
      <c r="DZ98" s="24"/>
      <c r="EA98" s="24"/>
      <c r="EB98" s="24"/>
      <c r="EC98" s="24"/>
      <c r="ED98" s="24"/>
      <c r="EE98" s="24"/>
      <c r="EF98" s="24"/>
      <c r="EG98" s="24"/>
      <c r="EH98" s="24"/>
      <c r="EI98" s="24"/>
      <c r="EJ98" s="24"/>
      <c r="EK98" s="24"/>
      <c r="EL98" s="24"/>
      <c r="EM98" s="24"/>
      <c r="EN98" s="24"/>
      <c r="EO98" s="24"/>
      <c r="EP98" s="24"/>
      <c r="EQ98" s="24"/>
      <c r="ER98" s="24"/>
      <c r="ES98" s="24"/>
      <c r="ET98" s="24"/>
      <c r="EU98" s="24"/>
      <c r="EV98" s="24"/>
      <c r="EW98" s="24"/>
      <c r="EX98" s="24"/>
      <c r="EY98" s="24"/>
      <c r="EZ98" s="24"/>
      <c r="FA98" s="24"/>
      <c r="FB98" s="24"/>
      <c r="FC98" s="24"/>
      <c r="FD98" s="24"/>
      <c r="FE98" s="24"/>
      <c r="FF98" s="24"/>
      <c r="FG98" s="24"/>
      <c r="FH98" s="24"/>
      <c r="FI98" s="24"/>
      <c r="FJ98" s="24"/>
      <c r="FK98" s="24"/>
      <c r="FL98" s="24"/>
      <c r="FM98" s="24"/>
      <c r="FN98" s="24"/>
      <c r="FO98" s="24"/>
      <c r="FP98" s="24"/>
      <c r="FQ98" s="24"/>
      <c r="FR98" s="24"/>
      <c r="FS98" s="24"/>
      <c r="FT98" s="24"/>
      <c r="FU98" s="24"/>
      <c r="FV98" s="24"/>
      <c r="FW98" s="24"/>
      <c r="FX98" s="24"/>
      <c r="FY98" s="24"/>
      <c r="FZ98" s="24"/>
      <c r="GA98" s="24"/>
      <c r="GB98" s="24"/>
      <c r="GC98" s="24"/>
      <c r="GD98" s="24"/>
      <c r="GE98" s="24"/>
      <c r="GF98" s="24"/>
      <c r="GG98" s="24"/>
      <c r="GH98" s="24"/>
      <c r="GI98" s="24"/>
      <c r="GJ98" s="24"/>
      <c r="GK98" s="24"/>
      <c r="GL98" s="24"/>
      <c r="GM98" s="24"/>
      <c r="GN98" s="24"/>
      <c r="GO98" s="24"/>
      <c r="GP98" s="24"/>
      <c r="GQ98" s="24"/>
      <c r="GR98" s="24"/>
      <c r="GS98" s="23"/>
      <c r="GT98" s="23"/>
      <c r="GU98" s="23"/>
      <c r="GV98" s="23"/>
      <c r="GW98" s="22"/>
      <c r="GX98" s="22"/>
      <c r="GY98" s="22"/>
      <c r="GZ98" s="22"/>
      <c r="HA98" s="22"/>
      <c r="HB98" s="22"/>
      <c r="HC98" s="22"/>
      <c r="HD98" s="22"/>
      <c r="HE98" s="22"/>
      <c r="HF98" s="22"/>
      <c r="HG98" s="22"/>
      <c r="HH98" s="22"/>
      <c r="HI98" s="22"/>
      <c r="HJ98" s="22"/>
      <c r="HK98" s="22"/>
      <c r="HL98" s="21"/>
      <c r="HM98" s="19"/>
      <c r="HN98" s="19"/>
      <c r="HO98" s="19"/>
      <c r="HP98" s="20"/>
      <c r="HQ98" s="19"/>
      <c r="HR98" s="16"/>
      <c r="HS98" s="16"/>
      <c r="HT98" s="18"/>
      <c r="HU98" s="16"/>
      <c r="HV98" s="16"/>
      <c r="HW98" s="16"/>
      <c r="HX98" s="15"/>
      <c r="HY98" s="15"/>
      <c r="HZ98" s="15"/>
      <c r="IA98" s="15"/>
      <c r="IB98" s="15"/>
      <c r="IC98" s="16"/>
      <c r="ID98" s="16"/>
      <c r="IE98" s="15"/>
      <c r="IF98" s="15"/>
      <c r="IG98" s="15"/>
      <c r="IH98" s="15"/>
      <c r="II98" s="15"/>
      <c r="IJ98" s="15"/>
      <c r="IK98" s="15"/>
      <c r="IL98" s="15"/>
      <c r="IM98" s="15"/>
      <c r="IN98" s="15"/>
      <c r="IO98" s="15"/>
      <c r="IP98" s="17"/>
      <c r="IQ98" s="15"/>
      <c r="IR98" s="15"/>
      <c r="IS98" s="15"/>
      <c r="IT98" s="15"/>
      <c r="IU98" s="15"/>
      <c r="IV98" s="15"/>
      <c r="IW98" s="15"/>
      <c r="IX98" s="15"/>
      <c r="IY98" s="15"/>
      <c r="IZ98" s="15"/>
      <c r="JA98" s="15"/>
      <c r="JB98" s="15"/>
      <c r="JC98" s="15"/>
      <c r="JD98" s="15"/>
      <c r="JE98" s="15"/>
      <c r="JF98" s="15"/>
      <c r="JG98" s="15"/>
      <c r="JH98" s="15"/>
      <c r="JI98" s="15"/>
      <c r="JJ98" s="15"/>
      <c r="JK98" s="15"/>
      <c r="JL98" s="15"/>
      <c r="JM98" s="15"/>
      <c r="JN98" s="16"/>
      <c r="JO98" s="16"/>
      <c r="JP98" s="16"/>
      <c r="JQ98" s="16"/>
      <c r="JR98" s="16"/>
      <c r="JS98" s="16"/>
      <c r="JT98" s="16"/>
      <c r="JU98" s="16"/>
      <c r="JV98" s="16"/>
      <c r="JW98" s="16"/>
      <c r="JX98" s="16"/>
      <c r="JY98" s="16"/>
      <c r="JZ98" s="16"/>
      <c r="KA98" s="16"/>
      <c r="KB98" s="16"/>
      <c r="KC98" s="16"/>
      <c r="KD98" s="16"/>
      <c r="KE98" s="16"/>
      <c r="KF98" s="16"/>
      <c r="KG98" s="16"/>
      <c r="KH98" s="16"/>
      <c r="KI98" s="16"/>
      <c r="KJ98" s="16"/>
      <c r="KK98" s="16"/>
      <c r="KL98" s="16"/>
      <c r="KM98" s="16"/>
      <c r="KN98" s="16"/>
      <c r="KO98" s="16"/>
      <c r="KP98" s="16"/>
      <c r="KQ98" s="16"/>
      <c r="KR98" s="16"/>
      <c r="KS98" s="16"/>
      <c r="KT98" s="15"/>
      <c r="KU98" s="15"/>
      <c r="KV98" s="15"/>
      <c r="KW98" s="15"/>
      <c r="KX98" s="15"/>
      <c r="KY98" s="15"/>
      <c r="KZ98" s="15"/>
      <c r="LA98" s="15"/>
      <c r="LB98" s="15"/>
      <c r="LC98" s="15"/>
      <c r="LD98" s="15"/>
      <c r="LE98" s="15"/>
      <c r="LF98" s="15"/>
      <c r="LG98" s="15"/>
      <c r="LH98" s="15"/>
      <c r="LI98" s="15"/>
      <c r="LJ98" s="15"/>
      <c r="LK98" s="15"/>
      <c r="LL98" s="15"/>
      <c r="LM98" s="15"/>
      <c r="LN98" s="473">
        <f t="shared" si="41"/>
        <v>0</v>
      </c>
    </row>
    <row r="99" spans="1:326" ht="14.7" customHeight="1">
      <c r="A99" s="1160"/>
      <c r="B99" s="32"/>
      <c r="C99" s="32"/>
      <c r="D99" s="32"/>
      <c r="E99" s="32"/>
      <c r="F99" s="32"/>
      <c r="G99" s="32"/>
      <c r="H99" s="32"/>
      <c r="I99" s="32"/>
      <c r="J99" s="32"/>
      <c r="K99" s="32"/>
      <c r="L99" s="32"/>
      <c r="M99" s="32"/>
      <c r="N99" s="33"/>
      <c r="O99" s="32"/>
      <c r="P99" s="29" t="s">
        <v>59</v>
      </c>
      <c r="Q99" s="29">
        <v>1.35E-2</v>
      </c>
      <c r="R99" s="29">
        <v>1.35E-2</v>
      </c>
      <c r="S99" s="29">
        <v>1.35E-2</v>
      </c>
      <c r="T99" s="29">
        <v>1.35E-2</v>
      </c>
      <c r="U99" s="29">
        <v>1.35E-2</v>
      </c>
      <c r="V99" s="29">
        <v>1.35E-2</v>
      </c>
      <c r="W99" s="29">
        <v>1.35E-2</v>
      </c>
      <c r="X99" s="29">
        <v>1.35E-2</v>
      </c>
      <c r="Y99" s="29">
        <v>1.35E-2</v>
      </c>
      <c r="Z99" s="29">
        <v>1.35E-2</v>
      </c>
      <c r="AA99" s="29">
        <v>1.35E-2</v>
      </c>
      <c r="AB99" s="29">
        <v>1.35E-2</v>
      </c>
      <c r="AC99" s="29">
        <v>1.35E-2</v>
      </c>
      <c r="AD99" s="29">
        <v>1.35E-2</v>
      </c>
      <c r="AE99" s="29">
        <v>1.35E-2</v>
      </c>
      <c r="AF99" s="29">
        <v>1.35E-2</v>
      </c>
      <c r="AG99" s="29">
        <v>1.35E-2</v>
      </c>
      <c r="AH99" s="29">
        <v>1.35E-2</v>
      </c>
      <c r="AI99" s="29">
        <v>1.35E-2</v>
      </c>
      <c r="AJ99" s="29">
        <v>1.35E-2</v>
      </c>
      <c r="AK99" s="29">
        <v>1.35E-2</v>
      </c>
      <c r="AL99" s="29">
        <v>1.35E-2</v>
      </c>
      <c r="AM99" s="29">
        <v>1.35E-2</v>
      </c>
      <c r="AN99" s="29">
        <v>1.35E-2</v>
      </c>
      <c r="AO99" s="29">
        <v>1.35E-2</v>
      </c>
      <c r="AP99" s="29">
        <v>1.35E-2</v>
      </c>
      <c r="AQ99" s="29">
        <v>1.35E-2</v>
      </c>
      <c r="AR99" s="29">
        <v>1.35E-2</v>
      </c>
      <c r="AS99" s="29">
        <v>1.35E-2</v>
      </c>
      <c r="AT99" s="29">
        <v>1.35E-2</v>
      </c>
      <c r="AU99" s="29">
        <v>1.35E-2</v>
      </c>
      <c r="AV99" s="29">
        <v>1.35E-2</v>
      </c>
      <c r="AW99" s="29">
        <v>1.35E-2</v>
      </c>
      <c r="AX99" s="29">
        <v>1.35E-2</v>
      </c>
      <c r="AY99" s="30">
        <v>1.35E-2</v>
      </c>
      <c r="AZ99" s="29">
        <v>1.35E-2</v>
      </c>
      <c r="BA99" s="29">
        <v>1.35E-2</v>
      </c>
      <c r="BB99" s="29">
        <v>1.35E-2</v>
      </c>
      <c r="BC99" s="29">
        <v>1.35E-2</v>
      </c>
      <c r="BD99" s="29">
        <v>1.35E-2</v>
      </c>
      <c r="BE99" s="29">
        <v>1.35E-2</v>
      </c>
      <c r="BF99" s="29">
        <v>1.35E-2</v>
      </c>
      <c r="BG99" s="29">
        <v>1.35E-2</v>
      </c>
      <c r="BH99" s="28">
        <v>1.35E-2</v>
      </c>
      <c r="BI99" s="27"/>
      <c r="BJ99" s="26"/>
      <c r="BK99" s="24"/>
      <c r="BL99" s="24"/>
      <c r="BM99" s="24"/>
      <c r="BN99" s="24"/>
      <c r="BO99" s="24"/>
      <c r="BP99" s="24"/>
      <c r="BQ99" s="24"/>
      <c r="BR99" s="24"/>
      <c r="BS99" s="24"/>
      <c r="BT99" s="24"/>
      <c r="BU99" s="24"/>
      <c r="BV99" s="24"/>
      <c r="BW99" s="24"/>
      <c r="BX99" s="24"/>
      <c r="BY99" s="24"/>
      <c r="BZ99" s="24"/>
      <c r="CA99" s="24"/>
      <c r="CB99" s="24"/>
      <c r="CC99" s="24"/>
      <c r="CD99" s="24"/>
      <c r="CE99" s="24"/>
      <c r="CF99" s="24"/>
      <c r="CG99" s="24"/>
      <c r="CH99" s="24"/>
      <c r="CI99" s="24"/>
      <c r="CJ99" s="24"/>
      <c r="CK99" s="24"/>
      <c r="CL99" s="24"/>
      <c r="CM99" s="24"/>
      <c r="CN99" s="24"/>
      <c r="CO99" s="24"/>
      <c r="CP99" s="24"/>
      <c r="CQ99" s="24"/>
      <c r="CR99" s="24"/>
      <c r="CS99" s="24"/>
      <c r="CT99" s="24"/>
      <c r="CU99" s="24"/>
      <c r="CV99" s="24"/>
      <c r="CW99" s="24"/>
      <c r="CX99" s="24"/>
      <c r="CY99" s="24"/>
      <c r="CZ99" s="24"/>
      <c r="DA99" s="24"/>
      <c r="DB99" s="24"/>
      <c r="DC99" s="24"/>
      <c r="DD99" s="24"/>
      <c r="DE99" s="24"/>
      <c r="DF99" s="24"/>
      <c r="DG99" s="24"/>
      <c r="DH99" s="24"/>
      <c r="DI99" s="24"/>
      <c r="DJ99" s="24"/>
      <c r="DK99" s="24"/>
      <c r="DL99" s="24"/>
      <c r="DM99" s="24"/>
      <c r="DN99" s="24"/>
      <c r="DO99" s="24"/>
      <c r="DP99" s="24"/>
      <c r="DQ99" s="25"/>
      <c r="DR99" s="25"/>
      <c r="DS99" s="25"/>
      <c r="DT99" s="24"/>
      <c r="DU99" s="24"/>
      <c r="DV99" s="24"/>
      <c r="DW99" s="24"/>
      <c r="DX99" s="24"/>
      <c r="DY99" s="24"/>
      <c r="DZ99" s="24"/>
      <c r="EA99" s="24"/>
      <c r="EB99" s="24"/>
      <c r="EC99" s="24"/>
      <c r="ED99" s="24"/>
      <c r="EE99" s="24"/>
      <c r="EF99" s="24"/>
      <c r="EG99" s="24"/>
      <c r="EH99" s="24"/>
      <c r="EI99" s="24"/>
      <c r="EJ99" s="24"/>
      <c r="EK99" s="24"/>
      <c r="EL99" s="24"/>
      <c r="EM99" s="24"/>
      <c r="EN99" s="24"/>
      <c r="EO99" s="24"/>
      <c r="EP99" s="24"/>
      <c r="EQ99" s="24"/>
      <c r="ER99" s="24"/>
      <c r="ES99" s="24"/>
      <c r="ET99" s="24"/>
      <c r="EU99" s="24"/>
      <c r="EV99" s="24"/>
      <c r="EW99" s="24"/>
      <c r="EX99" s="24"/>
      <c r="EY99" s="24"/>
      <c r="EZ99" s="24"/>
      <c r="FA99" s="24"/>
      <c r="FB99" s="24"/>
      <c r="FC99" s="24"/>
      <c r="FD99" s="24"/>
      <c r="FE99" s="24"/>
      <c r="FF99" s="24"/>
      <c r="FG99" s="24"/>
      <c r="FH99" s="24"/>
      <c r="FI99" s="24"/>
      <c r="FJ99" s="24"/>
      <c r="FK99" s="24"/>
      <c r="FL99" s="24"/>
      <c r="FM99" s="24"/>
      <c r="FN99" s="24"/>
      <c r="FO99" s="24"/>
      <c r="FP99" s="24"/>
      <c r="FQ99" s="24"/>
      <c r="FR99" s="24"/>
      <c r="FS99" s="24"/>
      <c r="FT99" s="24"/>
      <c r="FU99" s="24"/>
      <c r="FV99" s="24"/>
      <c r="FW99" s="24"/>
      <c r="FX99" s="24"/>
      <c r="FY99" s="24"/>
      <c r="FZ99" s="24"/>
      <c r="GA99" s="24"/>
      <c r="GB99" s="24"/>
      <c r="GC99" s="24"/>
      <c r="GD99" s="24"/>
      <c r="GE99" s="24"/>
      <c r="GF99" s="24"/>
      <c r="GG99" s="24"/>
      <c r="GH99" s="24"/>
      <c r="GI99" s="24"/>
      <c r="GJ99" s="24"/>
      <c r="GK99" s="24"/>
      <c r="GL99" s="24"/>
      <c r="GM99" s="24"/>
      <c r="GN99" s="24"/>
      <c r="GO99" s="24"/>
      <c r="GP99" s="24"/>
      <c r="GQ99" s="24"/>
      <c r="GR99" s="24"/>
      <c r="GS99" s="23"/>
      <c r="GT99" s="23"/>
      <c r="GU99" s="23"/>
      <c r="GV99" s="23"/>
      <c r="GW99" s="22"/>
      <c r="GX99" s="22"/>
      <c r="GY99" s="22"/>
      <c r="GZ99" s="22"/>
      <c r="HA99" s="22"/>
      <c r="HB99" s="22"/>
      <c r="HC99" s="22"/>
      <c r="HD99" s="22"/>
      <c r="HE99" s="22"/>
      <c r="HF99" s="22"/>
      <c r="HG99" s="22"/>
      <c r="HH99" s="22"/>
      <c r="HI99" s="22"/>
      <c r="HJ99" s="22"/>
      <c r="HK99" s="22"/>
      <c r="HL99" s="21"/>
      <c r="HM99" s="19"/>
      <c r="HN99" s="19"/>
      <c r="HO99" s="19"/>
      <c r="HP99" s="20"/>
      <c r="HQ99" s="19"/>
      <c r="HR99" s="16"/>
      <c r="HS99" s="16"/>
      <c r="HT99" s="18"/>
      <c r="HU99" s="16"/>
      <c r="HV99" s="16"/>
      <c r="HW99" s="16"/>
      <c r="HX99" s="15"/>
      <c r="HY99" s="15"/>
      <c r="HZ99" s="15"/>
      <c r="IA99" s="15"/>
      <c r="IB99" s="15"/>
      <c r="IC99" s="16"/>
      <c r="ID99" s="16"/>
      <c r="IE99" s="15"/>
      <c r="IF99" s="15"/>
      <c r="IG99" s="15"/>
      <c r="IH99" s="15"/>
      <c r="II99" s="15"/>
      <c r="IJ99" s="15"/>
      <c r="IK99" s="15"/>
      <c r="IL99" s="15"/>
      <c r="IM99" s="15"/>
      <c r="IN99" s="15"/>
      <c r="IO99" s="15"/>
      <c r="IP99" s="17"/>
      <c r="IQ99" s="15"/>
      <c r="IR99" s="15"/>
      <c r="IS99" s="15"/>
      <c r="IT99" s="15"/>
      <c r="IU99" s="15"/>
      <c r="IV99" s="15"/>
      <c r="IW99" s="15"/>
      <c r="IX99" s="15"/>
      <c r="IY99" s="15"/>
      <c r="IZ99" s="15"/>
      <c r="JA99" s="15"/>
      <c r="JB99" s="15"/>
      <c r="JC99" s="15"/>
      <c r="JD99" s="15"/>
      <c r="JE99" s="15"/>
      <c r="JF99" s="15"/>
      <c r="JG99" s="15"/>
      <c r="JH99" s="15"/>
      <c r="JI99" s="15"/>
      <c r="JJ99" s="15"/>
      <c r="JK99" s="15"/>
      <c r="JL99" s="15"/>
      <c r="JM99" s="15"/>
      <c r="JN99" s="16"/>
      <c r="JO99" s="16"/>
      <c r="JP99" s="16"/>
      <c r="JQ99" s="16"/>
      <c r="JR99" s="16"/>
      <c r="JS99" s="16"/>
      <c r="JT99" s="16"/>
      <c r="JU99" s="16"/>
      <c r="JV99" s="16"/>
      <c r="JW99" s="16"/>
      <c r="JX99" s="16"/>
      <c r="JY99" s="16"/>
      <c r="JZ99" s="16"/>
      <c r="KA99" s="16"/>
      <c r="KB99" s="16"/>
      <c r="KC99" s="16"/>
      <c r="KD99" s="16"/>
      <c r="KE99" s="16"/>
      <c r="KF99" s="16"/>
      <c r="KG99" s="16"/>
      <c r="KH99" s="16"/>
      <c r="KI99" s="16"/>
      <c r="KJ99" s="16"/>
      <c r="KK99" s="16"/>
      <c r="KL99" s="16"/>
      <c r="KM99" s="16"/>
      <c r="KN99" s="16"/>
      <c r="KO99" s="16"/>
      <c r="KP99" s="16"/>
      <c r="KQ99" s="16"/>
      <c r="KR99" s="16"/>
      <c r="KS99" s="16"/>
      <c r="KT99" s="15"/>
      <c r="KU99" s="15"/>
      <c r="KV99" s="15"/>
      <c r="KW99" s="15"/>
      <c r="KX99" s="15"/>
      <c r="KY99" s="15"/>
      <c r="KZ99" s="15"/>
      <c r="LA99" s="15"/>
      <c r="LB99" s="15"/>
      <c r="LC99" s="15"/>
      <c r="LD99" s="15"/>
      <c r="LE99" s="15"/>
      <c r="LF99" s="15"/>
      <c r="LG99" s="15"/>
      <c r="LH99" s="15"/>
      <c r="LI99" s="15"/>
      <c r="LJ99" s="15"/>
      <c r="LK99" s="15"/>
      <c r="LL99" s="15"/>
      <c r="LM99" s="15"/>
      <c r="LN99" s="473">
        <f t="shared" si="41"/>
        <v>0</v>
      </c>
    </row>
    <row r="100" spans="1:326" ht="14.7" customHeight="1">
      <c r="A100" s="1161"/>
      <c r="B100" s="31" t="s">
        <v>58</v>
      </c>
      <c r="C100" s="31" t="s">
        <v>58</v>
      </c>
      <c r="D100" s="31" t="s">
        <v>58</v>
      </c>
      <c r="E100" s="31" t="s">
        <v>57</v>
      </c>
      <c r="F100" s="31"/>
      <c r="G100" s="31"/>
      <c r="H100" s="31" t="s">
        <v>56</v>
      </c>
      <c r="I100" s="31" t="s">
        <v>56</v>
      </c>
      <c r="J100" s="31" t="s">
        <v>56</v>
      </c>
      <c r="K100" s="31" t="s">
        <v>55</v>
      </c>
      <c r="L100" s="31" t="s">
        <v>54</v>
      </c>
      <c r="M100" s="31" t="s">
        <v>54</v>
      </c>
      <c r="N100" s="31" t="s">
        <v>54</v>
      </c>
      <c r="O100" s="31"/>
      <c r="P100" s="29" t="s">
        <v>53</v>
      </c>
      <c r="Q100" s="29">
        <v>1.4500000000000001E-2</v>
      </c>
      <c r="R100" s="29">
        <v>1.4500000000000001E-2</v>
      </c>
      <c r="S100" s="29">
        <v>1.4500000000000001E-2</v>
      </c>
      <c r="T100" s="29">
        <v>1.4500000000000001E-2</v>
      </c>
      <c r="U100" s="29">
        <v>1.4500000000000001E-2</v>
      </c>
      <c r="V100" s="29">
        <v>1.4500000000000001E-2</v>
      </c>
      <c r="W100" s="29">
        <v>1.4500000000000001E-2</v>
      </c>
      <c r="X100" s="29">
        <v>1.4500000000000001E-2</v>
      </c>
      <c r="Y100" s="29">
        <v>1.4500000000000001E-2</v>
      </c>
      <c r="Z100" s="29">
        <v>1.4500000000000001E-2</v>
      </c>
      <c r="AA100" s="29">
        <v>1.4500000000000001E-2</v>
      </c>
      <c r="AB100" s="29">
        <v>1.4500000000000001E-2</v>
      </c>
      <c r="AC100" s="29">
        <v>1.4500000000000001E-2</v>
      </c>
      <c r="AD100" s="29">
        <v>1.4500000000000001E-2</v>
      </c>
      <c r="AE100" s="29">
        <v>1.4500000000000001E-2</v>
      </c>
      <c r="AF100" s="29">
        <v>1.4500000000000001E-2</v>
      </c>
      <c r="AG100" s="29">
        <v>1.4500000000000001E-2</v>
      </c>
      <c r="AH100" s="29">
        <v>1.4500000000000001E-2</v>
      </c>
      <c r="AI100" s="29">
        <v>1.4500000000000001E-2</v>
      </c>
      <c r="AJ100" s="29">
        <v>1.4500000000000001E-2</v>
      </c>
      <c r="AK100" s="29">
        <v>1.4500000000000001E-2</v>
      </c>
      <c r="AL100" s="29">
        <v>1.4500000000000001E-2</v>
      </c>
      <c r="AM100" s="29">
        <v>1.4500000000000001E-2</v>
      </c>
      <c r="AN100" s="29">
        <v>1.4500000000000001E-2</v>
      </c>
      <c r="AO100" s="29">
        <v>1.4500000000000001E-2</v>
      </c>
      <c r="AP100" s="29">
        <v>1.4500000000000001E-2</v>
      </c>
      <c r="AQ100" s="29">
        <v>1.4500000000000001E-2</v>
      </c>
      <c r="AR100" s="29">
        <v>1.4500000000000001E-2</v>
      </c>
      <c r="AS100" s="29">
        <v>1.4500000000000001E-2</v>
      </c>
      <c r="AT100" s="29">
        <v>1.4500000000000001E-2</v>
      </c>
      <c r="AU100" s="29">
        <v>1.4500000000000001E-2</v>
      </c>
      <c r="AV100" s="29">
        <v>1.4500000000000001E-2</v>
      </c>
      <c r="AW100" s="29">
        <v>1.4500000000000001E-2</v>
      </c>
      <c r="AX100" s="29">
        <v>1.4500000000000001E-2</v>
      </c>
      <c r="AY100" s="30">
        <v>1.4500000000000001E-2</v>
      </c>
      <c r="AZ100" s="29">
        <v>1.4500000000000001E-2</v>
      </c>
      <c r="BA100" s="29">
        <v>1.4500000000000001E-2</v>
      </c>
      <c r="BB100" s="29">
        <v>1.4500000000000001E-2</v>
      </c>
      <c r="BC100" s="29">
        <v>1.4500000000000001E-2</v>
      </c>
      <c r="BD100" s="29">
        <v>1.4500000000000001E-2</v>
      </c>
      <c r="BE100" s="29">
        <v>1.4500000000000001E-2</v>
      </c>
      <c r="BF100" s="29">
        <v>1.4500000000000001E-2</v>
      </c>
      <c r="BG100" s="29">
        <v>1.4500000000000001E-2</v>
      </c>
      <c r="BH100" s="28">
        <v>1.4500000000000001E-2</v>
      </c>
      <c r="BI100" s="27"/>
      <c r="BJ100" s="26"/>
      <c r="BK100" s="24"/>
      <c r="BL100" s="24"/>
      <c r="BM100" s="24"/>
      <c r="BN100" s="24"/>
      <c r="BO100" s="24"/>
      <c r="BP100" s="24"/>
      <c r="BQ100" s="24"/>
      <c r="BR100" s="24"/>
      <c r="BS100" s="24"/>
      <c r="BT100" s="24"/>
      <c r="BU100" s="24"/>
      <c r="BV100" s="24"/>
      <c r="BW100" s="24"/>
      <c r="BX100" s="24"/>
      <c r="BY100" s="24"/>
      <c r="BZ100" s="24"/>
      <c r="CA100" s="24"/>
      <c r="CB100" s="24"/>
      <c r="CC100" s="24"/>
      <c r="CD100" s="24"/>
      <c r="CE100" s="24"/>
      <c r="CF100" s="24"/>
      <c r="CG100" s="24"/>
      <c r="CH100" s="24"/>
      <c r="CI100" s="24"/>
      <c r="CJ100" s="24"/>
      <c r="CK100" s="24"/>
      <c r="CL100" s="24"/>
      <c r="CM100" s="24"/>
      <c r="CN100" s="24"/>
      <c r="CO100" s="24"/>
      <c r="CP100" s="24"/>
      <c r="CQ100" s="24"/>
      <c r="CR100" s="24"/>
      <c r="CS100" s="24"/>
      <c r="CT100" s="24"/>
      <c r="CU100" s="24"/>
      <c r="CV100" s="24"/>
      <c r="CW100" s="24"/>
      <c r="CX100" s="24"/>
      <c r="CY100" s="24"/>
      <c r="CZ100" s="24"/>
      <c r="DA100" s="24"/>
      <c r="DB100" s="24"/>
      <c r="DC100" s="24"/>
      <c r="DD100" s="24"/>
      <c r="DE100" s="24"/>
      <c r="DF100" s="24"/>
      <c r="DG100" s="24"/>
      <c r="DH100" s="24"/>
      <c r="DI100" s="24"/>
      <c r="DJ100" s="24"/>
      <c r="DK100" s="24"/>
      <c r="DL100" s="24"/>
      <c r="DM100" s="24"/>
      <c r="DN100" s="24"/>
      <c r="DO100" s="24"/>
      <c r="DP100" s="24"/>
      <c r="DQ100" s="25"/>
      <c r="DR100" s="25"/>
      <c r="DS100" s="25"/>
      <c r="DT100" s="24"/>
      <c r="DU100" s="24"/>
      <c r="DV100" s="24"/>
      <c r="DW100" s="24"/>
      <c r="DX100" s="24"/>
      <c r="DY100" s="24"/>
      <c r="DZ100" s="24"/>
      <c r="EA100" s="24"/>
      <c r="EB100" s="24"/>
      <c r="EC100" s="24"/>
      <c r="ED100" s="24"/>
      <c r="EE100" s="24"/>
      <c r="EF100" s="24"/>
      <c r="EG100" s="24"/>
      <c r="EH100" s="24"/>
      <c r="EI100" s="24"/>
      <c r="EJ100" s="24"/>
      <c r="EK100" s="24"/>
      <c r="EL100" s="24"/>
      <c r="EM100" s="24"/>
      <c r="EN100" s="24"/>
      <c r="EO100" s="24"/>
      <c r="EP100" s="24"/>
      <c r="EQ100" s="24"/>
      <c r="ER100" s="24"/>
      <c r="ES100" s="24"/>
      <c r="ET100" s="24"/>
      <c r="EU100" s="24"/>
      <c r="EV100" s="24"/>
      <c r="EW100" s="24"/>
      <c r="EX100" s="24"/>
      <c r="EY100" s="24"/>
      <c r="EZ100" s="24"/>
      <c r="FA100" s="24"/>
      <c r="FB100" s="24"/>
      <c r="FC100" s="24"/>
      <c r="FD100" s="24"/>
      <c r="FE100" s="24"/>
      <c r="FF100" s="24"/>
      <c r="FG100" s="24"/>
      <c r="FH100" s="24"/>
      <c r="FI100" s="24"/>
      <c r="FJ100" s="24"/>
      <c r="FK100" s="24"/>
      <c r="FL100" s="24"/>
      <c r="FM100" s="24"/>
      <c r="FN100" s="24"/>
      <c r="FO100" s="24"/>
      <c r="FP100" s="24"/>
      <c r="FQ100" s="24"/>
      <c r="FR100" s="24"/>
      <c r="FS100" s="24"/>
      <c r="FT100" s="24"/>
      <c r="FU100" s="24"/>
      <c r="FV100" s="24"/>
      <c r="FW100" s="24"/>
      <c r="FX100" s="24"/>
      <c r="FY100" s="24"/>
      <c r="FZ100" s="24"/>
      <c r="GA100" s="24"/>
      <c r="GB100" s="24"/>
      <c r="GC100" s="24"/>
      <c r="GD100" s="24"/>
      <c r="GE100" s="24"/>
      <c r="GF100" s="24"/>
      <c r="GG100" s="24"/>
      <c r="GH100" s="24"/>
      <c r="GI100" s="24"/>
      <c r="GJ100" s="24"/>
      <c r="GK100" s="24"/>
      <c r="GL100" s="24"/>
      <c r="GM100" s="24"/>
      <c r="GN100" s="24"/>
      <c r="GO100" s="24"/>
      <c r="GP100" s="24"/>
      <c r="GQ100" s="24"/>
      <c r="GR100" s="24"/>
      <c r="GS100" s="23"/>
      <c r="GT100" s="23"/>
      <c r="GU100" s="23"/>
      <c r="GV100" s="23"/>
      <c r="GW100" s="22"/>
      <c r="GX100" s="22"/>
      <c r="GY100" s="22"/>
      <c r="GZ100" s="22"/>
      <c r="HA100" s="22"/>
      <c r="HB100" s="22"/>
      <c r="HC100" s="22"/>
      <c r="HD100" s="22"/>
      <c r="HE100" s="22"/>
      <c r="HF100" s="22"/>
      <c r="HG100" s="22"/>
      <c r="HH100" s="22"/>
      <c r="HI100" s="22"/>
      <c r="HJ100" s="22"/>
      <c r="HK100" s="22"/>
      <c r="HL100" s="21"/>
      <c r="HM100" s="19"/>
      <c r="HN100" s="19"/>
      <c r="HO100" s="19"/>
      <c r="HP100" s="20"/>
      <c r="HQ100" s="19"/>
      <c r="HR100" s="16"/>
      <c r="HS100" s="16"/>
      <c r="HT100" s="18"/>
      <c r="HU100" s="16"/>
      <c r="HV100" s="16"/>
      <c r="HW100" s="16"/>
      <c r="HX100" s="15"/>
      <c r="HY100" s="15"/>
      <c r="HZ100" s="15"/>
      <c r="IA100" s="15"/>
      <c r="IB100" s="15"/>
      <c r="IC100" s="16"/>
      <c r="ID100" s="16"/>
      <c r="IE100" s="15"/>
      <c r="IF100" s="15"/>
      <c r="IG100" s="15"/>
      <c r="IH100" s="15"/>
      <c r="II100" s="15"/>
      <c r="IJ100" s="15"/>
      <c r="IK100" s="15"/>
      <c r="IL100" s="15"/>
      <c r="IM100" s="15"/>
      <c r="IN100" s="15"/>
      <c r="IO100" s="15"/>
      <c r="IP100" s="17"/>
      <c r="IQ100" s="15"/>
      <c r="IR100" s="15"/>
      <c r="IS100" s="15"/>
      <c r="IT100" s="15"/>
      <c r="IU100" s="15"/>
      <c r="IV100" s="15"/>
      <c r="IW100" s="15"/>
      <c r="IX100" s="15"/>
      <c r="IY100" s="15"/>
      <c r="IZ100" s="15"/>
      <c r="JA100" s="15"/>
      <c r="JB100" s="15"/>
      <c r="JC100" s="15"/>
      <c r="JD100" s="15"/>
      <c r="JE100" s="15"/>
      <c r="JF100" s="15"/>
      <c r="JG100" s="15"/>
      <c r="JH100" s="15"/>
      <c r="JI100" s="15"/>
      <c r="JJ100" s="15"/>
      <c r="JK100" s="15"/>
      <c r="JL100" s="15"/>
      <c r="JM100" s="15"/>
      <c r="JN100" s="16"/>
      <c r="JO100" s="16"/>
      <c r="JP100" s="16"/>
      <c r="JQ100" s="16"/>
      <c r="JR100" s="16"/>
      <c r="JS100" s="16"/>
      <c r="JT100" s="16"/>
      <c r="JU100" s="16"/>
      <c r="JV100" s="16"/>
      <c r="JW100" s="16"/>
      <c r="JX100" s="16"/>
      <c r="JY100" s="16"/>
      <c r="JZ100" s="16"/>
      <c r="KA100" s="16"/>
      <c r="KB100" s="16"/>
      <c r="KC100" s="16"/>
      <c r="KD100" s="16"/>
      <c r="KE100" s="16"/>
      <c r="KF100" s="16"/>
      <c r="KG100" s="16"/>
      <c r="KH100" s="16"/>
      <c r="KI100" s="16"/>
      <c r="KJ100" s="16"/>
      <c r="KK100" s="16"/>
      <c r="KL100" s="16"/>
      <c r="KM100" s="16"/>
      <c r="KN100" s="16"/>
      <c r="KO100" s="16"/>
      <c r="KP100" s="16"/>
      <c r="KQ100" s="16"/>
      <c r="KR100" s="16"/>
      <c r="KS100" s="16"/>
      <c r="KT100" s="15"/>
      <c r="KU100" s="15"/>
      <c r="KV100" s="15"/>
      <c r="KW100" s="15"/>
      <c r="KX100" s="15"/>
      <c r="KY100" s="15"/>
      <c r="KZ100" s="15"/>
      <c r="LA100" s="15"/>
      <c r="LB100" s="15"/>
      <c r="LC100" s="15"/>
      <c r="LD100" s="15"/>
      <c r="LE100" s="15"/>
      <c r="LF100" s="15"/>
      <c r="LG100" s="15"/>
      <c r="LH100" s="15"/>
      <c r="LI100" s="15"/>
      <c r="LJ100" s="15"/>
      <c r="LK100" s="15"/>
      <c r="LL100" s="15"/>
      <c r="LM100" s="15"/>
      <c r="LN100" s="473">
        <f t="shared" si="41"/>
        <v>0</v>
      </c>
    </row>
    <row r="101" spans="1:326" ht="14.7" customHeight="1">
      <c r="A101" s="1167" t="s">
        <v>598</v>
      </c>
      <c r="B101" s="60"/>
      <c r="C101" s="60"/>
      <c r="D101" s="60"/>
      <c r="E101" s="60"/>
      <c r="F101" s="60"/>
      <c r="G101" s="60"/>
      <c r="H101" s="60"/>
      <c r="I101" s="60"/>
      <c r="J101" s="60"/>
      <c r="K101" s="60"/>
      <c r="L101" s="60"/>
      <c r="M101" s="60"/>
      <c r="N101" s="61"/>
      <c r="O101" s="60"/>
      <c r="P101" s="738" t="s">
        <v>219</v>
      </c>
      <c r="Q101" s="626">
        <v>5.4999999999999997E-3</v>
      </c>
      <c r="R101" s="626">
        <v>5.4999999999999997E-3</v>
      </c>
      <c r="S101" s="626">
        <v>5.4999999999999997E-3</v>
      </c>
      <c r="T101" s="626">
        <v>5.4999999999999997E-3</v>
      </c>
      <c r="U101" s="626">
        <v>5.4999999999999997E-3</v>
      </c>
      <c r="V101" s="626">
        <v>5.4999999999999997E-3</v>
      </c>
      <c r="W101" s="626">
        <v>5.4999999999999997E-3</v>
      </c>
      <c r="X101" s="626">
        <v>5.4999999999999997E-3</v>
      </c>
      <c r="Y101" s="626">
        <v>5.4999999999999997E-3</v>
      </c>
      <c r="Z101" s="626">
        <v>5.4999999999999997E-3</v>
      </c>
      <c r="AA101" s="626">
        <v>5.4999999999999997E-3</v>
      </c>
      <c r="AB101" s="626">
        <v>5.4999999999999997E-3</v>
      </c>
      <c r="AC101" s="626">
        <v>5.4999999999999997E-3</v>
      </c>
      <c r="AD101" s="626">
        <v>5.4999999999999997E-3</v>
      </c>
      <c r="AE101" s="626">
        <v>5.4999999999999997E-3</v>
      </c>
      <c r="AF101" s="626">
        <v>5.4999999999999997E-3</v>
      </c>
      <c r="AG101" s="614">
        <v>5.4999999999999997E-3</v>
      </c>
      <c r="AH101" s="614">
        <v>5.4999999999999997E-3</v>
      </c>
      <c r="AI101" s="590">
        <v>5.4999999999999997E-3</v>
      </c>
      <c r="AJ101" s="595" t="s">
        <v>599</v>
      </c>
      <c r="AK101" s="593"/>
      <c r="AL101" s="593"/>
      <c r="AM101" s="593"/>
      <c r="AN101" s="593"/>
      <c r="AO101" s="593"/>
      <c r="AP101" s="593"/>
      <c r="AQ101" s="593"/>
      <c r="AR101" s="593"/>
      <c r="AS101" s="593"/>
      <c r="AT101" s="593"/>
      <c r="AU101" s="593"/>
      <c r="AV101" s="593"/>
      <c r="AW101" s="593"/>
      <c r="AX101" s="593"/>
      <c r="AY101" s="592"/>
      <c r="AZ101" s="593"/>
      <c r="BA101" s="593"/>
      <c r="BB101" s="593"/>
      <c r="BC101" s="593"/>
      <c r="BD101" s="593"/>
      <c r="BE101" s="593"/>
      <c r="BF101" s="593"/>
      <c r="BG101" s="593"/>
      <c r="BH101" s="594"/>
      <c r="BI101" s="26"/>
      <c r="BJ101" s="26"/>
      <c r="BK101" s="24"/>
      <c r="BL101" s="24"/>
      <c r="BM101" s="24"/>
      <c r="BN101" s="24"/>
      <c r="BO101" s="24"/>
      <c r="BP101" s="24"/>
      <c r="BQ101" s="24"/>
      <c r="BR101" s="24"/>
      <c r="BS101" s="24"/>
      <c r="BT101" s="24"/>
      <c r="BU101" s="24"/>
      <c r="BV101" s="24"/>
      <c r="BW101" s="24"/>
      <c r="BX101" s="24"/>
      <c r="BY101" s="24"/>
      <c r="BZ101" s="24"/>
      <c r="CA101" s="24"/>
      <c r="CB101" s="24"/>
      <c r="CC101" s="24"/>
      <c r="CD101" s="24"/>
      <c r="CE101" s="24"/>
      <c r="CF101" s="24"/>
      <c r="CG101" s="24"/>
      <c r="CH101" s="24"/>
      <c r="CI101" s="24"/>
      <c r="CJ101" s="24"/>
      <c r="CK101" s="24"/>
      <c r="CL101" s="24"/>
      <c r="CM101" s="24"/>
      <c r="CN101" s="24"/>
      <c r="CO101" s="24"/>
      <c r="CP101" s="24"/>
      <c r="CQ101" s="24"/>
      <c r="CR101" s="24"/>
      <c r="CS101" s="24"/>
      <c r="CT101" s="24"/>
      <c r="CU101" s="24"/>
      <c r="CV101" s="24"/>
      <c r="CW101" s="24"/>
      <c r="CX101" s="24"/>
      <c r="CY101" s="24"/>
      <c r="CZ101" s="24"/>
      <c r="DA101" s="24"/>
      <c r="DB101" s="24"/>
      <c r="DC101" s="24"/>
      <c r="DD101" s="24"/>
      <c r="DE101" s="24"/>
      <c r="DF101" s="24"/>
      <c r="DG101" s="24"/>
      <c r="DH101" s="24"/>
      <c r="DI101" s="24"/>
      <c r="DJ101" s="24"/>
      <c r="DK101" s="24"/>
      <c r="DL101" s="24"/>
      <c r="DM101" s="24"/>
      <c r="DN101" s="24"/>
      <c r="DO101" s="24"/>
      <c r="DP101" s="24"/>
      <c r="DQ101" s="25"/>
      <c r="DR101" s="25"/>
      <c r="DS101" s="25"/>
      <c r="DT101" s="24"/>
      <c r="DU101" s="24"/>
      <c r="DV101" s="24"/>
      <c r="DW101" s="24"/>
      <c r="DX101" s="24"/>
      <c r="DY101" s="24"/>
      <c r="DZ101" s="24"/>
      <c r="EA101" s="24"/>
      <c r="EB101" s="24"/>
      <c r="EC101" s="24"/>
      <c r="ED101" s="24"/>
      <c r="EE101" s="24"/>
      <c r="EF101" s="24"/>
      <c r="EG101" s="24"/>
      <c r="EH101" s="24"/>
      <c r="EI101" s="24"/>
      <c r="EJ101" s="24"/>
      <c r="EK101" s="24"/>
      <c r="EL101" s="24"/>
      <c r="EM101" s="24"/>
      <c r="EN101" s="24"/>
      <c r="EO101" s="24"/>
      <c r="EP101" s="24"/>
      <c r="EQ101" s="24"/>
      <c r="ER101" s="24"/>
      <c r="ES101" s="24"/>
      <c r="ET101" s="24"/>
      <c r="EU101" s="24"/>
      <c r="EV101" s="24"/>
      <c r="EW101" s="24"/>
      <c r="EX101" s="24"/>
      <c r="EY101" s="24"/>
      <c r="EZ101" s="24"/>
      <c r="FA101" s="24"/>
      <c r="FB101" s="24"/>
      <c r="FC101" s="24"/>
      <c r="FD101" s="24"/>
      <c r="FE101" s="24"/>
      <c r="FF101" s="24"/>
      <c r="FG101" s="24"/>
      <c r="FH101" s="24"/>
      <c r="FI101" s="24"/>
      <c r="FJ101" s="24"/>
      <c r="FK101" s="24"/>
      <c r="FL101" s="24"/>
      <c r="FM101" s="24"/>
      <c r="FN101" s="24"/>
      <c r="FO101" s="24"/>
      <c r="FP101" s="24"/>
      <c r="FQ101" s="24"/>
      <c r="FR101" s="24"/>
      <c r="FS101" s="24"/>
      <c r="FT101" s="24"/>
      <c r="FU101" s="24"/>
      <c r="FV101" s="24"/>
      <c r="FW101" s="24"/>
      <c r="FX101" s="24"/>
      <c r="FY101" s="24"/>
      <c r="FZ101" s="24"/>
      <c r="GA101" s="24"/>
      <c r="GB101" s="24"/>
      <c r="GC101" s="24"/>
      <c r="GD101" s="24"/>
      <c r="GE101" s="24"/>
      <c r="GF101" s="24"/>
      <c r="GG101" s="24"/>
      <c r="GH101" s="24"/>
      <c r="GI101" s="24"/>
      <c r="GJ101" s="24"/>
      <c r="GK101" s="24"/>
      <c r="GL101" s="24"/>
      <c r="GM101" s="24"/>
      <c r="GN101" s="24"/>
      <c r="GO101" s="24"/>
      <c r="GP101" s="24"/>
      <c r="GQ101" s="24"/>
      <c r="GR101" s="24"/>
      <c r="GS101" s="23"/>
      <c r="GT101" s="23"/>
      <c r="GU101" s="23"/>
      <c r="GV101" s="23"/>
      <c r="GW101" s="22"/>
      <c r="GX101" s="22"/>
      <c r="GY101" s="22"/>
      <c r="GZ101" s="22"/>
      <c r="HA101" s="22"/>
      <c r="HB101" s="22"/>
      <c r="HC101" s="22"/>
      <c r="HD101" s="22"/>
      <c r="HE101" s="22"/>
      <c r="HF101" s="22"/>
      <c r="HG101" s="22"/>
      <c r="HH101" s="22"/>
      <c r="HI101" s="22"/>
      <c r="HJ101" s="22"/>
      <c r="HK101" s="22"/>
      <c r="HL101" s="21"/>
      <c r="HM101" s="19"/>
      <c r="HN101" s="19"/>
      <c r="HO101" s="19"/>
      <c r="HP101" s="20"/>
      <c r="HQ101" s="19"/>
      <c r="HR101" s="16"/>
      <c r="HS101" s="16"/>
      <c r="HT101" s="18"/>
      <c r="HU101" s="16"/>
      <c r="HV101" s="16"/>
      <c r="HW101" s="16"/>
      <c r="HX101" s="15"/>
      <c r="HY101" s="15"/>
      <c r="HZ101" s="15"/>
      <c r="IA101" s="15"/>
      <c r="IB101" s="15"/>
      <c r="IC101" s="16"/>
      <c r="ID101" s="16"/>
      <c r="IE101" s="15"/>
      <c r="IF101" s="15"/>
      <c r="IG101" s="15"/>
      <c r="IH101" s="15"/>
      <c r="II101" s="15"/>
      <c r="IJ101" s="15"/>
      <c r="IK101" s="15"/>
      <c r="IL101" s="15"/>
      <c r="IM101" s="15"/>
      <c r="IN101" s="15"/>
      <c r="IO101" s="15"/>
      <c r="IP101" s="17"/>
      <c r="IQ101" s="15"/>
      <c r="IR101" s="15"/>
      <c r="IS101" s="15"/>
      <c r="IT101" s="15"/>
      <c r="IU101" s="15"/>
      <c r="IV101" s="15"/>
      <c r="IW101" s="15"/>
      <c r="IX101" s="15"/>
      <c r="IY101" s="15"/>
      <c r="IZ101" s="15"/>
      <c r="JA101" s="15"/>
      <c r="JB101" s="15"/>
      <c r="JC101" s="15"/>
      <c r="JD101" s="15"/>
      <c r="JE101" s="15"/>
      <c r="JF101" s="15"/>
      <c r="JG101" s="15"/>
      <c r="JH101" s="15"/>
      <c r="JI101" s="15"/>
      <c r="JJ101" s="15"/>
      <c r="JK101" s="15"/>
      <c r="JL101" s="15"/>
      <c r="JM101" s="15"/>
      <c r="JN101" s="16"/>
      <c r="JO101" s="16"/>
      <c r="JP101" s="16"/>
      <c r="JQ101" s="16"/>
      <c r="JR101" s="16"/>
      <c r="JS101" s="16"/>
      <c r="JT101" s="16"/>
      <c r="JU101" s="16"/>
      <c r="JV101" s="16"/>
      <c r="JW101" s="16"/>
      <c r="JX101" s="16"/>
      <c r="JY101" s="16"/>
      <c r="JZ101" s="16"/>
      <c r="KA101" s="16"/>
      <c r="KB101" s="16"/>
      <c r="KC101" s="16"/>
      <c r="KD101" s="16"/>
      <c r="KE101" s="16"/>
      <c r="KF101" s="16"/>
      <c r="KG101" s="16"/>
      <c r="KH101" s="16"/>
      <c r="KI101" s="16"/>
      <c r="KJ101" s="16"/>
      <c r="KK101" s="16"/>
      <c r="KL101" s="16"/>
      <c r="KM101" s="16"/>
      <c r="KN101" s="16"/>
      <c r="KO101" s="16"/>
      <c r="KP101" s="16"/>
      <c r="KQ101" s="16"/>
      <c r="KR101" s="16"/>
      <c r="KS101" s="16"/>
      <c r="KT101" s="15"/>
      <c r="KU101" s="15"/>
      <c r="KV101" s="15"/>
      <c r="KW101" s="15"/>
      <c r="KX101" s="15"/>
      <c r="KY101" s="15"/>
      <c r="KZ101" s="15"/>
      <c r="LA101" s="15"/>
      <c r="LB101" s="15"/>
      <c r="LC101" s="15"/>
      <c r="LD101" s="15"/>
      <c r="LE101" s="15"/>
      <c r="LF101" s="15"/>
      <c r="LG101" s="15"/>
      <c r="LH101" s="15"/>
      <c r="LI101" s="15"/>
      <c r="LJ101" s="15"/>
      <c r="LK101" s="15"/>
      <c r="LL101" s="15"/>
      <c r="LM101" s="15"/>
      <c r="LN101" s="473">
        <f t="shared" si="41"/>
        <v>0</v>
      </c>
    </row>
    <row r="102" spans="1:326" ht="14.7" customHeight="1">
      <c r="A102" s="1168"/>
      <c r="B102" s="60"/>
      <c r="C102" s="60"/>
      <c r="D102" s="60"/>
      <c r="E102" s="60"/>
      <c r="F102" s="60"/>
      <c r="G102" s="60"/>
      <c r="H102" s="60"/>
      <c r="I102" s="60"/>
      <c r="J102" s="60"/>
      <c r="K102" s="60"/>
      <c r="L102" s="60"/>
      <c r="M102" s="60"/>
      <c r="N102" s="61"/>
      <c r="O102" s="60"/>
      <c r="P102" s="738" t="s">
        <v>218</v>
      </c>
      <c r="Q102" s="626">
        <v>6.4999999999999997E-3</v>
      </c>
      <c r="R102" s="626">
        <v>6.4999999999999997E-3</v>
      </c>
      <c r="S102" s="626">
        <v>6.4999999999999997E-3</v>
      </c>
      <c r="T102" s="626">
        <v>6.4999999999999997E-3</v>
      </c>
      <c r="U102" s="626">
        <v>6.4999999999999997E-3</v>
      </c>
      <c r="V102" s="626">
        <v>6.4999999999999997E-3</v>
      </c>
      <c r="W102" s="626">
        <v>6.4999999999999997E-3</v>
      </c>
      <c r="X102" s="626">
        <v>6.4999999999999997E-3</v>
      </c>
      <c r="Y102" s="626">
        <v>6.4999999999999997E-3</v>
      </c>
      <c r="Z102" s="626">
        <v>6.4999999999999997E-3</v>
      </c>
      <c r="AA102" s="626">
        <v>6.4999999999999997E-3</v>
      </c>
      <c r="AB102" s="626">
        <v>6.4999999999999997E-3</v>
      </c>
      <c r="AC102" s="626">
        <v>6.4999999999999997E-3</v>
      </c>
      <c r="AD102" s="626">
        <v>6.4999999999999997E-3</v>
      </c>
      <c r="AE102" s="626">
        <v>6.4999999999999997E-3</v>
      </c>
      <c r="AF102" s="626">
        <v>6.4999999999999997E-3</v>
      </c>
      <c r="AG102" s="614">
        <v>6.4999999999999997E-3</v>
      </c>
      <c r="AH102" s="614">
        <v>6.4999999999999997E-3</v>
      </c>
      <c r="AI102" s="590">
        <v>6.4999999999999997E-3</v>
      </c>
      <c r="AJ102" s="595" t="s">
        <v>599</v>
      </c>
      <c r="AK102" s="593"/>
      <c r="AL102" s="593"/>
      <c r="AM102" s="593"/>
      <c r="AN102" s="593"/>
      <c r="AO102" s="593"/>
      <c r="AP102" s="593"/>
      <c r="AQ102" s="593"/>
      <c r="AR102" s="593"/>
      <c r="AS102" s="593"/>
      <c r="AT102" s="593"/>
      <c r="AU102" s="593"/>
      <c r="AV102" s="593"/>
      <c r="AW102" s="593"/>
      <c r="AX102" s="593"/>
      <c r="AY102" s="592"/>
      <c r="AZ102" s="593"/>
      <c r="BA102" s="593"/>
      <c r="BB102" s="593"/>
      <c r="BC102" s="593"/>
      <c r="BD102" s="593"/>
      <c r="BE102" s="593"/>
      <c r="BF102" s="593"/>
      <c r="BG102" s="593"/>
      <c r="BH102" s="594"/>
      <c r="BI102" s="26"/>
      <c r="BJ102" s="26"/>
      <c r="BK102" s="24"/>
      <c r="BL102" s="24"/>
      <c r="BM102" s="24"/>
      <c r="BN102" s="24"/>
      <c r="BO102" s="24"/>
      <c r="BP102" s="24"/>
      <c r="BQ102" s="24"/>
      <c r="BR102" s="24"/>
      <c r="BS102" s="24"/>
      <c r="BT102" s="24"/>
      <c r="BU102" s="24"/>
      <c r="BV102" s="24"/>
      <c r="BW102" s="24"/>
      <c r="BX102" s="24"/>
      <c r="BY102" s="24"/>
      <c r="BZ102" s="24"/>
      <c r="CA102" s="24"/>
      <c r="CB102" s="24"/>
      <c r="CC102" s="24"/>
      <c r="CD102" s="24"/>
      <c r="CE102" s="24"/>
      <c r="CF102" s="24"/>
      <c r="CG102" s="24"/>
      <c r="CH102" s="24"/>
      <c r="CI102" s="24"/>
      <c r="CJ102" s="24"/>
      <c r="CK102" s="24"/>
      <c r="CL102" s="24"/>
      <c r="CM102" s="24"/>
      <c r="CN102" s="24"/>
      <c r="CO102" s="24"/>
      <c r="CP102" s="24"/>
      <c r="CQ102" s="24"/>
      <c r="CR102" s="24"/>
      <c r="CS102" s="24"/>
      <c r="CT102" s="24"/>
      <c r="CU102" s="24"/>
      <c r="CV102" s="24"/>
      <c r="CW102" s="24"/>
      <c r="CX102" s="24"/>
      <c r="CY102" s="24"/>
      <c r="CZ102" s="24"/>
      <c r="DA102" s="24"/>
      <c r="DB102" s="24"/>
      <c r="DC102" s="24"/>
      <c r="DD102" s="24"/>
      <c r="DE102" s="24"/>
      <c r="DF102" s="24"/>
      <c r="DG102" s="24"/>
      <c r="DH102" s="24"/>
      <c r="DI102" s="24"/>
      <c r="DJ102" s="24"/>
      <c r="DK102" s="24"/>
      <c r="DL102" s="24"/>
      <c r="DM102" s="24"/>
      <c r="DN102" s="24"/>
      <c r="DO102" s="24"/>
      <c r="DP102" s="24"/>
      <c r="DQ102" s="25"/>
      <c r="DR102" s="25"/>
      <c r="DS102" s="25"/>
      <c r="DT102" s="24"/>
      <c r="DU102" s="24"/>
      <c r="DV102" s="24"/>
      <c r="DW102" s="24"/>
      <c r="DX102" s="24"/>
      <c r="DY102" s="24"/>
      <c r="DZ102" s="24"/>
      <c r="EA102" s="24"/>
      <c r="EB102" s="24"/>
      <c r="EC102" s="24"/>
      <c r="ED102" s="24"/>
      <c r="EE102" s="24"/>
      <c r="EF102" s="24"/>
      <c r="EG102" s="24"/>
      <c r="EH102" s="24"/>
      <c r="EI102" s="24"/>
      <c r="EJ102" s="24"/>
      <c r="EK102" s="24"/>
      <c r="EL102" s="24"/>
      <c r="EM102" s="24"/>
      <c r="EN102" s="24"/>
      <c r="EO102" s="24"/>
      <c r="EP102" s="24"/>
      <c r="EQ102" s="24"/>
      <c r="ER102" s="24"/>
      <c r="ES102" s="24"/>
      <c r="ET102" s="24"/>
      <c r="EU102" s="24"/>
      <c r="EV102" s="24"/>
      <c r="EW102" s="24"/>
      <c r="EX102" s="24"/>
      <c r="EY102" s="24"/>
      <c r="EZ102" s="24"/>
      <c r="FA102" s="24"/>
      <c r="FB102" s="24"/>
      <c r="FC102" s="24"/>
      <c r="FD102" s="24"/>
      <c r="FE102" s="24"/>
      <c r="FF102" s="24"/>
      <c r="FG102" s="24"/>
      <c r="FH102" s="24"/>
      <c r="FI102" s="24"/>
      <c r="FJ102" s="24"/>
      <c r="FK102" s="24"/>
      <c r="FL102" s="24"/>
      <c r="FM102" s="24"/>
      <c r="FN102" s="24"/>
      <c r="FO102" s="24"/>
      <c r="FP102" s="24"/>
      <c r="FQ102" s="24"/>
      <c r="FR102" s="24"/>
      <c r="FS102" s="24"/>
      <c r="FT102" s="24"/>
      <c r="FU102" s="24"/>
      <c r="FV102" s="24"/>
      <c r="FW102" s="24"/>
      <c r="FX102" s="24"/>
      <c r="FY102" s="24"/>
      <c r="FZ102" s="24"/>
      <c r="GA102" s="24"/>
      <c r="GB102" s="24"/>
      <c r="GC102" s="24"/>
      <c r="GD102" s="24"/>
      <c r="GE102" s="24"/>
      <c r="GF102" s="24"/>
      <c r="GG102" s="24"/>
      <c r="GH102" s="24"/>
      <c r="GI102" s="24"/>
      <c r="GJ102" s="24"/>
      <c r="GK102" s="24"/>
      <c r="GL102" s="24"/>
      <c r="GM102" s="24"/>
      <c r="GN102" s="24"/>
      <c r="GO102" s="24"/>
      <c r="GP102" s="24"/>
      <c r="GQ102" s="24"/>
      <c r="GR102" s="24"/>
      <c r="GS102" s="23"/>
      <c r="GT102" s="23"/>
      <c r="GU102" s="23"/>
      <c r="GV102" s="23"/>
      <c r="GW102" s="22"/>
      <c r="GX102" s="22"/>
      <c r="GY102" s="22"/>
      <c r="GZ102" s="22"/>
      <c r="HA102" s="22"/>
      <c r="HB102" s="22"/>
      <c r="HC102" s="22"/>
      <c r="HD102" s="22"/>
      <c r="HE102" s="22"/>
      <c r="HF102" s="22"/>
      <c r="HG102" s="22"/>
      <c r="HH102" s="22"/>
      <c r="HI102" s="22"/>
      <c r="HJ102" s="22"/>
      <c r="HK102" s="22"/>
      <c r="HL102" s="21"/>
      <c r="HM102" s="19"/>
      <c r="HN102" s="19"/>
      <c r="HO102" s="19"/>
      <c r="HP102" s="20"/>
      <c r="HQ102" s="19"/>
      <c r="HR102" s="16"/>
      <c r="HS102" s="16"/>
      <c r="HT102" s="18"/>
      <c r="HU102" s="16"/>
      <c r="HV102" s="16"/>
      <c r="HW102" s="16"/>
      <c r="HX102" s="15"/>
      <c r="HY102" s="15"/>
      <c r="HZ102" s="15"/>
      <c r="IA102" s="15"/>
      <c r="IB102" s="15"/>
      <c r="IC102" s="16"/>
      <c r="ID102" s="16"/>
      <c r="IE102" s="15"/>
      <c r="IF102" s="15"/>
      <c r="IG102" s="15"/>
      <c r="IH102" s="15"/>
      <c r="II102" s="15"/>
      <c r="IJ102" s="15"/>
      <c r="IK102" s="15"/>
      <c r="IL102" s="15"/>
      <c r="IM102" s="15"/>
      <c r="IN102" s="15"/>
      <c r="IO102" s="15"/>
      <c r="IP102" s="17"/>
      <c r="IQ102" s="15"/>
      <c r="IR102" s="15"/>
      <c r="IS102" s="15"/>
      <c r="IT102" s="15"/>
      <c r="IU102" s="15"/>
      <c r="IV102" s="15"/>
      <c r="IW102" s="15"/>
      <c r="IX102" s="15"/>
      <c r="IY102" s="15"/>
      <c r="IZ102" s="15"/>
      <c r="JA102" s="15"/>
      <c r="JB102" s="15"/>
      <c r="JC102" s="15"/>
      <c r="JD102" s="15"/>
      <c r="JE102" s="15"/>
      <c r="JF102" s="15"/>
      <c r="JG102" s="15"/>
      <c r="JH102" s="15"/>
      <c r="JI102" s="15"/>
      <c r="JJ102" s="15"/>
      <c r="JK102" s="15"/>
      <c r="JL102" s="15"/>
      <c r="JM102" s="15"/>
      <c r="JN102" s="16"/>
      <c r="JO102" s="16"/>
      <c r="JP102" s="16"/>
      <c r="JQ102" s="16"/>
      <c r="JR102" s="16"/>
      <c r="JS102" s="16"/>
      <c r="JT102" s="16"/>
      <c r="JU102" s="16"/>
      <c r="JV102" s="16"/>
      <c r="JW102" s="16"/>
      <c r="JX102" s="16"/>
      <c r="JY102" s="16"/>
      <c r="JZ102" s="16"/>
      <c r="KA102" s="16"/>
      <c r="KB102" s="16"/>
      <c r="KC102" s="16"/>
      <c r="KD102" s="16"/>
      <c r="KE102" s="16"/>
      <c r="KF102" s="16"/>
      <c r="KG102" s="16"/>
      <c r="KH102" s="16"/>
      <c r="KI102" s="16"/>
      <c r="KJ102" s="16"/>
      <c r="KK102" s="16"/>
      <c r="KL102" s="16"/>
      <c r="KM102" s="16"/>
      <c r="KN102" s="16"/>
      <c r="KO102" s="16"/>
      <c r="KP102" s="16"/>
      <c r="KQ102" s="16"/>
      <c r="KR102" s="16"/>
      <c r="KS102" s="16"/>
      <c r="KT102" s="15"/>
      <c r="KU102" s="15"/>
      <c r="KV102" s="15"/>
      <c r="KW102" s="15"/>
      <c r="KX102" s="15"/>
      <c r="KY102" s="15"/>
      <c r="KZ102" s="15"/>
      <c r="LA102" s="15"/>
      <c r="LB102" s="15"/>
      <c r="LC102" s="15"/>
      <c r="LD102" s="15"/>
      <c r="LE102" s="15"/>
      <c r="LF102" s="15"/>
      <c r="LG102" s="15"/>
      <c r="LH102" s="15"/>
      <c r="LI102" s="15"/>
      <c r="LJ102" s="15"/>
      <c r="LK102" s="15"/>
      <c r="LL102" s="15"/>
      <c r="LM102" s="15"/>
      <c r="LN102" s="473">
        <f t="shared" si="41"/>
        <v>0</v>
      </c>
    </row>
    <row r="103" spans="1:326" ht="14.7" customHeight="1">
      <c r="A103" s="1168"/>
      <c r="B103" s="60"/>
      <c r="C103" s="60"/>
      <c r="D103" s="60"/>
      <c r="E103" s="60"/>
      <c r="F103" s="60"/>
      <c r="G103" s="60"/>
      <c r="H103" s="60"/>
      <c r="I103" s="60"/>
      <c r="J103" s="60"/>
      <c r="K103" s="60"/>
      <c r="L103" s="60"/>
      <c r="M103" s="60"/>
      <c r="N103" s="61"/>
      <c r="O103" s="60"/>
      <c r="P103" s="738" t="s">
        <v>217</v>
      </c>
      <c r="Q103" s="626">
        <v>7.0000000000000001E-3</v>
      </c>
      <c r="R103" s="626">
        <v>7.0000000000000001E-3</v>
      </c>
      <c r="S103" s="626">
        <v>7.0000000000000001E-3</v>
      </c>
      <c r="T103" s="626">
        <v>7.0000000000000001E-3</v>
      </c>
      <c r="U103" s="626">
        <v>7.0000000000000001E-3</v>
      </c>
      <c r="V103" s="626">
        <v>7.0000000000000001E-3</v>
      </c>
      <c r="W103" s="626">
        <v>7.0000000000000001E-3</v>
      </c>
      <c r="X103" s="626">
        <v>7.0000000000000001E-3</v>
      </c>
      <c r="Y103" s="626">
        <v>7.0000000000000001E-3</v>
      </c>
      <c r="Z103" s="626">
        <v>7.0000000000000001E-3</v>
      </c>
      <c r="AA103" s="626">
        <v>7.0000000000000001E-3</v>
      </c>
      <c r="AB103" s="626">
        <v>7.0000000000000001E-3</v>
      </c>
      <c r="AC103" s="626">
        <v>7.0000000000000001E-3</v>
      </c>
      <c r="AD103" s="626">
        <v>7.0000000000000001E-3</v>
      </c>
      <c r="AE103" s="626">
        <v>7.0000000000000001E-3</v>
      </c>
      <c r="AF103" s="626">
        <v>7.0000000000000001E-3</v>
      </c>
      <c r="AG103" s="614">
        <v>7.0000000000000001E-3</v>
      </c>
      <c r="AH103" s="614">
        <v>7.0000000000000001E-3</v>
      </c>
      <c r="AI103" s="590">
        <v>7.0000000000000001E-3</v>
      </c>
      <c r="AJ103" s="595" t="s">
        <v>599</v>
      </c>
      <c r="AK103" s="593"/>
      <c r="AL103" s="593"/>
      <c r="AM103" s="593"/>
      <c r="AN103" s="593"/>
      <c r="AO103" s="593"/>
      <c r="AP103" s="593"/>
      <c r="AQ103" s="593"/>
      <c r="AR103" s="593"/>
      <c r="AS103" s="593"/>
      <c r="AT103" s="593"/>
      <c r="AU103" s="593"/>
      <c r="AV103" s="593"/>
      <c r="AW103" s="593"/>
      <c r="AX103" s="593"/>
      <c r="AY103" s="592"/>
      <c r="AZ103" s="593"/>
      <c r="BA103" s="593"/>
      <c r="BB103" s="593"/>
      <c r="BC103" s="593"/>
      <c r="BD103" s="593"/>
      <c r="BE103" s="593"/>
      <c r="BF103" s="593"/>
      <c r="BG103" s="593"/>
      <c r="BH103" s="594"/>
      <c r="BI103" s="26"/>
      <c r="BJ103" s="26"/>
      <c r="BK103" s="24"/>
      <c r="BL103" s="24"/>
      <c r="BM103" s="24"/>
      <c r="BN103" s="24"/>
      <c r="BO103" s="24"/>
      <c r="BP103" s="24"/>
      <c r="BQ103" s="24"/>
      <c r="BR103" s="24"/>
      <c r="BS103" s="24"/>
      <c r="BT103" s="24"/>
      <c r="BU103" s="24"/>
      <c r="BV103" s="24"/>
      <c r="BW103" s="24"/>
      <c r="BX103" s="24"/>
      <c r="BY103" s="24"/>
      <c r="BZ103" s="24"/>
      <c r="CA103" s="24"/>
      <c r="CB103" s="24"/>
      <c r="CC103" s="24"/>
      <c r="CD103" s="24"/>
      <c r="CE103" s="24"/>
      <c r="CF103" s="24"/>
      <c r="CG103" s="24"/>
      <c r="CH103" s="24"/>
      <c r="CI103" s="24"/>
      <c r="CJ103" s="24"/>
      <c r="CK103" s="24"/>
      <c r="CL103" s="24"/>
      <c r="CM103" s="24"/>
      <c r="CN103" s="24"/>
      <c r="CO103" s="24"/>
      <c r="CP103" s="24"/>
      <c r="CQ103" s="24"/>
      <c r="CR103" s="24"/>
      <c r="CS103" s="24"/>
      <c r="CT103" s="24"/>
      <c r="CU103" s="24"/>
      <c r="CV103" s="24"/>
      <c r="CW103" s="24"/>
      <c r="CX103" s="24"/>
      <c r="CY103" s="24"/>
      <c r="CZ103" s="24"/>
      <c r="DA103" s="24"/>
      <c r="DB103" s="24"/>
      <c r="DC103" s="24"/>
      <c r="DD103" s="24"/>
      <c r="DE103" s="24"/>
      <c r="DF103" s="24"/>
      <c r="DG103" s="24"/>
      <c r="DH103" s="24"/>
      <c r="DI103" s="24"/>
      <c r="DJ103" s="24"/>
      <c r="DK103" s="24"/>
      <c r="DL103" s="24"/>
      <c r="DM103" s="24"/>
      <c r="DN103" s="24"/>
      <c r="DO103" s="24"/>
      <c r="DP103" s="24"/>
      <c r="DQ103" s="25"/>
      <c r="DR103" s="25"/>
      <c r="DS103" s="25"/>
      <c r="DT103" s="24"/>
      <c r="DU103" s="24"/>
      <c r="DV103" s="24"/>
      <c r="DW103" s="24"/>
      <c r="DX103" s="24"/>
      <c r="DY103" s="24"/>
      <c r="DZ103" s="24"/>
      <c r="EA103" s="24"/>
      <c r="EB103" s="24"/>
      <c r="EC103" s="24"/>
      <c r="ED103" s="24"/>
      <c r="EE103" s="24"/>
      <c r="EF103" s="24"/>
      <c r="EG103" s="24"/>
      <c r="EH103" s="24"/>
      <c r="EI103" s="24"/>
      <c r="EJ103" s="24"/>
      <c r="EK103" s="24"/>
      <c r="EL103" s="24"/>
      <c r="EM103" s="24"/>
      <c r="EN103" s="24"/>
      <c r="EO103" s="24"/>
      <c r="EP103" s="24"/>
      <c r="EQ103" s="24"/>
      <c r="ER103" s="24"/>
      <c r="ES103" s="24"/>
      <c r="ET103" s="24"/>
      <c r="EU103" s="24"/>
      <c r="EV103" s="24"/>
      <c r="EW103" s="24"/>
      <c r="EX103" s="24"/>
      <c r="EY103" s="24"/>
      <c r="EZ103" s="24"/>
      <c r="FA103" s="24"/>
      <c r="FB103" s="24"/>
      <c r="FC103" s="24"/>
      <c r="FD103" s="24"/>
      <c r="FE103" s="24"/>
      <c r="FF103" s="24"/>
      <c r="FG103" s="24"/>
      <c r="FH103" s="24"/>
      <c r="FI103" s="24"/>
      <c r="FJ103" s="24"/>
      <c r="FK103" s="24"/>
      <c r="FL103" s="24"/>
      <c r="FM103" s="24"/>
      <c r="FN103" s="24"/>
      <c r="FO103" s="24"/>
      <c r="FP103" s="24"/>
      <c r="FQ103" s="24"/>
      <c r="FR103" s="24"/>
      <c r="FS103" s="24"/>
      <c r="FT103" s="24"/>
      <c r="FU103" s="24"/>
      <c r="FV103" s="24"/>
      <c r="FW103" s="24"/>
      <c r="FX103" s="24"/>
      <c r="FY103" s="24"/>
      <c r="FZ103" s="24"/>
      <c r="GA103" s="24"/>
      <c r="GB103" s="24"/>
      <c r="GC103" s="24"/>
      <c r="GD103" s="24"/>
      <c r="GE103" s="24"/>
      <c r="GF103" s="24"/>
      <c r="GG103" s="24"/>
      <c r="GH103" s="24"/>
      <c r="GI103" s="24"/>
      <c r="GJ103" s="24"/>
      <c r="GK103" s="24"/>
      <c r="GL103" s="24"/>
      <c r="GM103" s="24"/>
      <c r="GN103" s="24"/>
      <c r="GO103" s="24"/>
      <c r="GP103" s="24"/>
      <c r="GQ103" s="24"/>
      <c r="GR103" s="24"/>
      <c r="GS103" s="23"/>
      <c r="GT103" s="23"/>
      <c r="GU103" s="23"/>
      <c r="GV103" s="23"/>
      <c r="GW103" s="22"/>
      <c r="GX103" s="22"/>
      <c r="GY103" s="22"/>
      <c r="GZ103" s="22"/>
      <c r="HA103" s="22"/>
      <c r="HB103" s="22"/>
      <c r="HC103" s="22"/>
      <c r="HD103" s="22"/>
      <c r="HE103" s="22"/>
      <c r="HF103" s="22"/>
      <c r="HG103" s="22"/>
      <c r="HH103" s="22"/>
      <c r="HI103" s="22"/>
      <c r="HJ103" s="22"/>
      <c r="HK103" s="22"/>
      <c r="HL103" s="21"/>
      <c r="HM103" s="19"/>
      <c r="HN103" s="19"/>
      <c r="HO103" s="19"/>
      <c r="HP103" s="20"/>
      <c r="HQ103" s="19"/>
      <c r="HR103" s="16"/>
      <c r="HS103" s="16"/>
      <c r="HT103" s="18"/>
      <c r="HU103" s="16"/>
      <c r="HV103" s="16"/>
      <c r="HW103" s="16"/>
      <c r="HX103" s="15"/>
      <c r="HY103" s="15"/>
      <c r="HZ103" s="15"/>
      <c r="IA103" s="15"/>
      <c r="IB103" s="15"/>
      <c r="IC103" s="16"/>
      <c r="ID103" s="16"/>
      <c r="IE103" s="15"/>
      <c r="IF103" s="15"/>
      <c r="IG103" s="15"/>
      <c r="IH103" s="15"/>
      <c r="II103" s="15"/>
      <c r="IJ103" s="15"/>
      <c r="IK103" s="15"/>
      <c r="IL103" s="15"/>
      <c r="IM103" s="15"/>
      <c r="IN103" s="15"/>
      <c r="IO103" s="15"/>
      <c r="IP103" s="17"/>
      <c r="IQ103" s="15"/>
      <c r="IR103" s="15"/>
      <c r="IS103" s="15"/>
      <c r="IT103" s="15"/>
      <c r="IU103" s="15"/>
      <c r="IV103" s="15"/>
      <c r="IW103" s="15"/>
      <c r="IX103" s="15"/>
      <c r="IY103" s="15"/>
      <c r="IZ103" s="15"/>
      <c r="JA103" s="15"/>
      <c r="JB103" s="15"/>
      <c r="JC103" s="15"/>
      <c r="JD103" s="15"/>
      <c r="JE103" s="15"/>
      <c r="JF103" s="15"/>
      <c r="JG103" s="15"/>
      <c r="JH103" s="15"/>
      <c r="JI103" s="15"/>
      <c r="JJ103" s="15"/>
      <c r="JK103" s="15"/>
      <c r="JL103" s="15"/>
      <c r="JM103" s="15"/>
      <c r="JN103" s="16"/>
      <c r="JO103" s="16"/>
      <c r="JP103" s="16"/>
      <c r="JQ103" s="16"/>
      <c r="JR103" s="16"/>
      <c r="JS103" s="16"/>
      <c r="JT103" s="16"/>
      <c r="JU103" s="16"/>
      <c r="JV103" s="16"/>
      <c r="JW103" s="16"/>
      <c r="JX103" s="16"/>
      <c r="JY103" s="16"/>
      <c r="JZ103" s="16"/>
      <c r="KA103" s="16"/>
      <c r="KB103" s="16"/>
      <c r="KC103" s="16"/>
      <c r="KD103" s="16"/>
      <c r="KE103" s="16"/>
      <c r="KF103" s="16"/>
      <c r="KG103" s="16"/>
      <c r="KH103" s="16"/>
      <c r="KI103" s="16"/>
      <c r="KJ103" s="16"/>
      <c r="KK103" s="16"/>
      <c r="KL103" s="16"/>
      <c r="KM103" s="16"/>
      <c r="KN103" s="16"/>
      <c r="KO103" s="16"/>
      <c r="KP103" s="16"/>
      <c r="KQ103" s="16"/>
      <c r="KR103" s="16"/>
      <c r="KS103" s="16"/>
      <c r="KT103" s="15"/>
      <c r="KU103" s="15"/>
      <c r="KV103" s="15"/>
      <c r="KW103" s="15"/>
      <c r="KX103" s="15"/>
      <c r="KY103" s="15"/>
      <c r="KZ103" s="15"/>
      <c r="LA103" s="15"/>
      <c r="LB103" s="15"/>
      <c r="LC103" s="15"/>
      <c r="LD103" s="15"/>
      <c r="LE103" s="15"/>
      <c r="LF103" s="15"/>
      <c r="LG103" s="15"/>
      <c r="LH103" s="15"/>
      <c r="LI103" s="15"/>
      <c r="LJ103" s="15"/>
      <c r="LK103" s="15"/>
      <c r="LL103" s="15"/>
      <c r="LM103" s="15"/>
      <c r="LN103" s="473">
        <f t="shared" si="41"/>
        <v>0</v>
      </c>
    </row>
    <row r="104" spans="1:326" ht="14.7" customHeight="1">
      <c r="A104" s="1169"/>
      <c r="B104" s="37" t="s">
        <v>58</v>
      </c>
      <c r="C104" s="37" t="s">
        <v>58</v>
      </c>
      <c r="D104" s="37" t="s">
        <v>58</v>
      </c>
      <c r="E104" s="37" t="s">
        <v>57</v>
      </c>
      <c r="F104" s="37"/>
      <c r="G104" s="37"/>
      <c r="H104" s="37" t="s">
        <v>56</v>
      </c>
      <c r="I104" s="37" t="s">
        <v>56</v>
      </c>
      <c r="J104" s="37" t="s">
        <v>56</v>
      </c>
      <c r="K104" s="37" t="s">
        <v>55</v>
      </c>
      <c r="L104" s="37" t="s">
        <v>54</v>
      </c>
      <c r="M104" s="37" t="s">
        <v>54</v>
      </c>
      <c r="N104" s="37" t="s">
        <v>54</v>
      </c>
      <c r="O104" s="37"/>
      <c r="P104" s="738" t="s">
        <v>216</v>
      </c>
      <c r="Q104" s="626">
        <v>8.0000000000000002E-3</v>
      </c>
      <c r="R104" s="626">
        <v>8.0000000000000002E-3</v>
      </c>
      <c r="S104" s="626">
        <v>8.0000000000000002E-3</v>
      </c>
      <c r="T104" s="626">
        <v>8.0000000000000002E-3</v>
      </c>
      <c r="U104" s="626">
        <v>8.0000000000000002E-3</v>
      </c>
      <c r="V104" s="626">
        <v>8.0000000000000002E-3</v>
      </c>
      <c r="W104" s="626">
        <v>8.0000000000000002E-3</v>
      </c>
      <c r="X104" s="626">
        <v>8.0000000000000002E-3</v>
      </c>
      <c r="Y104" s="626">
        <v>8.0000000000000002E-3</v>
      </c>
      <c r="Z104" s="626">
        <v>8.0000000000000002E-3</v>
      </c>
      <c r="AA104" s="626">
        <v>8.0000000000000002E-3</v>
      </c>
      <c r="AB104" s="626">
        <v>8.0000000000000002E-3</v>
      </c>
      <c r="AC104" s="626">
        <v>8.0000000000000002E-3</v>
      </c>
      <c r="AD104" s="626">
        <v>8.0000000000000002E-3</v>
      </c>
      <c r="AE104" s="626">
        <v>8.0000000000000002E-3</v>
      </c>
      <c r="AF104" s="626">
        <v>8.0000000000000002E-3</v>
      </c>
      <c r="AG104" s="614">
        <v>8.0000000000000002E-3</v>
      </c>
      <c r="AH104" s="614">
        <v>8.0000000000000002E-3</v>
      </c>
      <c r="AI104" s="590">
        <v>8.0000000000000002E-3</v>
      </c>
      <c r="AJ104" s="595" t="s">
        <v>599</v>
      </c>
      <c r="AK104" s="593"/>
      <c r="AL104" s="593"/>
      <c r="AM104" s="593"/>
      <c r="AN104" s="593"/>
      <c r="AO104" s="593"/>
      <c r="AP104" s="593"/>
      <c r="AQ104" s="593"/>
      <c r="AR104" s="593"/>
      <c r="AS104" s="593"/>
      <c r="AT104" s="593"/>
      <c r="AU104" s="593"/>
      <c r="AV104" s="593"/>
      <c r="AW104" s="593"/>
      <c r="AX104" s="593"/>
      <c r="AY104" s="592"/>
      <c r="AZ104" s="593"/>
      <c r="BA104" s="593"/>
      <c r="BB104" s="593"/>
      <c r="BC104" s="593"/>
      <c r="BD104" s="593"/>
      <c r="BE104" s="593"/>
      <c r="BF104" s="593"/>
      <c r="BG104" s="593"/>
      <c r="BH104" s="594"/>
      <c r="BI104" s="26"/>
      <c r="BJ104" s="26"/>
      <c r="BK104" s="24"/>
      <c r="BL104" s="24"/>
      <c r="BM104" s="24"/>
      <c r="BN104" s="24"/>
      <c r="BO104" s="24"/>
      <c r="BP104" s="24"/>
      <c r="BQ104" s="24"/>
      <c r="BR104" s="24"/>
      <c r="BS104" s="24"/>
      <c r="BT104" s="24"/>
      <c r="BU104" s="24"/>
      <c r="BV104" s="24"/>
      <c r="BW104" s="24"/>
      <c r="BX104" s="24"/>
      <c r="BY104" s="24"/>
      <c r="BZ104" s="24"/>
      <c r="CA104" s="24"/>
      <c r="CB104" s="24"/>
      <c r="CC104" s="24"/>
      <c r="CD104" s="24"/>
      <c r="CE104" s="24"/>
      <c r="CF104" s="24"/>
      <c r="CG104" s="24"/>
      <c r="CH104" s="24"/>
      <c r="CI104" s="24"/>
      <c r="CJ104" s="24"/>
      <c r="CK104" s="24"/>
      <c r="CL104" s="24"/>
      <c r="CM104" s="24"/>
      <c r="CN104" s="24"/>
      <c r="CO104" s="24"/>
      <c r="CP104" s="24"/>
      <c r="CQ104" s="24"/>
      <c r="CR104" s="24"/>
      <c r="CS104" s="24"/>
      <c r="CT104" s="24"/>
      <c r="CU104" s="24"/>
      <c r="CV104" s="24"/>
      <c r="CW104" s="24"/>
      <c r="CX104" s="24"/>
      <c r="CY104" s="24"/>
      <c r="CZ104" s="24"/>
      <c r="DA104" s="24"/>
      <c r="DB104" s="24"/>
      <c r="DC104" s="24"/>
      <c r="DD104" s="24"/>
      <c r="DE104" s="24"/>
      <c r="DF104" s="24"/>
      <c r="DG104" s="24"/>
      <c r="DH104" s="24"/>
      <c r="DI104" s="24"/>
      <c r="DJ104" s="24"/>
      <c r="DK104" s="24"/>
      <c r="DL104" s="24"/>
      <c r="DM104" s="24"/>
      <c r="DN104" s="24"/>
      <c r="DO104" s="24"/>
      <c r="DP104" s="24"/>
      <c r="DQ104" s="25"/>
      <c r="DR104" s="25"/>
      <c r="DS104" s="25"/>
      <c r="DT104" s="24"/>
      <c r="DU104" s="24"/>
      <c r="DV104" s="24"/>
      <c r="DW104" s="24"/>
      <c r="DX104" s="24"/>
      <c r="DY104" s="24"/>
      <c r="DZ104" s="24"/>
      <c r="EA104" s="24"/>
      <c r="EB104" s="24"/>
      <c r="EC104" s="24"/>
      <c r="ED104" s="24"/>
      <c r="EE104" s="24"/>
      <c r="EF104" s="24"/>
      <c r="EG104" s="24"/>
      <c r="EH104" s="24"/>
      <c r="EI104" s="24"/>
      <c r="EJ104" s="24"/>
      <c r="EK104" s="24"/>
      <c r="EL104" s="24"/>
      <c r="EM104" s="24"/>
      <c r="EN104" s="24"/>
      <c r="EO104" s="24"/>
      <c r="EP104" s="24"/>
      <c r="EQ104" s="24"/>
      <c r="ER104" s="24"/>
      <c r="ES104" s="24"/>
      <c r="ET104" s="24"/>
      <c r="EU104" s="24"/>
      <c r="EV104" s="24"/>
      <c r="EW104" s="24"/>
      <c r="EX104" s="24"/>
      <c r="EY104" s="24"/>
      <c r="EZ104" s="24"/>
      <c r="FA104" s="24"/>
      <c r="FB104" s="24"/>
      <c r="FC104" s="24"/>
      <c r="FD104" s="24"/>
      <c r="FE104" s="24"/>
      <c r="FF104" s="24"/>
      <c r="FG104" s="24"/>
      <c r="FH104" s="24"/>
      <c r="FI104" s="24"/>
      <c r="FJ104" s="24"/>
      <c r="FK104" s="24"/>
      <c r="FL104" s="24"/>
      <c r="FM104" s="24"/>
      <c r="FN104" s="24"/>
      <c r="FO104" s="24"/>
      <c r="FP104" s="24"/>
      <c r="FQ104" s="24"/>
      <c r="FR104" s="24"/>
      <c r="FS104" s="24"/>
      <c r="FT104" s="24"/>
      <c r="FU104" s="24"/>
      <c r="FV104" s="24"/>
      <c r="FW104" s="24"/>
      <c r="FX104" s="24"/>
      <c r="FY104" s="24"/>
      <c r="FZ104" s="24"/>
      <c r="GA104" s="24"/>
      <c r="GB104" s="24"/>
      <c r="GC104" s="24"/>
      <c r="GD104" s="24"/>
      <c r="GE104" s="24"/>
      <c r="GF104" s="24"/>
      <c r="GG104" s="24"/>
      <c r="GH104" s="24"/>
      <c r="GI104" s="24"/>
      <c r="GJ104" s="24"/>
      <c r="GK104" s="24"/>
      <c r="GL104" s="24"/>
      <c r="GM104" s="24"/>
      <c r="GN104" s="24"/>
      <c r="GO104" s="24"/>
      <c r="GP104" s="24"/>
      <c r="GQ104" s="24"/>
      <c r="GR104" s="24"/>
      <c r="GS104" s="23"/>
      <c r="GT104" s="23"/>
      <c r="GU104" s="23"/>
      <c r="GV104" s="23"/>
      <c r="GW104" s="22"/>
      <c r="GX104" s="22"/>
      <c r="GY104" s="22"/>
      <c r="GZ104" s="22"/>
      <c r="HA104" s="22"/>
      <c r="HB104" s="22"/>
      <c r="HC104" s="22"/>
      <c r="HD104" s="22"/>
      <c r="HE104" s="22"/>
      <c r="HF104" s="22"/>
      <c r="HG104" s="22"/>
      <c r="HH104" s="22"/>
      <c r="HI104" s="22"/>
      <c r="HJ104" s="22"/>
      <c r="HK104" s="22"/>
      <c r="HL104" s="21"/>
      <c r="HM104" s="19"/>
      <c r="HN104" s="19"/>
      <c r="HO104" s="19"/>
      <c r="HP104" s="20"/>
      <c r="HQ104" s="19"/>
      <c r="HR104" s="16"/>
      <c r="HS104" s="16"/>
      <c r="HT104" s="18"/>
      <c r="HU104" s="16"/>
      <c r="HV104" s="16"/>
      <c r="HW104" s="16"/>
      <c r="HX104" s="15"/>
      <c r="HY104" s="15"/>
      <c r="HZ104" s="15"/>
      <c r="IA104" s="15"/>
      <c r="IB104" s="15"/>
      <c r="IC104" s="16"/>
      <c r="ID104" s="16"/>
      <c r="IE104" s="15"/>
      <c r="IF104" s="15"/>
      <c r="IG104" s="15"/>
      <c r="IH104" s="15"/>
      <c r="II104" s="15"/>
      <c r="IJ104" s="15"/>
      <c r="IK104" s="15"/>
      <c r="IL104" s="15"/>
      <c r="IM104" s="15"/>
      <c r="IN104" s="15"/>
      <c r="IO104" s="15"/>
      <c r="IP104" s="17"/>
      <c r="IQ104" s="15"/>
      <c r="IR104" s="15"/>
      <c r="IS104" s="15"/>
      <c r="IT104" s="15"/>
      <c r="IU104" s="15"/>
      <c r="IV104" s="15"/>
      <c r="IW104" s="15"/>
      <c r="IX104" s="15"/>
      <c r="IY104" s="15"/>
      <c r="IZ104" s="15"/>
      <c r="JA104" s="15"/>
      <c r="JB104" s="15"/>
      <c r="JC104" s="15"/>
      <c r="JD104" s="15"/>
      <c r="JE104" s="15"/>
      <c r="JF104" s="15"/>
      <c r="JG104" s="15"/>
      <c r="JH104" s="15"/>
      <c r="JI104" s="15"/>
      <c r="JJ104" s="15"/>
      <c r="JK104" s="15"/>
      <c r="JL104" s="15"/>
      <c r="JM104" s="15"/>
      <c r="JN104" s="16"/>
      <c r="JO104" s="16"/>
      <c r="JP104" s="16"/>
      <c r="JQ104" s="16"/>
      <c r="JR104" s="16"/>
      <c r="JS104" s="16"/>
      <c r="JT104" s="16"/>
      <c r="JU104" s="16"/>
      <c r="JV104" s="16"/>
      <c r="JW104" s="16"/>
      <c r="JX104" s="16"/>
      <c r="JY104" s="16"/>
      <c r="JZ104" s="16"/>
      <c r="KA104" s="16"/>
      <c r="KB104" s="16"/>
      <c r="KC104" s="16"/>
      <c r="KD104" s="16"/>
      <c r="KE104" s="16"/>
      <c r="KF104" s="16"/>
      <c r="KG104" s="16"/>
      <c r="KH104" s="16"/>
      <c r="KI104" s="16"/>
      <c r="KJ104" s="16"/>
      <c r="KK104" s="16"/>
      <c r="KL104" s="16"/>
      <c r="KM104" s="16"/>
      <c r="KN104" s="16"/>
      <c r="KO104" s="16"/>
      <c r="KP104" s="16"/>
      <c r="KQ104" s="16"/>
      <c r="KR104" s="16"/>
      <c r="KS104" s="16"/>
      <c r="KT104" s="15"/>
      <c r="KU104" s="15"/>
      <c r="KV104" s="15"/>
      <c r="KW104" s="15"/>
      <c r="KX104" s="15"/>
      <c r="KY104" s="15"/>
      <c r="KZ104" s="15"/>
      <c r="LA104" s="15"/>
      <c r="LB104" s="15"/>
      <c r="LC104" s="15"/>
      <c r="LD104" s="15"/>
      <c r="LE104" s="15"/>
      <c r="LF104" s="15"/>
      <c r="LG104" s="15"/>
      <c r="LH104" s="15"/>
      <c r="LI104" s="15"/>
      <c r="LJ104" s="15"/>
      <c r="LK104" s="15"/>
      <c r="LL104" s="15"/>
      <c r="LM104" s="15"/>
      <c r="LN104" s="473">
        <f t="shared" si="41"/>
        <v>0</v>
      </c>
    </row>
  </sheetData>
  <mergeCells count="35">
    <mergeCell ref="A101:A104"/>
    <mergeCell ref="O83:HQ83"/>
    <mergeCell ref="O71:HQ71"/>
    <mergeCell ref="O48:HQ48"/>
    <mergeCell ref="O25:HQ25"/>
    <mergeCell ref="A20:A23"/>
    <mergeCell ref="A43:A46"/>
    <mergeCell ref="A66:A69"/>
    <mergeCell ref="A1:LM1"/>
    <mergeCell ref="HR2:JN2"/>
    <mergeCell ref="JO2:LM2"/>
    <mergeCell ref="O2:HQ2"/>
    <mergeCell ref="A4:A7"/>
    <mergeCell ref="A8:A9"/>
    <mergeCell ref="A10:A12"/>
    <mergeCell ref="A15:A19"/>
    <mergeCell ref="A27:A30"/>
    <mergeCell ref="JO50:LM50"/>
    <mergeCell ref="A33:A35"/>
    <mergeCell ref="A38:A42"/>
    <mergeCell ref="HR50:JN50"/>
    <mergeCell ref="HR27:JN27"/>
    <mergeCell ref="JO27:LM27"/>
    <mergeCell ref="A96:A100"/>
    <mergeCell ref="A91:A93"/>
    <mergeCell ref="A89:A90"/>
    <mergeCell ref="A31:A32"/>
    <mergeCell ref="A50:A53"/>
    <mergeCell ref="A73:A76"/>
    <mergeCell ref="A54:A55"/>
    <mergeCell ref="A85:A88"/>
    <mergeCell ref="A79:A81"/>
    <mergeCell ref="A77:A78"/>
    <mergeCell ref="A56:A58"/>
    <mergeCell ref="A61:A65"/>
  </mergeCells>
  <phoneticPr fontId="71" type="noConversion"/>
  <conditionalFormatting sqref="HL4:HL13">
    <cfRule type="iconSet" priority="68">
      <iconSet iconSet="3Arrows">
        <cfvo type="percent" val="0"/>
        <cfvo type="num" val="0"/>
        <cfvo type="num" val="0" gte="0"/>
      </iconSet>
    </cfRule>
  </conditionalFormatting>
  <conditionalFormatting sqref="HL14:HL23">
    <cfRule type="iconSet" priority="39">
      <iconSet iconSet="3Arrows">
        <cfvo type="percent" val="0"/>
        <cfvo type="num" val="0"/>
        <cfvo type="num" val="0" gte="0"/>
      </iconSet>
    </cfRule>
  </conditionalFormatting>
  <conditionalFormatting sqref="HL27:HL35">
    <cfRule type="iconSet" priority="59">
      <iconSet iconSet="3Arrows">
        <cfvo type="percent" val="0"/>
        <cfvo type="num" val="0"/>
        <cfvo type="num" val="0" gte="0"/>
      </iconSet>
    </cfRule>
  </conditionalFormatting>
  <conditionalFormatting sqref="HL36:HL37">
    <cfRule type="iconSet" priority="55">
      <iconSet iconSet="3Arrows">
        <cfvo type="percent" val="0"/>
        <cfvo type="num" val="0"/>
        <cfvo type="num" val="0" gte="0"/>
      </iconSet>
    </cfRule>
  </conditionalFormatting>
  <conditionalFormatting sqref="HL38:HL46">
    <cfRule type="iconSet" priority="31">
      <iconSet iconSet="3Arrows">
        <cfvo type="percent" val="0"/>
        <cfvo type="num" val="0"/>
        <cfvo type="num" val="0" gte="0"/>
      </iconSet>
    </cfRule>
  </conditionalFormatting>
  <conditionalFormatting sqref="HL50:HL58">
    <cfRule type="iconSet" priority="58">
      <iconSet iconSet="3Arrows">
        <cfvo type="percent" val="0"/>
        <cfvo type="num" val="0"/>
        <cfvo type="num" val="0" gte="0"/>
      </iconSet>
    </cfRule>
  </conditionalFormatting>
  <conditionalFormatting sqref="HL59">
    <cfRule type="iconSet" priority="51">
      <iconSet iconSet="3Arrows">
        <cfvo type="percent" val="0"/>
        <cfvo type="num" val="0"/>
        <cfvo type="num" val="0" gte="0"/>
      </iconSet>
    </cfRule>
  </conditionalFormatting>
  <conditionalFormatting sqref="HL60">
    <cfRule type="iconSet" priority="43">
      <iconSet iconSet="3Arrows">
        <cfvo type="percent" val="0"/>
        <cfvo type="num" val="0"/>
        <cfvo type="num" val="0" gte="0"/>
      </iconSet>
    </cfRule>
  </conditionalFormatting>
  <conditionalFormatting sqref="HL61:HL69">
    <cfRule type="iconSet" priority="27">
      <iconSet iconSet="3Arrows">
        <cfvo type="percent" val="0"/>
        <cfvo type="num" val="0"/>
        <cfvo type="num" val="0" gte="0"/>
      </iconSet>
    </cfRule>
  </conditionalFormatting>
  <conditionalFormatting sqref="HL73:HL81">
    <cfRule type="iconSet" priority="57">
      <iconSet iconSet="3Arrows">
        <cfvo type="percent" val="0"/>
        <cfvo type="num" val="0"/>
        <cfvo type="num" val="0" gte="0"/>
      </iconSet>
    </cfRule>
  </conditionalFormatting>
  <conditionalFormatting sqref="HL85:HL93">
    <cfRule type="iconSet" priority="56">
      <iconSet iconSet="3Arrows">
        <cfvo type="percent" val="0"/>
        <cfvo type="num" val="0"/>
        <cfvo type="num" val="0" gte="0"/>
      </iconSet>
    </cfRule>
  </conditionalFormatting>
  <conditionalFormatting sqref="HL94">
    <cfRule type="iconSet" priority="47">
      <iconSet iconSet="3Arrows">
        <cfvo type="percent" val="0"/>
        <cfvo type="num" val="0"/>
        <cfvo type="num" val="0" gte="0"/>
      </iconSet>
    </cfRule>
  </conditionalFormatting>
  <conditionalFormatting sqref="HL95">
    <cfRule type="iconSet" priority="35">
      <iconSet iconSet="3Arrows">
        <cfvo type="percent" val="0"/>
        <cfvo type="num" val="0"/>
        <cfvo type="num" val="0" gte="0"/>
      </iconSet>
    </cfRule>
  </conditionalFormatting>
  <conditionalFormatting sqref="HL96:HL104">
    <cfRule type="iconSet" priority="23">
      <iconSet iconSet="3Arrows">
        <cfvo type="percent" val="0"/>
        <cfvo type="num" val="0"/>
        <cfvo type="num" val="0" gte="0"/>
      </iconSet>
    </cfRule>
  </conditionalFormatting>
  <conditionalFormatting sqref="HP7:HP23">
    <cfRule type="cellIs" dxfId="17" priority="36" operator="equal">
      <formula>0</formula>
    </cfRule>
    <cfRule type="cellIs" dxfId="16" priority="37" operator="lessThan">
      <formula>0</formula>
    </cfRule>
    <cfRule type="cellIs" dxfId="15" priority="38" operator="greaterThan">
      <formula>0</formula>
    </cfRule>
  </conditionalFormatting>
  <conditionalFormatting sqref="HP30:HP46">
    <cfRule type="cellIs" dxfId="14" priority="28" operator="equal">
      <formula>0</formula>
    </cfRule>
    <cfRule type="cellIs" dxfId="13" priority="29" operator="lessThan">
      <formula>0</formula>
    </cfRule>
    <cfRule type="cellIs" dxfId="12" priority="30" operator="greaterThan">
      <formula>0</formula>
    </cfRule>
  </conditionalFormatting>
  <conditionalFormatting sqref="HP53:HP69">
    <cfRule type="cellIs" dxfId="11" priority="25" operator="lessThan">
      <formula>0</formula>
    </cfRule>
    <cfRule type="cellIs" dxfId="10" priority="24" operator="equal">
      <formula>0</formula>
    </cfRule>
    <cfRule type="cellIs" dxfId="9" priority="26" operator="greaterThan">
      <formula>0</formula>
    </cfRule>
  </conditionalFormatting>
  <conditionalFormatting sqref="HP76:HP81">
    <cfRule type="cellIs" dxfId="8" priority="61" operator="equal">
      <formula>0</formula>
    </cfRule>
    <cfRule type="cellIs" dxfId="7" priority="62" operator="lessThan">
      <formula>0</formula>
    </cfRule>
    <cfRule type="cellIs" dxfId="6" priority="63" operator="greaterThan">
      <formula>0</formula>
    </cfRule>
  </conditionalFormatting>
  <conditionalFormatting sqref="HP85:HP87">
    <cfRule type="cellIs" dxfId="5" priority="64" operator="equal">
      <formula>0</formula>
    </cfRule>
    <cfRule type="cellIs" dxfId="4" priority="65" operator="lessThan">
      <formula>0</formula>
    </cfRule>
    <cfRule type="cellIs" dxfId="3" priority="66" operator="greaterThan">
      <formula>0</formula>
    </cfRule>
  </conditionalFormatting>
  <conditionalFormatting sqref="HP94:HP104">
    <cfRule type="cellIs" dxfId="2" priority="20" operator="equal">
      <formula>0</formula>
    </cfRule>
    <cfRule type="cellIs" dxfId="1" priority="21" operator="lessThan">
      <formula>0</formula>
    </cfRule>
    <cfRule type="cellIs" dxfId="0" priority="22" operator="greaterThan">
      <formula>0</formula>
    </cfRule>
  </conditionalFormatting>
  <conditionalFormatting sqref="LN4:LN23">
    <cfRule type="iconSet" priority="17">
      <iconSet iconSet="3Arrows">
        <cfvo type="percent" val="0"/>
        <cfvo type="num" val="0"/>
        <cfvo type="num" val="0" gte="0"/>
      </iconSet>
    </cfRule>
  </conditionalFormatting>
  <conditionalFormatting sqref="LN27:LN46">
    <cfRule type="iconSet" priority="3">
      <iconSet iconSet="3Arrows">
        <cfvo type="percent" val="0"/>
        <cfvo type="num" val="0"/>
        <cfvo type="num" val="0" gte="0"/>
      </iconSet>
    </cfRule>
  </conditionalFormatting>
  <conditionalFormatting sqref="LN47:LN48 LN50:LN69">
    <cfRule type="iconSet" priority="6">
      <iconSet iconSet="3Arrows">
        <cfvo type="percent" val="0"/>
        <cfvo type="num" val="0"/>
        <cfvo type="num" val="0" gte="0"/>
      </iconSet>
    </cfRule>
  </conditionalFormatting>
  <conditionalFormatting sqref="LN71">
    <cfRule type="iconSet" priority="13">
      <iconSet iconSet="3Arrows">
        <cfvo type="percent" val="0"/>
        <cfvo type="num" val="0"/>
        <cfvo type="num" val="0" gte="0"/>
      </iconSet>
    </cfRule>
  </conditionalFormatting>
  <conditionalFormatting sqref="LN74:LN76">
    <cfRule type="iconSet" priority="10">
      <iconSet iconSet="3Arrows">
        <cfvo type="percent" val="0"/>
        <cfvo type="num" val="0"/>
        <cfvo type="num" val="0" gte="0"/>
      </iconSet>
    </cfRule>
  </conditionalFormatting>
  <conditionalFormatting sqref="LN77:LN81">
    <cfRule type="iconSet" priority="2">
      <iconSet iconSet="3Arrows">
        <cfvo type="percent" val="0"/>
        <cfvo type="num" val="0"/>
        <cfvo type="num" val="0" gte="0"/>
      </iconSet>
    </cfRule>
  </conditionalFormatting>
  <conditionalFormatting sqref="LN85:LN104">
    <cfRule type="iconSet" priority="1">
      <iconSet iconSet="3Arrows">
        <cfvo type="percent" val="0"/>
        <cfvo type="num" val="0"/>
        <cfvo type="num" val="0" gte="0"/>
      </iconSet>
    </cfRule>
  </conditionalFormatting>
  <pageMargins left="0.7" right="0.7" top="0.75" bottom="0.75" header="0.3" footer="0.3"/>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N64"/>
  <sheetViews>
    <sheetView showGridLines="0" workbookViewId="0">
      <pane ySplit="2" topLeftCell="A30" activePane="bottomLeft" state="frozen"/>
      <selection activeCell="J12" sqref="J12"/>
      <selection pane="bottomLeft" activeCell="K42" sqref="K42"/>
    </sheetView>
  </sheetViews>
  <sheetFormatPr defaultColWidth="9.109375" defaultRowHeight="13.8"/>
  <cols>
    <col min="1" max="1" width="2" style="14" customWidth="1"/>
    <col min="2" max="2" width="11.6640625" style="116" customWidth="1"/>
    <col min="3" max="3" width="21.6640625" style="14" customWidth="1"/>
    <col min="4" max="4" width="9.109375" style="14" customWidth="1"/>
    <col min="5" max="13" width="9.109375" style="14"/>
    <col min="14" max="14" width="16.6640625" style="14" bestFit="1" customWidth="1"/>
    <col min="15" max="16384" width="9.109375" style="14"/>
  </cols>
  <sheetData>
    <row r="1" spans="2:14" ht="20.399999999999999">
      <c r="B1" s="861" t="s">
        <v>603</v>
      </c>
      <c r="C1" s="861"/>
      <c r="D1" s="861"/>
      <c r="E1" s="861"/>
      <c r="F1" s="861"/>
      <c r="G1" s="861"/>
      <c r="H1" s="861"/>
      <c r="I1" s="861"/>
      <c r="J1" s="862">
        <f>'最高报价汇总 '!F2</f>
        <v>46099</v>
      </c>
      <c r="K1" s="863"/>
      <c r="L1" s="863"/>
      <c r="M1" s="863"/>
    </row>
    <row r="2" spans="2:14" ht="17.399999999999999">
      <c r="B2" s="741" t="s">
        <v>292</v>
      </c>
      <c r="C2" s="139" t="s">
        <v>291</v>
      </c>
      <c r="D2" s="141" t="s">
        <v>290</v>
      </c>
      <c r="E2" s="141" t="s">
        <v>289</v>
      </c>
      <c r="F2" s="141" t="s">
        <v>604</v>
      </c>
      <c r="G2" s="141" t="s">
        <v>288</v>
      </c>
      <c r="H2" s="141" t="s">
        <v>287</v>
      </c>
      <c r="I2" s="141" t="s">
        <v>286</v>
      </c>
      <c r="J2" s="141" t="s">
        <v>285</v>
      </c>
      <c r="K2" s="141" t="s">
        <v>284</v>
      </c>
      <c r="L2" s="139" t="s">
        <v>283</v>
      </c>
      <c r="M2" s="140" t="s">
        <v>282</v>
      </c>
      <c r="N2" s="139" t="s">
        <v>223</v>
      </c>
    </row>
    <row r="3" spans="2:14" ht="15.6">
      <c r="B3" s="1090" t="s">
        <v>26</v>
      </c>
      <c r="C3" s="639" t="s">
        <v>605</v>
      </c>
      <c r="D3" s="602">
        <f ca="1">D3:M48</f>
        <v>0</v>
      </c>
      <c r="E3" s="745">
        <v>4.7499999999999999E-3</v>
      </c>
      <c r="F3" s="745">
        <v>5.7499999999999999E-3</v>
      </c>
      <c r="G3" s="745">
        <v>4.2500000000000003E-3</v>
      </c>
      <c r="H3" s="745">
        <v>4.8500000000000001E-3</v>
      </c>
      <c r="I3" s="745"/>
      <c r="J3" s="745">
        <v>4.3499999999999997E-3</v>
      </c>
      <c r="K3" s="597"/>
      <c r="L3" s="597"/>
      <c r="M3" s="597"/>
      <c r="N3" s="867"/>
    </row>
    <row r="4" spans="2:14" ht="15.6">
      <c r="B4" s="1109"/>
      <c r="C4" s="639" t="s">
        <v>71</v>
      </c>
      <c r="D4" s="602">
        <v>0</v>
      </c>
      <c r="E4" s="745">
        <v>4.7499999999999999E-3</v>
      </c>
      <c r="F4" s="745">
        <v>5.7499999999999999E-3</v>
      </c>
      <c r="G4" s="745">
        <v>4.2500000000000003E-3</v>
      </c>
      <c r="H4" s="745">
        <v>4.8500000000000001E-3</v>
      </c>
      <c r="I4" s="745"/>
      <c r="J4" s="745">
        <v>6.1000000000000004E-3</v>
      </c>
      <c r="K4" s="597"/>
      <c r="L4" s="597"/>
      <c r="M4" s="599"/>
      <c r="N4" s="868"/>
    </row>
    <row r="5" spans="2:14" ht="15.6">
      <c r="B5" s="1109"/>
      <c r="C5" s="639" t="s">
        <v>606</v>
      </c>
      <c r="D5" s="602">
        <v>0</v>
      </c>
      <c r="E5" s="745">
        <v>5.3499999999999997E-3</v>
      </c>
      <c r="F5" s="745">
        <v>6.3499999999999997E-3</v>
      </c>
      <c r="G5" s="745">
        <v>5.45E-3</v>
      </c>
      <c r="H5" s="745">
        <v>6.1500000000000001E-3</v>
      </c>
      <c r="I5" s="745"/>
      <c r="J5" s="745">
        <v>6.4000000000000003E-3</v>
      </c>
      <c r="K5" s="597"/>
      <c r="L5" s="597"/>
      <c r="M5" s="599"/>
      <c r="N5" s="868"/>
    </row>
    <row r="6" spans="2:14" ht="15.6">
      <c r="B6" s="1109"/>
      <c r="C6" s="639" t="s">
        <v>607</v>
      </c>
      <c r="D6" s="786">
        <v>3.2000000000000002E-3</v>
      </c>
      <c r="E6" s="745">
        <v>7.5500000000000003E-3</v>
      </c>
      <c r="F6" s="745">
        <v>8.5500000000000003E-3</v>
      </c>
      <c r="G6" s="745">
        <v>7.5500000000000003E-3</v>
      </c>
      <c r="H6" s="745">
        <v>7.7499999999999999E-3</v>
      </c>
      <c r="I6" s="745"/>
      <c r="J6" s="745">
        <v>7.2500000000000004E-3</v>
      </c>
      <c r="K6" s="597"/>
      <c r="L6" s="597"/>
      <c r="M6" s="599"/>
      <c r="N6" s="868"/>
    </row>
    <row r="7" spans="2:14" ht="15.6">
      <c r="B7" s="1091"/>
      <c r="C7" s="639" t="s">
        <v>608</v>
      </c>
      <c r="D7" s="754">
        <v>4.3E-3</v>
      </c>
      <c r="E7" s="745">
        <v>9.3500000000000007E-3</v>
      </c>
      <c r="F7" s="745">
        <v>1.035E-2</v>
      </c>
      <c r="G7" s="745">
        <v>8.8500000000000002E-3</v>
      </c>
      <c r="H7" s="745">
        <v>9.1500000000000001E-3</v>
      </c>
      <c r="I7" s="754"/>
      <c r="J7" s="745">
        <v>8.6499999999999997E-3</v>
      </c>
      <c r="K7" s="600"/>
      <c r="L7" s="600"/>
      <c r="M7" s="601"/>
      <c r="N7" s="869"/>
    </row>
    <row r="8" spans="2:14">
      <c r="B8" s="1094" t="s">
        <v>50</v>
      </c>
      <c r="C8" s="637" t="s">
        <v>71</v>
      </c>
      <c r="D8" s="629" t="s">
        <v>615</v>
      </c>
      <c r="E8" s="852">
        <v>4.7999999999999996E-3</v>
      </c>
      <c r="F8" s="750">
        <v>5.1000000000000004E-3</v>
      </c>
      <c r="G8" s="750">
        <v>5.0000000000000001E-3</v>
      </c>
      <c r="H8" s="753">
        <v>6.3E-3</v>
      </c>
      <c r="I8" s="753"/>
      <c r="J8" s="753">
        <v>6.4000000000000003E-3</v>
      </c>
      <c r="K8" s="640"/>
      <c r="L8" s="640"/>
      <c r="M8" s="631"/>
      <c r="N8" s="858"/>
    </row>
    <row r="9" spans="2:14">
      <c r="B9" s="1095"/>
      <c r="C9" s="676" t="s">
        <v>269</v>
      </c>
      <c r="D9" s="629" t="s">
        <v>615</v>
      </c>
      <c r="E9" s="852">
        <v>5.7999999999999996E-3</v>
      </c>
      <c r="F9" s="750">
        <v>6.1000000000000004E-3</v>
      </c>
      <c r="G9" s="750">
        <v>5.0000000000000001E-3</v>
      </c>
      <c r="H9" s="753">
        <v>5.7999999999999996E-3</v>
      </c>
      <c r="I9" s="753"/>
      <c r="J9" s="753">
        <v>8.3999999999999995E-3</v>
      </c>
      <c r="K9" s="640"/>
      <c r="L9" s="631"/>
      <c r="M9" s="631"/>
      <c r="N9" s="859"/>
    </row>
    <row r="10" spans="2:14">
      <c r="B10" s="1095"/>
      <c r="C10" s="676" t="s">
        <v>231</v>
      </c>
      <c r="D10" s="750">
        <v>8.9999999999999998E-4</v>
      </c>
      <c r="E10" s="852">
        <v>7.7999999999999996E-3</v>
      </c>
      <c r="F10" s="750">
        <v>8.0999999999999996E-3</v>
      </c>
      <c r="G10" s="750">
        <v>6.4999999999999997E-3</v>
      </c>
      <c r="H10" s="753">
        <v>7.7999999999999996E-3</v>
      </c>
      <c r="I10" s="753"/>
      <c r="J10" s="753">
        <v>1.04E-2</v>
      </c>
      <c r="K10" s="640"/>
      <c r="L10" s="631"/>
      <c r="M10" s="631"/>
      <c r="N10" s="859"/>
    </row>
    <row r="11" spans="2:14">
      <c r="B11" s="1096"/>
      <c r="C11" s="637" t="s">
        <v>62</v>
      </c>
      <c r="D11" s="750">
        <v>5.7999999999999996E-3</v>
      </c>
      <c r="E11" s="852">
        <v>1.0800000000000001E-2</v>
      </c>
      <c r="F11" s="750">
        <v>1.11E-2</v>
      </c>
      <c r="G11" s="750">
        <v>1.0500000000000001E-2</v>
      </c>
      <c r="H11" s="753">
        <v>1.1299999999999999E-2</v>
      </c>
      <c r="I11" s="753"/>
      <c r="J11" s="753">
        <v>1.3899999999999999E-2</v>
      </c>
      <c r="K11" s="640"/>
      <c r="L11" s="631"/>
      <c r="M11" s="631"/>
      <c r="N11" s="860"/>
    </row>
    <row r="12" spans="2:14">
      <c r="B12" s="1100" t="s">
        <v>23</v>
      </c>
      <c r="C12" s="677" t="s">
        <v>95</v>
      </c>
      <c r="D12" s="632"/>
      <c r="E12" s="632"/>
      <c r="F12" s="632"/>
      <c r="G12" s="632"/>
      <c r="H12" s="632"/>
      <c r="I12" s="633"/>
      <c r="J12" s="632"/>
      <c r="K12" s="633"/>
      <c r="L12" s="638"/>
      <c r="M12" s="638"/>
      <c r="N12" s="873"/>
    </row>
    <row r="13" spans="2:14">
      <c r="B13" s="1101"/>
      <c r="C13" s="677" t="s">
        <v>93</v>
      </c>
      <c r="D13" s="632"/>
      <c r="E13" s="632"/>
      <c r="F13" s="632"/>
      <c r="G13" s="632"/>
      <c r="H13" s="632"/>
      <c r="I13" s="633"/>
      <c r="J13" s="632"/>
      <c r="K13" s="633"/>
      <c r="L13" s="638"/>
      <c r="M13" s="638"/>
      <c r="N13" s="874"/>
    </row>
    <row r="14" spans="2:14">
      <c r="B14" s="1101"/>
      <c r="C14" s="677" t="s">
        <v>268</v>
      </c>
      <c r="D14" s="632"/>
      <c r="E14" s="632"/>
      <c r="F14" s="632"/>
      <c r="G14" s="632"/>
      <c r="H14" s="632"/>
      <c r="I14" s="633"/>
      <c r="J14" s="632"/>
      <c r="K14" s="633"/>
      <c r="L14" s="638"/>
      <c r="M14" s="638"/>
      <c r="N14" s="874"/>
    </row>
    <row r="15" spans="2:14">
      <c r="B15" s="1101"/>
      <c r="C15" s="677" t="s">
        <v>267</v>
      </c>
      <c r="D15" s="632"/>
      <c r="E15" s="632"/>
      <c r="F15" s="632"/>
      <c r="G15" s="632"/>
      <c r="H15" s="632"/>
      <c r="I15" s="633"/>
      <c r="J15" s="632"/>
      <c r="K15" s="633"/>
      <c r="L15" s="638"/>
      <c r="M15" s="638"/>
      <c r="N15" s="874"/>
    </row>
    <row r="16" spans="2:14">
      <c r="B16" s="1101"/>
      <c r="C16" s="677" t="s">
        <v>266</v>
      </c>
      <c r="D16" s="632"/>
      <c r="E16" s="632"/>
      <c r="F16" s="632"/>
      <c r="G16" s="632"/>
      <c r="H16" s="632"/>
      <c r="I16" s="633"/>
      <c r="J16" s="632"/>
      <c r="K16" s="633"/>
      <c r="L16" s="638"/>
      <c r="M16" s="638"/>
      <c r="N16" s="874"/>
    </row>
    <row r="17" spans="2:14">
      <c r="B17" s="1101"/>
      <c r="C17" s="677" t="s">
        <v>265</v>
      </c>
      <c r="D17" s="632"/>
      <c r="E17" s="632"/>
      <c r="F17" s="632"/>
      <c r="G17" s="632"/>
      <c r="H17" s="632"/>
      <c r="I17" s="633"/>
      <c r="J17" s="632"/>
      <c r="K17" s="633"/>
      <c r="L17" s="638"/>
      <c r="M17" s="638"/>
      <c r="N17" s="874"/>
    </row>
    <row r="18" spans="2:14">
      <c r="B18" s="1102"/>
      <c r="C18" s="638" t="s">
        <v>264</v>
      </c>
      <c r="D18" s="632"/>
      <c r="E18" s="632"/>
      <c r="F18" s="632"/>
      <c r="G18" s="632"/>
      <c r="H18" s="632"/>
      <c r="I18" s="633"/>
      <c r="J18" s="632"/>
      <c r="K18" s="633"/>
      <c r="L18" s="638"/>
      <c r="M18" s="638"/>
      <c r="N18" s="875"/>
    </row>
    <row r="19" spans="2:14" ht="15.6">
      <c r="B19" s="1106" t="s">
        <v>35</v>
      </c>
      <c r="C19" s="678" t="s">
        <v>280</v>
      </c>
      <c r="D19" s="634"/>
      <c r="E19" s="635"/>
      <c r="F19" s="635"/>
      <c r="G19" s="635"/>
      <c r="H19" s="635"/>
      <c r="I19" s="635"/>
      <c r="J19" s="635"/>
      <c r="K19" s="630"/>
      <c r="L19" s="630"/>
      <c r="M19" s="630"/>
      <c r="N19" s="678"/>
    </row>
    <row r="20" spans="2:14" ht="15.6">
      <c r="B20" s="1107"/>
      <c r="C20" s="678" t="s">
        <v>279</v>
      </c>
      <c r="D20" s="634"/>
      <c r="E20" s="635"/>
      <c r="F20" s="635"/>
      <c r="G20" s="635"/>
      <c r="H20" s="635"/>
      <c r="I20" s="635"/>
      <c r="J20" s="635"/>
      <c r="K20" s="630"/>
      <c r="L20" s="630"/>
      <c r="M20" s="630"/>
      <c r="N20" s="678"/>
    </row>
    <row r="21" spans="2:14" ht="15.6">
      <c r="B21" s="1108"/>
      <c r="C21" s="631" t="s">
        <v>66</v>
      </c>
      <c r="D21" s="634"/>
      <c r="E21" s="635"/>
      <c r="F21" s="635"/>
      <c r="G21" s="635"/>
      <c r="H21" s="635"/>
      <c r="I21" s="635"/>
      <c r="J21" s="635"/>
      <c r="K21" s="630"/>
      <c r="L21" s="630"/>
      <c r="M21" s="630"/>
      <c r="N21" s="631"/>
    </row>
    <row r="22" spans="2:14">
      <c r="B22" s="1090" t="s">
        <v>46</v>
      </c>
      <c r="C22" s="639" t="s">
        <v>232</v>
      </c>
      <c r="D22" s="794">
        <v>7.3699999999999998E-3</v>
      </c>
      <c r="E22" s="794">
        <v>7.6400000000000001E-3</v>
      </c>
      <c r="F22" s="794">
        <v>8.0599999999999995E-3</v>
      </c>
      <c r="G22" s="794">
        <v>8.43E-3</v>
      </c>
      <c r="H22" s="794">
        <v>1.065E-2</v>
      </c>
      <c r="I22" s="794"/>
      <c r="J22" s="794">
        <v>1.4080000000000001E-2</v>
      </c>
      <c r="K22" s="636"/>
      <c r="L22" s="636"/>
      <c r="M22" s="636"/>
      <c r="N22" s="867"/>
    </row>
    <row r="23" spans="2:14">
      <c r="B23" s="1109"/>
      <c r="C23" s="639" t="s">
        <v>618</v>
      </c>
      <c r="D23" s="794">
        <v>8.3700000000000007E-3</v>
      </c>
      <c r="E23" s="794">
        <v>8.6400000000000001E-3</v>
      </c>
      <c r="F23" s="794">
        <v>9.0600000000000003E-3</v>
      </c>
      <c r="G23" s="794">
        <v>9.4299999999999991E-3</v>
      </c>
      <c r="H23" s="794">
        <v>1.1650000000000001E-2</v>
      </c>
      <c r="I23" s="794"/>
      <c r="J23" s="794">
        <v>1.508E-2</v>
      </c>
      <c r="K23" s="636"/>
      <c r="L23" s="636"/>
      <c r="M23" s="636"/>
      <c r="N23" s="868"/>
    </row>
    <row r="24" spans="2:14">
      <c r="B24" s="1109"/>
      <c r="C24" s="639" t="s">
        <v>619</v>
      </c>
      <c r="D24" s="794">
        <v>9.3699999999999999E-3</v>
      </c>
      <c r="E24" s="794">
        <v>9.6399999999999993E-3</v>
      </c>
      <c r="F24" s="794">
        <v>1.0059999999999999E-2</v>
      </c>
      <c r="G24" s="794">
        <v>1.043E-2</v>
      </c>
      <c r="H24" s="794">
        <v>1.265E-2</v>
      </c>
      <c r="I24" s="794"/>
      <c r="J24" s="794">
        <v>1.6080000000000001E-2</v>
      </c>
      <c r="K24" s="636"/>
      <c r="L24" s="636"/>
      <c r="M24" s="636"/>
      <c r="N24" s="868"/>
    </row>
    <row r="25" spans="2:14">
      <c r="B25" s="1091"/>
      <c r="C25" s="639" t="s">
        <v>620</v>
      </c>
      <c r="D25" s="794">
        <v>9.8700000000000003E-3</v>
      </c>
      <c r="E25" s="794">
        <v>1.014E-2</v>
      </c>
      <c r="F25" s="794">
        <v>1.056E-2</v>
      </c>
      <c r="G25" s="794">
        <v>1.093E-2</v>
      </c>
      <c r="H25" s="794">
        <v>1.315E-2</v>
      </c>
      <c r="I25" s="794"/>
      <c r="J25" s="794">
        <v>1.6580000000000001E-2</v>
      </c>
      <c r="K25" s="636"/>
      <c r="L25" s="636"/>
      <c r="M25" s="636"/>
      <c r="N25" s="869"/>
    </row>
    <row r="26" spans="2:14">
      <c r="B26" s="1094" t="s">
        <v>20</v>
      </c>
      <c r="C26" s="637" t="s">
        <v>621</v>
      </c>
      <c r="D26" s="629" t="s">
        <v>615</v>
      </c>
      <c r="E26" s="753">
        <v>1.6899999999999998E-2</v>
      </c>
      <c r="F26" s="40"/>
      <c r="G26" s="752">
        <v>1.84E-2</v>
      </c>
      <c r="H26" s="752">
        <v>1.89E-2</v>
      </c>
      <c r="I26" s="637"/>
      <c r="J26" s="750">
        <v>2.06E-2</v>
      </c>
      <c r="K26" s="640"/>
      <c r="L26" s="641"/>
      <c r="M26" s="642"/>
      <c r="N26" s="858"/>
    </row>
    <row r="27" spans="2:14">
      <c r="B27" s="1095"/>
      <c r="C27" s="637" t="s">
        <v>622</v>
      </c>
      <c r="D27" s="629" t="s">
        <v>615</v>
      </c>
      <c r="E27" s="753">
        <v>1.8200000000000001E-2</v>
      </c>
      <c r="F27" s="40"/>
      <c r="G27" s="752">
        <v>1.9699999999999999E-2</v>
      </c>
      <c r="H27" s="752">
        <v>2.0199999999999999E-2</v>
      </c>
      <c r="I27" s="637"/>
      <c r="J27" s="750">
        <v>2.1899999999999999E-2</v>
      </c>
      <c r="K27" s="640"/>
      <c r="L27" s="641"/>
      <c r="M27" s="642"/>
      <c r="N27" s="859"/>
    </row>
    <row r="28" spans="2:14">
      <c r="B28" s="1095"/>
      <c r="C28" s="637" t="s">
        <v>623</v>
      </c>
      <c r="D28" s="629" t="s">
        <v>615</v>
      </c>
      <c r="E28" s="753">
        <v>1.9400000000000001E-2</v>
      </c>
      <c r="F28" s="40"/>
      <c r="G28" s="752">
        <v>2.0899999999999998E-2</v>
      </c>
      <c r="H28" s="752">
        <v>2.1399999999999999E-2</v>
      </c>
      <c r="I28" s="637"/>
      <c r="J28" s="750">
        <v>2.3099999999999999E-2</v>
      </c>
      <c r="K28" s="640"/>
      <c r="L28" s="641"/>
      <c r="M28" s="642"/>
      <c r="N28" s="859"/>
    </row>
    <row r="29" spans="2:14">
      <c r="B29" s="1096"/>
      <c r="C29" s="637" t="s">
        <v>624</v>
      </c>
      <c r="D29" s="629" t="s">
        <v>615</v>
      </c>
      <c r="E29" s="753">
        <v>2.0299999999999999E-2</v>
      </c>
      <c r="F29" s="40"/>
      <c r="G29" s="752">
        <v>2.18E-2</v>
      </c>
      <c r="H29" s="752">
        <v>2.23E-2</v>
      </c>
      <c r="I29" s="637"/>
      <c r="J29" s="750">
        <v>2.4E-2</v>
      </c>
      <c r="K29" s="640"/>
      <c r="L29" s="641"/>
      <c r="M29" s="642"/>
      <c r="N29" s="860"/>
    </row>
    <row r="30" spans="2:14" ht="15.6">
      <c r="B30" s="127" t="s">
        <v>44</v>
      </c>
      <c r="C30" s="636" t="s">
        <v>278</v>
      </c>
      <c r="D30" s="602"/>
      <c r="E30" s="598"/>
      <c r="F30" s="598"/>
      <c r="G30" s="598"/>
      <c r="H30" s="598"/>
      <c r="I30" s="598"/>
      <c r="J30" s="598"/>
      <c r="K30" s="598"/>
      <c r="L30" s="598"/>
      <c r="M30" s="636"/>
      <c r="N30" s="636"/>
    </row>
    <row r="31" spans="2:14">
      <c r="B31" s="1094" t="s">
        <v>277</v>
      </c>
      <c r="C31" s="678" t="s">
        <v>610</v>
      </c>
      <c r="D31" s="40" t="s">
        <v>615</v>
      </c>
      <c r="E31" s="40">
        <v>1.0999999999999999E-2</v>
      </c>
      <c r="F31" s="40" t="s">
        <v>615</v>
      </c>
      <c r="G31" s="40">
        <v>0.01</v>
      </c>
      <c r="H31" s="40">
        <v>8.9999999999999993E-3</v>
      </c>
      <c r="I31" s="40"/>
      <c r="J31" s="40"/>
      <c r="K31" s="40"/>
      <c r="L31" s="40"/>
      <c r="M31" s="40"/>
      <c r="N31" s="879"/>
    </row>
    <row r="32" spans="2:14">
      <c r="B32" s="1095"/>
      <c r="C32" s="678" t="s">
        <v>611</v>
      </c>
      <c r="D32" s="40" t="s">
        <v>615</v>
      </c>
      <c r="E32" s="40">
        <v>1.2E-2</v>
      </c>
      <c r="F32" s="40" t="s">
        <v>615</v>
      </c>
      <c r="G32" s="40">
        <v>1.0999999999999999E-2</v>
      </c>
      <c r="H32" s="40">
        <v>0.01</v>
      </c>
      <c r="I32" s="40"/>
      <c r="J32" s="40"/>
      <c r="K32" s="40"/>
      <c r="L32" s="40"/>
      <c r="M32" s="40"/>
      <c r="N32" s="880"/>
    </row>
    <row r="33" spans="2:14">
      <c r="B33" s="1095"/>
      <c r="C33" s="678" t="s">
        <v>609</v>
      </c>
      <c r="D33" s="40" t="s">
        <v>615</v>
      </c>
      <c r="E33" s="40">
        <v>1.2999999999999999E-2</v>
      </c>
      <c r="F33" s="40" t="s">
        <v>615</v>
      </c>
      <c r="G33" s="40">
        <v>1.2E-2</v>
      </c>
      <c r="H33" s="40">
        <v>1.0999999999999999E-2</v>
      </c>
      <c r="I33" s="40"/>
      <c r="J33" s="40"/>
      <c r="K33" s="40"/>
      <c r="L33" s="40"/>
      <c r="M33" s="40"/>
      <c r="N33" s="880"/>
    </row>
    <row r="34" spans="2:14" ht="27.6">
      <c r="B34" s="1095"/>
      <c r="C34" s="678" t="s">
        <v>612</v>
      </c>
      <c r="D34" s="40" t="s">
        <v>615</v>
      </c>
      <c r="E34" s="40">
        <v>1.4999999999999999E-2</v>
      </c>
      <c r="F34" s="40" t="s">
        <v>615</v>
      </c>
      <c r="G34" s="40">
        <v>1.4E-2</v>
      </c>
      <c r="H34" s="40">
        <v>1.2999999999999999E-2</v>
      </c>
      <c r="I34" s="40"/>
      <c r="J34" s="40"/>
      <c r="K34" s="40"/>
      <c r="L34" s="40"/>
      <c r="M34" s="40"/>
      <c r="N34" s="880"/>
    </row>
    <row r="35" spans="2:14">
      <c r="B35" s="1095"/>
      <c r="C35" s="678" t="s">
        <v>613</v>
      </c>
      <c r="D35" s="40" t="s">
        <v>615</v>
      </c>
      <c r="E35" s="40">
        <v>1.7000000000000001E-2</v>
      </c>
      <c r="F35" s="40" t="s">
        <v>615</v>
      </c>
      <c r="G35" s="40">
        <v>1.6E-2</v>
      </c>
      <c r="H35" s="40">
        <v>1.2999999999999999E-2</v>
      </c>
      <c r="I35" s="40"/>
      <c r="J35" s="40"/>
      <c r="K35" s="40"/>
      <c r="L35" s="40"/>
      <c r="M35" s="40"/>
      <c r="N35" s="880"/>
    </row>
    <row r="36" spans="2:14">
      <c r="B36" s="1100" t="s">
        <v>48</v>
      </c>
      <c r="C36" s="638" t="s">
        <v>71</v>
      </c>
      <c r="D36" s="602"/>
      <c r="E36" s="632"/>
      <c r="F36" s="632"/>
      <c r="G36" s="632"/>
      <c r="H36" s="632"/>
      <c r="I36" s="632"/>
      <c r="J36" s="632"/>
      <c r="K36" s="638"/>
      <c r="L36" s="632"/>
      <c r="M36" s="643"/>
      <c r="N36" s="881"/>
    </row>
    <row r="37" spans="2:14">
      <c r="B37" s="1102"/>
      <c r="C37" s="638" t="s">
        <v>74</v>
      </c>
      <c r="D37" s="602"/>
      <c r="E37" s="638"/>
      <c r="F37" s="638"/>
      <c r="G37" s="638"/>
      <c r="H37" s="638"/>
      <c r="I37" s="638"/>
      <c r="J37" s="638"/>
      <c r="K37" s="638"/>
      <c r="L37" s="638"/>
      <c r="M37" s="644"/>
      <c r="N37" s="882"/>
    </row>
    <row r="38" spans="2:14" ht="15.6">
      <c r="B38" s="1094" t="s">
        <v>33</v>
      </c>
      <c r="C38" s="676" t="s">
        <v>274</v>
      </c>
      <c r="D38" s="629"/>
      <c r="E38" s="752">
        <v>2.0999999999999999E-3</v>
      </c>
      <c r="F38" s="753"/>
      <c r="G38" s="752">
        <v>1.9E-3</v>
      </c>
      <c r="H38" s="752">
        <v>1.1999999999999999E-3</v>
      </c>
      <c r="I38" s="752"/>
      <c r="J38" s="752">
        <v>5.1999999999999998E-3</v>
      </c>
      <c r="K38" s="637"/>
      <c r="L38" s="645"/>
      <c r="M38" s="646"/>
      <c r="N38" s="883"/>
    </row>
    <row r="39" spans="2:14" ht="15.6">
      <c r="B39" s="1095"/>
      <c r="C39" s="676" t="s">
        <v>269</v>
      </c>
      <c r="D39" s="629"/>
      <c r="E39" s="752">
        <v>2.5999999999999999E-3</v>
      </c>
      <c r="F39" s="753"/>
      <c r="G39" s="752">
        <v>2.8999999999999998E-3</v>
      </c>
      <c r="H39" s="752">
        <v>2.2000000000000001E-3</v>
      </c>
      <c r="I39" s="752"/>
      <c r="J39" s="752">
        <v>5.7000000000000002E-3</v>
      </c>
      <c r="K39" s="637"/>
      <c r="L39" s="645"/>
      <c r="M39" s="646"/>
      <c r="N39" s="884"/>
    </row>
    <row r="40" spans="2:14" ht="15.6">
      <c r="B40" s="1095"/>
      <c r="C40" s="676" t="s">
        <v>273</v>
      </c>
      <c r="D40" s="629"/>
      <c r="E40" s="752">
        <v>4.5999999999999999E-3</v>
      </c>
      <c r="F40" s="753"/>
      <c r="G40" s="752">
        <v>4.8999999999999998E-3</v>
      </c>
      <c r="H40" s="752">
        <v>4.1999999999999997E-3</v>
      </c>
      <c r="I40" s="752"/>
      <c r="J40" s="752">
        <v>6.7000000000000002E-3</v>
      </c>
      <c r="K40" s="637"/>
      <c r="L40" s="645"/>
      <c r="M40" s="646"/>
      <c r="N40" s="884"/>
    </row>
    <row r="41" spans="2:14" ht="15.6">
      <c r="B41" s="1095"/>
      <c r="C41" s="676" t="s">
        <v>272</v>
      </c>
      <c r="D41" s="629"/>
      <c r="E41" s="752">
        <v>6.6E-3</v>
      </c>
      <c r="F41" s="753"/>
      <c r="G41" s="752">
        <v>6.4000000000000003E-3</v>
      </c>
      <c r="H41" s="752">
        <v>5.7000000000000002E-3</v>
      </c>
      <c r="I41" s="752"/>
      <c r="J41" s="752">
        <v>8.2000000000000007E-3</v>
      </c>
      <c r="K41" s="637"/>
      <c r="L41" s="645"/>
      <c r="M41" s="646"/>
      <c r="N41" s="884"/>
    </row>
    <row r="42" spans="2:14" ht="15.6">
      <c r="B42" s="1095"/>
      <c r="C42" s="637" t="s">
        <v>61</v>
      </c>
      <c r="D42" s="629"/>
      <c r="E42" s="752">
        <v>6.6E-3</v>
      </c>
      <c r="F42" s="753"/>
      <c r="G42" s="752">
        <v>6.4000000000000003E-3</v>
      </c>
      <c r="H42" s="752">
        <v>5.7000000000000002E-3</v>
      </c>
      <c r="I42" s="752"/>
      <c r="J42" s="752">
        <v>8.2000000000000007E-3</v>
      </c>
      <c r="K42" s="637"/>
      <c r="L42" s="645"/>
      <c r="M42" s="646"/>
      <c r="N42" s="884"/>
    </row>
    <row r="43" spans="2:14">
      <c r="B43" s="1096"/>
      <c r="C43" s="637" t="s">
        <v>216</v>
      </c>
      <c r="D43" s="629"/>
      <c r="E43" s="752">
        <v>6.6E-3</v>
      </c>
      <c r="F43" s="753"/>
      <c r="G43" s="752">
        <v>6.4000000000000003E-3</v>
      </c>
      <c r="H43" s="752">
        <v>5.7000000000000002E-3</v>
      </c>
      <c r="I43" s="752"/>
      <c r="J43" s="752">
        <v>8.2000000000000007E-3</v>
      </c>
      <c r="K43" s="637"/>
      <c r="L43" s="637"/>
      <c r="M43" s="646"/>
      <c r="N43" s="885"/>
    </row>
    <row r="44" spans="2:14" ht="14.1" customHeight="1">
      <c r="B44" s="766" t="s">
        <v>12</v>
      </c>
      <c r="C44" s="636" t="s">
        <v>626</v>
      </c>
      <c r="D44" s="602">
        <v>1.4200000000000001E-2</v>
      </c>
      <c r="E44" s="598">
        <v>1.67E-2</v>
      </c>
      <c r="F44" s="598">
        <v>1.6899999999999998E-2</v>
      </c>
      <c r="G44" s="598">
        <v>1.72E-2</v>
      </c>
      <c r="H44" s="598">
        <v>1.77E-2</v>
      </c>
      <c r="I44" s="598"/>
      <c r="J44" s="598">
        <v>1.9699999999999999E-2</v>
      </c>
      <c r="K44" s="598"/>
      <c r="L44" s="598"/>
      <c r="M44" s="601"/>
      <c r="N44" s="679"/>
    </row>
    <row r="45" spans="2:14">
      <c r="B45" s="1094" t="s">
        <v>42</v>
      </c>
      <c r="C45" s="637" t="s">
        <v>627</v>
      </c>
      <c r="D45" s="629">
        <v>0</v>
      </c>
      <c r="E45" s="637">
        <v>1.55E-2</v>
      </c>
      <c r="F45" s="637">
        <v>1.55E-2</v>
      </c>
      <c r="G45" s="40">
        <v>1.55E-2</v>
      </c>
      <c r="H45" s="637">
        <v>1.4999999999999999E-2</v>
      </c>
      <c r="I45" s="637">
        <v>1.4500000000000001E-2</v>
      </c>
      <c r="J45" s="637">
        <v>1.4500000000000001E-2</v>
      </c>
      <c r="K45" s="637"/>
      <c r="L45" s="637"/>
      <c r="M45" s="647"/>
      <c r="N45" s="858"/>
    </row>
    <row r="46" spans="2:14">
      <c r="B46" s="1095"/>
      <c r="C46" s="637" t="s">
        <v>628</v>
      </c>
      <c r="D46" s="629">
        <v>0</v>
      </c>
      <c r="E46" s="637">
        <v>1.5699999999999999E-2</v>
      </c>
      <c r="F46" s="637">
        <v>1.5699999999999999E-2</v>
      </c>
      <c r="G46" s="40">
        <v>1.5699999999999999E-2</v>
      </c>
      <c r="H46" s="637">
        <v>1.52E-2</v>
      </c>
      <c r="I46" s="637">
        <v>1.47E-2</v>
      </c>
      <c r="J46" s="637">
        <v>1.47E-2</v>
      </c>
      <c r="K46" s="637"/>
      <c r="L46" s="637"/>
      <c r="M46" s="647"/>
      <c r="N46" s="859"/>
    </row>
    <row r="47" spans="2:14">
      <c r="B47" s="1095"/>
      <c r="C47" s="637" t="s">
        <v>629</v>
      </c>
      <c r="D47" s="629">
        <v>0</v>
      </c>
      <c r="E47" s="637">
        <v>1.5800000000000002E-2</v>
      </c>
      <c r="F47" s="637">
        <v>1.5800000000000002E-2</v>
      </c>
      <c r="G47" s="40">
        <v>1.5800000000000002E-2</v>
      </c>
      <c r="H47" s="637">
        <v>1.5299999999999999E-2</v>
      </c>
      <c r="I47" s="637">
        <v>1.4800000000000001E-2</v>
      </c>
      <c r="J47" s="637">
        <v>1.4800000000000001E-2</v>
      </c>
      <c r="K47" s="637"/>
      <c r="L47" s="637"/>
      <c r="M47" s="647"/>
      <c r="N47" s="859"/>
    </row>
    <row r="48" spans="2:14">
      <c r="B48" s="1096"/>
      <c r="C48" s="637" t="s">
        <v>630</v>
      </c>
      <c r="D48" s="629">
        <v>0</v>
      </c>
      <c r="E48" s="637">
        <v>1.6E-2</v>
      </c>
      <c r="F48" s="637">
        <v>1.6E-2</v>
      </c>
      <c r="G48" s="40">
        <v>1.6E-2</v>
      </c>
      <c r="H48" s="637">
        <v>1.55E-2</v>
      </c>
      <c r="I48" s="637">
        <v>1.4999999999999999E-2</v>
      </c>
      <c r="J48" s="637">
        <v>1.4999999999999999E-2</v>
      </c>
      <c r="K48" s="637"/>
      <c r="L48" s="637"/>
      <c r="M48" s="647"/>
      <c r="N48" s="860"/>
    </row>
    <row r="49" spans="2:14" ht="14.1" customHeight="1">
      <c r="B49" s="1090" t="s">
        <v>37</v>
      </c>
      <c r="C49" s="639" t="s">
        <v>631</v>
      </c>
      <c r="D49" s="602" t="s">
        <v>572</v>
      </c>
      <c r="E49" s="636">
        <v>1.2500000000000001E-2</v>
      </c>
      <c r="F49" s="636">
        <v>1.2999999999999999E-2</v>
      </c>
      <c r="G49" s="636">
        <v>1.35E-2</v>
      </c>
      <c r="H49" s="794">
        <v>1.4500000000000001E-2</v>
      </c>
      <c r="I49" s="639"/>
      <c r="J49" s="639"/>
      <c r="K49" s="639"/>
      <c r="L49" s="636"/>
      <c r="M49" s="558"/>
      <c r="N49" s="867"/>
    </row>
    <row r="50" spans="2:14" ht="15.6" customHeight="1">
      <c r="B50" s="1109"/>
      <c r="C50" s="639" t="s">
        <v>632</v>
      </c>
      <c r="D50" s="602" t="s">
        <v>572</v>
      </c>
      <c r="E50" s="636">
        <v>1.35E-2</v>
      </c>
      <c r="F50" s="636">
        <v>1.4E-2</v>
      </c>
      <c r="G50" s="636">
        <v>1.4500000000000001E-2</v>
      </c>
      <c r="H50" s="794">
        <v>1.55E-2</v>
      </c>
      <c r="I50" s="639"/>
      <c r="J50" s="639"/>
      <c r="K50" s="639"/>
      <c r="L50" s="636"/>
      <c r="M50" s="558"/>
      <c r="N50" s="868"/>
    </row>
    <row r="51" spans="2:14" ht="15.6">
      <c r="B51" s="1091"/>
      <c r="C51" s="639" t="s">
        <v>633</v>
      </c>
      <c r="D51" s="602" t="s">
        <v>572</v>
      </c>
      <c r="E51" s="636">
        <v>1.4500000000000001E-2</v>
      </c>
      <c r="F51" s="636">
        <v>1.4999999999999999E-2</v>
      </c>
      <c r="G51" s="636">
        <v>1.55E-2</v>
      </c>
      <c r="H51" s="794">
        <v>1.6500000000000001E-2</v>
      </c>
      <c r="I51" s="639"/>
      <c r="J51" s="639"/>
      <c r="K51" s="639"/>
      <c r="L51" s="636"/>
      <c r="M51" s="558"/>
      <c r="N51" s="869"/>
    </row>
    <row r="52" spans="2:14">
      <c r="B52" s="1094" t="s">
        <v>31</v>
      </c>
      <c r="C52" s="637" t="s">
        <v>71</v>
      </c>
      <c r="D52" s="629"/>
      <c r="E52" s="637"/>
      <c r="F52" s="637"/>
      <c r="G52" s="637"/>
      <c r="H52" s="637"/>
      <c r="I52" s="637"/>
      <c r="J52" s="637"/>
      <c r="K52" s="637"/>
      <c r="L52" s="637"/>
      <c r="M52" s="646"/>
      <c r="N52" s="858"/>
    </row>
    <row r="53" spans="2:14">
      <c r="B53" s="1096"/>
      <c r="C53" s="637" t="s">
        <v>74</v>
      </c>
      <c r="D53" s="629"/>
      <c r="E53" s="637"/>
      <c r="F53" s="637"/>
      <c r="G53" s="637"/>
      <c r="H53" s="637"/>
      <c r="I53" s="637"/>
      <c r="J53" s="637"/>
      <c r="K53" s="637"/>
      <c r="L53" s="637"/>
      <c r="M53" s="637"/>
      <c r="N53" s="859"/>
    </row>
    <row r="54" spans="2:14" ht="15.6">
      <c r="B54" s="762" t="s">
        <v>29</v>
      </c>
      <c r="C54" s="637" t="s">
        <v>634</v>
      </c>
      <c r="D54" s="629" t="s">
        <v>615</v>
      </c>
      <c r="E54" s="752">
        <v>1.5900000000000001E-2</v>
      </c>
      <c r="F54" s="752" t="s">
        <v>615</v>
      </c>
      <c r="G54" s="752">
        <v>1.6830000000000001E-2</v>
      </c>
      <c r="H54" s="752">
        <v>1.7600000000000001E-2</v>
      </c>
      <c r="I54" s="752"/>
      <c r="J54" s="752">
        <v>1.9640000000000001E-2</v>
      </c>
      <c r="K54" s="637"/>
      <c r="L54" s="637"/>
      <c r="M54" s="646"/>
      <c r="N54" s="860"/>
    </row>
    <row r="55" spans="2:14" ht="15.6">
      <c r="B55" s="1090" t="s">
        <v>39</v>
      </c>
      <c r="C55" s="638" t="s">
        <v>71</v>
      </c>
      <c r="D55" s="602" t="s">
        <v>652</v>
      </c>
      <c r="E55" s="794">
        <v>4.8999999999999998E-3</v>
      </c>
      <c r="F55" s="794">
        <v>5.4999999999999997E-3</v>
      </c>
      <c r="G55" s="794">
        <v>5.4000000000000003E-3</v>
      </c>
      <c r="H55" s="794">
        <v>7.7000000000000002E-3</v>
      </c>
      <c r="I55" s="794"/>
      <c r="J55" s="794">
        <v>8.2000000000000007E-3</v>
      </c>
      <c r="K55" s="660"/>
      <c r="L55" s="615"/>
      <c r="M55" s="558"/>
      <c r="N55" s="867"/>
    </row>
    <row r="56" spans="2:14" ht="15.6">
      <c r="B56" s="1109"/>
      <c r="C56" s="639" t="s">
        <v>269</v>
      </c>
      <c r="D56" s="602" t="s">
        <v>652</v>
      </c>
      <c r="E56" s="794">
        <v>5.8999999999999999E-3</v>
      </c>
      <c r="F56" s="794">
        <v>6.4999999999999997E-3</v>
      </c>
      <c r="G56" s="794">
        <v>5.8999999999999999E-3</v>
      </c>
      <c r="H56" s="794">
        <v>7.7000000000000002E-3</v>
      </c>
      <c r="I56" s="751"/>
      <c r="J56" s="794">
        <v>8.2000000000000007E-3</v>
      </c>
      <c r="K56" s="615"/>
      <c r="L56" s="615"/>
      <c r="M56" s="636"/>
      <c r="N56" s="868"/>
    </row>
    <row r="57" spans="2:14" ht="15.6">
      <c r="B57" s="1109"/>
      <c r="C57" s="639" t="s">
        <v>231</v>
      </c>
      <c r="D57" s="602" t="s">
        <v>652</v>
      </c>
      <c r="E57" s="794">
        <v>8.2000000000000007E-3</v>
      </c>
      <c r="F57" s="794">
        <v>8.8000000000000005E-3</v>
      </c>
      <c r="G57" s="794">
        <v>6.8999999999999999E-3</v>
      </c>
      <c r="H57" s="794">
        <v>8.6999999999999994E-3</v>
      </c>
      <c r="I57" s="751"/>
      <c r="J57" s="794">
        <v>8.6999999999999994E-3</v>
      </c>
      <c r="K57" s="615"/>
      <c r="L57" s="615"/>
      <c r="M57" s="636"/>
      <c r="N57" s="868"/>
    </row>
    <row r="58" spans="2:14" ht="15.6">
      <c r="B58" s="1109"/>
      <c r="C58" s="639" t="s">
        <v>62</v>
      </c>
      <c r="D58" s="602" t="s">
        <v>652</v>
      </c>
      <c r="E58" s="794">
        <v>1.09E-2</v>
      </c>
      <c r="F58" s="794">
        <v>1.15E-2</v>
      </c>
      <c r="G58" s="794">
        <v>1.1900000000000001E-2</v>
      </c>
      <c r="H58" s="794">
        <v>8.6999999999999994E-3</v>
      </c>
      <c r="I58" s="751"/>
      <c r="J58" s="794">
        <v>9.1999999999999998E-3</v>
      </c>
      <c r="K58" s="615"/>
      <c r="L58" s="615"/>
      <c r="M58" s="636"/>
      <c r="N58" s="868"/>
    </row>
    <row r="59" spans="2:14" ht="15.6">
      <c r="B59" s="1091"/>
      <c r="C59" s="639" t="s">
        <v>276</v>
      </c>
      <c r="D59" s="602" t="s">
        <v>652</v>
      </c>
      <c r="E59" s="794">
        <v>1.09E-2</v>
      </c>
      <c r="F59" s="794">
        <v>1.15E-2</v>
      </c>
      <c r="G59" s="794">
        <v>1.1900000000000001E-2</v>
      </c>
      <c r="H59" s="794">
        <v>8.6999999999999994E-3</v>
      </c>
      <c r="I59" s="751"/>
      <c r="J59" s="794">
        <v>9.7000000000000003E-3</v>
      </c>
      <c r="K59" s="615"/>
      <c r="L59" s="615"/>
      <c r="M59" s="636"/>
      <c r="N59" s="869"/>
    </row>
    <row r="60" spans="2:14">
      <c r="D60" s="15"/>
      <c r="E60" s="15"/>
      <c r="F60" s="15"/>
      <c r="G60" s="15"/>
      <c r="H60" s="15"/>
      <c r="I60" s="15"/>
      <c r="J60" s="15"/>
      <c r="K60" s="15"/>
      <c r="L60" s="15"/>
      <c r="M60" s="15"/>
    </row>
    <row r="61" spans="2:14">
      <c r="D61" s="15"/>
      <c r="E61" s="15"/>
      <c r="F61" s="15"/>
      <c r="G61" s="15"/>
      <c r="H61" s="15"/>
      <c r="I61" s="15"/>
      <c r="J61" s="15"/>
      <c r="K61" s="15"/>
      <c r="L61" s="15"/>
      <c r="M61" s="15"/>
    </row>
    <row r="62" spans="2:14">
      <c r="D62" s="15"/>
      <c r="E62" s="15"/>
      <c r="F62" s="15"/>
      <c r="G62" s="15"/>
      <c r="H62" s="15"/>
      <c r="I62" s="15"/>
      <c r="J62" s="15"/>
      <c r="K62" s="15"/>
      <c r="L62" s="15"/>
      <c r="M62" s="15"/>
    </row>
    <row r="63" spans="2:14">
      <c r="D63" s="15"/>
      <c r="E63" s="15"/>
      <c r="F63" s="15"/>
      <c r="G63" s="15"/>
      <c r="H63" s="15"/>
      <c r="I63" s="15"/>
      <c r="J63" s="15"/>
      <c r="K63" s="15"/>
      <c r="L63" s="15"/>
      <c r="M63" s="15"/>
    </row>
    <row r="64" spans="2:14">
      <c r="D64" s="15"/>
      <c r="E64" s="15"/>
      <c r="F64" s="15"/>
      <c r="G64" s="15"/>
      <c r="H64" s="15"/>
      <c r="I64" s="15"/>
      <c r="J64" s="15"/>
      <c r="K64" s="15"/>
      <c r="L64" s="15"/>
      <c r="M64" s="15"/>
    </row>
  </sheetData>
  <autoFilter ref="A2:N59" xr:uid="{00000000-0009-0000-0000-000007000000}"/>
  <mergeCells count="27">
    <mergeCell ref="B1:I1"/>
    <mergeCell ref="J1:M1"/>
    <mergeCell ref="B26:B29"/>
    <mergeCell ref="N31:N35"/>
    <mergeCell ref="B22:B25"/>
    <mergeCell ref="B3:B7"/>
    <mergeCell ref="N26:N29"/>
    <mergeCell ref="N12:N18"/>
    <mergeCell ref="B8:B11"/>
    <mergeCell ref="N3:N7"/>
    <mergeCell ref="N22:N25"/>
    <mergeCell ref="B55:B59"/>
    <mergeCell ref="N55:N59"/>
    <mergeCell ref="N8:N11"/>
    <mergeCell ref="B12:B18"/>
    <mergeCell ref="N36:N37"/>
    <mergeCell ref="N38:N43"/>
    <mergeCell ref="N45:N48"/>
    <mergeCell ref="N52:N54"/>
    <mergeCell ref="B19:B21"/>
    <mergeCell ref="B31:B35"/>
    <mergeCell ref="B38:B43"/>
    <mergeCell ref="B36:B37"/>
    <mergeCell ref="B49:B51"/>
    <mergeCell ref="N49:N51"/>
    <mergeCell ref="B45:B48"/>
    <mergeCell ref="B52:B53"/>
  </mergeCells>
  <phoneticPr fontId="71"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N60"/>
  <sheetViews>
    <sheetView showGridLines="0" workbookViewId="0">
      <pane ySplit="2" topLeftCell="A24" activePane="bottomLeft" state="frozen"/>
      <selection activeCell="J12" sqref="J12"/>
      <selection pane="bottomLeft" activeCell="L43" sqref="L43"/>
    </sheetView>
  </sheetViews>
  <sheetFormatPr defaultColWidth="9.109375" defaultRowHeight="13.8"/>
  <cols>
    <col min="1" max="1" width="2" style="14" customWidth="1"/>
    <col min="2" max="2" width="11.6640625" style="116" customWidth="1"/>
    <col min="3" max="3" width="21.6640625" style="14" customWidth="1"/>
    <col min="4" max="4" width="9.109375" style="14" customWidth="1"/>
    <col min="5" max="13" width="9.109375" style="14"/>
    <col min="14" max="14" width="16.6640625" style="14" bestFit="1" customWidth="1"/>
    <col min="15" max="16384" width="9.109375" style="14"/>
  </cols>
  <sheetData>
    <row r="1" spans="2:14" ht="20.399999999999999">
      <c r="B1" s="861" t="s">
        <v>614</v>
      </c>
      <c r="C1" s="861"/>
      <c r="D1" s="861"/>
      <c r="E1" s="861"/>
      <c r="F1" s="861"/>
      <c r="G1" s="861"/>
      <c r="H1" s="861"/>
      <c r="I1" s="861"/>
      <c r="J1" s="862">
        <f>'最高报价汇总 '!F2</f>
        <v>46099</v>
      </c>
      <c r="K1" s="863"/>
      <c r="L1" s="863"/>
      <c r="M1" s="863"/>
    </row>
    <row r="2" spans="2:14" ht="17.399999999999999">
      <c r="B2" s="741" t="s">
        <v>292</v>
      </c>
      <c r="C2" s="686" t="s">
        <v>668</v>
      </c>
      <c r="D2" s="141" t="s">
        <v>290</v>
      </c>
      <c r="E2" s="141" t="s">
        <v>289</v>
      </c>
      <c r="F2" s="141" t="s">
        <v>604</v>
      </c>
      <c r="G2" s="141" t="s">
        <v>288</v>
      </c>
      <c r="H2" s="141" t="s">
        <v>287</v>
      </c>
      <c r="I2" s="141" t="s">
        <v>286</v>
      </c>
      <c r="J2" s="141" t="s">
        <v>285</v>
      </c>
      <c r="K2" s="141" t="s">
        <v>284</v>
      </c>
      <c r="L2" s="139" t="s">
        <v>283</v>
      </c>
      <c r="M2" s="140" t="s">
        <v>282</v>
      </c>
      <c r="N2" s="139" t="s">
        <v>223</v>
      </c>
    </row>
    <row r="3" spans="2:14" ht="15.6">
      <c r="B3" s="1090" t="s">
        <v>26</v>
      </c>
      <c r="C3" s="639" t="s">
        <v>605</v>
      </c>
      <c r="D3" s="602">
        <f ca="1">D3:M49</f>
        <v>0</v>
      </c>
      <c r="E3" s="745">
        <v>9.9500000000000005E-3</v>
      </c>
      <c r="F3" s="745">
        <v>1.055E-2</v>
      </c>
      <c r="G3" s="745">
        <v>1.055E-2</v>
      </c>
      <c r="H3" s="745">
        <v>1.1050000000000001E-2</v>
      </c>
      <c r="I3" s="745"/>
      <c r="J3" s="745">
        <v>6.1500000000000001E-3</v>
      </c>
      <c r="K3" s="597"/>
      <c r="L3" s="597"/>
      <c r="M3" s="597"/>
      <c r="N3" s="867"/>
    </row>
    <row r="4" spans="2:14" ht="15.6">
      <c r="B4" s="1109"/>
      <c r="C4" s="639" t="s">
        <v>71</v>
      </c>
      <c r="D4" s="602">
        <v>0</v>
      </c>
      <c r="E4" s="745">
        <v>9.9500000000000005E-3</v>
      </c>
      <c r="F4" s="745">
        <v>1.055E-2</v>
      </c>
      <c r="G4" s="745">
        <v>1.115E-2</v>
      </c>
      <c r="H4" s="745">
        <v>1.1050000000000001E-2</v>
      </c>
      <c r="I4" s="745"/>
      <c r="J4" s="745">
        <v>7.7000000000000002E-3</v>
      </c>
      <c r="K4" s="597"/>
      <c r="L4" s="597"/>
      <c r="M4" s="599"/>
      <c r="N4" s="868"/>
    </row>
    <row r="5" spans="2:14" ht="15.6">
      <c r="B5" s="1109"/>
      <c r="C5" s="639" t="s">
        <v>606</v>
      </c>
      <c r="D5" s="602">
        <v>0</v>
      </c>
      <c r="E5" s="745">
        <v>1.3050000000000001E-2</v>
      </c>
      <c r="F5" s="745">
        <v>1.3650000000000001E-2</v>
      </c>
      <c r="G5" s="745">
        <v>1.3650000000000001E-2</v>
      </c>
      <c r="H5" s="745">
        <v>1.3050000000000001E-2</v>
      </c>
      <c r="I5" s="745"/>
      <c r="J5" s="745">
        <v>8.1499999999999993E-3</v>
      </c>
      <c r="K5" s="597"/>
      <c r="L5" s="597"/>
      <c r="M5" s="599"/>
      <c r="N5" s="868"/>
    </row>
    <row r="6" spans="2:14" ht="15.6">
      <c r="B6" s="1109"/>
      <c r="C6" s="639" t="s">
        <v>607</v>
      </c>
      <c r="D6" s="786">
        <v>6.8999999999999999E-3</v>
      </c>
      <c r="E6" s="745">
        <v>1.3050000000000001E-2</v>
      </c>
      <c r="F6" s="745">
        <v>1.3650000000000001E-2</v>
      </c>
      <c r="G6" s="745">
        <v>1.3650000000000001E-2</v>
      </c>
      <c r="H6" s="745">
        <v>1.375E-2</v>
      </c>
      <c r="I6" s="745"/>
      <c r="J6" s="745">
        <v>9.4999999999999998E-3</v>
      </c>
      <c r="K6" s="597"/>
      <c r="L6" s="597"/>
      <c r="M6" s="599"/>
      <c r="N6" s="868"/>
    </row>
    <row r="7" spans="2:14" ht="15.6">
      <c r="B7" s="1091"/>
      <c r="C7" s="639" t="s">
        <v>608</v>
      </c>
      <c r="D7" s="754">
        <v>7.7000000000000002E-3</v>
      </c>
      <c r="E7" s="745">
        <v>1.3050000000000001E-2</v>
      </c>
      <c r="F7" s="745">
        <v>1.375E-2</v>
      </c>
      <c r="G7" s="745">
        <v>1.3650000000000001E-2</v>
      </c>
      <c r="H7" s="745">
        <v>1.375E-2</v>
      </c>
      <c r="I7" s="754"/>
      <c r="J7" s="745">
        <v>1.12E-2</v>
      </c>
      <c r="K7" s="600"/>
      <c r="L7" s="600"/>
      <c r="M7" s="601"/>
      <c r="N7" s="869"/>
    </row>
    <row r="8" spans="2:14">
      <c r="B8" s="1094" t="s">
        <v>50</v>
      </c>
      <c r="C8" s="637" t="s">
        <v>71</v>
      </c>
      <c r="D8" s="629" t="s">
        <v>572</v>
      </c>
      <c r="E8" s="750">
        <v>1.04E-2</v>
      </c>
      <c r="F8" s="750">
        <v>1.14E-2</v>
      </c>
      <c r="G8" s="797">
        <v>1.17E-2</v>
      </c>
      <c r="H8" s="797">
        <v>1.17E-2</v>
      </c>
      <c r="I8" s="630"/>
      <c r="J8" s="631" t="s">
        <v>572</v>
      </c>
      <c r="K8" s="631"/>
      <c r="L8" s="648"/>
      <c r="M8" s="631"/>
      <c r="N8" s="858"/>
    </row>
    <row r="9" spans="2:14">
      <c r="B9" s="1095"/>
      <c r="C9" s="676" t="s">
        <v>269</v>
      </c>
      <c r="D9" s="629" t="s">
        <v>572</v>
      </c>
      <c r="E9" s="750">
        <v>1.01E-2</v>
      </c>
      <c r="F9" s="750">
        <v>1.11E-2</v>
      </c>
      <c r="G9" s="797">
        <v>1.14E-2</v>
      </c>
      <c r="H9" s="797">
        <v>1.29E-2</v>
      </c>
      <c r="I9" s="630"/>
      <c r="J9" s="631" t="s">
        <v>572</v>
      </c>
      <c r="K9" s="640"/>
      <c r="L9" s="648"/>
      <c r="M9" s="631"/>
      <c r="N9" s="859"/>
    </row>
    <row r="10" spans="2:14">
      <c r="B10" s="1095"/>
      <c r="C10" s="676" t="s">
        <v>231</v>
      </c>
      <c r="D10" s="629" t="s">
        <v>572</v>
      </c>
      <c r="E10" s="750">
        <v>1.0200000000000001E-2</v>
      </c>
      <c r="F10" s="750">
        <v>1.12E-2</v>
      </c>
      <c r="G10" s="797">
        <v>1.15E-2</v>
      </c>
      <c r="H10" s="797">
        <v>1.29E-2</v>
      </c>
      <c r="I10" s="630"/>
      <c r="J10" s="631" t="s">
        <v>572</v>
      </c>
      <c r="K10" s="640"/>
      <c r="L10" s="648"/>
      <c r="M10" s="631"/>
      <c r="N10" s="859"/>
    </row>
    <row r="11" spans="2:14">
      <c r="B11" s="1096"/>
      <c r="C11" s="637" t="s">
        <v>62</v>
      </c>
      <c r="D11" s="629" t="s">
        <v>572</v>
      </c>
      <c r="E11" s="750">
        <v>1.1599999999999999E-2</v>
      </c>
      <c r="F11" s="750">
        <v>1.21E-2</v>
      </c>
      <c r="G11" s="797">
        <v>1.24E-2</v>
      </c>
      <c r="H11" s="797">
        <v>1.34E-2</v>
      </c>
      <c r="I11" s="630"/>
      <c r="J11" s="631" t="s">
        <v>572</v>
      </c>
      <c r="K11" s="640"/>
      <c r="L11" s="648"/>
      <c r="M11" s="631"/>
      <c r="N11" s="860"/>
    </row>
    <row r="12" spans="2:14">
      <c r="B12" s="1100" t="s">
        <v>23</v>
      </c>
      <c r="C12" s="677" t="s">
        <v>95</v>
      </c>
      <c r="D12" s="632"/>
      <c r="E12" s="632"/>
      <c r="F12" s="632"/>
      <c r="G12" s="632"/>
      <c r="H12" s="632"/>
      <c r="I12" s="633"/>
      <c r="J12" s="632"/>
      <c r="K12" s="633"/>
      <c r="L12" s="638"/>
      <c r="M12" s="638"/>
      <c r="N12" s="873"/>
    </row>
    <row r="13" spans="2:14">
      <c r="B13" s="1101"/>
      <c r="C13" s="677" t="s">
        <v>93</v>
      </c>
      <c r="D13" s="632"/>
      <c r="E13" s="632"/>
      <c r="F13" s="632"/>
      <c r="G13" s="632"/>
      <c r="H13" s="632"/>
      <c r="I13" s="633"/>
      <c r="J13" s="632"/>
      <c r="K13" s="633"/>
      <c r="L13" s="638"/>
      <c r="M13" s="638"/>
      <c r="N13" s="874"/>
    </row>
    <row r="14" spans="2:14">
      <c r="B14" s="1101"/>
      <c r="C14" s="677" t="s">
        <v>268</v>
      </c>
      <c r="D14" s="632"/>
      <c r="E14" s="632"/>
      <c r="F14" s="632"/>
      <c r="G14" s="632"/>
      <c r="H14" s="632"/>
      <c r="I14" s="633"/>
      <c r="J14" s="632"/>
      <c r="K14" s="633"/>
      <c r="L14" s="638"/>
      <c r="M14" s="638"/>
      <c r="N14" s="874"/>
    </row>
    <row r="15" spans="2:14">
      <c r="B15" s="1101"/>
      <c r="C15" s="677" t="s">
        <v>267</v>
      </c>
      <c r="D15" s="632"/>
      <c r="E15" s="632"/>
      <c r="F15" s="632"/>
      <c r="G15" s="632"/>
      <c r="H15" s="632"/>
      <c r="I15" s="633"/>
      <c r="J15" s="632"/>
      <c r="K15" s="633"/>
      <c r="L15" s="638"/>
      <c r="M15" s="638"/>
      <c r="N15" s="874"/>
    </row>
    <row r="16" spans="2:14">
      <c r="B16" s="1101"/>
      <c r="C16" s="677" t="s">
        <v>266</v>
      </c>
      <c r="D16" s="632"/>
      <c r="E16" s="632"/>
      <c r="F16" s="632"/>
      <c r="G16" s="632"/>
      <c r="H16" s="632"/>
      <c r="I16" s="633"/>
      <c r="J16" s="632"/>
      <c r="K16" s="633"/>
      <c r="L16" s="638"/>
      <c r="M16" s="638"/>
      <c r="N16" s="874"/>
    </row>
    <row r="17" spans="2:14">
      <c r="B17" s="1101"/>
      <c r="C17" s="677" t="s">
        <v>265</v>
      </c>
      <c r="D17" s="632"/>
      <c r="E17" s="632"/>
      <c r="F17" s="632"/>
      <c r="G17" s="632"/>
      <c r="H17" s="632"/>
      <c r="I17" s="633"/>
      <c r="J17" s="632"/>
      <c r="K17" s="633"/>
      <c r="L17" s="638"/>
      <c r="M17" s="638"/>
      <c r="N17" s="874"/>
    </row>
    <row r="18" spans="2:14">
      <c r="B18" s="1102"/>
      <c r="C18" s="638" t="s">
        <v>264</v>
      </c>
      <c r="D18" s="632"/>
      <c r="E18" s="632"/>
      <c r="F18" s="632"/>
      <c r="G18" s="632"/>
      <c r="H18" s="632"/>
      <c r="I18" s="633"/>
      <c r="J18" s="632"/>
      <c r="K18" s="633"/>
      <c r="L18" s="638"/>
      <c r="M18" s="638"/>
      <c r="N18" s="875"/>
    </row>
    <row r="19" spans="2:14" ht="15.6">
      <c r="B19" s="1106" t="s">
        <v>35</v>
      </c>
      <c r="C19" s="678" t="s">
        <v>280</v>
      </c>
      <c r="D19" s="634"/>
      <c r="E19" s="635"/>
      <c r="F19" s="635"/>
      <c r="G19" s="635"/>
      <c r="H19" s="635"/>
      <c r="I19" s="635"/>
      <c r="J19" s="635"/>
      <c r="K19" s="630"/>
      <c r="L19" s="630"/>
      <c r="M19" s="630"/>
      <c r="N19" s="678"/>
    </row>
    <row r="20" spans="2:14" ht="15.6">
      <c r="B20" s="1107"/>
      <c r="C20" s="678" t="s">
        <v>279</v>
      </c>
      <c r="D20" s="634"/>
      <c r="E20" s="635"/>
      <c r="F20" s="635"/>
      <c r="G20" s="635"/>
      <c r="H20" s="635"/>
      <c r="I20" s="635"/>
      <c r="J20" s="635"/>
      <c r="K20" s="630"/>
      <c r="L20" s="630"/>
      <c r="M20" s="630"/>
      <c r="N20" s="678"/>
    </row>
    <row r="21" spans="2:14" ht="15.6">
      <c r="B21" s="1108"/>
      <c r="C21" s="631" t="s">
        <v>66</v>
      </c>
      <c r="D21" s="634"/>
      <c r="E21" s="635"/>
      <c r="F21" s="635"/>
      <c r="G21" s="635"/>
      <c r="H21" s="635"/>
      <c r="I21" s="635"/>
      <c r="J21" s="635"/>
      <c r="K21" s="630"/>
      <c r="L21" s="630"/>
      <c r="M21" s="630"/>
      <c r="N21" s="631"/>
    </row>
    <row r="22" spans="2:14">
      <c r="B22" s="1090" t="s">
        <v>46</v>
      </c>
      <c r="C22" s="639" t="s">
        <v>616</v>
      </c>
      <c r="D22" s="794">
        <v>7.7400000000000004E-3</v>
      </c>
      <c r="E22" s="794">
        <v>7.8799999999999999E-3</v>
      </c>
      <c r="F22" s="794">
        <v>8.9300000000000004E-3</v>
      </c>
      <c r="G22" s="794">
        <v>9.1999999999999998E-3</v>
      </c>
      <c r="H22" s="794">
        <v>1.125E-2</v>
      </c>
      <c r="I22" s="794"/>
      <c r="J22" s="794">
        <v>1.372E-2</v>
      </c>
      <c r="K22" s="636"/>
      <c r="L22" s="636"/>
      <c r="M22" s="636"/>
      <c r="N22" s="867"/>
    </row>
    <row r="23" spans="2:14">
      <c r="B23" s="1109"/>
      <c r="C23" s="639" t="s">
        <v>617</v>
      </c>
      <c r="D23" s="794">
        <v>7.7400000000000004E-3</v>
      </c>
      <c r="E23" s="794">
        <v>7.8799999999999999E-3</v>
      </c>
      <c r="F23" s="794">
        <v>8.9300000000000004E-3</v>
      </c>
      <c r="G23" s="794">
        <v>9.1999999999999998E-3</v>
      </c>
      <c r="H23" s="794">
        <v>1.125E-2</v>
      </c>
      <c r="I23" s="794"/>
      <c r="J23" s="794">
        <v>1.372E-2</v>
      </c>
      <c r="K23" s="636"/>
      <c r="L23" s="636"/>
      <c r="M23" s="636"/>
      <c r="N23" s="868"/>
    </row>
    <row r="24" spans="2:14">
      <c r="B24" s="1109"/>
      <c r="C24" s="639" t="s">
        <v>618</v>
      </c>
      <c r="D24" s="794">
        <v>7.7400000000000004E-3</v>
      </c>
      <c r="E24" s="794">
        <v>7.8799999999999999E-3</v>
      </c>
      <c r="F24" s="794">
        <v>8.9300000000000004E-3</v>
      </c>
      <c r="G24" s="794">
        <v>9.1999999999999998E-3</v>
      </c>
      <c r="H24" s="794">
        <v>1.125E-2</v>
      </c>
      <c r="I24" s="794"/>
      <c r="J24" s="794">
        <v>1.372E-2</v>
      </c>
      <c r="K24" s="636"/>
      <c r="L24" s="636"/>
      <c r="M24" s="636"/>
      <c r="N24" s="868"/>
    </row>
    <row r="25" spans="2:14">
      <c r="B25" s="1109"/>
      <c r="C25" s="639" t="s">
        <v>619</v>
      </c>
      <c r="D25" s="794">
        <v>8.7399999999999995E-3</v>
      </c>
      <c r="E25" s="794">
        <v>8.8800000000000007E-3</v>
      </c>
      <c r="F25" s="794">
        <v>9.3500000000000007E-3</v>
      </c>
      <c r="G25" s="794">
        <v>1.0200000000000001E-2</v>
      </c>
      <c r="H25" s="794">
        <v>1.225E-2</v>
      </c>
      <c r="I25" s="794"/>
      <c r="J25" s="794">
        <v>1.472E-2</v>
      </c>
      <c r="K25" s="636"/>
      <c r="L25" s="636"/>
      <c r="M25" s="636"/>
      <c r="N25" s="868"/>
    </row>
    <row r="26" spans="2:14">
      <c r="B26" s="1091"/>
      <c r="C26" s="639" t="s">
        <v>620</v>
      </c>
      <c r="D26" s="794">
        <v>9.7400000000000004E-3</v>
      </c>
      <c r="E26" s="794">
        <v>9.8799999999999999E-3</v>
      </c>
      <c r="F26" s="794">
        <v>1.035E-2</v>
      </c>
      <c r="G26" s="794">
        <v>1.12E-2</v>
      </c>
      <c r="H26" s="794">
        <v>1.325E-2</v>
      </c>
      <c r="I26" s="794"/>
      <c r="J26" s="794">
        <v>1.5720000000000001E-2</v>
      </c>
      <c r="K26" s="636"/>
      <c r="L26" s="636"/>
      <c r="M26" s="636"/>
      <c r="N26" s="869"/>
    </row>
    <row r="27" spans="2:14">
      <c r="B27" s="1094" t="s">
        <v>20</v>
      </c>
      <c r="C27" s="637" t="s">
        <v>621</v>
      </c>
      <c r="D27" s="629" t="s">
        <v>572</v>
      </c>
      <c r="E27" s="40">
        <v>1.4800000000000001E-2</v>
      </c>
      <c r="F27" s="40"/>
      <c r="G27" s="637">
        <v>1.6299999999999999E-2</v>
      </c>
      <c r="H27" s="850">
        <v>1.6299999999999999E-2</v>
      </c>
      <c r="I27" s="637"/>
      <c r="J27" s="850">
        <v>1.6799999999999999E-2</v>
      </c>
      <c r="K27" s="640"/>
      <c r="L27" s="641"/>
      <c r="M27" s="647"/>
      <c r="N27" s="858"/>
    </row>
    <row r="28" spans="2:14">
      <c r="B28" s="1095"/>
      <c r="C28" s="637" t="s">
        <v>622</v>
      </c>
      <c r="D28" s="629" t="s">
        <v>572</v>
      </c>
      <c r="E28" s="40">
        <v>1.6E-2</v>
      </c>
      <c r="F28" s="40"/>
      <c r="G28" s="637">
        <v>1.7500000000000002E-2</v>
      </c>
      <c r="H28" s="850">
        <v>1.7500000000000002E-2</v>
      </c>
      <c r="I28" s="637"/>
      <c r="J28" s="850">
        <v>1.7999999999999999E-2</v>
      </c>
      <c r="K28" s="640"/>
      <c r="L28" s="641"/>
      <c r="M28" s="647"/>
      <c r="N28" s="859"/>
    </row>
    <row r="29" spans="2:14">
      <c r="B29" s="1095"/>
      <c r="C29" s="637" t="s">
        <v>623</v>
      </c>
      <c r="D29" s="629" t="s">
        <v>572</v>
      </c>
      <c r="E29" s="40">
        <v>1.7299999999999999E-2</v>
      </c>
      <c r="F29" s="40"/>
      <c r="G29" s="637">
        <v>1.8800000000000001E-2</v>
      </c>
      <c r="H29" s="850">
        <v>1.8800000000000001E-2</v>
      </c>
      <c r="I29" s="637"/>
      <c r="J29" s="850">
        <v>1.9300000000000001E-2</v>
      </c>
      <c r="K29" s="640"/>
      <c r="L29" s="641"/>
      <c r="M29" s="647"/>
      <c r="N29" s="859"/>
    </row>
    <row r="30" spans="2:14">
      <c r="B30" s="1096"/>
      <c r="C30" s="637" t="s">
        <v>624</v>
      </c>
      <c r="D30" s="629" t="s">
        <v>572</v>
      </c>
      <c r="E30" s="40">
        <v>1.8499999999999999E-2</v>
      </c>
      <c r="F30" s="40"/>
      <c r="G30" s="637">
        <v>0.02</v>
      </c>
      <c r="H30" s="850">
        <v>0.02</v>
      </c>
      <c r="I30" s="637"/>
      <c r="J30" s="850">
        <v>2.0500000000000001E-2</v>
      </c>
      <c r="K30" s="640"/>
      <c r="L30" s="641"/>
      <c r="M30" s="647"/>
      <c r="N30" s="860"/>
    </row>
    <row r="31" spans="2:14" ht="15.6">
      <c r="B31" s="127" t="s">
        <v>44</v>
      </c>
      <c r="C31" s="636" t="s">
        <v>278</v>
      </c>
      <c r="D31" s="602"/>
      <c r="E31" s="598"/>
      <c r="F31" s="598"/>
      <c r="G31" s="598"/>
      <c r="H31" s="598"/>
      <c r="I31" s="598"/>
      <c r="J31" s="598"/>
      <c r="K31" s="598"/>
      <c r="L31" s="598"/>
      <c r="M31" s="636"/>
      <c r="N31" s="636"/>
    </row>
    <row r="32" spans="2:14">
      <c r="B32" s="1094" t="s">
        <v>277</v>
      </c>
      <c r="C32" s="678" t="s">
        <v>610</v>
      </c>
      <c r="D32" s="40"/>
      <c r="E32" s="40">
        <v>1.2E-2</v>
      </c>
      <c r="F32" s="40"/>
      <c r="G32" s="40">
        <v>1.2E-2</v>
      </c>
      <c r="H32" s="40">
        <v>1.15E-2</v>
      </c>
      <c r="I32" s="40"/>
      <c r="J32" s="40"/>
      <c r="K32" s="40"/>
      <c r="L32" s="40"/>
      <c r="M32" s="40"/>
      <c r="N32" s="879"/>
    </row>
    <row r="33" spans="2:14">
      <c r="B33" s="1095"/>
      <c r="C33" s="678" t="s">
        <v>611</v>
      </c>
      <c r="D33" s="40"/>
      <c r="E33" s="40">
        <v>1.2E-2</v>
      </c>
      <c r="F33" s="40"/>
      <c r="G33" s="40">
        <v>1.2E-2</v>
      </c>
      <c r="H33" s="40">
        <v>1.15E-2</v>
      </c>
      <c r="I33" s="40"/>
      <c r="J33" s="40"/>
      <c r="K33" s="40"/>
      <c r="L33" s="40"/>
      <c r="M33" s="40"/>
      <c r="N33" s="880"/>
    </row>
    <row r="34" spans="2:14">
      <c r="B34" s="1095"/>
      <c r="C34" s="678" t="s">
        <v>609</v>
      </c>
      <c r="D34" s="40"/>
      <c r="E34" s="40">
        <v>1.4999999999999999E-2</v>
      </c>
      <c r="F34" s="40"/>
      <c r="G34" s="40">
        <v>1.4E-2</v>
      </c>
      <c r="H34" s="40">
        <v>1.35E-2</v>
      </c>
      <c r="I34" s="40"/>
      <c r="J34" s="40"/>
      <c r="K34" s="40"/>
      <c r="L34" s="40"/>
      <c r="M34" s="40"/>
      <c r="N34" s="880"/>
    </row>
    <row r="35" spans="2:14" ht="27.6">
      <c r="B35" s="1095"/>
      <c r="C35" s="678" t="s">
        <v>612</v>
      </c>
      <c r="D35" s="40"/>
      <c r="E35" s="40">
        <v>1.4999999999999999E-2</v>
      </c>
      <c r="F35" s="40"/>
      <c r="G35" s="40">
        <v>1.4E-2</v>
      </c>
      <c r="H35" s="40">
        <v>1.35E-2</v>
      </c>
      <c r="I35" s="40"/>
      <c r="J35" s="40"/>
      <c r="K35" s="40"/>
      <c r="L35" s="40"/>
      <c r="M35" s="40"/>
      <c r="N35" s="880"/>
    </row>
    <row r="36" spans="2:14">
      <c r="B36" s="1095"/>
      <c r="C36" s="678" t="s">
        <v>613</v>
      </c>
      <c r="D36" s="40"/>
      <c r="E36" s="40">
        <v>1.4999999999999999E-2</v>
      </c>
      <c r="F36" s="40"/>
      <c r="G36" s="40">
        <v>1.4E-2</v>
      </c>
      <c r="H36" s="40">
        <v>1.35E-2</v>
      </c>
      <c r="I36" s="40"/>
      <c r="J36" s="40"/>
      <c r="K36" s="40"/>
      <c r="L36" s="40"/>
      <c r="M36" s="40"/>
      <c r="N36" s="880"/>
    </row>
    <row r="37" spans="2:14">
      <c r="B37" s="1100" t="s">
        <v>48</v>
      </c>
      <c r="C37" s="638" t="s">
        <v>71</v>
      </c>
      <c r="D37" s="602"/>
      <c r="E37" s="632"/>
      <c r="F37" s="632"/>
      <c r="G37" s="632"/>
      <c r="H37" s="632"/>
      <c r="I37" s="632"/>
      <c r="J37" s="632"/>
      <c r="K37" s="638"/>
      <c r="L37" s="632"/>
      <c r="M37" s="643"/>
      <c r="N37" s="881"/>
    </row>
    <row r="38" spans="2:14">
      <c r="B38" s="1102"/>
      <c r="C38" s="638" t="s">
        <v>74</v>
      </c>
      <c r="D38" s="602"/>
      <c r="E38" s="638"/>
      <c r="F38" s="638"/>
      <c r="G38" s="638"/>
      <c r="H38" s="638"/>
      <c r="I38" s="638"/>
      <c r="J38" s="638"/>
      <c r="K38" s="638"/>
      <c r="L38" s="638"/>
      <c r="M38" s="644"/>
      <c r="N38" s="882"/>
    </row>
    <row r="39" spans="2:14" ht="15.6">
      <c r="B39" s="1094" t="s">
        <v>33</v>
      </c>
      <c r="C39" s="676" t="s">
        <v>654</v>
      </c>
      <c r="D39" s="629" t="s">
        <v>652</v>
      </c>
      <c r="E39" s="752">
        <v>2.8999999999999998E-3</v>
      </c>
      <c r="F39" s="637"/>
      <c r="G39" s="752">
        <v>5.4999999999999997E-3</v>
      </c>
      <c r="H39" s="752">
        <v>6.1000000000000004E-3</v>
      </c>
      <c r="I39" s="637"/>
      <c r="J39" s="752">
        <v>5.7999999999999996E-3</v>
      </c>
      <c r="K39" s="637"/>
      <c r="L39" s="645"/>
      <c r="M39" s="646"/>
      <c r="N39" s="883"/>
    </row>
    <row r="40" spans="2:14" ht="15.6">
      <c r="B40" s="1095"/>
      <c r="C40" s="676" t="s">
        <v>269</v>
      </c>
      <c r="D40" s="629" t="s">
        <v>652</v>
      </c>
      <c r="E40" s="752">
        <v>4.8999999999999998E-3</v>
      </c>
      <c r="F40" s="637"/>
      <c r="G40" s="752">
        <v>6.4999999999999997E-3</v>
      </c>
      <c r="H40" s="752">
        <v>7.1000000000000004E-3</v>
      </c>
      <c r="I40" s="637"/>
      <c r="J40" s="752">
        <v>6.3E-3</v>
      </c>
      <c r="K40" s="637"/>
      <c r="L40" s="645"/>
      <c r="M40" s="646"/>
      <c r="N40" s="884"/>
    </row>
    <row r="41" spans="2:14" ht="15.6">
      <c r="B41" s="1095"/>
      <c r="C41" s="676" t="s">
        <v>231</v>
      </c>
      <c r="D41" s="629" t="s">
        <v>652</v>
      </c>
      <c r="E41" s="752">
        <v>5.8999999999999999E-3</v>
      </c>
      <c r="F41" s="637"/>
      <c r="G41" s="752">
        <v>6.4999999999999997E-3</v>
      </c>
      <c r="H41" s="752">
        <v>7.1000000000000004E-3</v>
      </c>
      <c r="I41" s="637"/>
      <c r="J41" s="752">
        <v>7.3000000000000001E-3</v>
      </c>
      <c r="K41" s="637"/>
      <c r="L41" s="645"/>
      <c r="M41" s="646"/>
      <c r="N41" s="884"/>
    </row>
    <row r="42" spans="2:14" ht="15.6">
      <c r="B42" s="1095"/>
      <c r="C42" s="676" t="s">
        <v>62</v>
      </c>
      <c r="D42" s="629" t="s">
        <v>652</v>
      </c>
      <c r="E42" s="752">
        <v>6.8999999999999999E-3</v>
      </c>
      <c r="F42" s="637"/>
      <c r="G42" s="752">
        <v>7.4999999999999997E-3</v>
      </c>
      <c r="H42" s="752">
        <v>8.0999999999999996E-3</v>
      </c>
      <c r="I42" s="637"/>
      <c r="J42" s="752">
        <v>9.2999999999999992E-3</v>
      </c>
      <c r="K42" s="637"/>
      <c r="L42" s="645"/>
      <c r="M42" s="646"/>
      <c r="N42" s="884"/>
    </row>
    <row r="43" spans="2:14" ht="15.6">
      <c r="B43" s="1095"/>
      <c r="C43" s="637" t="s">
        <v>61</v>
      </c>
      <c r="D43" s="629" t="s">
        <v>652</v>
      </c>
      <c r="E43" s="752">
        <v>7.9000000000000008E-3</v>
      </c>
      <c r="F43" s="637"/>
      <c r="G43" s="752">
        <v>8.5000000000000006E-3</v>
      </c>
      <c r="H43" s="752">
        <v>9.1000000000000004E-3</v>
      </c>
      <c r="I43" s="637"/>
      <c r="J43" s="752">
        <v>9.2999999999999992E-3</v>
      </c>
      <c r="K43" s="637"/>
      <c r="L43" s="645"/>
      <c r="M43" s="646"/>
      <c r="N43" s="884"/>
    </row>
    <row r="44" spans="2:14">
      <c r="B44" s="1096"/>
      <c r="C44" s="637" t="s">
        <v>216</v>
      </c>
      <c r="D44" s="629" t="s">
        <v>652</v>
      </c>
      <c r="E44" s="752">
        <v>7.9000000000000008E-3</v>
      </c>
      <c r="F44" s="637"/>
      <c r="G44" s="752">
        <v>8.5000000000000006E-3</v>
      </c>
      <c r="H44" s="752">
        <v>9.1000000000000004E-3</v>
      </c>
      <c r="I44" s="637"/>
      <c r="J44" s="752">
        <v>9.2999999999999992E-3</v>
      </c>
      <c r="K44" s="637"/>
      <c r="L44" s="637"/>
      <c r="M44" s="646"/>
      <c r="N44" s="885"/>
    </row>
    <row r="45" spans="2:14" ht="14.1" customHeight="1">
      <c r="B45" s="766" t="s">
        <v>12</v>
      </c>
      <c r="C45" s="636" t="s">
        <v>625</v>
      </c>
      <c r="D45" s="602">
        <v>1.24E-2</v>
      </c>
      <c r="E45" s="598">
        <v>1.49E-2</v>
      </c>
      <c r="F45" s="598">
        <v>1.49E-2</v>
      </c>
      <c r="G45" s="598">
        <v>1.49E-2</v>
      </c>
      <c r="H45" s="598">
        <v>1.6400000000000001E-2</v>
      </c>
      <c r="I45" s="598"/>
      <c r="J45" s="598">
        <v>1.7899999999999999E-2</v>
      </c>
      <c r="K45" s="598"/>
      <c r="L45" s="598"/>
      <c r="M45" s="601"/>
      <c r="N45" s="679"/>
    </row>
    <row r="46" spans="2:14">
      <c r="B46" s="1094" t="s">
        <v>42</v>
      </c>
      <c r="C46" s="637" t="s">
        <v>627</v>
      </c>
      <c r="D46" s="629">
        <v>0</v>
      </c>
      <c r="E46" s="637">
        <v>1.4500000000000001E-2</v>
      </c>
      <c r="F46" s="637">
        <v>1.4999999999999999E-2</v>
      </c>
      <c r="G46" s="637">
        <v>1.55E-2</v>
      </c>
      <c r="H46" s="637">
        <v>1.4500000000000001E-2</v>
      </c>
      <c r="I46" s="637">
        <v>1.35E-2</v>
      </c>
      <c r="J46" s="637">
        <v>1.2500000000000001E-2</v>
      </c>
      <c r="K46" s="637"/>
      <c r="L46" s="637"/>
      <c r="M46" s="647"/>
      <c r="N46" s="858"/>
    </row>
    <row r="47" spans="2:14">
      <c r="B47" s="1095"/>
      <c r="C47" s="637" t="s">
        <v>628</v>
      </c>
      <c r="D47" s="629">
        <v>0</v>
      </c>
      <c r="E47" s="637">
        <v>1.47E-2</v>
      </c>
      <c r="F47" s="637">
        <v>1.52E-2</v>
      </c>
      <c r="G47" s="637">
        <v>1.5699999999999999E-2</v>
      </c>
      <c r="H47" s="637">
        <v>1.47E-2</v>
      </c>
      <c r="I47" s="637">
        <v>1.37E-2</v>
      </c>
      <c r="J47" s="637">
        <v>1.2699999999999999E-2</v>
      </c>
      <c r="K47" s="637"/>
      <c r="L47" s="637"/>
      <c r="M47" s="647"/>
      <c r="N47" s="859"/>
    </row>
    <row r="48" spans="2:14">
      <c r="B48" s="1095"/>
      <c r="C48" s="637" t="s">
        <v>629</v>
      </c>
      <c r="D48" s="629">
        <v>0</v>
      </c>
      <c r="E48" s="637">
        <v>1.4800000000000001E-2</v>
      </c>
      <c r="F48" s="637">
        <v>1.5299999999999999E-2</v>
      </c>
      <c r="G48" s="637">
        <v>1.5800000000000002E-2</v>
      </c>
      <c r="H48" s="637">
        <v>1.4800000000000001E-2</v>
      </c>
      <c r="I48" s="637">
        <v>1.38E-2</v>
      </c>
      <c r="J48" s="637">
        <v>1.2800000000000001E-2</v>
      </c>
      <c r="K48" s="637"/>
      <c r="L48" s="637"/>
      <c r="M48" s="647"/>
      <c r="N48" s="859"/>
    </row>
    <row r="49" spans="2:14">
      <c r="B49" s="1096"/>
      <c r="C49" s="637" t="s">
        <v>630</v>
      </c>
      <c r="D49" s="629">
        <v>1E-4</v>
      </c>
      <c r="E49" s="637">
        <v>1.4999999999999999E-2</v>
      </c>
      <c r="F49" s="637">
        <v>1.55E-2</v>
      </c>
      <c r="G49" s="637">
        <v>1.6E-2</v>
      </c>
      <c r="H49" s="637">
        <v>1.4999999999999999E-2</v>
      </c>
      <c r="I49" s="637">
        <v>1.4E-2</v>
      </c>
      <c r="J49" s="637">
        <v>1.2999999999999999E-2</v>
      </c>
      <c r="K49" s="637"/>
      <c r="L49" s="637"/>
      <c r="M49" s="647"/>
      <c r="N49" s="860"/>
    </row>
    <row r="50" spans="2:14" ht="15.6">
      <c r="B50" s="1090" t="s">
        <v>37</v>
      </c>
      <c r="C50" s="639" t="s">
        <v>631</v>
      </c>
      <c r="D50" s="602" t="s">
        <v>572</v>
      </c>
      <c r="E50" s="795">
        <v>1.35E-2</v>
      </c>
      <c r="F50" s="795">
        <v>1.4E-2</v>
      </c>
      <c r="G50" s="795">
        <v>1.4E-2</v>
      </c>
      <c r="H50" s="795">
        <v>1.4999999999999999E-2</v>
      </c>
      <c r="I50" s="639"/>
      <c r="J50" s="639"/>
      <c r="K50" s="639"/>
      <c r="L50" s="636"/>
      <c r="M50" s="558"/>
      <c r="N50" s="867"/>
    </row>
    <row r="51" spans="2:14" ht="15.6">
      <c r="B51" s="1109"/>
      <c r="C51" s="639" t="s">
        <v>632</v>
      </c>
      <c r="D51" s="602" t="s">
        <v>572</v>
      </c>
      <c r="E51" s="795">
        <v>1.4500000000000001E-2</v>
      </c>
      <c r="F51" s="795">
        <v>1.4999999999999999E-2</v>
      </c>
      <c r="G51" s="795">
        <v>1.4999999999999999E-2</v>
      </c>
      <c r="H51" s="795">
        <v>1.6E-2</v>
      </c>
      <c r="I51" s="639"/>
      <c r="J51" s="639"/>
      <c r="K51" s="639"/>
      <c r="L51" s="636"/>
      <c r="M51" s="558"/>
      <c r="N51" s="868"/>
    </row>
    <row r="52" spans="2:14" ht="15.6">
      <c r="B52" s="1091"/>
      <c r="C52" s="639" t="s">
        <v>633</v>
      </c>
      <c r="D52" s="602" t="s">
        <v>572</v>
      </c>
      <c r="E52" s="795">
        <v>1.55E-2</v>
      </c>
      <c r="F52" s="795">
        <v>1.6E-2</v>
      </c>
      <c r="G52" s="795">
        <v>1.6E-2</v>
      </c>
      <c r="H52" s="795">
        <v>1.7000000000000001E-2</v>
      </c>
      <c r="I52" s="639"/>
      <c r="J52" s="639"/>
      <c r="K52" s="639"/>
      <c r="L52" s="636"/>
      <c r="M52" s="558"/>
      <c r="N52" s="869"/>
    </row>
    <row r="53" spans="2:14">
      <c r="B53" s="1094" t="s">
        <v>31</v>
      </c>
      <c r="C53" s="637" t="s">
        <v>71</v>
      </c>
      <c r="D53" s="629"/>
      <c r="E53" s="637"/>
      <c r="F53" s="637"/>
      <c r="G53" s="637"/>
      <c r="H53" s="637"/>
      <c r="I53" s="637"/>
      <c r="J53" s="637"/>
      <c r="K53" s="637"/>
      <c r="L53" s="637"/>
      <c r="M53" s="646"/>
      <c r="N53" s="858"/>
    </row>
    <row r="54" spans="2:14">
      <c r="B54" s="1096"/>
      <c r="C54" s="637" t="s">
        <v>74</v>
      </c>
      <c r="D54" s="629"/>
      <c r="E54" s="637"/>
      <c r="F54" s="637"/>
      <c r="G54" s="637"/>
      <c r="H54" s="637"/>
      <c r="I54" s="637"/>
      <c r="J54" s="637"/>
      <c r="K54" s="637"/>
      <c r="L54" s="637"/>
      <c r="M54" s="637"/>
      <c r="N54" s="859"/>
    </row>
    <row r="55" spans="2:14" ht="15.6">
      <c r="B55" s="762" t="s">
        <v>29</v>
      </c>
      <c r="C55" s="637" t="s">
        <v>635</v>
      </c>
      <c r="D55" s="629"/>
      <c r="E55" s="637"/>
      <c r="F55" s="637"/>
      <c r="G55" s="637"/>
      <c r="H55" s="637"/>
      <c r="I55" s="637"/>
      <c r="J55" s="637"/>
      <c r="K55" s="637"/>
      <c r="L55" s="637"/>
      <c r="M55" s="646"/>
      <c r="N55" s="860"/>
    </row>
    <row r="56" spans="2:14" ht="15.6">
      <c r="B56" s="1090" t="s">
        <v>39</v>
      </c>
      <c r="C56" s="638" t="s">
        <v>71</v>
      </c>
      <c r="D56" s="602" t="s">
        <v>572</v>
      </c>
      <c r="E56" s="754">
        <v>9.2999999999999992E-3</v>
      </c>
      <c r="F56" s="754">
        <v>9.7000000000000003E-3</v>
      </c>
      <c r="G56" s="794">
        <v>9.7999999999999997E-3</v>
      </c>
      <c r="H56" s="754">
        <v>1.15E-2</v>
      </c>
      <c r="I56" s="754"/>
      <c r="J56" s="794">
        <v>1.06E-2</v>
      </c>
      <c r="K56" s="559"/>
      <c r="L56" s="615"/>
      <c r="M56" s="558"/>
      <c r="N56" s="867"/>
    </row>
    <row r="57" spans="2:14" ht="15.6">
      <c r="B57" s="1109"/>
      <c r="C57" s="639" t="s">
        <v>269</v>
      </c>
      <c r="D57" s="602" t="s">
        <v>572</v>
      </c>
      <c r="E57" s="754">
        <v>1.06E-2</v>
      </c>
      <c r="F57" s="754">
        <v>1.2200000000000001E-2</v>
      </c>
      <c r="G57" s="794">
        <v>1.21E-2</v>
      </c>
      <c r="H57" s="754">
        <v>1.35E-2</v>
      </c>
      <c r="I57" s="754"/>
      <c r="J57" s="794">
        <v>1.11E-2</v>
      </c>
      <c r="K57" s="636"/>
      <c r="L57" s="615"/>
      <c r="M57" s="636"/>
      <c r="N57" s="868"/>
    </row>
    <row r="58" spans="2:14" ht="15.6">
      <c r="B58" s="1109"/>
      <c r="C58" s="639" t="s">
        <v>231</v>
      </c>
      <c r="D58" s="602" t="s">
        <v>572</v>
      </c>
      <c r="E58" s="754">
        <v>1.23E-2</v>
      </c>
      <c r="F58" s="754">
        <v>1.26E-2</v>
      </c>
      <c r="G58" s="794">
        <v>1.23E-2</v>
      </c>
      <c r="H58" s="754">
        <v>1.4E-2</v>
      </c>
      <c r="I58" s="754"/>
      <c r="J58" s="794">
        <v>1.1599999999999999E-2</v>
      </c>
      <c r="K58" s="636"/>
      <c r="L58" s="615"/>
      <c r="M58" s="636"/>
      <c r="N58" s="868"/>
    </row>
    <row r="59" spans="2:14" ht="15.6">
      <c r="B59" s="1109"/>
      <c r="C59" s="639" t="s">
        <v>62</v>
      </c>
      <c r="D59" s="602" t="s">
        <v>572</v>
      </c>
      <c r="E59" s="754">
        <v>1.23E-2</v>
      </c>
      <c r="F59" s="754">
        <v>1.29E-2</v>
      </c>
      <c r="G59" s="794">
        <v>1.26E-2</v>
      </c>
      <c r="H59" s="754">
        <v>1.4E-2</v>
      </c>
      <c r="I59" s="754"/>
      <c r="J59" s="794">
        <v>1.21E-2</v>
      </c>
      <c r="K59" s="636"/>
      <c r="L59" s="615"/>
      <c r="M59" s="636"/>
      <c r="N59" s="868"/>
    </row>
    <row r="60" spans="2:14" ht="15.6">
      <c r="B60" s="1091"/>
      <c r="C60" s="639" t="s">
        <v>276</v>
      </c>
      <c r="D60" s="602" t="s">
        <v>572</v>
      </c>
      <c r="E60" s="754">
        <v>1.23E-2</v>
      </c>
      <c r="F60" s="754">
        <v>1.29E-2</v>
      </c>
      <c r="G60" s="794">
        <v>1.26E-2</v>
      </c>
      <c r="H60" s="754">
        <v>1.4E-2</v>
      </c>
      <c r="I60" s="754"/>
      <c r="J60" s="794">
        <v>1.21E-2</v>
      </c>
      <c r="K60" s="636"/>
      <c r="L60" s="615"/>
      <c r="M60" s="636"/>
      <c r="N60" s="869"/>
    </row>
  </sheetData>
  <autoFilter ref="A2:N60" xr:uid="{00000000-0009-0000-0000-000008000000}"/>
  <mergeCells count="27">
    <mergeCell ref="B56:B60"/>
    <mergeCell ref="N56:N60"/>
    <mergeCell ref="B46:B49"/>
    <mergeCell ref="N46:N49"/>
    <mergeCell ref="B53:B54"/>
    <mergeCell ref="N53:N55"/>
    <mergeCell ref="B50:B52"/>
    <mergeCell ref="N50:N52"/>
    <mergeCell ref="B32:B36"/>
    <mergeCell ref="N32:N36"/>
    <mergeCell ref="B37:B38"/>
    <mergeCell ref="N37:N38"/>
    <mergeCell ref="B39:B44"/>
    <mergeCell ref="N39:N44"/>
    <mergeCell ref="B27:B30"/>
    <mergeCell ref="N27:N30"/>
    <mergeCell ref="B12:B18"/>
    <mergeCell ref="N12:N18"/>
    <mergeCell ref="B19:B21"/>
    <mergeCell ref="B22:B26"/>
    <mergeCell ref="N22:N26"/>
    <mergeCell ref="B1:I1"/>
    <mergeCell ref="J1:M1"/>
    <mergeCell ref="B3:B7"/>
    <mergeCell ref="N3:N7"/>
    <mergeCell ref="B8:B11"/>
    <mergeCell ref="N8:N11"/>
  </mergeCells>
  <phoneticPr fontId="71"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00"/>
  </sheetPr>
  <dimension ref="B1:N52"/>
  <sheetViews>
    <sheetView showGridLines="0" workbookViewId="0">
      <pane ySplit="2" topLeftCell="A24" activePane="bottomLeft" state="frozen"/>
      <selection activeCell="J12" sqref="J12"/>
      <selection pane="bottomLeft" activeCell="AA2" sqref="AA2"/>
    </sheetView>
  </sheetViews>
  <sheetFormatPr defaultColWidth="9.109375" defaultRowHeight="13.8"/>
  <cols>
    <col min="1" max="1" width="2" style="14" customWidth="1"/>
    <col min="2" max="2" width="11.6640625" style="116" customWidth="1"/>
    <col min="3" max="3" width="21.6640625" style="14" customWidth="1"/>
    <col min="4" max="4" width="9.109375" style="14" customWidth="1"/>
    <col min="5" max="13" width="9.109375" style="14"/>
    <col min="14" max="14" width="16.6640625" style="14" bestFit="1" customWidth="1"/>
    <col min="15" max="16384" width="9.109375" style="14"/>
  </cols>
  <sheetData>
    <row r="1" spans="2:14" ht="20.399999999999999">
      <c r="B1" s="861" t="s">
        <v>706</v>
      </c>
      <c r="C1" s="861"/>
      <c r="D1" s="861"/>
      <c r="E1" s="861"/>
      <c r="F1" s="861"/>
      <c r="G1" s="861"/>
      <c r="H1" s="861"/>
      <c r="I1" s="861"/>
      <c r="J1" s="862">
        <f>'最高报价汇总 '!F2</f>
        <v>46099</v>
      </c>
      <c r="K1" s="863"/>
      <c r="L1" s="863"/>
      <c r="M1" s="863"/>
    </row>
    <row r="2" spans="2:14" ht="17.399999999999999">
      <c r="B2" s="741" t="s">
        <v>292</v>
      </c>
      <c r="C2" s="686" t="s">
        <v>668</v>
      </c>
      <c r="D2" s="141" t="s">
        <v>290</v>
      </c>
      <c r="E2" s="141" t="s">
        <v>289</v>
      </c>
      <c r="F2" s="141" t="s">
        <v>604</v>
      </c>
      <c r="G2" s="141" t="s">
        <v>288</v>
      </c>
      <c r="H2" s="141" t="s">
        <v>287</v>
      </c>
      <c r="I2" s="141" t="s">
        <v>286</v>
      </c>
      <c r="J2" s="141" t="s">
        <v>285</v>
      </c>
      <c r="K2" s="141" t="s">
        <v>284</v>
      </c>
      <c r="L2" s="139" t="s">
        <v>283</v>
      </c>
      <c r="M2" s="140" t="s">
        <v>282</v>
      </c>
      <c r="N2" s="139" t="s">
        <v>223</v>
      </c>
    </row>
    <row r="3" spans="2:14" ht="15.6">
      <c r="B3" s="1090" t="s">
        <v>26</v>
      </c>
      <c r="C3" s="639" t="s">
        <v>695</v>
      </c>
      <c r="D3" s="602">
        <v>0</v>
      </c>
      <c r="E3" s="751">
        <v>1.0500000000000001E-2</v>
      </c>
      <c r="F3" s="751">
        <v>1.1299999999999999E-2</v>
      </c>
      <c r="G3" s="751">
        <v>1.2E-2</v>
      </c>
      <c r="H3" s="751">
        <v>8.5000000000000006E-3</v>
      </c>
      <c r="I3" s="745"/>
      <c r="J3" s="751">
        <v>8.5000000000000006E-3</v>
      </c>
      <c r="K3" s="597"/>
      <c r="L3" s="597"/>
      <c r="M3" s="599"/>
      <c r="N3" s="867"/>
    </row>
    <row r="4" spans="2:14" ht="15.6">
      <c r="B4" s="1109"/>
      <c r="C4" s="639" t="s">
        <v>696</v>
      </c>
      <c r="D4" s="602">
        <v>0</v>
      </c>
      <c r="E4" s="751">
        <v>1.2500000000000001E-2</v>
      </c>
      <c r="F4" s="751">
        <v>1.3299999999999999E-2</v>
      </c>
      <c r="G4" s="751">
        <v>1.4E-2</v>
      </c>
      <c r="H4" s="751">
        <v>1.0500000000000001E-2</v>
      </c>
      <c r="I4" s="745"/>
      <c r="J4" s="751">
        <v>1.0500000000000001E-2</v>
      </c>
      <c r="K4" s="597"/>
      <c r="L4" s="597"/>
      <c r="M4" s="599"/>
      <c r="N4" s="868"/>
    </row>
    <row r="5" spans="2:14" ht="15.6">
      <c r="B5" s="1091"/>
      <c r="C5" s="639" t="s">
        <v>697</v>
      </c>
      <c r="D5" s="600">
        <v>0</v>
      </c>
      <c r="E5" s="751">
        <v>1.2500000000000001E-2</v>
      </c>
      <c r="F5" s="751">
        <v>1.3299999999999999E-2</v>
      </c>
      <c r="G5" s="751">
        <v>1.4E-2</v>
      </c>
      <c r="H5" s="751">
        <v>1.0500000000000001E-2</v>
      </c>
      <c r="I5" s="745"/>
      <c r="J5" s="751">
        <v>1.0500000000000001E-2</v>
      </c>
      <c r="K5" s="600"/>
      <c r="L5" s="600"/>
      <c r="M5" s="601"/>
      <c r="N5" s="869"/>
    </row>
    <row r="6" spans="2:14">
      <c r="B6" s="1094" t="s">
        <v>50</v>
      </c>
      <c r="C6" s="637" t="s">
        <v>695</v>
      </c>
      <c r="D6" s="798">
        <v>7.0000000000000001E-3</v>
      </c>
      <c r="E6" s="750">
        <v>8.9999999999999993E-3</v>
      </c>
      <c r="F6" s="750">
        <v>5.4000000000000003E-3</v>
      </c>
      <c r="G6" s="750">
        <v>4.7000000000000002E-3</v>
      </c>
      <c r="H6" s="750">
        <v>5.7000000000000002E-3</v>
      </c>
      <c r="I6" s="630"/>
      <c r="J6" s="631"/>
      <c r="K6" s="631"/>
      <c r="L6" s="648"/>
      <c r="M6" s="631"/>
      <c r="N6" s="858"/>
    </row>
    <row r="7" spans="2:14">
      <c r="B7" s="1095"/>
      <c r="C7" s="676" t="s">
        <v>61</v>
      </c>
      <c r="D7" s="798">
        <v>7.0000000000000001E-3</v>
      </c>
      <c r="E7" s="750">
        <v>8.9999999999999993E-3</v>
      </c>
      <c r="F7" s="750">
        <v>5.4000000000000003E-3</v>
      </c>
      <c r="G7" s="750">
        <v>4.7000000000000002E-3</v>
      </c>
      <c r="H7" s="750">
        <v>7.1999999999999998E-3</v>
      </c>
      <c r="I7" s="630"/>
      <c r="J7" s="631"/>
      <c r="K7" s="640"/>
      <c r="L7" s="648"/>
      <c r="M7" s="631"/>
      <c r="N7" s="859"/>
    </row>
    <row r="8" spans="2:14">
      <c r="B8" s="1095"/>
      <c r="C8" s="676" t="s">
        <v>707</v>
      </c>
      <c r="D8" s="798">
        <v>7.0000000000000001E-3</v>
      </c>
      <c r="E8" s="750">
        <v>2.8999999999999998E-3</v>
      </c>
      <c r="F8" s="750">
        <v>5.4000000000000003E-3</v>
      </c>
      <c r="G8" s="750">
        <v>5.1999999999999998E-3</v>
      </c>
      <c r="H8" s="750">
        <v>8.0999999999999996E-3</v>
      </c>
      <c r="I8" s="630"/>
      <c r="J8" s="631"/>
      <c r="K8" s="640"/>
      <c r="L8" s="648"/>
      <c r="M8" s="631"/>
      <c r="N8" s="859"/>
    </row>
    <row r="9" spans="2:14">
      <c r="B9" s="1096"/>
      <c r="C9" s="637" t="s">
        <v>708</v>
      </c>
      <c r="D9" s="798">
        <v>7.0000000000000001E-3</v>
      </c>
      <c r="E9" s="750">
        <v>2.8999999999999998E-3</v>
      </c>
      <c r="F9" s="750">
        <v>5.4000000000000003E-3</v>
      </c>
      <c r="G9" s="750">
        <v>5.1999999999999998E-3</v>
      </c>
      <c r="H9" s="750">
        <v>8.0999999999999996E-3</v>
      </c>
      <c r="I9" s="630"/>
      <c r="J9" s="631"/>
      <c r="K9" s="640"/>
      <c r="L9" s="648"/>
      <c r="M9" s="631"/>
      <c r="N9" s="860"/>
    </row>
    <row r="10" spans="2:14">
      <c r="B10" s="1100" t="s">
        <v>23</v>
      </c>
      <c r="C10" s="677" t="s">
        <v>95</v>
      </c>
      <c r="D10" s="632"/>
      <c r="E10" s="632"/>
      <c r="F10" s="632"/>
      <c r="G10" s="632"/>
      <c r="H10" s="632"/>
      <c r="I10" s="633"/>
      <c r="J10" s="632"/>
      <c r="K10" s="633"/>
      <c r="L10" s="638"/>
      <c r="M10" s="638"/>
      <c r="N10" s="873"/>
    </row>
    <row r="11" spans="2:14">
      <c r="B11" s="1101"/>
      <c r="C11" s="677" t="s">
        <v>93</v>
      </c>
      <c r="D11" s="632"/>
      <c r="E11" s="632"/>
      <c r="F11" s="632"/>
      <c r="G11" s="632"/>
      <c r="H11" s="632"/>
      <c r="I11" s="633"/>
      <c r="J11" s="632"/>
      <c r="K11" s="633"/>
      <c r="L11" s="638"/>
      <c r="M11" s="638"/>
      <c r="N11" s="874"/>
    </row>
    <row r="12" spans="2:14">
      <c r="B12" s="1101"/>
      <c r="C12" s="677" t="s">
        <v>268</v>
      </c>
      <c r="D12" s="632"/>
      <c r="E12" s="632"/>
      <c r="F12" s="632"/>
      <c r="G12" s="632"/>
      <c r="H12" s="632"/>
      <c r="I12" s="633"/>
      <c r="J12" s="632"/>
      <c r="K12" s="633"/>
      <c r="L12" s="638"/>
      <c r="M12" s="638"/>
      <c r="N12" s="874"/>
    </row>
    <row r="13" spans="2:14">
      <c r="B13" s="1101"/>
      <c r="C13" s="677" t="s">
        <v>267</v>
      </c>
      <c r="D13" s="632"/>
      <c r="E13" s="632"/>
      <c r="F13" s="632"/>
      <c r="G13" s="632"/>
      <c r="H13" s="632"/>
      <c r="I13" s="633"/>
      <c r="J13" s="632"/>
      <c r="K13" s="633"/>
      <c r="L13" s="638"/>
      <c r="M13" s="638"/>
      <c r="N13" s="874"/>
    </row>
    <row r="14" spans="2:14">
      <c r="B14" s="1101"/>
      <c r="C14" s="677" t="s">
        <v>266</v>
      </c>
      <c r="D14" s="632"/>
      <c r="E14" s="632"/>
      <c r="F14" s="632"/>
      <c r="G14" s="632"/>
      <c r="H14" s="632"/>
      <c r="I14" s="633"/>
      <c r="J14" s="632"/>
      <c r="K14" s="633"/>
      <c r="L14" s="638"/>
      <c r="M14" s="638"/>
      <c r="N14" s="874"/>
    </row>
    <row r="15" spans="2:14">
      <c r="B15" s="1101"/>
      <c r="C15" s="677" t="s">
        <v>265</v>
      </c>
      <c r="D15" s="632"/>
      <c r="E15" s="632"/>
      <c r="F15" s="632"/>
      <c r="G15" s="632"/>
      <c r="H15" s="632"/>
      <c r="I15" s="633"/>
      <c r="J15" s="632"/>
      <c r="K15" s="633"/>
      <c r="L15" s="638"/>
      <c r="M15" s="638"/>
      <c r="N15" s="874"/>
    </row>
    <row r="16" spans="2:14">
      <c r="B16" s="1102"/>
      <c r="C16" s="638" t="s">
        <v>264</v>
      </c>
      <c r="D16" s="632"/>
      <c r="E16" s="632"/>
      <c r="F16" s="632"/>
      <c r="G16" s="632"/>
      <c r="H16" s="632"/>
      <c r="I16" s="633"/>
      <c r="J16" s="632"/>
      <c r="K16" s="633"/>
      <c r="L16" s="638"/>
      <c r="M16" s="638"/>
      <c r="N16" s="875"/>
    </row>
    <row r="17" spans="2:14" ht="15.6">
      <c r="B17" s="1106" t="s">
        <v>35</v>
      </c>
      <c r="C17" s="678" t="s">
        <v>280</v>
      </c>
      <c r="D17" s="634"/>
      <c r="E17" s="635"/>
      <c r="F17" s="635"/>
      <c r="G17" s="635"/>
      <c r="H17" s="635"/>
      <c r="I17" s="635"/>
      <c r="J17" s="635"/>
      <c r="K17" s="630"/>
      <c r="L17" s="630"/>
      <c r="M17" s="630"/>
      <c r="N17" s="678"/>
    </row>
    <row r="18" spans="2:14" ht="15.6">
      <c r="B18" s="1107"/>
      <c r="C18" s="678" t="s">
        <v>279</v>
      </c>
      <c r="D18" s="634"/>
      <c r="E18" s="635"/>
      <c r="F18" s="635"/>
      <c r="G18" s="635"/>
      <c r="H18" s="635"/>
      <c r="I18" s="635"/>
      <c r="J18" s="635"/>
      <c r="K18" s="630"/>
      <c r="L18" s="630"/>
      <c r="M18" s="630"/>
      <c r="N18" s="678"/>
    </row>
    <row r="19" spans="2:14" ht="15.6">
      <c r="B19" s="1108"/>
      <c r="C19" s="631" t="s">
        <v>66</v>
      </c>
      <c r="D19" s="634"/>
      <c r="E19" s="635"/>
      <c r="F19" s="635"/>
      <c r="G19" s="635"/>
      <c r="H19" s="635"/>
      <c r="I19" s="635"/>
      <c r="J19" s="635"/>
      <c r="K19" s="630"/>
      <c r="L19" s="630"/>
      <c r="M19" s="630"/>
      <c r="N19" s="631"/>
    </row>
    <row r="20" spans="2:14">
      <c r="B20" s="1090" t="s">
        <v>46</v>
      </c>
      <c r="C20" s="639" t="s">
        <v>791</v>
      </c>
      <c r="D20" s="794">
        <v>2.5000000000000001E-3</v>
      </c>
      <c r="E20" s="794">
        <v>6.0000000000000001E-3</v>
      </c>
      <c r="F20" s="794">
        <v>8.0000000000000002E-3</v>
      </c>
      <c r="G20" s="794">
        <v>8.9999999999999993E-3</v>
      </c>
      <c r="H20" s="794">
        <v>1.2500000000000001E-2</v>
      </c>
      <c r="I20" s="636"/>
      <c r="J20" s="794">
        <v>1.6E-2</v>
      </c>
      <c r="K20" s="636"/>
      <c r="L20" s="636"/>
      <c r="M20" s="636"/>
      <c r="N20" s="867"/>
    </row>
    <row r="21" spans="2:14">
      <c r="B21" s="1109"/>
      <c r="C21" s="639" t="s">
        <v>619</v>
      </c>
      <c r="D21" s="794">
        <v>3.5000000000000001E-3</v>
      </c>
      <c r="E21" s="794">
        <v>7.0000000000000001E-3</v>
      </c>
      <c r="F21" s="794">
        <v>8.9999999999999993E-3</v>
      </c>
      <c r="G21" s="794">
        <v>0.01</v>
      </c>
      <c r="H21" s="794">
        <v>1.35E-2</v>
      </c>
      <c r="I21" s="636"/>
      <c r="J21" s="794">
        <v>1.7000000000000001E-2</v>
      </c>
      <c r="K21" s="636"/>
      <c r="L21" s="636"/>
      <c r="M21" s="636"/>
      <c r="N21" s="868"/>
    </row>
    <row r="22" spans="2:14">
      <c r="B22" s="1091"/>
      <c r="C22" s="639" t="s">
        <v>620</v>
      </c>
      <c r="D22" s="794">
        <v>4.4999999999999997E-3</v>
      </c>
      <c r="E22" s="794">
        <v>8.0000000000000002E-3</v>
      </c>
      <c r="F22" s="794">
        <v>0.01</v>
      </c>
      <c r="G22" s="794">
        <v>1.0999999999999999E-2</v>
      </c>
      <c r="H22" s="794">
        <v>1.4500000000000001E-2</v>
      </c>
      <c r="I22" s="636"/>
      <c r="J22" s="794">
        <v>1.7999999999999999E-2</v>
      </c>
      <c r="K22" s="636"/>
      <c r="L22" s="636"/>
      <c r="M22" s="636"/>
      <c r="N22" s="869"/>
    </row>
    <row r="23" spans="2:14">
      <c r="B23" s="1094" t="s">
        <v>20</v>
      </c>
      <c r="C23" s="637" t="s">
        <v>621</v>
      </c>
      <c r="D23" s="629"/>
      <c r="E23" s="629"/>
      <c r="F23" s="40"/>
      <c r="G23" s="637"/>
      <c r="H23" s="637"/>
      <c r="I23" s="637"/>
      <c r="J23" s="637"/>
      <c r="K23" s="640"/>
      <c r="L23" s="641"/>
      <c r="M23" s="647"/>
      <c r="N23" s="858"/>
    </row>
    <row r="24" spans="2:14">
      <c r="B24" s="1095"/>
      <c r="C24" s="637" t="s">
        <v>622</v>
      </c>
      <c r="D24" s="629"/>
      <c r="E24" s="40"/>
      <c r="F24" s="40"/>
      <c r="G24" s="637"/>
      <c r="H24" s="637"/>
      <c r="I24" s="637"/>
      <c r="J24" s="637"/>
      <c r="K24" s="640"/>
      <c r="L24" s="641"/>
      <c r="M24" s="647"/>
      <c r="N24" s="859"/>
    </row>
    <row r="25" spans="2:14">
      <c r="B25" s="1095"/>
      <c r="C25" s="637" t="s">
        <v>623</v>
      </c>
      <c r="D25" s="629"/>
      <c r="E25" s="40"/>
      <c r="F25" s="40"/>
      <c r="G25" s="637"/>
      <c r="H25" s="637"/>
      <c r="I25" s="637"/>
      <c r="J25" s="637"/>
      <c r="K25" s="640"/>
      <c r="L25" s="641"/>
      <c r="M25" s="647"/>
      <c r="N25" s="859"/>
    </row>
    <row r="26" spans="2:14">
      <c r="B26" s="1096"/>
      <c r="C26" s="637" t="s">
        <v>624</v>
      </c>
      <c r="D26" s="629"/>
      <c r="E26" s="40"/>
      <c r="F26" s="40"/>
      <c r="G26" s="637"/>
      <c r="H26" s="637"/>
      <c r="I26" s="637"/>
      <c r="J26" s="637"/>
      <c r="K26" s="640"/>
      <c r="L26" s="641"/>
      <c r="M26" s="647"/>
      <c r="N26" s="860"/>
    </row>
    <row r="27" spans="2:14" ht="15.6">
      <c r="B27" s="127" t="s">
        <v>44</v>
      </c>
      <c r="C27" s="636" t="s">
        <v>278</v>
      </c>
      <c r="D27" s="602"/>
      <c r="E27" s="598"/>
      <c r="F27" s="598"/>
      <c r="G27" s="598"/>
      <c r="H27" s="598"/>
      <c r="I27" s="598"/>
      <c r="J27" s="598"/>
      <c r="K27" s="598"/>
      <c r="L27" s="598"/>
      <c r="M27" s="636"/>
      <c r="N27" s="636"/>
    </row>
    <row r="28" spans="2:14">
      <c r="B28" s="1094" t="s">
        <v>277</v>
      </c>
      <c r="C28" s="678" t="s">
        <v>692</v>
      </c>
      <c r="D28" s="40"/>
      <c r="E28" s="40">
        <v>3.0000000000000001E-3</v>
      </c>
      <c r="F28" s="40"/>
      <c r="G28" s="40">
        <v>0.01</v>
      </c>
      <c r="H28" s="40">
        <v>1.7999999999999999E-2</v>
      </c>
      <c r="I28" s="40"/>
      <c r="J28" s="40"/>
      <c r="K28" s="40"/>
      <c r="L28" s="40"/>
      <c r="M28" s="40"/>
      <c r="N28" s="879"/>
    </row>
    <row r="29" spans="2:14" ht="27.6">
      <c r="B29" s="1095"/>
      <c r="C29" s="678" t="s">
        <v>612</v>
      </c>
      <c r="D29" s="40"/>
      <c r="E29" s="40">
        <v>3.0000000000000001E-3</v>
      </c>
      <c r="F29" s="40"/>
      <c r="G29" s="40">
        <v>0.01</v>
      </c>
      <c r="H29" s="40">
        <v>1.7999999999999999E-2</v>
      </c>
      <c r="I29" s="40"/>
      <c r="J29" s="40"/>
      <c r="K29" s="40"/>
      <c r="L29" s="40"/>
      <c r="M29" s="40"/>
      <c r="N29" s="880"/>
    </row>
    <row r="30" spans="2:14" ht="15" customHeight="1">
      <c r="B30" s="1096"/>
      <c r="C30" s="678" t="s">
        <v>613</v>
      </c>
      <c r="D30" s="40"/>
      <c r="E30" s="40">
        <v>4.0000000000000001E-3</v>
      </c>
      <c r="F30" s="40"/>
      <c r="G30" s="40">
        <v>1.0999999999999999E-2</v>
      </c>
      <c r="H30" s="40">
        <v>1.9E-2</v>
      </c>
      <c r="I30" s="40"/>
      <c r="J30" s="40"/>
      <c r="K30" s="40"/>
      <c r="L30" s="40"/>
      <c r="M30" s="40"/>
      <c r="N30" s="1180"/>
    </row>
    <row r="31" spans="2:14">
      <c r="B31" s="1100" t="s">
        <v>48</v>
      </c>
      <c r="C31" s="638" t="s">
        <v>71</v>
      </c>
      <c r="D31" s="602"/>
      <c r="E31" s="632"/>
      <c r="F31" s="632"/>
      <c r="G31" s="632"/>
      <c r="H31" s="632"/>
      <c r="I31" s="632"/>
      <c r="J31" s="632"/>
      <c r="K31" s="638"/>
      <c r="L31" s="632"/>
      <c r="M31" s="643"/>
      <c r="N31" s="881"/>
    </row>
    <row r="32" spans="2:14" ht="15.75" customHeight="1">
      <c r="B32" s="1102"/>
      <c r="C32" s="638" t="s">
        <v>74</v>
      </c>
      <c r="D32" s="602"/>
      <c r="E32" s="638"/>
      <c r="F32" s="638"/>
      <c r="G32" s="638"/>
      <c r="H32" s="638"/>
      <c r="I32" s="638"/>
      <c r="J32" s="638"/>
      <c r="K32" s="638"/>
      <c r="L32" s="638"/>
      <c r="M32" s="644"/>
      <c r="N32" s="882"/>
    </row>
    <row r="33" spans="2:14" ht="15.6">
      <c r="B33" s="1094" t="s">
        <v>33</v>
      </c>
      <c r="C33" s="676" t="s">
        <v>702</v>
      </c>
      <c r="D33" s="629"/>
      <c r="E33" s="631">
        <v>0</v>
      </c>
      <c r="F33" s="629"/>
      <c r="G33" s="40">
        <v>0</v>
      </c>
      <c r="H33" s="40">
        <v>1.5E-3</v>
      </c>
      <c r="I33" s="629"/>
      <c r="J33" s="40">
        <v>4.0000000000000001E-3</v>
      </c>
      <c r="K33" s="637"/>
      <c r="L33" s="645"/>
      <c r="M33" s="646"/>
      <c r="N33" s="1181"/>
    </row>
    <row r="34" spans="2:14" ht="15" customHeight="1">
      <c r="B34" s="1095"/>
      <c r="C34" s="676" t="s">
        <v>703</v>
      </c>
      <c r="D34" s="629"/>
      <c r="E34" s="631">
        <v>0</v>
      </c>
      <c r="F34" s="629"/>
      <c r="G34" s="40">
        <v>0</v>
      </c>
      <c r="H34" s="40">
        <v>1.5E-3</v>
      </c>
      <c r="I34" s="629"/>
      <c r="J34" s="40">
        <v>4.0000000000000001E-3</v>
      </c>
      <c r="K34" s="637"/>
      <c r="L34" s="645"/>
      <c r="M34" s="646"/>
      <c r="N34" s="884"/>
    </row>
    <row r="35" spans="2:14" ht="15.6">
      <c r="B35" s="1095"/>
      <c r="C35" s="637" t="s">
        <v>704</v>
      </c>
      <c r="D35" s="629"/>
      <c r="E35" s="631">
        <v>0</v>
      </c>
      <c r="F35" s="629"/>
      <c r="G35" s="40">
        <v>1E-3</v>
      </c>
      <c r="H35" s="40">
        <v>3.5000000000000001E-3</v>
      </c>
      <c r="I35" s="629"/>
      <c r="J35" s="40">
        <v>6.0000000000000001E-3</v>
      </c>
      <c r="K35" s="637"/>
      <c r="L35" s="645"/>
      <c r="M35" s="646"/>
      <c r="N35" s="884"/>
    </row>
    <row r="36" spans="2:14">
      <c r="B36" s="1096"/>
      <c r="C36" s="637" t="s">
        <v>705</v>
      </c>
      <c r="D36" s="629"/>
      <c r="E36" s="631">
        <v>0</v>
      </c>
      <c r="F36" s="629"/>
      <c r="G36" s="40">
        <v>1E-3</v>
      </c>
      <c r="H36" s="40">
        <v>3.5000000000000001E-3</v>
      </c>
      <c r="I36" s="629"/>
      <c r="J36" s="40">
        <v>6.0000000000000001E-3</v>
      </c>
      <c r="K36" s="637"/>
      <c r="L36" s="637"/>
      <c r="M36" s="646"/>
      <c r="N36" s="885"/>
    </row>
    <row r="37" spans="2:14" ht="15.6">
      <c r="B37" s="766" t="s">
        <v>12</v>
      </c>
      <c r="C37" s="636" t="s">
        <v>625</v>
      </c>
      <c r="D37" s="751">
        <v>5.8999999999999999E-3</v>
      </c>
      <c r="E37" s="751">
        <v>1.1900000000000001E-2</v>
      </c>
      <c r="F37" s="751">
        <v>1.44E-2</v>
      </c>
      <c r="G37" s="751">
        <v>1.55E-2</v>
      </c>
      <c r="H37" s="751">
        <v>1.7999999999999999E-2</v>
      </c>
      <c r="I37" s="751"/>
      <c r="J37" s="751">
        <v>1.7600000000000001E-2</v>
      </c>
      <c r="K37" s="598"/>
      <c r="L37" s="598"/>
      <c r="M37" s="601"/>
      <c r="N37" s="679"/>
    </row>
    <row r="38" spans="2:14">
      <c r="B38" s="1094" t="s">
        <v>42</v>
      </c>
      <c r="C38" s="637" t="s">
        <v>627</v>
      </c>
      <c r="D38" s="629">
        <v>1E-4</v>
      </c>
      <c r="E38" s="637">
        <v>1.66E-2</v>
      </c>
      <c r="F38" s="637">
        <v>1.66E-2</v>
      </c>
      <c r="G38" s="40">
        <v>1.66E-2</v>
      </c>
      <c r="H38" s="637">
        <v>1.3100000000000001E-2</v>
      </c>
      <c r="I38" s="637">
        <v>1.3100000000000001E-2</v>
      </c>
      <c r="J38" s="637">
        <v>1.3100000000000001E-2</v>
      </c>
      <c r="K38" s="637"/>
      <c r="L38" s="637"/>
      <c r="M38" s="647"/>
      <c r="N38" s="858"/>
    </row>
    <row r="39" spans="2:14">
      <c r="B39" s="1095"/>
      <c r="C39" s="637" t="s">
        <v>628</v>
      </c>
      <c r="D39" s="629">
        <v>1E-4</v>
      </c>
      <c r="E39" s="637">
        <v>1.67E-2</v>
      </c>
      <c r="F39" s="637">
        <v>1.67E-2</v>
      </c>
      <c r="G39" s="40">
        <v>1.67E-2</v>
      </c>
      <c r="H39" s="637">
        <v>1.32E-2</v>
      </c>
      <c r="I39" s="637">
        <v>1.32E-2</v>
      </c>
      <c r="J39" s="637">
        <v>1.32E-2</v>
      </c>
      <c r="K39" s="637"/>
      <c r="L39" s="637"/>
      <c r="M39" s="647"/>
      <c r="N39" s="859"/>
    </row>
    <row r="40" spans="2:14">
      <c r="B40" s="1095"/>
      <c r="C40" s="637" t="s">
        <v>629</v>
      </c>
      <c r="D40" s="629">
        <v>1E-4</v>
      </c>
      <c r="E40" s="637">
        <v>1.6799999999999999E-2</v>
      </c>
      <c r="F40" s="637">
        <v>1.6799999999999999E-2</v>
      </c>
      <c r="G40" s="40">
        <v>1.6799999999999999E-2</v>
      </c>
      <c r="H40" s="637">
        <v>1.3299999999999999E-2</v>
      </c>
      <c r="I40" s="637">
        <v>1.3299999999999999E-2</v>
      </c>
      <c r="J40" s="637">
        <v>1.3299999999999999E-2</v>
      </c>
      <c r="K40" s="637"/>
      <c r="L40" s="637"/>
      <c r="M40" s="647"/>
      <c r="N40" s="859"/>
    </row>
    <row r="41" spans="2:14">
      <c r="B41" s="1096"/>
      <c r="C41" s="637" t="s">
        <v>630</v>
      </c>
      <c r="D41" s="629">
        <v>1E-4</v>
      </c>
      <c r="E41" s="637">
        <v>1.7000000000000001E-2</v>
      </c>
      <c r="F41" s="637">
        <v>1.7000000000000001E-2</v>
      </c>
      <c r="G41" s="40">
        <v>1.7000000000000001E-2</v>
      </c>
      <c r="H41" s="637">
        <v>1.35E-2</v>
      </c>
      <c r="I41" s="637">
        <v>1.35E-2</v>
      </c>
      <c r="J41" s="637">
        <v>1.35E-2</v>
      </c>
      <c r="K41" s="637"/>
      <c r="L41" s="637"/>
      <c r="M41" s="647"/>
      <c r="N41" s="860"/>
    </row>
    <row r="42" spans="2:14" ht="15.6">
      <c r="B42" s="1090" t="s">
        <v>37</v>
      </c>
      <c r="C42" s="639" t="s">
        <v>631</v>
      </c>
      <c r="D42" s="602"/>
      <c r="E42" s="600"/>
      <c r="F42" s="600"/>
      <c r="G42" s="639"/>
      <c r="H42" s="639"/>
      <c r="I42" s="639"/>
      <c r="J42" s="639"/>
      <c r="K42" s="639"/>
      <c r="L42" s="636"/>
      <c r="M42" s="558"/>
      <c r="N42" s="867"/>
    </row>
    <row r="43" spans="2:14" ht="14.1" customHeight="1">
      <c r="B43" s="1109"/>
      <c r="C43" s="639" t="s">
        <v>632</v>
      </c>
      <c r="D43" s="602"/>
      <c r="E43" s="600"/>
      <c r="F43" s="600"/>
      <c r="G43" s="639"/>
      <c r="H43" s="639"/>
      <c r="I43" s="639"/>
      <c r="J43" s="639"/>
      <c r="K43" s="639"/>
      <c r="L43" s="636"/>
      <c r="M43" s="558"/>
      <c r="N43" s="868"/>
    </row>
    <row r="44" spans="2:14" ht="15.6">
      <c r="B44" s="1091"/>
      <c r="C44" s="639" t="s">
        <v>633</v>
      </c>
      <c r="D44" s="602"/>
      <c r="E44" s="600"/>
      <c r="F44" s="600"/>
      <c r="G44" s="639"/>
      <c r="H44" s="639"/>
      <c r="I44" s="639"/>
      <c r="J44" s="639"/>
      <c r="K44" s="639"/>
      <c r="L44" s="636"/>
      <c r="M44" s="558"/>
      <c r="N44" s="869"/>
    </row>
    <row r="45" spans="2:14">
      <c r="B45" s="1094" t="s">
        <v>31</v>
      </c>
      <c r="C45" s="637" t="s">
        <v>71</v>
      </c>
      <c r="D45" s="629"/>
      <c r="E45" s="637"/>
      <c r="F45" s="637"/>
      <c r="G45" s="637"/>
      <c r="H45" s="637"/>
      <c r="I45" s="637"/>
      <c r="J45" s="637"/>
      <c r="K45" s="637"/>
      <c r="L45" s="637"/>
      <c r="M45" s="646"/>
      <c r="N45" s="858"/>
    </row>
    <row r="46" spans="2:14">
      <c r="B46" s="1096"/>
      <c r="C46" s="637" t="s">
        <v>74</v>
      </c>
      <c r="D46" s="629"/>
      <c r="E46" s="637"/>
      <c r="F46" s="637"/>
      <c r="G46" s="637"/>
      <c r="H46" s="637"/>
      <c r="I46" s="637"/>
      <c r="J46" s="637"/>
      <c r="K46" s="637"/>
      <c r="L46" s="637"/>
      <c r="M46" s="637"/>
      <c r="N46" s="859"/>
    </row>
    <row r="47" spans="2:14" ht="15.6">
      <c r="B47" s="762" t="s">
        <v>29</v>
      </c>
      <c r="C47" s="637" t="s">
        <v>700</v>
      </c>
      <c r="D47" s="629"/>
      <c r="E47" s="752">
        <v>1.04E-2</v>
      </c>
      <c r="F47" s="637"/>
      <c r="G47" s="752">
        <v>1.3729999999999999E-2</v>
      </c>
      <c r="H47" s="752">
        <v>1.5779999999999999E-2</v>
      </c>
      <c r="I47" s="752"/>
      <c r="J47" s="752">
        <v>1.7979999999999999E-2</v>
      </c>
      <c r="K47" s="637"/>
      <c r="L47" s="637"/>
      <c r="M47" s="646"/>
      <c r="N47" s="860"/>
    </row>
    <row r="48" spans="2:14" ht="15.6">
      <c r="B48" s="1090" t="s">
        <v>39</v>
      </c>
      <c r="C48" s="638" t="s">
        <v>695</v>
      </c>
      <c r="D48" s="602"/>
      <c r="E48" s="794">
        <v>4.8999999999999998E-3</v>
      </c>
      <c r="F48" s="794">
        <v>6.4999999999999997E-3</v>
      </c>
      <c r="G48" s="754">
        <v>7.4999999999999997E-3</v>
      </c>
      <c r="H48" s="794">
        <v>8.5000000000000006E-3</v>
      </c>
      <c r="I48" s="636"/>
      <c r="J48" s="794">
        <v>1.0200000000000001E-2</v>
      </c>
      <c r="K48" s="559"/>
      <c r="L48" s="615"/>
      <c r="M48" s="558"/>
      <c r="N48" s="867"/>
    </row>
    <row r="49" spans="2:14" ht="15.6">
      <c r="B49" s="1109"/>
      <c r="C49" s="639" t="s">
        <v>61</v>
      </c>
      <c r="D49" s="602"/>
      <c r="E49" s="794">
        <v>5.1000000000000004E-3</v>
      </c>
      <c r="F49" s="794">
        <v>6.7000000000000002E-3</v>
      </c>
      <c r="G49" s="754">
        <v>7.7000000000000002E-3</v>
      </c>
      <c r="H49" s="794">
        <v>8.6999999999999994E-3</v>
      </c>
      <c r="I49" s="598"/>
      <c r="J49" s="794">
        <v>1.04E-2</v>
      </c>
      <c r="K49" s="636"/>
      <c r="L49" s="615"/>
      <c r="M49" s="636"/>
      <c r="N49" s="868"/>
    </row>
    <row r="50" spans="2:14" ht="15.6">
      <c r="B50" s="1109"/>
      <c r="C50" s="639" t="s">
        <v>707</v>
      </c>
      <c r="D50" s="602"/>
      <c r="E50" s="794">
        <v>5.4000000000000003E-3</v>
      </c>
      <c r="F50" s="794">
        <v>7.0000000000000001E-3</v>
      </c>
      <c r="G50" s="754">
        <v>8.0000000000000002E-3</v>
      </c>
      <c r="H50" s="794">
        <v>8.9999999999999993E-3</v>
      </c>
      <c r="I50" s="598"/>
      <c r="J50" s="794">
        <v>1.0699999999999999E-2</v>
      </c>
      <c r="K50" s="636"/>
      <c r="L50" s="615"/>
      <c r="M50" s="636"/>
      <c r="N50" s="868"/>
    </row>
    <row r="51" spans="2:14" ht="15.6">
      <c r="B51" s="1109"/>
      <c r="C51" s="639" t="s">
        <v>708</v>
      </c>
      <c r="D51" s="602"/>
      <c r="E51" s="794">
        <v>5.8999999999999999E-3</v>
      </c>
      <c r="F51" s="794">
        <v>7.4999999999999997E-3</v>
      </c>
      <c r="G51" s="754">
        <v>8.5000000000000006E-3</v>
      </c>
      <c r="H51" s="794">
        <v>9.4999999999999998E-3</v>
      </c>
      <c r="I51" s="598"/>
      <c r="J51" s="794">
        <v>1.12E-2</v>
      </c>
      <c r="K51" s="636"/>
      <c r="L51" s="615"/>
      <c r="M51" s="636"/>
      <c r="N51" s="868"/>
    </row>
    <row r="52" spans="2:14" ht="15.6">
      <c r="B52" s="1091"/>
      <c r="C52" s="639" t="s">
        <v>709</v>
      </c>
      <c r="D52" s="602"/>
      <c r="E52" s="794">
        <v>6.1000000000000004E-3</v>
      </c>
      <c r="F52" s="794">
        <v>7.7000000000000002E-3</v>
      </c>
      <c r="G52" s="754">
        <v>8.6999999999999994E-3</v>
      </c>
      <c r="H52" s="794">
        <v>9.7000000000000003E-3</v>
      </c>
      <c r="I52" s="598"/>
      <c r="J52" s="794">
        <v>1.14E-2</v>
      </c>
      <c r="K52" s="636"/>
      <c r="L52" s="615"/>
      <c r="M52" s="636"/>
      <c r="N52" s="869"/>
    </row>
  </sheetData>
  <autoFilter ref="A2:N58" xr:uid="{00000000-0009-0000-0000-000009000000}"/>
  <mergeCells count="27">
    <mergeCell ref="N31:N32"/>
    <mergeCell ref="B28:B30"/>
    <mergeCell ref="N28:N30"/>
    <mergeCell ref="B48:B52"/>
    <mergeCell ref="N48:N52"/>
    <mergeCell ref="B38:B41"/>
    <mergeCell ref="N38:N41"/>
    <mergeCell ref="B42:B44"/>
    <mergeCell ref="N42:N44"/>
    <mergeCell ref="B45:B46"/>
    <mergeCell ref="N45:N47"/>
    <mergeCell ref="B33:B36"/>
    <mergeCell ref="N33:N36"/>
    <mergeCell ref="B31:B32"/>
    <mergeCell ref="B23:B26"/>
    <mergeCell ref="N23:N26"/>
    <mergeCell ref="B1:I1"/>
    <mergeCell ref="J1:M1"/>
    <mergeCell ref="B6:B9"/>
    <mergeCell ref="N6:N9"/>
    <mergeCell ref="B10:B16"/>
    <mergeCell ref="N10:N16"/>
    <mergeCell ref="B17:B19"/>
    <mergeCell ref="B20:B22"/>
    <mergeCell ref="N20:N22"/>
    <mergeCell ref="B3:B5"/>
    <mergeCell ref="N3:N5"/>
  </mergeCells>
  <phoneticPr fontId="71"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FF00"/>
  </sheetPr>
  <dimension ref="B1:N59"/>
  <sheetViews>
    <sheetView showGridLines="0" workbookViewId="0">
      <pane ySplit="2" topLeftCell="A36" activePane="bottomLeft" state="frozen"/>
      <selection activeCell="J12" sqref="J12"/>
      <selection pane="bottomLeft" activeCell="M39" sqref="M39"/>
    </sheetView>
  </sheetViews>
  <sheetFormatPr defaultColWidth="9.109375" defaultRowHeight="13.8"/>
  <cols>
    <col min="1" max="1" width="2" style="14" customWidth="1"/>
    <col min="2" max="2" width="11.6640625" style="116" customWidth="1"/>
    <col min="3" max="3" width="21.6640625" style="14" customWidth="1"/>
    <col min="4" max="4" width="9.109375" style="14" customWidth="1"/>
    <col min="5" max="13" width="9.109375" style="14"/>
    <col min="14" max="14" width="16.6640625" style="14" bestFit="1" customWidth="1"/>
    <col min="15" max="16384" width="9.109375" style="14"/>
  </cols>
  <sheetData>
    <row r="1" spans="2:14" ht="20.399999999999999">
      <c r="B1" s="861" t="s">
        <v>689</v>
      </c>
      <c r="C1" s="861"/>
      <c r="D1" s="861"/>
      <c r="E1" s="861"/>
      <c r="F1" s="861"/>
      <c r="G1" s="861"/>
      <c r="H1" s="861"/>
      <c r="I1" s="861"/>
      <c r="J1" s="862">
        <f>'最高报价汇总 '!F2</f>
        <v>46099</v>
      </c>
      <c r="K1" s="863"/>
      <c r="L1" s="863"/>
      <c r="M1" s="863"/>
    </row>
    <row r="2" spans="2:14" ht="17.399999999999999">
      <c r="B2" s="741" t="s">
        <v>292</v>
      </c>
      <c r="C2" s="686" t="s">
        <v>668</v>
      </c>
      <c r="D2" s="141" t="s">
        <v>290</v>
      </c>
      <c r="E2" s="141" t="s">
        <v>289</v>
      </c>
      <c r="F2" s="141" t="s">
        <v>604</v>
      </c>
      <c r="G2" s="141" t="s">
        <v>288</v>
      </c>
      <c r="H2" s="141" t="s">
        <v>287</v>
      </c>
      <c r="I2" s="141" t="s">
        <v>286</v>
      </c>
      <c r="J2" s="141" t="s">
        <v>285</v>
      </c>
      <c r="K2" s="141" t="s">
        <v>284</v>
      </c>
      <c r="L2" s="139" t="s">
        <v>283</v>
      </c>
      <c r="M2" s="140" t="s">
        <v>282</v>
      </c>
      <c r="N2" s="139" t="s">
        <v>223</v>
      </c>
    </row>
    <row r="3" spans="2:14" ht="15.6">
      <c r="B3" s="1090" t="s">
        <v>26</v>
      </c>
      <c r="C3" s="639" t="s">
        <v>605</v>
      </c>
      <c r="D3" s="602">
        <v>0</v>
      </c>
      <c r="E3" s="745">
        <v>2.47E-2</v>
      </c>
      <c r="F3" s="745">
        <v>2.52E-2</v>
      </c>
      <c r="G3" s="745">
        <v>2.5100000000000001E-2</v>
      </c>
      <c r="H3" s="745">
        <v>2.4E-2</v>
      </c>
      <c r="I3" s="597"/>
      <c r="J3" s="745">
        <v>2.6800000000000001E-2</v>
      </c>
      <c r="K3" s="597"/>
      <c r="L3" s="597"/>
      <c r="M3" s="597"/>
      <c r="N3" s="867"/>
    </row>
    <row r="4" spans="2:14" ht="15.6">
      <c r="B4" s="1109"/>
      <c r="C4" s="639" t="s">
        <v>71</v>
      </c>
      <c r="D4" s="602">
        <v>0</v>
      </c>
      <c r="E4" s="745">
        <v>2.7699999999999999E-2</v>
      </c>
      <c r="F4" s="745">
        <v>2.8199999999999999E-2</v>
      </c>
      <c r="G4" s="745">
        <v>2.7099999999999999E-2</v>
      </c>
      <c r="H4" s="745">
        <v>2.5999999999999999E-2</v>
      </c>
      <c r="I4" s="597"/>
      <c r="J4" s="745">
        <v>2.8799999999999999E-2</v>
      </c>
      <c r="K4" s="597"/>
      <c r="L4" s="597"/>
      <c r="M4" s="599"/>
      <c r="N4" s="868"/>
    </row>
    <row r="5" spans="2:14" ht="15.6">
      <c r="B5" s="1109"/>
      <c r="C5" s="639" t="s">
        <v>606</v>
      </c>
      <c r="D5" s="602">
        <v>0</v>
      </c>
      <c r="E5" s="745">
        <v>2.7699999999999999E-2</v>
      </c>
      <c r="F5" s="745">
        <v>2.8199999999999999E-2</v>
      </c>
      <c r="G5" s="745">
        <v>2.7099999999999999E-2</v>
      </c>
      <c r="H5" s="745">
        <v>2.5999999999999999E-2</v>
      </c>
      <c r="I5" s="597"/>
      <c r="J5" s="745">
        <v>2.8799999999999999E-2</v>
      </c>
      <c r="K5" s="597"/>
      <c r="L5" s="597"/>
      <c r="M5" s="599"/>
      <c r="N5" s="868"/>
    </row>
    <row r="6" spans="2:14" ht="15.6">
      <c r="B6" s="1109"/>
      <c r="C6" s="639" t="s">
        <v>607</v>
      </c>
      <c r="D6" s="602">
        <v>0</v>
      </c>
      <c r="E6" s="745">
        <v>3.0700000000000002E-2</v>
      </c>
      <c r="F6" s="745">
        <v>3.1199999999999999E-2</v>
      </c>
      <c r="G6" s="745">
        <v>3.0099999999999998E-2</v>
      </c>
      <c r="H6" s="745">
        <v>2.9000000000000001E-2</v>
      </c>
      <c r="I6" s="597"/>
      <c r="J6" s="745">
        <v>3.1800000000000002E-2</v>
      </c>
      <c r="K6" s="597"/>
      <c r="L6" s="597"/>
      <c r="M6" s="599"/>
      <c r="N6" s="868"/>
    </row>
    <row r="7" spans="2:14" ht="15.6">
      <c r="B7" s="1091"/>
      <c r="C7" s="639" t="s">
        <v>608</v>
      </c>
      <c r="D7" s="600">
        <v>0</v>
      </c>
      <c r="E7" s="745">
        <v>3.32E-2</v>
      </c>
      <c r="F7" s="745">
        <v>3.3700000000000001E-2</v>
      </c>
      <c r="G7" s="745">
        <v>3.2599999999999997E-2</v>
      </c>
      <c r="H7" s="745">
        <v>3.3000000000000002E-2</v>
      </c>
      <c r="I7" s="600"/>
      <c r="J7" s="745">
        <v>3.5799999999999998E-2</v>
      </c>
      <c r="K7" s="600"/>
      <c r="L7" s="600"/>
      <c r="M7" s="601"/>
      <c r="N7" s="869"/>
    </row>
    <row r="8" spans="2:14">
      <c r="B8" s="1094" t="s">
        <v>50</v>
      </c>
      <c r="C8" s="637" t="s">
        <v>71</v>
      </c>
      <c r="D8" s="629">
        <v>0</v>
      </c>
      <c r="E8" s="797">
        <v>2.3300000000000001E-2</v>
      </c>
      <c r="F8" s="797">
        <v>2.3800000000000002E-2</v>
      </c>
      <c r="G8" s="797">
        <v>2.4500000000000001E-2</v>
      </c>
      <c r="H8" s="797">
        <v>2.5700000000000001E-2</v>
      </c>
      <c r="I8" s="630"/>
      <c r="J8" s="797">
        <v>2.4799999999999999E-2</v>
      </c>
      <c r="K8" s="631"/>
      <c r="L8" s="648"/>
      <c r="M8" s="631"/>
      <c r="N8" s="858"/>
    </row>
    <row r="9" spans="2:14">
      <c r="B9" s="1095"/>
      <c r="C9" s="676" t="s">
        <v>269</v>
      </c>
      <c r="D9" s="797">
        <v>1.17E-2</v>
      </c>
      <c r="E9" s="797">
        <v>2.7300000000000001E-2</v>
      </c>
      <c r="F9" s="797">
        <v>2.7799999999999998E-2</v>
      </c>
      <c r="G9" s="797">
        <v>2.7300000000000001E-2</v>
      </c>
      <c r="H9" s="797">
        <v>2.9700000000000001E-2</v>
      </c>
      <c r="I9" s="630"/>
      <c r="J9" s="797">
        <v>2.8799999999999999E-2</v>
      </c>
      <c r="K9" s="640"/>
      <c r="L9" s="648"/>
      <c r="M9" s="631"/>
      <c r="N9" s="859"/>
    </row>
    <row r="10" spans="2:14">
      <c r="B10" s="1095"/>
      <c r="C10" s="676" t="s">
        <v>231</v>
      </c>
      <c r="D10" s="797">
        <v>1.67E-2</v>
      </c>
      <c r="E10" s="797">
        <v>2.93E-2</v>
      </c>
      <c r="F10" s="797">
        <v>2.98E-2</v>
      </c>
      <c r="G10" s="797">
        <v>0.03</v>
      </c>
      <c r="H10" s="797">
        <v>3.1199999999999999E-2</v>
      </c>
      <c r="I10" s="630"/>
      <c r="J10" s="797">
        <v>3.0800000000000001E-2</v>
      </c>
      <c r="K10" s="640"/>
      <c r="L10" s="648"/>
      <c r="M10" s="631"/>
      <c r="N10" s="859"/>
    </row>
    <row r="11" spans="2:14">
      <c r="B11" s="1096"/>
      <c r="C11" s="637" t="s">
        <v>62</v>
      </c>
      <c r="D11" s="797">
        <v>2.1700000000000001E-2</v>
      </c>
      <c r="E11" s="797">
        <v>3.1300000000000001E-2</v>
      </c>
      <c r="F11" s="797">
        <v>3.1300000000000001E-2</v>
      </c>
      <c r="G11" s="797">
        <v>3.2500000000000001E-2</v>
      </c>
      <c r="H11" s="797">
        <v>3.3700000000000001E-2</v>
      </c>
      <c r="I11" s="630"/>
      <c r="J11" s="797">
        <v>3.2300000000000002E-2</v>
      </c>
      <c r="K11" s="640"/>
      <c r="L11" s="648"/>
      <c r="M11" s="631"/>
      <c r="N11" s="860"/>
    </row>
    <row r="12" spans="2:14">
      <c r="B12" s="1100" t="s">
        <v>23</v>
      </c>
      <c r="C12" s="677" t="s">
        <v>95</v>
      </c>
      <c r="D12" s="632"/>
      <c r="E12" s="632"/>
      <c r="F12" s="632"/>
      <c r="G12" s="632"/>
      <c r="H12" s="632"/>
      <c r="I12" s="633"/>
      <c r="J12" s="632"/>
      <c r="K12" s="633"/>
      <c r="L12" s="638"/>
      <c r="M12" s="638"/>
      <c r="N12" s="873"/>
    </row>
    <row r="13" spans="2:14">
      <c r="B13" s="1101"/>
      <c r="C13" s="677" t="s">
        <v>93</v>
      </c>
      <c r="D13" s="632"/>
      <c r="E13" s="632"/>
      <c r="F13" s="632"/>
      <c r="G13" s="632"/>
      <c r="H13" s="632"/>
      <c r="I13" s="633"/>
      <c r="J13" s="632"/>
      <c r="K13" s="633"/>
      <c r="L13" s="638"/>
      <c r="M13" s="638"/>
      <c r="N13" s="874"/>
    </row>
    <row r="14" spans="2:14">
      <c r="B14" s="1101"/>
      <c r="C14" s="677" t="s">
        <v>268</v>
      </c>
      <c r="D14" s="632"/>
      <c r="E14" s="632"/>
      <c r="F14" s="632"/>
      <c r="G14" s="632"/>
      <c r="H14" s="632"/>
      <c r="I14" s="633"/>
      <c r="J14" s="632"/>
      <c r="K14" s="633"/>
      <c r="L14" s="638"/>
      <c r="M14" s="638"/>
      <c r="N14" s="874"/>
    </row>
    <row r="15" spans="2:14">
      <c r="B15" s="1101"/>
      <c r="C15" s="677" t="s">
        <v>267</v>
      </c>
      <c r="D15" s="632"/>
      <c r="E15" s="632"/>
      <c r="F15" s="632"/>
      <c r="G15" s="632"/>
      <c r="H15" s="632"/>
      <c r="I15" s="633"/>
      <c r="J15" s="632"/>
      <c r="K15" s="633"/>
      <c r="L15" s="638"/>
      <c r="M15" s="638"/>
      <c r="N15" s="874"/>
    </row>
    <row r="16" spans="2:14">
      <c r="B16" s="1101"/>
      <c r="C16" s="677" t="s">
        <v>266</v>
      </c>
      <c r="D16" s="632"/>
      <c r="E16" s="632"/>
      <c r="F16" s="632"/>
      <c r="G16" s="632"/>
      <c r="H16" s="632"/>
      <c r="I16" s="633"/>
      <c r="J16" s="632"/>
      <c r="K16" s="633"/>
      <c r="L16" s="638"/>
      <c r="M16" s="638"/>
      <c r="N16" s="874"/>
    </row>
    <row r="17" spans="2:14">
      <c r="B17" s="1101"/>
      <c r="C17" s="677" t="s">
        <v>265</v>
      </c>
      <c r="D17" s="632"/>
      <c r="E17" s="632"/>
      <c r="F17" s="632"/>
      <c r="G17" s="632"/>
      <c r="H17" s="632"/>
      <c r="I17" s="633"/>
      <c r="J17" s="632"/>
      <c r="K17" s="633"/>
      <c r="L17" s="638"/>
      <c r="M17" s="638"/>
      <c r="N17" s="874"/>
    </row>
    <row r="18" spans="2:14">
      <c r="B18" s="1102"/>
      <c r="C18" s="638" t="s">
        <v>264</v>
      </c>
      <c r="D18" s="632"/>
      <c r="E18" s="632"/>
      <c r="F18" s="632"/>
      <c r="G18" s="632"/>
      <c r="H18" s="632"/>
      <c r="I18" s="633"/>
      <c r="J18" s="632"/>
      <c r="K18" s="633"/>
      <c r="L18" s="638"/>
      <c r="M18" s="638"/>
      <c r="N18" s="875"/>
    </row>
    <row r="19" spans="2:14" ht="15.6">
      <c r="B19" s="1106" t="s">
        <v>35</v>
      </c>
      <c r="C19" s="678" t="s">
        <v>280</v>
      </c>
      <c r="D19" s="634"/>
      <c r="E19" s="635"/>
      <c r="F19" s="635"/>
      <c r="G19" s="635"/>
      <c r="H19" s="635"/>
      <c r="I19" s="635"/>
      <c r="J19" s="635"/>
      <c r="K19" s="630"/>
      <c r="L19" s="630"/>
      <c r="M19" s="630"/>
      <c r="N19" s="678"/>
    </row>
    <row r="20" spans="2:14" ht="15.6">
      <c r="B20" s="1107"/>
      <c r="C20" s="678" t="s">
        <v>279</v>
      </c>
      <c r="D20" s="634"/>
      <c r="E20" s="635"/>
      <c r="F20" s="635"/>
      <c r="G20" s="635"/>
      <c r="H20" s="635"/>
      <c r="I20" s="635"/>
      <c r="J20" s="635"/>
      <c r="K20" s="630"/>
      <c r="L20" s="630"/>
      <c r="M20" s="630"/>
      <c r="N20" s="678"/>
    </row>
    <row r="21" spans="2:14" ht="15.6">
      <c r="B21" s="1108"/>
      <c r="C21" s="631" t="s">
        <v>66</v>
      </c>
      <c r="D21" s="634"/>
      <c r="E21" s="635"/>
      <c r="F21" s="635"/>
      <c r="G21" s="635"/>
      <c r="H21" s="635"/>
      <c r="I21" s="635"/>
      <c r="J21" s="635"/>
      <c r="K21" s="630"/>
      <c r="L21" s="630"/>
      <c r="M21" s="630"/>
      <c r="N21" s="631"/>
    </row>
    <row r="22" spans="2:14" ht="15" customHeight="1">
      <c r="B22" s="1090" t="s">
        <v>46</v>
      </c>
      <c r="C22" s="639" t="s">
        <v>232</v>
      </c>
      <c r="D22" s="794">
        <v>2.2880000000000001E-2</v>
      </c>
      <c r="E22" s="794">
        <v>2.3949999999999999E-2</v>
      </c>
      <c r="F22" s="794">
        <v>2.4889999999999999E-2</v>
      </c>
      <c r="G22" s="794">
        <v>2.5829999999999999E-2</v>
      </c>
      <c r="H22" s="794">
        <v>2.8670000000000001E-2</v>
      </c>
      <c r="I22" s="794"/>
      <c r="J22" s="794">
        <v>3.2300000000000002E-2</v>
      </c>
      <c r="K22" s="636"/>
      <c r="L22" s="636"/>
      <c r="M22" s="636"/>
      <c r="N22" s="867"/>
    </row>
    <row r="23" spans="2:14" ht="15" customHeight="1">
      <c r="B23" s="1109"/>
      <c r="C23" s="639" t="s">
        <v>618</v>
      </c>
      <c r="D23" s="794">
        <v>2.3879999999999998E-2</v>
      </c>
      <c r="E23" s="794">
        <v>2.495E-2</v>
      </c>
      <c r="F23" s="794">
        <v>2.589E-2</v>
      </c>
      <c r="G23" s="794">
        <v>2.683E-2</v>
      </c>
      <c r="H23" s="794">
        <v>2.9669999999999998E-2</v>
      </c>
      <c r="I23" s="794"/>
      <c r="J23" s="794">
        <v>3.3300000000000003E-2</v>
      </c>
      <c r="K23" s="636"/>
      <c r="L23" s="636"/>
      <c r="M23" s="636"/>
      <c r="N23" s="868"/>
    </row>
    <row r="24" spans="2:14" ht="15" customHeight="1">
      <c r="B24" s="1109"/>
      <c r="C24" s="639" t="s">
        <v>619</v>
      </c>
      <c r="D24" s="794">
        <v>2.4879999999999999E-2</v>
      </c>
      <c r="E24" s="794">
        <v>2.5950000000000001E-2</v>
      </c>
      <c r="F24" s="794">
        <v>2.6890000000000001E-2</v>
      </c>
      <c r="G24" s="794">
        <v>2.7830000000000001E-2</v>
      </c>
      <c r="H24" s="794">
        <v>3.0669999999999999E-2</v>
      </c>
      <c r="I24" s="794"/>
      <c r="J24" s="794">
        <v>3.4299999999999997E-2</v>
      </c>
      <c r="K24" s="636"/>
      <c r="L24" s="636"/>
      <c r="M24" s="636"/>
      <c r="N24" s="868"/>
    </row>
    <row r="25" spans="2:14" ht="15.75" customHeight="1">
      <c r="B25" s="1091"/>
      <c r="C25" s="639" t="s">
        <v>620</v>
      </c>
      <c r="D25" s="794">
        <v>2.538E-2</v>
      </c>
      <c r="E25" s="794">
        <v>2.6450000000000001E-2</v>
      </c>
      <c r="F25" s="794">
        <v>2.7390000000000001E-2</v>
      </c>
      <c r="G25" s="794">
        <v>2.8330000000000001E-2</v>
      </c>
      <c r="H25" s="794">
        <v>3.117E-2</v>
      </c>
      <c r="I25" s="794"/>
      <c r="J25" s="794">
        <v>3.4799999999999998E-2</v>
      </c>
      <c r="K25" s="636"/>
      <c r="L25" s="636"/>
      <c r="M25" s="636"/>
      <c r="N25" s="869"/>
    </row>
    <row r="26" spans="2:14">
      <c r="B26" s="1094" t="s">
        <v>20</v>
      </c>
      <c r="C26" s="637" t="s">
        <v>621</v>
      </c>
      <c r="D26" s="629"/>
      <c r="E26" s="753">
        <v>1.9699999999999999E-2</v>
      </c>
      <c r="F26" s="753"/>
      <c r="G26" s="753">
        <v>2.23E-2</v>
      </c>
      <c r="H26" s="753">
        <v>2.3E-2</v>
      </c>
      <c r="I26" s="637"/>
      <c r="J26" s="753">
        <v>2.58E-2</v>
      </c>
      <c r="K26" s="640"/>
      <c r="L26" s="641"/>
      <c r="M26" s="647"/>
      <c r="N26" s="858"/>
    </row>
    <row r="27" spans="2:14">
      <c r="B27" s="1095"/>
      <c r="C27" s="637" t="s">
        <v>622</v>
      </c>
      <c r="D27" s="629"/>
      <c r="E27" s="753">
        <v>1.9699999999999999E-2</v>
      </c>
      <c r="F27" s="753"/>
      <c r="G27" s="753">
        <v>2.23E-2</v>
      </c>
      <c r="H27" s="753">
        <v>2.3E-2</v>
      </c>
      <c r="I27" s="637"/>
      <c r="J27" s="753">
        <v>2.58E-2</v>
      </c>
      <c r="K27" s="640"/>
      <c r="L27" s="641"/>
      <c r="M27" s="647"/>
      <c r="N27" s="859"/>
    </row>
    <row r="28" spans="2:14">
      <c r="B28" s="1095"/>
      <c r="C28" s="637" t="s">
        <v>623</v>
      </c>
      <c r="D28" s="629"/>
      <c r="E28" s="753">
        <v>2.0199999999999999E-2</v>
      </c>
      <c r="F28" s="753"/>
      <c r="G28" s="753">
        <v>2.2800000000000001E-2</v>
      </c>
      <c r="H28" s="753">
        <v>2.35E-2</v>
      </c>
      <c r="I28" s="637"/>
      <c r="J28" s="753">
        <v>2.63E-2</v>
      </c>
      <c r="K28" s="640"/>
      <c r="L28" s="641"/>
      <c r="M28" s="647"/>
      <c r="N28" s="859"/>
    </row>
    <row r="29" spans="2:14">
      <c r="B29" s="1096"/>
      <c r="C29" s="637" t="s">
        <v>624</v>
      </c>
      <c r="D29" s="629"/>
      <c r="E29" s="753">
        <v>2.0199999999999999E-2</v>
      </c>
      <c r="F29" s="753"/>
      <c r="G29" s="753">
        <v>2.2800000000000001E-2</v>
      </c>
      <c r="H29" s="753">
        <v>2.35E-2</v>
      </c>
      <c r="I29" s="637"/>
      <c r="J29" s="753">
        <v>2.63E-2</v>
      </c>
      <c r="K29" s="640"/>
      <c r="L29" s="641"/>
      <c r="M29" s="647"/>
      <c r="N29" s="860"/>
    </row>
    <row r="30" spans="2:14" ht="15.6">
      <c r="B30" s="127" t="s">
        <v>44</v>
      </c>
      <c r="C30" s="636" t="s">
        <v>563</v>
      </c>
      <c r="D30" s="602"/>
      <c r="E30" s="598"/>
      <c r="F30" s="598"/>
      <c r="G30" s="598">
        <v>1E-3</v>
      </c>
      <c r="H30" s="598">
        <v>1E-3</v>
      </c>
      <c r="I30" s="598"/>
      <c r="J30" s="598">
        <v>1E-3</v>
      </c>
      <c r="K30" s="598"/>
      <c r="L30" s="598"/>
      <c r="M30" s="636"/>
      <c r="N30" s="636"/>
    </row>
    <row r="31" spans="2:14">
      <c r="B31" s="1094" t="s">
        <v>277</v>
      </c>
      <c r="C31" s="678" t="s">
        <v>693</v>
      </c>
      <c r="D31" s="40"/>
      <c r="E31" s="40">
        <v>1.4999999999999999E-2</v>
      </c>
      <c r="F31" s="40"/>
      <c r="G31" s="40">
        <v>1.4999999999999999E-2</v>
      </c>
      <c r="H31" s="40">
        <v>1.4999999999999999E-2</v>
      </c>
      <c r="I31" s="40"/>
      <c r="J31" s="40"/>
      <c r="K31" s="40"/>
      <c r="L31" s="40"/>
      <c r="M31" s="40"/>
      <c r="N31" s="879"/>
    </row>
    <row r="32" spans="2:14">
      <c r="B32" s="1095"/>
      <c r="C32" s="678" t="s">
        <v>694</v>
      </c>
      <c r="D32" s="40"/>
      <c r="E32" s="40">
        <v>1.4999999999999999E-2</v>
      </c>
      <c r="F32" s="40"/>
      <c r="G32" s="40">
        <v>1.4999999999999999E-2</v>
      </c>
      <c r="H32" s="40">
        <v>1.4999999999999999E-2</v>
      </c>
      <c r="I32" s="40"/>
      <c r="J32" s="40"/>
      <c r="K32" s="40"/>
      <c r="L32" s="40"/>
      <c r="M32" s="40"/>
      <c r="N32" s="880"/>
    </row>
    <row r="33" spans="2:14">
      <c r="B33" s="1095"/>
      <c r="C33" s="678" t="s">
        <v>609</v>
      </c>
      <c r="D33" s="40"/>
      <c r="E33" s="40">
        <v>1.4999999999999999E-2</v>
      </c>
      <c r="F33" s="40"/>
      <c r="G33" s="40">
        <v>1.4999999999999999E-2</v>
      </c>
      <c r="H33" s="40">
        <v>1.4999999999999999E-2</v>
      </c>
      <c r="I33" s="40"/>
      <c r="J33" s="40"/>
      <c r="K33" s="40"/>
      <c r="L33" s="40"/>
      <c r="M33" s="40"/>
      <c r="N33" s="880"/>
    </row>
    <row r="34" spans="2:14" ht="27.6">
      <c r="B34" s="1095"/>
      <c r="C34" s="678" t="s">
        <v>612</v>
      </c>
      <c r="D34" s="40"/>
      <c r="E34" s="40">
        <v>1.4999999999999999E-2</v>
      </c>
      <c r="F34" s="40"/>
      <c r="G34" s="40">
        <v>1.4999999999999999E-2</v>
      </c>
      <c r="H34" s="40">
        <v>1.4999999999999999E-2</v>
      </c>
      <c r="I34" s="40"/>
      <c r="J34" s="40"/>
      <c r="K34" s="40"/>
      <c r="L34" s="40"/>
      <c r="M34" s="40"/>
      <c r="N34" s="880"/>
    </row>
    <row r="35" spans="2:14">
      <c r="B35" s="1095"/>
      <c r="C35" s="678" t="s">
        <v>613</v>
      </c>
      <c r="D35" s="40"/>
      <c r="E35" s="40">
        <v>1.6E-2</v>
      </c>
      <c r="F35" s="40"/>
      <c r="G35" s="40">
        <v>1.6E-2</v>
      </c>
      <c r="H35" s="40">
        <v>1.6E-2</v>
      </c>
      <c r="I35" s="40"/>
      <c r="J35" s="40"/>
      <c r="K35" s="40"/>
      <c r="L35" s="40"/>
      <c r="M35" s="40"/>
      <c r="N35" s="880"/>
    </row>
    <row r="36" spans="2:14">
      <c r="B36" s="1100" t="s">
        <v>48</v>
      </c>
      <c r="C36" s="638" t="s">
        <v>71</v>
      </c>
      <c r="D36" s="602"/>
      <c r="E36" s="632"/>
      <c r="F36" s="632"/>
      <c r="G36" s="632"/>
      <c r="H36" s="632"/>
      <c r="I36" s="632"/>
      <c r="J36" s="632"/>
      <c r="K36" s="638"/>
      <c r="L36" s="632"/>
      <c r="M36" s="643"/>
      <c r="N36" s="881"/>
    </row>
    <row r="37" spans="2:14">
      <c r="B37" s="1102"/>
      <c r="C37" s="638" t="s">
        <v>74</v>
      </c>
      <c r="D37" s="602"/>
      <c r="E37" s="638"/>
      <c r="F37" s="638"/>
      <c r="G37" s="638"/>
      <c r="H37" s="638"/>
      <c r="I37" s="638"/>
      <c r="J37" s="638"/>
      <c r="K37" s="638"/>
      <c r="L37" s="638"/>
      <c r="M37" s="644"/>
      <c r="N37" s="882"/>
    </row>
    <row r="38" spans="2:14" ht="15.6">
      <c r="B38" s="1094" t="s">
        <v>33</v>
      </c>
      <c r="C38" s="676" t="s">
        <v>654</v>
      </c>
      <c r="D38" s="629"/>
      <c r="E38" s="798">
        <v>1.9900000000000001E-2</v>
      </c>
      <c r="F38" s="629"/>
      <c r="G38" s="798">
        <v>2.1600000000000001E-2</v>
      </c>
      <c r="H38" s="798">
        <v>2.2100000000000002E-2</v>
      </c>
      <c r="I38" s="629"/>
      <c r="J38" s="798">
        <v>2.3699999999999999E-2</v>
      </c>
      <c r="K38" s="637"/>
      <c r="L38" s="645"/>
      <c r="M38" s="646"/>
      <c r="N38" s="883"/>
    </row>
    <row r="39" spans="2:14" ht="15.6">
      <c r="B39" s="1095"/>
      <c r="C39" s="676" t="s">
        <v>269</v>
      </c>
      <c r="D39" s="629"/>
      <c r="E39" s="798">
        <v>2.1899999999999999E-2</v>
      </c>
      <c r="F39" s="629"/>
      <c r="G39" s="798">
        <v>2.41E-2</v>
      </c>
      <c r="H39" s="798">
        <v>2.2100000000000002E-2</v>
      </c>
      <c r="I39" s="629"/>
      <c r="J39" s="798">
        <v>2.3699999999999999E-2</v>
      </c>
      <c r="K39" s="637"/>
      <c r="L39" s="645"/>
      <c r="M39" s="646"/>
      <c r="N39" s="884"/>
    </row>
    <row r="40" spans="2:14" ht="15.6">
      <c r="B40" s="1095"/>
      <c r="C40" s="676" t="s">
        <v>231</v>
      </c>
      <c r="D40" s="629"/>
      <c r="E40" s="798">
        <v>2.29E-2</v>
      </c>
      <c r="F40" s="629"/>
      <c r="G40" s="798">
        <v>2.5100000000000001E-2</v>
      </c>
      <c r="H40" s="798">
        <v>2.5100000000000001E-2</v>
      </c>
      <c r="I40" s="629"/>
      <c r="J40" s="798">
        <v>2.6700000000000002E-2</v>
      </c>
      <c r="K40" s="637"/>
      <c r="L40" s="645"/>
      <c r="M40" s="646"/>
      <c r="N40" s="884"/>
    </row>
    <row r="41" spans="2:14" ht="15.6">
      <c r="B41" s="1095"/>
      <c r="C41" s="676" t="s">
        <v>62</v>
      </c>
      <c r="D41" s="629"/>
      <c r="E41" s="798">
        <v>2.3900000000000001E-2</v>
      </c>
      <c r="F41" s="629"/>
      <c r="G41" s="798">
        <v>2.6100000000000002E-2</v>
      </c>
      <c r="H41" s="798">
        <v>2.76E-2</v>
      </c>
      <c r="I41" s="629"/>
      <c r="J41" s="798">
        <v>2.92E-2</v>
      </c>
      <c r="K41" s="637"/>
      <c r="L41" s="645"/>
      <c r="M41" s="646"/>
      <c r="N41" s="884"/>
    </row>
    <row r="42" spans="2:14" ht="15.6">
      <c r="B42" s="1095"/>
      <c r="C42" s="637" t="s">
        <v>61</v>
      </c>
      <c r="D42" s="629"/>
      <c r="E42" s="798">
        <v>2.4899999999999999E-2</v>
      </c>
      <c r="F42" s="629"/>
      <c r="G42" s="798">
        <v>2.7099999999999999E-2</v>
      </c>
      <c r="H42" s="798">
        <v>2.86E-2</v>
      </c>
      <c r="I42" s="629"/>
      <c r="J42" s="798">
        <v>3.0200000000000001E-2</v>
      </c>
      <c r="K42" s="637"/>
      <c r="L42" s="645"/>
      <c r="M42" s="646"/>
      <c r="N42" s="884"/>
    </row>
    <row r="43" spans="2:14" ht="14.1" customHeight="1">
      <c r="B43" s="1096"/>
      <c r="C43" s="637" t="s">
        <v>216</v>
      </c>
      <c r="D43" s="629"/>
      <c r="E43" s="798">
        <v>2.4899999999999999E-2</v>
      </c>
      <c r="F43" s="629"/>
      <c r="G43" s="798">
        <v>2.7099999999999999E-2</v>
      </c>
      <c r="H43" s="798">
        <v>2.86E-2</v>
      </c>
      <c r="I43" s="629"/>
      <c r="J43" s="798">
        <v>3.0200000000000001E-2</v>
      </c>
      <c r="K43" s="637"/>
      <c r="L43" s="637"/>
      <c r="M43" s="646"/>
      <c r="N43" s="885"/>
    </row>
    <row r="44" spans="2:14" ht="15.6">
      <c r="B44" s="766" t="s">
        <v>12</v>
      </c>
      <c r="C44" s="636" t="s">
        <v>625</v>
      </c>
      <c r="D44" s="602">
        <v>2.9700000000000001E-2</v>
      </c>
      <c r="E44" s="598">
        <v>3.2199999999999999E-2</v>
      </c>
      <c r="F44" s="598">
        <v>3.2899999999999999E-2</v>
      </c>
      <c r="G44" s="598">
        <v>3.3700000000000001E-2</v>
      </c>
      <c r="H44" s="598">
        <v>3.5200000000000002E-2</v>
      </c>
      <c r="I44" s="598"/>
      <c r="J44" s="598">
        <v>3.6700000000000003E-2</v>
      </c>
      <c r="K44" s="598"/>
      <c r="L44" s="598"/>
      <c r="M44" s="601"/>
      <c r="N44" s="679"/>
    </row>
    <row r="45" spans="2:14">
      <c r="B45" s="1094" t="s">
        <v>42</v>
      </c>
      <c r="C45" s="637" t="s">
        <v>627</v>
      </c>
      <c r="D45" s="629">
        <v>0</v>
      </c>
      <c r="E45" s="637">
        <v>3.0200000000000001E-2</v>
      </c>
      <c r="F45" s="637">
        <v>3.0700000000000002E-2</v>
      </c>
      <c r="G45" s="40">
        <v>3.1699999999999999E-2</v>
      </c>
      <c r="H45" s="637">
        <v>3.1600000000000003E-2</v>
      </c>
      <c r="I45" s="637">
        <v>3.1600000000000003E-2</v>
      </c>
      <c r="J45" s="637">
        <v>3.1600000000000003E-2</v>
      </c>
      <c r="K45" s="637"/>
      <c r="L45" s="637"/>
      <c r="M45" s="647"/>
      <c r="N45" s="858"/>
    </row>
    <row r="46" spans="2:14">
      <c r="B46" s="1095"/>
      <c r="C46" s="637" t="s">
        <v>628</v>
      </c>
      <c r="D46" s="629">
        <v>0</v>
      </c>
      <c r="E46" s="637">
        <v>3.0300000000000001E-2</v>
      </c>
      <c r="F46" s="637">
        <v>3.0800000000000001E-2</v>
      </c>
      <c r="G46" s="40">
        <v>3.1800000000000002E-2</v>
      </c>
      <c r="H46" s="637">
        <v>3.1699999999999999E-2</v>
      </c>
      <c r="I46" s="637">
        <v>3.1699999999999999E-2</v>
      </c>
      <c r="J46" s="637">
        <v>3.1699999999999999E-2</v>
      </c>
      <c r="K46" s="637"/>
      <c r="L46" s="637"/>
      <c r="M46" s="647"/>
      <c r="N46" s="859"/>
    </row>
    <row r="47" spans="2:14">
      <c r="B47" s="1095"/>
      <c r="C47" s="637" t="s">
        <v>629</v>
      </c>
      <c r="D47" s="629">
        <v>0</v>
      </c>
      <c r="E47" s="637">
        <v>3.04E-2</v>
      </c>
      <c r="F47" s="637">
        <v>3.09E-2</v>
      </c>
      <c r="G47" s="40">
        <v>3.1899999999999998E-2</v>
      </c>
      <c r="H47" s="637">
        <v>3.1800000000000002E-2</v>
      </c>
      <c r="I47" s="637">
        <v>3.1800000000000002E-2</v>
      </c>
      <c r="J47" s="637">
        <v>3.1800000000000002E-2</v>
      </c>
      <c r="K47" s="637"/>
      <c r="L47" s="637"/>
      <c r="M47" s="647"/>
      <c r="N47" s="859"/>
    </row>
    <row r="48" spans="2:14">
      <c r="B48" s="1096"/>
      <c r="C48" s="637" t="s">
        <v>630</v>
      </c>
      <c r="D48" s="629">
        <v>0</v>
      </c>
      <c r="E48" s="637">
        <v>3.0499999999999999E-2</v>
      </c>
      <c r="F48" s="637">
        <v>3.1E-2</v>
      </c>
      <c r="G48" s="40">
        <v>3.2000000000000001E-2</v>
      </c>
      <c r="H48" s="637">
        <v>3.2000000000000001E-2</v>
      </c>
      <c r="I48" s="637">
        <v>3.2000000000000001E-2</v>
      </c>
      <c r="J48" s="637">
        <v>3.2000000000000001E-2</v>
      </c>
      <c r="K48" s="637"/>
      <c r="L48" s="637"/>
      <c r="M48" s="647"/>
      <c r="N48" s="860"/>
    </row>
    <row r="49" spans="2:14" ht="15.6">
      <c r="B49" s="1090" t="s">
        <v>37</v>
      </c>
      <c r="C49" s="639" t="s">
        <v>631</v>
      </c>
      <c r="D49" s="602"/>
      <c r="E49" s="795">
        <v>2.9499999999999998E-2</v>
      </c>
      <c r="F49" s="795">
        <v>0.03</v>
      </c>
      <c r="G49" s="795">
        <v>3.15E-2</v>
      </c>
      <c r="H49" s="795">
        <v>3.3000000000000002E-2</v>
      </c>
      <c r="I49" s="639"/>
      <c r="J49" s="639"/>
      <c r="K49" s="639"/>
      <c r="L49" s="636"/>
      <c r="M49" s="558"/>
      <c r="N49" s="867"/>
    </row>
    <row r="50" spans="2:14" ht="15.6">
      <c r="B50" s="1109"/>
      <c r="C50" s="639" t="s">
        <v>632</v>
      </c>
      <c r="D50" s="602"/>
      <c r="E50" s="795">
        <v>3.0499999999999999E-2</v>
      </c>
      <c r="F50" s="795">
        <v>3.1E-2</v>
      </c>
      <c r="G50" s="795">
        <v>3.2000000000000001E-2</v>
      </c>
      <c r="H50" s="795">
        <v>3.4000000000000002E-2</v>
      </c>
      <c r="I50" s="639"/>
      <c r="J50" s="639"/>
      <c r="K50" s="639"/>
      <c r="L50" s="636"/>
      <c r="M50" s="558"/>
      <c r="N50" s="868"/>
    </row>
    <row r="51" spans="2:14" ht="15.6">
      <c r="B51" s="1091"/>
      <c r="C51" s="639" t="s">
        <v>633</v>
      </c>
      <c r="D51" s="602"/>
      <c r="E51" s="795">
        <v>3.15E-2</v>
      </c>
      <c r="F51" s="795">
        <v>3.2000000000000001E-2</v>
      </c>
      <c r="G51" s="795">
        <v>3.3000000000000002E-2</v>
      </c>
      <c r="H51" s="795">
        <v>3.5000000000000003E-2</v>
      </c>
      <c r="I51" s="639"/>
      <c r="J51" s="639"/>
      <c r="K51" s="639"/>
      <c r="L51" s="636"/>
      <c r="M51" s="558"/>
      <c r="N51" s="869"/>
    </row>
    <row r="52" spans="2:14">
      <c r="B52" s="1094" t="s">
        <v>31</v>
      </c>
      <c r="C52" s="637" t="s">
        <v>71</v>
      </c>
      <c r="D52" s="629"/>
      <c r="E52" s="637"/>
      <c r="F52" s="637"/>
      <c r="G52" s="637"/>
      <c r="H52" s="637"/>
      <c r="I52" s="637"/>
      <c r="J52" s="637"/>
      <c r="K52" s="637"/>
      <c r="L52" s="637"/>
      <c r="M52" s="646"/>
      <c r="N52" s="858"/>
    </row>
    <row r="53" spans="2:14">
      <c r="B53" s="1096"/>
      <c r="C53" s="637" t="s">
        <v>74</v>
      </c>
      <c r="D53" s="629"/>
      <c r="E53" s="637"/>
      <c r="F53" s="637"/>
      <c r="G53" s="637"/>
      <c r="H53" s="637"/>
      <c r="I53" s="637"/>
      <c r="J53" s="637"/>
      <c r="K53" s="637"/>
      <c r="L53" s="637"/>
      <c r="M53" s="637"/>
      <c r="N53" s="859"/>
    </row>
    <row r="54" spans="2:14" ht="15.6">
      <c r="B54" s="762" t="s">
        <v>29</v>
      </c>
      <c r="C54" s="689">
        <v>50000</v>
      </c>
      <c r="D54" s="629"/>
      <c r="E54" s="752">
        <v>3.1899999999999998E-2</v>
      </c>
      <c r="F54" s="637"/>
      <c r="G54" s="752">
        <v>3.3770000000000001E-2</v>
      </c>
      <c r="H54" s="752">
        <v>3.5159999999999997E-2</v>
      </c>
      <c r="I54" s="752"/>
      <c r="J54" s="752">
        <v>3.7330000000000002E-2</v>
      </c>
      <c r="K54" s="637"/>
      <c r="L54" s="637"/>
      <c r="M54" s="646"/>
      <c r="N54" s="860"/>
    </row>
    <row r="55" spans="2:14" ht="15.6">
      <c r="B55" s="1090" t="s">
        <v>39</v>
      </c>
      <c r="C55" s="638" t="s">
        <v>71</v>
      </c>
      <c r="D55" s="602"/>
      <c r="E55" s="795">
        <v>2.3400000000000001E-2</v>
      </c>
      <c r="F55" s="795">
        <v>2.3900000000000001E-2</v>
      </c>
      <c r="G55" s="795">
        <v>2.4500000000000001E-2</v>
      </c>
      <c r="H55" s="795">
        <v>2.4500000000000001E-2</v>
      </c>
      <c r="I55" s="795">
        <v>2.63E-2</v>
      </c>
      <c r="J55" s="795">
        <v>2.7E-2</v>
      </c>
      <c r="K55" s="559"/>
      <c r="L55" s="615"/>
      <c r="M55" s="558"/>
      <c r="N55" s="867"/>
    </row>
    <row r="56" spans="2:14" ht="15.6">
      <c r="B56" s="1109"/>
      <c r="C56" s="639" t="s">
        <v>269</v>
      </c>
      <c r="D56" s="602"/>
      <c r="E56" s="795">
        <v>2.69E-2</v>
      </c>
      <c r="F56" s="795">
        <v>2.7900000000000001E-2</v>
      </c>
      <c r="G56" s="795">
        <v>2.8000000000000001E-2</v>
      </c>
      <c r="H56" s="795">
        <v>2.7900000000000001E-2</v>
      </c>
      <c r="I56" s="795">
        <v>3.0099999999999998E-2</v>
      </c>
      <c r="J56" s="795">
        <v>2.8799999999999999E-2</v>
      </c>
      <c r="K56" s="636"/>
      <c r="L56" s="615"/>
      <c r="M56" s="636"/>
      <c r="N56" s="868"/>
    </row>
    <row r="57" spans="2:14" ht="15.6">
      <c r="B57" s="1109"/>
      <c r="C57" s="639" t="s">
        <v>231</v>
      </c>
      <c r="D57" s="602"/>
      <c r="E57" s="795">
        <v>2.9399999999999999E-2</v>
      </c>
      <c r="F57" s="795">
        <v>3.04E-2</v>
      </c>
      <c r="G57" s="795">
        <v>3.0200000000000001E-2</v>
      </c>
      <c r="H57" s="795">
        <v>3.0200000000000001E-2</v>
      </c>
      <c r="I57" s="795">
        <v>3.2099999999999997E-2</v>
      </c>
      <c r="J57" s="795">
        <v>3.0800000000000001E-2</v>
      </c>
      <c r="K57" s="636"/>
      <c r="L57" s="615"/>
      <c r="M57" s="636"/>
      <c r="N57" s="868"/>
    </row>
    <row r="58" spans="2:14" ht="15.6">
      <c r="B58" s="1109"/>
      <c r="C58" s="639" t="s">
        <v>62</v>
      </c>
      <c r="D58" s="602"/>
      <c r="E58" s="795">
        <v>3.0300000000000001E-2</v>
      </c>
      <c r="F58" s="795">
        <v>3.1300000000000001E-2</v>
      </c>
      <c r="G58" s="795">
        <v>3.2199999999999999E-2</v>
      </c>
      <c r="H58" s="795">
        <v>3.2000000000000001E-2</v>
      </c>
      <c r="I58" s="795">
        <v>3.3799999999999997E-2</v>
      </c>
      <c r="J58" s="795">
        <v>3.4299999999999997E-2</v>
      </c>
      <c r="K58" s="636"/>
      <c r="L58" s="615"/>
      <c r="M58" s="636"/>
      <c r="N58" s="868"/>
    </row>
    <row r="59" spans="2:14" ht="15.6">
      <c r="B59" s="1091"/>
      <c r="C59" s="639" t="s">
        <v>276</v>
      </c>
      <c r="D59" s="602"/>
      <c r="E59" s="795">
        <v>3.1300000000000001E-2</v>
      </c>
      <c r="F59" s="795">
        <v>3.2300000000000002E-2</v>
      </c>
      <c r="G59" s="795">
        <v>3.27E-2</v>
      </c>
      <c r="H59" s="795">
        <v>3.27E-2</v>
      </c>
      <c r="I59" s="795">
        <v>3.4500000000000003E-2</v>
      </c>
      <c r="J59" s="795">
        <v>3.4799999999999998E-2</v>
      </c>
      <c r="K59" s="636"/>
      <c r="L59" s="615"/>
      <c r="M59" s="636"/>
      <c r="N59" s="869"/>
    </row>
  </sheetData>
  <autoFilter ref="A2:N58" xr:uid="{00000000-0009-0000-0000-00000A000000}"/>
  <mergeCells count="27">
    <mergeCell ref="B55:B59"/>
    <mergeCell ref="N55:N59"/>
    <mergeCell ref="B45:B48"/>
    <mergeCell ref="N45:N48"/>
    <mergeCell ref="B49:B51"/>
    <mergeCell ref="N49:N51"/>
    <mergeCell ref="B52:B53"/>
    <mergeCell ref="N52:N54"/>
    <mergeCell ref="B31:B35"/>
    <mergeCell ref="N31:N35"/>
    <mergeCell ref="B36:B37"/>
    <mergeCell ref="N36:N37"/>
    <mergeCell ref="B38:B43"/>
    <mergeCell ref="N38:N43"/>
    <mergeCell ref="B26:B29"/>
    <mergeCell ref="N26:N29"/>
    <mergeCell ref="B1:I1"/>
    <mergeCell ref="J1:M1"/>
    <mergeCell ref="B3:B7"/>
    <mergeCell ref="N3:N7"/>
    <mergeCell ref="B8:B11"/>
    <mergeCell ref="N8:N11"/>
    <mergeCell ref="B12:B18"/>
    <mergeCell ref="N12:N18"/>
    <mergeCell ref="B19:B21"/>
    <mergeCell ref="B22:B25"/>
    <mergeCell ref="N22:N25"/>
  </mergeCells>
  <phoneticPr fontId="71" type="noConversion"/>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00"/>
  </sheetPr>
  <dimension ref="B1:P59"/>
  <sheetViews>
    <sheetView showGridLines="0" workbookViewId="0">
      <pane ySplit="2" topLeftCell="A3" activePane="bottomLeft" state="frozen"/>
      <selection activeCell="J12" sqref="J12"/>
      <selection pane="bottomLeft" activeCell="N45" sqref="N45:N48"/>
    </sheetView>
  </sheetViews>
  <sheetFormatPr defaultColWidth="9.109375" defaultRowHeight="13.8"/>
  <cols>
    <col min="1" max="1" width="2" style="14" customWidth="1"/>
    <col min="2" max="2" width="11.6640625" style="116" customWidth="1"/>
    <col min="3" max="3" width="21.6640625" style="14" customWidth="1"/>
    <col min="4" max="4" width="9.109375" style="14" customWidth="1"/>
    <col min="5" max="13" width="9.109375" style="14"/>
    <col min="14" max="14" width="16.6640625" style="14" bestFit="1" customWidth="1"/>
    <col min="15" max="16384" width="9.109375" style="14"/>
  </cols>
  <sheetData>
    <row r="1" spans="2:16" ht="20.399999999999999">
      <c r="B1" s="861" t="s">
        <v>690</v>
      </c>
      <c r="C1" s="861"/>
      <c r="D1" s="861"/>
      <c r="E1" s="861"/>
      <c r="F1" s="861"/>
      <c r="G1" s="861"/>
      <c r="H1" s="861"/>
      <c r="I1" s="861"/>
      <c r="J1" s="862">
        <f>'最高报价汇总 '!F2</f>
        <v>46099</v>
      </c>
      <c r="K1" s="863"/>
      <c r="L1" s="863"/>
      <c r="M1" s="863"/>
    </row>
    <row r="2" spans="2:16" ht="17.399999999999999">
      <c r="B2" s="741" t="s">
        <v>292</v>
      </c>
      <c r="C2" s="686" t="s">
        <v>668</v>
      </c>
      <c r="D2" s="141" t="s">
        <v>290</v>
      </c>
      <c r="E2" s="141" t="s">
        <v>289</v>
      </c>
      <c r="F2" s="141" t="s">
        <v>604</v>
      </c>
      <c r="G2" s="141" t="s">
        <v>288</v>
      </c>
      <c r="H2" s="141" t="s">
        <v>287</v>
      </c>
      <c r="I2" s="141" t="s">
        <v>286</v>
      </c>
      <c r="J2" s="141" t="s">
        <v>285</v>
      </c>
      <c r="K2" s="141" t="s">
        <v>284</v>
      </c>
      <c r="L2" s="139" t="s">
        <v>283</v>
      </c>
      <c r="M2" s="140" t="s">
        <v>282</v>
      </c>
      <c r="N2" s="139" t="s">
        <v>223</v>
      </c>
    </row>
    <row r="3" spans="2:16" ht="15.6">
      <c r="B3" s="1090" t="s">
        <v>26</v>
      </c>
      <c r="C3" s="639" t="s">
        <v>71</v>
      </c>
      <c r="D3" s="602">
        <v>0</v>
      </c>
      <c r="E3" s="745">
        <v>8.8000000000000005E-3</v>
      </c>
      <c r="F3" s="745">
        <v>9.1999999999999998E-3</v>
      </c>
      <c r="G3" s="745">
        <v>1.035E-2</v>
      </c>
      <c r="H3" s="745">
        <v>7.1500000000000001E-3</v>
      </c>
      <c r="I3" s="597"/>
      <c r="J3" s="745">
        <v>8.0000000000000002E-3</v>
      </c>
      <c r="K3" s="597"/>
      <c r="L3" s="597"/>
      <c r="M3" s="597"/>
      <c r="N3" s="867"/>
      <c r="P3" s="808"/>
    </row>
    <row r="4" spans="2:16" ht="15.6">
      <c r="B4" s="1109"/>
      <c r="C4" s="639" t="s">
        <v>698</v>
      </c>
      <c r="D4" s="602">
        <v>0</v>
      </c>
      <c r="E4" s="745">
        <v>8.8000000000000005E-3</v>
      </c>
      <c r="F4" s="745">
        <v>9.2499999999999995E-3</v>
      </c>
      <c r="G4" s="745">
        <v>1.0449999999999999E-2</v>
      </c>
      <c r="H4" s="745">
        <v>7.3499999999999998E-3</v>
      </c>
      <c r="I4" s="597"/>
      <c r="J4" s="745">
        <v>8.0750000000000006E-3</v>
      </c>
      <c r="K4" s="597"/>
      <c r="L4" s="597"/>
      <c r="M4" s="599"/>
      <c r="N4" s="868"/>
      <c r="P4" s="808"/>
    </row>
    <row r="5" spans="2:16" ht="15.6">
      <c r="B5" s="1109"/>
      <c r="C5" s="639" t="s">
        <v>699</v>
      </c>
      <c r="D5" s="602">
        <v>0</v>
      </c>
      <c r="E5" s="745">
        <v>9.4000000000000004E-3</v>
      </c>
      <c r="F5" s="745">
        <v>9.8499999999999994E-3</v>
      </c>
      <c r="G5" s="745">
        <v>1.095E-2</v>
      </c>
      <c r="H5" s="745">
        <v>7.7499999999999999E-3</v>
      </c>
      <c r="I5" s="597"/>
      <c r="J5" s="745">
        <v>8.6E-3</v>
      </c>
      <c r="K5" s="597"/>
      <c r="L5" s="597"/>
      <c r="M5" s="599"/>
      <c r="N5" s="868"/>
      <c r="P5" s="808"/>
    </row>
    <row r="6" spans="2:16" ht="15.6">
      <c r="B6" s="1109"/>
      <c r="C6" s="639" t="s">
        <v>607</v>
      </c>
      <c r="D6" s="602">
        <v>0</v>
      </c>
      <c r="E6" s="745">
        <v>9.4999999999999998E-3</v>
      </c>
      <c r="F6" s="745">
        <v>9.9500000000000005E-3</v>
      </c>
      <c r="G6" s="745">
        <v>1.11E-2</v>
      </c>
      <c r="H6" s="745">
        <v>7.7999999999999996E-3</v>
      </c>
      <c r="I6" s="597"/>
      <c r="J6" s="745">
        <v>8.6999999999999994E-3</v>
      </c>
      <c r="K6" s="597"/>
      <c r="L6" s="597"/>
      <c r="M6" s="599"/>
      <c r="N6" s="868"/>
      <c r="P6" s="808"/>
    </row>
    <row r="7" spans="2:16" ht="15.6">
      <c r="B7" s="1091"/>
      <c r="C7" s="639" t="s">
        <v>608</v>
      </c>
      <c r="D7" s="600">
        <v>0</v>
      </c>
      <c r="E7" s="745">
        <v>0.01</v>
      </c>
      <c r="F7" s="745">
        <v>1.0449999999999999E-2</v>
      </c>
      <c r="G7" s="745">
        <v>1.14E-2</v>
      </c>
      <c r="H7" s="745">
        <v>8.3499999999999998E-3</v>
      </c>
      <c r="I7" s="600"/>
      <c r="J7" s="745">
        <v>9.2499999999999995E-3</v>
      </c>
      <c r="K7" s="600"/>
      <c r="L7" s="600"/>
      <c r="M7" s="601"/>
      <c r="N7" s="869"/>
      <c r="P7" s="808"/>
    </row>
    <row r="8" spans="2:16">
      <c r="B8" s="1094" t="s">
        <v>50</v>
      </c>
      <c r="C8" s="637" t="s">
        <v>71</v>
      </c>
      <c r="D8" s="629">
        <v>0</v>
      </c>
      <c r="E8" s="629">
        <v>0</v>
      </c>
      <c r="F8" s="629">
        <v>0</v>
      </c>
      <c r="G8" s="629">
        <v>0</v>
      </c>
      <c r="H8" s="629">
        <v>0</v>
      </c>
      <c r="I8" s="629"/>
      <c r="J8" s="629">
        <v>0</v>
      </c>
      <c r="K8" s="631"/>
      <c r="L8" s="648"/>
      <c r="M8" s="631"/>
      <c r="N8" s="858"/>
    </row>
    <row r="9" spans="2:16">
      <c r="B9" s="1095"/>
      <c r="C9" s="676" t="s">
        <v>269</v>
      </c>
      <c r="D9" s="629">
        <v>0</v>
      </c>
      <c r="E9" s="629">
        <v>0</v>
      </c>
      <c r="F9" s="629">
        <v>0</v>
      </c>
      <c r="G9" s="629">
        <v>0</v>
      </c>
      <c r="H9" s="629">
        <v>0</v>
      </c>
      <c r="I9" s="629"/>
      <c r="J9" s="629">
        <v>0</v>
      </c>
      <c r="K9" s="640"/>
      <c r="L9" s="648"/>
      <c r="M9" s="631"/>
      <c r="N9" s="859"/>
    </row>
    <row r="10" spans="2:16">
      <c r="B10" s="1095"/>
      <c r="C10" s="676" t="s">
        <v>231</v>
      </c>
      <c r="D10" s="629">
        <v>0</v>
      </c>
      <c r="E10" s="629">
        <v>0</v>
      </c>
      <c r="F10" s="629">
        <v>0</v>
      </c>
      <c r="G10" s="629">
        <v>0</v>
      </c>
      <c r="H10" s="629">
        <v>0</v>
      </c>
      <c r="I10" s="629"/>
      <c r="J10" s="629">
        <v>0</v>
      </c>
      <c r="K10" s="640"/>
      <c r="L10" s="648"/>
      <c r="M10" s="631"/>
      <c r="N10" s="859"/>
    </row>
    <row r="11" spans="2:16">
      <c r="B11" s="1096"/>
      <c r="C11" s="637" t="s">
        <v>62</v>
      </c>
      <c r="D11" s="629">
        <v>0</v>
      </c>
      <c r="E11" s="629">
        <v>0</v>
      </c>
      <c r="F11" s="629">
        <v>0</v>
      </c>
      <c r="G11" s="629">
        <v>0</v>
      </c>
      <c r="H11" s="629">
        <v>0</v>
      </c>
      <c r="I11" s="629"/>
      <c r="J11" s="629">
        <v>0</v>
      </c>
      <c r="K11" s="640"/>
      <c r="L11" s="648"/>
      <c r="M11" s="631"/>
      <c r="N11" s="860"/>
    </row>
    <row r="12" spans="2:16">
      <c r="B12" s="1100" t="s">
        <v>23</v>
      </c>
      <c r="C12" s="677" t="s">
        <v>95</v>
      </c>
      <c r="D12" s="632"/>
      <c r="E12" s="632"/>
      <c r="F12" s="632"/>
      <c r="G12" s="632"/>
      <c r="H12" s="632"/>
      <c r="I12" s="633"/>
      <c r="J12" s="632"/>
      <c r="K12" s="633"/>
      <c r="L12" s="638"/>
      <c r="M12" s="638"/>
      <c r="N12" s="873"/>
    </row>
    <row r="13" spans="2:16">
      <c r="B13" s="1101"/>
      <c r="C13" s="677" t="s">
        <v>93</v>
      </c>
      <c r="D13" s="632"/>
      <c r="E13" s="632"/>
      <c r="F13" s="632"/>
      <c r="G13" s="632"/>
      <c r="H13" s="632"/>
      <c r="I13" s="633"/>
      <c r="J13" s="632"/>
      <c r="K13" s="633"/>
      <c r="L13" s="638"/>
      <c r="M13" s="638"/>
      <c r="N13" s="874"/>
    </row>
    <row r="14" spans="2:16">
      <c r="B14" s="1101"/>
      <c r="C14" s="677" t="s">
        <v>268</v>
      </c>
      <c r="D14" s="632"/>
      <c r="E14" s="632"/>
      <c r="F14" s="632"/>
      <c r="G14" s="632"/>
      <c r="H14" s="632"/>
      <c r="I14" s="633"/>
      <c r="J14" s="632"/>
      <c r="K14" s="633"/>
      <c r="L14" s="638"/>
      <c r="M14" s="638"/>
      <c r="N14" s="874"/>
    </row>
    <row r="15" spans="2:16">
      <c r="B15" s="1101"/>
      <c r="C15" s="677" t="s">
        <v>267</v>
      </c>
      <c r="D15" s="632"/>
      <c r="E15" s="632"/>
      <c r="F15" s="632"/>
      <c r="G15" s="632"/>
      <c r="H15" s="632"/>
      <c r="I15" s="633"/>
      <c r="J15" s="632"/>
      <c r="K15" s="633"/>
      <c r="L15" s="638"/>
      <c r="M15" s="638"/>
      <c r="N15" s="874"/>
    </row>
    <row r="16" spans="2:16">
      <c r="B16" s="1101"/>
      <c r="C16" s="677" t="s">
        <v>266</v>
      </c>
      <c r="D16" s="632"/>
      <c r="E16" s="632"/>
      <c r="F16" s="632"/>
      <c r="G16" s="632"/>
      <c r="H16" s="632"/>
      <c r="I16" s="633"/>
      <c r="J16" s="632"/>
      <c r="K16" s="633"/>
      <c r="L16" s="638"/>
      <c r="M16" s="638"/>
      <c r="N16" s="874"/>
    </row>
    <row r="17" spans="2:14">
      <c r="B17" s="1101"/>
      <c r="C17" s="677" t="s">
        <v>265</v>
      </c>
      <c r="D17" s="632"/>
      <c r="E17" s="632"/>
      <c r="F17" s="632"/>
      <c r="G17" s="632"/>
      <c r="H17" s="632"/>
      <c r="I17" s="633"/>
      <c r="J17" s="632"/>
      <c r="K17" s="633"/>
      <c r="L17" s="638"/>
      <c r="M17" s="638"/>
      <c r="N17" s="874"/>
    </row>
    <row r="18" spans="2:14">
      <c r="B18" s="1102"/>
      <c r="C18" s="638" t="s">
        <v>264</v>
      </c>
      <c r="D18" s="632"/>
      <c r="E18" s="632"/>
      <c r="F18" s="632"/>
      <c r="G18" s="632"/>
      <c r="H18" s="632"/>
      <c r="I18" s="633"/>
      <c r="J18" s="632"/>
      <c r="K18" s="633"/>
      <c r="L18" s="638"/>
      <c r="M18" s="638"/>
      <c r="N18" s="875"/>
    </row>
    <row r="19" spans="2:14" ht="15.6">
      <c r="B19" s="1106" t="s">
        <v>35</v>
      </c>
      <c r="C19" s="678" t="s">
        <v>280</v>
      </c>
      <c r="D19" s="634"/>
      <c r="E19" s="635"/>
      <c r="F19" s="635"/>
      <c r="G19" s="635"/>
      <c r="H19" s="635"/>
      <c r="I19" s="635"/>
      <c r="J19" s="635"/>
      <c r="K19" s="630"/>
      <c r="L19" s="630"/>
      <c r="M19" s="630"/>
      <c r="N19" s="678"/>
    </row>
    <row r="20" spans="2:14" ht="15.6">
      <c r="B20" s="1107"/>
      <c r="C20" s="678" t="s">
        <v>279</v>
      </c>
      <c r="D20" s="634"/>
      <c r="E20" s="635"/>
      <c r="F20" s="635"/>
      <c r="G20" s="635"/>
      <c r="H20" s="635"/>
      <c r="I20" s="635"/>
      <c r="J20" s="635"/>
      <c r="K20" s="630"/>
      <c r="L20" s="630"/>
      <c r="M20" s="630"/>
      <c r="N20" s="678"/>
    </row>
    <row r="21" spans="2:14" ht="15.6">
      <c r="B21" s="1108"/>
      <c r="C21" s="631" t="s">
        <v>66</v>
      </c>
      <c r="D21" s="634"/>
      <c r="E21" s="635"/>
      <c r="F21" s="635"/>
      <c r="G21" s="635"/>
      <c r="H21" s="635"/>
      <c r="I21" s="635"/>
      <c r="J21" s="635"/>
      <c r="K21" s="630"/>
      <c r="L21" s="630"/>
      <c r="M21" s="630"/>
      <c r="N21" s="631"/>
    </row>
    <row r="22" spans="2:14" ht="15" customHeight="1">
      <c r="B22" s="1090" t="s">
        <v>46</v>
      </c>
      <c r="C22" s="639" t="s">
        <v>232</v>
      </c>
      <c r="D22" s="794">
        <v>6.6400000000000001E-3</v>
      </c>
      <c r="E22" s="794">
        <v>6.8700000000000002E-3</v>
      </c>
      <c r="F22" s="794">
        <v>7.26E-3</v>
      </c>
      <c r="G22" s="794">
        <v>7.5399999999999998E-3</v>
      </c>
      <c r="H22" s="794">
        <v>9.6900000000000007E-3</v>
      </c>
      <c r="I22" s="636"/>
      <c r="J22" s="794">
        <v>1.209E-2</v>
      </c>
      <c r="K22" s="636"/>
      <c r="L22" s="636"/>
      <c r="M22" s="636"/>
      <c r="N22" s="867"/>
    </row>
    <row r="23" spans="2:14" ht="15" customHeight="1">
      <c r="B23" s="1109"/>
      <c r="C23" s="639" t="s">
        <v>231</v>
      </c>
      <c r="D23" s="794">
        <v>7.6400000000000001E-3</v>
      </c>
      <c r="E23" s="794">
        <v>7.8700000000000003E-3</v>
      </c>
      <c r="F23" s="794">
        <v>8.6199999999999992E-3</v>
      </c>
      <c r="G23" s="794">
        <v>8.5400000000000007E-3</v>
      </c>
      <c r="H23" s="794">
        <v>1.069E-2</v>
      </c>
      <c r="I23" s="636"/>
      <c r="J23" s="794">
        <v>1.3089999999999999E-2</v>
      </c>
      <c r="K23" s="636"/>
      <c r="L23" s="636"/>
      <c r="M23" s="636"/>
      <c r="N23" s="868"/>
    </row>
    <row r="24" spans="2:14" ht="15" customHeight="1">
      <c r="B24" s="1109"/>
      <c r="C24" s="639" t="s">
        <v>619</v>
      </c>
      <c r="D24" s="794">
        <v>8.6400000000000001E-3</v>
      </c>
      <c r="E24" s="794">
        <v>8.8699999999999994E-3</v>
      </c>
      <c r="F24" s="794">
        <v>9.2599999999999991E-3</v>
      </c>
      <c r="G24" s="794">
        <v>9.5399999999999999E-3</v>
      </c>
      <c r="H24" s="794">
        <v>1.1690000000000001E-2</v>
      </c>
      <c r="I24" s="636"/>
      <c r="J24" s="794">
        <v>1.409E-2</v>
      </c>
      <c r="K24" s="636"/>
      <c r="L24" s="636"/>
      <c r="M24" s="636"/>
      <c r="N24" s="868"/>
    </row>
    <row r="25" spans="2:14" ht="15.75" customHeight="1">
      <c r="B25" s="1091"/>
      <c r="C25" s="639" t="s">
        <v>620</v>
      </c>
      <c r="D25" s="794">
        <v>9.1400000000000006E-3</v>
      </c>
      <c r="E25" s="794">
        <v>9.3699999999999999E-3</v>
      </c>
      <c r="F25" s="794">
        <v>9.7599999999999996E-3</v>
      </c>
      <c r="G25" s="794">
        <v>1.004E-2</v>
      </c>
      <c r="H25" s="794">
        <v>1.2189999999999999E-2</v>
      </c>
      <c r="I25" s="636"/>
      <c r="J25" s="794">
        <v>1.4590000000000001E-2</v>
      </c>
      <c r="K25" s="636"/>
      <c r="L25" s="636"/>
      <c r="M25" s="636"/>
      <c r="N25" s="869"/>
    </row>
    <row r="26" spans="2:14">
      <c r="B26" s="1094" t="s">
        <v>20</v>
      </c>
      <c r="C26" s="637" t="s">
        <v>621</v>
      </c>
      <c r="D26" s="629"/>
      <c r="E26" s="833">
        <v>1.34E-2</v>
      </c>
      <c r="F26" s="40"/>
      <c r="G26" s="752">
        <v>1.54E-2</v>
      </c>
      <c r="H26" s="752">
        <v>1.54E-2</v>
      </c>
      <c r="I26" s="637"/>
      <c r="J26" s="752">
        <v>1.6799999999999999E-2</v>
      </c>
      <c r="K26" s="640"/>
      <c r="L26" s="641"/>
      <c r="M26" s="647"/>
      <c r="N26" s="858"/>
    </row>
    <row r="27" spans="2:14">
      <c r="B27" s="1095"/>
      <c r="C27" s="637" t="s">
        <v>622</v>
      </c>
      <c r="D27" s="629"/>
      <c r="E27" s="833">
        <v>1.47E-2</v>
      </c>
      <c r="F27" s="40"/>
      <c r="G27" s="752">
        <v>1.67E-2</v>
      </c>
      <c r="H27" s="752">
        <v>1.67E-2</v>
      </c>
      <c r="I27" s="637"/>
      <c r="J27" s="752">
        <v>1.7999999999999999E-2</v>
      </c>
      <c r="K27" s="640"/>
      <c r="L27" s="641"/>
      <c r="M27" s="647"/>
      <c r="N27" s="859"/>
    </row>
    <row r="28" spans="2:14">
      <c r="B28" s="1095"/>
      <c r="C28" s="637" t="s">
        <v>623</v>
      </c>
      <c r="D28" s="629"/>
      <c r="E28" s="833">
        <v>1.5900000000000001E-2</v>
      </c>
      <c r="F28" s="40"/>
      <c r="G28" s="752">
        <v>1.7899999999999999E-2</v>
      </c>
      <c r="H28" s="752">
        <v>1.7899999999999999E-2</v>
      </c>
      <c r="I28" s="637"/>
      <c r="J28" s="752">
        <v>1.9300000000000001E-2</v>
      </c>
      <c r="K28" s="640"/>
      <c r="L28" s="641"/>
      <c r="M28" s="647"/>
      <c r="N28" s="859"/>
    </row>
    <row r="29" spans="2:14">
      <c r="B29" s="1096"/>
      <c r="C29" s="637" t="s">
        <v>624</v>
      </c>
      <c r="D29" s="629"/>
      <c r="E29" s="833">
        <v>1.78E-2</v>
      </c>
      <c r="F29" s="40"/>
      <c r="G29" s="752">
        <v>1.9800000000000002E-2</v>
      </c>
      <c r="H29" s="752">
        <v>1.9800000000000002E-2</v>
      </c>
      <c r="I29" s="637"/>
      <c r="J29" s="752">
        <v>2.0500000000000001E-2</v>
      </c>
      <c r="K29" s="640"/>
      <c r="L29" s="641"/>
      <c r="M29" s="647"/>
      <c r="N29" s="860"/>
    </row>
    <row r="30" spans="2:14" ht="15.6">
      <c r="B30" s="127" t="s">
        <v>44</v>
      </c>
      <c r="C30" s="636" t="s">
        <v>278</v>
      </c>
      <c r="D30" s="602"/>
      <c r="E30" s="598"/>
      <c r="F30" s="598"/>
      <c r="G30" s="598"/>
      <c r="H30" s="598"/>
      <c r="I30" s="598"/>
      <c r="J30" s="598"/>
      <c r="K30" s="598"/>
      <c r="L30" s="598"/>
      <c r="M30" s="636"/>
      <c r="N30" s="636"/>
    </row>
    <row r="31" spans="2:14">
      <c r="B31" s="1094" t="s">
        <v>277</v>
      </c>
      <c r="C31" s="678" t="s">
        <v>693</v>
      </c>
      <c r="D31" s="40"/>
      <c r="E31" s="40">
        <v>9.9999999999999995E-7</v>
      </c>
      <c r="F31" s="40"/>
      <c r="G31" s="40">
        <v>9.9999999999999995E-7</v>
      </c>
      <c r="H31" s="40">
        <v>9.9999999999999995E-7</v>
      </c>
      <c r="I31" s="40"/>
      <c r="J31" s="40"/>
      <c r="K31" s="40"/>
      <c r="L31" s="40"/>
      <c r="M31" s="40"/>
      <c r="N31" s="879"/>
    </row>
    <row r="32" spans="2:14">
      <c r="B32" s="1095"/>
      <c r="C32" s="678" t="s">
        <v>694</v>
      </c>
      <c r="D32" s="40"/>
      <c r="E32" s="40">
        <v>9.9999999999999995E-7</v>
      </c>
      <c r="F32" s="40"/>
      <c r="G32" s="40">
        <v>9.9999999999999995E-7</v>
      </c>
      <c r="H32" s="40">
        <v>9.9999999999999995E-7</v>
      </c>
      <c r="I32" s="40"/>
      <c r="J32" s="40"/>
      <c r="K32" s="40"/>
      <c r="L32" s="40"/>
      <c r="M32" s="40"/>
      <c r="N32" s="880"/>
    </row>
    <row r="33" spans="2:14">
      <c r="B33" s="1095"/>
      <c r="C33" s="678" t="s">
        <v>609</v>
      </c>
      <c r="D33" s="40"/>
      <c r="E33" s="40">
        <v>9.9999999999999995E-7</v>
      </c>
      <c r="F33" s="40"/>
      <c r="G33" s="40">
        <v>9.9999999999999995E-7</v>
      </c>
      <c r="H33" s="40">
        <v>9.9999999999999995E-7</v>
      </c>
      <c r="I33" s="40"/>
      <c r="J33" s="40"/>
      <c r="K33" s="40"/>
      <c r="L33" s="40"/>
      <c r="M33" s="40"/>
      <c r="N33" s="880"/>
    </row>
    <row r="34" spans="2:14" ht="27.6">
      <c r="B34" s="1095"/>
      <c r="C34" s="678" t="s">
        <v>612</v>
      </c>
      <c r="D34" s="40"/>
      <c r="E34" s="40">
        <v>9.9999999999999995E-7</v>
      </c>
      <c r="F34" s="40"/>
      <c r="G34" s="40">
        <v>9.9999999999999995E-7</v>
      </c>
      <c r="H34" s="40">
        <v>9.9999999999999995E-7</v>
      </c>
      <c r="I34" s="40"/>
      <c r="J34" s="40"/>
      <c r="K34" s="40"/>
      <c r="L34" s="40"/>
      <c r="M34" s="40"/>
      <c r="N34" s="880"/>
    </row>
    <row r="35" spans="2:14">
      <c r="B35" s="1095"/>
      <c r="C35" s="678" t="s">
        <v>613</v>
      </c>
      <c r="D35" s="40"/>
      <c r="E35" s="40">
        <v>9.9999999999999995E-7</v>
      </c>
      <c r="F35" s="40"/>
      <c r="G35" s="40">
        <v>9.9999999999999995E-7</v>
      </c>
      <c r="H35" s="40">
        <v>9.9999999999999995E-7</v>
      </c>
      <c r="I35" s="40"/>
      <c r="J35" s="40"/>
      <c r="K35" s="40"/>
      <c r="L35" s="40"/>
      <c r="M35" s="40"/>
      <c r="N35" s="880"/>
    </row>
    <row r="36" spans="2:14">
      <c r="B36" s="1100" t="s">
        <v>48</v>
      </c>
      <c r="C36" s="638" t="s">
        <v>71</v>
      </c>
      <c r="D36" s="602"/>
      <c r="E36" s="632"/>
      <c r="F36" s="632"/>
      <c r="G36" s="632"/>
      <c r="H36" s="632"/>
      <c r="I36" s="632"/>
      <c r="J36" s="632"/>
      <c r="K36" s="638"/>
      <c r="L36" s="632"/>
      <c r="M36" s="643"/>
      <c r="N36" s="881"/>
    </row>
    <row r="37" spans="2:14">
      <c r="B37" s="1102"/>
      <c r="C37" s="638" t="s">
        <v>74</v>
      </c>
      <c r="D37" s="602"/>
      <c r="E37" s="638"/>
      <c r="F37" s="638"/>
      <c r="G37" s="638"/>
      <c r="H37" s="638"/>
      <c r="I37" s="638"/>
      <c r="J37" s="638"/>
      <c r="K37" s="638"/>
      <c r="L37" s="638"/>
      <c r="M37" s="644"/>
      <c r="N37" s="882"/>
    </row>
    <row r="38" spans="2:14" ht="15.6">
      <c r="B38" s="1094" t="s">
        <v>33</v>
      </c>
      <c r="C38" s="676" t="s">
        <v>654</v>
      </c>
      <c r="D38" s="629"/>
      <c r="E38" s="631">
        <v>0</v>
      </c>
      <c r="F38" s="629"/>
      <c r="G38" s="40">
        <v>0</v>
      </c>
      <c r="H38" s="40">
        <v>0</v>
      </c>
      <c r="I38" s="629"/>
      <c r="J38" s="40">
        <v>0</v>
      </c>
      <c r="K38" s="637"/>
      <c r="L38" s="645"/>
      <c r="M38" s="646"/>
      <c r="N38" s="883"/>
    </row>
    <row r="39" spans="2:14" ht="15.6">
      <c r="B39" s="1095"/>
      <c r="C39" s="676" t="s">
        <v>269</v>
      </c>
      <c r="D39" s="629"/>
      <c r="E39" s="631">
        <v>0</v>
      </c>
      <c r="F39" s="629"/>
      <c r="G39" s="40">
        <v>0</v>
      </c>
      <c r="H39" s="40">
        <v>0</v>
      </c>
      <c r="I39" s="629"/>
      <c r="J39" s="40">
        <v>0</v>
      </c>
      <c r="K39" s="637"/>
      <c r="L39" s="645"/>
      <c r="M39" s="646"/>
      <c r="N39" s="884"/>
    </row>
    <row r="40" spans="2:14" ht="15.6">
      <c r="B40" s="1095"/>
      <c r="C40" s="676" t="s">
        <v>231</v>
      </c>
      <c r="D40" s="629"/>
      <c r="E40" s="631">
        <v>0</v>
      </c>
      <c r="F40" s="629"/>
      <c r="G40" s="40">
        <v>0</v>
      </c>
      <c r="H40" s="40">
        <v>0</v>
      </c>
      <c r="I40" s="629"/>
      <c r="J40" s="40">
        <v>0</v>
      </c>
      <c r="K40" s="637"/>
      <c r="L40" s="645"/>
      <c r="M40" s="646"/>
      <c r="N40" s="884"/>
    </row>
    <row r="41" spans="2:14" ht="15.6">
      <c r="B41" s="1095"/>
      <c r="C41" s="676" t="s">
        <v>62</v>
      </c>
      <c r="D41" s="629"/>
      <c r="E41" s="631">
        <v>0</v>
      </c>
      <c r="F41" s="629"/>
      <c r="G41" s="40">
        <v>0</v>
      </c>
      <c r="H41" s="40">
        <v>0</v>
      </c>
      <c r="I41" s="629"/>
      <c r="J41" s="40">
        <v>0</v>
      </c>
      <c r="K41" s="637"/>
      <c r="L41" s="645"/>
      <c r="M41" s="646"/>
      <c r="N41" s="884"/>
    </row>
    <row r="42" spans="2:14" ht="15.6">
      <c r="B42" s="1095"/>
      <c r="C42" s="637" t="s">
        <v>61</v>
      </c>
      <c r="D42" s="629"/>
      <c r="E42" s="631">
        <v>0</v>
      </c>
      <c r="F42" s="629"/>
      <c r="G42" s="40">
        <v>0</v>
      </c>
      <c r="H42" s="40">
        <v>0</v>
      </c>
      <c r="I42" s="629"/>
      <c r="J42" s="40">
        <v>0</v>
      </c>
      <c r="K42" s="637"/>
      <c r="L42" s="645"/>
      <c r="M42" s="646"/>
      <c r="N42" s="884"/>
    </row>
    <row r="43" spans="2:14" ht="14.1" customHeight="1">
      <c r="B43" s="1096"/>
      <c r="C43" s="637" t="s">
        <v>216</v>
      </c>
      <c r="D43" s="629"/>
      <c r="E43" s="631">
        <v>0</v>
      </c>
      <c r="F43" s="629"/>
      <c r="G43" s="40">
        <v>0</v>
      </c>
      <c r="H43" s="40">
        <v>0</v>
      </c>
      <c r="I43" s="629"/>
      <c r="J43" s="40">
        <v>0</v>
      </c>
      <c r="K43" s="637"/>
      <c r="L43" s="637"/>
      <c r="M43" s="646"/>
      <c r="N43" s="885"/>
    </row>
    <row r="44" spans="2:14" ht="15.6">
      <c r="B44" s="766" t="s">
        <v>12</v>
      </c>
      <c r="C44" s="636" t="s">
        <v>625</v>
      </c>
      <c r="D44" s="602">
        <v>1.17E-2</v>
      </c>
      <c r="E44" s="598">
        <v>1.4200000000000001E-2</v>
      </c>
      <c r="F44" s="598">
        <v>1.47E-2</v>
      </c>
      <c r="G44" s="598">
        <v>1.52E-2</v>
      </c>
      <c r="H44" s="598">
        <v>1.6199999999999999E-2</v>
      </c>
      <c r="I44" s="598"/>
      <c r="J44" s="598">
        <v>1.5699999999999999E-2</v>
      </c>
      <c r="K44" s="598"/>
      <c r="L44" s="598"/>
      <c r="M44" s="601"/>
      <c r="N44" s="679"/>
    </row>
    <row r="45" spans="2:14">
      <c r="B45" s="1094" t="s">
        <v>42</v>
      </c>
      <c r="C45" s="637" t="s">
        <v>627</v>
      </c>
      <c r="D45" s="629">
        <v>0</v>
      </c>
      <c r="E45" s="637">
        <v>1.2800000000000001E-2</v>
      </c>
      <c r="F45" s="637">
        <v>1.2800000000000001E-2</v>
      </c>
      <c r="G45" s="40">
        <v>1.26E-2</v>
      </c>
      <c r="H45" s="637">
        <v>1.1599999999999999E-2</v>
      </c>
      <c r="I45" s="637">
        <v>1.1599999999999999E-2</v>
      </c>
      <c r="J45" s="637">
        <v>7.6E-3</v>
      </c>
      <c r="K45" s="637"/>
      <c r="L45" s="637"/>
      <c r="M45" s="647"/>
      <c r="N45" s="858"/>
    </row>
    <row r="46" spans="2:14">
      <c r="B46" s="1095"/>
      <c r="C46" s="637" t="s">
        <v>628</v>
      </c>
      <c r="D46" s="629">
        <v>0</v>
      </c>
      <c r="E46" s="637">
        <v>1.29E-2</v>
      </c>
      <c r="F46" s="637">
        <v>1.29E-2</v>
      </c>
      <c r="G46" s="40">
        <v>1.2699999999999999E-2</v>
      </c>
      <c r="H46" s="637">
        <v>1.17E-2</v>
      </c>
      <c r="I46" s="637">
        <v>1.17E-2</v>
      </c>
      <c r="J46" s="637">
        <v>7.7000000000000002E-3</v>
      </c>
      <c r="K46" s="637"/>
      <c r="L46" s="637"/>
      <c r="M46" s="647"/>
      <c r="N46" s="859"/>
    </row>
    <row r="47" spans="2:14">
      <c r="B47" s="1095"/>
      <c r="C47" s="637" t="s">
        <v>629</v>
      </c>
      <c r="D47" s="629">
        <v>0</v>
      </c>
      <c r="E47" s="637">
        <v>1.2999999999999999E-2</v>
      </c>
      <c r="F47" s="637">
        <v>1.2999999999999999E-2</v>
      </c>
      <c r="G47" s="40">
        <v>1.2800000000000001E-2</v>
      </c>
      <c r="H47" s="637">
        <v>1.18E-2</v>
      </c>
      <c r="I47" s="637">
        <v>1.18E-2</v>
      </c>
      <c r="J47" s="637">
        <v>7.7999999999999996E-3</v>
      </c>
      <c r="K47" s="637"/>
      <c r="L47" s="637"/>
      <c r="M47" s="647"/>
      <c r="N47" s="859"/>
    </row>
    <row r="48" spans="2:14">
      <c r="B48" s="1096"/>
      <c r="C48" s="637" t="s">
        <v>630</v>
      </c>
      <c r="D48" s="629">
        <v>0</v>
      </c>
      <c r="E48" s="637">
        <v>1.2999999999999999E-2</v>
      </c>
      <c r="F48" s="637">
        <v>1.2999999999999999E-2</v>
      </c>
      <c r="G48" s="40">
        <v>1.2999999999999999E-2</v>
      </c>
      <c r="H48" s="637">
        <v>1.2E-2</v>
      </c>
      <c r="I48" s="637">
        <v>1.2E-2</v>
      </c>
      <c r="J48" s="637">
        <v>8.0000000000000002E-3</v>
      </c>
      <c r="K48" s="637"/>
      <c r="L48" s="637"/>
      <c r="M48" s="647"/>
      <c r="N48" s="860"/>
    </row>
    <row r="49" spans="2:14" ht="15.6">
      <c r="B49" s="1090" t="s">
        <v>37</v>
      </c>
      <c r="C49" s="639" t="s">
        <v>631</v>
      </c>
      <c r="D49" s="602"/>
      <c r="E49" s="795">
        <v>1.0999999999999999E-2</v>
      </c>
      <c r="F49" s="832">
        <v>1.15E-2</v>
      </c>
      <c r="G49" s="832">
        <v>1.15E-2</v>
      </c>
      <c r="H49" s="795">
        <v>1.2999999999999999E-2</v>
      </c>
      <c r="I49" s="600"/>
      <c r="J49" s="639"/>
      <c r="K49" s="639"/>
      <c r="L49" s="636"/>
      <c r="M49" s="558"/>
      <c r="N49" s="867"/>
    </row>
    <row r="50" spans="2:14" ht="15.6">
      <c r="B50" s="1109"/>
      <c r="C50" s="639" t="s">
        <v>632</v>
      </c>
      <c r="D50" s="602"/>
      <c r="E50" s="795">
        <v>1.15E-2</v>
      </c>
      <c r="F50" s="832">
        <v>1.2E-2</v>
      </c>
      <c r="G50" s="832">
        <v>1.2E-2</v>
      </c>
      <c r="H50" s="795">
        <v>1.35E-2</v>
      </c>
      <c r="I50" s="600"/>
      <c r="J50" s="639"/>
      <c r="K50" s="639"/>
      <c r="L50" s="636"/>
      <c r="M50" s="558"/>
      <c r="N50" s="868"/>
    </row>
    <row r="51" spans="2:14" ht="15.6">
      <c r="B51" s="1091"/>
      <c r="C51" s="639" t="s">
        <v>633</v>
      </c>
      <c r="D51" s="602"/>
      <c r="E51" s="795">
        <v>1.2999999999999999E-2</v>
      </c>
      <c r="F51" s="832">
        <v>1.35E-2</v>
      </c>
      <c r="G51" s="832">
        <v>1.35E-2</v>
      </c>
      <c r="H51" s="795">
        <v>1.4999999999999999E-2</v>
      </c>
      <c r="I51" s="600"/>
      <c r="J51" s="639"/>
      <c r="K51" s="639"/>
      <c r="L51" s="636"/>
      <c r="M51" s="558"/>
      <c r="N51" s="869"/>
    </row>
    <row r="52" spans="2:14">
      <c r="B52" s="1094" t="s">
        <v>31</v>
      </c>
      <c r="C52" s="637" t="s">
        <v>71</v>
      </c>
      <c r="D52" s="629"/>
      <c r="E52" s="637"/>
      <c r="F52" s="637"/>
      <c r="G52" s="637"/>
      <c r="H52" s="637"/>
      <c r="I52" s="637"/>
      <c r="J52" s="637"/>
      <c r="K52" s="637"/>
      <c r="L52" s="637"/>
      <c r="M52" s="646"/>
      <c r="N52" s="858"/>
    </row>
    <row r="53" spans="2:14">
      <c r="B53" s="1096"/>
      <c r="C53" s="637" t="s">
        <v>74</v>
      </c>
      <c r="D53" s="629"/>
      <c r="E53" s="637"/>
      <c r="F53" s="637"/>
      <c r="G53" s="637"/>
      <c r="H53" s="637"/>
      <c r="I53" s="637"/>
      <c r="J53" s="637"/>
      <c r="K53" s="637"/>
      <c r="L53" s="637"/>
      <c r="M53" s="637"/>
      <c r="N53" s="859"/>
    </row>
    <row r="54" spans="2:14" ht="15.6">
      <c r="B54" s="762" t="s">
        <v>29</v>
      </c>
      <c r="C54" s="637" t="s">
        <v>635</v>
      </c>
      <c r="D54" s="629"/>
      <c r="E54" s="637"/>
      <c r="F54" s="637"/>
      <c r="G54" s="637"/>
      <c r="H54" s="637"/>
      <c r="I54" s="637"/>
      <c r="J54" s="637"/>
      <c r="K54" s="637"/>
      <c r="L54" s="637"/>
      <c r="M54" s="646"/>
      <c r="N54" s="860"/>
    </row>
    <row r="55" spans="2:14" ht="15.6">
      <c r="B55" s="1090" t="s">
        <v>39</v>
      </c>
      <c r="C55" s="638" t="s">
        <v>71</v>
      </c>
      <c r="D55" s="602"/>
      <c r="E55" s="636">
        <v>0</v>
      </c>
      <c r="F55" s="636">
        <v>0</v>
      </c>
      <c r="G55" s="636">
        <v>0</v>
      </c>
      <c r="H55" s="636">
        <v>0</v>
      </c>
      <c r="I55" s="636">
        <v>0</v>
      </c>
      <c r="J55" s="636">
        <v>0</v>
      </c>
      <c r="K55" s="559"/>
      <c r="L55" s="615"/>
      <c r="M55" s="558"/>
      <c r="N55" s="867"/>
    </row>
    <row r="56" spans="2:14" ht="15.6">
      <c r="B56" s="1109"/>
      <c r="C56" s="639" t="s">
        <v>269</v>
      </c>
      <c r="D56" s="602"/>
      <c r="E56" s="636">
        <v>0</v>
      </c>
      <c r="F56" s="636">
        <v>0</v>
      </c>
      <c r="G56" s="636">
        <v>0</v>
      </c>
      <c r="H56" s="636">
        <v>0</v>
      </c>
      <c r="I56" s="636">
        <v>0</v>
      </c>
      <c r="J56" s="636">
        <v>0</v>
      </c>
      <c r="K56" s="636"/>
      <c r="L56" s="615"/>
      <c r="M56" s="636"/>
      <c r="N56" s="868"/>
    </row>
    <row r="57" spans="2:14" ht="15.6">
      <c r="B57" s="1109"/>
      <c r="C57" s="639" t="s">
        <v>231</v>
      </c>
      <c r="D57" s="602"/>
      <c r="E57" s="636">
        <v>0</v>
      </c>
      <c r="F57" s="636">
        <v>0</v>
      </c>
      <c r="G57" s="636">
        <v>0</v>
      </c>
      <c r="H57" s="636">
        <v>0</v>
      </c>
      <c r="I57" s="636">
        <v>0</v>
      </c>
      <c r="J57" s="636">
        <v>0</v>
      </c>
      <c r="K57" s="636"/>
      <c r="L57" s="615"/>
      <c r="M57" s="636"/>
      <c r="N57" s="868"/>
    </row>
    <row r="58" spans="2:14" ht="15.6">
      <c r="B58" s="1109"/>
      <c r="C58" s="639" t="s">
        <v>62</v>
      </c>
      <c r="D58" s="602"/>
      <c r="E58" s="636">
        <v>0</v>
      </c>
      <c r="F58" s="636">
        <v>0</v>
      </c>
      <c r="G58" s="636">
        <v>0</v>
      </c>
      <c r="H58" s="636">
        <v>0</v>
      </c>
      <c r="I58" s="636">
        <v>0</v>
      </c>
      <c r="J58" s="636">
        <v>0</v>
      </c>
      <c r="K58" s="636"/>
      <c r="L58" s="615"/>
      <c r="M58" s="636"/>
      <c r="N58" s="868"/>
    </row>
    <row r="59" spans="2:14" ht="15.6">
      <c r="B59" s="1091"/>
      <c r="C59" s="639" t="s">
        <v>276</v>
      </c>
      <c r="D59" s="602"/>
      <c r="E59" s="636">
        <v>0</v>
      </c>
      <c r="F59" s="636">
        <v>0</v>
      </c>
      <c r="G59" s="636">
        <v>0</v>
      </c>
      <c r="H59" s="636">
        <v>0</v>
      </c>
      <c r="I59" s="636">
        <v>0</v>
      </c>
      <c r="J59" s="636">
        <v>0</v>
      </c>
      <c r="K59" s="636"/>
      <c r="L59" s="615"/>
      <c r="M59" s="636"/>
      <c r="N59" s="869"/>
    </row>
  </sheetData>
  <autoFilter ref="A2:N58" xr:uid="{00000000-0009-0000-0000-00000B000000}"/>
  <mergeCells count="27">
    <mergeCell ref="B55:B59"/>
    <mergeCell ref="N55:N59"/>
    <mergeCell ref="B45:B48"/>
    <mergeCell ref="N45:N48"/>
    <mergeCell ref="B49:B51"/>
    <mergeCell ref="N49:N51"/>
    <mergeCell ref="B52:B53"/>
    <mergeCell ref="N52:N54"/>
    <mergeCell ref="B31:B35"/>
    <mergeCell ref="N31:N35"/>
    <mergeCell ref="B36:B37"/>
    <mergeCell ref="N36:N37"/>
    <mergeCell ref="B38:B43"/>
    <mergeCell ref="N38:N43"/>
    <mergeCell ref="B26:B29"/>
    <mergeCell ref="N26:N29"/>
    <mergeCell ref="B1:I1"/>
    <mergeCell ref="J1:M1"/>
    <mergeCell ref="B3:B7"/>
    <mergeCell ref="N3:N7"/>
    <mergeCell ref="B8:B11"/>
    <mergeCell ref="N8:N11"/>
    <mergeCell ref="B12:B18"/>
    <mergeCell ref="N12:N18"/>
    <mergeCell ref="B19:B21"/>
    <mergeCell ref="B22:B25"/>
    <mergeCell ref="N22:N25"/>
  </mergeCells>
  <phoneticPr fontId="71" type="noConversion"/>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FF00"/>
  </sheetPr>
  <dimension ref="B1:N59"/>
  <sheetViews>
    <sheetView showGridLines="0" workbookViewId="0">
      <pane ySplit="2" topLeftCell="A34" activePane="bottomLeft" state="frozen"/>
      <selection activeCell="J12" sqref="J12"/>
      <selection pane="bottomLeft" activeCell="L39" sqref="L39"/>
    </sheetView>
  </sheetViews>
  <sheetFormatPr defaultColWidth="9.109375" defaultRowHeight="13.8"/>
  <cols>
    <col min="1" max="1" width="2" style="14" customWidth="1"/>
    <col min="2" max="2" width="11.6640625" style="116" customWidth="1"/>
    <col min="3" max="3" width="21.6640625" style="14" customWidth="1"/>
    <col min="4" max="4" width="9.109375" style="14" customWidth="1"/>
    <col min="5" max="13" width="9.109375" style="14"/>
    <col min="14" max="14" width="16.6640625" style="14" bestFit="1" customWidth="1"/>
    <col min="15" max="16384" width="9.109375" style="14"/>
  </cols>
  <sheetData>
    <row r="1" spans="2:14" ht="20.399999999999999">
      <c r="B1" s="861" t="s">
        <v>691</v>
      </c>
      <c r="C1" s="861"/>
      <c r="D1" s="861"/>
      <c r="E1" s="861"/>
      <c r="F1" s="861"/>
      <c r="G1" s="861"/>
      <c r="H1" s="861"/>
      <c r="I1" s="861"/>
      <c r="J1" s="862">
        <f>'最高报价汇总 '!F2</f>
        <v>46099</v>
      </c>
      <c r="K1" s="863"/>
      <c r="L1" s="863"/>
      <c r="M1" s="863"/>
    </row>
    <row r="2" spans="2:14" ht="17.399999999999999">
      <c r="B2" s="741" t="s">
        <v>292</v>
      </c>
      <c r="C2" s="686" t="s">
        <v>668</v>
      </c>
      <c r="D2" s="141" t="s">
        <v>290</v>
      </c>
      <c r="E2" s="141" t="s">
        <v>289</v>
      </c>
      <c r="F2" s="141" t="s">
        <v>604</v>
      </c>
      <c r="G2" s="141" t="s">
        <v>288</v>
      </c>
      <c r="H2" s="141" t="s">
        <v>287</v>
      </c>
      <c r="I2" s="141" t="s">
        <v>286</v>
      </c>
      <c r="J2" s="141" t="s">
        <v>285</v>
      </c>
      <c r="K2" s="141" t="s">
        <v>284</v>
      </c>
      <c r="L2" s="139" t="s">
        <v>283</v>
      </c>
      <c r="M2" s="140" t="s">
        <v>282</v>
      </c>
      <c r="N2" s="139" t="s">
        <v>223</v>
      </c>
    </row>
    <row r="3" spans="2:14" s="774" customFormat="1" ht="15.6">
      <c r="B3" s="864" t="s">
        <v>26</v>
      </c>
      <c r="C3" s="775" t="s">
        <v>605</v>
      </c>
      <c r="D3" s="602">
        <v>0</v>
      </c>
      <c r="E3" s="745">
        <v>2.58E-2</v>
      </c>
      <c r="F3" s="745">
        <v>2.6599999999999999E-2</v>
      </c>
      <c r="G3" s="745">
        <v>2.6499999999999999E-2</v>
      </c>
      <c r="H3" s="745">
        <v>2.2499999999999999E-2</v>
      </c>
      <c r="I3" s="745"/>
      <c r="J3" s="745">
        <v>2.0199999999999999E-2</v>
      </c>
      <c r="K3" s="597"/>
      <c r="L3" s="597"/>
      <c r="M3" s="597"/>
      <c r="N3" s="867"/>
    </row>
    <row r="4" spans="2:14" s="774" customFormat="1" ht="15.6">
      <c r="B4" s="865"/>
      <c r="C4" s="775" t="s">
        <v>71</v>
      </c>
      <c r="D4" s="602">
        <v>0</v>
      </c>
      <c r="E4" s="745">
        <v>2.58E-2</v>
      </c>
      <c r="F4" s="745">
        <v>2.6599999999999999E-2</v>
      </c>
      <c r="G4" s="745">
        <v>2.6499999999999999E-2</v>
      </c>
      <c r="H4" s="745">
        <v>2.2499999999999999E-2</v>
      </c>
      <c r="I4" s="745"/>
      <c r="J4" s="745">
        <v>2.0199999999999999E-2</v>
      </c>
      <c r="K4" s="597"/>
      <c r="L4" s="597"/>
      <c r="M4" s="599"/>
      <c r="N4" s="868"/>
    </row>
    <row r="5" spans="2:14" s="774" customFormat="1" ht="15.6">
      <c r="B5" s="865"/>
      <c r="C5" s="775" t="s">
        <v>606</v>
      </c>
      <c r="D5" s="602">
        <v>0</v>
      </c>
      <c r="E5" s="745">
        <v>2.8799999999999999E-2</v>
      </c>
      <c r="F5" s="745">
        <v>2.9600000000000001E-2</v>
      </c>
      <c r="G5" s="745">
        <v>2.9499999999999998E-2</v>
      </c>
      <c r="H5" s="745">
        <v>2.5499999999999998E-2</v>
      </c>
      <c r="I5" s="745"/>
      <c r="J5" s="745">
        <v>2.3199999999999998E-2</v>
      </c>
      <c r="K5" s="597"/>
      <c r="L5" s="597"/>
      <c r="M5" s="599"/>
      <c r="N5" s="868"/>
    </row>
    <row r="6" spans="2:14" s="774" customFormat="1" ht="15.6">
      <c r="B6" s="865"/>
      <c r="C6" s="775" t="s">
        <v>607</v>
      </c>
      <c r="D6" s="602">
        <v>0</v>
      </c>
      <c r="E6" s="745">
        <v>2.8799999999999999E-2</v>
      </c>
      <c r="F6" s="745">
        <v>2.9600000000000001E-2</v>
      </c>
      <c r="G6" s="745">
        <v>2.9499999999999998E-2</v>
      </c>
      <c r="H6" s="745">
        <v>2.5499999999999998E-2</v>
      </c>
      <c r="I6" s="745"/>
      <c r="J6" s="745">
        <v>2.3199999999999998E-2</v>
      </c>
      <c r="K6" s="597"/>
      <c r="L6" s="597"/>
      <c r="M6" s="599"/>
      <c r="N6" s="868"/>
    </row>
    <row r="7" spans="2:14" s="774" customFormat="1" ht="15.6">
      <c r="B7" s="866"/>
      <c r="C7" s="775" t="s">
        <v>608</v>
      </c>
      <c r="D7" s="600">
        <v>0</v>
      </c>
      <c r="E7" s="745">
        <v>3.0800000000000001E-2</v>
      </c>
      <c r="F7" s="745">
        <v>3.1600000000000003E-2</v>
      </c>
      <c r="G7" s="745">
        <v>3.15E-2</v>
      </c>
      <c r="H7" s="745">
        <v>2.75E-2</v>
      </c>
      <c r="I7" s="754"/>
      <c r="J7" s="745">
        <v>2.52E-2</v>
      </c>
      <c r="K7" s="600"/>
      <c r="L7" s="600"/>
      <c r="M7" s="601"/>
      <c r="N7" s="869"/>
    </row>
    <row r="8" spans="2:14" s="774" customFormat="1">
      <c r="B8" s="855" t="s">
        <v>50</v>
      </c>
      <c r="C8" s="776" t="s">
        <v>71</v>
      </c>
      <c r="D8" s="798">
        <v>1.6199999999999999E-2</v>
      </c>
      <c r="E8" s="750">
        <v>2.6499999999999999E-2</v>
      </c>
      <c r="F8" s="750">
        <v>2.7199999999999998E-2</v>
      </c>
      <c r="G8" s="750">
        <v>2.7199999999999998E-2</v>
      </c>
      <c r="H8" s="750">
        <v>2.3E-2</v>
      </c>
      <c r="I8" s="630"/>
      <c r="J8" s="631"/>
      <c r="K8" s="631"/>
      <c r="L8" s="648"/>
      <c r="M8" s="631"/>
      <c r="N8" s="858"/>
    </row>
    <row r="9" spans="2:14" s="774" customFormat="1">
      <c r="B9" s="856"/>
      <c r="C9" s="778" t="s">
        <v>269</v>
      </c>
      <c r="D9" s="798">
        <v>1.6199999999999999E-2</v>
      </c>
      <c r="E9" s="750">
        <v>2.7949999999999999E-2</v>
      </c>
      <c r="F9" s="750">
        <v>2.895E-2</v>
      </c>
      <c r="G9" s="750">
        <v>2.845E-2</v>
      </c>
      <c r="H9" s="750">
        <v>2.52E-2</v>
      </c>
      <c r="I9" s="630"/>
      <c r="J9" s="631"/>
      <c r="K9" s="640"/>
      <c r="L9" s="648"/>
      <c r="M9" s="631"/>
      <c r="N9" s="859"/>
    </row>
    <row r="10" spans="2:14" s="774" customFormat="1">
      <c r="B10" s="856"/>
      <c r="C10" s="778" t="s">
        <v>231</v>
      </c>
      <c r="D10" s="798">
        <v>1.8200000000000001E-2</v>
      </c>
      <c r="E10" s="750">
        <v>2.845E-2</v>
      </c>
      <c r="F10" s="750">
        <v>2.945E-2</v>
      </c>
      <c r="G10" s="750">
        <v>2.895E-2</v>
      </c>
      <c r="H10" s="750">
        <v>2.5700000000000001E-2</v>
      </c>
      <c r="I10" s="630"/>
      <c r="J10" s="631"/>
      <c r="K10" s="640"/>
      <c r="L10" s="648"/>
      <c r="M10" s="631"/>
      <c r="N10" s="859"/>
    </row>
    <row r="11" spans="2:14" s="774" customFormat="1">
      <c r="B11" s="857"/>
      <c r="C11" s="776" t="s">
        <v>62</v>
      </c>
      <c r="D11" s="798">
        <v>2.12E-2</v>
      </c>
      <c r="E11" s="750">
        <v>2.9700000000000001E-2</v>
      </c>
      <c r="F11" s="750">
        <v>3.0700000000000002E-2</v>
      </c>
      <c r="G11" s="750">
        <v>3.1199999999999999E-2</v>
      </c>
      <c r="H11" s="750">
        <v>2.75E-2</v>
      </c>
      <c r="I11" s="630"/>
      <c r="J11" s="631"/>
      <c r="K11" s="640"/>
      <c r="L11" s="648"/>
      <c r="M11" s="631"/>
      <c r="N11" s="860"/>
    </row>
    <row r="12" spans="2:14" s="774" customFormat="1">
      <c r="B12" s="870" t="s">
        <v>23</v>
      </c>
      <c r="C12" s="779" t="s">
        <v>95</v>
      </c>
      <c r="D12" s="632"/>
      <c r="E12" s="632"/>
      <c r="F12" s="632"/>
      <c r="G12" s="632"/>
      <c r="H12" s="632"/>
      <c r="I12" s="633"/>
      <c r="J12" s="632"/>
      <c r="K12" s="633"/>
      <c r="L12" s="638"/>
      <c r="M12" s="638"/>
      <c r="N12" s="873"/>
    </row>
    <row r="13" spans="2:14" s="774" customFormat="1">
      <c r="B13" s="871"/>
      <c r="C13" s="779" t="s">
        <v>93</v>
      </c>
      <c r="D13" s="632"/>
      <c r="E13" s="632"/>
      <c r="F13" s="632"/>
      <c r="G13" s="632"/>
      <c r="H13" s="632"/>
      <c r="I13" s="633"/>
      <c r="J13" s="632"/>
      <c r="K13" s="633"/>
      <c r="L13" s="638"/>
      <c r="M13" s="638"/>
      <c r="N13" s="874"/>
    </row>
    <row r="14" spans="2:14" s="774" customFormat="1">
      <c r="B14" s="871"/>
      <c r="C14" s="779" t="s">
        <v>268</v>
      </c>
      <c r="D14" s="632"/>
      <c r="E14" s="632"/>
      <c r="F14" s="632"/>
      <c r="G14" s="632"/>
      <c r="H14" s="632"/>
      <c r="I14" s="633"/>
      <c r="J14" s="632"/>
      <c r="K14" s="633"/>
      <c r="L14" s="638"/>
      <c r="M14" s="638"/>
      <c r="N14" s="874"/>
    </row>
    <row r="15" spans="2:14" s="774" customFormat="1">
      <c r="B15" s="871"/>
      <c r="C15" s="779" t="s">
        <v>267</v>
      </c>
      <c r="D15" s="632"/>
      <c r="E15" s="632"/>
      <c r="F15" s="632"/>
      <c r="G15" s="632"/>
      <c r="H15" s="632"/>
      <c r="I15" s="633"/>
      <c r="J15" s="632"/>
      <c r="K15" s="633"/>
      <c r="L15" s="638"/>
      <c r="M15" s="638"/>
      <c r="N15" s="874"/>
    </row>
    <row r="16" spans="2:14" s="774" customFormat="1">
      <c r="B16" s="871"/>
      <c r="C16" s="779" t="s">
        <v>266</v>
      </c>
      <c r="D16" s="632"/>
      <c r="E16" s="632"/>
      <c r="F16" s="632"/>
      <c r="G16" s="632"/>
      <c r="H16" s="632"/>
      <c r="I16" s="633"/>
      <c r="J16" s="632"/>
      <c r="K16" s="633"/>
      <c r="L16" s="638"/>
      <c r="M16" s="638"/>
      <c r="N16" s="874"/>
    </row>
    <row r="17" spans="2:14" s="774" customFormat="1">
      <c r="B17" s="871"/>
      <c r="C17" s="779" t="s">
        <v>265</v>
      </c>
      <c r="D17" s="632"/>
      <c r="E17" s="632"/>
      <c r="F17" s="632"/>
      <c r="G17" s="632"/>
      <c r="H17" s="632"/>
      <c r="I17" s="633"/>
      <c r="J17" s="632"/>
      <c r="K17" s="633"/>
      <c r="L17" s="638"/>
      <c r="M17" s="638"/>
      <c r="N17" s="874"/>
    </row>
    <row r="18" spans="2:14" s="774" customFormat="1">
      <c r="B18" s="872"/>
      <c r="C18" s="780" t="s">
        <v>264</v>
      </c>
      <c r="D18" s="632"/>
      <c r="E18" s="632"/>
      <c r="F18" s="632"/>
      <c r="G18" s="632"/>
      <c r="H18" s="632"/>
      <c r="I18" s="633"/>
      <c r="J18" s="632"/>
      <c r="K18" s="633"/>
      <c r="L18" s="638"/>
      <c r="M18" s="638"/>
      <c r="N18" s="875"/>
    </row>
    <row r="19" spans="2:14" s="774" customFormat="1" ht="15.6">
      <c r="B19" s="876" t="s">
        <v>35</v>
      </c>
      <c r="C19" s="781" t="s">
        <v>280</v>
      </c>
      <c r="D19" s="634"/>
      <c r="E19" s="635"/>
      <c r="F19" s="635"/>
      <c r="G19" s="635"/>
      <c r="H19" s="635"/>
      <c r="I19" s="635"/>
      <c r="J19" s="635"/>
      <c r="K19" s="630"/>
      <c r="L19" s="630"/>
      <c r="M19" s="630"/>
      <c r="N19" s="678"/>
    </row>
    <row r="20" spans="2:14" s="774" customFormat="1" ht="15.6">
      <c r="B20" s="877"/>
      <c r="C20" s="781" t="s">
        <v>279</v>
      </c>
      <c r="D20" s="634"/>
      <c r="E20" s="635"/>
      <c r="F20" s="635"/>
      <c r="G20" s="635"/>
      <c r="H20" s="635"/>
      <c r="I20" s="635"/>
      <c r="J20" s="635"/>
      <c r="K20" s="630"/>
      <c r="L20" s="630"/>
      <c r="M20" s="630"/>
      <c r="N20" s="678"/>
    </row>
    <row r="21" spans="2:14" s="774" customFormat="1" ht="15.6">
      <c r="B21" s="878"/>
      <c r="C21" s="777" t="s">
        <v>66</v>
      </c>
      <c r="D21" s="634"/>
      <c r="E21" s="635"/>
      <c r="F21" s="635"/>
      <c r="G21" s="635"/>
      <c r="H21" s="635"/>
      <c r="I21" s="635"/>
      <c r="J21" s="635"/>
      <c r="K21" s="630"/>
      <c r="L21" s="630"/>
      <c r="M21" s="630"/>
      <c r="N21" s="631"/>
    </row>
    <row r="22" spans="2:14" s="774" customFormat="1" ht="15" customHeight="1">
      <c r="B22" s="864" t="s">
        <v>46</v>
      </c>
      <c r="C22" s="775" t="s">
        <v>232</v>
      </c>
      <c r="D22" s="794">
        <v>2.443E-2</v>
      </c>
      <c r="E22" s="794">
        <v>2.47E-2</v>
      </c>
      <c r="F22" s="794">
        <v>2.496E-2</v>
      </c>
      <c r="G22" s="794">
        <v>2.513E-2</v>
      </c>
      <c r="H22" s="794">
        <v>2.6700000000000002E-2</v>
      </c>
      <c r="I22" s="794"/>
      <c r="J22" s="794">
        <v>2.8469999999999999E-2</v>
      </c>
      <c r="K22" s="636"/>
      <c r="L22" s="636"/>
      <c r="M22" s="636"/>
      <c r="N22" s="867"/>
    </row>
    <row r="23" spans="2:14" s="774" customFormat="1" ht="15" customHeight="1">
      <c r="B23" s="865"/>
      <c r="C23" s="775" t="s">
        <v>618</v>
      </c>
      <c r="D23" s="794">
        <v>2.5430000000000001E-2</v>
      </c>
      <c r="E23" s="794">
        <v>2.5700000000000001E-2</v>
      </c>
      <c r="F23" s="794">
        <v>2.596E-2</v>
      </c>
      <c r="G23" s="794">
        <v>2.613E-2</v>
      </c>
      <c r="H23" s="794">
        <v>2.7699999999999999E-2</v>
      </c>
      <c r="I23" s="794"/>
      <c r="J23" s="794">
        <v>2.947E-2</v>
      </c>
      <c r="K23" s="636"/>
      <c r="L23" s="636"/>
      <c r="M23" s="636"/>
      <c r="N23" s="868"/>
    </row>
    <row r="24" spans="2:14" s="774" customFormat="1" ht="15" customHeight="1">
      <c r="B24" s="865"/>
      <c r="C24" s="775" t="s">
        <v>619</v>
      </c>
      <c r="D24" s="794">
        <v>2.6429999999999999E-2</v>
      </c>
      <c r="E24" s="794">
        <v>2.6700000000000002E-2</v>
      </c>
      <c r="F24" s="794">
        <v>2.6960000000000001E-2</v>
      </c>
      <c r="G24" s="794">
        <v>2.7130000000000001E-2</v>
      </c>
      <c r="H24" s="794">
        <v>2.87E-2</v>
      </c>
      <c r="I24" s="794"/>
      <c r="J24" s="794">
        <v>3.0470000000000001E-2</v>
      </c>
      <c r="K24" s="636"/>
      <c r="L24" s="636"/>
      <c r="M24" s="636"/>
      <c r="N24" s="868"/>
    </row>
    <row r="25" spans="2:14" s="774" customFormat="1" ht="15.75" customHeight="1">
      <c r="B25" s="866"/>
      <c r="C25" s="775" t="s">
        <v>620</v>
      </c>
      <c r="D25" s="794">
        <v>2.6929999999999999E-2</v>
      </c>
      <c r="E25" s="794">
        <v>2.7199999999999998E-2</v>
      </c>
      <c r="F25" s="794">
        <v>2.7459999999999998E-2</v>
      </c>
      <c r="G25" s="794">
        <v>2.7629999999999998E-2</v>
      </c>
      <c r="H25" s="794">
        <v>2.92E-2</v>
      </c>
      <c r="I25" s="794"/>
      <c r="J25" s="794">
        <v>3.0970000000000001E-2</v>
      </c>
      <c r="K25" s="636"/>
      <c r="L25" s="636"/>
      <c r="M25" s="636"/>
      <c r="N25" s="869"/>
    </row>
    <row r="26" spans="2:14" s="774" customFormat="1">
      <c r="B26" s="855" t="s">
        <v>20</v>
      </c>
      <c r="C26" s="776" t="s">
        <v>621</v>
      </c>
      <c r="D26" s="629"/>
      <c r="E26" s="753">
        <v>2.2499999999999999E-2</v>
      </c>
      <c r="F26" s="753"/>
      <c r="G26" s="753">
        <v>2.4E-2</v>
      </c>
      <c r="H26" s="752">
        <v>2.1499999999999998E-2</v>
      </c>
      <c r="I26" s="752"/>
      <c r="J26" s="752">
        <v>1.95E-2</v>
      </c>
      <c r="K26" s="640"/>
      <c r="L26" s="641"/>
      <c r="M26" s="647"/>
      <c r="N26" s="858"/>
    </row>
    <row r="27" spans="2:14" s="774" customFormat="1">
      <c r="B27" s="856"/>
      <c r="C27" s="776" t="s">
        <v>622</v>
      </c>
      <c r="D27" s="629"/>
      <c r="E27" s="753">
        <v>2.2499999999999999E-2</v>
      </c>
      <c r="F27" s="753"/>
      <c r="G27" s="753">
        <v>2.4E-2</v>
      </c>
      <c r="H27" s="752">
        <v>2.1499999999999998E-2</v>
      </c>
      <c r="I27" s="752"/>
      <c r="J27" s="752">
        <v>1.95E-2</v>
      </c>
      <c r="K27" s="640"/>
      <c r="L27" s="641"/>
      <c r="M27" s="647"/>
      <c r="N27" s="859"/>
    </row>
    <row r="28" spans="2:14" s="774" customFormat="1">
      <c r="B28" s="856"/>
      <c r="C28" s="776" t="s">
        <v>623</v>
      </c>
      <c r="D28" s="629"/>
      <c r="E28" s="753">
        <v>2.3E-2</v>
      </c>
      <c r="F28" s="753"/>
      <c r="G28" s="753">
        <v>2.4500000000000001E-2</v>
      </c>
      <c r="H28" s="752">
        <v>2.1999999999999999E-2</v>
      </c>
      <c r="I28" s="752"/>
      <c r="J28" s="752">
        <v>0.02</v>
      </c>
      <c r="K28" s="640"/>
      <c r="L28" s="641"/>
      <c r="M28" s="647"/>
      <c r="N28" s="859"/>
    </row>
    <row r="29" spans="2:14" s="774" customFormat="1">
      <c r="B29" s="857"/>
      <c r="C29" s="776" t="s">
        <v>624</v>
      </c>
      <c r="D29" s="629"/>
      <c r="E29" s="753">
        <v>2.3E-2</v>
      </c>
      <c r="F29" s="753"/>
      <c r="G29" s="753">
        <v>2.4500000000000001E-2</v>
      </c>
      <c r="H29" s="752">
        <v>2.1999999999999999E-2</v>
      </c>
      <c r="I29" s="752"/>
      <c r="J29" s="752">
        <v>0.02</v>
      </c>
      <c r="K29" s="640"/>
      <c r="L29" s="641"/>
      <c r="M29" s="647"/>
      <c r="N29" s="860"/>
    </row>
    <row r="30" spans="2:14" s="774" customFormat="1" ht="15.6">
      <c r="B30" s="783" t="s">
        <v>44</v>
      </c>
      <c r="C30" s="782" t="s">
        <v>563</v>
      </c>
      <c r="D30" s="602"/>
      <c r="E30" s="598"/>
      <c r="F30" s="598"/>
      <c r="G30" s="598">
        <v>5.0000000000000001E-4</v>
      </c>
      <c r="H30" s="598">
        <v>1E-3</v>
      </c>
      <c r="I30" s="598"/>
      <c r="J30" s="598">
        <v>1E-3</v>
      </c>
      <c r="K30" s="598"/>
      <c r="L30" s="598"/>
      <c r="M30" s="636"/>
      <c r="N30" s="636"/>
    </row>
    <row r="31" spans="2:14" s="774" customFormat="1">
      <c r="B31" s="855" t="s">
        <v>277</v>
      </c>
      <c r="C31" s="781" t="s">
        <v>693</v>
      </c>
      <c r="D31" s="40"/>
      <c r="E31" s="40">
        <v>1.4999999999999999E-2</v>
      </c>
      <c r="F31" s="40"/>
      <c r="G31" s="40">
        <v>1.7000000000000001E-2</v>
      </c>
      <c r="H31" s="40">
        <v>1.7000000000000001E-2</v>
      </c>
      <c r="I31" s="40"/>
      <c r="J31" s="40"/>
      <c r="K31" s="40"/>
      <c r="L31" s="40"/>
      <c r="M31" s="40"/>
      <c r="N31" s="879"/>
    </row>
    <row r="32" spans="2:14" s="774" customFormat="1">
      <c r="B32" s="856"/>
      <c r="C32" s="781" t="s">
        <v>694</v>
      </c>
      <c r="D32" s="40"/>
      <c r="E32" s="40">
        <v>1.4999999999999999E-2</v>
      </c>
      <c r="F32" s="40"/>
      <c r="G32" s="40">
        <v>1.7000000000000001E-2</v>
      </c>
      <c r="H32" s="40">
        <v>1.7000000000000001E-2</v>
      </c>
      <c r="I32" s="40"/>
      <c r="J32" s="40"/>
      <c r="K32" s="40"/>
      <c r="L32" s="40"/>
      <c r="M32" s="40"/>
      <c r="N32" s="880"/>
    </row>
    <row r="33" spans="2:14" s="774" customFormat="1">
      <c r="B33" s="856"/>
      <c r="C33" s="781" t="s">
        <v>609</v>
      </c>
      <c r="D33" s="40"/>
      <c r="E33" s="40">
        <v>1.4999999999999999E-2</v>
      </c>
      <c r="F33" s="40"/>
      <c r="G33" s="40">
        <v>1.7000000000000001E-2</v>
      </c>
      <c r="H33" s="40">
        <v>1.7000000000000001E-2</v>
      </c>
      <c r="I33" s="40"/>
      <c r="J33" s="40"/>
      <c r="K33" s="40"/>
      <c r="L33" s="40"/>
      <c r="M33" s="40"/>
      <c r="N33" s="880"/>
    </row>
    <row r="34" spans="2:14" s="774" customFormat="1" ht="27.6">
      <c r="B34" s="856"/>
      <c r="C34" s="781" t="s">
        <v>612</v>
      </c>
      <c r="D34" s="40"/>
      <c r="E34" s="40">
        <v>1.4999999999999999E-2</v>
      </c>
      <c r="F34" s="40"/>
      <c r="G34" s="40">
        <v>1.7000000000000001E-2</v>
      </c>
      <c r="H34" s="40">
        <v>1.7000000000000001E-2</v>
      </c>
      <c r="I34" s="40"/>
      <c r="J34" s="40"/>
      <c r="K34" s="40"/>
      <c r="L34" s="40"/>
      <c r="M34" s="40"/>
      <c r="N34" s="880"/>
    </row>
    <row r="35" spans="2:14" s="774" customFormat="1">
      <c r="B35" s="856"/>
      <c r="C35" s="781" t="s">
        <v>613</v>
      </c>
      <c r="D35" s="40"/>
      <c r="E35" s="40">
        <v>1.6E-2</v>
      </c>
      <c r="F35" s="40"/>
      <c r="G35" s="40">
        <v>1.7999999999999999E-2</v>
      </c>
      <c r="H35" s="40">
        <v>1.7999999999999999E-2</v>
      </c>
      <c r="I35" s="40"/>
      <c r="J35" s="40"/>
      <c r="K35" s="40"/>
      <c r="L35" s="40"/>
      <c r="M35" s="40"/>
      <c r="N35" s="880"/>
    </row>
    <row r="36" spans="2:14" s="774" customFormat="1">
      <c r="B36" s="870" t="s">
        <v>48</v>
      </c>
      <c r="C36" s="780" t="s">
        <v>71</v>
      </c>
      <c r="D36" s="602"/>
      <c r="E36" s="632"/>
      <c r="F36" s="632"/>
      <c r="G36" s="632"/>
      <c r="H36" s="632"/>
      <c r="I36" s="632"/>
      <c r="J36" s="632"/>
      <c r="K36" s="638"/>
      <c r="L36" s="632"/>
      <c r="M36" s="643"/>
      <c r="N36" s="881"/>
    </row>
    <row r="37" spans="2:14" s="774" customFormat="1">
      <c r="B37" s="872"/>
      <c r="C37" s="780" t="s">
        <v>74</v>
      </c>
      <c r="D37" s="602"/>
      <c r="E37" s="638"/>
      <c r="F37" s="638"/>
      <c r="G37" s="638"/>
      <c r="H37" s="638"/>
      <c r="I37" s="638"/>
      <c r="J37" s="638"/>
      <c r="K37" s="638"/>
      <c r="L37" s="638"/>
      <c r="M37" s="644"/>
      <c r="N37" s="882"/>
    </row>
    <row r="38" spans="2:14" s="774" customFormat="1" ht="15.6">
      <c r="B38" s="855" t="s">
        <v>33</v>
      </c>
      <c r="C38" s="778" t="s">
        <v>654</v>
      </c>
      <c r="D38" s="629"/>
      <c r="E38" s="753">
        <v>2.01E-2</v>
      </c>
      <c r="F38" s="854"/>
      <c r="G38" s="798">
        <v>2.0199999999999999E-2</v>
      </c>
      <c r="H38" s="798">
        <v>1.84E-2</v>
      </c>
      <c r="I38" s="629"/>
      <c r="J38" s="798">
        <v>1.66E-2</v>
      </c>
      <c r="K38" s="637"/>
      <c r="L38" s="645"/>
      <c r="M38" s="646"/>
      <c r="N38" s="883"/>
    </row>
    <row r="39" spans="2:14" s="774" customFormat="1" ht="15.6">
      <c r="B39" s="856"/>
      <c r="C39" s="778" t="s">
        <v>269</v>
      </c>
      <c r="D39" s="629"/>
      <c r="E39" s="753">
        <v>2.01E-2</v>
      </c>
      <c r="F39" s="854"/>
      <c r="G39" s="798">
        <v>2.0199999999999999E-2</v>
      </c>
      <c r="H39" s="798">
        <v>2.1399999999999999E-2</v>
      </c>
      <c r="I39" s="629"/>
      <c r="J39" s="798">
        <v>1.9599999999999999E-2</v>
      </c>
      <c r="K39" s="637"/>
      <c r="L39" s="645"/>
      <c r="M39" s="646"/>
      <c r="N39" s="884"/>
    </row>
    <row r="40" spans="2:14" s="774" customFormat="1" ht="15.6">
      <c r="B40" s="856"/>
      <c r="C40" s="778" t="s">
        <v>231</v>
      </c>
      <c r="D40" s="629"/>
      <c r="E40" s="753">
        <v>2.1100000000000001E-2</v>
      </c>
      <c r="F40" s="854"/>
      <c r="G40" s="798">
        <v>2.12E-2</v>
      </c>
      <c r="H40" s="798">
        <v>2.1399999999999999E-2</v>
      </c>
      <c r="I40" s="629"/>
      <c r="J40" s="798">
        <v>1.9599999999999999E-2</v>
      </c>
      <c r="K40" s="637"/>
      <c r="L40" s="645"/>
      <c r="M40" s="646"/>
      <c r="N40" s="884"/>
    </row>
    <row r="41" spans="2:14" s="774" customFormat="1" ht="15.6">
      <c r="B41" s="856"/>
      <c r="C41" s="778" t="s">
        <v>62</v>
      </c>
      <c r="D41" s="629"/>
      <c r="E41" s="753">
        <v>2.2099999999999998E-2</v>
      </c>
      <c r="F41" s="854"/>
      <c r="G41" s="798">
        <v>2.2200000000000001E-2</v>
      </c>
      <c r="H41" s="798">
        <v>2.24E-2</v>
      </c>
      <c r="I41" s="629"/>
      <c r="J41" s="798">
        <v>2.06E-2</v>
      </c>
      <c r="K41" s="637"/>
      <c r="L41" s="645"/>
      <c r="M41" s="646"/>
      <c r="N41" s="884"/>
    </row>
    <row r="42" spans="2:14" s="774" customFormat="1" ht="15.6">
      <c r="B42" s="856"/>
      <c r="C42" s="776" t="s">
        <v>61</v>
      </c>
      <c r="D42" s="629"/>
      <c r="E42" s="753">
        <v>2.3099999999999999E-2</v>
      </c>
      <c r="F42" s="854"/>
      <c r="G42" s="798">
        <v>2.3199999999999998E-2</v>
      </c>
      <c r="H42" s="798">
        <v>2.3400000000000001E-2</v>
      </c>
      <c r="I42" s="629"/>
      <c r="J42" s="798">
        <v>2.1600000000000001E-2</v>
      </c>
      <c r="K42" s="637"/>
      <c r="L42" s="645"/>
      <c r="M42" s="646"/>
      <c r="N42" s="884"/>
    </row>
    <row r="43" spans="2:14" s="774" customFormat="1" ht="14.1" customHeight="1">
      <c r="B43" s="857"/>
      <c r="C43" s="776" t="s">
        <v>216</v>
      </c>
      <c r="D43" s="629"/>
      <c r="E43" s="753">
        <v>2.3099999999999999E-2</v>
      </c>
      <c r="F43" s="854"/>
      <c r="G43" s="798">
        <v>2.3199999999999998E-2</v>
      </c>
      <c r="H43" s="798">
        <v>2.3400000000000001E-2</v>
      </c>
      <c r="I43" s="629"/>
      <c r="J43" s="798">
        <v>2.1600000000000001E-2</v>
      </c>
      <c r="K43" s="637"/>
      <c r="L43" s="637"/>
      <c r="M43" s="646"/>
      <c r="N43" s="885"/>
    </row>
    <row r="44" spans="2:14" s="774" customFormat="1" ht="15.6">
      <c r="B44" s="784" t="s">
        <v>12</v>
      </c>
      <c r="C44" s="782" t="s">
        <v>625</v>
      </c>
      <c r="D44" s="602">
        <v>3.0200000000000001E-2</v>
      </c>
      <c r="E44" s="598">
        <v>3.27E-2</v>
      </c>
      <c r="F44" s="598">
        <v>3.27E-2</v>
      </c>
      <c r="G44" s="598">
        <v>3.27E-2</v>
      </c>
      <c r="H44" s="598">
        <v>3.1699999999999999E-2</v>
      </c>
      <c r="I44" s="751"/>
      <c r="J44" s="598">
        <v>3.0200000000000001E-2</v>
      </c>
      <c r="K44" s="598"/>
      <c r="L44" s="598"/>
      <c r="M44" s="601"/>
      <c r="N44" s="679"/>
    </row>
    <row r="45" spans="2:14" s="774" customFormat="1">
      <c r="B45" s="855" t="s">
        <v>42</v>
      </c>
      <c r="C45" s="776" t="s">
        <v>627</v>
      </c>
      <c r="D45" s="629">
        <v>0</v>
      </c>
      <c r="E45" s="637">
        <v>3.2500000000000001E-2</v>
      </c>
      <c r="F45" s="637">
        <v>3.2500000000000001E-2</v>
      </c>
      <c r="G45" s="40">
        <v>3.2500000000000001E-2</v>
      </c>
      <c r="H45" s="637">
        <v>3.15E-2</v>
      </c>
      <c r="I45" s="637">
        <v>3.0499999999999999E-2</v>
      </c>
      <c r="J45" s="637">
        <v>2.9499999999999998E-2</v>
      </c>
      <c r="K45" s="637"/>
      <c r="L45" s="637"/>
      <c r="M45" s="647"/>
      <c r="N45" s="858"/>
    </row>
    <row r="46" spans="2:14" s="774" customFormat="1">
      <c r="B46" s="856"/>
      <c r="C46" s="776" t="s">
        <v>628</v>
      </c>
      <c r="D46" s="629">
        <v>0</v>
      </c>
      <c r="E46" s="637">
        <v>3.27E-2</v>
      </c>
      <c r="F46" s="637">
        <v>3.27E-2</v>
      </c>
      <c r="G46" s="40">
        <v>3.27E-2</v>
      </c>
      <c r="H46" s="637">
        <v>3.1699999999999999E-2</v>
      </c>
      <c r="I46" s="637">
        <v>3.0700000000000002E-2</v>
      </c>
      <c r="J46" s="637">
        <v>2.9700000000000001E-2</v>
      </c>
      <c r="K46" s="637"/>
      <c r="L46" s="637"/>
      <c r="M46" s="647"/>
      <c r="N46" s="859"/>
    </row>
    <row r="47" spans="2:14" s="774" customFormat="1">
      <c r="B47" s="856"/>
      <c r="C47" s="776" t="s">
        <v>629</v>
      </c>
      <c r="D47" s="629">
        <v>0</v>
      </c>
      <c r="E47" s="637">
        <v>3.2800000000000003E-2</v>
      </c>
      <c r="F47" s="637">
        <v>3.2800000000000003E-2</v>
      </c>
      <c r="G47" s="40">
        <v>3.2800000000000003E-2</v>
      </c>
      <c r="H47" s="637">
        <v>3.1800000000000002E-2</v>
      </c>
      <c r="I47" s="637">
        <v>3.0800000000000001E-2</v>
      </c>
      <c r="J47" s="637">
        <v>2.98E-2</v>
      </c>
      <c r="K47" s="637"/>
      <c r="L47" s="637"/>
      <c r="M47" s="647"/>
      <c r="N47" s="859"/>
    </row>
    <row r="48" spans="2:14" s="774" customFormat="1">
      <c r="B48" s="857"/>
      <c r="C48" s="776" t="s">
        <v>630</v>
      </c>
      <c r="D48" s="629">
        <v>0</v>
      </c>
      <c r="E48" s="637">
        <v>3.3000000000000002E-2</v>
      </c>
      <c r="F48" s="637">
        <v>3.3000000000000002E-2</v>
      </c>
      <c r="G48" s="40">
        <v>3.3000000000000002E-2</v>
      </c>
      <c r="H48" s="637">
        <v>3.2000000000000001E-2</v>
      </c>
      <c r="I48" s="637">
        <v>3.1E-2</v>
      </c>
      <c r="J48" s="637">
        <v>0.03</v>
      </c>
      <c r="K48" s="637"/>
      <c r="L48" s="637"/>
      <c r="M48" s="647"/>
      <c r="N48" s="860"/>
    </row>
    <row r="49" spans="2:14" s="774" customFormat="1" ht="15.6">
      <c r="B49" s="864" t="s">
        <v>37</v>
      </c>
      <c r="C49" s="775" t="s">
        <v>631</v>
      </c>
      <c r="D49" s="602"/>
      <c r="E49" s="754">
        <v>3.0499999999999999E-2</v>
      </c>
      <c r="F49" s="754">
        <v>3.0499999999999999E-2</v>
      </c>
      <c r="G49" s="754">
        <v>3.0499999999999999E-2</v>
      </c>
      <c r="H49" s="754">
        <v>3.1E-2</v>
      </c>
      <c r="I49" s="639"/>
      <c r="J49" s="639"/>
      <c r="K49" s="639"/>
      <c r="L49" s="636"/>
      <c r="M49" s="558"/>
      <c r="N49" s="867"/>
    </row>
    <row r="50" spans="2:14" s="774" customFormat="1" ht="15.6">
      <c r="B50" s="865"/>
      <c r="C50" s="775" t="s">
        <v>632</v>
      </c>
      <c r="D50" s="602"/>
      <c r="E50" s="754">
        <v>3.15E-2</v>
      </c>
      <c r="F50" s="754">
        <v>3.15E-2</v>
      </c>
      <c r="G50" s="754">
        <v>3.15E-2</v>
      </c>
      <c r="H50" s="754">
        <v>3.2000000000000001E-2</v>
      </c>
      <c r="I50" s="639"/>
      <c r="J50" s="639"/>
      <c r="K50" s="639"/>
      <c r="L50" s="636"/>
      <c r="M50" s="558"/>
      <c r="N50" s="868"/>
    </row>
    <row r="51" spans="2:14" s="774" customFormat="1" ht="15.6">
      <c r="B51" s="866"/>
      <c r="C51" s="775" t="s">
        <v>633</v>
      </c>
      <c r="D51" s="602"/>
      <c r="E51" s="754">
        <v>3.2500000000000001E-2</v>
      </c>
      <c r="F51" s="754">
        <v>3.2500000000000001E-2</v>
      </c>
      <c r="G51" s="754">
        <v>3.2500000000000001E-2</v>
      </c>
      <c r="H51" s="754">
        <v>3.3000000000000002E-2</v>
      </c>
      <c r="I51" s="639"/>
      <c r="J51" s="639"/>
      <c r="K51" s="639"/>
      <c r="L51" s="636"/>
      <c r="M51" s="558"/>
      <c r="N51" s="869"/>
    </row>
    <row r="52" spans="2:14" s="774" customFormat="1">
      <c r="B52" s="855" t="s">
        <v>31</v>
      </c>
      <c r="C52" s="776" t="s">
        <v>71</v>
      </c>
      <c r="D52" s="629"/>
      <c r="E52" s="637"/>
      <c r="F52" s="637"/>
      <c r="G52" s="637"/>
      <c r="H52" s="637"/>
      <c r="I52" s="637"/>
      <c r="J52" s="637"/>
      <c r="K52" s="637"/>
      <c r="L52" s="637"/>
      <c r="M52" s="646"/>
      <c r="N52" s="858"/>
    </row>
    <row r="53" spans="2:14" s="774" customFormat="1">
      <c r="B53" s="857"/>
      <c r="C53" s="776" t="s">
        <v>74</v>
      </c>
      <c r="D53" s="629"/>
      <c r="E53" s="637"/>
      <c r="F53" s="637"/>
      <c r="G53" s="637"/>
      <c r="H53" s="637"/>
      <c r="I53" s="637"/>
      <c r="J53" s="637"/>
      <c r="K53" s="637"/>
      <c r="L53" s="637"/>
      <c r="M53" s="637"/>
      <c r="N53" s="859"/>
    </row>
    <row r="54" spans="2:14" s="774" customFormat="1" ht="15.6">
      <c r="B54" s="785" t="s">
        <v>29</v>
      </c>
      <c r="C54" s="776" t="s">
        <v>701</v>
      </c>
      <c r="D54" s="629"/>
      <c r="E54" s="752">
        <v>2.9700000000000001E-2</v>
      </c>
      <c r="F54" s="637"/>
      <c r="G54" s="752">
        <v>3.0210000000000001E-2</v>
      </c>
      <c r="H54" s="752">
        <v>3.022E-2</v>
      </c>
      <c r="I54" s="752"/>
      <c r="J54" s="752">
        <v>3.057E-2</v>
      </c>
      <c r="K54" s="637"/>
      <c r="L54" s="637"/>
      <c r="M54" s="646"/>
      <c r="N54" s="860"/>
    </row>
    <row r="55" spans="2:14" s="774" customFormat="1" ht="15.6">
      <c r="B55" s="864" t="s">
        <v>39</v>
      </c>
      <c r="C55" s="780" t="s">
        <v>71</v>
      </c>
      <c r="D55" s="602"/>
      <c r="E55" s="794">
        <v>2.7400000000000001E-2</v>
      </c>
      <c r="F55" s="794">
        <v>2.7400000000000001E-2</v>
      </c>
      <c r="G55" s="751">
        <v>2.7900000000000001E-2</v>
      </c>
      <c r="H55" s="794">
        <v>2.5000000000000001E-2</v>
      </c>
      <c r="I55" s="794"/>
      <c r="J55" s="751">
        <v>2.2599999999999999E-2</v>
      </c>
      <c r="K55" s="559"/>
      <c r="L55" s="615"/>
      <c r="M55" s="558"/>
      <c r="N55" s="867"/>
    </row>
    <row r="56" spans="2:14" s="774" customFormat="1" ht="15.6">
      <c r="B56" s="865"/>
      <c r="C56" s="775" t="s">
        <v>269</v>
      </c>
      <c r="D56" s="602"/>
      <c r="E56" s="794">
        <v>2.8000000000000001E-2</v>
      </c>
      <c r="F56" s="794">
        <v>2.8000000000000001E-2</v>
      </c>
      <c r="G56" s="751">
        <v>2.8500000000000001E-2</v>
      </c>
      <c r="H56" s="794">
        <v>2.5600000000000001E-2</v>
      </c>
      <c r="I56" s="751"/>
      <c r="J56" s="751">
        <v>2.2599999999999999E-2</v>
      </c>
      <c r="K56" s="636"/>
      <c r="L56" s="615"/>
      <c r="M56" s="636"/>
      <c r="N56" s="868"/>
    </row>
    <row r="57" spans="2:14" s="774" customFormat="1" ht="15.6">
      <c r="B57" s="865"/>
      <c r="C57" s="775" t="s">
        <v>231</v>
      </c>
      <c r="D57" s="602"/>
      <c r="E57" s="794">
        <v>2.8000000000000001E-2</v>
      </c>
      <c r="F57" s="794">
        <v>2.8000000000000001E-2</v>
      </c>
      <c r="G57" s="751">
        <v>2.8500000000000001E-2</v>
      </c>
      <c r="H57" s="794">
        <v>2.5600000000000001E-2</v>
      </c>
      <c r="I57" s="751"/>
      <c r="J57" s="751">
        <v>2.3599999999999999E-2</v>
      </c>
      <c r="K57" s="636"/>
      <c r="L57" s="660"/>
      <c r="M57" s="636"/>
      <c r="N57" s="868"/>
    </row>
    <row r="58" spans="2:14" s="774" customFormat="1" ht="15.6">
      <c r="B58" s="865"/>
      <c r="C58" s="775" t="s">
        <v>62</v>
      </c>
      <c r="D58" s="602"/>
      <c r="E58" s="794">
        <v>2.92E-2</v>
      </c>
      <c r="F58" s="794">
        <v>2.92E-2</v>
      </c>
      <c r="G58" s="751">
        <v>2.9700000000000001E-2</v>
      </c>
      <c r="H58" s="794">
        <v>2.6800000000000001E-2</v>
      </c>
      <c r="I58" s="751"/>
      <c r="J58" s="751">
        <v>2.41E-2</v>
      </c>
      <c r="K58" s="636"/>
      <c r="L58" s="615"/>
      <c r="M58" s="636"/>
      <c r="N58" s="868"/>
    </row>
    <row r="59" spans="2:14" s="774" customFormat="1" ht="15.6">
      <c r="B59" s="866"/>
      <c r="C59" s="775" t="s">
        <v>276</v>
      </c>
      <c r="D59" s="602"/>
      <c r="E59" s="794">
        <v>2.92E-2</v>
      </c>
      <c r="F59" s="794">
        <v>2.92E-2</v>
      </c>
      <c r="G59" s="751">
        <v>2.9700000000000001E-2</v>
      </c>
      <c r="H59" s="794">
        <v>2.6800000000000001E-2</v>
      </c>
      <c r="I59" s="751"/>
      <c r="J59" s="751">
        <v>2.46E-2</v>
      </c>
      <c r="K59" s="636"/>
      <c r="L59" s="615"/>
      <c r="M59" s="636"/>
      <c r="N59" s="869"/>
    </row>
  </sheetData>
  <autoFilter ref="A2:N58" xr:uid="{00000000-0009-0000-0000-00000C000000}"/>
  <mergeCells count="27">
    <mergeCell ref="B55:B59"/>
    <mergeCell ref="N55:N59"/>
    <mergeCell ref="B45:B48"/>
    <mergeCell ref="N45:N48"/>
    <mergeCell ref="B49:B51"/>
    <mergeCell ref="N49:N51"/>
    <mergeCell ref="B52:B53"/>
    <mergeCell ref="N52:N54"/>
    <mergeCell ref="B31:B35"/>
    <mergeCell ref="N31:N35"/>
    <mergeCell ref="B36:B37"/>
    <mergeCell ref="N36:N37"/>
    <mergeCell ref="B38:B43"/>
    <mergeCell ref="N38:N43"/>
    <mergeCell ref="B26:B29"/>
    <mergeCell ref="N26:N29"/>
    <mergeCell ref="B1:I1"/>
    <mergeCell ref="J1:M1"/>
    <mergeCell ref="B3:B7"/>
    <mergeCell ref="N3:N7"/>
    <mergeCell ref="B8:B11"/>
    <mergeCell ref="N8:N11"/>
    <mergeCell ref="B12:B18"/>
    <mergeCell ref="N12:N18"/>
    <mergeCell ref="B19:B21"/>
    <mergeCell ref="B22:B25"/>
    <mergeCell ref="N22:N25"/>
  </mergeCells>
  <phoneticPr fontId="71"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45"/>
  <sheetViews>
    <sheetView workbookViewId="0">
      <selection activeCell="E10" sqref="E10"/>
    </sheetView>
  </sheetViews>
  <sheetFormatPr defaultRowHeight="13.8"/>
  <cols>
    <col min="1" max="1" width="22.5546875" style="698" customWidth="1"/>
    <col min="2" max="2" width="35.88671875" customWidth="1"/>
    <col min="3" max="3" width="35" style="698" customWidth="1"/>
    <col min="4" max="8" width="15" style="698" customWidth="1"/>
    <col min="9" max="9" width="45.109375" customWidth="1"/>
  </cols>
  <sheetData>
    <row r="1" spans="1:12" ht="20.399999999999999">
      <c r="A1" s="1182" t="s">
        <v>747</v>
      </c>
      <c r="B1" s="1182"/>
      <c r="C1" s="1182"/>
      <c r="D1" s="1182"/>
      <c r="E1" s="1182"/>
      <c r="F1" s="1182"/>
      <c r="G1" s="1182"/>
      <c r="H1" s="1182"/>
      <c r="I1" s="708">
        <f>'最高报价汇总 '!F2</f>
        <v>46099</v>
      </c>
      <c r="J1" s="707"/>
      <c r="K1" s="707"/>
      <c r="L1" s="707"/>
    </row>
    <row r="2" spans="1:12" ht="17.399999999999999">
      <c r="A2" s="686" t="s">
        <v>292</v>
      </c>
      <c r="B2" s="139" t="s">
        <v>713</v>
      </c>
      <c r="C2" s="139" t="s">
        <v>526</v>
      </c>
      <c r="D2" s="141" t="s">
        <v>289</v>
      </c>
      <c r="E2" s="141" t="s">
        <v>288</v>
      </c>
      <c r="F2" s="141" t="s">
        <v>287</v>
      </c>
      <c r="G2" s="141" t="s">
        <v>286</v>
      </c>
      <c r="H2" s="141" t="s">
        <v>285</v>
      </c>
      <c r="I2" s="139" t="s">
        <v>711</v>
      </c>
    </row>
    <row r="3" spans="1:12" ht="30" customHeight="1">
      <c r="A3" s="1090" t="s">
        <v>23</v>
      </c>
      <c r="B3" s="867" t="s">
        <v>730</v>
      </c>
      <c r="C3" s="639" t="s">
        <v>732</v>
      </c>
      <c r="D3" s="598"/>
      <c r="E3" s="598">
        <v>1.15E-2</v>
      </c>
      <c r="F3" s="597">
        <v>1.2500000000000001E-2</v>
      </c>
      <c r="G3" s="597"/>
      <c r="H3" s="597"/>
      <c r="I3" s="639"/>
    </row>
    <row r="4" spans="1:12" ht="24" customHeight="1">
      <c r="A4" s="1109"/>
      <c r="B4" s="868"/>
      <c r="C4" s="639" t="s">
        <v>733</v>
      </c>
      <c r="D4" s="598"/>
      <c r="E4" s="598">
        <v>1.2500000000000001E-2</v>
      </c>
      <c r="F4" s="597">
        <v>1.35E-2</v>
      </c>
      <c r="G4" s="597"/>
      <c r="H4" s="597"/>
      <c r="I4" s="639"/>
    </row>
    <row r="5" spans="1:12" ht="30" customHeight="1">
      <c r="A5" s="1109"/>
      <c r="B5" s="868"/>
      <c r="C5" s="639" t="s">
        <v>739</v>
      </c>
      <c r="D5" s="598"/>
      <c r="E5" s="598">
        <v>1.2500000000000001E-2</v>
      </c>
      <c r="F5" s="597">
        <v>1.35E-2</v>
      </c>
      <c r="G5" s="597"/>
      <c r="H5" s="597"/>
      <c r="I5" s="867" t="s">
        <v>746</v>
      </c>
    </row>
    <row r="6" spans="1:12" ht="32.25" customHeight="1">
      <c r="A6" s="1109"/>
      <c r="B6" s="868"/>
      <c r="C6" s="639" t="s">
        <v>740</v>
      </c>
      <c r="D6" s="598"/>
      <c r="E6" s="598">
        <v>1.35E-2</v>
      </c>
      <c r="F6" s="597">
        <v>1.4500000000000001E-2</v>
      </c>
      <c r="G6" s="597"/>
      <c r="H6" s="597"/>
      <c r="I6" s="869"/>
    </row>
    <row r="7" spans="1:12" ht="27.6">
      <c r="A7" s="1109"/>
      <c r="B7" s="868"/>
      <c r="C7" s="639" t="s">
        <v>734</v>
      </c>
      <c r="D7" s="598"/>
      <c r="E7" s="598">
        <v>1.4E-2</v>
      </c>
      <c r="F7" s="597">
        <v>1.4999999999999999E-2</v>
      </c>
      <c r="G7" s="597"/>
      <c r="H7" s="597"/>
      <c r="I7" s="639"/>
    </row>
    <row r="8" spans="1:12" ht="27.6">
      <c r="A8" s="1109"/>
      <c r="B8" s="869"/>
      <c r="C8" s="639" t="s">
        <v>735</v>
      </c>
      <c r="D8" s="598"/>
      <c r="E8" s="598">
        <v>1.55E-2</v>
      </c>
      <c r="F8" s="597">
        <v>1.6500000000000001E-2</v>
      </c>
      <c r="G8" s="597"/>
      <c r="H8" s="597"/>
      <c r="I8" s="639"/>
      <c r="L8" s="706"/>
    </row>
    <row r="9" spans="1:12" ht="30" customHeight="1">
      <c r="A9" s="1109"/>
      <c r="B9" s="867" t="s">
        <v>731</v>
      </c>
      <c r="C9" s="704" t="s">
        <v>732</v>
      </c>
      <c r="D9" s="598"/>
      <c r="E9" s="598">
        <v>1.2500000000000001E-2</v>
      </c>
      <c r="F9" s="597">
        <v>1.35E-2</v>
      </c>
      <c r="G9" s="597"/>
      <c r="H9" s="597"/>
      <c r="I9" s="639"/>
    </row>
    <row r="10" spans="1:12" ht="33.75" customHeight="1">
      <c r="A10" s="1109"/>
      <c r="B10" s="868"/>
      <c r="C10" s="705" t="s">
        <v>733</v>
      </c>
      <c r="D10" s="598"/>
      <c r="E10" s="598">
        <v>1.35E-2</v>
      </c>
      <c r="F10" s="597">
        <v>1.4E-2</v>
      </c>
      <c r="G10" s="600"/>
      <c r="H10" s="600"/>
      <c r="I10" s="639"/>
    </row>
    <row r="11" spans="1:12" ht="30" customHeight="1">
      <c r="A11" s="1109"/>
      <c r="B11" s="868"/>
      <c r="C11" s="639" t="s">
        <v>739</v>
      </c>
      <c r="D11" s="598"/>
      <c r="E11" s="598">
        <v>1.35E-2</v>
      </c>
      <c r="F11" s="597">
        <v>1.4E-2</v>
      </c>
      <c r="G11" s="597"/>
      <c r="H11" s="597"/>
      <c r="I11" s="867" t="s">
        <v>746</v>
      </c>
    </row>
    <row r="12" spans="1:12" ht="30" customHeight="1">
      <c r="A12" s="1109"/>
      <c r="B12" s="868"/>
      <c r="C12" s="639" t="s">
        <v>740</v>
      </c>
      <c r="D12" s="598"/>
      <c r="E12" s="598">
        <v>1.4500000000000001E-2</v>
      </c>
      <c r="F12" s="597">
        <v>1.55E-2</v>
      </c>
      <c r="G12" s="597"/>
      <c r="H12" s="597"/>
      <c r="I12" s="869"/>
    </row>
    <row r="13" spans="1:12" ht="30" customHeight="1">
      <c r="A13" s="1109"/>
      <c r="B13" s="868"/>
      <c r="C13" s="639" t="s">
        <v>742</v>
      </c>
      <c r="D13" s="598"/>
      <c r="E13" s="598">
        <v>1.4500000000000001E-2</v>
      </c>
      <c r="F13" s="597">
        <v>1.55E-2</v>
      </c>
      <c r="G13" s="597"/>
      <c r="H13" s="597"/>
      <c r="I13" s="867" t="s">
        <v>745</v>
      </c>
    </row>
    <row r="14" spans="1:12" ht="32.25" customHeight="1">
      <c r="A14" s="1109"/>
      <c r="B14" s="868"/>
      <c r="C14" s="639" t="s">
        <v>743</v>
      </c>
      <c r="D14" s="598"/>
      <c r="E14" s="598">
        <v>1.55E-2</v>
      </c>
      <c r="F14" s="597">
        <v>1.6500000000000001E-2</v>
      </c>
      <c r="G14" s="597"/>
      <c r="H14" s="597"/>
      <c r="I14" s="869"/>
    </row>
    <row r="15" spans="1:12" ht="27.6">
      <c r="A15" s="1109"/>
      <c r="B15" s="868"/>
      <c r="C15" s="639" t="s">
        <v>734</v>
      </c>
      <c r="D15" s="598"/>
      <c r="E15" s="598">
        <v>1.4E-2</v>
      </c>
      <c r="F15" s="597">
        <v>1.4999999999999999E-2</v>
      </c>
      <c r="G15" s="597"/>
      <c r="H15" s="597"/>
      <c r="I15" s="639"/>
    </row>
    <row r="16" spans="1:12" ht="27.6">
      <c r="A16" s="1091"/>
      <c r="B16" s="869"/>
      <c r="C16" s="639" t="s">
        <v>735</v>
      </c>
      <c r="D16" s="598"/>
      <c r="E16" s="598">
        <v>1.55E-2</v>
      </c>
      <c r="F16" s="597">
        <v>1.6500000000000001E-2</v>
      </c>
      <c r="G16" s="597"/>
      <c r="H16" s="597"/>
      <c r="I16" s="639"/>
    </row>
    <row r="17" spans="1:9" ht="45.75" customHeight="1">
      <c r="A17" s="1094" t="s">
        <v>33</v>
      </c>
      <c r="B17" s="858" t="s">
        <v>725</v>
      </c>
      <c r="C17" s="637" t="s">
        <v>728</v>
      </c>
      <c r="D17" s="631">
        <v>1.0999999999999999E-2</v>
      </c>
      <c r="E17" s="631">
        <v>1.4999999999999999E-2</v>
      </c>
      <c r="F17" s="631">
        <v>1.2999999999999999E-2</v>
      </c>
      <c r="G17" s="630"/>
      <c r="H17" s="631">
        <v>1.2999999999999999E-2</v>
      </c>
      <c r="I17" s="637"/>
    </row>
    <row r="18" spans="1:9" ht="45.75" customHeight="1">
      <c r="A18" s="1096"/>
      <c r="B18" s="860"/>
      <c r="C18" s="637" t="s">
        <v>729</v>
      </c>
      <c r="D18" s="631">
        <v>7.4999999999999997E-3</v>
      </c>
      <c r="E18" s="631">
        <v>8.5000000000000006E-3</v>
      </c>
      <c r="F18" s="631">
        <v>8.9999999999999993E-3</v>
      </c>
      <c r="G18" s="630"/>
      <c r="H18" s="631">
        <v>8.9999999999999993E-3</v>
      </c>
      <c r="I18" s="676"/>
    </row>
    <row r="19" spans="1:9" ht="34.5" customHeight="1">
      <c r="A19" s="699" t="s">
        <v>42</v>
      </c>
      <c r="B19" s="700" t="s">
        <v>748</v>
      </c>
      <c r="C19" s="639" t="s">
        <v>724</v>
      </c>
      <c r="D19" s="598"/>
      <c r="E19" s="598">
        <v>1.55E-2</v>
      </c>
      <c r="F19" s="597">
        <v>1.55E-2</v>
      </c>
      <c r="G19" s="597"/>
      <c r="H19" s="597">
        <v>1.4999999999999999E-2</v>
      </c>
      <c r="I19" s="639"/>
    </row>
    <row r="20" spans="1:9" ht="27.75" customHeight="1">
      <c r="A20" s="1094" t="s">
        <v>46</v>
      </c>
      <c r="B20" s="858" t="s">
        <v>721</v>
      </c>
      <c r="C20" s="676" t="s">
        <v>718</v>
      </c>
      <c r="D20" s="631"/>
      <c r="E20" s="631"/>
      <c r="F20" s="631">
        <v>1.2E-2</v>
      </c>
      <c r="G20" s="630"/>
      <c r="H20" s="631"/>
      <c r="I20" s="710"/>
    </row>
    <row r="21" spans="1:9" ht="32.25" customHeight="1">
      <c r="A21" s="1095"/>
      <c r="B21" s="860"/>
      <c r="C21" s="703" t="s">
        <v>719</v>
      </c>
      <c r="D21" s="631"/>
      <c r="E21" s="631"/>
      <c r="F21" s="631">
        <v>1.55E-2</v>
      </c>
      <c r="G21" s="630"/>
      <c r="H21" s="631"/>
      <c r="I21" s="709"/>
    </row>
    <row r="22" spans="1:9" ht="27.6">
      <c r="A22" s="1096"/>
      <c r="B22" s="701" t="s">
        <v>722</v>
      </c>
      <c r="C22" s="676" t="s">
        <v>718</v>
      </c>
      <c r="D22" s="631"/>
      <c r="E22" s="631"/>
      <c r="F22" s="631">
        <v>1.6500000000000001E-2</v>
      </c>
      <c r="G22" s="630"/>
      <c r="H22" s="631"/>
      <c r="I22" s="703"/>
    </row>
    <row r="23" spans="1:9" ht="27.6">
      <c r="A23" s="1090" t="s">
        <v>39</v>
      </c>
      <c r="B23" s="867" t="s">
        <v>723</v>
      </c>
      <c r="C23" s="639" t="s">
        <v>714</v>
      </c>
      <c r="D23" s="598"/>
      <c r="E23" s="598"/>
      <c r="F23" s="597"/>
      <c r="G23" s="597">
        <v>1.15E-2</v>
      </c>
      <c r="H23" s="597">
        <v>1.15E-2</v>
      </c>
      <c r="I23" s="639"/>
    </row>
    <row r="24" spans="1:9" ht="27.6">
      <c r="A24" s="1091"/>
      <c r="B24" s="869"/>
      <c r="C24" s="639" t="s">
        <v>715</v>
      </c>
      <c r="D24" s="598"/>
      <c r="E24" s="598"/>
      <c r="F24" s="597"/>
      <c r="G24" s="597">
        <v>1.2E-2</v>
      </c>
      <c r="H24" s="597">
        <v>1.2E-2</v>
      </c>
      <c r="I24" s="639"/>
    </row>
    <row r="25" spans="1:9" ht="41.4">
      <c r="A25" s="713" t="s">
        <v>20</v>
      </c>
      <c r="B25" s="678" t="s">
        <v>750</v>
      </c>
      <c r="C25" s="678" t="s">
        <v>749</v>
      </c>
      <c r="D25" s="711"/>
      <c r="E25" s="711">
        <v>1.35E-2</v>
      </c>
      <c r="F25" s="712">
        <v>1.35E-2</v>
      </c>
      <c r="G25" s="712">
        <v>1.15E-2</v>
      </c>
      <c r="H25" s="712">
        <v>1.15E-2</v>
      </c>
      <c r="I25" s="678"/>
    </row>
    <row r="26" spans="1:9">
      <c r="B26" s="698"/>
      <c r="I26" s="698"/>
    </row>
    <row r="28" spans="1:9">
      <c r="A28"/>
      <c r="C28"/>
      <c r="D28"/>
      <c r="E28"/>
      <c r="F28"/>
    </row>
    <row r="29" spans="1:9" ht="20.399999999999999">
      <c r="A29" s="1182" t="s">
        <v>712</v>
      </c>
      <c r="B29" s="1182"/>
      <c r="C29" s="1182"/>
      <c r="D29" s="1182"/>
      <c r="E29" s="1182"/>
      <c r="F29" s="1183">
        <f>I1</f>
        <v>46099</v>
      </c>
      <c r="G29" s="1183"/>
    </row>
    <row r="30" spans="1:9" ht="22.5" customHeight="1">
      <c r="A30" s="686" t="s">
        <v>292</v>
      </c>
      <c r="B30" s="139" t="s">
        <v>713</v>
      </c>
      <c r="C30" s="139" t="s">
        <v>526</v>
      </c>
      <c r="D30" s="141" t="s">
        <v>288</v>
      </c>
      <c r="E30" s="141" t="s">
        <v>287</v>
      </c>
      <c r="F30" s="141" t="s">
        <v>285</v>
      </c>
      <c r="G30" s="139" t="s">
        <v>711</v>
      </c>
    </row>
    <row r="31" spans="1:9" ht="33" customHeight="1">
      <c r="A31" s="1090" t="s">
        <v>23</v>
      </c>
      <c r="B31" s="867" t="s">
        <v>730</v>
      </c>
      <c r="C31" s="639" t="s">
        <v>736</v>
      </c>
      <c r="D31" s="598">
        <v>3.7499999999999999E-2</v>
      </c>
      <c r="E31" s="597"/>
      <c r="F31" s="597"/>
      <c r="G31" s="639"/>
    </row>
    <row r="32" spans="1:9" ht="27.6">
      <c r="A32" s="1109"/>
      <c r="B32" s="868"/>
      <c r="C32" s="639" t="s">
        <v>741</v>
      </c>
      <c r="D32" s="598">
        <v>3.85E-2</v>
      </c>
      <c r="E32" s="597"/>
      <c r="F32" s="597"/>
      <c r="G32" s="639"/>
    </row>
    <row r="33" spans="1:8" ht="27.6">
      <c r="A33" s="1109"/>
      <c r="B33" s="868"/>
      <c r="C33" s="639" t="s">
        <v>737</v>
      </c>
      <c r="D33" s="598">
        <v>3.9E-2</v>
      </c>
      <c r="E33" s="597"/>
      <c r="F33" s="597"/>
      <c r="G33" s="639"/>
    </row>
    <row r="34" spans="1:8" ht="22.5" customHeight="1">
      <c r="A34" s="1109"/>
      <c r="B34" s="869"/>
      <c r="C34" s="639" t="s">
        <v>738</v>
      </c>
      <c r="D34" s="598">
        <v>4.0500000000000001E-2</v>
      </c>
      <c r="E34" s="597"/>
      <c r="F34" s="597"/>
      <c r="G34" s="639"/>
    </row>
    <row r="35" spans="1:8" ht="33" customHeight="1">
      <c r="A35" s="1109"/>
      <c r="B35" s="867" t="s">
        <v>731</v>
      </c>
      <c r="C35" s="639" t="s">
        <v>736</v>
      </c>
      <c r="D35" s="598">
        <v>3.85E-2</v>
      </c>
      <c r="E35" s="597"/>
      <c r="F35" s="597"/>
      <c r="G35" s="639"/>
    </row>
    <row r="36" spans="1:8" ht="29.25" customHeight="1">
      <c r="A36" s="1109"/>
      <c r="B36" s="868"/>
      <c r="C36" s="639" t="s">
        <v>741</v>
      </c>
      <c r="D36" s="598">
        <v>3.9E-2</v>
      </c>
      <c r="E36" s="597"/>
      <c r="F36" s="597"/>
      <c r="G36" s="639"/>
    </row>
    <row r="37" spans="1:8" ht="27.6">
      <c r="A37" s="1109"/>
      <c r="B37" s="868"/>
      <c r="C37" s="639" t="s">
        <v>744</v>
      </c>
      <c r="D37" s="598">
        <v>4.0500000000000001E-2</v>
      </c>
      <c r="E37" s="597"/>
      <c r="F37" s="600"/>
      <c r="G37" s="639"/>
    </row>
    <row r="38" spans="1:8" ht="33" customHeight="1">
      <c r="A38" s="1109"/>
      <c r="B38" s="868"/>
      <c r="C38" s="639" t="s">
        <v>737</v>
      </c>
      <c r="D38" s="598">
        <v>3.9E-2</v>
      </c>
      <c r="E38" s="597"/>
      <c r="F38" s="597"/>
      <c r="G38" s="639"/>
    </row>
    <row r="39" spans="1:8" ht="35.25" customHeight="1">
      <c r="A39" s="1091"/>
      <c r="B39" s="869"/>
      <c r="C39" s="639" t="s">
        <v>738</v>
      </c>
      <c r="D39" s="598">
        <v>4.0500000000000001E-2</v>
      </c>
      <c r="E39" s="597"/>
      <c r="F39" s="597"/>
      <c r="G39" s="639"/>
    </row>
    <row r="40" spans="1:8" ht="31.5" customHeight="1">
      <c r="A40" s="1094" t="s">
        <v>33</v>
      </c>
      <c r="B40" s="858" t="s">
        <v>725</v>
      </c>
      <c r="C40" s="637" t="s">
        <v>726</v>
      </c>
      <c r="D40" s="631">
        <v>3.5499999999999997E-2</v>
      </c>
      <c r="E40" s="631">
        <v>3.4000000000000002E-2</v>
      </c>
      <c r="F40" s="631">
        <v>2.7E-2</v>
      </c>
      <c r="G40" s="637"/>
    </row>
    <row r="41" spans="1:8" ht="33" customHeight="1">
      <c r="A41" s="1096"/>
      <c r="B41" s="860"/>
      <c r="C41" s="637" t="s">
        <v>727</v>
      </c>
      <c r="D41" s="631">
        <v>3.0499999999999999E-2</v>
      </c>
      <c r="E41" s="631">
        <v>2.9000000000000001E-2</v>
      </c>
      <c r="F41" s="631">
        <v>2.1999999999999999E-2</v>
      </c>
      <c r="G41" s="676"/>
    </row>
    <row r="42" spans="1:8" ht="15.6">
      <c r="A42" s="1090" t="s">
        <v>46</v>
      </c>
      <c r="B42" s="867" t="s">
        <v>721</v>
      </c>
      <c r="C42" s="639" t="s">
        <v>717</v>
      </c>
      <c r="D42" s="598">
        <v>3.95E-2</v>
      </c>
      <c r="E42" s="745"/>
      <c r="F42" s="597"/>
      <c r="G42" s="639"/>
      <c r="H42"/>
    </row>
    <row r="43" spans="1:8" ht="27.6">
      <c r="A43" s="1109"/>
      <c r="B43" s="869"/>
      <c r="C43" s="639" t="s">
        <v>720</v>
      </c>
      <c r="D43" s="598">
        <v>0.04</v>
      </c>
      <c r="E43" s="745"/>
      <c r="F43" s="597"/>
      <c r="G43" s="639"/>
    </row>
    <row r="44" spans="1:8" ht="27.6">
      <c r="A44" s="1091"/>
      <c r="B44" s="700" t="s">
        <v>722</v>
      </c>
      <c r="C44" s="639" t="s">
        <v>717</v>
      </c>
      <c r="D44" s="598">
        <v>4.0500000000000001E-2</v>
      </c>
      <c r="E44" s="745"/>
      <c r="F44" s="597"/>
      <c r="G44" s="639"/>
    </row>
    <row r="45" spans="1:8" ht="41.4">
      <c r="A45" s="702" t="s">
        <v>39</v>
      </c>
      <c r="B45" s="637" t="s">
        <v>723</v>
      </c>
      <c r="C45" s="637" t="s">
        <v>716</v>
      </c>
      <c r="D45" s="631">
        <v>3.6999999999999998E-2</v>
      </c>
      <c r="E45" s="631">
        <v>3.5999999999999997E-2</v>
      </c>
      <c r="F45" s="631"/>
      <c r="G45" s="637"/>
    </row>
  </sheetData>
  <mergeCells count="22">
    <mergeCell ref="A1:H1"/>
    <mergeCell ref="I11:I12"/>
    <mergeCell ref="I5:I6"/>
    <mergeCell ref="A42:A44"/>
    <mergeCell ref="B42:B43"/>
    <mergeCell ref="B9:B16"/>
    <mergeCell ref="A3:A16"/>
    <mergeCell ref="A31:A39"/>
    <mergeCell ref="B31:B34"/>
    <mergeCell ref="B35:B39"/>
    <mergeCell ref="F29:G29"/>
    <mergeCell ref="A29:E29"/>
    <mergeCell ref="B3:B8"/>
    <mergeCell ref="A20:A22"/>
    <mergeCell ref="A17:A18"/>
    <mergeCell ref="B17:B18"/>
    <mergeCell ref="I13:I14"/>
    <mergeCell ref="A40:A41"/>
    <mergeCell ref="B40:B41"/>
    <mergeCell ref="B20:B21"/>
    <mergeCell ref="A23:A24"/>
    <mergeCell ref="B23:B24"/>
  </mergeCells>
  <phoneticPr fontId="71" type="noConversion"/>
  <pageMargins left="0.7" right="0.7" top="0.75" bottom="0.75" header="0.3" footer="0.3"/>
  <pageSetup paperSize="0" orientation="portrait"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S19"/>
  <sheetViews>
    <sheetView workbookViewId="0">
      <pane ySplit="1" topLeftCell="A2" activePane="bottomLeft" state="frozen"/>
      <selection pane="bottomLeft" activeCell="O9" sqref="O9"/>
    </sheetView>
  </sheetViews>
  <sheetFormatPr defaultColWidth="9.109375" defaultRowHeight="13.8"/>
  <cols>
    <col min="1" max="1" width="4.109375" style="11" customWidth="1"/>
    <col min="2" max="2" width="15.33203125" style="11" customWidth="1"/>
    <col min="3" max="3" width="10" style="11" bestFit="1" customWidth="1"/>
    <col min="4" max="4" width="9" style="11" customWidth="1"/>
    <col min="5" max="5" width="16" style="11" customWidth="1"/>
    <col min="6" max="7" width="9" style="11" customWidth="1"/>
    <col min="8" max="8" width="10.33203125" style="11" customWidth="1"/>
    <col min="9" max="9" width="12.109375" style="11" customWidth="1"/>
    <col min="10" max="10" width="10.33203125" style="11" customWidth="1"/>
    <col min="11" max="14" width="10.33203125" style="688" customWidth="1"/>
    <col min="15" max="15" width="29.33203125" style="11" customWidth="1"/>
    <col min="16" max="16" width="18.6640625" style="11" customWidth="1"/>
    <col min="17" max="17" width="56.44140625" style="11" customWidth="1"/>
    <col min="18" max="18" width="45" style="11" bestFit="1" customWidth="1"/>
    <col min="19" max="19" width="18.44140625" style="11" customWidth="1"/>
    <col min="20" max="16384" width="9.109375" style="11"/>
  </cols>
  <sheetData>
    <row r="1" spans="1:19" s="2" customFormat="1" ht="13.2">
      <c r="A1" s="1" t="s">
        <v>0</v>
      </c>
      <c r="B1" s="1" t="s">
        <v>1</v>
      </c>
      <c r="C1" s="1" t="s">
        <v>2</v>
      </c>
      <c r="D1" s="1" t="s">
        <v>3</v>
      </c>
      <c r="E1" s="1" t="s">
        <v>4</v>
      </c>
      <c r="F1" s="1" t="s">
        <v>5</v>
      </c>
      <c r="G1" s="1" t="s">
        <v>6</v>
      </c>
      <c r="H1" s="1" t="s">
        <v>7</v>
      </c>
      <c r="I1" s="1" t="s">
        <v>636</v>
      </c>
      <c r="J1" s="1" t="s">
        <v>637</v>
      </c>
      <c r="K1" s="1" t="s">
        <v>685</v>
      </c>
      <c r="L1" s="1" t="s">
        <v>686</v>
      </c>
      <c r="M1" s="1" t="s">
        <v>687</v>
      </c>
      <c r="N1" s="1" t="s">
        <v>688</v>
      </c>
      <c r="O1" s="1" t="s">
        <v>8</v>
      </c>
      <c r="P1" s="1" t="s">
        <v>9</v>
      </c>
      <c r="Q1" s="1" t="s">
        <v>10</v>
      </c>
      <c r="R1" s="1" t="s">
        <v>11</v>
      </c>
      <c r="S1" s="2" t="s">
        <v>660</v>
      </c>
    </row>
    <row r="2" spans="1:19" s="2" customFormat="1" ht="39.6">
      <c r="A2" s="3">
        <v>1</v>
      </c>
      <c r="B2" s="4" t="s">
        <v>12</v>
      </c>
      <c r="C2" s="556">
        <v>20260311</v>
      </c>
      <c r="D2" s="806">
        <v>20260311</v>
      </c>
      <c r="E2" s="556">
        <v>20260311</v>
      </c>
      <c r="F2" s="556">
        <v>20260311</v>
      </c>
      <c r="G2" s="806">
        <v>20260311</v>
      </c>
      <c r="H2" s="556">
        <v>20260311</v>
      </c>
      <c r="I2" s="556">
        <v>20260311</v>
      </c>
      <c r="J2" s="556">
        <v>20260311</v>
      </c>
      <c r="K2" s="806">
        <v>20260311</v>
      </c>
      <c r="L2" s="556">
        <v>20260311</v>
      </c>
      <c r="M2" s="556">
        <v>20260311</v>
      </c>
      <c r="N2" s="556">
        <v>20260311</v>
      </c>
      <c r="O2" s="562" t="s">
        <v>13</v>
      </c>
      <c r="P2" s="563" t="s">
        <v>14</v>
      </c>
      <c r="Q2" s="6" t="s">
        <v>15</v>
      </c>
      <c r="R2" s="5" t="s">
        <v>14</v>
      </c>
      <c r="S2" s="2" t="s">
        <v>659</v>
      </c>
    </row>
    <row r="3" spans="1:19" s="2" customFormat="1" ht="13.2">
      <c r="A3" s="3">
        <v>2</v>
      </c>
      <c r="B3" s="4" t="s">
        <v>16</v>
      </c>
      <c r="C3" s="806">
        <v>20260311</v>
      </c>
      <c r="D3" s="806">
        <v>20260311</v>
      </c>
      <c r="E3" s="806">
        <v>20260311</v>
      </c>
      <c r="F3" s="556">
        <v>20260311</v>
      </c>
      <c r="G3" s="556">
        <v>20260311</v>
      </c>
      <c r="H3" s="556">
        <v>20260311</v>
      </c>
      <c r="I3" s="556">
        <v>20260311</v>
      </c>
      <c r="J3" s="556">
        <v>20260311</v>
      </c>
      <c r="K3" s="556">
        <v>20260311</v>
      </c>
      <c r="L3" s="556">
        <v>20260311</v>
      </c>
      <c r="M3" s="556">
        <v>20260311</v>
      </c>
      <c r="N3" s="556">
        <v>20260311</v>
      </c>
      <c r="O3" s="564" t="s">
        <v>17</v>
      </c>
      <c r="P3" s="564" t="s">
        <v>18</v>
      </c>
      <c r="Q3" s="8" t="s">
        <v>19</v>
      </c>
      <c r="R3" s="7"/>
    </row>
    <row r="4" spans="1:19" s="2" customFormat="1" ht="66">
      <c r="A4" s="3">
        <v>3</v>
      </c>
      <c r="B4" s="4" t="s">
        <v>20</v>
      </c>
      <c r="C4" s="556">
        <v>20260311</v>
      </c>
      <c r="D4" s="556">
        <v>20260311</v>
      </c>
      <c r="E4" s="806">
        <v>20260311</v>
      </c>
      <c r="F4" s="556">
        <v>20260311</v>
      </c>
      <c r="G4" s="806">
        <v>20260311</v>
      </c>
      <c r="H4" s="806">
        <v>20260311</v>
      </c>
      <c r="I4" s="806">
        <v>20260311</v>
      </c>
      <c r="J4" s="556">
        <v>20260311</v>
      </c>
      <c r="K4" s="687"/>
      <c r="L4" s="806">
        <v>20260311</v>
      </c>
      <c r="M4" s="806">
        <v>20260311</v>
      </c>
      <c r="N4" s="806">
        <v>20260311</v>
      </c>
      <c r="O4" s="562" t="s">
        <v>21</v>
      </c>
      <c r="P4" s="565"/>
      <c r="Q4" s="6" t="s">
        <v>22</v>
      </c>
      <c r="R4" s="6"/>
    </row>
    <row r="5" spans="1:19" s="2" customFormat="1" ht="39.6">
      <c r="A5" s="3">
        <v>4</v>
      </c>
      <c r="B5" s="4" t="s">
        <v>23</v>
      </c>
      <c r="C5" s="556">
        <v>20260311</v>
      </c>
      <c r="D5" s="556">
        <v>20260311</v>
      </c>
      <c r="E5" s="556">
        <v>20260311</v>
      </c>
      <c r="F5" s="556">
        <v>20260311</v>
      </c>
      <c r="G5" s="556"/>
      <c r="H5" s="556"/>
      <c r="I5" s="556"/>
      <c r="J5" s="556"/>
      <c r="K5" s="687"/>
      <c r="L5" s="687"/>
      <c r="M5" s="687"/>
      <c r="N5" s="687"/>
      <c r="O5" s="562" t="s">
        <v>24</v>
      </c>
      <c r="P5" s="565"/>
      <c r="Q5" s="6" t="s">
        <v>25</v>
      </c>
      <c r="R5" s="6" t="s">
        <v>679</v>
      </c>
    </row>
    <row r="6" spans="1:19" s="2" customFormat="1" ht="52.8">
      <c r="A6" s="3">
        <v>5</v>
      </c>
      <c r="B6" s="4" t="s">
        <v>26</v>
      </c>
      <c r="C6" s="556"/>
      <c r="D6" s="556"/>
      <c r="E6" s="556"/>
      <c r="F6" s="556">
        <v>20260311</v>
      </c>
      <c r="G6" s="806">
        <v>20260311</v>
      </c>
      <c r="H6" s="556"/>
      <c r="I6" s="806">
        <v>20260311</v>
      </c>
      <c r="J6" s="806">
        <v>20260311</v>
      </c>
      <c r="K6" s="806">
        <v>20260311</v>
      </c>
      <c r="L6" s="806">
        <v>20260311</v>
      </c>
      <c r="M6" s="806">
        <v>20260311</v>
      </c>
      <c r="N6" s="806">
        <v>20260311</v>
      </c>
      <c r="O6" s="562" t="s">
        <v>13</v>
      </c>
      <c r="P6" s="566"/>
      <c r="Q6" s="6" t="s">
        <v>27</v>
      </c>
      <c r="R6" s="5" t="s">
        <v>28</v>
      </c>
    </row>
    <row r="7" spans="1:19" s="2" customFormat="1" ht="66">
      <c r="A7" s="3">
        <v>6</v>
      </c>
      <c r="B7" s="4" t="s">
        <v>29</v>
      </c>
      <c r="C7" s="556">
        <v>20260311</v>
      </c>
      <c r="D7" s="556">
        <v>20260311</v>
      </c>
      <c r="E7" s="556">
        <v>20260311</v>
      </c>
      <c r="F7" s="556">
        <v>20260311</v>
      </c>
      <c r="G7" s="806">
        <v>20260311</v>
      </c>
      <c r="H7" s="806">
        <v>20260311</v>
      </c>
      <c r="I7" s="806">
        <v>20260311</v>
      </c>
      <c r="J7" s="692"/>
      <c r="K7" s="806">
        <v>20260311</v>
      </c>
      <c r="L7" s="806">
        <v>20260311</v>
      </c>
      <c r="M7" s="693"/>
      <c r="N7" s="806">
        <v>20260311</v>
      </c>
      <c r="O7" s="562" t="s">
        <v>13</v>
      </c>
      <c r="P7" s="565"/>
      <c r="Q7" s="6" t="s">
        <v>30</v>
      </c>
      <c r="R7" s="6"/>
    </row>
    <row r="8" spans="1:19" s="2" customFormat="1" ht="13.2">
      <c r="A8" s="3">
        <v>7</v>
      </c>
      <c r="B8" s="4" t="s">
        <v>31</v>
      </c>
      <c r="C8" s="806">
        <v>20260311</v>
      </c>
      <c r="D8" s="556"/>
      <c r="E8" s="556"/>
      <c r="F8" s="556">
        <v>20260311</v>
      </c>
      <c r="G8" s="556"/>
      <c r="H8" s="556"/>
      <c r="I8" s="556"/>
      <c r="J8" s="556"/>
      <c r="K8" s="687"/>
      <c r="L8" s="687"/>
      <c r="M8" s="687"/>
      <c r="N8" s="687"/>
      <c r="O8" s="562" t="s">
        <v>13</v>
      </c>
      <c r="P8" s="565"/>
      <c r="Q8" s="6" t="s">
        <v>32</v>
      </c>
      <c r="R8" s="6"/>
      <c r="S8" s="2" t="s">
        <v>682</v>
      </c>
    </row>
    <row r="9" spans="1:19" s="2" customFormat="1" ht="52.8">
      <c r="A9" s="3">
        <v>8</v>
      </c>
      <c r="B9" s="4" t="s">
        <v>33</v>
      </c>
      <c r="C9" s="556">
        <v>20260311</v>
      </c>
      <c r="D9" s="556"/>
      <c r="E9" s="556"/>
      <c r="F9" s="556">
        <v>20260311</v>
      </c>
      <c r="G9" s="556">
        <v>20260311</v>
      </c>
      <c r="H9" s="556"/>
      <c r="I9" s="806">
        <v>20260311</v>
      </c>
      <c r="J9" s="806">
        <v>20260311</v>
      </c>
      <c r="K9" s="556">
        <v>20260311</v>
      </c>
      <c r="L9" s="806">
        <v>20260311</v>
      </c>
      <c r="M9" s="807"/>
      <c r="N9" s="806">
        <v>20260311</v>
      </c>
      <c r="O9" s="562" t="s">
        <v>24</v>
      </c>
      <c r="P9" s="565"/>
      <c r="Q9" s="6" t="s">
        <v>34</v>
      </c>
      <c r="R9" s="6"/>
      <c r="S9" s="2" t="s">
        <v>670</v>
      </c>
    </row>
    <row r="10" spans="1:19" s="2" customFormat="1" ht="66">
      <c r="A10" s="3">
        <v>9</v>
      </c>
      <c r="B10" s="4" t="s">
        <v>35</v>
      </c>
      <c r="C10" s="556">
        <v>20260311</v>
      </c>
      <c r="D10" s="556">
        <v>20260311</v>
      </c>
      <c r="E10" s="556"/>
      <c r="F10" s="556">
        <v>20260311</v>
      </c>
      <c r="G10" s="556">
        <v>20260311</v>
      </c>
      <c r="H10" s="556">
        <v>20260311</v>
      </c>
      <c r="I10" s="556"/>
      <c r="J10" s="556"/>
      <c r="K10" s="687"/>
      <c r="L10" s="687"/>
      <c r="M10" s="687"/>
      <c r="N10" s="687"/>
      <c r="O10" s="562" t="s">
        <v>24</v>
      </c>
      <c r="P10" s="565"/>
      <c r="Q10" s="6" t="s">
        <v>36</v>
      </c>
      <c r="R10" s="6"/>
    </row>
    <row r="11" spans="1:19" s="2" customFormat="1" ht="52.8">
      <c r="A11" s="3">
        <v>10</v>
      </c>
      <c r="B11" s="4" t="s">
        <v>37</v>
      </c>
      <c r="C11" s="556">
        <v>20260311</v>
      </c>
      <c r="D11" s="556"/>
      <c r="E11" s="556"/>
      <c r="F11" s="556">
        <v>20260311</v>
      </c>
      <c r="G11" s="853">
        <v>20260311</v>
      </c>
      <c r="H11" s="556"/>
      <c r="I11" s="806">
        <v>20260311</v>
      </c>
      <c r="J11" s="806">
        <v>20260311</v>
      </c>
      <c r="K11" s="687"/>
      <c r="L11" s="806">
        <v>20260311</v>
      </c>
      <c r="M11" s="806">
        <v>20260311</v>
      </c>
      <c r="N11" s="806">
        <v>20260311</v>
      </c>
      <c r="O11" s="562" t="s">
        <v>24</v>
      </c>
      <c r="P11" s="565"/>
      <c r="Q11" s="6" t="s">
        <v>38</v>
      </c>
      <c r="R11" s="6"/>
    </row>
    <row r="12" spans="1:19" s="2" customFormat="1" ht="79.2">
      <c r="A12" s="3">
        <v>11</v>
      </c>
      <c r="B12" s="4" t="s">
        <v>39</v>
      </c>
      <c r="C12" s="556">
        <v>20260311</v>
      </c>
      <c r="D12" s="556"/>
      <c r="E12" s="556"/>
      <c r="F12" s="556">
        <v>20260311</v>
      </c>
      <c r="G12" s="806">
        <v>20260311</v>
      </c>
      <c r="H12" s="556"/>
      <c r="I12" s="806">
        <v>20260311</v>
      </c>
      <c r="J12" s="806">
        <v>20260311</v>
      </c>
      <c r="K12" s="806">
        <v>20260311</v>
      </c>
      <c r="L12" s="806">
        <v>20260311</v>
      </c>
      <c r="M12" s="687"/>
      <c r="N12" s="806">
        <v>20260311</v>
      </c>
      <c r="O12" s="564" t="s">
        <v>17</v>
      </c>
      <c r="P12" s="565" t="s">
        <v>40</v>
      </c>
      <c r="Q12" s="6" t="s">
        <v>41</v>
      </c>
      <c r="R12" s="6"/>
      <c r="S12" s="2" t="s">
        <v>669</v>
      </c>
    </row>
    <row r="13" spans="1:19" s="2" customFormat="1" ht="66">
      <c r="A13" s="3">
        <v>12</v>
      </c>
      <c r="B13" s="4" t="s">
        <v>42</v>
      </c>
      <c r="C13" s="556">
        <v>20260311</v>
      </c>
      <c r="D13" s="556">
        <v>20260311</v>
      </c>
      <c r="E13" s="556">
        <v>20260311</v>
      </c>
      <c r="F13" s="556">
        <v>20260311</v>
      </c>
      <c r="G13" s="556">
        <v>20260311</v>
      </c>
      <c r="H13" s="556">
        <v>20260311</v>
      </c>
      <c r="I13" s="556">
        <v>20260311</v>
      </c>
      <c r="J13" s="556">
        <v>20260311</v>
      </c>
      <c r="K13" s="556">
        <v>20260311</v>
      </c>
      <c r="L13" s="556">
        <v>20260311</v>
      </c>
      <c r="M13" s="556">
        <v>20260311</v>
      </c>
      <c r="N13" s="556">
        <v>20260311</v>
      </c>
      <c r="O13" s="562" t="s">
        <v>13</v>
      </c>
      <c r="P13" s="565"/>
      <c r="Q13" s="6" t="s">
        <v>43</v>
      </c>
      <c r="R13" s="6"/>
    </row>
    <row r="14" spans="1:19" s="2" customFormat="1" ht="250.8">
      <c r="A14" s="3">
        <v>13</v>
      </c>
      <c r="B14" s="4" t="s">
        <v>44</v>
      </c>
      <c r="C14" s="556">
        <v>20260311</v>
      </c>
      <c r="D14" s="556">
        <v>20260311</v>
      </c>
      <c r="E14" s="807"/>
      <c r="F14" s="556">
        <v>20260311</v>
      </c>
      <c r="G14" s="556">
        <v>20260311</v>
      </c>
      <c r="H14" s="556"/>
      <c r="I14" s="556"/>
      <c r="J14" s="556"/>
      <c r="K14" s="687"/>
      <c r="L14" s="556">
        <v>20260311</v>
      </c>
      <c r="M14" s="687"/>
      <c r="N14" s="556">
        <v>20260311</v>
      </c>
      <c r="O14" s="562" t="s">
        <v>13</v>
      </c>
      <c r="P14" s="565"/>
      <c r="Q14" s="6" t="s">
        <v>45</v>
      </c>
      <c r="R14" s="6"/>
    </row>
    <row r="15" spans="1:19" s="2" customFormat="1" ht="39.6">
      <c r="A15" s="3">
        <v>14</v>
      </c>
      <c r="B15" s="4" t="s">
        <v>46</v>
      </c>
      <c r="C15" s="806">
        <v>20260311</v>
      </c>
      <c r="D15" s="806">
        <v>20260311</v>
      </c>
      <c r="E15" s="556"/>
      <c r="F15" s="556">
        <v>20260311</v>
      </c>
      <c r="G15" s="806">
        <v>20260311</v>
      </c>
      <c r="H15" s="556"/>
      <c r="I15" s="806">
        <v>20260311</v>
      </c>
      <c r="J15" s="806">
        <v>20260311</v>
      </c>
      <c r="K15" s="806">
        <v>20260311</v>
      </c>
      <c r="L15" s="806">
        <v>20260311</v>
      </c>
      <c r="M15" s="806">
        <v>20260311</v>
      </c>
      <c r="N15" s="806">
        <v>20260311</v>
      </c>
      <c r="O15" s="562" t="s">
        <v>24</v>
      </c>
      <c r="P15" s="565"/>
      <c r="Q15" s="6" t="s">
        <v>47</v>
      </c>
      <c r="R15" s="6"/>
    </row>
    <row r="16" spans="1:19" s="2" customFormat="1" ht="132">
      <c r="A16" s="3">
        <v>15</v>
      </c>
      <c r="B16" s="694" t="s">
        <v>48</v>
      </c>
      <c r="C16" s="556">
        <v>20260311</v>
      </c>
      <c r="D16" s="556"/>
      <c r="E16" s="556"/>
      <c r="F16" s="556">
        <v>20260311</v>
      </c>
      <c r="G16" s="556"/>
      <c r="H16" s="556"/>
      <c r="I16" s="556"/>
      <c r="J16" s="556"/>
      <c r="K16" s="687"/>
      <c r="L16" s="687"/>
      <c r="M16" s="687"/>
      <c r="N16" s="687"/>
      <c r="O16" s="562" t="s">
        <v>13</v>
      </c>
      <c r="P16" s="565"/>
      <c r="Q16" s="6" t="s">
        <v>49</v>
      </c>
      <c r="R16" s="6"/>
    </row>
    <row r="17" spans="1:18" s="2" customFormat="1" ht="39.6">
      <c r="A17" s="3">
        <v>16</v>
      </c>
      <c r="B17" s="4" t="s">
        <v>50</v>
      </c>
      <c r="C17" s="556">
        <v>20260311</v>
      </c>
      <c r="D17" s="556"/>
      <c r="E17" s="556"/>
      <c r="F17" s="556">
        <v>20260311</v>
      </c>
      <c r="G17" s="853">
        <v>20260311</v>
      </c>
      <c r="H17" s="556">
        <v>20260311</v>
      </c>
      <c r="I17" s="853">
        <v>20260311</v>
      </c>
      <c r="J17" s="853">
        <v>20260311</v>
      </c>
      <c r="K17" s="853">
        <v>20260311</v>
      </c>
      <c r="L17" s="853">
        <v>20260311</v>
      </c>
      <c r="M17" s="687"/>
      <c r="N17" s="853">
        <v>20260311</v>
      </c>
      <c r="O17" s="562" t="s">
        <v>13</v>
      </c>
      <c r="P17" s="565"/>
      <c r="Q17" s="6" t="s">
        <v>51</v>
      </c>
      <c r="R17" s="6"/>
    </row>
    <row r="18" spans="1:18" s="2" customFormat="1" ht="13.2">
      <c r="B18" s="9"/>
    </row>
    <row r="19" spans="1:18" s="2" customFormat="1" ht="30.6">
      <c r="B19" s="10" t="s">
        <v>52</v>
      </c>
    </row>
  </sheetData>
  <phoneticPr fontId="71"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15</vt:i4>
      </vt:variant>
    </vt:vector>
  </HeadingPairs>
  <TitlesOfParts>
    <vt:vector size="15" baseType="lpstr">
      <vt:lpstr>最高报价汇总 </vt:lpstr>
      <vt:lpstr>SGD促销</vt:lpstr>
      <vt:lpstr>USD促销</vt:lpstr>
      <vt:lpstr>其他外币促销利率</vt:lpstr>
      <vt:lpstr>SGD挂牌</vt:lpstr>
      <vt:lpstr>USD挂牌</vt:lpstr>
      <vt:lpstr>CNY挂牌</vt:lpstr>
      <vt:lpstr>NZD挂牌</vt:lpstr>
      <vt:lpstr>CAD挂牌</vt:lpstr>
      <vt:lpstr>HKD挂牌</vt:lpstr>
      <vt:lpstr>AUD挂牌</vt:lpstr>
      <vt:lpstr>EUR挂牌</vt:lpstr>
      <vt:lpstr>GBP挂牌</vt:lpstr>
      <vt:lpstr>Premier Rates</vt:lpstr>
      <vt:lpstr>Bank 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 Zhen</dc:creator>
  <cp:lastModifiedBy>Xu Wenzhe</cp:lastModifiedBy>
  <cp:lastPrinted>2025-09-24T08:20:28Z</cp:lastPrinted>
  <dcterms:created xsi:type="dcterms:W3CDTF">2025-08-14T10:47:30Z</dcterms:created>
  <dcterms:modified xsi:type="dcterms:W3CDTF">2026-03-20T07:11:18Z</dcterms:modified>
</cp:coreProperties>
</file>